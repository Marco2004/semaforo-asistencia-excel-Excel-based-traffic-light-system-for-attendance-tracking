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LEJANDRO TORRES LUNA" sheetId="1" state="visible" r:id="rId1"/>
    <sheet name="CAMILA RIVERA NAVA" sheetId="2" state="visible" r:id="rId2"/>
    <sheet name="MATEO HERRERA SOLIS" sheetId="3" state="visible" r:id="rId3"/>
    <sheet name="REGISTRO" sheetId="4" state="visible" r:id="rId4"/>
    <sheet name="PERSONAL" sheetId="5" state="visible" r:id="rId5"/>
    <sheet name="NORMALIDAD" sheetId="6" state="visible" r:id="rId6"/>
    <sheet name="EXCEPCIONES_FECHA" sheetId="7" state="visible" r:id="rId9"/>
    <sheet name="HISTORIAL_HORARIOS" sheetId="8" state="visible" r:id="rId10"/>
  </sheets>
  <definedNames>
    <definedName name="_xlnm._FilterDatabase" localSheetId="3" hidden="1">'REGISTRO'!$A$1:$L$818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 h&quot;"/>
    <numFmt numFmtId="165" formatCode="dd/mm/yyyy"/>
    <numFmt numFmtId="166" formatCode="hh:mm"/>
  </numFmts>
  <fonts count="1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595959"/>
      <sz val="11"/>
    </font>
    <font>
      <name val="Calibri"/>
      <b val="1"/>
      <color theme="1"/>
      <sz val="18"/>
    </font>
    <font/>
    <font>
      <name val="Calibri"/>
      <b val="1"/>
      <color rgb="FFFFFFFF"/>
      <sz val="11"/>
    </font>
    <font>
      <name val="Calibri"/>
      <b val="1"/>
      <color theme="1"/>
      <sz val="11"/>
    </font>
    <font>
      <name val="Calibri"/>
      <b val="1"/>
      <color rgb="FFFFFFFF"/>
      <sz val="12"/>
    </font>
    <font>
      <name val="Calibri"/>
      <b val="1"/>
      <color rgb="FF163B5C"/>
      <sz val="14"/>
    </font>
    <font>
      <name val="Calibri"/>
      <b val="1"/>
      <color rgb="FFFFFFFF"/>
      <sz val="9"/>
    </font>
    <font>
      <name val="Cambria"/>
      <b val="1"/>
      <color theme="1"/>
      <sz val="11"/>
    </font>
    <font>
      <name val="Cambria"/>
      <b val="1"/>
      <color rgb="FF163B5C"/>
      <sz val="11"/>
    </font>
    <font>
      <name val="Cambria"/>
      <b val="1"/>
      <color rgb="FFFFFFFF"/>
      <sz val="10"/>
    </font>
    <font>
      <name val="Calibri"/>
      <b val="1"/>
      <color rgb="FFFFFFFF"/>
      <sz val="11"/>
    </font>
  </fonts>
  <fills count="16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163B5C"/>
        <bgColor rgb="FF163B5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FF6B6B"/>
        <bgColor rgb="FFFF6B6B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000000"/>
        <bgColor rgb="FF000000"/>
      </patternFill>
    </fill>
    <fill>
      <patternFill patternType="solid">
        <fgColor rgb="FFEAF4FB"/>
        <bgColor rgb="FFEAF4FB"/>
      </patternFill>
    </fill>
    <fill>
      <patternFill patternType="solid">
        <fgColor rgb="FFC55A11"/>
        <bgColor rgb="FFC55A11"/>
      </patternFill>
    </fill>
    <fill>
      <patternFill patternType="solid">
        <fgColor rgb="FF595959"/>
        <bgColor rgb="FF595959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bottom"/>
    </xf>
    <xf numFmtId="0" fontId="4" fillId="0" borderId="2" pivotButton="0" quotePrefix="0" xfId="0"/>
    <xf numFmtId="0" fontId="4" fillId="0" borderId="3" pivotButton="0" quotePrefix="0" xfId="0"/>
    <xf numFmtId="0" fontId="5" fillId="2" borderId="4" applyAlignment="1" pivotButton="0" quotePrefix="0" xfId="0">
      <alignment horizontal="right" vertical="center"/>
    </xf>
    <xf numFmtId="0" fontId="6" fillId="3" borderId="5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5" fillId="10" borderId="6" applyAlignment="1" pivotButton="0" quotePrefix="0" xfId="0">
      <alignment horizontal="center" vertical="center"/>
    </xf>
    <xf numFmtId="0" fontId="4" fillId="0" borderId="7" pivotButton="0" quotePrefix="0" xfId="0"/>
    <xf numFmtId="0" fontId="7" fillId="10" borderId="5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10" fontId="8" fillId="11" borderId="6" applyAlignment="1" pivotButton="0" quotePrefix="0" xfId="0">
      <alignment horizontal="center" vertical="center"/>
    </xf>
    <xf numFmtId="0" fontId="4" fillId="0" borderId="8" pivotButton="0" quotePrefix="0" xfId="0"/>
    <xf numFmtId="0" fontId="9" fillId="4" borderId="6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164" fontId="11" fillId="0" borderId="6" applyAlignment="1" pivotButton="0" quotePrefix="0" xfId="0">
      <alignment horizontal="center" vertical="center"/>
    </xf>
    <xf numFmtId="0" fontId="5" fillId="12" borderId="9" applyAlignment="1" pivotButton="0" quotePrefix="0" xfId="0">
      <alignment horizontal="center" vertical="center"/>
    </xf>
    <xf numFmtId="0" fontId="5" fillId="13" borderId="9" applyAlignment="1" pivotButton="0" quotePrefix="0" xfId="0">
      <alignment horizontal="center" vertical="center"/>
    </xf>
    <xf numFmtId="165" fontId="1" fillId="14" borderId="9" applyAlignment="1" pivotButton="0" quotePrefix="0" xfId="0">
      <alignment vertical="center"/>
    </xf>
    <xf numFmtId="49" fontId="1" fillId="14" borderId="9" applyAlignment="1" pivotButton="0" quotePrefix="0" xfId="0">
      <alignment horizontal="left" vertical="center"/>
    </xf>
    <xf numFmtId="166" fontId="1" fillId="14" borderId="9" applyAlignment="1" pivotButton="0" quotePrefix="0" xfId="0">
      <alignment vertical="center"/>
    </xf>
    <xf numFmtId="0" fontId="1" fillId="14" borderId="9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166" fontId="1" fillId="0" borderId="9" applyAlignment="1" pivotButton="0" quotePrefix="0" xfId="0">
      <alignment horizontal="center" vertical="center"/>
    </xf>
    <xf numFmtId="2" fontId="1" fillId="0" borderId="9" applyAlignment="1" pivotButton="0" quotePrefix="0" xfId="0">
      <alignment horizontal="center" vertical="center"/>
    </xf>
    <xf numFmtId="165" fontId="1" fillId="0" borderId="9" applyAlignment="1" pivotButton="0" quotePrefix="0" xfId="0">
      <alignment vertical="center"/>
    </xf>
    <xf numFmtId="49" fontId="1" fillId="0" borderId="9" applyAlignment="1" pivotButton="0" quotePrefix="0" xfId="0">
      <alignment horizontal="left" vertical="center"/>
    </xf>
    <xf numFmtId="0" fontId="1" fillId="0" borderId="9" applyAlignment="1" pivotButton="0" quotePrefix="0" xfId="0">
      <alignment vertical="center"/>
    </xf>
    <xf numFmtId="0" fontId="1" fillId="0" borderId="9" applyAlignment="1" pivotButton="0" quotePrefix="0" xfId="0">
      <alignment vertical="bottom"/>
    </xf>
    <xf numFmtId="0" fontId="5" fillId="2" borderId="9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49" fontId="1" fillId="0" borderId="9" applyAlignment="1" pivotButton="0" quotePrefix="0" xfId="0">
      <alignment horizontal="center"/>
    </xf>
    <xf numFmtId="0" fontId="1" fillId="0" borderId="9" pivotButton="0" quotePrefix="0" xfId="0"/>
    <xf numFmtId="0" fontId="1" fillId="0" borderId="9" applyAlignment="1" pivotButton="0" quotePrefix="0" xfId="0">
      <alignment horizontal="center"/>
    </xf>
    <xf numFmtId="166" fontId="1" fillId="0" borderId="9" applyAlignment="1" pivotButton="0" quotePrefix="0" xfId="0">
      <alignment horizontal="center"/>
    </xf>
    <xf numFmtId="1" fontId="1" fillId="0" borderId="9" applyAlignment="1" pivotButton="0" quotePrefix="0" xfId="0">
      <alignment vertical="bottom"/>
    </xf>
    <xf numFmtId="0" fontId="1" fillId="0" borderId="9" pivotButton="0" quotePrefix="0" xfId="0"/>
    <xf numFmtId="166" fontId="1" fillId="0" borderId="9" applyAlignment="1" pivotButton="0" quotePrefix="0" xfId="0">
      <alignment horizontal="center" vertical="center"/>
    </xf>
    <xf numFmtId="166" fontId="1" fillId="0" borderId="9" applyAlignment="1" pivotButton="0" quotePrefix="0" xfId="0">
      <alignment horizontal="center"/>
    </xf>
    <xf numFmtId="49" fontId="1" fillId="0" borderId="9" applyAlignment="1" pivotButton="0" quotePrefix="0" xfId="0">
      <alignment vertical="bottom"/>
    </xf>
    <xf numFmtId="0" fontId="12" fillId="4" borderId="10" applyAlignment="1" pivotButton="0" quotePrefix="0" xfId="0">
      <alignment horizontal="center" vertical="center" wrapText="1"/>
    </xf>
    <xf numFmtId="165" fontId="1" fillId="0" borderId="10" applyAlignment="1" pivotButton="0" quotePrefix="0" xfId="0">
      <alignment vertical="bottom"/>
    </xf>
    <xf numFmtId="0" fontId="1" fillId="0" borderId="10" applyAlignment="1" pivotButton="0" quotePrefix="0" xfId="0">
      <alignment vertical="bottom"/>
    </xf>
    <xf numFmtId="0" fontId="0" fillId="0" borderId="0" pivotButton="0" quotePrefix="0" xfId="0"/>
    <xf numFmtId="0" fontId="1" fillId="2" borderId="4" applyAlignment="1" pivotButton="0" quotePrefix="0" xfId="0">
      <alignment vertical="bottom"/>
    </xf>
    <xf numFmtId="0" fontId="5" fillId="2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0" fillId="0" borderId="7" pivotButton="0" quotePrefix="0" xfId="0"/>
    <xf numFmtId="10" fontId="8" fillId="11" borderId="5" applyAlignment="1" pivotButton="0" quotePrefix="0" xfId="0">
      <alignment horizontal="center" vertical="center"/>
    </xf>
    <xf numFmtId="0" fontId="0" fillId="0" borderId="8" pivotButton="0" quotePrefix="0" xfId="0"/>
    <xf numFmtId="0" fontId="9" fillId="4" borderId="5" applyAlignment="1" pivotButton="0" quotePrefix="0" xfId="0">
      <alignment horizontal="center" vertical="center"/>
    </xf>
    <xf numFmtId="164" fontId="11" fillId="0" borderId="5" applyAlignment="1" pivotButton="0" quotePrefix="0" xfId="0">
      <alignment horizontal="center" vertical="center"/>
    </xf>
    <xf numFmtId="0" fontId="13" fillId="15" borderId="13" applyAlignment="1" pivotButton="0" quotePrefix="0" xfId="0">
      <alignment horizontal="center" vertical="center"/>
    </xf>
  </cellXfs>
  <cellStyles count="1">
    <cellStyle name="Normal" xfId="0" builtinId="0"/>
  </cellStyles>
  <dxfs count="11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E6B8B7"/>
          <bgColor rgb="FFE6B8B7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>
        <b val="1"/>
        <color rgb="FF000000"/>
      </font>
      <fill>
        <patternFill patternType="solid">
          <fgColor rgb="FF92D050"/>
          <bgColor rgb="FF92D050"/>
        </patternFill>
      </fill>
      <border/>
    </dxf>
    <dxf>
      <font>
        <b val="1"/>
        <color rgb="FF000000"/>
      </font>
      <fill>
        <patternFill patternType="solid">
          <fgColor rgb="FFFFD966"/>
          <bgColor rgb="FFFFD966"/>
        </patternFill>
      </fill>
      <border/>
    </dxf>
    <dxf>
      <font>
        <b val="1"/>
        <color rgb="FF000000"/>
      </font>
      <fill>
        <patternFill patternType="solid">
          <fgColor rgb="FFFF6B6B"/>
          <bgColor rgb="FFFF6B6B"/>
        </patternFill>
      </fill>
      <border/>
    </dxf>
    <dxf>
      <font>
        <b val="1"/>
        <color rgb="FFFFFFFF"/>
      </font>
      <fill>
        <patternFill patternType="solid">
          <fgColor rgb="FFC00000"/>
          <bgColor rgb="FFC00000"/>
        </patternFill>
      </fill>
      <border/>
    </dxf>
    <dxf>
      <font>
        <b val="1"/>
        <color rgb="FFFFFFFF"/>
      </font>
      <fill>
        <patternFill patternType="solid">
          <fgColor rgb="FF808080"/>
          <bgColor rgb="FF808080"/>
        </patternFill>
      </fill>
      <border/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worksheet" Target="/xl/worksheets/sheet7.xml" Id="rId9" /><Relationship Type="http://schemas.openxmlformats.org/officeDocument/2006/relationships/worksheet" Target="/xl/worksheets/sheet8.xml" Id="rId10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Distribución mensual - ALEJANDRO TORRES LUNA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2D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808080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'ALEJANDRO TORRES LUNA'!$D$7:$H$7</f>
            </strRef>
          </cat>
          <val>
            <numRef>
              <f>'ALEJANDRO TORRES LUNA'!$D$20:$H$20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Distribución mensual - CAMILA RIVERA NAVA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2D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808080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'CAMILA RIVERA NAVA'!$D$7:$H$7</f>
            </strRef>
          </cat>
          <val>
            <numRef>
              <f>'CAMILA RIVERA NAVA'!$D$20:$H$20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Distribución mensual - MATEO HERRERA SOLIS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92D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2"/>
            <spPr>
              <a:solidFill>
                <a:srgbClr val="FF6B6B"/>
              </a:solidFill>
              <a:ln>
                <a:prstDash val="solid"/>
              </a:ln>
            </spPr>
          </dPt>
          <dPt>
            <idx val="3"/>
            <spPr>
              <a:solidFill>
                <a:srgbClr val="C00000"/>
              </a:solidFill>
              <a:ln>
                <a:prstDash val="solid"/>
              </a:ln>
            </spPr>
          </dPt>
          <dPt>
            <idx val="4"/>
            <spPr>
              <a:solidFill>
                <a:srgbClr val="808080"/>
              </a:solidFill>
              <a:ln>
                <a:prstDash val="solid"/>
              </a:ln>
            </spPr>
          </dPt>
          <dLbls>
            <dLbl>
              <idx val="0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1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2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3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dLbl>
              <idx val="4"/>
              <txPr>
                <a:bodyPr/>
                <a:lstStyle/>
                <a:p>
                  <a:pPr lvl="0">
                    <a:defRPr sz="1000" b="0" i="0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showLegendKey val="0"/>
              <showVal val="0"/>
              <showCatName val="0"/>
              <showSerName val="0"/>
              <showPercent val="1"/>
              <showBubbleSize val="0"/>
            </dLbl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'MATEO HERRERA SOLIS'!$D$7:$H$7</f>
            </strRef>
          </cat>
          <val>
            <numRef>
              <f>'MATEO HERRERA SOLIS'!$D$20:$H$20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" authorId="0" shapeId="0">
      <text>
        <t>======
ID#AAAB8szcFG8
Unknown Author    (2026-06-04 16:44:55)
Límite de entrada para VERDE en lunes a viernes. La fórmula de REGISTRO compara ENTRADA contra esta hora.</t>
      </text>
    </comment>
    <comment ref="E1" authorId="0" shapeId="0">
      <text>
        <t>======
ID#AAAB8szcFGw
Unknown Author    (2026-06-04 16:44:55)
Límite de tolerancia para AMARILLO en lunes a viernes. Si ENTRADA supera este límite, se clasifica como ROJO.</t>
      </text>
    </comment>
    <comment ref="G1" authorId="0" shapeId="0">
      <text>
        <t>======
ID#AAAB8szcFG0
Unknown Author    (2026-06-04 16:44:55)
Límite de entrada para VERDE en sábado/domingo.</t>
      </text>
    </comment>
    <comment ref="H1" authorId="0" shapeId="0">
      <text>
        <t>======
ID#AAAB8szcFG4
Unknown Author    (2026-06-04 16:44:55)
Límite de tolerancia para AMARILLO en sábado/domingo. Si ENTRADA supera este límite, se clasifica como ROJO.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45770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45770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457700" cy="304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58" min="1" max="1"/>
    <col width="11" customWidth="1" style="58" min="2" max="2"/>
    <col width="28" customWidth="1" style="58" min="3" max="3"/>
    <col width="9" customWidth="1" style="58" min="4" max="4"/>
    <col width="11" customWidth="1" style="58" min="5" max="5"/>
    <col width="8" customWidth="1" style="58" min="6" max="6"/>
    <col width="12" customWidth="1" style="58" min="7" max="7"/>
    <col width="8" customWidth="1" style="58" min="8" max="8"/>
    <col width="11" customWidth="1" style="58" min="9" max="26"/>
    <col width="9" customWidth="1" style="58" min="10" max="10"/>
    <col width="12" customWidth="1" style="58" min="11" max="11"/>
    <col width="9" customWidth="1" style="58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 s="58">
      <c r="A2" s="1" t="n"/>
      <c r="B2" s="2" t="inlineStr">
        <is>
          <t>SUPERVISOR</t>
        </is>
      </c>
      <c r="I2" s="1" t="n"/>
    </row>
    <row r="3" ht="21.75" customHeight="1" s="58">
      <c r="A3" s="1" t="n"/>
      <c r="B3" s="3" t="inlineStr">
        <is>
          <t>ALEJANDRO TORRES LUNA</t>
        </is>
      </c>
      <c r="I3" s="1" t="n"/>
    </row>
    <row r="4" ht="15" customHeight="1" s="58">
      <c r="A4" s="1" t="n"/>
      <c r="B4" s="59" t="n"/>
      <c r="I4" s="1" t="n"/>
    </row>
    <row r="5" ht="15" customHeight="1" s="58">
      <c r="A5" s="1" t="n"/>
      <c r="B5" s="7" t="inlineStr">
        <is>
          <t>PERIODO</t>
        </is>
      </c>
      <c r="C5" s="8" t="inlineStr">
        <is>
          <t>JUNIO</t>
        </is>
      </c>
      <c r="D5" s="60" t="inlineStr">
        <is>
          <t>AÑO 2026</t>
        </is>
      </c>
      <c r="I5" s="1" t="n"/>
    </row>
    <row r="6" ht="15" customHeight="1" s="58">
      <c r="A6" s="1" t="n"/>
      <c r="B6" s="61" t="inlineStr">
        <is>
          <t>ASESORES</t>
        </is>
      </c>
      <c r="I6" s="1" t="n"/>
    </row>
    <row r="7" ht="15" customHeight="1" s="58">
      <c r="A7" s="1" t="n"/>
      <c r="B7" s="11" t="inlineStr">
        <is>
          <t>No. EMP</t>
        </is>
      </c>
      <c r="C7" s="11" t="inlineStr">
        <is>
          <t>NOMBRE</t>
        </is>
      </c>
      <c r="D7" s="12" t="inlineStr">
        <is>
          <t>VERDE</t>
        </is>
      </c>
      <c r="E7" s="13" t="inlineStr">
        <is>
          <t>AMARILLO</t>
        </is>
      </c>
      <c r="F7" s="14" t="inlineStr">
        <is>
          <t>ROJO</t>
        </is>
      </c>
      <c r="G7" s="15" t="inlineStr">
        <is>
          <t>ROJO FUERTE</t>
        </is>
      </c>
      <c r="H7" s="16" t="inlineStr">
        <is>
          <t>FALTA</t>
        </is>
      </c>
      <c r="I7" s="68" t="inlineStr">
        <is>
          <t>VACACIONES</t>
        </is>
      </c>
      <c r="J7" s="68" t="inlineStr">
        <is>
          <t>FESTIVO</t>
        </is>
      </c>
      <c r="K7" s="68" t="inlineStr">
        <is>
          <t>INCAPACIDAD</t>
        </is>
      </c>
      <c r="L7" s="68" t="inlineStr">
        <is>
          <t>PERMISO</t>
        </is>
      </c>
      <c r="M7" s="68" t="inlineStr">
        <is>
          <t>DESCANSO</t>
        </is>
      </c>
      <c r="N7" s="68" t="inlineStr">
        <is>
          <t>DESCANSO POR DINAMICA</t>
        </is>
      </c>
      <c r="O7" s="68" t="inlineStr">
        <is>
          <t>DINAMICA</t>
        </is>
      </c>
    </row>
    <row r="8" ht="15" customHeight="1" s="58">
      <c r="A8" s="1" t="n"/>
      <c r="B8" s="17">
        <f t="array" ref="B8">IFERROR(INDEX(PERSONAL!$A:$A,MATCH($B$3&amp;"|"&amp;1,PERSONAL!$N:$N,0)),"")</f>
        <v/>
      </c>
      <c r="C8" s="18">
        <f t="array" ref="C8">IFERROR(INDEX(PERSONAL!$B:$B,MATCH($B$3&amp;"|"&amp;1,PERSONAL!$N:$N,0)),"")</f>
        <v/>
      </c>
      <c r="D8" s="17">
        <f>IF($B8="","",COUNTIFS(REGISTRO!$B$2:$B$1722,$B8,REGISTRO!$H$2:$H$1722,$C$5,REGISTRO!$J$2:$J$1722,"VERDE"))</f>
        <v/>
      </c>
      <c r="E8" s="17">
        <f>IF($B8="","",COUNTIFS(REGISTRO!$B$2:$B$1722,$B8,REGISTRO!$H$2:$H$1722,$C$5,REGISTRO!$J$2:$J$1722,"AMARILLO"))</f>
        <v/>
      </c>
      <c r="F8" s="17">
        <f>IF($B8="","",COUNTIFS(REGISTRO!$B$2:$B$1722,$B8,REGISTRO!$H$2:$H$1722,$C$5,REGISTRO!$J$2:$J$1722,"ROJO"))</f>
        <v/>
      </c>
      <c r="G8" s="17">
        <f>IF($B8="","",COUNTIFS(REGISTRO!$B$2:$B$1722,$B8,REGISTRO!$H$2:$H$1722,$C$5,REGISTRO!$J$2:$J$1722,"ROJO FUERTE"))</f>
        <v/>
      </c>
      <c r="H8" s="17">
        <f>IF($B8="","",COUNTIFS(REGISTRO!$B$2:$B$1722,$B8,REGISTRO!$H$2:$H$1722,$C$5,REGISTRO!$J$2:$J$1722,"FALTA"))</f>
        <v/>
      </c>
      <c r="I8" s="17">
        <f>IF($B8="","",COUNTIFS(REGISTRO!$B$2:$B$1722,$B8,REGISTRO!$H$2:$H$1722,$C$5,REGISTRO!$J$2:$J$1722,"VACACIONES"))</f>
        <v/>
      </c>
      <c r="J8" s="17">
        <f>IF($B8="","",COUNTIFS(REGISTRO!$B$2:$B$1722,$B8,REGISTRO!$H$2:$H$1722,$C$5,REGISTRO!$J$2:$J$1722,"FESTIVO"))</f>
        <v/>
      </c>
      <c r="K8" s="17">
        <f>IF($B8="","",COUNTIFS(REGISTRO!$B$2:$B$1722,$B8,REGISTRO!$H$2:$H$1722,$C$5,REGISTRO!$J$2:$J$1722,"INCAPACIDAD"))</f>
        <v/>
      </c>
      <c r="L8" s="17">
        <f>IF($B8="","",COUNTIFS(REGISTRO!$B$2:$B$1722,$B8,REGISTRO!$H$2:$H$1722,$C$5,REGISTRO!$J$2:$J$1722,"PERMISO"))</f>
        <v/>
      </c>
      <c r="M8" s="17">
        <f>IF($B8="","",COUNTIFS(REGISTRO!$B$2:$B$1722,$B8,REGISTRO!$H$2:$H$1722,$C$5,REGISTRO!$J$2:$J$1722,"DESCANSO"))</f>
        <v/>
      </c>
      <c r="N8" s="17">
        <f>IF($B8="","",COUNTIFS(REGISTRO!$B$2:$B$1722,$B8,REGISTRO!$H$2:$H$1722,$C$5,REGISTRO!$J$2:$J$1722,"DESCANSO POR DINAMICA"))</f>
        <v/>
      </c>
      <c r="O8" s="17">
        <f>IF($B8="","",COUNTIFS(REGISTRO!$B$2:$B$1722,$B8,REGISTRO!$H$2:$H$1722,$C$5,REGISTRO!$J$2:$J$1722,"DINAMICA"))</f>
        <v/>
      </c>
    </row>
    <row r="9" ht="15" customHeight="1" s="58">
      <c r="A9" s="1" t="n"/>
      <c r="B9" s="17">
        <f t="array" ref="B9">IFERROR(INDEX(PERSONAL!$A:$A,MATCH($B$3&amp;"|"&amp;2,PERSONAL!$N:$N,0)),"")</f>
        <v/>
      </c>
      <c r="C9" s="18">
        <f t="array" ref="C9">IFERROR(INDEX(PERSONAL!$B:$B,MATCH($B$3&amp;"|"&amp;2,PERSONAL!$N:$N,0)),"")</f>
        <v/>
      </c>
      <c r="D9" s="17">
        <f>IF($B9="","",COUNTIFS(REGISTRO!$B$2:$B$1722,$B9,REGISTRO!$H$2:$H$1722,$C$5,REGISTRO!$J$2:$J$1722,"VERDE"))</f>
        <v/>
      </c>
      <c r="E9" s="17">
        <f>IF($B9="","",COUNTIFS(REGISTRO!$B$2:$B$1722,$B9,REGISTRO!$H$2:$H$1722,$C$5,REGISTRO!$J$2:$J$1722,"AMARILLO"))</f>
        <v/>
      </c>
      <c r="F9" s="17">
        <f>IF($B9="","",COUNTIFS(REGISTRO!$B$2:$B$1722,$B9,REGISTRO!$H$2:$H$1722,$C$5,REGISTRO!$J$2:$J$1722,"ROJO"))</f>
        <v/>
      </c>
      <c r="G9" s="17">
        <f>IF($B9="","",COUNTIFS(REGISTRO!$B$2:$B$1722,$B9,REGISTRO!$H$2:$H$1722,$C$5,REGISTRO!$J$2:$J$1722,"ROJO FUERTE"))</f>
        <v/>
      </c>
      <c r="H9" s="17">
        <f>IF($B9="","",COUNTIFS(REGISTRO!$B$2:$B$1722,$B9,REGISTRO!$H$2:$H$1722,$C$5,REGISTRO!$J$2:$J$1722,"FALTA"))</f>
        <v/>
      </c>
      <c r="I9" s="17">
        <f>IF($B9="","",COUNTIFS(REGISTRO!$B$2:$B$1722,$B9,REGISTRO!$H$2:$H$1722,$C$5,REGISTRO!$J$2:$J$1722,"VACACIONES"))</f>
        <v/>
      </c>
      <c r="J9" s="17">
        <f>IF($B9="","",COUNTIFS(REGISTRO!$B$2:$B$1722,$B9,REGISTRO!$H$2:$H$1722,$C$5,REGISTRO!$J$2:$J$1722,"FESTIVO"))</f>
        <v/>
      </c>
      <c r="K9" s="17">
        <f>IF($B9="","",COUNTIFS(REGISTRO!$B$2:$B$1722,$B9,REGISTRO!$H$2:$H$1722,$C$5,REGISTRO!$J$2:$J$1722,"INCAPACIDAD"))</f>
        <v/>
      </c>
      <c r="L9" s="17">
        <f>IF($B9="","",COUNTIFS(REGISTRO!$B$2:$B$1722,$B9,REGISTRO!$H$2:$H$1722,$C$5,REGISTRO!$J$2:$J$1722,"PERMISO"))</f>
        <v/>
      </c>
      <c r="M9" s="17">
        <f>IF($B9="","",COUNTIFS(REGISTRO!$B$2:$B$1722,$B9,REGISTRO!$H$2:$H$1722,$C$5,REGISTRO!$J$2:$J$1722,"DESCANSO"))</f>
        <v/>
      </c>
      <c r="N9" s="17">
        <f>IF($B9="","",COUNTIFS(REGISTRO!$B$2:$B$1722,$B9,REGISTRO!$H$2:$H$1722,$C$5,REGISTRO!$J$2:$J$1722,"DESCANSO POR DINAMICA"))</f>
        <v/>
      </c>
      <c r="O9" s="17">
        <f>IF($B9="","",COUNTIFS(REGISTRO!$B$2:$B$1722,$B9,REGISTRO!$H$2:$H$1722,$C$5,REGISTRO!$J$2:$J$1722,"DINAMICA"))</f>
        <v/>
      </c>
    </row>
    <row r="10" ht="15" customHeight="1" s="58">
      <c r="A10" s="1" t="n"/>
      <c r="B10" s="17">
        <f t="array" ref="B10">IFERROR(INDEX(PERSONAL!$A:$A,MATCH($B$3&amp;"|"&amp;3,PERSONAL!$N:$N,0)),"")</f>
        <v/>
      </c>
      <c r="C10" s="18">
        <f t="array" ref="C10">IFERROR(INDEX(PERSONAL!$B:$B,MATCH($B$3&amp;"|"&amp;3,PERSONAL!$N:$N,0)),"")</f>
        <v/>
      </c>
      <c r="D10" s="17">
        <f>IF($B10="","",COUNTIFS(REGISTRO!$B$2:$B$1722,$B10,REGISTRO!$H$2:$H$1722,$C$5,REGISTRO!$J$2:$J$1722,"VERDE"))</f>
        <v/>
      </c>
      <c r="E10" s="17">
        <f>IF($B10="","",COUNTIFS(REGISTRO!$B$2:$B$1722,$B10,REGISTRO!$H$2:$H$1722,$C$5,REGISTRO!$J$2:$J$1722,"AMARILLO"))</f>
        <v/>
      </c>
      <c r="F10" s="17">
        <f>IF($B10="","",COUNTIFS(REGISTRO!$B$2:$B$1722,$B10,REGISTRO!$H$2:$H$1722,$C$5,REGISTRO!$J$2:$J$1722,"ROJO"))</f>
        <v/>
      </c>
      <c r="G10" s="17">
        <f>IF($B10="","",COUNTIFS(REGISTRO!$B$2:$B$1722,$B10,REGISTRO!$H$2:$H$1722,$C$5,REGISTRO!$J$2:$J$1722,"ROJO FUERTE"))</f>
        <v/>
      </c>
      <c r="H10" s="17">
        <f>IF($B10="","",COUNTIFS(REGISTRO!$B$2:$B$1722,$B10,REGISTRO!$H$2:$H$1722,$C$5,REGISTRO!$J$2:$J$1722,"FALTA"))</f>
        <v/>
      </c>
      <c r="I10" s="17">
        <f>IF($B10="","",COUNTIFS(REGISTRO!$B$2:$B$1722,$B10,REGISTRO!$H$2:$H$1722,$C$5,REGISTRO!$J$2:$J$1722,"VACACIONES"))</f>
        <v/>
      </c>
      <c r="J10" s="17">
        <f>IF($B10="","",COUNTIFS(REGISTRO!$B$2:$B$1722,$B10,REGISTRO!$H$2:$H$1722,$C$5,REGISTRO!$J$2:$J$1722,"FESTIVO"))</f>
        <v/>
      </c>
      <c r="K10" s="17">
        <f>IF($B10="","",COUNTIFS(REGISTRO!$B$2:$B$1722,$B10,REGISTRO!$H$2:$H$1722,$C$5,REGISTRO!$J$2:$J$1722,"INCAPACIDAD"))</f>
        <v/>
      </c>
      <c r="L10" s="17">
        <f>IF($B10="","",COUNTIFS(REGISTRO!$B$2:$B$1722,$B10,REGISTRO!$H$2:$H$1722,$C$5,REGISTRO!$J$2:$J$1722,"PERMISO"))</f>
        <v/>
      </c>
      <c r="M10" s="17">
        <f>IF($B10="","",COUNTIFS(REGISTRO!$B$2:$B$1722,$B10,REGISTRO!$H$2:$H$1722,$C$5,REGISTRO!$J$2:$J$1722,"DESCANSO"))</f>
        <v/>
      </c>
      <c r="N10" s="17">
        <f>IF($B10="","",COUNTIFS(REGISTRO!$B$2:$B$1722,$B10,REGISTRO!$H$2:$H$1722,$C$5,REGISTRO!$J$2:$J$1722,"DESCANSO POR DINAMICA"))</f>
        <v/>
      </c>
      <c r="O10" s="17">
        <f>IF($B10="","",COUNTIFS(REGISTRO!$B$2:$B$1722,$B10,REGISTRO!$H$2:$H$1722,$C$5,REGISTRO!$J$2:$J$1722,"DINAMICA"))</f>
        <v/>
      </c>
    </row>
    <row r="11" ht="15" customHeight="1" s="58">
      <c r="A11" s="1" t="n"/>
      <c r="B11" s="17">
        <f t="array" ref="B11">IFERROR(INDEX(PERSONAL!$A:$A,MATCH($B$3&amp;"|"&amp;4,PERSONAL!$N:$N,0)),"")</f>
        <v/>
      </c>
      <c r="C11" s="18">
        <f t="array" ref="C11">IFERROR(INDEX(PERSONAL!$B:$B,MATCH($B$3&amp;"|"&amp;4,PERSONAL!$N:$N,0)),"")</f>
        <v/>
      </c>
      <c r="D11" s="17">
        <f>IF($B11="","",COUNTIFS(REGISTRO!$B$2:$B$1722,$B11,REGISTRO!$H$2:$H$1722,$C$5,REGISTRO!$J$2:$J$1722,"VERDE"))</f>
        <v/>
      </c>
      <c r="E11" s="17">
        <f>IF($B11="","",COUNTIFS(REGISTRO!$B$2:$B$1722,$B11,REGISTRO!$H$2:$H$1722,$C$5,REGISTRO!$J$2:$J$1722,"AMARILLO"))</f>
        <v/>
      </c>
      <c r="F11" s="17">
        <f>IF($B11="","",COUNTIFS(REGISTRO!$B$2:$B$1722,$B11,REGISTRO!$H$2:$H$1722,$C$5,REGISTRO!$J$2:$J$1722,"ROJO"))</f>
        <v/>
      </c>
      <c r="G11" s="17">
        <f>IF($B11="","",COUNTIFS(REGISTRO!$B$2:$B$1722,$B11,REGISTRO!$H$2:$H$1722,$C$5,REGISTRO!$J$2:$J$1722,"ROJO FUERTE"))</f>
        <v/>
      </c>
      <c r="H11" s="17">
        <f>IF($B11="","",COUNTIFS(REGISTRO!$B$2:$B$1722,$B11,REGISTRO!$H$2:$H$1722,$C$5,REGISTRO!$J$2:$J$1722,"FALTA"))</f>
        <v/>
      </c>
      <c r="I11" s="17">
        <f>IF($B11="","",COUNTIFS(REGISTRO!$B$2:$B$1722,$B11,REGISTRO!$H$2:$H$1722,$C$5,REGISTRO!$J$2:$J$1722,"VACACIONES"))</f>
        <v/>
      </c>
      <c r="J11" s="17">
        <f>IF($B11="","",COUNTIFS(REGISTRO!$B$2:$B$1722,$B11,REGISTRO!$H$2:$H$1722,$C$5,REGISTRO!$J$2:$J$1722,"FESTIVO"))</f>
        <v/>
      </c>
      <c r="K11" s="17">
        <f>IF($B11="","",COUNTIFS(REGISTRO!$B$2:$B$1722,$B11,REGISTRO!$H$2:$H$1722,$C$5,REGISTRO!$J$2:$J$1722,"INCAPACIDAD"))</f>
        <v/>
      </c>
      <c r="L11" s="17">
        <f>IF($B11="","",COUNTIFS(REGISTRO!$B$2:$B$1722,$B11,REGISTRO!$H$2:$H$1722,$C$5,REGISTRO!$J$2:$J$1722,"PERMISO"))</f>
        <v/>
      </c>
      <c r="M11" s="17">
        <f>IF($B11="","",COUNTIFS(REGISTRO!$B$2:$B$1722,$B11,REGISTRO!$H$2:$H$1722,$C$5,REGISTRO!$J$2:$J$1722,"DESCANSO"))</f>
        <v/>
      </c>
      <c r="N11" s="17">
        <f>IF($B11="","",COUNTIFS(REGISTRO!$B$2:$B$1722,$B11,REGISTRO!$H$2:$H$1722,$C$5,REGISTRO!$J$2:$J$1722,"DESCANSO POR DINAMICA"))</f>
        <v/>
      </c>
      <c r="O11" s="17">
        <f>IF($B11="","",COUNTIFS(REGISTRO!$B$2:$B$1722,$B11,REGISTRO!$H$2:$H$1722,$C$5,REGISTRO!$J$2:$J$1722,"DINAMICA"))</f>
        <v/>
      </c>
    </row>
    <row r="12" ht="15" customHeight="1" s="58">
      <c r="A12" s="1" t="n"/>
      <c r="B12" s="17">
        <f t="array" ref="B12">IFERROR(INDEX(PERSONAL!$A:$A,MATCH($B$3&amp;"|"&amp;5,PERSONAL!$N:$N,0)),"")</f>
        <v/>
      </c>
      <c r="C12" s="18">
        <f t="array" ref="C12">IFERROR(INDEX(PERSONAL!$B:$B,MATCH($B$3&amp;"|"&amp;5,PERSONAL!$N:$N,0)),"")</f>
        <v/>
      </c>
      <c r="D12" s="17">
        <f>IF($B12="","",COUNTIFS(REGISTRO!$B$2:$B$1722,$B12,REGISTRO!$H$2:$H$1722,$C$5,REGISTRO!$J$2:$J$1722,"VERDE"))</f>
        <v/>
      </c>
      <c r="E12" s="17">
        <f>IF($B12="","",COUNTIFS(REGISTRO!$B$2:$B$1722,$B12,REGISTRO!$H$2:$H$1722,$C$5,REGISTRO!$J$2:$J$1722,"AMARILLO"))</f>
        <v/>
      </c>
      <c r="F12" s="17">
        <f>IF($B12="","",COUNTIFS(REGISTRO!$B$2:$B$1722,$B12,REGISTRO!$H$2:$H$1722,$C$5,REGISTRO!$J$2:$J$1722,"ROJO"))</f>
        <v/>
      </c>
      <c r="G12" s="17">
        <f>IF($B12="","",COUNTIFS(REGISTRO!$B$2:$B$1722,$B12,REGISTRO!$H$2:$H$1722,$C$5,REGISTRO!$J$2:$J$1722,"ROJO FUERTE"))</f>
        <v/>
      </c>
      <c r="H12" s="17">
        <f>IF($B12="","",COUNTIFS(REGISTRO!$B$2:$B$1722,$B12,REGISTRO!$H$2:$H$1722,$C$5,REGISTRO!$J$2:$J$1722,"FALTA"))</f>
        <v/>
      </c>
      <c r="I12" s="17">
        <f>IF($B12="","",COUNTIFS(REGISTRO!$B$2:$B$1722,$B12,REGISTRO!$H$2:$H$1722,$C$5,REGISTRO!$J$2:$J$1722,"VACACIONES"))</f>
        <v/>
      </c>
      <c r="J12" s="17">
        <f>IF($B12="","",COUNTIFS(REGISTRO!$B$2:$B$1722,$B12,REGISTRO!$H$2:$H$1722,$C$5,REGISTRO!$J$2:$J$1722,"FESTIVO"))</f>
        <v/>
      </c>
      <c r="K12" s="17">
        <f>IF($B12="","",COUNTIFS(REGISTRO!$B$2:$B$1722,$B12,REGISTRO!$H$2:$H$1722,$C$5,REGISTRO!$J$2:$J$1722,"INCAPACIDAD"))</f>
        <v/>
      </c>
      <c r="L12" s="17">
        <f>IF($B12="","",COUNTIFS(REGISTRO!$B$2:$B$1722,$B12,REGISTRO!$H$2:$H$1722,$C$5,REGISTRO!$J$2:$J$1722,"PERMISO"))</f>
        <v/>
      </c>
      <c r="M12" s="17">
        <f>IF($B12="","",COUNTIFS(REGISTRO!$B$2:$B$1722,$B12,REGISTRO!$H$2:$H$1722,$C$5,REGISTRO!$J$2:$J$1722,"DESCANSO"))</f>
        <v/>
      </c>
      <c r="N12" s="17">
        <f>IF($B12="","",COUNTIFS(REGISTRO!$B$2:$B$1722,$B12,REGISTRO!$H$2:$H$1722,$C$5,REGISTRO!$J$2:$J$1722,"DESCANSO POR DINAMICA"))</f>
        <v/>
      </c>
      <c r="O12" s="17">
        <f>IF($B12="","",COUNTIFS(REGISTRO!$B$2:$B$1722,$B12,REGISTRO!$H$2:$H$1722,$C$5,REGISTRO!$J$2:$J$1722,"DINAMICA"))</f>
        <v/>
      </c>
    </row>
    <row r="13" ht="15" customHeight="1" s="58">
      <c r="A13" s="1" t="n"/>
      <c r="B13" s="17">
        <f t="array" ref="B13">IFERROR(INDEX(PERSONAL!$A:$A,MATCH($B$3&amp;"|"&amp;6,PERSONAL!$N:$N,0)),"")</f>
        <v/>
      </c>
      <c r="C13" s="18">
        <f t="array" ref="C13">IFERROR(INDEX(PERSONAL!$B:$B,MATCH($B$3&amp;"|"&amp;6,PERSONAL!$N:$N,0)),"")</f>
        <v/>
      </c>
      <c r="D13" s="17">
        <f>IF($B13="","",COUNTIFS(REGISTRO!$B$2:$B$1722,$B13,REGISTRO!$H$2:$H$1722,$C$5,REGISTRO!$J$2:$J$1722,"VERDE"))</f>
        <v/>
      </c>
      <c r="E13" s="17">
        <f>IF($B13="","",COUNTIFS(REGISTRO!$B$2:$B$1722,$B13,REGISTRO!$H$2:$H$1722,$C$5,REGISTRO!$J$2:$J$1722,"AMARILLO"))</f>
        <v/>
      </c>
      <c r="F13" s="17">
        <f>IF($B13="","",COUNTIFS(REGISTRO!$B$2:$B$1722,$B13,REGISTRO!$H$2:$H$1722,$C$5,REGISTRO!$J$2:$J$1722,"ROJO"))</f>
        <v/>
      </c>
      <c r="G13" s="17">
        <f>IF($B13="","",COUNTIFS(REGISTRO!$B$2:$B$1722,$B13,REGISTRO!$H$2:$H$1722,$C$5,REGISTRO!$J$2:$J$1722,"ROJO FUERTE"))</f>
        <v/>
      </c>
      <c r="H13" s="17">
        <f>IF($B13="","",COUNTIFS(REGISTRO!$B$2:$B$1722,$B13,REGISTRO!$H$2:$H$1722,$C$5,REGISTRO!$J$2:$J$1722,"FALTA"))</f>
        <v/>
      </c>
      <c r="I13" s="17">
        <f>IF($B13="","",COUNTIFS(REGISTRO!$B$2:$B$1722,$B13,REGISTRO!$H$2:$H$1722,$C$5,REGISTRO!$J$2:$J$1722,"VACACIONES"))</f>
        <v/>
      </c>
      <c r="J13" s="17">
        <f>IF($B13="","",COUNTIFS(REGISTRO!$B$2:$B$1722,$B13,REGISTRO!$H$2:$H$1722,$C$5,REGISTRO!$J$2:$J$1722,"FESTIVO"))</f>
        <v/>
      </c>
      <c r="K13" s="17">
        <f>IF($B13="","",COUNTIFS(REGISTRO!$B$2:$B$1722,$B13,REGISTRO!$H$2:$H$1722,$C$5,REGISTRO!$J$2:$J$1722,"INCAPACIDAD"))</f>
        <v/>
      </c>
      <c r="L13" s="17">
        <f>IF($B13="","",COUNTIFS(REGISTRO!$B$2:$B$1722,$B13,REGISTRO!$H$2:$H$1722,$C$5,REGISTRO!$J$2:$J$1722,"PERMISO"))</f>
        <v/>
      </c>
      <c r="M13" s="17">
        <f>IF($B13="","",COUNTIFS(REGISTRO!$B$2:$B$1722,$B13,REGISTRO!$H$2:$H$1722,$C$5,REGISTRO!$J$2:$J$1722,"DESCANSO"))</f>
        <v/>
      </c>
      <c r="N13" s="17">
        <f>IF($B13="","",COUNTIFS(REGISTRO!$B$2:$B$1722,$B13,REGISTRO!$H$2:$H$1722,$C$5,REGISTRO!$J$2:$J$1722,"DESCANSO POR DINAMICA"))</f>
        <v/>
      </c>
      <c r="O13" s="17">
        <f>IF($B13="","",COUNTIFS(REGISTRO!$B$2:$B$1722,$B13,REGISTRO!$H$2:$H$1722,$C$5,REGISTRO!$J$2:$J$1722,"DINAMICA"))</f>
        <v/>
      </c>
    </row>
    <row r="14" ht="15" customHeight="1" s="58">
      <c r="A14" s="1" t="n"/>
      <c r="B14" s="17">
        <f t="array" ref="B14">IFERROR(INDEX(PERSONAL!$A:$A,MATCH($B$3&amp;"|"&amp;7,PERSONAL!$N:$N,0)),"")</f>
        <v/>
      </c>
      <c r="C14" s="18">
        <f t="array" ref="C14">IFERROR(INDEX(PERSONAL!$B:$B,MATCH($B$3&amp;"|"&amp;7,PERSONAL!$N:$N,0)),"")</f>
        <v/>
      </c>
      <c r="D14" s="17">
        <f>IF($B14="","",COUNTIFS(REGISTRO!$B$2:$B$1722,$B14,REGISTRO!$H$2:$H$1722,$C$5,REGISTRO!$J$2:$J$1722,"VERDE"))</f>
        <v/>
      </c>
      <c r="E14" s="17">
        <f>IF($B14="","",COUNTIFS(REGISTRO!$B$2:$B$1722,$B14,REGISTRO!$H$2:$H$1722,$C$5,REGISTRO!$J$2:$J$1722,"AMARILLO"))</f>
        <v/>
      </c>
      <c r="F14" s="17">
        <f>IF($B14="","",COUNTIFS(REGISTRO!$B$2:$B$1722,$B14,REGISTRO!$H$2:$H$1722,$C$5,REGISTRO!$J$2:$J$1722,"ROJO"))</f>
        <v/>
      </c>
      <c r="G14" s="17">
        <f>IF($B14="","",COUNTIFS(REGISTRO!$B$2:$B$1722,$B14,REGISTRO!$H$2:$H$1722,$C$5,REGISTRO!$J$2:$J$1722,"ROJO FUERTE"))</f>
        <v/>
      </c>
      <c r="H14" s="17">
        <f>IF($B14="","",COUNTIFS(REGISTRO!$B$2:$B$1722,$B14,REGISTRO!$H$2:$H$1722,$C$5,REGISTRO!$J$2:$J$1722,"FALTA"))</f>
        <v/>
      </c>
      <c r="I14" s="17">
        <f>IF($B14="","",COUNTIFS(REGISTRO!$B$2:$B$1722,$B14,REGISTRO!$H$2:$H$1722,$C$5,REGISTRO!$J$2:$J$1722,"VACACIONES"))</f>
        <v/>
      </c>
      <c r="J14" s="17">
        <f>IF($B14="","",COUNTIFS(REGISTRO!$B$2:$B$1722,$B14,REGISTRO!$H$2:$H$1722,$C$5,REGISTRO!$J$2:$J$1722,"FESTIVO"))</f>
        <v/>
      </c>
      <c r="K14" s="17">
        <f>IF($B14="","",COUNTIFS(REGISTRO!$B$2:$B$1722,$B14,REGISTRO!$H$2:$H$1722,$C$5,REGISTRO!$J$2:$J$1722,"INCAPACIDAD"))</f>
        <v/>
      </c>
      <c r="L14" s="17">
        <f>IF($B14="","",COUNTIFS(REGISTRO!$B$2:$B$1722,$B14,REGISTRO!$H$2:$H$1722,$C$5,REGISTRO!$J$2:$J$1722,"PERMISO"))</f>
        <v/>
      </c>
      <c r="M14" s="17">
        <f>IF($B14="","",COUNTIFS(REGISTRO!$B$2:$B$1722,$B14,REGISTRO!$H$2:$H$1722,$C$5,REGISTRO!$J$2:$J$1722,"DESCANSO"))</f>
        <v/>
      </c>
      <c r="N14" s="17">
        <f>IF($B14="","",COUNTIFS(REGISTRO!$B$2:$B$1722,$B14,REGISTRO!$H$2:$H$1722,$C$5,REGISTRO!$J$2:$J$1722,"DESCANSO POR DINAMICA"))</f>
        <v/>
      </c>
      <c r="O14" s="17">
        <f>IF($B14="","",COUNTIFS(REGISTRO!$B$2:$B$1722,$B14,REGISTRO!$H$2:$H$1722,$C$5,REGISTRO!$J$2:$J$1722,"DINAMICA"))</f>
        <v/>
      </c>
    </row>
    <row r="15" ht="15" customHeight="1" s="58">
      <c r="A15" s="1" t="n"/>
      <c r="B15" s="17">
        <f t="array" ref="B15">IFERROR(INDEX(PERSONAL!$A:$A,MATCH($B$3&amp;"|"&amp;8,PERSONAL!$N:$N,0)),"")</f>
        <v/>
      </c>
      <c r="C15" s="18">
        <f t="array" ref="C15">IFERROR(INDEX(PERSONAL!$B:$B,MATCH($B$3&amp;"|"&amp;8,PERSONAL!$N:$N,0)),"")</f>
        <v/>
      </c>
      <c r="D15" s="17">
        <f>IF($B15="","",COUNTIFS(REGISTRO!$B$2:$B$1722,$B15,REGISTRO!$H$2:$H$1722,$C$5,REGISTRO!$J$2:$J$1722,"VERDE"))</f>
        <v/>
      </c>
      <c r="E15" s="17">
        <f>IF($B15="","",COUNTIFS(REGISTRO!$B$2:$B$1722,$B15,REGISTRO!$H$2:$H$1722,$C$5,REGISTRO!$J$2:$J$1722,"AMARILLO"))</f>
        <v/>
      </c>
      <c r="F15" s="17">
        <f>IF($B15="","",COUNTIFS(REGISTRO!$B$2:$B$1722,$B15,REGISTRO!$H$2:$H$1722,$C$5,REGISTRO!$J$2:$J$1722,"ROJO"))</f>
        <v/>
      </c>
      <c r="G15" s="17">
        <f>IF($B15="","",COUNTIFS(REGISTRO!$B$2:$B$1722,$B15,REGISTRO!$H$2:$H$1722,$C$5,REGISTRO!$J$2:$J$1722,"ROJO FUERTE"))</f>
        <v/>
      </c>
      <c r="H15" s="17">
        <f>IF($B15="","",COUNTIFS(REGISTRO!$B$2:$B$1722,$B15,REGISTRO!$H$2:$H$1722,$C$5,REGISTRO!$J$2:$J$1722,"FALTA"))</f>
        <v/>
      </c>
      <c r="I15" s="17">
        <f>IF($B15="","",COUNTIFS(REGISTRO!$B$2:$B$1722,$B15,REGISTRO!$H$2:$H$1722,$C$5,REGISTRO!$J$2:$J$1722,"VACACIONES"))</f>
        <v/>
      </c>
      <c r="J15" s="17">
        <f>IF($B15="","",COUNTIFS(REGISTRO!$B$2:$B$1722,$B15,REGISTRO!$H$2:$H$1722,$C$5,REGISTRO!$J$2:$J$1722,"FESTIVO"))</f>
        <v/>
      </c>
      <c r="K15" s="17">
        <f>IF($B15="","",COUNTIFS(REGISTRO!$B$2:$B$1722,$B15,REGISTRO!$H$2:$H$1722,$C$5,REGISTRO!$J$2:$J$1722,"INCAPACIDAD"))</f>
        <v/>
      </c>
      <c r="L15" s="17">
        <f>IF($B15="","",COUNTIFS(REGISTRO!$B$2:$B$1722,$B15,REGISTRO!$H$2:$H$1722,$C$5,REGISTRO!$J$2:$J$1722,"PERMISO"))</f>
        <v/>
      </c>
      <c r="M15" s="17">
        <f>IF($B15="","",COUNTIFS(REGISTRO!$B$2:$B$1722,$B15,REGISTRO!$H$2:$H$1722,$C$5,REGISTRO!$J$2:$J$1722,"DESCANSO"))</f>
        <v/>
      </c>
      <c r="N15" s="17">
        <f>IF($B15="","",COUNTIFS(REGISTRO!$B$2:$B$1722,$B15,REGISTRO!$H$2:$H$1722,$C$5,REGISTRO!$J$2:$J$1722,"DESCANSO POR DINAMICA"))</f>
        <v/>
      </c>
      <c r="O15" s="17">
        <f>IF($B15="","",COUNTIFS(REGISTRO!$B$2:$B$1722,$B15,REGISTRO!$H$2:$H$1722,$C$5,REGISTRO!$J$2:$J$1722,"DINAMICA"))</f>
        <v/>
      </c>
    </row>
    <row r="16" ht="15" customHeight="1" s="58">
      <c r="A16" s="1" t="n"/>
      <c r="B16" s="17">
        <f t="array" ref="B16">IFERROR(INDEX(PERSONAL!$A:$A,MATCH($B$3&amp;"|"&amp;9,PERSONAL!$N:$N,0)),"")</f>
        <v/>
      </c>
      <c r="C16" s="18">
        <f t="array" ref="C16">IFERROR(INDEX(PERSONAL!$B:$B,MATCH($B$3&amp;"|"&amp;9,PERSONAL!$N:$N,0)),"")</f>
        <v/>
      </c>
      <c r="D16" s="17">
        <f>IF($B16="","",COUNTIFS(REGISTRO!$B$2:$B$1722,$B16,REGISTRO!$H$2:$H$1722,$C$5,REGISTRO!$J$2:$J$1722,"VERDE"))</f>
        <v/>
      </c>
      <c r="E16" s="17">
        <f>IF($B16="","",COUNTIFS(REGISTRO!$B$2:$B$1722,$B16,REGISTRO!$H$2:$H$1722,$C$5,REGISTRO!$J$2:$J$1722,"AMARILLO"))</f>
        <v/>
      </c>
      <c r="F16" s="17">
        <f>IF($B16="","",COUNTIFS(REGISTRO!$B$2:$B$1722,$B16,REGISTRO!$H$2:$H$1722,$C$5,REGISTRO!$J$2:$J$1722,"ROJO"))</f>
        <v/>
      </c>
      <c r="G16" s="17">
        <f>IF($B16="","",COUNTIFS(REGISTRO!$B$2:$B$1722,$B16,REGISTRO!$H$2:$H$1722,$C$5,REGISTRO!$J$2:$J$1722,"ROJO FUERTE"))</f>
        <v/>
      </c>
      <c r="H16" s="17">
        <f>IF($B16="","",COUNTIFS(REGISTRO!$B$2:$B$1722,$B16,REGISTRO!$H$2:$H$1722,$C$5,REGISTRO!$J$2:$J$1722,"FALTA"))</f>
        <v/>
      </c>
      <c r="I16" s="17">
        <f>IF($B16="","",COUNTIFS(REGISTRO!$B$2:$B$1722,$B16,REGISTRO!$H$2:$H$1722,$C$5,REGISTRO!$J$2:$J$1722,"VACACIONES"))</f>
        <v/>
      </c>
      <c r="J16" s="17">
        <f>IF($B16="","",COUNTIFS(REGISTRO!$B$2:$B$1722,$B16,REGISTRO!$H$2:$H$1722,$C$5,REGISTRO!$J$2:$J$1722,"FESTIVO"))</f>
        <v/>
      </c>
      <c r="K16" s="17">
        <f>IF($B16="","",COUNTIFS(REGISTRO!$B$2:$B$1722,$B16,REGISTRO!$H$2:$H$1722,$C$5,REGISTRO!$J$2:$J$1722,"INCAPACIDAD"))</f>
        <v/>
      </c>
      <c r="L16" s="17">
        <f>IF($B16="","",COUNTIFS(REGISTRO!$B$2:$B$1722,$B16,REGISTRO!$H$2:$H$1722,$C$5,REGISTRO!$J$2:$J$1722,"PERMISO"))</f>
        <v/>
      </c>
      <c r="M16" s="17">
        <f>IF($B16="","",COUNTIFS(REGISTRO!$B$2:$B$1722,$B16,REGISTRO!$H$2:$H$1722,$C$5,REGISTRO!$J$2:$J$1722,"DESCANSO"))</f>
        <v/>
      </c>
      <c r="N16" s="17">
        <f>IF($B16="","",COUNTIFS(REGISTRO!$B$2:$B$1722,$B16,REGISTRO!$H$2:$H$1722,$C$5,REGISTRO!$J$2:$J$1722,"DESCANSO POR DINAMICA"))</f>
        <v/>
      </c>
      <c r="O16" s="17">
        <f>IF($B16="","",COUNTIFS(REGISTRO!$B$2:$B$1722,$B16,REGISTRO!$H$2:$H$1722,$C$5,REGISTRO!$J$2:$J$1722,"DINAMICA"))</f>
        <v/>
      </c>
    </row>
    <row r="17" ht="15" customHeight="1" s="58">
      <c r="A17" s="1" t="n"/>
      <c r="B17" s="17">
        <f t="array" ref="B17">IFERROR(INDEX(PERSONAL!$A:$A,MATCH($B$3&amp;"|"&amp;10,PERSONAL!$N:$N,0)),"")</f>
        <v/>
      </c>
      <c r="C17" s="18">
        <f t="array" ref="C17">IFERROR(INDEX(PERSONAL!$B:$B,MATCH($B$3&amp;"|"&amp;10,PERSONAL!$N:$N,0)),"")</f>
        <v/>
      </c>
      <c r="D17" s="17">
        <f>IF($B17="","",COUNTIFS(REGISTRO!$B$2:$B$1722,$B17,REGISTRO!$H$2:$H$1722,$C$5,REGISTRO!$J$2:$J$1722,"VERDE"))</f>
        <v/>
      </c>
      <c r="E17" s="17">
        <f>IF($B17="","",COUNTIFS(REGISTRO!$B$2:$B$1722,$B17,REGISTRO!$H$2:$H$1722,$C$5,REGISTRO!$J$2:$J$1722,"AMARILLO"))</f>
        <v/>
      </c>
      <c r="F17" s="17">
        <f>IF($B17="","",COUNTIFS(REGISTRO!$B$2:$B$1722,$B17,REGISTRO!$H$2:$H$1722,$C$5,REGISTRO!$J$2:$J$1722,"ROJO"))</f>
        <v/>
      </c>
      <c r="G17" s="17">
        <f>IF($B17="","",COUNTIFS(REGISTRO!$B$2:$B$1722,$B17,REGISTRO!$H$2:$H$1722,$C$5,REGISTRO!$J$2:$J$1722,"ROJO FUERTE"))</f>
        <v/>
      </c>
      <c r="H17" s="17">
        <f>IF($B17="","",COUNTIFS(REGISTRO!$B$2:$B$1722,$B17,REGISTRO!$H$2:$H$1722,$C$5,REGISTRO!$J$2:$J$1722,"FALTA"))</f>
        <v/>
      </c>
      <c r="I17" s="17">
        <f>IF($B17="","",COUNTIFS(REGISTRO!$B$2:$B$1722,$B17,REGISTRO!$H$2:$H$1722,$C$5,REGISTRO!$J$2:$J$1722,"VACACIONES"))</f>
        <v/>
      </c>
      <c r="J17" s="17">
        <f>IF($B17="","",COUNTIFS(REGISTRO!$B$2:$B$1722,$B17,REGISTRO!$H$2:$H$1722,$C$5,REGISTRO!$J$2:$J$1722,"FESTIVO"))</f>
        <v/>
      </c>
      <c r="K17" s="17">
        <f>IF($B17="","",COUNTIFS(REGISTRO!$B$2:$B$1722,$B17,REGISTRO!$H$2:$H$1722,$C$5,REGISTRO!$J$2:$J$1722,"INCAPACIDAD"))</f>
        <v/>
      </c>
      <c r="L17" s="17">
        <f>IF($B17="","",COUNTIFS(REGISTRO!$B$2:$B$1722,$B17,REGISTRO!$H$2:$H$1722,$C$5,REGISTRO!$J$2:$J$1722,"PERMISO"))</f>
        <v/>
      </c>
      <c r="M17" s="17">
        <f>IF($B17="","",COUNTIFS(REGISTRO!$B$2:$B$1722,$B17,REGISTRO!$H$2:$H$1722,$C$5,REGISTRO!$J$2:$J$1722,"DESCANSO"))</f>
        <v/>
      </c>
      <c r="N17" s="17">
        <f>IF($B17="","",COUNTIFS(REGISTRO!$B$2:$B$1722,$B17,REGISTRO!$H$2:$H$1722,$C$5,REGISTRO!$J$2:$J$1722,"DESCANSO POR DINAMICA"))</f>
        <v/>
      </c>
      <c r="O17" s="17">
        <f>IF($B17="","",COUNTIFS(REGISTRO!$B$2:$B$1722,$B17,REGISTRO!$H$2:$H$1722,$C$5,REGISTRO!$J$2:$J$1722,"DINAMICA"))</f>
        <v/>
      </c>
    </row>
    <row r="18" ht="15" customHeight="1" s="58">
      <c r="A18" s="1" t="n"/>
      <c r="B18" s="17">
        <f t="array" ref="B18">IFERROR(INDEX(PERSONAL!$A:$A,MATCH($B$3&amp;"|"&amp;11,PERSONAL!$N:$N,0)),"")</f>
        <v/>
      </c>
      <c r="C18" s="18">
        <f t="array" ref="C18">IFERROR(INDEX(PERSONAL!$B:$B,MATCH($B$3&amp;"|"&amp;11,PERSONAL!$N:$N,0)),"")</f>
        <v/>
      </c>
      <c r="D18" s="17">
        <f>IF($B18="","",COUNTIFS(REGISTRO!$B$2:$B$1722,$B18,REGISTRO!$H$2:$H$1722,$C$5,REGISTRO!$J$2:$J$1722,"VERDE"))</f>
        <v/>
      </c>
      <c r="E18" s="17">
        <f>IF($B18="","",COUNTIFS(REGISTRO!$B$2:$B$1722,$B18,REGISTRO!$H$2:$H$1722,$C$5,REGISTRO!$J$2:$J$1722,"AMARILLO"))</f>
        <v/>
      </c>
      <c r="F18" s="17">
        <f>IF($B18="","",COUNTIFS(REGISTRO!$B$2:$B$1722,$B18,REGISTRO!$H$2:$H$1722,$C$5,REGISTRO!$J$2:$J$1722,"ROJO"))</f>
        <v/>
      </c>
      <c r="G18" s="17">
        <f>IF($B18="","",COUNTIFS(REGISTRO!$B$2:$B$1722,$B18,REGISTRO!$H$2:$H$1722,$C$5,REGISTRO!$J$2:$J$1722,"ROJO FUERTE"))</f>
        <v/>
      </c>
      <c r="H18" s="17">
        <f>IF($B18="","",COUNTIFS(REGISTRO!$B$2:$B$1722,$B18,REGISTRO!$H$2:$H$1722,$C$5,REGISTRO!$J$2:$J$1722,"FALTA"))</f>
        <v/>
      </c>
      <c r="I18" s="17">
        <f>IF($B18="","",COUNTIFS(REGISTRO!$B$2:$B$1722,$B18,REGISTRO!$H$2:$H$1722,$C$5,REGISTRO!$J$2:$J$1722,"VACACIONES"))</f>
        <v/>
      </c>
      <c r="J18" s="17">
        <f>IF($B18="","",COUNTIFS(REGISTRO!$B$2:$B$1722,$B18,REGISTRO!$H$2:$H$1722,$C$5,REGISTRO!$J$2:$J$1722,"FESTIVO"))</f>
        <v/>
      </c>
      <c r="K18" s="17">
        <f>IF($B18="","",COUNTIFS(REGISTRO!$B$2:$B$1722,$B18,REGISTRO!$H$2:$H$1722,$C$5,REGISTRO!$J$2:$J$1722,"INCAPACIDAD"))</f>
        <v/>
      </c>
      <c r="L18" s="17">
        <f>IF($B18="","",COUNTIFS(REGISTRO!$B$2:$B$1722,$B18,REGISTRO!$H$2:$H$1722,$C$5,REGISTRO!$J$2:$J$1722,"PERMISO"))</f>
        <v/>
      </c>
      <c r="M18" s="17">
        <f>IF($B18="","",COUNTIFS(REGISTRO!$B$2:$B$1722,$B18,REGISTRO!$H$2:$H$1722,$C$5,REGISTRO!$J$2:$J$1722,"DESCANSO"))</f>
        <v/>
      </c>
      <c r="N18" s="17">
        <f>IF($B18="","",COUNTIFS(REGISTRO!$B$2:$B$1722,$B18,REGISTRO!$H$2:$H$1722,$C$5,REGISTRO!$J$2:$J$1722,"DESCANSO POR DINAMICA"))</f>
        <v/>
      </c>
      <c r="O18" s="17">
        <f>IF($B18="","",COUNTIFS(REGISTRO!$B$2:$B$1722,$B18,REGISTRO!$H$2:$H$1722,$C$5,REGISTRO!$J$2:$J$1722,"DINAMICA"))</f>
        <v/>
      </c>
    </row>
    <row r="19" ht="15" customHeight="1" s="58">
      <c r="A19" s="1" t="n"/>
      <c r="B19" s="17">
        <f t="array" ref="B19">IFERROR(INDEX(PERSONAL!$A:$A,MATCH($B$3&amp;"|"&amp;12,PERSONAL!$N:$N,0)),"")</f>
        <v/>
      </c>
      <c r="C19" s="18">
        <f t="array" ref="C19">IFERROR(INDEX(PERSONAL!$B:$B,MATCH($B$3&amp;"|"&amp;12,PERSONAL!$N:$N,0)),"")</f>
        <v/>
      </c>
      <c r="D19" s="17">
        <f>IF($B19="","",COUNTIFS(REGISTRO!$B$2:$B$1722,$B19,REGISTRO!$H$2:$H$1722,$C$5,REGISTRO!$J$2:$J$1722,"VERDE"))</f>
        <v/>
      </c>
      <c r="E19" s="17">
        <f>IF($B19="","",COUNTIFS(REGISTRO!$B$2:$B$1722,$B19,REGISTRO!$H$2:$H$1722,$C$5,REGISTRO!$J$2:$J$1722,"AMARILLO"))</f>
        <v/>
      </c>
      <c r="F19" s="17">
        <f>IF($B19="","",COUNTIFS(REGISTRO!$B$2:$B$1722,$B19,REGISTRO!$H$2:$H$1722,$C$5,REGISTRO!$J$2:$J$1722,"ROJO"))</f>
        <v/>
      </c>
      <c r="G19" s="17">
        <f>IF($B19="","",COUNTIFS(REGISTRO!$B$2:$B$1722,$B19,REGISTRO!$H$2:$H$1722,$C$5,REGISTRO!$J$2:$J$1722,"ROJO FUERTE"))</f>
        <v/>
      </c>
      <c r="H19" s="17">
        <f>IF($B19="","",COUNTIFS(REGISTRO!$B$2:$B$1722,$B19,REGISTRO!$H$2:$H$1722,$C$5,REGISTRO!$J$2:$J$1722,"FALTA"))</f>
        <v/>
      </c>
      <c r="I19" s="17">
        <f>IF($B19="","",COUNTIFS(REGISTRO!$B$2:$B$1722,$B19,REGISTRO!$H$2:$H$1722,$C$5,REGISTRO!$J$2:$J$1722,"VACACIONES"))</f>
        <v/>
      </c>
      <c r="J19" s="17">
        <f>IF($B19="","",COUNTIFS(REGISTRO!$B$2:$B$1722,$B19,REGISTRO!$H$2:$H$1722,$C$5,REGISTRO!$J$2:$J$1722,"FESTIVO"))</f>
        <v/>
      </c>
      <c r="K19" s="17">
        <f>IF($B19="","",COUNTIFS(REGISTRO!$B$2:$B$1722,$B19,REGISTRO!$H$2:$H$1722,$C$5,REGISTRO!$J$2:$J$1722,"INCAPACIDAD"))</f>
        <v/>
      </c>
      <c r="L19" s="17">
        <f>IF($B19="","",COUNTIFS(REGISTRO!$B$2:$B$1722,$B19,REGISTRO!$H$2:$H$1722,$C$5,REGISTRO!$J$2:$J$1722,"PERMISO"))</f>
        <v/>
      </c>
      <c r="M19" s="17">
        <f>IF($B19="","",COUNTIFS(REGISTRO!$B$2:$B$1722,$B19,REGISTRO!$H$2:$H$1722,$C$5,REGISTRO!$J$2:$J$1722,"DESCANSO"))</f>
        <v/>
      </c>
      <c r="N19" s="17">
        <f>IF($B19="","",COUNTIFS(REGISTRO!$B$2:$B$1722,$B19,REGISTRO!$H$2:$H$1722,$C$5,REGISTRO!$J$2:$J$1722,"DESCANSO POR DINAMICA"))</f>
        <v/>
      </c>
      <c r="O19" s="17">
        <f>IF($B19="","",COUNTIFS(REGISTRO!$B$2:$B$1722,$B19,REGISTRO!$H$2:$H$1722,$C$5,REGISTRO!$J$2:$J$1722,"DINAMICA"))</f>
        <v/>
      </c>
    </row>
    <row r="20" ht="15" customHeight="1" s="58">
      <c r="A20" s="1" t="n"/>
      <c r="B20" s="62" t="inlineStr">
        <is>
          <t>TOTAL</t>
        </is>
      </c>
      <c r="C20" s="63" t="n"/>
      <c r="D20" s="21">
        <f>SUM(D8:D19)</f>
        <v/>
      </c>
      <c r="E20" s="21">
        <f>SUM(E8:E19)</f>
        <v/>
      </c>
      <c r="F20" s="21">
        <f>SUM(F8:F19)</f>
        <v/>
      </c>
      <c r="G20" s="21">
        <f>SUM(G8:G19)</f>
        <v/>
      </c>
      <c r="H20" s="21">
        <f>SUM(H8:H19)</f>
        <v/>
      </c>
      <c r="I20" s="21">
        <f>SUM(I8:I19)</f>
        <v/>
      </c>
      <c r="J20" s="21">
        <f>SUM(J8:J19)</f>
        <v/>
      </c>
      <c r="K20" s="21">
        <f>SUM(K8:K19)</f>
        <v/>
      </c>
      <c r="L20" s="21">
        <f>SUM(L8:L19)</f>
        <v/>
      </c>
      <c r="M20" s="21">
        <f>SUM(M8:M19)</f>
        <v/>
      </c>
      <c r="N20" s="21">
        <f>SUM(N8:N19)</f>
        <v/>
      </c>
      <c r="O20" s="21">
        <f>SUM(O8:O19)</f>
        <v/>
      </c>
    </row>
    <row r="21" ht="17.25" customHeight="1" s="58">
      <c r="A21" s="1" t="n"/>
      <c r="B21" s="11" t="inlineStr">
        <is>
          <t>% VERDE</t>
        </is>
      </c>
      <c r="C21" s="63" t="n"/>
      <c r="D21" s="64">
        <f>IF(SUM(D20:H20)=0,0,D20/SUM(D20:H20))</f>
        <v/>
      </c>
      <c r="E21" s="65" t="n"/>
      <c r="F21" s="65" t="n"/>
      <c r="G21" s="65" t="n"/>
      <c r="H21" s="63" t="n"/>
      <c r="I21" s="1" t="n"/>
    </row>
    <row r="22" ht="15" customHeight="1" s="58">
      <c r="A22" s="1" t="n"/>
      <c r="B22" s="66" t="inlineStr">
        <is>
          <t>REGISTROS / PROM. HORAS</t>
        </is>
      </c>
      <c r="C22" s="63" t="n"/>
      <c r="D22" s="26">
        <f>COUNTIFS(REGISTRO!$F$2:$F$1722,$B$3,REGISTRO!$H$2:$H$1722,$C$5)</f>
        <v/>
      </c>
      <c r="E22" s="67">
        <f>IFERROR(AVERAGEIFS(REGISTRO!$K$2:$K$1722,REGISTRO!$F$2:$F$1722,$B$3,REGISTRO!$H$2:$H$1722,$C$5),0)</f>
        <v/>
      </c>
      <c r="F22" s="65" t="n"/>
      <c r="G22" s="65" t="n"/>
      <c r="H22" s="63" t="n"/>
      <c r="I22" s="1" t="n"/>
    </row>
    <row r="23" ht="15.75" customHeight="1" s="5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5.75" customHeight="1" s="5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15.75" customHeight="1" s="5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5.75" customHeight="1" s="5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5.75" customHeight="1" s="5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5.75" customHeight="1" s="5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5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5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5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5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5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5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5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5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5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5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5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5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5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5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5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5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5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5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5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5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5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5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5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5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5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5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5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5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5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5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5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5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5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5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5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5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5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5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5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5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5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5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5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5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5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5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5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5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5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5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5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5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5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5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5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5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5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5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5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5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5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5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5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5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5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5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5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5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5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5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5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5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5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5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5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5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5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5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5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5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5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5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5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5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5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5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5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5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5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5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5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5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5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5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5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5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5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5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5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5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5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5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5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5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5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5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5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5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5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5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5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5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5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5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5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5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5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5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5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5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5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5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5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5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5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5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5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5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5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5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5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5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5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5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5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5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5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5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5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5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5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5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5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5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5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5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5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5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5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5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5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5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5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5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5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5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5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5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5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5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5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5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5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5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5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5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5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5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5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5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5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5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5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5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5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5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5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5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5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5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5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5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5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5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5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5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5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5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5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5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5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5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5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5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5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5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5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5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5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5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5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5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5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5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5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5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5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5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5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5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5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5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5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5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5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5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5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5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5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5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5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5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5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5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5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5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5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5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5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5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5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5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5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5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5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5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5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5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5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5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5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5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5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5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5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5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5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5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5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5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5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5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5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5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5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5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5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5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5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5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5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5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5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5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5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5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5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5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5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5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5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5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5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5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5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5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5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5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5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5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5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5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5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5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5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5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5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5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5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5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5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5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5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5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5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5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5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5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5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5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5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5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5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5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5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5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5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5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5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5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5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5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5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5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5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5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5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5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5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5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5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5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5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5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5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5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5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5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5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5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5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5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5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5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5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5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5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5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5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5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5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5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5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5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5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5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5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5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5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5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5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5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5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5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5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5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5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5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5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5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5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5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5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5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5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5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5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5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5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5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5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5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5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5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5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5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5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5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5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5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5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5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5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5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5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5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5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5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5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5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5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5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5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5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5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5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5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5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5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5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5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5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5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5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5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5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5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5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5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5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5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5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5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5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5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5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5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5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5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5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5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5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5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5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5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5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5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5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5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5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5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5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5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5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5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5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5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5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5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5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5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5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5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5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5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5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5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5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5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5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5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5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5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5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5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5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5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5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5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5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5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5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5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5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5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5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5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5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5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5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5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5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5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5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5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5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5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5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5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5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5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5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5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5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5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5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5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5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5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5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5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5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5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5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5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5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5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5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5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5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5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5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5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5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5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5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5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5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5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5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5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5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5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5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5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5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5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5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5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5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5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5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5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5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5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5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5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5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5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5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5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5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5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5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5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5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5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5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5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5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5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5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5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5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5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5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5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5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5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5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5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5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5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5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5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5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5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5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5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5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5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5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5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5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5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5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5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5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5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5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5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5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5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5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5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5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5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5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5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5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5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5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5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5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5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5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5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5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5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5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5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5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5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5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5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5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5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5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5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5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5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5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5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5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5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5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5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5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5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5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5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5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5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5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5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5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5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5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5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5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5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5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5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5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5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5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5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5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5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5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5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5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5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5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5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5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5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5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5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5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5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5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5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5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5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5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5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5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5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5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5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5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5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5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5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5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5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5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5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5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5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5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5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5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5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5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5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5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5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5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5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5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5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5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5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5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5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5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5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5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5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5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5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5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5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5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5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5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5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5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5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5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5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5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5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5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5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5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5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5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5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5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5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5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5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5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5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5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5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5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5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5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5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5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5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5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5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5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5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5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5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5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5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5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5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5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5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5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5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5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5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5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5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5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5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5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5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5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5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5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5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5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5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5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5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5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5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5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5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5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5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5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5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5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5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5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5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5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5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5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5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5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5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5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5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5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5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5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5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5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5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5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5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5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5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5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5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5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5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5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5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5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5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5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5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5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5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5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5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5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5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5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5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5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5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5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5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5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5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5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5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5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5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5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5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5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5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5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5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5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5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5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5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5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5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5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5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5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5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5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5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5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5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5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5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5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5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5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5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5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5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5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5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5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5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5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5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5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5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5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5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5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5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5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5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5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5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5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5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5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5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5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5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5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5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5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5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5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5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5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5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5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5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5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5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5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5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5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5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5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5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5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5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5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5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5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5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5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5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5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5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5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5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5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5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5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5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5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5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5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5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5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5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5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5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5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5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5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5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5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5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5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5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5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5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5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5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5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5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5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5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5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5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5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5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5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5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5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5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5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5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5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5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5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5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5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5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5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5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5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5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5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5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5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5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5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5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5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5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5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5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5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5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5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5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5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5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5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5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5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5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5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5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5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5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5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5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5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5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5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5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58">
      <c r="A1000" s="1" t="inlineStr">
        <is>
          <t>Demo publico: datos ficticios anonimizados para portafolio.</t>
        </is>
      </c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10">
    <mergeCell ref="D21:H21"/>
    <mergeCell ref="B21:C21"/>
    <mergeCell ref="B4:H4"/>
    <mergeCell ref="B20:C20"/>
    <mergeCell ref="B6:H6"/>
    <mergeCell ref="B22:C22"/>
    <mergeCell ref="B2:H2"/>
    <mergeCell ref="D5:H5"/>
    <mergeCell ref="B3:H3"/>
    <mergeCell ref="E22:H22"/>
  </mergeCells>
  <conditionalFormatting sqref="D8:D19">
    <cfRule type="expression" priority="1" dxfId="0">
      <formula>$C8&lt;&gt;""</formula>
    </cfRule>
  </conditionalFormatting>
  <conditionalFormatting sqref="E8:E19">
    <cfRule type="expression" priority="2" dxfId="1">
      <formula>$C8&lt;&gt;""</formula>
    </cfRule>
  </conditionalFormatting>
  <conditionalFormatting sqref="F8:F19">
    <cfRule type="expression" priority="3" dxfId="2">
      <formula>$C8&lt;&gt;""</formula>
    </cfRule>
  </conditionalFormatting>
  <conditionalFormatting sqref="G8:G19">
    <cfRule type="expression" priority="4" dxfId="3">
      <formula>$C8&lt;&gt;""</formula>
    </cfRule>
  </conditionalFormatting>
  <conditionalFormatting sqref="H8:H19">
    <cfRule type="expression" priority="5" dxfId="4">
      <formula>$C8&lt;&gt;""</formula>
    </cfRule>
  </conditionalFormatting>
  <dataValidations count="1">
    <dataValidation sqref="C5" showDropDown="0" showInputMessage="0" showErrorMessage="0" allowBlank="1" type="list">
      <formula1>"ENERO,FEBRERO,MARZO,ABRIL,MAYO,JUNIO,JULIO,AGOSTO,SEPTIEMBRE,OCTUBRE,NOVIEMBRE,DICIEMBRE"</formula1>
    </dataValidation>
  </dataValidations>
  <pageMargins left="0.3" right="0.3" top="0.4" bottom="0.4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58" min="1" max="1"/>
    <col width="11" customWidth="1" style="58" min="2" max="2"/>
    <col width="35.14" customWidth="1" style="58" min="3" max="3"/>
    <col width="9" customWidth="1" style="58" min="4" max="4"/>
    <col width="11" customWidth="1" style="58" min="5" max="5"/>
    <col width="8" customWidth="1" style="58" min="6" max="6"/>
    <col width="12" customWidth="1" style="58" min="7" max="7"/>
    <col width="8" customWidth="1" style="58" min="8" max="8"/>
    <col width="11" customWidth="1" style="58" min="9" max="26"/>
    <col width="9" customWidth="1" style="58" min="10" max="10"/>
    <col width="12" customWidth="1" style="58" min="11" max="11"/>
    <col width="9" customWidth="1" style="58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 s="58">
      <c r="A2" s="1" t="n"/>
      <c r="B2" s="2" t="inlineStr">
        <is>
          <t>SUPERVISOR</t>
        </is>
      </c>
      <c r="I2" s="1" t="n"/>
    </row>
    <row r="3" ht="21.75" customHeight="1" s="58">
      <c r="A3" s="1" t="n"/>
      <c r="B3" s="3" t="inlineStr">
        <is>
          <t>CAMILA RIVERA NAVA</t>
        </is>
      </c>
      <c r="I3" s="1" t="n"/>
    </row>
    <row r="4" ht="15" customHeight="1" s="58">
      <c r="A4" s="1" t="n"/>
      <c r="B4" s="59" t="n"/>
      <c r="I4" s="1" t="n"/>
    </row>
    <row r="5" ht="15" customHeight="1" s="58">
      <c r="A5" s="1" t="n"/>
      <c r="B5" s="7" t="inlineStr">
        <is>
          <t>PERIODO</t>
        </is>
      </c>
      <c r="C5" s="8" t="inlineStr">
        <is>
          <t>JUNIO</t>
        </is>
      </c>
      <c r="D5" s="60" t="inlineStr">
        <is>
          <t>AÑO 2026</t>
        </is>
      </c>
      <c r="I5" s="1" t="n"/>
    </row>
    <row r="6" ht="15" customHeight="1" s="58">
      <c r="A6" s="1" t="n"/>
      <c r="B6" s="61" t="inlineStr">
        <is>
          <t>ASESORES</t>
        </is>
      </c>
      <c r="I6" s="1" t="n"/>
    </row>
    <row r="7" ht="15" customHeight="1" s="58">
      <c r="A7" s="1" t="n"/>
      <c r="B7" s="11" t="inlineStr">
        <is>
          <t>No. EMP</t>
        </is>
      </c>
      <c r="C7" s="11" t="inlineStr">
        <is>
          <t>NOMBRE</t>
        </is>
      </c>
      <c r="D7" s="12" t="inlineStr">
        <is>
          <t>VERDE</t>
        </is>
      </c>
      <c r="E7" s="13" t="inlineStr">
        <is>
          <t>AMARILLO</t>
        </is>
      </c>
      <c r="F7" s="14" t="inlineStr">
        <is>
          <t>ROJO</t>
        </is>
      </c>
      <c r="G7" s="15" t="inlineStr">
        <is>
          <t>ROJO FUERTE</t>
        </is>
      </c>
      <c r="H7" s="16" t="inlineStr">
        <is>
          <t>FALTA</t>
        </is>
      </c>
      <c r="I7" s="68" t="inlineStr">
        <is>
          <t>VACACIONES</t>
        </is>
      </c>
      <c r="J7" s="68" t="inlineStr">
        <is>
          <t>FESTIVO</t>
        </is>
      </c>
      <c r="K7" s="68" t="inlineStr">
        <is>
          <t>INCAPACIDAD</t>
        </is>
      </c>
      <c r="L7" s="68" t="inlineStr">
        <is>
          <t>PERMISO</t>
        </is>
      </c>
      <c r="M7" s="68" t="inlineStr">
        <is>
          <t>DESCANSO</t>
        </is>
      </c>
      <c r="N7" s="68" t="inlineStr">
        <is>
          <t>DESCANSO POR DINAMICA</t>
        </is>
      </c>
      <c r="O7" s="68" t="inlineStr">
        <is>
          <t>DINAMICA</t>
        </is>
      </c>
    </row>
    <row r="8" ht="15" customHeight="1" s="58">
      <c r="A8" s="1" t="n"/>
      <c r="B8" s="17">
        <f t="array" ref="B8">IFERROR(INDEX(PERSONAL!$A:$A,MATCH($B$3&amp;"|"&amp;1,PERSONAL!$N:$N,0)),"")</f>
        <v/>
      </c>
      <c r="C8" s="18">
        <f t="array" ref="C8">IFERROR(INDEX(PERSONAL!$B:$B,MATCH($B$3&amp;"|"&amp;1,PERSONAL!$N:$N,0)),"")</f>
        <v/>
      </c>
      <c r="D8" s="17">
        <f>IF($B8="","",COUNTIFS(REGISTRO!$B$2:$B$1722,$B8,REGISTRO!$H$2:$H$1722,$C$5,REGISTRO!$J$2:$J$1722,"VERDE"))</f>
        <v/>
      </c>
      <c r="E8" s="17">
        <f>IF($B8="","",COUNTIFS(REGISTRO!$B$2:$B$1722,$B8,REGISTRO!$H$2:$H$1722,$C$5,REGISTRO!$J$2:$J$1722,"AMARILLO"))</f>
        <v/>
      </c>
      <c r="F8" s="17">
        <f>IF($B8="","",COUNTIFS(REGISTRO!$B$2:$B$1722,$B8,REGISTRO!$H$2:$H$1722,$C$5,REGISTRO!$J$2:$J$1722,"ROJO"))</f>
        <v/>
      </c>
      <c r="G8" s="17">
        <f>IF($B8="","",COUNTIFS(REGISTRO!$B$2:$B$1722,$B8,REGISTRO!$H$2:$H$1722,$C$5,REGISTRO!$J$2:$J$1722,"ROJO FUERTE"))</f>
        <v/>
      </c>
      <c r="H8" s="17">
        <f>IF($B8="","",COUNTIFS(REGISTRO!$B$2:$B$1722,$B8,REGISTRO!$H$2:$H$1722,$C$5,REGISTRO!$J$2:$J$1722,"FALTA"))</f>
        <v/>
      </c>
      <c r="I8" s="17">
        <f>IF($B8="","",COUNTIFS(REGISTRO!$B$2:$B$1722,$B8,REGISTRO!$H$2:$H$1722,$C$5,REGISTRO!$J$2:$J$1722,"VACACIONES"))</f>
        <v/>
      </c>
      <c r="J8" s="17">
        <f>IF($B8="","",COUNTIFS(REGISTRO!$B$2:$B$1722,$B8,REGISTRO!$H$2:$H$1722,$C$5,REGISTRO!$J$2:$J$1722,"FESTIVO"))</f>
        <v/>
      </c>
      <c r="K8" s="17">
        <f>IF($B8="","",COUNTIFS(REGISTRO!$B$2:$B$1722,$B8,REGISTRO!$H$2:$H$1722,$C$5,REGISTRO!$J$2:$J$1722,"INCAPACIDAD"))</f>
        <v/>
      </c>
      <c r="L8" s="17">
        <f>IF($B8="","",COUNTIFS(REGISTRO!$B$2:$B$1722,$B8,REGISTRO!$H$2:$H$1722,$C$5,REGISTRO!$J$2:$J$1722,"PERMISO"))</f>
        <v/>
      </c>
      <c r="M8" s="17">
        <f>IF($B8="","",COUNTIFS(REGISTRO!$B$2:$B$1722,$B8,REGISTRO!$H$2:$H$1722,$C$5,REGISTRO!$J$2:$J$1722,"DESCANSO"))</f>
        <v/>
      </c>
      <c r="N8" s="17">
        <f>IF($B8="","",COUNTIFS(REGISTRO!$B$2:$B$1722,$B8,REGISTRO!$H$2:$H$1722,$C$5,REGISTRO!$J$2:$J$1722,"DESCANSO POR DINAMICA"))</f>
        <v/>
      </c>
      <c r="O8" s="17">
        <f>IF($B8="","",COUNTIFS(REGISTRO!$B$2:$B$1722,$B8,REGISTRO!$H$2:$H$1722,$C$5,REGISTRO!$J$2:$J$1722,"DINAMICA"))</f>
        <v/>
      </c>
    </row>
    <row r="9" ht="15" customHeight="1" s="58">
      <c r="A9" s="1" t="n"/>
      <c r="B9" s="17">
        <f t="array" ref="B9">IFERROR(INDEX(PERSONAL!$A:$A,MATCH($B$3&amp;"|"&amp;2,PERSONAL!$N:$N,0)),"")</f>
        <v/>
      </c>
      <c r="C9" s="18">
        <f t="array" ref="C9">IFERROR(INDEX(PERSONAL!$B:$B,MATCH($B$3&amp;"|"&amp;2,PERSONAL!$N:$N,0)),"")</f>
        <v/>
      </c>
      <c r="D9" s="17">
        <f>IF($B9="","",COUNTIFS(REGISTRO!$B$2:$B$1722,$B9,REGISTRO!$H$2:$H$1722,$C$5,REGISTRO!$J$2:$J$1722,"VERDE"))</f>
        <v/>
      </c>
      <c r="E9" s="17">
        <f>IF($B9="","",COUNTIFS(REGISTRO!$B$2:$B$1722,$B9,REGISTRO!$H$2:$H$1722,$C$5,REGISTRO!$J$2:$J$1722,"AMARILLO"))</f>
        <v/>
      </c>
      <c r="F9" s="17">
        <f>IF($B9="","",COUNTIFS(REGISTRO!$B$2:$B$1722,$B9,REGISTRO!$H$2:$H$1722,$C$5,REGISTRO!$J$2:$J$1722,"ROJO"))</f>
        <v/>
      </c>
      <c r="G9" s="17">
        <f>IF($B9="","",COUNTIFS(REGISTRO!$B$2:$B$1722,$B9,REGISTRO!$H$2:$H$1722,$C$5,REGISTRO!$J$2:$J$1722,"ROJO FUERTE"))</f>
        <v/>
      </c>
      <c r="H9" s="17">
        <f>IF($B9="","",COUNTIFS(REGISTRO!$B$2:$B$1722,$B9,REGISTRO!$H$2:$H$1722,$C$5,REGISTRO!$J$2:$J$1722,"FALTA"))</f>
        <v/>
      </c>
      <c r="I9" s="17">
        <f>IF($B9="","",COUNTIFS(REGISTRO!$B$2:$B$1722,$B9,REGISTRO!$H$2:$H$1722,$C$5,REGISTRO!$J$2:$J$1722,"VACACIONES"))</f>
        <v/>
      </c>
      <c r="J9" s="17">
        <f>IF($B9="","",COUNTIFS(REGISTRO!$B$2:$B$1722,$B9,REGISTRO!$H$2:$H$1722,$C$5,REGISTRO!$J$2:$J$1722,"FESTIVO"))</f>
        <v/>
      </c>
      <c r="K9" s="17">
        <f>IF($B9="","",COUNTIFS(REGISTRO!$B$2:$B$1722,$B9,REGISTRO!$H$2:$H$1722,$C$5,REGISTRO!$J$2:$J$1722,"INCAPACIDAD"))</f>
        <v/>
      </c>
      <c r="L9" s="17">
        <f>IF($B9="","",COUNTIFS(REGISTRO!$B$2:$B$1722,$B9,REGISTRO!$H$2:$H$1722,$C$5,REGISTRO!$J$2:$J$1722,"PERMISO"))</f>
        <v/>
      </c>
      <c r="M9" s="17">
        <f>IF($B9="","",COUNTIFS(REGISTRO!$B$2:$B$1722,$B9,REGISTRO!$H$2:$H$1722,$C$5,REGISTRO!$J$2:$J$1722,"DESCANSO"))</f>
        <v/>
      </c>
      <c r="N9" s="17">
        <f>IF($B9="","",COUNTIFS(REGISTRO!$B$2:$B$1722,$B9,REGISTRO!$H$2:$H$1722,$C$5,REGISTRO!$J$2:$J$1722,"DESCANSO POR DINAMICA"))</f>
        <v/>
      </c>
      <c r="O9" s="17">
        <f>IF($B9="","",COUNTIFS(REGISTRO!$B$2:$B$1722,$B9,REGISTRO!$H$2:$H$1722,$C$5,REGISTRO!$J$2:$J$1722,"DINAMICA"))</f>
        <v/>
      </c>
    </row>
    <row r="10" ht="15" customHeight="1" s="58">
      <c r="A10" s="1" t="n"/>
      <c r="B10" s="17">
        <f t="array" ref="B10">IFERROR(INDEX(PERSONAL!$A:$A,MATCH($B$3&amp;"|"&amp;3,PERSONAL!$N:$N,0)),"")</f>
        <v/>
      </c>
      <c r="C10" s="18">
        <f t="array" ref="C10">IFERROR(INDEX(PERSONAL!$B:$B,MATCH($B$3&amp;"|"&amp;3,PERSONAL!$N:$N,0)),"")</f>
        <v/>
      </c>
      <c r="D10" s="17">
        <f>IF($B10="","",COUNTIFS(REGISTRO!$B$2:$B$1722,$B10,REGISTRO!$H$2:$H$1722,$C$5,REGISTRO!$J$2:$J$1722,"VERDE"))</f>
        <v/>
      </c>
      <c r="E10" s="17">
        <f>IF($B10="","",COUNTIFS(REGISTRO!$B$2:$B$1722,$B10,REGISTRO!$H$2:$H$1722,$C$5,REGISTRO!$J$2:$J$1722,"AMARILLO"))</f>
        <v/>
      </c>
      <c r="F10" s="17">
        <f>IF($B10="","",COUNTIFS(REGISTRO!$B$2:$B$1722,$B10,REGISTRO!$H$2:$H$1722,$C$5,REGISTRO!$J$2:$J$1722,"ROJO"))</f>
        <v/>
      </c>
      <c r="G10" s="17">
        <f>IF($B10="","",COUNTIFS(REGISTRO!$B$2:$B$1722,$B10,REGISTRO!$H$2:$H$1722,$C$5,REGISTRO!$J$2:$J$1722,"ROJO FUERTE"))</f>
        <v/>
      </c>
      <c r="H10" s="17">
        <f>IF($B10="","",COUNTIFS(REGISTRO!$B$2:$B$1722,$B10,REGISTRO!$H$2:$H$1722,$C$5,REGISTRO!$J$2:$J$1722,"FALTA"))</f>
        <v/>
      </c>
      <c r="I10" s="17">
        <f>IF($B10="","",COUNTIFS(REGISTRO!$B$2:$B$1722,$B10,REGISTRO!$H$2:$H$1722,$C$5,REGISTRO!$J$2:$J$1722,"VACACIONES"))</f>
        <v/>
      </c>
      <c r="J10" s="17">
        <f>IF($B10="","",COUNTIFS(REGISTRO!$B$2:$B$1722,$B10,REGISTRO!$H$2:$H$1722,$C$5,REGISTRO!$J$2:$J$1722,"FESTIVO"))</f>
        <v/>
      </c>
      <c r="K10" s="17">
        <f>IF($B10="","",COUNTIFS(REGISTRO!$B$2:$B$1722,$B10,REGISTRO!$H$2:$H$1722,$C$5,REGISTRO!$J$2:$J$1722,"INCAPACIDAD"))</f>
        <v/>
      </c>
      <c r="L10" s="17">
        <f>IF($B10="","",COUNTIFS(REGISTRO!$B$2:$B$1722,$B10,REGISTRO!$H$2:$H$1722,$C$5,REGISTRO!$J$2:$J$1722,"PERMISO"))</f>
        <v/>
      </c>
      <c r="M10" s="17">
        <f>IF($B10="","",COUNTIFS(REGISTRO!$B$2:$B$1722,$B10,REGISTRO!$H$2:$H$1722,$C$5,REGISTRO!$J$2:$J$1722,"DESCANSO"))</f>
        <v/>
      </c>
      <c r="N10" s="17">
        <f>IF($B10="","",COUNTIFS(REGISTRO!$B$2:$B$1722,$B10,REGISTRO!$H$2:$H$1722,$C$5,REGISTRO!$J$2:$J$1722,"DESCANSO POR DINAMICA"))</f>
        <v/>
      </c>
      <c r="O10" s="17">
        <f>IF($B10="","",COUNTIFS(REGISTRO!$B$2:$B$1722,$B10,REGISTRO!$H$2:$H$1722,$C$5,REGISTRO!$J$2:$J$1722,"DINAMICA"))</f>
        <v/>
      </c>
    </row>
    <row r="11" ht="15" customHeight="1" s="58">
      <c r="A11" s="1" t="n"/>
      <c r="B11" s="17">
        <f t="array" ref="B11">IFERROR(INDEX(PERSONAL!$A:$A,MATCH($B$3&amp;"|"&amp;4,PERSONAL!$N:$N,0)),"")</f>
        <v/>
      </c>
      <c r="C11" s="18">
        <f t="array" ref="C11">IFERROR(INDEX(PERSONAL!$B:$B,MATCH($B$3&amp;"|"&amp;4,PERSONAL!$N:$N,0)),"")</f>
        <v/>
      </c>
      <c r="D11" s="17">
        <f>IF($B11="","",COUNTIFS(REGISTRO!$B$2:$B$1722,$B11,REGISTRO!$H$2:$H$1722,$C$5,REGISTRO!$J$2:$J$1722,"VERDE"))</f>
        <v/>
      </c>
      <c r="E11" s="17">
        <f>IF($B11="","",COUNTIFS(REGISTRO!$B$2:$B$1722,$B11,REGISTRO!$H$2:$H$1722,$C$5,REGISTRO!$J$2:$J$1722,"AMARILLO"))</f>
        <v/>
      </c>
      <c r="F11" s="17">
        <f>IF($B11="","",COUNTIFS(REGISTRO!$B$2:$B$1722,$B11,REGISTRO!$H$2:$H$1722,$C$5,REGISTRO!$J$2:$J$1722,"ROJO"))</f>
        <v/>
      </c>
      <c r="G11" s="17">
        <f>IF($B11="","",COUNTIFS(REGISTRO!$B$2:$B$1722,$B11,REGISTRO!$H$2:$H$1722,$C$5,REGISTRO!$J$2:$J$1722,"ROJO FUERTE"))</f>
        <v/>
      </c>
      <c r="H11" s="17">
        <f>IF($B11="","",COUNTIFS(REGISTRO!$B$2:$B$1722,$B11,REGISTRO!$H$2:$H$1722,$C$5,REGISTRO!$J$2:$J$1722,"FALTA"))</f>
        <v/>
      </c>
      <c r="I11" s="17">
        <f>IF($B11="","",COUNTIFS(REGISTRO!$B$2:$B$1722,$B11,REGISTRO!$H$2:$H$1722,$C$5,REGISTRO!$J$2:$J$1722,"VACACIONES"))</f>
        <v/>
      </c>
      <c r="J11" s="17">
        <f>IF($B11="","",COUNTIFS(REGISTRO!$B$2:$B$1722,$B11,REGISTRO!$H$2:$H$1722,$C$5,REGISTRO!$J$2:$J$1722,"FESTIVO"))</f>
        <v/>
      </c>
      <c r="K11" s="17">
        <f>IF($B11="","",COUNTIFS(REGISTRO!$B$2:$B$1722,$B11,REGISTRO!$H$2:$H$1722,$C$5,REGISTRO!$J$2:$J$1722,"INCAPACIDAD"))</f>
        <v/>
      </c>
      <c r="L11" s="17">
        <f>IF($B11="","",COUNTIFS(REGISTRO!$B$2:$B$1722,$B11,REGISTRO!$H$2:$H$1722,$C$5,REGISTRO!$J$2:$J$1722,"PERMISO"))</f>
        <v/>
      </c>
      <c r="M11" s="17">
        <f>IF($B11="","",COUNTIFS(REGISTRO!$B$2:$B$1722,$B11,REGISTRO!$H$2:$H$1722,$C$5,REGISTRO!$J$2:$J$1722,"DESCANSO"))</f>
        <v/>
      </c>
      <c r="N11" s="17">
        <f>IF($B11="","",COUNTIFS(REGISTRO!$B$2:$B$1722,$B11,REGISTRO!$H$2:$H$1722,$C$5,REGISTRO!$J$2:$J$1722,"DESCANSO POR DINAMICA"))</f>
        <v/>
      </c>
      <c r="O11" s="17">
        <f>IF($B11="","",COUNTIFS(REGISTRO!$B$2:$B$1722,$B11,REGISTRO!$H$2:$H$1722,$C$5,REGISTRO!$J$2:$J$1722,"DINAMICA"))</f>
        <v/>
      </c>
    </row>
    <row r="12" ht="15" customHeight="1" s="58">
      <c r="A12" s="1" t="n"/>
      <c r="B12" s="17">
        <f t="array" ref="B12">IFERROR(INDEX(PERSONAL!$A:$A,MATCH($B$3&amp;"|"&amp;5,PERSONAL!$N:$N,0)),"")</f>
        <v/>
      </c>
      <c r="C12" s="18">
        <f t="array" ref="C12">IFERROR(INDEX(PERSONAL!$B:$B,MATCH($B$3&amp;"|"&amp;5,PERSONAL!$N:$N,0)),"")</f>
        <v/>
      </c>
      <c r="D12" s="17">
        <f>IF($B12="","",COUNTIFS(REGISTRO!$B$2:$B$1722,$B12,REGISTRO!$H$2:$H$1722,$C$5,REGISTRO!$J$2:$J$1722,"VERDE"))</f>
        <v/>
      </c>
      <c r="E12" s="17">
        <f>IF($B12="","",COUNTIFS(REGISTRO!$B$2:$B$1722,$B12,REGISTRO!$H$2:$H$1722,$C$5,REGISTRO!$J$2:$J$1722,"AMARILLO"))</f>
        <v/>
      </c>
      <c r="F12" s="17">
        <f>IF($B12="","",COUNTIFS(REGISTRO!$B$2:$B$1722,$B12,REGISTRO!$H$2:$H$1722,$C$5,REGISTRO!$J$2:$J$1722,"ROJO"))</f>
        <v/>
      </c>
      <c r="G12" s="17">
        <f>IF($B12="","",COUNTIFS(REGISTRO!$B$2:$B$1722,$B12,REGISTRO!$H$2:$H$1722,$C$5,REGISTRO!$J$2:$J$1722,"ROJO FUERTE"))</f>
        <v/>
      </c>
      <c r="H12" s="17">
        <f>IF($B12="","",COUNTIFS(REGISTRO!$B$2:$B$1722,$B12,REGISTRO!$H$2:$H$1722,$C$5,REGISTRO!$J$2:$J$1722,"FALTA"))</f>
        <v/>
      </c>
      <c r="I12" s="17">
        <f>IF($B12="","",COUNTIFS(REGISTRO!$B$2:$B$1722,$B12,REGISTRO!$H$2:$H$1722,$C$5,REGISTRO!$J$2:$J$1722,"VACACIONES"))</f>
        <v/>
      </c>
      <c r="J12" s="17">
        <f>IF($B12="","",COUNTIFS(REGISTRO!$B$2:$B$1722,$B12,REGISTRO!$H$2:$H$1722,$C$5,REGISTRO!$J$2:$J$1722,"FESTIVO"))</f>
        <v/>
      </c>
      <c r="K12" s="17">
        <f>IF($B12="","",COUNTIFS(REGISTRO!$B$2:$B$1722,$B12,REGISTRO!$H$2:$H$1722,$C$5,REGISTRO!$J$2:$J$1722,"INCAPACIDAD"))</f>
        <v/>
      </c>
      <c r="L12" s="17">
        <f>IF($B12="","",COUNTIFS(REGISTRO!$B$2:$B$1722,$B12,REGISTRO!$H$2:$H$1722,$C$5,REGISTRO!$J$2:$J$1722,"PERMISO"))</f>
        <v/>
      </c>
      <c r="M12" s="17">
        <f>IF($B12="","",COUNTIFS(REGISTRO!$B$2:$B$1722,$B12,REGISTRO!$H$2:$H$1722,$C$5,REGISTRO!$J$2:$J$1722,"DESCANSO"))</f>
        <v/>
      </c>
      <c r="N12" s="17">
        <f>IF($B12="","",COUNTIFS(REGISTRO!$B$2:$B$1722,$B12,REGISTRO!$H$2:$H$1722,$C$5,REGISTRO!$J$2:$J$1722,"DESCANSO POR DINAMICA"))</f>
        <v/>
      </c>
      <c r="O12" s="17">
        <f>IF($B12="","",COUNTIFS(REGISTRO!$B$2:$B$1722,$B12,REGISTRO!$H$2:$H$1722,$C$5,REGISTRO!$J$2:$J$1722,"DINAMICA"))</f>
        <v/>
      </c>
    </row>
    <row r="13" ht="15" customHeight="1" s="58">
      <c r="A13" s="1" t="n"/>
      <c r="B13" s="17">
        <f t="array" ref="B13">IFERROR(INDEX(PERSONAL!$A:$A,MATCH($B$3&amp;"|"&amp;6,PERSONAL!$N:$N,0)),"")</f>
        <v/>
      </c>
      <c r="C13" s="18">
        <f t="array" ref="C13">IFERROR(INDEX(PERSONAL!$B:$B,MATCH($B$3&amp;"|"&amp;6,PERSONAL!$N:$N,0)),"")</f>
        <v/>
      </c>
      <c r="D13" s="17">
        <f>IF($B13="","",COUNTIFS(REGISTRO!$B$2:$B$1722,$B13,REGISTRO!$H$2:$H$1722,$C$5,REGISTRO!$J$2:$J$1722,"VERDE"))</f>
        <v/>
      </c>
      <c r="E13" s="17">
        <f>IF($B13="","",COUNTIFS(REGISTRO!$B$2:$B$1722,$B13,REGISTRO!$H$2:$H$1722,$C$5,REGISTRO!$J$2:$J$1722,"AMARILLO"))</f>
        <v/>
      </c>
      <c r="F13" s="17">
        <f>IF($B13="","",COUNTIFS(REGISTRO!$B$2:$B$1722,$B13,REGISTRO!$H$2:$H$1722,$C$5,REGISTRO!$J$2:$J$1722,"ROJO"))</f>
        <v/>
      </c>
      <c r="G13" s="17">
        <f>IF($B13="","",COUNTIFS(REGISTRO!$B$2:$B$1722,$B13,REGISTRO!$H$2:$H$1722,$C$5,REGISTRO!$J$2:$J$1722,"ROJO FUERTE"))</f>
        <v/>
      </c>
      <c r="H13" s="17">
        <f>IF($B13="","",COUNTIFS(REGISTRO!$B$2:$B$1722,$B13,REGISTRO!$H$2:$H$1722,$C$5,REGISTRO!$J$2:$J$1722,"FALTA"))</f>
        <v/>
      </c>
      <c r="I13" s="17">
        <f>IF($B13="","",COUNTIFS(REGISTRO!$B$2:$B$1722,$B13,REGISTRO!$H$2:$H$1722,$C$5,REGISTRO!$J$2:$J$1722,"VACACIONES"))</f>
        <v/>
      </c>
      <c r="J13" s="17">
        <f>IF($B13="","",COUNTIFS(REGISTRO!$B$2:$B$1722,$B13,REGISTRO!$H$2:$H$1722,$C$5,REGISTRO!$J$2:$J$1722,"FESTIVO"))</f>
        <v/>
      </c>
      <c r="K13" s="17">
        <f>IF($B13="","",COUNTIFS(REGISTRO!$B$2:$B$1722,$B13,REGISTRO!$H$2:$H$1722,$C$5,REGISTRO!$J$2:$J$1722,"INCAPACIDAD"))</f>
        <v/>
      </c>
      <c r="L13" s="17">
        <f>IF($B13="","",COUNTIFS(REGISTRO!$B$2:$B$1722,$B13,REGISTRO!$H$2:$H$1722,$C$5,REGISTRO!$J$2:$J$1722,"PERMISO"))</f>
        <v/>
      </c>
      <c r="M13" s="17">
        <f>IF($B13="","",COUNTIFS(REGISTRO!$B$2:$B$1722,$B13,REGISTRO!$H$2:$H$1722,$C$5,REGISTRO!$J$2:$J$1722,"DESCANSO"))</f>
        <v/>
      </c>
      <c r="N13" s="17">
        <f>IF($B13="","",COUNTIFS(REGISTRO!$B$2:$B$1722,$B13,REGISTRO!$H$2:$H$1722,$C$5,REGISTRO!$J$2:$J$1722,"DESCANSO POR DINAMICA"))</f>
        <v/>
      </c>
      <c r="O13" s="17">
        <f>IF($B13="","",COUNTIFS(REGISTRO!$B$2:$B$1722,$B13,REGISTRO!$H$2:$H$1722,$C$5,REGISTRO!$J$2:$J$1722,"DINAMICA"))</f>
        <v/>
      </c>
    </row>
    <row r="14" ht="15" customHeight="1" s="58">
      <c r="A14" s="1" t="n"/>
      <c r="B14" s="17">
        <f t="array" ref="B14">IFERROR(INDEX(PERSONAL!$A:$A,MATCH($B$3&amp;"|"&amp;7,PERSONAL!$N:$N,0)),"")</f>
        <v/>
      </c>
      <c r="C14" s="18">
        <f t="array" ref="C14">IFERROR(INDEX(PERSONAL!$B:$B,MATCH($B$3&amp;"|"&amp;7,PERSONAL!$N:$N,0)),"")</f>
        <v/>
      </c>
      <c r="D14" s="17">
        <f>IF($B14="","",COUNTIFS(REGISTRO!$B$2:$B$1722,$B14,REGISTRO!$H$2:$H$1722,$C$5,REGISTRO!$J$2:$J$1722,"VERDE"))</f>
        <v/>
      </c>
      <c r="E14" s="17">
        <f>IF($B14="","",COUNTIFS(REGISTRO!$B$2:$B$1722,$B14,REGISTRO!$H$2:$H$1722,$C$5,REGISTRO!$J$2:$J$1722,"AMARILLO"))</f>
        <v/>
      </c>
      <c r="F14" s="17">
        <f>IF($B14="","",COUNTIFS(REGISTRO!$B$2:$B$1722,$B14,REGISTRO!$H$2:$H$1722,$C$5,REGISTRO!$J$2:$J$1722,"ROJO"))</f>
        <v/>
      </c>
      <c r="G14" s="17">
        <f>IF($B14="","",COUNTIFS(REGISTRO!$B$2:$B$1722,$B14,REGISTRO!$H$2:$H$1722,$C$5,REGISTRO!$J$2:$J$1722,"ROJO FUERTE"))</f>
        <v/>
      </c>
      <c r="H14" s="17">
        <f>IF($B14="","",COUNTIFS(REGISTRO!$B$2:$B$1722,$B14,REGISTRO!$H$2:$H$1722,$C$5,REGISTRO!$J$2:$J$1722,"FALTA"))</f>
        <v/>
      </c>
      <c r="I14" s="17">
        <f>IF($B14="","",COUNTIFS(REGISTRO!$B$2:$B$1722,$B14,REGISTRO!$H$2:$H$1722,$C$5,REGISTRO!$J$2:$J$1722,"VACACIONES"))</f>
        <v/>
      </c>
      <c r="J14" s="17">
        <f>IF($B14="","",COUNTIFS(REGISTRO!$B$2:$B$1722,$B14,REGISTRO!$H$2:$H$1722,$C$5,REGISTRO!$J$2:$J$1722,"FESTIVO"))</f>
        <v/>
      </c>
      <c r="K14" s="17">
        <f>IF($B14="","",COUNTIFS(REGISTRO!$B$2:$B$1722,$B14,REGISTRO!$H$2:$H$1722,$C$5,REGISTRO!$J$2:$J$1722,"INCAPACIDAD"))</f>
        <v/>
      </c>
      <c r="L14" s="17">
        <f>IF($B14="","",COUNTIFS(REGISTRO!$B$2:$B$1722,$B14,REGISTRO!$H$2:$H$1722,$C$5,REGISTRO!$J$2:$J$1722,"PERMISO"))</f>
        <v/>
      </c>
      <c r="M14" s="17">
        <f>IF($B14="","",COUNTIFS(REGISTRO!$B$2:$B$1722,$B14,REGISTRO!$H$2:$H$1722,$C$5,REGISTRO!$J$2:$J$1722,"DESCANSO"))</f>
        <v/>
      </c>
      <c r="N14" s="17">
        <f>IF($B14="","",COUNTIFS(REGISTRO!$B$2:$B$1722,$B14,REGISTRO!$H$2:$H$1722,$C$5,REGISTRO!$J$2:$J$1722,"DESCANSO POR DINAMICA"))</f>
        <v/>
      </c>
      <c r="O14" s="17">
        <f>IF($B14="","",COUNTIFS(REGISTRO!$B$2:$B$1722,$B14,REGISTRO!$H$2:$H$1722,$C$5,REGISTRO!$J$2:$J$1722,"DINAMICA"))</f>
        <v/>
      </c>
    </row>
    <row r="15" ht="15" customHeight="1" s="58">
      <c r="A15" s="1" t="n"/>
      <c r="B15" s="17">
        <f t="array" ref="B15">IFERROR(INDEX(PERSONAL!$A:$A,MATCH($B$3&amp;"|"&amp;8,PERSONAL!$N:$N,0)),"")</f>
        <v/>
      </c>
      <c r="C15" s="18">
        <f t="array" ref="C15">IFERROR(INDEX(PERSONAL!$B:$B,MATCH($B$3&amp;"|"&amp;8,PERSONAL!$N:$N,0)),"")</f>
        <v/>
      </c>
      <c r="D15" s="17">
        <f>IF($B15="","",COUNTIFS(REGISTRO!$B$2:$B$1722,$B15,REGISTRO!$H$2:$H$1722,$C$5,REGISTRO!$J$2:$J$1722,"VERDE"))</f>
        <v/>
      </c>
      <c r="E15" s="17">
        <f>IF($B15="","",COUNTIFS(REGISTRO!$B$2:$B$1722,$B15,REGISTRO!$H$2:$H$1722,$C$5,REGISTRO!$J$2:$J$1722,"AMARILLO"))</f>
        <v/>
      </c>
      <c r="F15" s="17">
        <f>IF($B15="","",COUNTIFS(REGISTRO!$B$2:$B$1722,$B15,REGISTRO!$H$2:$H$1722,$C$5,REGISTRO!$J$2:$J$1722,"ROJO"))</f>
        <v/>
      </c>
      <c r="G15" s="17">
        <f>IF($B15="","",COUNTIFS(REGISTRO!$B$2:$B$1722,$B15,REGISTRO!$H$2:$H$1722,$C$5,REGISTRO!$J$2:$J$1722,"ROJO FUERTE"))</f>
        <v/>
      </c>
      <c r="H15" s="17">
        <f>IF($B15="","",COUNTIFS(REGISTRO!$B$2:$B$1722,$B15,REGISTRO!$H$2:$H$1722,$C$5,REGISTRO!$J$2:$J$1722,"FALTA"))</f>
        <v/>
      </c>
      <c r="I15" s="17">
        <f>IF($B15="","",COUNTIFS(REGISTRO!$B$2:$B$1722,$B15,REGISTRO!$H$2:$H$1722,$C$5,REGISTRO!$J$2:$J$1722,"VACACIONES"))</f>
        <v/>
      </c>
      <c r="J15" s="17">
        <f>IF($B15="","",COUNTIFS(REGISTRO!$B$2:$B$1722,$B15,REGISTRO!$H$2:$H$1722,$C$5,REGISTRO!$J$2:$J$1722,"FESTIVO"))</f>
        <v/>
      </c>
      <c r="K15" s="17">
        <f>IF($B15="","",COUNTIFS(REGISTRO!$B$2:$B$1722,$B15,REGISTRO!$H$2:$H$1722,$C$5,REGISTRO!$J$2:$J$1722,"INCAPACIDAD"))</f>
        <v/>
      </c>
      <c r="L15" s="17">
        <f>IF($B15="","",COUNTIFS(REGISTRO!$B$2:$B$1722,$B15,REGISTRO!$H$2:$H$1722,$C$5,REGISTRO!$J$2:$J$1722,"PERMISO"))</f>
        <v/>
      </c>
      <c r="M15" s="17">
        <f>IF($B15="","",COUNTIFS(REGISTRO!$B$2:$B$1722,$B15,REGISTRO!$H$2:$H$1722,$C$5,REGISTRO!$J$2:$J$1722,"DESCANSO"))</f>
        <v/>
      </c>
      <c r="N15" s="17">
        <f>IF($B15="","",COUNTIFS(REGISTRO!$B$2:$B$1722,$B15,REGISTRO!$H$2:$H$1722,$C$5,REGISTRO!$J$2:$J$1722,"DESCANSO POR DINAMICA"))</f>
        <v/>
      </c>
      <c r="O15" s="17">
        <f>IF($B15="","",COUNTIFS(REGISTRO!$B$2:$B$1722,$B15,REGISTRO!$H$2:$H$1722,$C$5,REGISTRO!$J$2:$J$1722,"DINAMICA"))</f>
        <v/>
      </c>
    </row>
    <row r="16" ht="15" customHeight="1" s="58">
      <c r="A16" s="1" t="n"/>
      <c r="B16" s="17">
        <f t="array" ref="B16">IFERROR(INDEX(PERSONAL!$A:$A,MATCH($B$3&amp;"|"&amp;9,PERSONAL!$N:$N,0)),"")</f>
        <v/>
      </c>
      <c r="C16" s="18">
        <f t="array" ref="C16">IFERROR(INDEX(PERSONAL!$B:$B,MATCH($B$3&amp;"|"&amp;9,PERSONAL!$N:$N,0)),"")</f>
        <v/>
      </c>
      <c r="D16" s="17">
        <f>IF($B16="","",COUNTIFS(REGISTRO!$B$2:$B$1722,$B16,REGISTRO!$H$2:$H$1722,$C$5,REGISTRO!$J$2:$J$1722,"VERDE"))</f>
        <v/>
      </c>
      <c r="E16" s="17">
        <f>IF($B16="","",COUNTIFS(REGISTRO!$B$2:$B$1722,$B16,REGISTRO!$H$2:$H$1722,$C$5,REGISTRO!$J$2:$J$1722,"AMARILLO"))</f>
        <v/>
      </c>
      <c r="F16" s="17">
        <f>IF($B16="","",COUNTIFS(REGISTRO!$B$2:$B$1722,$B16,REGISTRO!$H$2:$H$1722,$C$5,REGISTRO!$J$2:$J$1722,"ROJO"))</f>
        <v/>
      </c>
      <c r="G16" s="17">
        <f>IF($B16="","",COUNTIFS(REGISTRO!$B$2:$B$1722,$B16,REGISTRO!$H$2:$H$1722,$C$5,REGISTRO!$J$2:$J$1722,"ROJO FUERTE"))</f>
        <v/>
      </c>
      <c r="H16" s="17">
        <f>IF($B16="","",COUNTIFS(REGISTRO!$B$2:$B$1722,$B16,REGISTRO!$H$2:$H$1722,$C$5,REGISTRO!$J$2:$J$1722,"FALTA"))</f>
        <v/>
      </c>
      <c r="I16" s="17">
        <f>IF($B16="","",COUNTIFS(REGISTRO!$B$2:$B$1722,$B16,REGISTRO!$H$2:$H$1722,$C$5,REGISTRO!$J$2:$J$1722,"VACACIONES"))</f>
        <v/>
      </c>
      <c r="J16" s="17">
        <f>IF($B16="","",COUNTIFS(REGISTRO!$B$2:$B$1722,$B16,REGISTRO!$H$2:$H$1722,$C$5,REGISTRO!$J$2:$J$1722,"FESTIVO"))</f>
        <v/>
      </c>
      <c r="K16" s="17">
        <f>IF($B16="","",COUNTIFS(REGISTRO!$B$2:$B$1722,$B16,REGISTRO!$H$2:$H$1722,$C$5,REGISTRO!$J$2:$J$1722,"INCAPACIDAD"))</f>
        <v/>
      </c>
      <c r="L16" s="17">
        <f>IF($B16="","",COUNTIFS(REGISTRO!$B$2:$B$1722,$B16,REGISTRO!$H$2:$H$1722,$C$5,REGISTRO!$J$2:$J$1722,"PERMISO"))</f>
        <v/>
      </c>
      <c r="M16" s="17">
        <f>IF($B16="","",COUNTIFS(REGISTRO!$B$2:$B$1722,$B16,REGISTRO!$H$2:$H$1722,$C$5,REGISTRO!$J$2:$J$1722,"DESCANSO"))</f>
        <v/>
      </c>
      <c r="N16" s="17">
        <f>IF($B16="","",COUNTIFS(REGISTRO!$B$2:$B$1722,$B16,REGISTRO!$H$2:$H$1722,$C$5,REGISTRO!$J$2:$J$1722,"DESCANSO POR DINAMICA"))</f>
        <v/>
      </c>
      <c r="O16" s="17">
        <f>IF($B16="","",COUNTIFS(REGISTRO!$B$2:$B$1722,$B16,REGISTRO!$H$2:$H$1722,$C$5,REGISTRO!$J$2:$J$1722,"DINAMICA"))</f>
        <v/>
      </c>
    </row>
    <row r="17" ht="15" customHeight="1" s="58">
      <c r="A17" s="1" t="n"/>
      <c r="B17" s="17">
        <f t="array" ref="B17">IFERROR(INDEX(PERSONAL!$A:$A,MATCH($B$3&amp;"|"&amp;10,PERSONAL!$N:$N,0)),"")</f>
        <v/>
      </c>
      <c r="C17" s="18">
        <f t="array" ref="C17">IFERROR(INDEX(PERSONAL!$B:$B,MATCH($B$3&amp;"|"&amp;10,PERSONAL!$N:$N,0)),"")</f>
        <v/>
      </c>
      <c r="D17" s="17">
        <f>IF($B17="","",COUNTIFS(REGISTRO!$B$2:$B$1722,$B17,REGISTRO!$H$2:$H$1722,$C$5,REGISTRO!$J$2:$J$1722,"VERDE"))</f>
        <v/>
      </c>
      <c r="E17" s="17">
        <f>IF($B17="","",COUNTIFS(REGISTRO!$B$2:$B$1722,$B17,REGISTRO!$H$2:$H$1722,$C$5,REGISTRO!$J$2:$J$1722,"AMARILLO"))</f>
        <v/>
      </c>
      <c r="F17" s="17">
        <f>IF($B17="","",COUNTIFS(REGISTRO!$B$2:$B$1722,$B17,REGISTRO!$H$2:$H$1722,$C$5,REGISTRO!$J$2:$J$1722,"ROJO"))</f>
        <v/>
      </c>
      <c r="G17" s="17">
        <f>IF($B17="","",COUNTIFS(REGISTRO!$B$2:$B$1722,$B17,REGISTRO!$H$2:$H$1722,$C$5,REGISTRO!$J$2:$J$1722,"ROJO FUERTE"))</f>
        <v/>
      </c>
      <c r="H17" s="17">
        <f>IF($B17="","",COUNTIFS(REGISTRO!$B$2:$B$1722,$B17,REGISTRO!$H$2:$H$1722,$C$5,REGISTRO!$J$2:$J$1722,"FALTA"))</f>
        <v/>
      </c>
      <c r="I17" s="17">
        <f>IF($B17="","",COUNTIFS(REGISTRO!$B$2:$B$1722,$B17,REGISTRO!$H$2:$H$1722,$C$5,REGISTRO!$J$2:$J$1722,"VACACIONES"))</f>
        <v/>
      </c>
      <c r="J17" s="17">
        <f>IF($B17="","",COUNTIFS(REGISTRO!$B$2:$B$1722,$B17,REGISTRO!$H$2:$H$1722,$C$5,REGISTRO!$J$2:$J$1722,"FESTIVO"))</f>
        <v/>
      </c>
      <c r="K17" s="17">
        <f>IF($B17="","",COUNTIFS(REGISTRO!$B$2:$B$1722,$B17,REGISTRO!$H$2:$H$1722,$C$5,REGISTRO!$J$2:$J$1722,"INCAPACIDAD"))</f>
        <v/>
      </c>
      <c r="L17" s="17">
        <f>IF($B17="","",COUNTIFS(REGISTRO!$B$2:$B$1722,$B17,REGISTRO!$H$2:$H$1722,$C$5,REGISTRO!$J$2:$J$1722,"PERMISO"))</f>
        <v/>
      </c>
      <c r="M17" s="17">
        <f>IF($B17="","",COUNTIFS(REGISTRO!$B$2:$B$1722,$B17,REGISTRO!$H$2:$H$1722,$C$5,REGISTRO!$J$2:$J$1722,"DESCANSO"))</f>
        <v/>
      </c>
      <c r="N17" s="17">
        <f>IF($B17="","",COUNTIFS(REGISTRO!$B$2:$B$1722,$B17,REGISTRO!$H$2:$H$1722,$C$5,REGISTRO!$J$2:$J$1722,"DESCANSO POR DINAMICA"))</f>
        <v/>
      </c>
      <c r="O17" s="17">
        <f>IF($B17="","",COUNTIFS(REGISTRO!$B$2:$B$1722,$B17,REGISTRO!$H$2:$H$1722,$C$5,REGISTRO!$J$2:$J$1722,"DINAMICA"))</f>
        <v/>
      </c>
    </row>
    <row r="18" ht="15" customHeight="1" s="58">
      <c r="A18" s="1" t="n"/>
      <c r="B18" s="17">
        <f t="array" ref="B18">IFERROR(INDEX(PERSONAL!$A:$A,MATCH($B$3&amp;"|"&amp;11,PERSONAL!$N:$N,0)),"")</f>
        <v/>
      </c>
      <c r="C18" s="18">
        <f t="array" ref="C18">IFERROR(INDEX(PERSONAL!$B:$B,MATCH($B$3&amp;"|"&amp;11,PERSONAL!$N:$N,0)),"")</f>
        <v/>
      </c>
      <c r="D18" s="17">
        <f>IF($B18="","",COUNTIFS(REGISTRO!$B$2:$B$1722,$B18,REGISTRO!$H$2:$H$1722,$C$5,REGISTRO!$J$2:$J$1722,"VERDE"))</f>
        <v/>
      </c>
      <c r="E18" s="17">
        <f>IF($B18="","",COUNTIFS(REGISTRO!$B$2:$B$1722,$B18,REGISTRO!$H$2:$H$1722,$C$5,REGISTRO!$J$2:$J$1722,"AMARILLO"))</f>
        <v/>
      </c>
      <c r="F18" s="17">
        <f>IF($B18="","",COUNTIFS(REGISTRO!$B$2:$B$1722,$B18,REGISTRO!$H$2:$H$1722,$C$5,REGISTRO!$J$2:$J$1722,"ROJO"))</f>
        <v/>
      </c>
      <c r="G18" s="17">
        <f>IF($B18="","",COUNTIFS(REGISTRO!$B$2:$B$1722,$B18,REGISTRO!$H$2:$H$1722,$C$5,REGISTRO!$J$2:$J$1722,"ROJO FUERTE"))</f>
        <v/>
      </c>
      <c r="H18" s="17">
        <f>IF($B18="","",COUNTIFS(REGISTRO!$B$2:$B$1722,$B18,REGISTRO!$H$2:$H$1722,$C$5,REGISTRO!$J$2:$J$1722,"FALTA"))</f>
        <v/>
      </c>
      <c r="I18" s="17">
        <f>IF($B18="","",COUNTIFS(REGISTRO!$B$2:$B$1722,$B18,REGISTRO!$H$2:$H$1722,$C$5,REGISTRO!$J$2:$J$1722,"VACACIONES"))</f>
        <v/>
      </c>
      <c r="J18" s="17">
        <f>IF($B18="","",COUNTIFS(REGISTRO!$B$2:$B$1722,$B18,REGISTRO!$H$2:$H$1722,$C$5,REGISTRO!$J$2:$J$1722,"FESTIVO"))</f>
        <v/>
      </c>
      <c r="K18" s="17">
        <f>IF($B18="","",COUNTIFS(REGISTRO!$B$2:$B$1722,$B18,REGISTRO!$H$2:$H$1722,$C$5,REGISTRO!$J$2:$J$1722,"INCAPACIDAD"))</f>
        <v/>
      </c>
      <c r="L18" s="17">
        <f>IF($B18="","",COUNTIFS(REGISTRO!$B$2:$B$1722,$B18,REGISTRO!$H$2:$H$1722,$C$5,REGISTRO!$J$2:$J$1722,"PERMISO"))</f>
        <v/>
      </c>
      <c r="M18" s="17">
        <f>IF($B18="","",COUNTIFS(REGISTRO!$B$2:$B$1722,$B18,REGISTRO!$H$2:$H$1722,$C$5,REGISTRO!$J$2:$J$1722,"DESCANSO"))</f>
        <v/>
      </c>
      <c r="N18" s="17">
        <f>IF($B18="","",COUNTIFS(REGISTRO!$B$2:$B$1722,$B18,REGISTRO!$H$2:$H$1722,$C$5,REGISTRO!$J$2:$J$1722,"DESCANSO POR DINAMICA"))</f>
        <v/>
      </c>
      <c r="O18" s="17">
        <f>IF($B18="","",COUNTIFS(REGISTRO!$B$2:$B$1722,$B18,REGISTRO!$H$2:$H$1722,$C$5,REGISTRO!$J$2:$J$1722,"DINAMICA"))</f>
        <v/>
      </c>
    </row>
    <row r="19" ht="15" customHeight="1" s="58">
      <c r="A19" s="1" t="n"/>
      <c r="B19" s="17">
        <f t="array" ref="B19">IFERROR(INDEX(PERSONAL!$A:$A,MATCH($B$3&amp;"|"&amp;12,PERSONAL!$N:$N,0)),"")</f>
        <v/>
      </c>
      <c r="C19" s="18">
        <f t="array" ref="C19">IFERROR(INDEX(PERSONAL!$B:$B,MATCH($B$3&amp;"|"&amp;12,PERSONAL!$N:$N,0)),"")</f>
        <v/>
      </c>
      <c r="D19" s="17">
        <f>IF($B19="","",COUNTIFS(REGISTRO!$B$2:$B$1722,$B19,REGISTRO!$H$2:$H$1722,$C$5,REGISTRO!$J$2:$J$1722,"VERDE"))</f>
        <v/>
      </c>
      <c r="E19" s="17">
        <f>IF($B19="","",COUNTIFS(REGISTRO!$B$2:$B$1722,$B19,REGISTRO!$H$2:$H$1722,$C$5,REGISTRO!$J$2:$J$1722,"AMARILLO"))</f>
        <v/>
      </c>
      <c r="F19" s="17">
        <f>IF($B19="","",COUNTIFS(REGISTRO!$B$2:$B$1722,$B19,REGISTRO!$H$2:$H$1722,$C$5,REGISTRO!$J$2:$J$1722,"ROJO"))</f>
        <v/>
      </c>
      <c r="G19" s="17">
        <f>IF($B19="","",COUNTIFS(REGISTRO!$B$2:$B$1722,$B19,REGISTRO!$H$2:$H$1722,$C$5,REGISTRO!$J$2:$J$1722,"ROJO FUERTE"))</f>
        <v/>
      </c>
      <c r="H19" s="17">
        <f>IF($B19="","",COUNTIFS(REGISTRO!$B$2:$B$1722,$B19,REGISTRO!$H$2:$H$1722,$C$5,REGISTRO!$J$2:$J$1722,"FALTA"))</f>
        <v/>
      </c>
      <c r="I19" s="17">
        <f>IF($B19="","",COUNTIFS(REGISTRO!$B$2:$B$1722,$B19,REGISTRO!$H$2:$H$1722,$C$5,REGISTRO!$J$2:$J$1722,"VACACIONES"))</f>
        <v/>
      </c>
      <c r="J19" s="17">
        <f>IF($B19="","",COUNTIFS(REGISTRO!$B$2:$B$1722,$B19,REGISTRO!$H$2:$H$1722,$C$5,REGISTRO!$J$2:$J$1722,"FESTIVO"))</f>
        <v/>
      </c>
      <c r="K19" s="17">
        <f>IF($B19="","",COUNTIFS(REGISTRO!$B$2:$B$1722,$B19,REGISTRO!$H$2:$H$1722,$C$5,REGISTRO!$J$2:$J$1722,"INCAPACIDAD"))</f>
        <v/>
      </c>
      <c r="L19" s="17">
        <f>IF($B19="","",COUNTIFS(REGISTRO!$B$2:$B$1722,$B19,REGISTRO!$H$2:$H$1722,$C$5,REGISTRO!$J$2:$J$1722,"PERMISO"))</f>
        <v/>
      </c>
      <c r="M19" s="17">
        <f>IF($B19="","",COUNTIFS(REGISTRO!$B$2:$B$1722,$B19,REGISTRO!$H$2:$H$1722,$C$5,REGISTRO!$J$2:$J$1722,"DESCANSO"))</f>
        <v/>
      </c>
      <c r="N19" s="17">
        <f>IF($B19="","",COUNTIFS(REGISTRO!$B$2:$B$1722,$B19,REGISTRO!$H$2:$H$1722,$C$5,REGISTRO!$J$2:$J$1722,"DESCANSO POR DINAMICA"))</f>
        <v/>
      </c>
      <c r="O19" s="17">
        <f>IF($B19="","",COUNTIFS(REGISTRO!$B$2:$B$1722,$B19,REGISTRO!$H$2:$H$1722,$C$5,REGISTRO!$J$2:$J$1722,"DINAMICA"))</f>
        <v/>
      </c>
    </row>
    <row r="20" ht="15" customHeight="1" s="58">
      <c r="A20" s="1" t="n"/>
      <c r="B20" s="62" t="inlineStr">
        <is>
          <t>TOTAL</t>
        </is>
      </c>
      <c r="C20" s="63" t="n"/>
      <c r="D20" s="21">
        <f>SUM(D8:D19)</f>
        <v/>
      </c>
      <c r="E20" s="21">
        <f>SUM(E8:E19)</f>
        <v/>
      </c>
      <c r="F20" s="21">
        <f>SUM(F8:F19)</f>
        <v/>
      </c>
      <c r="G20" s="21">
        <f>SUM(G8:G19)</f>
        <v/>
      </c>
      <c r="H20" s="21">
        <f>SUM(H8:H19)</f>
        <v/>
      </c>
      <c r="I20" s="21">
        <f>SUM(I8:I19)</f>
        <v/>
      </c>
      <c r="J20" s="21">
        <f>SUM(J8:J19)</f>
        <v/>
      </c>
      <c r="K20" s="21">
        <f>SUM(K8:K19)</f>
        <v/>
      </c>
      <c r="L20" s="21">
        <f>SUM(L8:L19)</f>
        <v/>
      </c>
      <c r="M20" s="21">
        <f>SUM(M8:M19)</f>
        <v/>
      </c>
      <c r="N20" s="21">
        <f>SUM(N8:N19)</f>
        <v/>
      </c>
      <c r="O20" s="21">
        <f>SUM(O8:O19)</f>
        <v/>
      </c>
    </row>
    <row r="21" ht="17.25" customHeight="1" s="58">
      <c r="A21" s="1" t="n"/>
      <c r="B21" s="11" t="inlineStr">
        <is>
          <t>% VERDE</t>
        </is>
      </c>
      <c r="C21" s="63" t="n"/>
      <c r="D21" s="64">
        <f>IF(SUM(D20:H20)=0,0,D20/SUM(D20:H20))</f>
        <v/>
      </c>
      <c r="E21" s="65" t="n"/>
      <c r="F21" s="65" t="n"/>
      <c r="G21" s="65" t="n"/>
      <c r="H21" s="63" t="n"/>
      <c r="I21" s="1" t="n"/>
    </row>
    <row r="22" ht="15" customHeight="1" s="58">
      <c r="A22" s="1" t="n"/>
      <c r="B22" s="66" t="inlineStr">
        <is>
          <t>REGISTROS / PROM. HORAS</t>
        </is>
      </c>
      <c r="C22" s="63" t="n"/>
      <c r="D22" s="26">
        <f>COUNTIFS(REGISTRO!$F$2:$F$1722,$B$3,REGISTRO!$H$2:$H$1722,$C$5)</f>
        <v/>
      </c>
      <c r="E22" s="67">
        <f>IFERROR(AVERAGEIFS(REGISTRO!$K$2:$K$1722,REGISTRO!$F$2:$F$1722,$B$3,REGISTRO!$H$2:$H$1722,$C$5),0)</f>
        <v/>
      </c>
      <c r="F22" s="65" t="n"/>
      <c r="G22" s="65" t="n"/>
      <c r="H22" s="63" t="n"/>
      <c r="I22" s="1" t="n"/>
    </row>
    <row r="23" ht="15.75" customHeight="1" s="5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5.75" customHeight="1" s="5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15.75" customHeight="1" s="5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5.75" customHeight="1" s="5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5.75" customHeight="1" s="5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5.75" customHeight="1" s="5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5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5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5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5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5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5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5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5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5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5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5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5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5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5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5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5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5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5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5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5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5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5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5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5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5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5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5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5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5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5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5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5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5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5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5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5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5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5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5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5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5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5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5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5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5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5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5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5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5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5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5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5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5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5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5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5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5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5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5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5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5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5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5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5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5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5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5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5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5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5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5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5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5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5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5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5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5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5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5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5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5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5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5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5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5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5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5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5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5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5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5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5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5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5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5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5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5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5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5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5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5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5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5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5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5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5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5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5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5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5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5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5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5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5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5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5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5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5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5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5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5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5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5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5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5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5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5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5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5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5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5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5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5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5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5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5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5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5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5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5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5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5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5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5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5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5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5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5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5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5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5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5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5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5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5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5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5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5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5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5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5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5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5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5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5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5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5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5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5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5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5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5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5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5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5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5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5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5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5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5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5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5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5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5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5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5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5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5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5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5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5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5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5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5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5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5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5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5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5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5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5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5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5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5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5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5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5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5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5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5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5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5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5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5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5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5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5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5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5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5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5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5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5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5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5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5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5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5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5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5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5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5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5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5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5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5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5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5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5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5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5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5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5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5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5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5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5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5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5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5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5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5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5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5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5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5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5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5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5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5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5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5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5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5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5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5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5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5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5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5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5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5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5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5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5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5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5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5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5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5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5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5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5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5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5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5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5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5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5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5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5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5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5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5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5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5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5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5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5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5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5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5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5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5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5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5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5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5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5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5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5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5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5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5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5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5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5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5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5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5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5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5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5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5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5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5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5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5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5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5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5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5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5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5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5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5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5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5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5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5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5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5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5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5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5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5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5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5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5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5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5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5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5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5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5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5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5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5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5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5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5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5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5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5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5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5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5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5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5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5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5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5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5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5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5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5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5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5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5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5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5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5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5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5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5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5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5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5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5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5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5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5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5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5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5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5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5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5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5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5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5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5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5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5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5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5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5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5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5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5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5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5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5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5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5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5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5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5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5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5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5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5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5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5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5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5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5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5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5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5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5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5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5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5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5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5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5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5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5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5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5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5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5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5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5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5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5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5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5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5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5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5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5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5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5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5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5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5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5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5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5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5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5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5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5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5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5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5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5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5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5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5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5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5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5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5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5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5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5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5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5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5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5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5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5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5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5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5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5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5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5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5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5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5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5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5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5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5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5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5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5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5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5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5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5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5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5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5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5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5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5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5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5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5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5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5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5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5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5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5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5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5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5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5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5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5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5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5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5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5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5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5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5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5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5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5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5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5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5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5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5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5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5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5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5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5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5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5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5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5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5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5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5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5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5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5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5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5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5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5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5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5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5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5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5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5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5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5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5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5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5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5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5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5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5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5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5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5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5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5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5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5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5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5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5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5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5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5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5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5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5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5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5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5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5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5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5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5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5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5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5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5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5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5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5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5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5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5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5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5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5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5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5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5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5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5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5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5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5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5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5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5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5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5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5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5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5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5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5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5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5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5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5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5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5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5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5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5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5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5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5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5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5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5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5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5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5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5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5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5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5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5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5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5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5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5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5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5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5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5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5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5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5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5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5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5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5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5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5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5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5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5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5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5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5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5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5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5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5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5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5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5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5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5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5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5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5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5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5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5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5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5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5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5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5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5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5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5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5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5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5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5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5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5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5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5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5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5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5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5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5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5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5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5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5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5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5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5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5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5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5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5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5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5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5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5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5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5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5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5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5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5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5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5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5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5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5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5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5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5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5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5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5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5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5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5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5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5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5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5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5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5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5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5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5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5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5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5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5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5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5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5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5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5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5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5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5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5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5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5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5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5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5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5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5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5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5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5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5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5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5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5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5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5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5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5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5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5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5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5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5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5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5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5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5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5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5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5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5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5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5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5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5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5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5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5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5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5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5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5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5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5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5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5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5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5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5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5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5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5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5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5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5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5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5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5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5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5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5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5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5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5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5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5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5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5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5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5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5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5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5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5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5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5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5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5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5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5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5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5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5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5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5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5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5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5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5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5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5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5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5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5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5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5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5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5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5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5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5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5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5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5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5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5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5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5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5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5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5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5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5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5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5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5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5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5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5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5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5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5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5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5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5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5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5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5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5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5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5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5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5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5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5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5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5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5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5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5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5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5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5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5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5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5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5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5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5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5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5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5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5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5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5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5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5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5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5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5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5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5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5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5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5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5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5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5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5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5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5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5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5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5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5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5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5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5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5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5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5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5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5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5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5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5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5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5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5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5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5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5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5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58">
      <c r="A1000" s="1" t="inlineStr">
        <is>
          <t>Demo publico: datos ficticios anonimizados para portafolio.</t>
        </is>
      </c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10">
    <mergeCell ref="D21:H21"/>
    <mergeCell ref="B21:C21"/>
    <mergeCell ref="B4:H4"/>
    <mergeCell ref="B20:C20"/>
    <mergeCell ref="B6:H6"/>
    <mergeCell ref="B22:C22"/>
    <mergeCell ref="B2:H2"/>
    <mergeCell ref="D5:H5"/>
    <mergeCell ref="B3:H3"/>
    <mergeCell ref="E22:H22"/>
  </mergeCells>
  <conditionalFormatting sqref="D8:D19">
    <cfRule type="expression" priority="1" dxfId="0">
      <formula>$C8&lt;&gt;""</formula>
    </cfRule>
  </conditionalFormatting>
  <conditionalFormatting sqref="E8:E19">
    <cfRule type="expression" priority="2" dxfId="1">
      <formula>$C8&lt;&gt;""</formula>
    </cfRule>
  </conditionalFormatting>
  <conditionalFormatting sqref="F8:F19">
    <cfRule type="expression" priority="3" dxfId="2">
      <formula>$C8&lt;&gt;""</formula>
    </cfRule>
  </conditionalFormatting>
  <conditionalFormatting sqref="G8:G19">
    <cfRule type="expression" priority="4" dxfId="3">
      <formula>$C8&lt;&gt;""</formula>
    </cfRule>
  </conditionalFormatting>
  <conditionalFormatting sqref="H8:H19">
    <cfRule type="expression" priority="5" dxfId="4">
      <formula>$C8&lt;&gt;""</formula>
    </cfRule>
  </conditionalFormatting>
  <dataValidations count="1">
    <dataValidation sqref="C5" showDropDown="0" showInputMessage="0" showErrorMessage="0" allowBlank="1" type="list">
      <formula1>"ENERO,FEBRERO,MARZO,ABRIL,MAYO,JUNIO,JULIO,AGOSTO,SEPTIEMBRE,OCTUBRE,NOVIEMBRE,DICIEMBRE"</formula1>
    </dataValidation>
  </dataValidations>
  <pageMargins left="0.3" right="0.3" top="0.4" bottom="0.4" header="0" footer="0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58" min="1" max="1"/>
    <col width="11" customWidth="1" style="58" min="2" max="2"/>
    <col width="39" customWidth="1" style="58" min="3" max="3"/>
    <col width="9" customWidth="1" style="58" min="4" max="4"/>
    <col width="11" customWidth="1" style="58" min="5" max="5"/>
    <col width="8" customWidth="1" style="58" min="6" max="6"/>
    <col width="12" customWidth="1" style="58" min="7" max="7"/>
    <col width="8" customWidth="1" style="58" min="8" max="8"/>
    <col width="11" customWidth="1" style="58" min="9" max="26"/>
    <col width="9" customWidth="1" style="58" min="10" max="10"/>
    <col width="12" customWidth="1" style="58" min="11" max="11"/>
    <col width="9" customWidth="1" style="58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" customHeight="1" s="58">
      <c r="A2" s="1" t="n"/>
      <c r="B2" s="2" t="inlineStr">
        <is>
          <t>SUPERVISOR</t>
        </is>
      </c>
      <c r="I2" s="1" t="n"/>
    </row>
    <row r="3" ht="21.75" customHeight="1" s="58">
      <c r="A3" s="1" t="n"/>
      <c r="B3" s="3" t="inlineStr">
        <is>
          <t>MATEO HERRERA SOLIS</t>
        </is>
      </c>
      <c r="I3" s="1" t="n"/>
    </row>
    <row r="4" ht="15" customHeight="1" s="58">
      <c r="A4" s="1" t="n"/>
      <c r="B4" s="59" t="n"/>
      <c r="I4" s="1" t="n"/>
    </row>
    <row r="5" ht="15" customHeight="1" s="58">
      <c r="A5" s="1" t="n"/>
      <c r="B5" s="7" t="inlineStr">
        <is>
          <t>PERIODO</t>
        </is>
      </c>
      <c r="C5" s="8" t="inlineStr">
        <is>
          <t>JUNIO</t>
        </is>
      </c>
      <c r="D5" s="60" t="inlineStr">
        <is>
          <t>AÑO 2026</t>
        </is>
      </c>
      <c r="I5" s="1" t="n"/>
    </row>
    <row r="6" ht="15" customHeight="1" s="58">
      <c r="A6" s="1" t="n"/>
      <c r="B6" s="61" t="inlineStr">
        <is>
          <t>ASESORES</t>
        </is>
      </c>
      <c r="I6" s="1" t="n"/>
    </row>
    <row r="7" ht="15" customHeight="1" s="58">
      <c r="A7" s="1" t="n"/>
      <c r="B7" s="11" t="inlineStr">
        <is>
          <t>No. EMP</t>
        </is>
      </c>
      <c r="C7" s="11" t="inlineStr">
        <is>
          <t>NOMBRE</t>
        </is>
      </c>
      <c r="D7" s="12" t="inlineStr">
        <is>
          <t>VERDE</t>
        </is>
      </c>
      <c r="E7" s="13" t="inlineStr">
        <is>
          <t>AMARILLO</t>
        </is>
      </c>
      <c r="F7" s="14" t="inlineStr">
        <is>
          <t>ROJO</t>
        </is>
      </c>
      <c r="G7" s="15" t="inlineStr">
        <is>
          <t>ROJO FUERTE</t>
        </is>
      </c>
      <c r="H7" s="16" t="inlineStr">
        <is>
          <t>FALTA</t>
        </is>
      </c>
      <c r="I7" s="68" t="inlineStr">
        <is>
          <t>VACACIONES</t>
        </is>
      </c>
      <c r="J7" s="68" t="inlineStr">
        <is>
          <t>FESTIVO</t>
        </is>
      </c>
      <c r="K7" s="68" t="inlineStr">
        <is>
          <t>INCAPACIDAD</t>
        </is>
      </c>
      <c r="L7" s="68" t="inlineStr">
        <is>
          <t>PERMISO</t>
        </is>
      </c>
      <c r="M7" s="68" t="inlineStr">
        <is>
          <t>DESCANSO</t>
        </is>
      </c>
      <c r="N7" s="68" t="inlineStr">
        <is>
          <t>DESCANSO POR DINAMICA</t>
        </is>
      </c>
      <c r="O7" s="68" t="inlineStr">
        <is>
          <t>DINAMICA</t>
        </is>
      </c>
    </row>
    <row r="8" ht="15" customHeight="1" s="58">
      <c r="A8" s="1" t="n"/>
      <c r="B8" s="17">
        <f t="array" ref="B8">IFERROR(INDEX(PERSONAL!$A:$A,MATCH($B$3&amp;"|"&amp;1,PERSONAL!$N:$N,0)),"")</f>
        <v/>
      </c>
      <c r="C8" s="18">
        <f t="array" ref="C8">IFERROR(INDEX(PERSONAL!$B:$B,MATCH($B$3&amp;"|"&amp;1,PERSONAL!$N:$N,0)),"")</f>
        <v/>
      </c>
      <c r="D8" s="17">
        <f>IF($B8="","",COUNTIFS(REGISTRO!$B$2:$B$1722,$B8,REGISTRO!$H$2:$H$1722,$C$5,REGISTRO!$J$2:$J$1722,"VERDE"))</f>
        <v/>
      </c>
      <c r="E8" s="17">
        <f>IF($B8="","",COUNTIFS(REGISTRO!$B$2:$B$1722,$B8,REGISTRO!$H$2:$H$1722,$C$5,REGISTRO!$J$2:$J$1722,"AMARILLO"))</f>
        <v/>
      </c>
      <c r="F8" s="17">
        <f>IF($B8="","",COUNTIFS(REGISTRO!$B$2:$B$1722,$B8,REGISTRO!$H$2:$H$1722,$C$5,REGISTRO!$J$2:$J$1722,"ROJO"))</f>
        <v/>
      </c>
      <c r="G8" s="17">
        <f>IF($B8="","",COUNTIFS(REGISTRO!$B$2:$B$1722,$B8,REGISTRO!$H$2:$H$1722,$C$5,REGISTRO!$J$2:$J$1722,"ROJO FUERTE"))</f>
        <v/>
      </c>
      <c r="H8" s="17">
        <f>IF($B8="","",COUNTIFS(REGISTRO!$B$2:$B$1722,$B8,REGISTRO!$H$2:$H$1722,$C$5,REGISTRO!$J$2:$J$1722,"FALTA"))</f>
        <v/>
      </c>
      <c r="I8" s="17">
        <f>IF($B8="","",COUNTIFS(REGISTRO!$B$2:$B$1722,$B8,REGISTRO!$H$2:$H$1722,$C$5,REGISTRO!$J$2:$J$1722,"VACACIONES"))</f>
        <v/>
      </c>
      <c r="J8" s="17">
        <f>IF($B8="","",COUNTIFS(REGISTRO!$B$2:$B$1722,$B8,REGISTRO!$H$2:$H$1722,$C$5,REGISTRO!$J$2:$J$1722,"FESTIVO"))</f>
        <v/>
      </c>
      <c r="K8" s="17">
        <f>IF($B8="","",COUNTIFS(REGISTRO!$B$2:$B$1722,$B8,REGISTRO!$H$2:$H$1722,$C$5,REGISTRO!$J$2:$J$1722,"INCAPACIDAD"))</f>
        <v/>
      </c>
      <c r="L8" s="17">
        <f>IF($B8="","",COUNTIFS(REGISTRO!$B$2:$B$1722,$B8,REGISTRO!$H$2:$H$1722,$C$5,REGISTRO!$J$2:$J$1722,"PERMISO"))</f>
        <v/>
      </c>
      <c r="M8" s="17">
        <f>IF($B8="","",COUNTIFS(REGISTRO!$B$2:$B$1722,$B8,REGISTRO!$H$2:$H$1722,$C$5,REGISTRO!$J$2:$J$1722,"DESCANSO"))</f>
        <v/>
      </c>
      <c r="N8" s="17">
        <f>IF($B8="","",COUNTIFS(REGISTRO!$B$2:$B$1722,$B8,REGISTRO!$H$2:$H$1722,$C$5,REGISTRO!$J$2:$J$1722,"DESCANSO POR DINAMICA"))</f>
        <v/>
      </c>
      <c r="O8" s="17">
        <f>IF($B8="","",COUNTIFS(REGISTRO!$B$2:$B$1722,$B8,REGISTRO!$H$2:$H$1722,$C$5,REGISTRO!$J$2:$J$1722,"DINAMICA"))</f>
        <v/>
      </c>
    </row>
    <row r="9" ht="15" customHeight="1" s="58">
      <c r="A9" s="1" t="n"/>
      <c r="B9" s="17">
        <f t="array" ref="B9">IFERROR(INDEX(PERSONAL!$A:$A,MATCH($B$3&amp;"|"&amp;2,PERSONAL!$N:$N,0)),"")</f>
        <v/>
      </c>
      <c r="C9" s="18">
        <f t="array" ref="C9">IFERROR(INDEX(PERSONAL!$B:$B,MATCH($B$3&amp;"|"&amp;2,PERSONAL!$N:$N,0)),"")</f>
        <v/>
      </c>
      <c r="D9" s="17">
        <f>IF($B9="","",COUNTIFS(REGISTRO!$B$2:$B$1722,$B9,REGISTRO!$H$2:$H$1722,$C$5,REGISTRO!$J$2:$J$1722,"VERDE"))</f>
        <v/>
      </c>
      <c r="E9" s="17">
        <f>IF($B9="","",COUNTIFS(REGISTRO!$B$2:$B$1722,$B9,REGISTRO!$H$2:$H$1722,$C$5,REGISTRO!$J$2:$J$1722,"AMARILLO"))</f>
        <v/>
      </c>
      <c r="F9" s="17">
        <f>IF($B9="","",COUNTIFS(REGISTRO!$B$2:$B$1722,$B9,REGISTRO!$H$2:$H$1722,$C$5,REGISTRO!$J$2:$J$1722,"ROJO"))</f>
        <v/>
      </c>
      <c r="G9" s="17">
        <f>IF($B9="","",COUNTIFS(REGISTRO!$B$2:$B$1722,$B9,REGISTRO!$H$2:$H$1722,$C$5,REGISTRO!$J$2:$J$1722,"ROJO FUERTE"))</f>
        <v/>
      </c>
      <c r="H9" s="17">
        <f>IF($B9="","",COUNTIFS(REGISTRO!$B$2:$B$1722,$B9,REGISTRO!$H$2:$H$1722,$C$5,REGISTRO!$J$2:$J$1722,"FALTA"))</f>
        <v/>
      </c>
      <c r="I9" s="17">
        <f>IF($B9="","",COUNTIFS(REGISTRO!$B$2:$B$1722,$B9,REGISTRO!$H$2:$H$1722,$C$5,REGISTRO!$J$2:$J$1722,"VACACIONES"))</f>
        <v/>
      </c>
      <c r="J9" s="17">
        <f>IF($B9="","",COUNTIFS(REGISTRO!$B$2:$B$1722,$B9,REGISTRO!$H$2:$H$1722,$C$5,REGISTRO!$J$2:$J$1722,"FESTIVO"))</f>
        <v/>
      </c>
      <c r="K9" s="17">
        <f>IF($B9="","",COUNTIFS(REGISTRO!$B$2:$B$1722,$B9,REGISTRO!$H$2:$H$1722,$C$5,REGISTRO!$J$2:$J$1722,"INCAPACIDAD"))</f>
        <v/>
      </c>
      <c r="L9" s="17">
        <f>IF($B9="","",COUNTIFS(REGISTRO!$B$2:$B$1722,$B9,REGISTRO!$H$2:$H$1722,$C$5,REGISTRO!$J$2:$J$1722,"PERMISO"))</f>
        <v/>
      </c>
      <c r="M9" s="17">
        <f>IF($B9="","",COUNTIFS(REGISTRO!$B$2:$B$1722,$B9,REGISTRO!$H$2:$H$1722,$C$5,REGISTRO!$J$2:$J$1722,"DESCANSO"))</f>
        <v/>
      </c>
      <c r="N9" s="17">
        <f>IF($B9="","",COUNTIFS(REGISTRO!$B$2:$B$1722,$B9,REGISTRO!$H$2:$H$1722,$C$5,REGISTRO!$J$2:$J$1722,"DESCANSO POR DINAMICA"))</f>
        <v/>
      </c>
      <c r="O9" s="17">
        <f>IF($B9="","",COUNTIFS(REGISTRO!$B$2:$B$1722,$B9,REGISTRO!$H$2:$H$1722,$C$5,REGISTRO!$J$2:$J$1722,"DINAMICA"))</f>
        <v/>
      </c>
    </row>
    <row r="10" ht="15" customHeight="1" s="58">
      <c r="A10" s="1" t="n"/>
      <c r="B10" s="17">
        <f t="array" ref="B10">IFERROR(INDEX(PERSONAL!$A:$A,MATCH($B$3&amp;"|"&amp;3,PERSONAL!$N:$N,0)),"")</f>
        <v/>
      </c>
      <c r="C10" s="18">
        <f t="array" ref="C10">IFERROR(INDEX(PERSONAL!$B:$B,MATCH($B$3&amp;"|"&amp;3,PERSONAL!$N:$N,0)),"")</f>
        <v/>
      </c>
      <c r="D10" s="17">
        <f>IF($B10="","",COUNTIFS(REGISTRO!$B$2:$B$1722,$B10,REGISTRO!$H$2:$H$1722,$C$5,REGISTRO!$J$2:$J$1722,"VERDE"))</f>
        <v/>
      </c>
      <c r="E10" s="17">
        <f>IF($B10="","",COUNTIFS(REGISTRO!$B$2:$B$1722,$B10,REGISTRO!$H$2:$H$1722,$C$5,REGISTRO!$J$2:$J$1722,"AMARILLO"))</f>
        <v/>
      </c>
      <c r="F10" s="17">
        <f>IF($B10="","",COUNTIFS(REGISTRO!$B$2:$B$1722,$B10,REGISTRO!$H$2:$H$1722,$C$5,REGISTRO!$J$2:$J$1722,"ROJO"))</f>
        <v/>
      </c>
      <c r="G10" s="17">
        <f>IF($B10="","",COUNTIFS(REGISTRO!$B$2:$B$1722,$B10,REGISTRO!$H$2:$H$1722,$C$5,REGISTRO!$J$2:$J$1722,"ROJO FUERTE"))</f>
        <v/>
      </c>
      <c r="H10" s="17">
        <f>IF($B10="","",COUNTIFS(REGISTRO!$B$2:$B$1722,$B10,REGISTRO!$H$2:$H$1722,$C$5,REGISTRO!$J$2:$J$1722,"FALTA"))</f>
        <v/>
      </c>
      <c r="I10" s="17">
        <f>IF($B10="","",COUNTIFS(REGISTRO!$B$2:$B$1722,$B10,REGISTRO!$H$2:$H$1722,$C$5,REGISTRO!$J$2:$J$1722,"VACACIONES"))</f>
        <v/>
      </c>
      <c r="J10" s="17">
        <f>IF($B10="","",COUNTIFS(REGISTRO!$B$2:$B$1722,$B10,REGISTRO!$H$2:$H$1722,$C$5,REGISTRO!$J$2:$J$1722,"FESTIVO"))</f>
        <v/>
      </c>
      <c r="K10" s="17">
        <f>IF($B10="","",COUNTIFS(REGISTRO!$B$2:$B$1722,$B10,REGISTRO!$H$2:$H$1722,$C$5,REGISTRO!$J$2:$J$1722,"INCAPACIDAD"))</f>
        <v/>
      </c>
      <c r="L10" s="17">
        <f>IF($B10="","",COUNTIFS(REGISTRO!$B$2:$B$1722,$B10,REGISTRO!$H$2:$H$1722,$C$5,REGISTRO!$J$2:$J$1722,"PERMISO"))</f>
        <v/>
      </c>
      <c r="M10" s="17">
        <f>IF($B10="","",COUNTIFS(REGISTRO!$B$2:$B$1722,$B10,REGISTRO!$H$2:$H$1722,$C$5,REGISTRO!$J$2:$J$1722,"DESCANSO"))</f>
        <v/>
      </c>
      <c r="N10" s="17">
        <f>IF($B10="","",COUNTIFS(REGISTRO!$B$2:$B$1722,$B10,REGISTRO!$H$2:$H$1722,$C$5,REGISTRO!$J$2:$J$1722,"DESCANSO POR DINAMICA"))</f>
        <v/>
      </c>
      <c r="O10" s="17">
        <f>IF($B10="","",COUNTIFS(REGISTRO!$B$2:$B$1722,$B10,REGISTRO!$H$2:$H$1722,$C$5,REGISTRO!$J$2:$J$1722,"DINAMICA"))</f>
        <v/>
      </c>
    </row>
    <row r="11" ht="15" customHeight="1" s="58">
      <c r="A11" s="1" t="n"/>
      <c r="B11" s="17">
        <f t="array" ref="B11">IFERROR(INDEX(PERSONAL!$A:$A,MATCH($B$3&amp;"|"&amp;4,PERSONAL!$N:$N,0)),"")</f>
        <v/>
      </c>
      <c r="C11" s="18">
        <f t="array" ref="C11">IFERROR(INDEX(PERSONAL!$B:$B,MATCH($B$3&amp;"|"&amp;4,PERSONAL!$N:$N,0)),"")</f>
        <v/>
      </c>
      <c r="D11" s="17">
        <f>IF($B11="","",COUNTIFS(REGISTRO!$B$2:$B$1722,$B11,REGISTRO!$H$2:$H$1722,$C$5,REGISTRO!$J$2:$J$1722,"VERDE"))</f>
        <v/>
      </c>
      <c r="E11" s="17">
        <f>IF($B11="","",COUNTIFS(REGISTRO!$B$2:$B$1722,$B11,REGISTRO!$H$2:$H$1722,$C$5,REGISTRO!$J$2:$J$1722,"AMARILLO"))</f>
        <v/>
      </c>
      <c r="F11" s="17">
        <f>IF($B11="","",COUNTIFS(REGISTRO!$B$2:$B$1722,$B11,REGISTRO!$H$2:$H$1722,$C$5,REGISTRO!$J$2:$J$1722,"ROJO"))</f>
        <v/>
      </c>
      <c r="G11" s="17">
        <f>IF($B11="","",COUNTIFS(REGISTRO!$B$2:$B$1722,$B11,REGISTRO!$H$2:$H$1722,$C$5,REGISTRO!$J$2:$J$1722,"ROJO FUERTE"))</f>
        <v/>
      </c>
      <c r="H11" s="17">
        <f>IF($B11="","",COUNTIFS(REGISTRO!$B$2:$B$1722,$B11,REGISTRO!$H$2:$H$1722,$C$5,REGISTRO!$J$2:$J$1722,"FALTA"))</f>
        <v/>
      </c>
      <c r="I11" s="17">
        <f>IF($B11="","",COUNTIFS(REGISTRO!$B$2:$B$1722,$B11,REGISTRO!$H$2:$H$1722,$C$5,REGISTRO!$J$2:$J$1722,"VACACIONES"))</f>
        <v/>
      </c>
      <c r="J11" s="17">
        <f>IF($B11="","",COUNTIFS(REGISTRO!$B$2:$B$1722,$B11,REGISTRO!$H$2:$H$1722,$C$5,REGISTRO!$J$2:$J$1722,"FESTIVO"))</f>
        <v/>
      </c>
      <c r="K11" s="17">
        <f>IF($B11="","",COUNTIFS(REGISTRO!$B$2:$B$1722,$B11,REGISTRO!$H$2:$H$1722,$C$5,REGISTRO!$J$2:$J$1722,"INCAPACIDAD"))</f>
        <v/>
      </c>
      <c r="L11" s="17">
        <f>IF($B11="","",COUNTIFS(REGISTRO!$B$2:$B$1722,$B11,REGISTRO!$H$2:$H$1722,$C$5,REGISTRO!$J$2:$J$1722,"PERMISO"))</f>
        <v/>
      </c>
      <c r="M11" s="17">
        <f>IF($B11="","",COUNTIFS(REGISTRO!$B$2:$B$1722,$B11,REGISTRO!$H$2:$H$1722,$C$5,REGISTRO!$J$2:$J$1722,"DESCANSO"))</f>
        <v/>
      </c>
      <c r="N11" s="17">
        <f>IF($B11="","",COUNTIFS(REGISTRO!$B$2:$B$1722,$B11,REGISTRO!$H$2:$H$1722,$C$5,REGISTRO!$J$2:$J$1722,"DESCANSO POR DINAMICA"))</f>
        <v/>
      </c>
      <c r="O11" s="17">
        <f>IF($B11="","",COUNTIFS(REGISTRO!$B$2:$B$1722,$B11,REGISTRO!$H$2:$H$1722,$C$5,REGISTRO!$J$2:$J$1722,"DINAMICA"))</f>
        <v/>
      </c>
    </row>
    <row r="12" ht="15" customHeight="1" s="58">
      <c r="A12" s="1" t="n"/>
      <c r="B12" s="17">
        <f t="array" ref="B12">IFERROR(INDEX(PERSONAL!$A:$A,MATCH($B$3&amp;"|"&amp;5,PERSONAL!$N:$N,0)),"")</f>
        <v/>
      </c>
      <c r="C12" s="18">
        <f t="array" ref="C12">IFERROR(INDEX(PERSONAL!$B:$B,MATCH($B$3&amp;"|"&amp;5,PERSONAL!$N:$N,0)),"")</f>
        <v/>
      </c>
      <c r="D12" s="17">
        <f>IF($B12="","",COUNTIFS(REGISTRO!$B$2:$B$1722,$B12,REGISTRO!$H$2:$H$1722,$C$5,REGISTRO!$J$2:$J$1722,"VERDE"))</f>
        <v/>
      </c>
      <c r="E12" s="17">
        <f>IF($B12="","",COUNTIFS(REGISTRO!$B$2:$B$1722,$B12,REGISTRO!$H$2:$H$1722,$C$5,REGISTRO!$J$2:$J$1722,"AMARILLO"))</f>
        <v/>
      </c>
      <c r="F12" s="17">
        <f>IF($B12="","",COUNTIFS(REGISTRO!$B$2:$B$1722,$B12,REGISTRO!$H$2:$H$1722,$C$5,REGISTRO!$J$2:$J$1722,"ROJO"))</f>
        <v/>
      </c>
      <c r="G12" s="17">
        <f>IF($B12="","",COUNTIFS(REGISTRO!$B$2:$B$1722,$B12,REGISTRO!$H$2:$H$1722,$C$5,REGISTRO!$J$2:$J$1722,"ROJO FUERTE"))</f>
        <v/>
      </c>
      <c r="H12" s="17">
        <f>IF($B12="","",COUNTIFS(REGISTRO!$B$2:$B$1722,$B12,REGISTRO!$H$2:$H$1722,$C$5,REGISTRO!$J$2:$J$1722,"FALTA"))</f>
        <v/>
      </c>
      <c r="I12" s="17">
        <f>IF($B12="","",COUNTIFS(REGISTRO!$B$2:$B$1722,$B12,REGISTRO!$H$2:$H$1722,$C$5,REGISTRO!$J$2:$J$1722,"VACACIONES"))</f>
        <v/>
      </c>
      <c r="J12" s="17">
        <f>IF($B12="","",COUNTIFS(REGISTRO!$B$2:$B$1722,$B12,REGISTRO!$H$2:$H$1722,$C$5,REGISTRO!$J$2:$J$1722,"FESTIVO"))</f>
        <v/>
      </c>
      <c r="K12" s="17">
        <f>IF($B12="","",COUNTIFS(REGISTRO!$B$2:$B$1722,$B12,REGISTRO!$H$2:$H$1722,$C$5,REGISTRO!$J$2:$J$1722,"INCAPACIDAD"))</f>
        <v/>
      </c>
      <c r="L12" s="17">
        <f>IF($B12="","",COUNTIFS(REGISTRO!$B$2:$B$1722,$B12,REGISTRO!$H$2:$H$1722,$C$5,REGISTRO!$J$2:$J$1722,"PERMISO"))</f>
        <v/>
      </c>
      <c r="M12" s="17">
        <f>IF($B12="","",COUNTIFS(REGISTRO!$B$2:$B$1722,$B12,REGISTRO!$H$2:$H$1722,$C$5,REGISTRO!$J$2:$J$1722,"DESCANSO"))</f>
        <v/>
      </c>
      <c r="N12" s="17">
        <f>IF($B12="","",COUNTIFS(REGISTRO!$B$2:$B$1722,$B12,REGISTRO!$H$2:$H$1722,$C$5,REGISTRO!$J$2:$J$1722,"DESCANSO POR DINAMICA"))</f>
        <v/>
      </c>
      <c r="O12" s="17">
        <f>IF($B12="","",COUNTIFS(REGISTRO!$B$2:$B$1722,$B12,REGISTRO!$H$2:$H$1722,$C$5,REGISTRO!$J$2:$J$1722,"DINAMICA"))</f>
        <v/>
      </c>
    </row>
    <row r="13" ht="15" customHeight="1" s="58">
      <c r="A13" s="1" t="n"/>
      <c r="B13" s="17">
        <f t="array" ref="B13">IFERROR(INDEX(PERSONAL!$A:$A,MATCH($B$3&amp;"|"&amp;6,PERSONAL!$N:$N,0)),"")</f>
        <v/>
      </c>
      <c r="C13" s="18">
        <f t="array" ref="C13">IFERROR(INDEX(PERSONAL!$B:$B,MATCH($B$3&amp;"|"&amp;6,PERSONAL!$N:$N,0)),"")</f>
        <v/>
      </c>
      <c r="D13" s="17">
        <f>IF($B13="","",COUNTIFS(REGISTRO!$B$2:$B$1722,$B13,REGISTRO!$H$2:$H$1722,$C$5,REGISTRO!$J$2:$J$1722,"VERDE"))</f>
        <v/>
      </c>
      <c r="E13" s="17">
        <f>IF($B13="","",COUNTIFS(REGISTRO!$B$2:$B$1722,$B13,REGISTRO!$H$2:$H$1722,$C$5,REGISTRO!$J$2:$J$1722,"AMARILLO"))</f>
        <v/>
      </c>
      <c r="F13" s="17">
        <f>IF($B13="","",COUNTIFS(REGISTRO!$B$2:$B$1722,$B13,REGISTRO!$H$2:$H$1722,$C$5,REGISTRO!$J$2:$J$1722,"ROJO"))</f>
        <v/>
      </c>
      <c r="G13" s="17">
        <f>IF($B13="","",COUNTIFS(REGISTRO!$B$2:$B$1722,$B13,REGISTRO!$H$2:$H$1722,$C$5,REGISTRO!$J$2:$J$1722,"ROJO FUERTE"))</f>
        <v/>
      </c>
      <c r="H13" s="17">
        <f>IF($B13="","",COUNTIFS(REGISTRO!$B$2:$B$1722,$B13,REGISTRO!$H$2:$H$1722,$C$5,REGISTRO!$J$2:$J$1722,"FALTA"))</f>
        <v/>
      </c>
      <c r="I13" s="17">
        <f>IF($B13="","",COUNTIFS(REGISTRO!$B$2:$B$1722,$B13,REGISTRO!$H$2:$H$1722,$C$5,REGISTRO!$J$2:$J$1722,"VACACIONES"))</f>
        <v/>
      </c>
      <c r="J13" s="17">
        <f>IF($B13="","",COUNTIFS(REGISTRO!$B$2:$B$1722,$B13,REGISTRO!$H$2:$H$1722,$C$5,REGISTRO!$J$2:$J$1722,"FESTIVO"))</f>
        <v/>
      </c>
      <c r="K13" s="17">
        <f>IF($B13="","",COUNTIFS(REGISTRO!$B$2:$B$1722,$B13,REGISTRO!$H$2:$H$1722,$C$5,REGISTRO!$J$2:$J$1722,"INCAPACIDAD"))</f>
        <v/>
      </c>
      <c r="L13" s="17">
        <f>IF($B13="","",COUNTIFS(REGISTRO!$B$2:$B$1722,$B13,REGISTRO!$H$2:$H$1722,$C$5,REGISTRO!$J$2:$J$1722,"PERMISO"))</f>
        <v/>
      </c>
      <c r="M13" s="17">
        <f>IF($B13="","",COUNTIFS(REGISTRO!$B$2:$B$1722,$B13,REGISTRO!$H$2:$H$1722,$C$5,REGISTRO!$J$2:$J$1722,"DESCANSO"))</f>
        <v/>
      </c>
      <c r="N13" s="17">
        <f>IF($B13="","",COUNTIFS(REGISTRO!$B$2:$B$1722,$B13,REGISTRO!$H$2:$H$1722,$C$5,REGISTRO!$J$2:$J$1722,"DESCANSO POR DINAMICA"))</f>
        <v/>
      </c>
      <c r="O13" s="17">
        <f>IF($B13="","",COUNTIFS(REGISTRO!$B$2:$B$1722,$B13,REGISTRO!$H$2:$H$1722,$C$5,REGISTRO!$J$2:$J$1722,"DINAMICA"))</f>
        <v/>
      </c>
    </row>
    <row r="14" ht="15" customHeight="1" s="58">
      <c r="A14" s="1" t="n"/>
      <c r="B14" s="17">
        <f t="array" ref="B14">IFERROR(INDEX(PERSONAL!$A:$A,MATCH($B$3&amp;"|"&amp;7,PERSONAL!$N:$N,0)),"")</f>
        <v/>
      </c>
      <c r="C14" s="18">
        <f t="array" ref="C14">IFERROR(INDEX(PERSONAL!$B:$B,MATCH($B$3&amp;"|"&amp;7,PERSONAL!$N:$N,0)),"")</f>
        <v/>
      </c>
      <c r="D14" s="17">
        <f>IF($B14="","",COUNTIFS(REGISTRO!$B$2:$B$1722,$B14,REGISTRO!$H$2:$H$1722,$C$5,REGISTRO!$J$2:$J$1722,"VERDE"))</f>
        <v/>
      </c>
      <c r="E14" s="17">
        <f>IF($B14="","",COUNTIFS(REGISTRO!$B$2:$B$1722,$B14,REGISTRO!$H$2:$H$1722,$C$5,REGISTRO!$J$2:$J$1722,"AMARILLO"))</f>
        <v/>
      </c>
      <c r="F14" s="17">
        <f>IF($B14="","",COUNTIFS(REGISTRO!$B$2:$B$1722,$B14,REGISTRO!$H$2:$H$1722,$C$5,REGISTRO!$J$2:$J$1722,"ROJO"))</f>
        <v/>
      </c>
      <c r="G14" s="17">
        <f>IF($B14="","",COUNTIFS(REGISTRO!$B$2:$B$1722,$B14,REGISTRO!$H$2:$H$1722,$C$5,REGISTRO!$J$2:$J$1722,"ROJO FUERTE"))</f>
        <v/>
      </c>
      <c r="H14" s="17">
        <f>IF($B14="","",COUNTIFS(REGISTRO!$B$2:$B$1722,$B14,REGISTRO!$H$2:$H$1722,$C$5,REGISTRO!$J$2:$J$1722,"FALTA"))</f>
        <v/>
      </c>
      <c r="I14" s="17">
        <f>IF($B14="","",COUNTIFS(REGISTRO!$B$2:$B$1722,$B14,REGISTRO!$H$2:$H$1722,$C$5,REGISTRO!$J$2:$J$1722,"VACACIONES"))</f>
        <v/>
      </c>
      <c r="J14" s="17">
        <f>IF($B14="","",COUNTIFS(REGISTRO!$B$2:$B$1722,$B14,REGISTRO!$H$2:$H$1722,$C$5,REGISTRO!$J$2:$J$1722,"FESTIVO"))</f>
        <v/>
      </c>
      <c r="K14" s="17">
        <f>IF($B14="","",COUNTIFS(REGISTRO!$B$2:$B$1722,$B14,REGISTRO!$H$2:$H$1722,$C$5,REGISTRO!$J$2:$J$1722,"INCAPACIDAD"))</f>
        <v/>
      </c>
      <c r="L14" s="17">
        <f>IF($B14="","",COUNTIFS(REGISTRO!$B$2:$B$1722,$B14,REGISTRO!$H$2:$H$1722,$C$5,REGISTRO!$J$2:$J$1722,"PERMISO"))</f>
        <v/>
      </c>
      <c r="M14" s="17">
        <f>IF($B14="","",COUNTIFS(REGISTRO!$B$2:$B$1722,$B14,REGISTRO!$H$2:$H$1722,$C$5,REGISTRO!$J$2:$J$1722,"DESCANSO"))</f>
        <v/>
      </c>
      <c r="N14" s="17">
        <f>IF($B14="","",COUNTIFS(REGISTRO!$B$2:$B$1722,$B14,REGISTRO!$H$2:$H$1722,$C$5,REGISTRO!$J$2:$J$1722,"DESCANSO POR DINAMICA"))</f>
        <v/>
      </c>
      <c r="O14" s="17">
        <f>IF($B14="","",COUNTIFS(REGISTRO!$B$2:$B$1722,$B14,REGISTRO!$H$2:$H$1722,$C$5,REGISTRO!$J$2:$J$1722,"DINAMICA"))</f>
        <v/>
      </c>
    </row>
    <row r="15" ht="15" customHeight="1" s="58">
      <c r="A15" s="1" t="n"/>
      <c r="B15" s="17">
        <f t="array" ref="B15">IFERROR(INDEX(PERSONAL!$A:$A,MATCH($B$3&amp;"|"&amp;8,PERSONAL!$N:$N,0)),"")</f>
        <v/>
      </c>
      <c r="C15" s="18">
        <f t="array" ref="C15">IFERROR(INDEX(PERSONAL!$B:$B,MATCH($B$3&amp;"|"&amp;8,PERSONAL!$N:$N,0)),"")</f>
        <v/>
      </c>
      <c r="D15" s="17">
        <f>IF($B15="","",COUNTIFS(REGISTRO!$B$2:$B$1722,$B15,REGISTRO!$H$2:$H$1722,$C$5,REGISTRO!$J$2:$J$1722,"VERDE"))</f>
        <v/>
      </c>
      <c r="E15" s="17">
        <f>IF($B15="","",COUNTIFS(REGISTRO!$B$2:$B$1722,$B15,REGISTRO!$H$2:$H$1722,$C$5,REGISTRO!$J$2:$J$1722,"AMARILLO"))</f>
        <v/>
      </c>
      <c r="F15" s="17">
        <f>IF($B15="","",COUNTIFS(REGISTRO!$B$2:$B$1722,$B15,REGISTRO!$H$2:$H$1722,$C$5,REGISTRO!$J$2:$J$1722,"ROJO"))</f>
        <v/>
      </c>
      <c r="G15" s="17">
        <f>IF($B15="","",COUNTIFS(REGISTRO!$B$2:$B$1722,$B15,REGISTRO!$H$2:$H$1722,$C$5,REGISTRO!$J$2:$J$1722,"ROJO FUERTE"))</f>
        <v/>
      </c>
      <c r="H15" s="17">
        <f>IF($B15="","",COUNTIFS(REGISTRO!$B$2:$B$1722,$B15,REGISTRO!$H$2:$H$1722,$C$5,REGISTRO!$J$2:$J$1722,"FALTA"))</f>
        <v/>
      </c>
      <c r="I15" s="17">
        <f>IF($B15="","",COUNTIFS(REGISTRO!$B$2:$B$1722,$B15,REGISTRO!$H$2:$H$1722,$C$5,REGISTRO!$J$2:$J$1722,"VACACIONES"))</f>
        <v/>
      </c>
      <c r="J15" s="17">
        <f>IF($B15="","",COUNTIFS(REGISTRO!$B$2:$B$1722,$B15,REGISTRO!$H$2:$H$1722,$C$5,REGISTRO!$J$2:$J$1722,"FESTIVO"))</f>
        <v/>
      </c>
      <c r="K15" s="17">
        <f>IF($B15="","",COUNTIFS(REGISTRO!$B$2:$B$1722,$B15,REGISTRO!$H$2:$H$1722,$C$5,REGISTRO!$J$2:$J$1722,"INCAPACIDAD"))</f>
        <v/>
      </c>
      <c r="L15" s="17">
        <f>IF($B15="","",COUNTIFS(REGISTRO!$B$2:$B$1722,$B15,REGISTRO!$H$2:$H$1722,$C$5,REGISTRO!$J$2:$J$1722,"PERMISO"))</f>
        <v/>
      </c>
      <c r="M15" s="17">
        <f>IF($B15="","",COUNTIFS(REGISTRO!$B$2:$B$1722,$B15,REGISTRO!$H$2:$H$1722,$C$5,REGISTRO!$J$2:$J$1722,"DESCANSO"))</f>
        <v/>
      </c>
      <c r="N15" s="17">
        <f>IF($B15="","",COUNTIFS(REGISTRO!$B$2:$B$1722,$B15,REGISTRO!$H$2:$H$1722,$C$5,REGISTRO!$J$2:$J$1722,"DESCANSO POR DINAMICA"))</f>
        <v/>
      </c>
      <c r="O15" s="17">
        <f>IF($B15="","",COUNTIFS(REGISTRO!$B$2:$B$1722,$B15,REGISTRO!$H$2:$H$1722,$C$5,REGISTRO!$J$2:$J$1722,"DINAMICA"))</f>
        <v/>
      </c>
    </row>
    <row r="16" ht="15" customHeight="1" s="58">
      <c r="A16" s="1" t="n"/>
      <c r="B16" s="17">
        <f t="array" ref="B16">IFERROR(INDEX(PERSONAL!$A:$A,MATCH($B$3&amp;"|"&amp;9,PERSONAL!$N:$N,0)),"")</f>
        <v/>
      </c>
      <c r="C16" s="18">
        <f t="array" ref="C16">IFERROR(INDEX(PERSONAL!$B:$B,MATCH($B$3&amp;"|"&amp;9,PERSONAL!$N:$N,0)),"")</f>
        <v/>
      </c>
      <c r="D16" s="17">
        <f>IF($B16="","",COUNTIFS(REGISTRO!$B$2:$B$1722,$B16,REGISTRO!$H$2:$H$1722,$C$5,REGISTRO!$J$2:$J$1722,"VERDE"))</f>
        <v/>
      </c>
      <c r="E16" s="17">
        <f>IF($B16="","",COUNTIFS(REGISTRO!$B$2:$B$1722,$B16,REGISTRO!$H$2:$H$1722,$C$5,REGISTRO!$J$2:$J$1722,"AMARILLO"))</f>
        <v/>
      </c>
      <c r="F16" s="17">
        <f>IF($B16="","",COUNTIFS(REGISTRO!$B$2:$B$1722,$B16,REGISTRO!$H$2:$H$1722,$C$5,REGISTRO!$J$2:$J$1722,"ROJO"))</f>
        <v/>
      </c>
      <c r="G16" s="17">
        <f>IF($B16="","",COUNTIFS(REGISTRO!$B$2:$B$1722,$B16,REGISTRO!$H$2:$H$1722,$C$5,REGISTRO!$J$2:$J$1722,"ROJO FUERTE"))</f>
        <v/>
      </c>
      <c r="H16" s="17">
        <f>IF($B16="","",COUNTIFS(REGISTRO!$B$2:$B$1722,$B16,REGISTRO!$H$2:$H$1722,$C$5,REGISTRO!$J$2:$J$1722,"FALTA"))</f>
        <v/>
      </c>
      <c r="I16" s="17">
        <f>IF($B16="","",COUNTIFS(REGISTRO!$B$2:$B$1722,$B16,REGISTRO!$H$2:$H$1722,$C$5,REGISTRO!$J$2:$J$1722,"VACACIONES"))</f>
        <v/>
      </c>
      <c r="J16" s="17">
        <f>IF($B16="","",COUNTIFS(REGISTRO!$B$2:$B$1722,$B16,REGISTRO!$H$2:$H$1722,$C$5,REGISTRO!$J$2:$J$1722,"FESTIVO"))</f>
        <v/>
      </c>
      <c r="K16" s="17">
        <f>IF($B16="","",COUNTIFS(REGISTRO!$B$2:$B$1722,$B16,REGISTRO!$H$2:$H$1722,$C$5,REGISTRO!$J$2:$J$1722,"INCAPACIDAD"))</f>
        <v/>
      </c>
      <c r="L16" s="17">
        <f>IF($B16="","",COUNTIFS(REGISTRO!$B$2:$B$1722,$B16,REGISTRO!$H$2:$H$1722,$C$5,REGISTRO!$J$2:$J$1722,"PERMISO"))</f>
        <v/>
      </c>
      <c r="M16" s="17">
        <f>IF($B16="","",COUNTIFS(REGISTRO!$B$2:$B$1722,$B16,REGISTRO!$H$2:$H$1722,$C$5,REGISTRO!$J$2:$J$1722,"DESCANSO"))</f>
        <v/>
      </c>
      <c r="N16" s="17">
        <f>IF($B16="","",COUNTIFS(REGISTRO!$B$2:$B$1722,$B16,REGISTRO!$H$2:$H$1722,$C$5,REGISTRO!$J$2:$J$1722,"DESCANSO POR DINAMICA"))</f>
        <v/>
      </c>
      <c r="O16" s="17">
        <f>IF($B16="","",COUNTIFS(REGISTRO!$B$2:$B$1722,$B16,REGISTRO!$H$2:$H$1722,$C$5,REGISTRO!$J$2:$J$1722,"DINAMICA"))</f>
        <v/>
      </c>
    </row>
    <row r="17" ht="15" customHeight="1" s="58">
      <c r="A17" s="1" t="n"/>
      <c r="B17" s="17">
        <f t="array" ref="B17">IFERROR(INDEX(PERSONAL!$A:$A,MATCH($B$3&amp;"|"&amp;10,PERSONAL!$N:$N,0)),"")</f>
        <v/>
      </c>
      <c r="C17" s="18">
        <f t="array" ref="C17">IFERROR(INDEX(PERSONAL!$B:$B,MATCH($B$3&amp;"|"&amp;10,PERSONAL!$N:$N,0)),"")</f>
        <v/>
      </c>
      <c r="D17" s="17">
        <f>IF($B17="","",COUNTIFS(REGISTRO!$B$2:$B$1722,$B17,REGISTRO!$H$2:$H$1722,$C$5,REGISTRO!$J$2:$J$1722,"VERDE"))</f>
        <v/>
      </c>
      <c r="E17" s="17">
        <f>IF($B17="","",COUNTIFS(REGISTRO!$B$2:$B$1722,$B17,REGISTRO!$H$2:$H$1722,$C$5,REGISTRO!$J$2:$J$1722,"AMARILLO"))</f>
        <v/>
      </c>
      <c r="F17" s="17">
        <f>IF($B17="","",COUNTIFS(REGISTRO!$B$2:$B$1722,$B17,REGISTRO!$H$2:$H$1722,$C$5,REGISTRO!$J$2:$J$1722,"ROJO"))</f>
        <v/>
      </c>
      <c r="G17" s="17">
        <f>IF($B17="","",COUNTIFS(REGISTRO!$B$2:$B$1722,$B17,REGISTRO!$H$2:$H$1722,$C$5,REGISTRO!$J$2:$J$1722,"ROJO FUERTE"))</f>
        <v/>
      </c>
      <c r="H17" s="17">
        <f>IF($B17="","",COUNTIFS(REGISTRO!$B$2:$B$1722,$B17,REGISTRO!$H$2:$H$1722,$C$5,REGISTRO!$J$2:$J$1722,"FALTA"))</f>
        <v/>
      </c>
      <c r="I17" s="17">
        <f>IF($B17="","",COUNTIFS(REGISTRO!$B$2:$B$1722,$B17,REGISTRO!$H$2:$H$1722,$C$5,REGISTRO!$J$2:$J$1722,"VACACIONES"))</f>
        <v/>
      </c>
      <c r="J17" s="17">
        <f>IF($B17="","",COUNTIFS(REGISTRO!$B$2:$B$1722,$B17,REGISTRO!$H$2:$H$1722,$C$5,REGISTRO!$J$2:$J$1722,"FESTIVO"))</f>
        <v/>
      </c>
      <c r="K17" s="17">
        <f>IF($B17="","",COUNTIFS(REGISTRO!$B$2:$B$1722,$B17,REGISTRO!$H$2:$H$1722,$C$5,REGISTRO!$J$2:$J$1722,"INCAPACIDAD"))</f>
        <v/>
      </c>
      <c r="L17" s="17">
        <f>IF($B17="","",COUNTIFS(REGISTRO!$B$2:$B$1722,$B17,REGISTRO!$H$2:$H$1722,$C$5,REGISTRO!$J$2:$J$1722,"PERMISO"))</f>
        <v/>
      </c>
      <c r="M17" s="17">
        <f>IF($B17="","",COUNTIFS(REGISTRO!$B$2:$B$1722,$B17,REGISTRO!$H$2:$H$1722,$C$5,REGISTRO!$J$2:$J$1722,"DESCANSO"))</f>
        <v/>
      </c>
      <c r="N17" s="17">
        <f>IF($B17="","",COUNTIFS(REGISTRO!$B$2:$B$1722,$B17,REGISTRO!$H$2:$H$1722,$C$5,REGISTRO!$J$2:$J$1722,"DESCANSO POR DINAMICA"))</f>
        <v/>
      </c>
      <c r="O17" s="17">
        <f>IF($B17="","",COUNTIFS(REGISTRO!$B$2:$B$1722,$B17,REGISTRO!$H$2:$H$1722,$C$5,REGISTRO!$J$2:$J$1722,"DINAMICA"))</f>
        <v/>
      </c>
    </row>
    <row r="18" ht="15" customHeight="1" s="58">
      <c r="A18" s="1" t="n"/>
      <c r="B18" s="17">
        <f t="array" ref="B18">IFERROR(INDEX(PERSONAL!$A:$A,MATCH($B$3&amp;"|"&amp;11,PERSONAL!$N:$N,0)),"")</f>
        <v/>
      </c>
      <c r="C18" s="18">
        <f t="array" ref="C18">IFERROR(INDEX(PERSONAL!$B:$B,MATCH($B$3&amp;"|"&amp;11,PERSONAL!$N:$N,0)),"")</f>
        <v/>
      </c>
      <c r="D18" s="17">
        <f>IF($B18="","",COUNTIFS(REGISTRO!$B$2:$B$1722,$B18,REGISTRO!$H$2:$H$1722,$C$5,REGISTRO!$J$2:$J$1722,"VERDE"))</f>
        <v/>
      </c>
      <c r="E18" s="17">
        <f>IF($B18="","",COUNTIFS(REGISTRO!$B$2:$B$1722,$B18,REGISTRO!$H$2:$H$1722,$C$5,REGISTRO!$J$2:$J$1722,"AMARILLO"))</f>
        <v/>
      </c>
      <c r="F18" s="17">
        <f>IF($B18="","",COUNTIFS(REGISTRO!$B$2:$B$1722,$B18,REGISTRO!$H$2:$H$1722,$C$5,REGISTRO!$J$2:$J$1722,"ROJO"))</f>
        <v/>
      </c>
      <c r="G18" s="17">
        <f>IF($B18="","",COUNTIFS(REGISTRO!$B$2:$B$1722,$B18,REGISTRO!$H$2:$H$1722,$C$5,REGISTRO!$J$2:$J$1722,"ROJO FUERTE"))</f>
        <v/>
      </c>
      <c r="H18" s="17">
        <f>IF($B18="","",COUNTIFS(REGISTRO!$B$2:$B$1722,$B18,REGISTRO!$H$2:$H$1722,$C$5,REGISTRO!$J$2:$J$1722,"FALTA"))</f>
        <v/>
      </c>
      <c r="I18" s="17">
        <f>IF($B18="","",COUNTIFS(REGISTRO!$B$2:$B$1722,$B18,REGISTRO!$H$2:$H$1722,$C$5,REGISTRO!$J$2:$J$1722,"VACACIONES"))</f>
        <v/>
      </c>
      <c r="J18" s="17">
        <f>IF($B18="","",COUNTIFS(REGISTRO!$B$2:$B$1722,$B18,REGISTRO!$H$2:$H$1722,$C$5,REGISTRO!$J$2:$J$1722,"FESTIVO"))</f>
        <v/>
      </c>
      <c r="K18" s="17">
        <f>IF($B18="","",COUNTIFS(REGISTRO!$B$2:$B$1722,$B18,REGISTRO!$H$2:$H$1722,$C$5,REGISTRO!$J$2:$J$1722,"INCAPACIDAD"))</f>
        <v/>
      </c>
      <c r="L18" s="17">
        <f>IF($B18="","",COUNTIFS(REGISTRO!$B$2:$B$1722,$B18,REGISTRO!$H$2:$H$1722,$C$5,REGISTRO!$J$2:$J$1722,"PERMISO"))</f>
        <v/>
      </c>
      <c r="M18" s="17">
        <f>IF($B18="","",COUNTIFS(REGISTRO!$B$2:$B$1722,$B18,REGISTRO!$H$2:$H$1722,$C$5,REGISTRO!$J$2:$J$1722,"DESCANSO"))</f>
        <v/>
      </c>
      <c r="N18" s="17">
        <f>IF($B18="","",COUNTIFS(REGISTRO!$B$2:$B$1722,$B18,REGISTRO!$H$2:$H$1722,$C$5,REGISTRO!$J$2:$J$1722,"DESCANSO POR DINAMICA"))</f>
        <v/>
      </c>
      <c r="O18" s="17">
        <f>IF($B18="","",COUNTIFS(REGISTRO!$B$2:$B$1722,$B18,REGISTRO!$H$2:$H$1722,$C$5,REGISTRO!$J$2:$J$1722,"DINAMICA"))</f>
        <v/>
      </c>
    </row>
    <row r="19" ht="15" customHeight="1" s="58">
      <c r="A19" s="1" t="n"/>
      <c r="B19" s="17">
        <f t="array" ref="B19">IFERROR(INDEX(PERSONAL!$A:$A,MATCH($B$3&amp;"|"&amp;12,PERSONAL!$N:$N,0)),"")</f>
        <v/>
      </c>
      <c r="C19" s="18">
        <f t="array" ref="C19">IFERROR(INDEX(PERSONAL!$B:$B,MATCH($B$3&amp;"|"&amp;12,PERSONAL!$N:$N,0)),"")</f>
        <v/>
      </c>
      <c r="D19" s="17">
        <f>IF($B19="","",COUNTIFS(REGISTRO!$B$2:$B$1722,$B19,REGISTRO!$H$2:$H$1722,$C$5,REGISTRO!$J$2:$J$1722,"VERDE"))</f>
        <v/>
      </c>
      <c r="E19" s="17">
        <f>IF($B19="","",COUNTIFS(REGISTRO!$B$2:$B$1722,$B19,REGISTRO!$H$2:$H$1722,$C$5,REGISTRO!$J$2:$J$1722,"AMARILLO"))</f>
        <v/>
      </c>
      <c r="F19" s="17">
        <f>IF($B19="","",COUNTIFS(REGISTRO!$B$2:$B$1722,$B19,REGISTRO!$H$2:$H$1722,$C$5,REGISTRO!$J$2:$J$1722,"ROJO"))</f>
        <v/>
      </c>
      <c r="G19" s="17">
        <f>IF($B19="","",COUNTIFS(REGISTRO!$B$2:$B$1722,$B19,REGISTRO!$H$2:$H$1722,$C$5,REGISTRO!$J$2:$J$1722,"ROJO FUERTE"))</f>
        <v/>
      </c>
      <c r="H19" s="17">
        <f>IF($B19="","",COUNTIFS(REGISTRO!$B$2:$B$1722,$B19,REGISTRO!$H$2:$H$1722,$C$5,REGISTRO!$J$2:$J$1722,"FALTA"))</f>
        <v/>
      </c>
      <c r="I19" s="17">
        <f>IF($B19="","",COUNTIFS(REGISTRO!$B$2:$B$1722,$B19,REGISTRO!$H$2:$H$1722,$C$5,REGISTRO!$J$2:$J$1722,"VACACIONES"))</f>
        <v/>
      </c>
      <c r="J19" s="17">
        <f>IF($B19="","",COUNTIFS(REGISTRO!$B$2:$B$1722,$B19,REGISTRO!$H$2:$H$1722,$C$5,REGISTRO!$J$2:$J$1722,"FESTIVO"))</f>
        <v/>
      </c>
      <c r="K19" s="17">
        <f>IF($B19="","",COUNTIFS(REGISTRO!$B$2:$B$1722,$B19,REGISTRO!$H$2:$H$1722,$C$5,REGISTRO!$J$2:$J$1722,"INCAPACIDAD"))</f>
        <v/>
      </c>
      <c r="L19" s="17">
        <f>IF($B19="","",COUNTIFS(REGISTRO!$B$2:$B$1722,$B19,REGISTRO!$H$2:$H$1722,$C$5,REGISTRO!$J$2:$J$1722,"PERMISO"))</f>
        <v/>
      </c>
      <c r="M19" s="17">
        <f>IF($B19="","",COUNTIFS(REGISTRO!$B$2:$B$1722,$B19,REGISTRO!$H$2:$H$1722,$C$5,REGISTRO!$J$2:$J$1722,"DESCANSO"))</f>
        <v/>
      </c>
      <c r="N19" s="17">
        <f>IF($B19="","",COUNTIFS(REGISTRO!$B$2:$B$1722,$B19,REGISTRO!$H$2:$H$1722,$C$5,REGISTRO!$J$2:$J$1722,"DESCANSO POR DINAMICA"))</f>
        <v/>
      </c>
      <c r="O19" s="17">
        <f>IF($B19="","",COUNTIFS(REGISTRO!$B$2:$B$1722,$B19,REGISTRO!$H$2:$H$1722,$C$5,REGISTRO!$J$2:$J$1722,"DINAMICA"))</f>
        <v/>
      </c>
    </row>
    <row r="20" ht="15" customHeight="1" s="58">
      <c r="A20" s="1" t="n"/>
      <c r="B20" s="62" t="inlineStr">
        <is>
          <t>TOTAL</t>
        </is>
      </c>
      <c r="C20" s="63" t="n"/>
      <c r="D20" s="21">
        <f>SUM(D8:D19)</f>
        <v/>
      </c>
      <c r="E20" s="21">
        <f>SUM(E8:E19)</f>
        <v/>
      </c>
      <c r="F20" s="21">
        <f>SUM(F8:F19)</f>
        <v/>
      </c>
      <c r="G20" s="21">
        <f>SUM(G8:G19)</f>
        <v/>
      </c>
      <c r="H20" s="21">
        <f>SUM(H8:H19)</f>
        <v/>
      </c>
      <c r="I20" s="21">
        <f>SUM(I8:I19)</f>
        <v/>
      </c>
      <c r="J20" s="21">
        <f>SUM(J8:J19)</f>
        <v/>
      </c>
      <c r="K20" s="21">
        <f>SUM(K8:K19)</f>
        <v/>
      </c>
      <c r="L20" s="21">
        <f>SUM(L8:L19)</f>
        <v/>
      </c>
      <c r="M20" s="21">
        <f>SUM(M8:M19)</f>
        <v/>
      </c>
      <c r="N20" s="21">
        <f>SUM(N8:N19)</f>
        <v/>
      </c>
      <c r="O20" s="21">
        <f>SUM(O8:O19)</f>
        <v/>
      </c>
    </row>
    <row r="21" ht="17.25" customHeight="1" s="58">
      <c r="A21" s="1" t="n"/>
      <c r="B21" s="11" t="inlineStr">
        <is>
          <t>% VERDE</t>
        </is>
      </c>
      <c r="C21" s="63" t="n"/>
      <c r="D21" s="64">
        <f>IF(SUM(D20:H20)=0,0,D20/SUM(D20:H20))</f>
        <v/>
      </c>
      <c r="E21" s="65" t="n"/>
      <c r="F21" s="65" t="n"/>
      <c r="G21" s="65" t="n"/>
      <c r="H21" s="63" t="n"/>
      <c r="I21" s="1" t="n"/>
    </row>
    <row r="22" ht="15" customHeight="1" s="58">
      <c r="A22" s="1" t="n"/>
      <c r="B22" s="66" t="inlineStr">
        <is>
          <t>REGISTROS / PROM. HORAS</t>
        </is>
      </c>
      <c r="C22" s="63" t="n"/>
      <c r="D22" s="26">
        <f>COUNTIFS(REGISTRO!$F$2:$F$1722,$B$3,REGISTRO!$H$2:$H$1722,$C$5)</f>
        <v/>
      </c>
      <c r="E22" s="67">
        <f>IFERROR(AVERAGEIFS(REGISTRO!$K$2:$K$1722,REGISTRO!$F$2:$F$1722,$B$3,REGISTRO!$H$2:$H$1722,$C$5),0)</f>
        <v/>
      </c>
      <c r="F22" s="65" t="n"/>
      <c r="G22" s="65" t="n"/>
      <c r="H22" s="63" t="n"/>
      <c r="I22" s="1" t="n"/>
    </row>
    <row r="23" ht="15.75" customHeight="1" s="5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5.75" customHeight="1" s="5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 ht="15.75" customHeight="1" s="5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5.75" customHeight="1" s="5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15.75" customHeight="1" s="5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 ht="15.75" customHeight="1" s="5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 ht="15.75" customHeight="1" s="5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15.75" customHeight="1" s="5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 ht="15.75" customHeight="1" s="5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 ht="15.75" customHeight="1" s="5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 ht="15.75" customHeight="1" s="5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5.75" customHeight="1" s="5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15.75" customHeight="1" s="5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 s="5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 ht="15.75" customHeight="1" s="5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 s="5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 s="5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 s="5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 s="5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 s="5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 s="5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 s="5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 s="5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 ht="15.75" customHeight="1" s="5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 ht="15.75" customHeight="1" s="5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15.75" customHeight="1" s="5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 ht="15.75" customHeight="1" s="5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 ht="15.75" customHeight="1" s="5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 ht="15.75" customHeight="1" s="5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 ht="15.75" customHeight="1" s="5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 ht="15.75" customHeight="1" s="5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 ht="15.75" customHeight="1" s="5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 ht="15.75" customHeight="1" s="5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 ht="15.75" customHeight="1" s="5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15.75" customHeight="1" s="5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 ht="15.75" customHeight="1" s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 ht="15.75" customHeight="1" s="5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 ht="15.75" customHeight="1" s="5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 ht="15.75" customHeight="1" s="5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 ht="15.75" customHeight="1" s="5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 ht="15.75" customHeight="1" s="5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5.75" customHeight="1" s="5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 ht="15.75" customHeight="1" s="5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 ht="15.75" customHeight="1" s="5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 ht="15.75" customHeight="1" s="5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 ht="15.75" customHeight="1" s="5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 ht="15.75" customHeight="1" s="5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 ht="15.75" customHeight="1" s="5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15.75" customHeight="1" s="5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 ht="15.75" customHeight="1" s="5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 ht="15.75" customHeight="1" s="5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 ht="15.75" customHeight="1" s="5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 ht="15.75" customHeight="1" s="5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 ht="15.75" customHeight="1" s="5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 ht="15.75" customHeight="1" s="5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 ht="15.75" customHeight="1" s="5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 ht="15.75" customHeight="1" s="5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 ht="15.75" customHeight="1" s="5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  <row r="81" ht="15.75" customHeight="1" s="5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 ht="15.75" customHeight="1" s="5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</row>
    <row r="83" ht="15.75" customHeight="1" s="5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 ht="15.75" customHeight="1" s="5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</row>
    <row r="85" ht="15.75" customHeight="1" s="5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15.75" customHeight="1" s="5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</row>
    <row r="87" ht="15.75" customHeight="1" s="5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</row>
    <row r="88" ht="15.75" customHeight="1" s="5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</row>
    <row r="89" ht="15.75" customHeight="1" s="5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15.75" customHeight="1" s="5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</row>
    <row r="91" ht="15.75" customHeight="1" s="5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</row>
    <row r="92" ht="15.75" customHeight="1" s="5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</row>
    <row r="93" ht="15.75" customHeight="1" s="5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</row>
    <row r="94" ht="15.75" customHeight="1" s="5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15.75" customHeight="1" s="5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</row>
    <row r="96" ht="15.75" customHeight="1" s="5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</row>
    <row r="97" ht="15.75" customHeight="1" s="5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</row>
    <row r="98" ht="15.75" customHeight="1" s="5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</row>
    <row r="99" ht="15.75" customHeight="1" s="5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</row>
    <row r="100" ht="15.75" customHeight="1" s="5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</row>
    <row r="101" ht="15.75" customHeight="1" s="5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</row>
    <row r="102" ht="15.75" customHeight="1" s="5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</row>
    <row r="103" ht="15.75" customHeight="1" s="5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</row>
    <row r="104" ht="15.75" customHeight="1" s="5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</row>
    <row r="105" ht="15.75" customHeight="1" s="5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</row>
    <row r="106" ht="15.75" customHeight="1" s="5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  <row r="107" ht="15.75" customHeight="1" s="5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</row>
    <row r="108" ht="15.75" customHeight="1" s="5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</row>
    <row r="109" ht="15.75" customHeight="1" s="5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</row>
    <row r="110" ht="15.75" customHeight="1" s="5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</row>
    <row r="111" ht="15.75" customHeight="1" s="5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</row>
    <row r="112" ht="15.75" customHeight="1" s="5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</row>
    <row r="113" ht="15.75" customHeight="1" s="5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</row>
    <row r="114" ht="15.75" customHeight="1" s="5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</row>
    <row r="115" ht="15.75" customHeight="1" s="5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</row>
    <row r="116" ht="15.75" customHeight="1" s="5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</row>
    <row r="117" ht="15.75" customHeight="1" s="5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</row>
    <row r="118" ht="15.75" customHeight="1" s="5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15.75" customHeight="1" s="5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</row>
    <row r="120" ht="15.75" customHeight="1" s="5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</row>
    <row r="121" ht="15.75" customHeight="1" s="5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</row>
    <row r="122" ht="15.75" customHeight="1" s="5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</row>
    <row r="123" ht="15.75" customHeight="1" s="5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</row>
    <row r="124" ht="15.75" customHeight="1" s="5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</row>
    <row r="125" ht="15.75" customHeight="1" s="5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</row>
    <row r="126" ht="15.75" customHeight="1" s="5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</row>
    <row r="127" ht="15.75" customHeight="1" s="5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</row>
    <row r="128" ht="15.75" customHeight="1" s="5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</row>
    <row r="129" ht="15.75" customHeight="1" s="5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</row>
    <row r="130" ht="15.75" customHeight="1" s="5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</row>
    <row r="131" ht="15.75" customHeight="1" s="5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</row>
    <row r="132" ht="15.75" customHeight="1" s="5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</row>
    <row r="133" ht="15.75" customHeight="1" s="5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</row>
    <row r="134" ht="15.75" customHeight="1" s="5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</row>
    <row r="135" ht="15.75" customHeight="1" s="5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</row>
    <row r="136" ht="15.75" customHeight="1" s="5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</row>
    <row r="137" ht="15.75" customHeight="1" s="5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</row>
    <row r="138" ht="15.75" customHeight="1" s="5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</row>
    <row r="139" ht="15.75" customHeight="1" s="5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</row>
    <row r="140" ht="15.75" customHeight="1" s="5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</row>
    <row r="141" ht="15.75" customHeight="1" s="5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</row>
    <row r="142" ht="15.75" customHeight="1" s="5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</row>
    <row r="143" ht="15.75" customHeight="1" s="5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</row>
    <row r="144" ht="15.75" customHeight="1" s="5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</row>
    <row r="145" ht="15.75" customHeight="1" s="5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</row>
    <row r="146" ht="15.75" customHeight="1" s="5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</row>
    <row r="147" ht="15.75" customHeight="1" s="5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</row>
    <row r="148" ht="15.75" customHeight="1" s="5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</row>
    <row r="149" ht="15.75" customHeight="1" s="5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</row>
    <row r="150" ht="15.75" customHeight="1" s="5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</row>
    <row r="151" ht="15.75" customHeight="1" s="5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</row>
    <row r="152" ht="15.75" customHeight="1" s="5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</row>
    <row r="153" ht="15.75" customHeight="1" s="5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</row>
    <row r="154" ht="15.75" customHeight="1" s="5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</row>
    <row r="155" ht="15.75" customHeight="1" s="5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</row>
    <row r="156" ht="15.75" customHeight="1" s="5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</row>
    <row r="157" ht="15.75" customHeight="1" s="5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</row>
    <row r="158" ht="15.75" customHeight="1" s="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</row>
    <row r="159" ht="15.75" customHeight="1" s="5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</row>
    <row r="160" ht="15.75" customHeight="1" s="5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</row>
    <row r="161" ht="15.75" customHeight="1" s="5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</row>
    <row r="162" ht="15.75" customHeight="1" s="5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</row>
    <row r="163" ht="15.75" customHeight="1" s="5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</row>
    <row r="164" ht="15.75" customHeight="1" s="5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</row>
    <row r="165" ht="15.75" customHeight="1" s="5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</row>
    <row r="166" ht="15.75" customHeight="1" s="5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</row>
    <row r="167" ht="15.75" customHeight="1" s="5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</row>
    <row r="168" ht="15.75" customHeight="1" s="5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</row>
    <row r="169" ht="15.75" customHeight="1" s="5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</row>
    <row r="170" ht="15.75" customHeight="1" s="5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</row>
    <row r="171" ht="15.75" customHeight="1" s="5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</row>
    <row r="172" ht="15.75" customHeight="1" s="5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</row>
    <row r="173" ht="15.75" customHeight="1" s="5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</row>
    <row r="174" ht="15.75" customHeight="1" s="5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</row>
    <row r="175" ht="15.75" customHeight="1" s="5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</row>
    <row r="176" ht="15.75" customHeight="1" s="5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</row>
    <row r="177" ht="15.75" customHeight="1" s="5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</row>
    <row r="178" ht="15.75" customHeight="1" s="5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</row>
    <row r="179" ht="15.75" customHeight="1" s="5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</row>
    <row r="180" ht="15.75" customHeight="1" s="5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</row>
    <row r="181" ht="15.75" customHeight="1" s="5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</row>
    <row r="182" ht="15.75" customHeight="1" s="5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</row>
    <row r="183" ht="15.75" customHeight="1" s="5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</row>
    <row r="184" ht="15.75" customHeight="1" s="5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</row>
    <row r="185" ht="15.75" customHeight="1" s="5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</row>
    <row r="186" ht="15.75" customHeight="1" s="5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</row>
    <row r="187" ht="15.75" customHeight="1" s="5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</row>
    <row r="188" ht="15.75" customHeight="1" s="5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</row>
    <row r="189" ht="15.75" customHeight="1" s="5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</row>
    <row r="190" ht="15.75" customHeight="1" s="5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</row>
    <row r="191" ht="15.75" customHeight="1" s="5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</row>
    <row r="192" ht="15.75" customHeight="1" s="5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</row>
    <row r="193" ht="15.75" customHeight="1" s="5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</row>
    <row r="194" ht="15.75" customHeight="1" s="5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</row>
    <row r="195" ht="15.75" customHeight="1" s="5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</row>
    <row r="196" ht="15.75" customHeight="1" s="5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</row>
    <row r="197" ht="15.75" customHeight="1" s="5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</row>
    <row r="198" ht="15.75" customHeight="1" s="5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</row>
    <row r="199" ht="15.75" customHeight="1" s="5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</row>
    <row r="200" ht="15.75" customHeight="1" s="5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</row>
    <row r="201" ht="15.75" customHeight="1" s="5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</row>
    <row r="202" ht="15.75" customHeight="1" s="5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</row>
    <row r="203" ht="15.75" customHeight="1" s="5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</row>
    <row r="204" ht="15.75" customHeight="1" s="5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</row>
    <row r="205" ht="15.75" customHeight="1" s="5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</row>
    <row r="206" ht="15.75" customHeight="1" s="5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</row>
    <row r="207" ht="15.75" customHeight="1" s="5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</row>
    <row r="208" ht="15.75" customHeight="1" s="5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</row>
    <row r="209" ht="15.75" customHeight="1" s="5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</row>
    <row r="210" ht="15.75" customHeight="1" s="5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</row>
    <row r="211" ht="15.75" customHeight="1" s="5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</row>
    <row r="212" ht="15.75" customHeight="1" s="5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</row>
    <row r="213" ht="15.75" customHeight="1" s="5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</row>
    <row r="214" ht="15.75" customHeight="1" s="5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</row>
    <row r="215" ht="15.75" customHeight="1" s="5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</row>
    <row r="216" ht="15.75" customHeight="1" s="5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</row>
    <row r="217" ht="15.75" customHeight="1" s="5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</row>
    <row r="218" ht="15.75" customHeight="1" s="5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</row>
    <row r="219" ht="15.75" customHeight="1" s="5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</row>
    <row r="220" ht="15.75" customHeight="1" s="5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</row>
    <row r="221" ht="15.75" customHeight="1" s="5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</row>
    <row r="222" ht="15.75" customHeight="1" s="5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</row>
    <row r="223" ht="15.75" customHeight="1" s="5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</row>
    <row r="224" ht="15.75" customHeight="1" s="5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</row>
    <row r="225" ht="15.75" customHeight="1" s="5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</row>
    <row r="226" ht="15.75" customHeight="1" s="5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</row>
    <row r="227" ht="15.75" customHeight="1" s="5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</row>
    <row r="228" ht="15.75" customHeight="1" s="5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</row>
    <row r="229" ht="15.75" customHeight="1" s="5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</row>
    <row r="230" ht="15.75" customHeight="1" s="5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</row>
    <row r="231" ht="15.75" customHeight="1" s="5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</row>
    <row r="232" ht="15.75" customHeight="1" s="5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</row>
    <row r="233" ht="15.75" customHeight="1" s="5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</row>
    <row r="234" ht="15.75" customHeight="1" s="5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</row>
    <row r="235" ht="15.75" customHeight="1" s="5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</row>
    <row r="236" ht="15.75" customHeight="1" s="5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</row>
    <row r="237" ht="15.75" customHeight="1" s="5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</row>
    <row r="238" ht="15.75" customHeight="1" s="5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</row>
    <row r="239" ht="15.75" customHeight="1" s="5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</row>
    <row r="240" ht="15.75" customHeight="1" s="5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</row>
    <row r="241" ht="15.75" customHeight="1" s="5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</row>
    <row r="242" ht="15.75" customHeight="1" s="5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</row>
    <row r="243" ht="15.75" customHeight="1" s="5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</row>
    <row r="244" ht="15.75" customHeight="1" s="5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</row>
    <row r="245" ht="15.75" customHeight="1" s="5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</row>
    <row r="246" ht="15.75" customHeight="1" s="5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</row>
    <row r="247" ht="15.75" customHeight="1" s="5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</row>
    <row r="248" ht="15.75" customHeight="1" s="5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</row>
    <row r="249" ht="15.75" customHeight="1" s="5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</row>
    <row r="250" ht="15.75" customHeight="1" s="5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</row>
    <row r="251" ht="15.75" customHeight="1" s="5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</row>
    <row r="252" ht="15.75" customHeight="1" s="5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</row>
    <row r="253" ht="15.75" customHeight="1" s="5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</row>
    <row r="254" ht="15.75" customHeight="1" s="5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</row>
    <row r="255" ht="15.75" customHeight="1" s="5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</row>
    <row r="256" ht="15.75" customHeight="1" s="5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</row>
    <row r="257" ht="15.75" customHeight="1" s="5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</row>
    <row r="258" ht="15.75" customHeight="1" s="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</row>
    <row r="259" ht="15.75" customHeight="1" s="5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</row>
    <row r="260" ht="15.75" customHeight="1" s="5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</row>
    <row r="261" ht="15.75" customHeight="1" s="5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</row>
    <row r="262" ht="15.75" customHeight="1" s="5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</row>
    <row r="263" ht="15.75" customHeight="1" s="5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</row>
    <row r="264" ht="15.75" customHeight="1" s="5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</row>
    <row r="265" ht="15.75" customHeight="1" s="5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</row>
    <row r="266" ht="15.75" customHeight="1" s="5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</row>
    <row r="267" ht="15.75" customHeight="1" s="5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</row>
    <row r="268" ht="15.75" customHeight="1" s="5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</row>
    <row r="269" ht="15.75" customHeight="1" s="5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</row>
    <row r="270" ht="15.75" customHeight="1" s="5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</row>
    <row r="271" ht="15.75" customHeight="1" s="5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</row>
    <row r="272" ht="15.75" customHeight="1" s="5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</row>
    <row r="273" ht="15.75" customHeight="1" s="5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</row>
    <row r="274" ht="15.75" customHeight="1" s="5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</row>
    <row r="275" ht="15.75" customHeight="1" s="5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</row>
    <row r="276" ht="15.75" customHeight="1" s="5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</row>
    <row r="277" ht="15.75" customHeight="1" s="5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</row>
    <row r="278" ht="15.75" customHeight="1" s="5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</row>
    <row r="279" ht="15.75" customHeight="1" s="5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</row>
    <row r="280" ht="15.75" customHeight="1" s="5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</row>
    <row r="281" ht="15.75" customHeight="1" s="5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</row>
    <row r="282" ht="15.75" customHeight="1" s="5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</row>
    <row r="283" ht="15.75" customHeight="1" s="5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</row>
    <row r="284" ht="15.75" customHeight="1" s="5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</row>
    <row r="285" ht="15.75" customHeight="1" s="5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</row>
    <row r="286" ht="15.75" customHeight="1" s="5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</row>
    <row r="287" ht="15.75" customHeight="1" s="5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</row>
    <row r="288" ht="15.75" customHeight="1" s="5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</row>
    <row r="289" ht="15.75" customHeight="1" s="5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</row>
    <row r="290" ht="15.75" customHeight="1" s="5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</row>
    <row r="291" ht="15.75" customHeight="1" s="5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</row>
    <row r="292" ht="15.75" customHeight="1" s="5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</row>
    <row r="293" ht="15.75" customHeight="1" s="5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</row>
    <row r="294" ht="15.75" customHeight="1" s="5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</row>
    <row r="295" ht="15.75" customHeight="1" s="5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</row>
    <row r="296" ht="15.75" customHeight="1" s="5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</row>
    <row r="297" ht="15.75" customHeight="1" s="5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</row>
    <row r="298" ht="15.75" customHeight="1" s="5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</row>
    <row r="299" ht="15.75" customHeight="1" s="5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</row>
    <row r="300" ht="15.75" customHeight="1" s="5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</row>
    <row r="301" ht="15.75" customHeight="1" s="5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</row>
    <row r="302" ht="15.75" customHeight="1" s="5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</row>
    <row r="303" ht="15.75" customHeight="1" s="5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</row>
    <row r="304" ht="15.75" customHeight="1" s="5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</row>
    <row r="305" ht="15.75" customHeight="1" s="5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</row>
    <row r="306" ht="15.75" customHeight="1" s="5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</row>
    <row r="307" ht="15.75" customHeight="1" s="5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</row>
    <row r="308" ht="15.75" customHeight="1" s="5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</row>
    <row r="309" ht="15.75" customHeight="1" s="5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</row>
    <row r="310" ht="15.75" customHeight="1" s="5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</row>
    <row r="311" ht="15.75" customHeight="1" s="5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</row>
    <row r="312" ht="15.75" customHeight="1" s="5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</row>
    <row r="313" ht="15.75" customHeight="1" s="5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</row>
    <row r="314" ht="15.75" customHeight="1" s="5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</row>
    <row r="315" ht="15.75" customHeight="1" s="5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</row>
    <row r="316" ht="15.75" customHeight="1" s="5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</row>
    <row r="317" ht="15.75" customHeight="1" s="5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</row>
    <row r="318" ht="15.75" customHeight="1" s="5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</row>
    <row r="319" ht="15.75" customHeight="1" s="5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</row>
    <row r="320" ht="15.75" customHeight="1" s="5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</row>
    <row r="321" ht="15.75" customHeight="1" s="5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</row>
    <row r="322" ht="15.75" customHeight="1" s="5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</row>
    <row r="323" ht="15.75" customHeight="1" s="5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</row>
    <row r="324" ht="15.75" customHeight="1" s="5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</row>
    <row r="325" ht="15.75" customHeight="1" s="5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</row>
    <row r="326" ht="15.75" customHeight="1" s="5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</row>
    <row r="327" ht="15.75" customHeight="1" s="5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</row>
    <row r="328" ht="15.75" customHeight="1" s="5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</row>
    <row r="329" ht="15.75" customHeight="1" s="5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</row>
    <row r="330" ht="15.75" customHeight="1" s="5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</row>
    <row r="331" ht="15.75" customHeight="1" s="5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</row>
    <row r="332" ht="15.75" customHeight="1" s="5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</row>
    <row r="333" ht="15.75" customHeight="1" s="5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</row>
    <row r="334" ht="15.75" customHeight="1" s="5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</row>
    <row r="335" ht="15.75" customHeight="1" s="5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</row>
    <row r="336" ht="15.75" customHeight="1" s="5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</row>
    <row r="337" ht="15.75" customHeight="1" s="5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</row>
    <row r="338" ht="15.75" customHeight="1" s="5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</row>
    <row r="339" ht="15.75" customHeight="1" s="5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</row>
    <row r="340" ht="15.75" customHeight="1" s="5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</row>
    <row r="341" ht="15.75" customHeight="1" s="5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</row>
    <row r="342" ht="15.75" customHeight="1" s="5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</row>
    <row r="343" ht="15.75" customHeight="1" s="5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</row>
    <row r="344" ht="15.75" customHeight="1" s="5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</row>
    <row r="345" ht="15.75" customHeight="1" s="5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</row>
    <row r="346" ht="15.75" customHeight="1" s="5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</row>
    <row r="347" ht="15.75" customHeight="1" s="5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</row>
    <row r="348" ht="15.75" customHeight="1" s="5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</row>
    <row r="349" ht="15.75" customHeight="1" s="5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</row>
    <row r="350" ht="15.75" customHeight="1" s="5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</row>
    <row r="351" ht="15.75" customHeight="1" s="5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</row>
    <row r="352" ht="15.75" customHeight="1" s="5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</row>
    <row r="353" ht="15.75" customHeight="1" s="5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</row>
    <row r="354" ht="15.75" customHeight="1" s="5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</row>
    <row r="355" ht="15.75" customHeight="1" s="5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</row>
    <row r="356" ht="15.75" customHeight="1" s="5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</row>
    <row r="357" ht="15.75" customHeight="1" s="5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</row>
    <row r="358" ht="15.75" customHeight="1" s="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</row>
    <row r="359" ht="15.75" customHeight="1" s="5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</row>
    <row r="360" ht="15.75" customHeight="1" s="5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</row>
    <row r="361" ht="15.75" customHeight="1" s="5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</row>
    <row r="362" ht="15.75" customHeight="1" s="5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</row>
    <row r="363" ht="15.75" customHeight="1" s="5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</row>
    <row r="364" ht="15.75" customHeight="1" s="5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</row>
    <row r="365" ht="15.75" customHeight="1" s="5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</row>
    <row r="366" ht="15.75" customHeight="1" s="5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</row>
    <row r="367" ht="15.75" customHeight="1" s="5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</row>
    <row r="368" ht="15.75" customHeight="1" s="5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</row>
    <row r="369" ht="15.75" customHeight="1" s="5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</row>
    <row r="370" ht="15.75" customHeight="1" s="5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</row>
    <row r="371" ht="15.75" customHeight="1" s="5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</row>
    <row r="372" ht="15.75" customHeight="1" s="5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</row>
    <row r="373" ht="15.75" customHeight="1" s="5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</row>
    <row r="374" ht="15.75" customHeight="1" s="5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</row>
    <row r="375" ht="15.75" customHeight="1" s="5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</row>
    <row r="376" ht="15.75" customHeight="1" s="5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</row>
    <row r="377" ht="15.75" customHeight="1" s="5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</row>
    <row r="378" ht="15.75" customHeight="1" s="5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</row>
    <row r="379" ht="15.75" customHeight="1" s="5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</row>
    <row r="380" ht="15.75" customHeight="1" s="5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</row>
    <row r="381" ht="15.75" customHeight="1" s="5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</row>
    <row r="382" ht="15.75" customHeight="1" s="5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</row>
    <row r="383" ht="15.75" customHeight="1" s="5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</row>
    <row r="384" ht="15.75" customHeight="1" s="5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</row>
    <row r="385" ht="15.75" customHeight="1" s="5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</row>
    <row r="386" ht="15.75" customHeight="1" s="5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</row>
    <row r="387" ht="15.75" customHeight="1" s="5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</row>
    <row r="388" ht="15.75" customHeight="1" s="5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</row>
    <row r="389" ht="15.75" customHeight="1" s="5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</row>
    <row r="390" ht="15.75" customHeight="1" s="5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</row>
    <row r="391" ht="15.75" customHeight="1" s="5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</row>
    <row r="392" ht="15.75" customHeight="1" s="5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</row>
    <row r="393" ht="15.75" customHeight="1" s="5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</row>
    <row r="394" ht="15.75" customHeight="1" s="5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</row>
    <row r="395" ht="15.75" customHeight="1" s="5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</row>
    <row r="396" ht="15.75" customHeight="1" s="5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</row>
    <row r="397" ht="15.75" customHeight="1" s="5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</row>
    <row r="398" ht="15.75" customHeight="1" s="5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</row>
    <row r="399" ht="15.75" customHeight="1" s="5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</row>
    <row r="400" ht="15.75" customHeight="1" s="5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</row>
    <row r="401" ht="15.75" customHeight="1" s="5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</row>
    <row r="402" ht="15.75" customHeight="1" s="5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</row>
    <row r="403" ht="15.75" customHeight="1" s="5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</row>
    <row r="404" ht="15.75" customHeight="1" s="5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</row>
    <row r="405" ht="15.75" customHeight="1" s="5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</row>
    <row r="406" ht="15.75" customHeight="1" s="5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</row>
    <row r="407" ht="15.75" customHeight="1" s="5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</row>
    <row r="408" ht="15.75" customHeight="1" s="5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</row>
    <row r="409" ht="15.75" customHeight="1" s="5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</row>
    <row r="410" ht="15.75" customHeight="1" s="5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</row>
    <row r="411" ht="15.75" customHeight="1" s="5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</row>
    <row r="412" ht="15.75" customHeight="1" s="5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</row>
    <row r="413" ht="15.75" customHeight="1" s="5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</row>
    <row r="414" ht="15.75" customHeight="1" s="5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</row>
    <row r="415" ht="15.75" customHeight="1" s="5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</row>
    <row r="416" ht="15.75" customHeight="1" s="5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</row>
    <row r="417" ht="15.75" customHeight="1" s="5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</row>
    <row r="418" ht="15.75" customHeight="1" s="5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</row>
    <row r="419" ht="15.75" customHeight="1" s="5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</row>
    <row r="420" ht="15.75" customHeight="1" s="5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</row>
    <row r="421" ht="15.75" customHeight="1" s="5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</row>
    <row r="422" ht="15.75" customHeight="1" s="5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</row>
    <row r="423" ht="15.75" customHeight="1" s="5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</row>
    <row r="424" ht="15.75" customHeight="1" s="5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</row>
    <row r="425" ht="15.75" customHeight="1" s="5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</row>
    <row r="426" ht="15.75" customHeight="1" s="5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</row>
    <row r="427" ht="15.75" customHeight="1" s="5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</row>
    <row r="428" ht="15.75" customHeight="1" s="5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</row>
    <row r="429" ht="15.75" customHeight="1" s="5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</row>
    <row r="430" ht="15.75" customHeight="1" s="5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</row>
    <row r="431" ht="15.75" customHeight="1" s="5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</row>
    <row r="432" ht="15.75" customHeight="1" s="5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</row>
    <row r="433" ht="15.75" customHeight="1" s="5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</row>
    <row r="434" ht="15.75" customHeight="1" s="5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</row>
    <row r="435" ht="15.75" customHeight="1" s="5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</row>
    <row r="436" ht="15.75" customHeight="1" s="5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</row>
    <row r="437" ht="15.75" customHeight="1" s="5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</row>
    <row r="438" ht="15.75" customHeight="1" s="5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</row>
    <row r="439" ht="15.75" customHeight="1" s="5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</row>
    <row r="440" ht="15.75" customHeight="1" s="5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</row>
    <row r="441" ht="15.75" customHeight="1" s="5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</row>
    <row r="442" ht="15.75" customHeight="1" s="5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</row>
    <row r="443" ht="15.75" customHeight="1" s="5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</row>
    <row r="444" ht="15.75" customHeight="1" s="5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</row>
    <row r="445" ht="15.75" customHeight="1" s="5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</row>
    <row r="446" ht="15.75" customHeight="1" s="5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</row>
    <row r="447" ht="15.75" customHeight="1" s="5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</row>
    <row r="448" ht="15.75" customHeight="1" s="5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</row>
    <row r="449" ht="15.75" customHeight="1" s="5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</row>
    <row r="450" ht="15.75" customHeight="1" s="5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</row>
    <row r="451" ht="15.75" customHeight="1" s="5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</row>
    <row r="452" ht="15.75" customHeight="1" s="5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</row>
    <row r="453" ht="15.75" customHeight="1" s="5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</row>
    <row r="454" ht="15.75" customHeight="1" s="5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</row>
    <row r="455" ht="15.75" customHeight="1" s="5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</row>
    <row r="456" ht="15.75" customHeight="1" s="5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</row>
    <row r="457" ht="15.75" customHeight="1" s="5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</row>
    <row r="458" ht="15.75" customHeight="1" s="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</row>
    <row r="459" ht="15.75" customHeight="1" s="5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</row>
    <row r="460" ht="15.75" customHeight="1" s="5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</row>
    <row r="461" ht="15.75" customHeight="1" s="5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</row>
    <row r="462" ht="15.75" customHeight="1" s="5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</row>
    <row r="463" ht="15.75" customHeight="1" s="5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</row>
    <row r="464" ht="15.75" customHeight="1" s="5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</row>
    <row r="465" ht="15.75" customHeight="1" s="5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</row>
    <row r="466" ht="15.75" customHeight="1" s="5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</row>
    <row r="467" ht="15.75" customHeight="1" s="5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</row>
    <row r="468" ht="15.75" customHeight="1" s="5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</row>
    <row r="469" ht="15.75" customHeight="1" s="5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</row>
    <row r="470" ht="15.75" customHeight="1" s="5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</row>
    <row r="471" ht="15.75" customHeight="1" s="5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</row>
    <row r="472" ht="15.75" customHeight="1" s="5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</row>
    <row r="473" ht="15.75" customHeight="1" s="5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</row>
    <row r="474" ht="15.75" customHeight="1" s="5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</row>
    <row r="475" ht="15.75" customHeight="1" s="5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</row>
    <row r="476" ht="15.75" customHeight="1" s="5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</row>
    <row r="477" ht="15.75" customHeight="1" s="5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</row>
    <row r="478" ht="15.75" customHeight="1" s="5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</row>
    <row r="479" ht="15.75" customHeight="1" s="5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</row>
    <row r="480" ht="15.75" customHeight="1" s="5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</row>
    <row r="481" ht="15.75" customHeight="1" s="5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</row>
    <row r="482" ht="15.75" customHeight="1" s="5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</row>
    <row r="483" ht="15.75" customHeight="1" s="5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</row>
    <row r="484" ht="15.75" customHeight="1" s="5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</row>
    <row r="485" ht="15.75" customHeight="1" s="5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</row>
    <row r="486" ht="15.75" customHeight="1" s="5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</row>
    <row r="487" ht="15.75" customHeight="1" s="5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</row>
    <row r="488" ht="15.75" customHeight="1" s="5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</row>
    <row r="489" ht="15.75" customHeight="1" s="5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</row>
    <row r="490" ht="15.75" customHeight="1" s="5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</row>
    <row r="491" ht="15.75" customHeight="1" s="5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</row>
    <row r="492" ht="15.75" customHeight="1" s="5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</row>
    <row r="493" ht="15.75" customHeight="1" s="5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</row>
    <row r="494" ht="15.75" customHeight="1" s="5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</row>
    <row r="495" ht="15.75" customHeight="1" s="5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</row>
    <row r="496" ht="15.75" customHeight="1" s="5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</row>
    <row r="497" ht="15.75" customHeight="1" s="5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</row>
    <row r="498" ht="15.75" customHeight="1" s="5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</row>
    <row r="499" ht="15.75" customHeight="1" s="5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</row>
    <row r="500" ht="15.75" customHeight="1" s="5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</row>
    <row r="501" ht="15.75" customHeight="1" s="5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</row>
    <row r="502" ht="15.75" customHeight="1" s="5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</row>
    <row r="503" ht="15.75" customHeight="1" s="5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</row>
    <row r="504" ht="15.75" customHeight="1" s="5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</row>
    <row r="505" ht="15.75" customHeight="1" s="5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</row>
    <row r="506" ht="15.75" customHeight="1" s="5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</row>
    <row r="507" ht="15.75" customHeight="1" s="5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</row>
    <row r="508" ht="15.75" customHeight="1" s="5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</row>
    <row r="509" ht="15.75" customHeight="1" s="5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</row>
    <row r="510" ht="15.75" customHeight="1" s="5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</row>
    <row r="511" ht="15.75" customHeight="1" s="5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</row>
    <row r="512" ht="15.75" customHeight="1" s="5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</row>
    <row r="513" ht="15.75" customHeight="1" s="5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</row>
    <row r="514" ht="15.75" customHeight="1" s="5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</row>
    <row r="515" ht="15.75" customHeight="1" s="5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</row>
    <row r="516" ht="15.75" customHeight="1" s="5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</row>
    <row r="517" ht="15.75" customHeight="1" s="5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</row>
    <row r="518" ht="15.75" customHeight="1" s="5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</row>
    <row r="519" ht="15.75" customHeight="1" s="5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</row>
    <row r="520" ht="15.75" customHeight="1" s="5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</row>
    <row r="521" ht="15.75" customHeight="1" s="5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</row>
    <row r="522" ht="15.75" customHeight="1" s="5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</row>
    <row r="523" ht="15.75" customHeight="1" s="5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</row>
    <row r="524" ht="15.75" customHeight="1" s="5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</row>
    <row r="525" ht="15.75" customHeight="1" s="5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</row>
    <row r="526" ht="15.75" customHeight="1" s="5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</row>
    <row r="527" ht="15.75" customHeight="1" s="5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</row>
    <row r="528" ht="15.75" customHeight="1" s="5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</row>
    <row r="529" ht="15.75" customHeight="1" s="5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</row>
    <row r="530" ht="15.75" customHeight="1" s="5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</row>
    <row r="531" ht="15.75" customHeight="1" s="5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</row>
    <row r="532" ht="15.75" customHeight="1" s="5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</row>
    <row r="533" ht="15.75" customHeight="1" s="5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</row>
    <row r="534" ht="15.75" customHeight="1" s="5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</row>
    <row r="535" ht="15.75" customHeight="1" s="5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</row>
    <row r="536" ht="15.75" customHeight="1" s="5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</row>
    <row r="537" ht="15.75" customHeight="1" s="5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</row>
    <row r="538" ht="15.75" customHeight="1" s="5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</row>
    <row r="539" ht="15.75" customHeight="1" s="5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</row>
    <row r="540" ht="15.75" customHeight="1" s="5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</row>
    <row r="541" ht="15.75" customHeight="1" s="5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</row>
    <row r="542" ht="15.75" customHeight="1" s="5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</row>
    <row r="543" ht="15.75" customHeight="1" s="5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</row>
    <row r="544" ht="15.75" customHeight="1" s="5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</row>
    <row r="545" ht="15.75" customHeight="1" s="5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</row>
    <row r="546" ht="15.75" customHeight="1" s="5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</row>
    <row r="547" ht="15.75" customHeight="1" s="5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</row>
    <row r="548" ht="15.75" customHeight="1" s="5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</row>
    <row r="549" ht="15.75" customHeight="1" s="5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</row>
    <row r="550" ht="15.75" customHeight="1" s="5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</row>
    <row r="551" ht="15.75" customHeight="1" s="5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</row>
    <row r="552" ht="15.75" customHeight="1" s="5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</row>
    <row r="553" ht="15.75" customHeight="1" s="5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</row>
    <row r="554" ht="15.75" customHeight="1" s="5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</row>
    <row r="555" ht="15.75" customHeight="1" s="5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</row>
    <row r="556" ht="15.75" customHeight="1" s="5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</row>
    <row r="557" ht="15.75" customHeight="1" s="5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</row>
    <row r="558" ht="15.75" customHeight="1" s="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</row>
    <row r="559" ht="15.75" customHeight="1" s="5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</row>
    <row r="560" ht="15.75" customHeight="1" s="5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</row>
    <row r="561" ht="15.75" customHeight="1" s="5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</row>
    <row r="562" ht="15.75" customHeight="1" s="5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</row>
    <row r="563" ht="15.75" customHeight="1" s="5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</row>
    <row r="564" ht="15.75" customHeight="1" s="5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</row>
    <row r="565" ht="15.75" customHeight="1" s="5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</row>
    <row r="566" ht="15.75" customHeight="1" s="5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</row>
    <row r="567" ht="15.75" customHeight="1" s="5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</row>
    <row r="568" ht="15.75" customHeight="1" s="5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</row>
    <row r="569" ht="15.75" customHeight="1" s="5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</row>
    <row r="570" ht="15.75" customHeight="1" s="5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</row>
    <row r="571" ht="15.75" customHeight="1" s="5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</row>
    <row r="572" ht="15.75" customHeight="1" s="5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</row>
    <row r="573" ht="15.75" customHeight="1" s="5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</row>
    <row r="574" ht="15.75" customHeight="1" s="5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</row>
    <row r="575" ht="15.75" customHeight="1" s="5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</row>
    <row r="576" ht="15.75" customHeight="1" s="5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</row>
    <row r="577" ht="15.75" customHeight="1" s="5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</row>
    <row r="578" ht="15.75" customHeight="1" s="5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</row>
    <row r="579" ht="15.75" customHeight="1" s="5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</row>
    <row r="580" ht="15.75" customHeight="1" s="5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</row>
    <row r="581" ht="15.75" customHeight="1" s="5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</row>
    <row r="582" ht="15.75" customHeight="1" s="5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</row>
    <row r="583" ht="15.75" customHeight="1" s="5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</row>
    <row r="584" ht="15.75" customHeight="1" s="5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</row>
    <row r="585" ht="15.75" customHeight="1" s="5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</row>
    <row r="586" ht="15.75" customHeight="1" s="5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</row>
    <row r="587" ht="15.75" customHeight="1" s="5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</row>
    <row r="588" ht="15.75" customHeight="1" s="5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</row>
    <row r="589" ht="15.75" customHeight="1" s="5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</row>
    <row r="590" ht="15.75" customHeight="1" s="5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</row>
    <row r="591" ht="15.75" customHeight="1" s="5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</row>
    <row r="592" ht="15.75" customHeight="1" s="5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</row>
    <row r="593" ht="15.75" customHeight="1" s="5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</row>
    <row r="594" ht="15.75" customHeight="1" s="5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</row>
    <row r="595" ht="15.75" customHeight="1" s="5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</row>
    <row r="596" ht="15.75" customHeight="1" s="5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</row>
    <row r="597" ht="15.75" customHeight="1" s="5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</row>
    <row r="598" ht="15.75" customHeight="1" s="5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</row>
    <row r="599" ht="15.75" customHeight="1" s="5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</row>
    <row r="600" ht="15.75" customHeight="1" s="5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</row>
    <row r="601" ht="15.75" customHeight="1" s="5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</row>
    <row r="602" ht="15.75" customHeight="1" s="5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</row>
    <row r="603" ht="15.75" customHeight="1" s="5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</row>
    <row r="604" ht="15.75" customHeight="1" s="5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</row>
    <row r="605" ht="15.75" customHeight="1" s="5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</row>
    <row r="606" ht="15.75" customHeight="1" s="5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</row>
    <row r="607" ht="15.75" customHeight="1" s="5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</row>
    <row r="608" ht="15.75" customHeight="1" s="5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</row>
    <row r="609" ht="15.75" customHeight="1" s="5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</row>
    <row r="610" ht="15.75" customHeight="1" s="5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</row>
    <row r="611" ht="15.75" customHeight="1" s="5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</row>
    <row r="612" ht="15.75" customHeight="1" s="5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</row>
    <row r="613" ht="15.75" customHeight="1" s="5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</row>
    <row r="614" ht="15.75" customHeight="1" s="5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</row>
    <row r="615" ht="15.75" customHeight="1" s="5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</row>
    <row r="616" ht="15.75" customHeight="1" s="5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</row>
    <row r="617" ht="15.75" customHeight="1" s="5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</row>
    <row r="618" ht="15.75" customHeight="1" s="5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</row>
    <row r="619" ht="15.75" customHeight="1" s="5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</row>
    <row r="620" ht="15.75" customHeight="1" s="5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</row>
    <row r="621" ht="15.75" customHeight="1" s="5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</row>
    <row r="622" ht="15.75" customHeight="1" s="5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</row>
    <row r="623" ht="15.75" customHeight="1" s="5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</row>
    <row r="624" ht="15.75" customHeight="1" s="5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</row>
    <row r="625" ht="15.75" customHeight="1" s="5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</row>
    <row r="626" ht="15.75" customHeight="1" s="5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</row>
    <row r="627" ht="15.75" customHeight="1" s="5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</row>
    <row r="628" ht="15.75" customHeight="1" s="5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</row>
    <row r="629" ht="15.75" customHeight="1" s="5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</row>
    <row r="630" ht="15.75" customHeight="1" s="5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</row>
    <row r="631" ht="15.75" customHeight="1" s="5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</row>
    <row r="632" ht="15.75" customHeight="1" s="5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</row>
    <row r="633" ht="15.75" customHeight="1" s="5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</row>
    <row r="634" ht="15.75" customHeight="1" s="5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</row>
    <row r="635" ht="15.75" customHeight="1" s="5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</row>
    <row r="636" ht="15.75" customHeight="1" s="5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</row>
    <row r="637" ht="15.75" customHeight="1" s="5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</row>
    <row r="638" ht="15.75" customHeight="1" s="5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</row>
    <row r="639" ht="15.75" customHeight="1" s="5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</row>
    <row r="640" ht="15.75" customHeight="1" s="5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</row>
    <row r="641" ht="15.75" customHeight="1" s="5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</row>
    <row r="642" ht="15.75" customHeight="1" s="5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</row>
    <row r="643" ht="15.75" customHeight="1" s="5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</row>
    <row r="644" ht="15.75" customHeight="1" s="5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</row>
    <row r="645" ht="15.75" customHeight="1" s="5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</row>
    <row r="646" ht="15.75" customHeight="1" s="5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</row>
    <row r="647" ht="15.75" customHeight="1" s="5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</row>
    <row r="648" ht="15.75" customHeight="1" s="5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</row>
    <row r="649" ht="15.75" customHeight="1" s="5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</row>
    <row r="650" ht="15.75" customHeight="1" s="5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</row>
    <row r="651" ht="15.75" customHeight="1" s="5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</row>
    <row r="652" ht="15.75" customHeight="1" s="5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</row>
    <row r="653" ht="15.75" customHeight="1" s="5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</row>
    <row r="654" ht="15.75" customHeight="1" s="5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</row>
    <row r="655" ht="15.75" customHeight="1" s="5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</row>
    <row r="656" ht="15.75" customHeight="1" s="5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</row>
    <row r="657" ht="15.75" customHeight="1" s="5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</row>
    <row r="658" ht="15.75" customHeight="1" s="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</row>
    <row r="659" ht="15.75" customHeight="1" s="5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</row>
    <row r="660" ht="15.75" customHeight="1" s="5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</row>
    <row r="661" ht="15.75" customHeight="1" s="5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</row>
    <row r="662" ht="15.75" customHeight="1" s="5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</row>
    <row r="663" ht="15.75" customHeight="1" s="5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</row>
    <row r="664" ht="15.75" customHeight="1" s="5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</row>
    <row r="665" ht="15.75" customHeight="1" s="5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</row>
    <row r="666" ht="15.75" customHeight="1" s="5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</row>
    <row r="667" ht="15.75" customHeight="1" s="5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</row>
    <row r="668" ht="15.75" customHeight="1" s="5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</row>
    <row r="669" ht="15.75" customHeight="1" s="5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</row>
    <row r="670" ht="15.75" customHeight="1" s="5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</row>
    <row r="671" ht="15.75" customHeight="1" s="5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</row>
    <row r="672" ht="15.75" customHeight="1" s="5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</row>
    <row r="673" ht="15.75" customHeight="1" s="5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</row>
    <row r="674" ht="15.75" customHeight="1" s="5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</row>
    <row r="675" ht="15.75" customHeight="1" s="5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</row>
    <row r="676" ht="15.75" customHeight="1" s="5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</row>
    <row r="677" ht="15.75" customHeight="1" s="5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</row>
    <row r="678" ht="15.75" customHeight="1" s="5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</row>
    <row r="679" ht="15.75" customHeight="1" s="5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</row>
    <row r="680" ht="15.75" customHeight="1" s="5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</row>
    <row r="681" ht="15.75" customHeight="1" s="5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</row>
    <row r="682" ht="15.75" customHeight="1" s="5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</row>
    <row r="683" ht="15.75" customHeight="1" s="5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</row>
    <row r="684" ht="15.75" customHeight="1" s="5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</row>
    <row r="685" ht="15.75" customHeight="1" s="5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</row>
    <row r="686" ht="15.75" customHeight="1" s="5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</row>
    <row r="687" ht="15.75" customHeight="1" s="5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</row>
    <row r="688" ht="15.75" customHeight="1" s="5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</row>
    <row r="689" ht="15.75" customHeight="1" s="5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</row>
    <row r="690" ht="15.75" customHeight="1" s="5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</row>
    <row r="691" ht="15.75" customHeight="1" s="5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</row>
    <row r="692" ht="15.75" customHeight="1" s="5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</row>
    <row r="693" ht="15.75" customHeight="1" s="5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</row>
    <row r="694" ht="15.75" customHeight="1" s="5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</row>
    <row r="695" ht="15.75" customHeight="1" s="5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</row>
    <row r="696" ht="15.75" customHeight="1" s="5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</row>
    <row r="697" ht="15.75" customHeight="1" s="5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</row>
    <row r="698" ht="15.75" customHeight="1" s="5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</row>
    <row r="699" ht="15.75" customHeight="1" s="5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</row>
    <row r="700" ht="15.75" customHeight="1" s="5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</row>
    <row r="701" ht="15.75" customHeight="1" s="5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</row>
    <row r="702" ht="15.75" customHeight="1" s="5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</row>
    <row r="703" ht="15.75" customHeight="1" s="5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</row>
    <row r="704" ht="15.75" customHeight="1" s="5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</row>
    <row r="705" ht="15.75" customHeight="1" s="5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</row>
    <row r="706" ht="15.75" customHeight="1" s="5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</row>
    <row r="707" ht="15.75" customHeight="1" s="5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</row>
    <row r="708" ht="15.75" customHeight="1" s="5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</row>
    <row r="709" ht="15.75" customHeight="1" s="5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</row>
    <row r="710" ht="15.75" customHeight="1" s="5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</row>
    <row r="711" ht="15.75" customHeight="1" s="5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</row>
    <row r="712" ht="15.75" customHeight="1" s="5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</row>
    <row r="713" ht="15.75" customHeight="1" s="5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</row>
    <row r="714" ht="15.75" customHeight="1" s="5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</row>
    <row r="715" ht="15.75" customHeight="1" s="5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</row>
    <row r="716" ht="15.75" customHeight="1" s="5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</row>
    <row r="717" ht="15.75" customHeight="1" s="5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</row>
    <row r="718" ht="15.75" customHeight="1" s="5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</row>
    <row r="719" ht="15.75" customHeight="1" s="5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</row>
    <row r="720" ht="15.75" customHeight="1" s="5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</row>
    <row r="721" ht="15.75" customHeight="1" s="5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</row>
    <row r="722" ht="15.75" customHeight="1" s="5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</row>
    <row r="723" ht="15.75" customHeight="1" s="5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</row>
    <row r="724" ht="15.75" customHeight="1" s="5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</row>
    <row r="725" ht="15.75" customHeight="1" s="5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</row>
    <row r="726" ht="15.75" customHeight="1" s="5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</row>
    <row r="727" ht="15.75" customHeight="1" s="5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</row>
    <row r="728" ht="15.75" customHeight="1" s="5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</row>
    <row r="729" ht="15.75" customHeight="1" s="5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</row>
    <row r="730" ht="15.75" customHeight="1" s="5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</row>
    <row r="731" ht="15.75" customHeight="1" s="5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</row>
    <row r="732" ht="15.75" customHeight="1" s="5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</row>
    <row r="733" ht="15.75" customHeight="1" s="5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</row>
    <row r="734" ht="15.75" customHeight="1" s="5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</row>
    <row r="735" ht="15.75" customHeight="1" s="5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</row>
    <row r="736" ht="15.75" customHeight="1" s="5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</row>
    <row r="737" ht="15.75" customHeight="1" s="5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</row>
    <row r="738" ht="15.75" customHeight="1" s="5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</row>
    <row r="739" ht="15.75" customHeight="1" s="5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</row>
    <row r="740" ht="15.75" customHeight="1" s="5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</row>
    <row r="741" ht="15.75" customHeight="1" s="5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</row>
    <row r="742" ht="15.75" customHeight="1" s="5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</row>
    <row r="743" ht="15.75" customHeight="1" s="5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</row>
    <row r="744" ht="15.75" customHeight="1" s="5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</row>
    <row r="745" ht="15.75" customHeight="1" s="5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</row>
    <row r="746" ht="15.75" customHeight="1" s="5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</row>
    <row r="747" ht="15.75" customHeight="1" s="5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</row>
    <row r="748" ht="15.75" customHeight="1" s="5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</row>
    <row r="749" ht="15.75" customHeight="1" s="5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</row>
    <row r="750" ht="15.75" customHeight="1" s="5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</row>
    <row r="751" ht="15.75" customHeight="1" s="5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</row>
    <row r="752" ht="15.75" customHeight="1" s="5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</row>
    <row r="753" ht="15.75" customHeight="1" s="5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</row>
    <row r="754" ht="15.75" customHeight="1" s="5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</row>
    <row r="755" ht="15.75" customHeight="1" s="5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</row>
    <row r="756" ht="15.75" customHeight="1" s="5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</row>
    <row r="757" ht="15.75" customHeight="1" s="5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</row>
    <row r="758" ht="15.75" customHeight="1" s="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</row>
    <row r="759" ht="15.75" customHeight="1" s="5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</row>
    <row r="760" ht="15.75" customHeight="1" s="5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</row>
    <row r="761" ht="15.75" customHeight="1" s="5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</row>
    <row r="762" ht="15.75" customHeight="1" s="5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</row>
    <row r="763" ht="15.75" customHeight="1" s="5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</row>
    <row r="764" ht="15.75" customHeight="1" s="5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</row>
    <row r="765" ht="15.75" customHeight="1" s="5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</row>
    <row r="766" ht="15.75" customHeight="1" s="5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</row>
    <row r="767" ht="15.75" customHeight="1" s="5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</row>
    <row r="768" ht="15.75" customHeight="1" s="5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</row>
    <row r="769" ht="15.75" customHeight="1" s="5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</row>
    <row r="770" ht="15.75" customHeight="1" s="5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</row>
    <row r="771" ht="15.75" customHeight="1" s="5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</row>
    <row r="772" ht="15.75" customHeight="1" s="5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</row>
    <row r="773" ht="15.75" customHeight="1" s="5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</row>
    <row r="774" ht="15.75" customHeight="1" s="5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</row>
    <row r="775" ht="15.75" customHeight="1" s="5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</row>
    <row r="776" ht="15.75" customHeight="1" s="5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</row>
    <row r="777" ht="15.75" customHeight="1" s="5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</row>
    <row r="778" ht="15.75" customHeight="1" s="5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</row>
    <row r="779" ht="15.75" customHeight="1" s="5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</row>
    <row r="780" ht="15.75" customHeight="1" s="5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</row>
    <row r="781" ht="15.75" customHeight="1" s="5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</row>
    <row r="782" ht="15.75" customHeight="1" s="5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</row>
    <row r="783" ht="15.75" customHeight="1" s="5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</row>
    <row r="784" ht="15.75" customHeight="1" s="5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</row>
    <row r="785" ht="15.75" customHeight="1" s="5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</row>
    <row r="786" ht="15.75" customHeight="1" s="5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</row>
    <row r="787" ht="15.75" customHeight="1" s="5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</row>
    <row r="788" ht="15.75" customHeight="1" s="5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</row>
    <row r="789" ht="15.75" customHeight="1" s="5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</row>
    <row r="790" ht="15.75" customHeight="1" s="5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</row>
    <row r="791" ht="15.75" customHeight="1" s="5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</row>
    <row r="792" ht="15.75" customHeight="1" s="5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</row>
    <row r="793" ht="15.75" customHeight="1" s="5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</row>
    <row r="794" ht="15.75" customHeight="1" s="5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</row>
    <row r="795" ht="15.75" customHeight="1" s="5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</row>
    <row r="796" ht="15.75" customHeight="1" s="5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</row>
    <row r="797" ht="15.75" customHeight="1" s="5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</row>
    <row r="798" ht="15.75" customHeight="1" s="5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</row>
    <row r="799" ht="15.75" customHeight="1" s="5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</row>
    <row r="800" ht="15.75" customHeight="1" s="5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</row>
    <row r="801" ht="15.75" customHeight="1" s="5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</row>
    <row r="802" ht="15.75" customHeight="1" s="5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</row>
    <row r="803" ht="15.75" customHeight="1" s="5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</row>
    <row r="804" ht="15.75" customHeight="1" s="5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</row>
    <row r="805" ht="15.75" customHeight="1" s="5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</row>
    <row r="806" ht="15.75" customHeight="1" s="5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</row>
    <row r="807" ht="15.75" customHeight="1" s="5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</row>
    <row r="808" ht="15.75" customHeight="1" s="5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</row>
    <row r="809" ht="15.75" customHeight="1" s="5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</row>
    <row r="810" ht="15.75" customHeight="1" s="5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</row>
    <row r="811" ht="15.75" customHeight="1" s="5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</row>
    <row r="812" ht="15.75" customHeight="1" s="5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</row>
    <row r="813" ht="15.75" customHeight="1" s="5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</row>
    <row r="814" ht="15.75" customHeight="1" s="5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</row>
    <row r="815" ht="15.75" customHeight="1" s="5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</row>
    <row r="816" ht="15.75" customHeight="1" s="5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</row>
    <row r="817" ht="15.75" customHeight="1" s="5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</row>
    <row r="818" ht="15.75" customHeight="1" s="5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</row>
    <row r="819" ht="15.75" customHeight="1" s="5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</row>
    <row r="820" ht="15.75" customHeight="1" s="5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</row>
    <row r="821" ht="15.75" customHeight="1" s="5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</row>
    <row r="822" ht="15.75" customHeight="1" s="5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</row>
    <row r="823" ht="15.75" customHeight="1" s="5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</row>
    <row r="824" ht="15.75" customHeight="1" s="5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</row>
    <row r="825" ht="15.75" customHeight="1" s="5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</row>
    <row r="826" ht="15.75" customHeight="1" s="5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</row>
    <row r="827" ht="15.75" customHeight="1" s="5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</row>
    <row r="828" ht="15.75" customHeight="1" s="5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</row>
    <row r="829" ht="15.75" customHeight="1" s="5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</row>
    <row r="830" ht="15.75" customHeight="1" s="5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</row>
    <row r="831" ht="15.75" customHeight="1" s="5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</row>
    <row r="832" ht="15.75" customHeight="1" s="5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</row>
    <row r="833" ht="15.75" customHeight="1" s="5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</row>
    <row r="834" ht="15.75" customHeight="1" s="5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</row>
    <row r="835" ht="15.75" customHeight="1" s="5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</row>
    <row r="836" ht="15.75" customHeight="1" s="5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</row>
    <row r="837" ht="15.75" customHeight="1" s="5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</row>
    <row r="838" ht="15.75" customHeight="1" s="5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</row>
    <row r="839" ht="15.75" customHeight="1" s="5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</row>
    <row r="840" ht="15.75" customHeight="1" s="5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</row>
    <row r="841" ht="15.75" customHeight="1" s="5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</row>
    <row r="842" ht="15.75" customHeight="1" s="5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</row>
    <row r="843" ht="15.75" customHeight="1" s="5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</row>
    <row r="844" ht="15.75" customHeight="1" s="5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</row>
    <row r="845" ht="15.75" customHeight="1" s="5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</row>
    <row r="846" ht="15.75" customHeight="1" s="5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</row>
    <row r="847" ht="15.75" customHeight="1" s="5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</row>
    <row r="848" ht="15.75" customHeight="1" s="5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</row>
    <row r="849" ht="15.75" customHeight="1" s="5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</row>
    <row r="850" ht="15.75" customHeight="1" s="5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</row>
    <row r="851" ht="15.75" customHeight="1" s="5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</row>
    <row r="852" ht="15.75" customHeight="1" s="5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</row>
    <row r="853" ht="15.75" customHeight="1" s="5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</row>
    <row r="854" ht="15.75" customHeight="1" s="5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</row>
    <row r="855" ht="15.75" customHeight="1" s="5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</row>
    <row r="856" ht="15.75" customHeight="1" s="5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</row>
    <row r="857" ht="15.75" customHeight="1" s="5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</row>
    <row r="858" ht="15.75" customHeight="1" s="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</row>
    <row r="859" ht="15.75" customHeight="1" s="5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</row>
    <row r="860" ht="15.75" customHeight="1" s="5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</row>
    <row r="861" ht="15.75" customHeight="1" s="5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</row>
    <row r="862" ht="15.75" customHeight="1" s="5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</row>
    <row r="863" ht="15.75" customHeight="1" s="5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</row>
    <row r="864" ht="15.75" customHeight="1" s="5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</row>
    <row r="865" ht="15.75" customHeight="1" s="5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</row>
    <row r="866" ht="15.75" customHeight="1" s="5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</row>
    <row r="867" ht="15.75" customHeight="1" s="5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</row>
    <row r="868" ht="15.75" customHeight="1" s="5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</row>
    <row r="869" ht="15.75" customHeight="1" s="5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</row>
    <row r="870" ht="15.75" customHeight="1" s="5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</row>
    <row r="871" ht="15.75" customHeight="1" s="5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</row>
    <row r="872" ht="15.75" customHeight="1" s="5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</row>
    <row r="873" ht="15.75" customHeight="1" s="5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</row>
    <row r="874" ht="15.75" customHeight="1" s="5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</row>
    <row r="875" ht="15.75" customHeight="1" s="5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</row>
    <row r="876" ht="15.75" customHeight="1" s="5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</row>
    <row r="877" ht="15.75" customHeight="1" s="5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</row>
    <row r="878" ht="15.75" customHeight="1" s="5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</row>
    <row r="879" ht="15.75" customHeight="1" s="5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</row>
    <row r="880" ht="15.75" customHeight="1" s="5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</row>
    <row r="881" ht="15.75" customHeight="1" s="5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</row>
    <row r="882" ht="15.75" customHeight="1" s="5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</row>
    <row r="883" ht="15.75" customHeight="1" s="5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</row>
    <row r="884" ht="15.75" customHeight="1" s="5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</row>
    <row r="885" ht="15.75" customHeight="1" s="5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</row>
    <row r="886" ht="15.75" customHeight="1" s="5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</row>
    <row r="887" ht="15.75" customHeight="1" s="5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</row>
    <row r="888" ht="15.75" customHeight="1" s="5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</row>
    <row r="889" ht="15.75" customHeight="1" s="5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</row>
    <row r="890" ht="15.75" customHeight="1" s="5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</row>
    <row r="891" ht="15.75" customHeight="1" s="5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</row>
    <row r="892" ht="15.75" customHeight="1" s="5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</row>
    <row r="893" ht="15.75" customHeight="1" s="5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</row>
    <row r="894" ht="15.75" customHeight="1" s="5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</row>
    <row r="895" ht="15.75" customHeight="1" s="5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</row>
    <row r="896" ht="15.75" customHeight="1" s="5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</row>
    <row r="897" ht="15.75" customHeight="1" s="5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</row>
    <row r="898" ht="15.75" customHeight="1" s="5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</row>
    <row r="899" ht="15.75" customHeight="1" s="5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</row>
    <row r="900" ht="15.75" customHeight="1" s="5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</row>
    <row r="901" ht="15.75" customHeight="1" s="5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</row>
    <row r="902" ht="15.75" customHeight="1" s="5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</row>
    <row r="903" ht="15.75" customHeight="1" s="5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</row>
    <row r="904" ht="15.75" customHeight="1" s="5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</row>
    <row r="905" ht="15.75" customHeight="1" s="5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</row>
    <row r="906" ht="15.75" customHeight="1" s="5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</row>
    <row r="907" ht="15.75" customHeight="1" s="5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</row>
    <row r="908" ht="15.75" customHeight="1" s="5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</row>
    <row r="909" ht="15.75" customHeight="1" s="5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</row>
    <row r="910" ht="15.75" customHeight="1" s="5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</row>
    <row r="911" ht="15.75" customHeight="1" s="5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</row>
    <row r="912" ht="15.75" customHeight="1" s="5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</row>
    <row r="913" ht="15.75" customHeight="1" s="5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</row>
    <row r="914" ht="15.75" customHeight="1" s="5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</row>
    <row r="915" ht="15.75" customHeight="1" s="5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</row>
    <row r="916" ht="15.75" customHeight="1" s="5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</row>
    <row r="917" ht="15.75" customHeight="1" s="5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</row>
    <row r="918" ht="15.75" customHeight="1" s="5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</row>
    <row r="919" ht="15.75" customHeight="1" s="5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</row>
    <row r="920" ht="15.75" customHeight="1" s="5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</row>
    <row r="921" ht="15.75" customHeight="1" s="5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</row>
    <row r="922" ht="15.75" customHeight="1" s="5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</row>
    <row r="923" ht="15.75" customHeight="1" s="5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</row>
    <row r="924" ht="15.75" customHeight="1" s="5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</row>
    <row r="925" ht="15.75" customHeight="1" s="5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</row>
    <row r="926" ht="15.75" customHeight="1" s="5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</row>
    <row r="927" ht="15.75" customHeight="1" s="5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</row>
    <row r="928" ht="15.75" customHeight="1" s="5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</row>
    <row r="929" ht="15.75" customHeight="1" s="5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</row>
    <row r="930" ht="15.75" customHeight="1" s="5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</row>
    <row r="931" ht="15.75" customHeight="1" s="5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</row>
    <row r="932" ht="15.75" customHeight="1" s="5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</row>
    <row r="933" ht="15.75" customHeight="1" s="5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</row>
    <row r="934" ht="15.75" customHeight="1" s="5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</row>
    <row r="935" ht="15.75" customHeight="1" s="5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</row>
    <row r="936" ht="15.75" customHeight="1" s="5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</row>
    <row r="937" ht="15.75" customHeight="1" s="5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</row>
    <row r="938" ht="15.75" customHeight="1" s="5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</row>
    <row r="939" ht="15.75" customHeight="1" s="5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</row>
    <row r="940" ht="15.75" customHeight="1" s="5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</row>
    <row r="941" ht="15.75" customHeight="1" s="5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</row>
    <row r="942" ht="15.75" customHeight="1" s="5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</row>
    <row r="943" ht="15.75" customHeight="1" s="5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</row>
    <row r="944" ht="15.75" customHeight="1" s="5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</row>
    <row r="945" ht="15.75" customHeight="1" s="5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</row>
    <row r="946" ht="15.75" customHeight="1" s="5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</row>
    <row r="947" ht="15.75" customHeight="1" s="5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</row>
    <row r="948" ht="15.75" customHeight="1" s="5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</row>
    <row r="949" ht="15.75" customHeight="1" s="5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</row>
    <row r="950" ht="15.75" customHeight="1" s="5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</row>
    <row r="951" ht="15.75" customHeight="1" s="5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</row>
    <row r="952" ht="15.75" customHeight="1" s="5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</row>
    <row r="953" ht="15.75" customHeight="1" s="5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</row>
    <row r="954" ht="15.75" customHeight="1" s="5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</row>
    <row r="955" ht="15.75" customHeight="1" s="5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</row>
    <row r="956" ht="15.75" customHeight="1" s="5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</row>
    <row r="957" ht="15.75" customHeight="1" s="5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</row>
    <row r="958" ht="15.75" customHeight="1" s="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</row>
    <row r="959" ht="15.75" customHeight="1" s="5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</row>
    <row r="960" ht="15.75" customHeight="1" s="5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</row>
    <row r="961" ht="15.75" customHeight="1" s="5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</row>
    <row r="962" ht="15.75" customHeight="1" s="5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</row>
    <row r="963" ht="15.75" customHeight="1" s="5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</row>
    <row r="964" ht="15.75" customHeight="1" s="5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</row>
    <row r="965" ht="15.75" customHeight="1" s="5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</row>
    <row r="966" ht="15.75" customHeight="1" s="5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</row>
    <row r="967" ht="15.75" customHeight="1" s="5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</row>
    <row r="968" ht="15.75" customHeight="1" s="5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</row>
    <row r="969" ht="15.75" customHeight="1" s="5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</row>
    <row r="970" ht="15.75" customHeight="1" s="5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</row>
    <row r="971" ht="15.75" customHeight="1" s="5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</row>
    <row r="972" ht="15.75" customHeight="1" s="5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</row>
    <row r="973" ht="15.75" customHeight="1" s="5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</row>
    <row r="974" ht="15.75" customHeight="1" s="5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</row>
    <row r="975" ht="15.75" customHeight="1" s="5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</row>
    <row r="976" ht="15.75" customHeight="1" s="5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</row>
    <row r="977" ht="15.75" customHeight="1" s="5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</row>
    <row r="978" ht="15.75" customHeight="1" s="5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</row>
    <row r="979" ht="15.75" customHeight="1" s="5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</row>
    <row r="980" ht="15.75" customHeight="1" s="5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</row>
    <row r="981" ht="15.75" customHeight="1" s="5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</row>
    <row r="982" ht="15.75" customHeight="1" s="5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</row>
    <row r="983" ht="15.75" customHeight="1" s="5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</row>
    <row r="984" ht="15.75" customHeight="1" s="5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</row>
    <row r="985" ht="15.75" customHeight="1" s="5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</row>
    <row r="986" ht="15.75" customHeight="1" s="5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</row>
    <row r="987" ht="15.75" customHeight="1" s="5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</row>
    <row r="988" ht="15.75" customHeight="1" s="5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</row>
    <row r="989" ht="15.75" customHeight="1" s="5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</row>
    <row r="990" ht="15.75" customHeight="1" s="5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</row>
    <row r="991" ht="15.75" customHeight="1" s="5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</row>
    <row r="992" ht="15.75" customHeight="1" s="5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</row>
    <row r="993" ht="15.75" customHeight="1" s="5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</row>
    <row r="994" ht="15.75" customHeight="1" s="5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</row>
    <row r="995" ht="15.75" customHeight="1" s="5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</row>
    <row r="996" ht="15.75" customHeight="1" s="5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</row>
    <row r="997" ht="15.75" customHeight="1" s="5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</row>
    <row r="998" ht="15.75" customHeight="1" s="5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</row>
    <row r="999" ht="15.75" customHeight="1" s="5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</row>
    <row r="1000" ht="15.75" customHeight="1" s="58">
      <c r="A1000" s="1" t="inlineStr">
        <is>
          <t>Demo publico: datos ficticios anonimizados para portafolio.</t>
        </is>
      </c>
      <c r="B1000" s="1" t="n"/>
      <c r="C1000" s="1" t="n"/>
      <c r="D1000" s="1" t="n"/>
      <c r="E1000" s="1" t="n"/>
      <c r="F1000" s="1" t="n"/>
      <c r="G1000" s="1" t="n"/>
      <c r="H1000" s="1" t="n"/>
      <c r="I1000" s="1" t="n"/>
    </row>
  </sheetData>
  <mergeCells count="10">
    <mergeCell ref="D21:H21"/>
    <mergeCell ref="B21:C21"/>
    <mergeCell ref="B4:H4"/>
    <mergeCell ref="B20:C20"/>
    <mergeCell ref="B6:H6"/>
    <mergeCell ref="B22:C22"/>
    <mergeCell ref="B2:H2"/>
    <mergeCell ref="D5:H5"/>
    <mergeCell ref="B3:H3"/>
    <mergeCell ref="E22:H22"/>
  </mergeCells>
  <conditionalFormatting sqref="D8:D19">
    <cfRule type="expression" priority="1" dxfId="0">
      <formula>$C8&lt;&gt;""</formula>
    </cfRule>
  </conditionalFormatting>
  <conditionalFormatting sqref="E8:E19">
    <cfRule type="expression" priority="2" dxfId="1">
      <formula>$C8&lt;&gt;""</formula>
    </cfRule>
  </conditionalFormatting>
  <conditionalFormatting sqref="F8:F19">
    <cfRule type="expression" priority="3" dxfId="2">
      <formula>$C8&lt;&gt;""</formula>
    </cfRule>
  </conditionalFormatting>
  <conditionalFormatting sqref="G8:G19">
    <cfRule type="expression" priority="4" dxfId="3">
      <formula>$C8&lt;&gt;""</formula>
    </cfRule>
  </conditionalFormatting>
  <conditionalFormatting sqref="H8:H19">
    <cfRule type="expression" priority="5" dxfId="4">
      <formula>$C8&lt;&gt;""</formula>
    </cfRule>
  </conditionalFormatting>
  <dataValidations count="1">
    <dataValidation sqref="C5" showDropDown="0" showInputMessage="0" showErrorMessage="0" allowBlank="1" type="list">
      <formula1>"ENERO,FEBRERO,MARZO,ABRIL,MAYO,JUNIO,JULIO,AGOSTO,SEPTIEMBRE,OCTUBRE,NOVIEMBRE,DICIEMBRE"</formula1>
    </dataValidation>
  </dataValidations>
  <pageMargins left="0.3" right="0.3" top="0.4" bottom="0.4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FFD966"/>
    <outlinePr summaryBelow="1" summaryRight="1"/>
    <pageSetUpPr fitToPage="1"/>
  </sheetPr>
  <dimension ref="A1:O1722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57" customWidth="1" style="58" min="1" max="1"/>
    <col width="15.86" customWidth="1" style="58" min="2" max="2"/>
    <col width="15.43" customWidth="1" style="58" min="3" max="3"/>
    <col width="12.57" customWidth="1" style="58" min="4" max="4"/>
    <col width="35.86" customWidth="1" style="58" min="5" max="5"/>
    <col width="30.71" customWidth="1" style="58" min="6" max="6"/>
    <col width="13.29" customWidth="1" style="58" min="7" max="7"/>
    <col width="14.14" customWidth="1" style="58" min="8" max="8"/>
    <col width="14" customWidth="1" style="58" min="9" max="9"/>
    <col width="17.14" customWidth="1" style="58" min="10" max="10"/>
    <col width="17.86" customWidth="1" style="58" min="11" max="11"/>
    <col width="8.710000000000001" customWidth="1" style="58" min="12" max="12"/>
    <col width="12" customWidth="1" style="58" min="13" max="15" hidden="1"/>
    <col width="8.710000000000001" customWidth="1" style="58" min="16" max="26"/>
  </cols>
  <sheetData>
    <row r="1" ht="15" customHeight="1" s="58">
      <c r="A1" s="28" t="inlineStr">
        <is>
          <t>FECHA</t>
        </is>
      </c>
      <c r="B1" s="28" t="inlineStr">
        <is>
          <t>No. EMP</t>
        </is>
      </c>
      <c r="C1" s="28" t="inlineStr">
        <is>
          <t>ENTRADA</t>
        </is>
      </c>
      <c r="D1" s="28" t="inlineStr">
        <is>
          <t>SALIDA</t>
        </is>
      </c>
      <c r="E1" s="29" t="inlineStr">
        <is>
          <t>NOMBRE</t>
        </is>
      </c>
      <c r="F1" s="29" t="inlineStr">
        <is>
          <t>SUPERVISOR</t>
        </is>
      </c>
      <c r="G1" s="29" t="inlineStr">
        <is>
          <t>DÍA</t>
        </is>
      </c>
      <c r="H1" s="29" t="inlineStr">
        <is>
          <t>MES</t>
        </is>
      </c>
      <c r="I1" s="29" t="inlineStr">
        <is>
          <t>TIPO DÍA</t>
        </is>
      </c>
      <c r="J1" s="29" t="inlineStr">
        <is>
          <t>SEMÁFORO</t>
        </is>
      </c>
      <c r="K1" s="29" t="inlineStr">
        <is>
          <t>HORAS</t>
        </is>
      </c>
      <c r="L1" s="29" t="inlineStr">
        <is>
          <t>NOVEDAD</t>
        </is>
      </c>
      <c r="M1" s="29" t="inlineStr">
        <is>
          <t>UMBRAL AMARILLO (auto)</t>
        </is>
      </c>
      <c r="N1" s="29" t="inlineStr">
        <is>
          <t>UMBRAL ROJO (auto)</t>
        </is>
      </c>
      <c r="O1" s="29" t="inlineStr">
        <is>
          <t>UMBRAL ROJO FUERTE (auto)</t>
        </is>
      </c>
    </row>
    <row r="2" ht="15" customHeight="1" s="58">
      <c r="A2" s="30" t="n">
        <v>46177</v>
      </c>
      <c r="B2" s="31" t="inlineStr">
        <is>
          <t>7001</t>
        </is>
      </c>
      <c r="C2" s="32" t="n">
        <v>0.3361111111111111</v>
      </c>
      <c r="D2" s="33" t="inlineStr">
        <is>
          <t>-</t>
        </is>
      </c>
      <c r="E2" s="34">
        <f t="array" ref="E2">IF($B2="","",IFERROR(INDEX(PERSONAL!$B$2:$B$80,MATCH($B2,PERSONAL!$A$2:$A$80,0)),"NO EXISTE"))</f>
        <v/>
      </c>
      <c r="F2" s="52">
        <f t="array" ref="F2">IF($B2="","",IFERROR(INDEX(PERSONAL!$C$2:$C$80,MATCH($B2,PERSONAL!$A$2:$A$80,0)),""))</f>
        <v/>
      </c>
      <c r="G2" s="52">
        <f>IF($A2="","",CHOOSE(WEEKDAY($A2,2),"LUNES","MARTES","MIÉRCOLES","JUEVES","VIERNES","SÁBADO","DOMINGO"))</f>
        <v/>
      </c>
      <c r="H2" s="34">
        <f>IF($A2="","",CHOOSE(MONTH($A2),"ENERO","FEBRERO","MARZO","ABRIL","MAYO","JUNIO","JULIO","AGOSTO","SEPTIEMBRE","OCTUBRE","NOVIEMBRE","DICIEMBRE"))</f>
        <v/>
      </c>
      <c r="I2" s="34">
        <f>IF($A2="","",IF(OR($G2="SÁBADO",$G2="DOMINGO"),"FIN","LV"))</f>
        <v/>
      </c>
      <c r="J2" s="34">
        <f>IF(OR($A2="",$B2=""),"",IF($L2&lt;&gt;"",UPPER($L2),IF($C2="","FALTA",IFERROR(IF($C2&gt;=$O2,"ROJO FUERTE",IF($C2&gt;=$N2,"ROJO",IF($C2&gt;=$M2,"AMARILLO","VERDE"))),"REVISAR"))))</f>
        <v/>
      </c>
      <c r="K2" s="36">
        <f>IF(OR($C2="",$D2=""),"",IF($D2&gt;=$C2,($D2-$C2)*24,(1-$C2+$D2)*24))</f>
        <v/>
      </c>
      <c r="L2" s="34" t="inlineStr">
        <is>
          <t>VACACIONES</t>
        </is>
      </c>
      <c r="M2" s="53">
        <f t="array" ref="M2">IFERROR(INDEX(EXCEPCIONES_FECHA!$D$2:$D$201,MATCH(1,(EXCEPCIONES_FECHA!$A$2:$A$201=$A2)*(EXCEPCIONES_FECHA!$B$2:$B$201=$B2),0)),IFERROR(INDEX(EXCEPCIONES_FECHA!$D$2:$D$201,MATCH(1,(EXCEPCIONES_FECHA!$A$2:$A$201=$A2)*(EXCEPCIONES_FECHA!$B$2:$B$201=""),0)),IFERROR(INDEX(IF($I2="FIN",HISTORIAL_HORARIOS!$J$2:$J$201,HISTORIAL_HORARIOS!$F$2:$F$201),MATCH(1,(HISTORIAL_HORARIOS!$A$2:$A$201=$B2)*(HISTORIAL_HORARIOS!$C$2:$C$201&lt;=$A2)*(HISTORIAL_HORARIOS!$D$2:$D$201&gt;=$A2),0)),INDEX(IF($I2="FIN",PERSONAL!$J$2:$J$80,PERSONAL!$F$2:$F$80),MATCH($B2,PERSONAL!$A$2:$A$80,0)))))</f>
        <v/>
      </c>
      <c r="N2" s="53">
        <f t="array" ref="N2">IFERROR(INDEX(EXCEPCIONES_FECHA!$E$2:$E$201,MATCH(1,(EXCEPCIONES_FECHA!$A$2:$A$201=$A2)*(EXCEPCIONES_FECHA!$B$2:$B$201=$B2),0)),IFERROR(INDEX(EXCEPCIONES_FECHA!$E$2:$E$201,MATCH(1,(EXCEPCIONES_FECHA!$A$2:$A$201=$A2)*(EXCEPCIONES_FECHA!$B$2:$B$201=""),0)),IFERROR(INDEX(IF($I2="FIN",HISTORIAL_HORARIOS!$K$2:$K$201,HISTORIAL_HORARIOS!$G$2:$G$201),MATCH(1,(HISTORIAL_HORARIOS!$A$2:$A$201=$B2)*(HISTORIAL_HORARIOS!$C$2:$C$201&lt;=$A2)*(HISTORIAL_HORARIOS!$D$2:$D$201&gt;=$A2),0)),INDEX(IF($I2="FIN",PERSONAL!$K$2:$K$80,PERSONAL!$G$2:$G$80),MATCH($B2,PERSONAL!$A$2:$A$80,0)))))</f>
        <v/>
      </c>
      <c r="O2" s="53">
        <f t="array" ref="O2">IFERROR(INDEX(EXCEPCIONES_FECHA!$F$2:$F$201,MATCH(1,(EXCEPCIONES_FECHA!$A$2:$A$201=$A2)*(EXCEPCIONES_FECHA!$B$2:$B$201=$B2),0)),IFERROR(INDEX(EXCEPCIONES_FECHA!$F$2:$F$201,MATCH(1,(EXCEPCIONES_FECHA!$A$2:$A$201=$A2)*(EXCEPCIONES_FECHA!$B$2:$B$201=""),0)),IFERROR(INDEX(IF($I2="FIN",HISTORIAL_HORARIOS!$L$2:$L$201,HISTORIAL_HORARIOS!$H$2:$H$201),MATCH(1,(HISTORIAL_HORARIOS!$A$2:$A$201=$B2)*(HISTORIAL_HORARIOS!$C$2:$C$201&lt;=$A2)*(HISTORIAL_HORARIOS!$D$2:$D$201&gt;=$A2),0)),INDEX(IF($I2="FIN",PERSONAL!$L$2:$L$80,PERSONAL!$H$2:$H$80),MATCH($B2,PERSONAL!$A$2:$A$80,0)))))</f>
        <v/>
      </c>
    </row>
    <row r="3" ht="15" customHeight="1" s="58">
      <c r="A3" s="30" t="n">
        <v>46177</v>
      </c>
      <c r="B3" s="31" t="inlineStr">
        <is>
          <t>7003</t>
        </is>
      </c>
      <c r="C3" s="32" t="n">
        <v>0.3361111111111111</v>
      </c>
      <c r="D3" s="33" t="inlineStr">
        <is>
          <t>-</t>
        </is>
      </c>
      <c r="E3" s="34">
        <f t="array" ref="E3">IF($B3="","",IFERROR(INDEX(PERSONAL!$B$2:$B$80,MATCH($B3,PERSONAL!$A$2:$A$80,0)),"NO EXISTE"))</f>
        <v/>
      </c>
      <c r="F3" s="52">
        <f t="array" ref="F3">IF($B3="","",IFERROR(INDEX(PERSONAL!$C$2:$C$80,MATCH($B3,PERSONAL!$A$2:$A$80,0)),""))</f>
        <v/>
      </c>
      <c r="G3" s="52">
        <f>IF($A3="","",CHOOSE(WEEKDAY($A3,2),"LUNES","MARTES","MIÉRCOLES","JUEVES","VIERNES","SÁBADO","DOMINGO"))</f>
        <v/>
      </c>
      <c r="H3" s="34">
        <f>IF($A3="","",CHOOSE(MONTH($A3),"ENERO","FEBRERO","MARZO","ABRIL","MAYO","JUNIO","JULIO","AGOSTO","SEPTIEMBRE","OCTUBRE","NOVIEMBRE","DICIEMBRE"))</f>
        <v/>
      </c>
      <c r="I3" s="34">
        <f>IF($A3="","",IF(OR($G3="SÁBADO",$G3="DOMINGO"),"FIN","LV"))</f>
        <v/>
      </c>
      <c r="J3" s="34">
        <f>IF(OR($A3="",$B3=""),"",IF($L3&lt;&gt;"",UPPER($L3),IF($C3="","FALTA",IFERROR(IF($C3&gt;=$O3,"ROJO FUERTE",IF($C3&gt;=$N3,"ROJO",IF($C3&gt;=$M3,"AMARILLO","VERDE"))),"REVISAR"))))</f>
        <v/>
      </c>
      <c r="K3" s="36">
        <f>IF(OR($C3="",$D3=""),"",IF($D3&gt;=$C3,($D3-$C3)*24,(1-$C3+$D3)*24))</f>
        <v/>
      </c>
      <c r="L3" s="34" t="n"/>
      <c r="M3" s="53">
        <f t="array" ref="M3">IFERROR(INDEX(EXCEPCIONES_FECHA!$D$2:$D$201,MATCH(1,(EXCEPCIONES_FECHA!$A$2:$A$201=$A3)*(EXCEPCIONES_FECHA!$B$2:$B$201=$B3),0)),IFERROR(INDEX(EXCEPCIONES_FECHA!$D$2:$D$201,MATCH(1,(EXCEPCIONES_FECHA!$A$2:$A$201=$A3)*(EXCEPCIONES_FECHA!$B$2:$B$201=""),0)),IFERROR(INDEX(IF($I3="FIN",HISTORIAL_HORARIOS!$J$2:$J$201,HISTORIAL_HORARIOS!$F$2:$F$201),MATCH(1,(HISTORIAL_HORARIOS!$A$2:$A$201=$B3)*(HISTORIAL_HORARIOS!$C$2:$C$201&lt;=$A3)*(HISTORIAL_HORARIOS!$D$2:$D$201&gt;=$A3),0)),INDEX(IF($I3="FIN",PERSONAL!$J$2:$J$80,PERSONAL!$F$2:$F$80),MATCH($B3,PERSONAL!$A$2:$A$80,0)))))</f>
        <v/>
      </c>
      <c r="N3" s="53">
        <f t="array" ref="N3">IFERROR(INDEX(EXCEPCIONES_FECHA!$E$2:$E$201,MATCH(1,(EXCEPCIONES_FECHA!$A$2:$A$201=$A3)*(EXCEPCIONES_FECHA!$B$2:$B$201=$B3),0)),IFERROR(INDEX(EXCEPCIONES_FECHA!$E$2:$E$201,MATCH(1,(EXCEPCIONES_FECHA!$A$2:$A$201=$A3)*(EXCEPCIONES_FECHA!$B$2:$B$201=""),0)),IFERROR(INDEX(IF($I3="FIN",HISTORIAL_HORARIOS!$K$2:$K$201,HISTORIAL_HORARIOS!$G$2:$G$201),MATCH(1,(HISTORIAL_HORARIOS!$A$2:$A$201=$B3)*(HISTORIAL_HORARIOS!$C$2:$C$201&lt;=$A3)*(HISTORIAL_HORARIOS!$D$2:$D$201&gt;=$A3),0)),INDEX(IF($I3="FIN",PERSONAL!$K$2:$K$80,PERSONAL!$G$2:$G$80),MATCH($B3,PERSONAL!$A$2:$A$80,0)))))</f>
        <v/>
      </c>
      <c r="O3" s="53">
        <f t="array" ref="O3">IFERROR(INDEX(EXCEPCIONES_FECHA!$F$2:$F$201,MATCH(1,(EXCEPCIONES_FECHA!$A$2:$A$201=$A3)*(EXCEPCIONES_FECHA!$B$2:$B$201=$B3),0)),IFERROR(INDEX(EXCEPCIONES_FECHA!$F$2:$F$201,MATCH(1,(EXCEPCIONES_FECHA!$A$2:$A$201=$A3)*(EXCEPCIONES_FECHA!$B$2:$B$201=""),0)),IFERROR(INDEX(IF($I3="FIN",HISTORIAL_HORARIOS!$L$2:$L$201,HISTORIAL_HORARIOS!$H$2:$H$201),MATCH(1,(HISTORIAL_HORARIOS!$A$2:$A$201=$B3)*(HISTORIAL_HORARIOS!$C$2:$C$201&lt;=$A3)*(HISTORIAL_HORARIOS!$D$2:$D$201&gt;=$A3),0)),INDEX(IF($I3="FIN",PERSONAL!$L$2:$L$80,PERSONAL!$H$2:$H$80),MATCH($B3,PERSONAL!$A$2:$A$80,0)))))</f>
        <v/>
      </c>
    </row>
    <row r="4" ht="15" customHeight="1" s="58">
      <c r="A4" s="30" t="n">
        <v>46177</v>
      </c>
      <c r="B4" s="31" t="inlineStr">
        <is>
          <t>7004</t>
        </is>
      </c>
      <c r="C4" s="32" t="n">
        <v>0.3361111111111111</v>
      </c>
      <c r="D4" s="33" t="inlineStr">
        <is>
          <t>-</t>
        </is>
      </c>
      <c r="E4" s="34">
        <f t="array" ref="E4">IF($B4="","",IFERROR(INDEX(PERSONAL!$B$2:$B$80,MATCH($B4,PERSONAL!$A$2:$A$80,0)),"NO EXISTE"))</f>
        <v/>
      </c>
      <c r="F4" s="52">
        <f t="array" ref="F4">IF($B4="","",IFERROR(INDEX(PERSONAL!$C$2:$C$80,MATCH($B4,PERSONAL!$A$2:$A$80,0)),""))</f>
        <v/>
      </c>
      <c r="G4" s="52">
        <f>IF($A4="","",CHOOSE(WEEKDAY($A4,2),"LUNES","MARTES","MIÉRCOLES","JUEVES","VIERNES","SÁBADO","DOMINGO"))</f>
        <v/>
      </c>
      <c r="H4" s="34">
        <f>IF($A4="","",CHOOSE(MONTH($A4),"ENERO","FEBRERO","MARZO","ABRIL","MAYO","JUNIO","JULIO","AGOSTO","SEPTIEMBRE","OCTUBRE","NOVIEMBRE","DICIEMBRE"))</f>
        <v/>
      </c>
      <c r="I4" s="34">
        <f>IF($A4="","",IF(OR($G4="SÁBADO",$G4="DOMINGO"),"FIN","LV"))</f>
        <v/>
      </c>
      <c r="J4" s="34">
        <f>IF(OR($A4="",$B4=""),"",IF($L4&lt;&gt;"",UPPER($L4),IF($C4="","FALTA",IFERROR(IF($C4&gt;=$O4,"ROJO FUERTE",IF($C4&gt;=$N4,"ROJO",IF($C4&gt;=$M4,"AMARILLO","VERDE"))),"REVISAR"))))</f>
        <v/>
      </c>
      <c r="K4" s="36">
        <f>IF(OR($C4="",$D4=""),"",IF($D4&gt;=$C4,($D4-$C4)*24,(1-$C4+$D4)*24))</f>
        <v/>
      </c>
      <c r="L4" s="34" t="inlineStr">
        <is>
          <t>FESTIVO</t>
        </is>
      </c>
      <c r="M4" s="53">
        <f t="array" ref="M4">IFERROR(INDEX(EXCEPCIONES_FECHA!$D$2:$D$201,MATCH(1,(EXCEPCIONES_FECHA!$A$2:$A$201=$A4)*(EXCEPCIONES_FECHA!$B$2:$B$201=$B4),0)),IFERROR(INDEX(EXCEPCIONES_FECHA!$D$2:$D$201,MATCH(1,(EXCEPCIONES_FECHA!$A$2:$A$201=$A4)*(EXCEPCIONES_FECHA!$B$2:$B$201=""),0)),IFERROR(INDEX(IF($I4="FIN",HISTORIAL_HORARIOS!$J$2:$J$201,HISTORIAL_HORARIOS!$F$2:$F$201),MATCH(1,(HISTORIAL_HORARIOS!$A$2:$A$201=$B4)*(HISTORIAL_HORARIOS!$C$2:$C$201&lt;=$A4)*(HISTORIAL_HORARIOS!$D$2:$D$201&gt;=$A4),0)),INDEX(IF($I4="FIN",PERSONAL!$J$2:$J$80,PERSONAL!$F$2:$F$80),MATCH($B4,PERSONAL!$A$2:$A$80,0)))))</f>
        <v/>
      </c>
      <c r="N4" s="53">
        <f t="array" ref="N4">IFERROR(INDEX(EXCEPCIONES_FECHA!$E$2:$E$201,MATCH(1,(EXCEPCIONES_FECHA!$A$2:$A$201=$A4)*(EXCEPCIONES_FECHA!$B$2:$B$201=$B4),0)),IFERROR(INDEX(EXCEPCIONES_FECHA!$E$2:$E$201,MATCH(1,(EXCEPCIONES_FECHA!$A$2:$A$201=$A4)*(EXCEPCIONES_FECHA!$B$2:$B$201=""),0)),IFERROR(INDEX(IF($I4="FIN",HISTORIAL_HORARIOS!$K$2:$K$201,HISTORIAL_HORARIOS!$G$2:$G$201),MATCH(1,(HISTORIAL_HORARIOS!$A$2:$A$201=$B4)*(HISTORIAL_HORARIOS!$C$2:$C$201&lt;=$A4)*(HISTORIAL_HORARIOS!$D$2:$D$201&gt;=$A4),0)),INDEX(IF($I4="FIN",PERSONAL!$K$2:$K$80,PERSONAL!$G$2:$G$80),MATCH($B4,PERSONAL!$A$2:$A$80,0)))))</f>
        <v/>
      </c>
      <c r="O4" s="53">
        <f t="array" ref="O4">IFERROR(INDEX(EXCEPCIONES_FECHA!$F$2:$F$201,MATCH(1,(EXCEPCIONES_FECHA!$A$2:$A$201=$A4)*(EXCEPCIONES_FECHA!$B$2:$B$201=$B4),0)),IFERROR(INDEX(EXCEPCIONES_FECHA!$F$2:$F$201,MATCH(1,(EXCEPCIONES_FECHA!$A$2:$A$201=$A4)*(EXCEPCIONES_FECHA!$B$2:$B$201=""),0)),IFERROR(INDEX(IF($I4="FIN",HISTORIAL_HORARIOS!$L$2:$L$201,HISTORIAL_HORARIOS!$H$2:$H$201),MATCH(1,(HISTORIAL_HORARIOS!$A$2:$A$201=$B4)*(HISTORIAL_HORARIOS!$C$2:$C$201&lt;=$A4)*(HISTORIAL_HORARIOS!$D$2:$D$201&gt;=$A4),0)),INDEX(IF($I4="FIN",PERSONAL!$L$2:$L$80,PERSONAL!$H$2:$H$80),MATCH($B4,PERSONAL!$A$2:$A$80,0)))))</f>
        <v/>
      </c>
    </row>
    <row r="5" ht="15" customHeight="1" s="58">
      <c r="A5" s="30" t="n">
        <v>46177</v>
      </c>
      <c r="B5" s="31" t="inlineStr">
        <is>
          <t>7005</t>
        </is>
      </c>
      <c r="C5" s="32" t="n">
        <v>0.3361111111111111</v>
      </c>
      <c r="D5" s="33" t="inlineStr">
        <is>
          <t>-</t>
        </is>
      </c>
      <c r="E5" s="34">
        <f t="array" ref="E5">IF($B5="","",IFERROR(INDEX(PERSONAL!$B$2:$B$80,MATCH($B5,PERSONAL!$A$2:$A$80,0)),"NO EXISTE"))</f>
        <v/>
      </c>
      <c r="F5" s="52">
        <f t="array" ref="F5">IF($B5="","",IFERROR(INDEX(PERSONAL!$C$2:$C$80,MATCH($B5,PERSONAL!$A$2:$A$80,0)),""))</f>
        <v/>
      </c>
      <c r="G5" s="52">
        <f>IF($A5="","",CHOOSE(WEEKDAY($A5,2),"LUNES","MARTES","MIÉRCOLES","JUEVES","VIERNES","SÁBADO","DOMINGO"))</f>
        <v/>
      </c>
      <c r="H5" s="34">
        <f>IF($A5="","",CHOOSE(MONTH($A5),"ENERO","FEBRERO","MARZO","ABRIL","MAYO","JUNIO","JULIO","AGOSTO","SEPTIEMBRE","OCTUBRE","NOVIEMBRE","DICIEMBRE"))</f>
        <v/>
      </c>
      <c r="I5" s="34">
        <f>IF($A5="","",IF(OR($G5="SÁBADO",$G5="DOMINGO"),"FIN","LV"))</f>
        <v/>
      </c>
      <c r="J5" s="34">
        <f>IF(OR($A5="",$B5=""),"",IF($L5&lt;&gt;"",UPPER($L5),IF($C5="","FALTA",IFERROR(IF($C5&gt;=$O5,"ROJO FUERTE",IF($C5&gt;=$N5,"ROJO",IF($C5&gt;=$M5,"AMARILLO","VERDE"))),"REVISAR"))))</f>
        <v/>
      </c>
      <c r="K5" s="36">
        <f>IF(OR($C5="",$D5=""),"",IF($D5&gt;=$C5,($D5-$C5)*24,(1-$C5+$D5)*24))</f>
        <v/>
      </c>
      <c r="L5" s="34" t="n"/>
      <c r="M5" s="53">
        <f t="array" ref="M5">IFERROR(INDEX(EXCEPCIONES_FECHA!$D$2:$D$201,MATCH(1,(EXCEPCIONES_FECHA!$A$2:$A$201=$A5)*(EXCEPCIONES_FECHA!$B$2:$B$201=$B5),0)),IFERROR(INDEX(EXCEPCIONES_FECHA!$D$2:$D$201,MATCH(1,(EXCEPCIONES_FECHA!$A$2:$A$201=$A5)*(EXCEPCIONES_FECHA!$B$2:$B$201=""),0)),IFERROR(INDEX(IF($I5="FIN",HISTORIAL_HORARIOS!$J$2:$J$201,HISTORIAL_HORARIOS!$F$2:$F$201),MATCH(1,(HISTORIAL_HORARIOS!$A$2:$A$201=$B5)*(HISTORIAL_HORARIOS!$C$2:$C$201&lt;=$A5)*(HISTORIAL_HORARIOS!$D$2:$D$201&gt;=$A5),0)),INDEX(IF($I5="FIN",PERSONAL!$J$2:$J$80,PERSONAL!$F$2:$F$80),MATCH($B5,PERSONAL!$A$2:$A$80,0)))))</f>
        <v/>
      </c>
      <c r="N5" s="53">
        <f t="array" ref="N5">IFERROR(INDEX(EXCEPCIONES_FECHA!$E$2:$E$201,MATCH(1,(EXCEPCIONES_FECHA!$A$2:$A$201=$A5)*(EXCEPCIONES_FECHA!$B$2:$B$201=$B5),0)),IFERROR(INDEX(EXCEPCIONES_FECHA!$E$2:$E$201,MATCH(1,(EXCEPCIONES_FECHA!$A$2:$A$201=$A5)*(EXCEPCIONES_FECHA!$B$2:$B$201=""),0)),IFERROR(INDEX(IF($I5="FIN",HISTORIAL_HORARIOS!$K$2:$K$201,HISTORIAL_HORARIOS!$G$2:$G$201),MATCH(1,(HISTORIAL_HORARIOS!$A$2:$A$201=$B5)*(HISTORIAL_HORARIOS!$C$2:$C$201&lt;=$A5)*(HISTORIAL_HORARIOS!$D$2:$D$201&gt;=$A5),0)),INDEX(IF($I5="FIN",PERSONAL!$K$2:$K$80,PERSONAL!$G$2:$G$80),MATCH($B5,PERSONAL!$A$2:$A$80,0)))))</f>
        <v/>
      </c>
      <c r="O5" s="53">
        <f t="array" ref="O5">IFERROR(INDEX(EXCEPCIONES_FECHA!$F$2:$F$201,MATCH(1,(EXCEPCIONES_FECHA!$A$2:$A$201=$A5)*(EXCEPCIONES_FECHA!$B$2:$B$201=$B5),0)),IFERROR(INDEX(EXCEPCIONES_FECHA!$F$2:$F$201,MATCH(1,(EXCEPCIONES_FECHA!$A$2:$A$201=$A5)*(EXCEPCIONES_FECHA!$B$2:$B$201=""),0)),IFERROR(INDEX(IF($I5="FIN",HISTORIAL_HORARIOS!$L$2:$L$201,HISTORIAL_HORARIOS!$H$2:$H$201),MATCH(1,(HISTORIAL_HORARIOS!$A$2:$A$201=$B5)*(HISTORIAL_HORARIOS!$C$2:$C$201&lt;=$A5)*(HISTORIAL_HORARIOS!$D$2:$D$201&gt;=$A5),0)),INDEX(IF($I5="FIN",PERSONAL!$L$2:$L$80,PERSONAL!$H$2:$H$80),MATCH($B5,PERSONAL!$A$2:$A$80,0)))))</f>
        <v/>
      </c>
    </row>
    <row r="6" ht="15" customHeight="1" s="58">
      <c r="A6" s="30" t="n">
        <v>46177</v>
      </c>
      <c r="B6" s="31" t="inlineStr">
        <is>
          <t>7007</t>
        </is>
      </c>
      <c r="C6" s="32" t="n">
        <v>0.3361111111111111</v>
      </c>
      <c r="D6" s="33" t="inlineStr">
        <is>
          <t>-</t>
        </is>
      </c>
      <c r="E6" s="34">
        <f t="array" ref="E6">IF($B6="","",IFERROR(INDEX(PERSONAL!$B$2:$B$80,MATCH($B6,PERSONAL!$A$2:$A$80,0)),"NO EXISTE"))</f>
        <v/>
      </c>
      <c r="F6" s="52">
        <f t="array" ref="F6">IF($B6="","",IFERROR(INDEX(PERSONAL!$C$2:$C$80,MATCH($B6,PERSONAL!$A$2:$A$80,0)),""))</f>
        <v/>
      </c>
      <c r="G6" s="52">
        <f>IF($A6="","",CHOOSE(WEEKDAY($A6,2),"LUNES","MARTES","MIÉRCOLES","JUEVES","VIERNES","SÁBADO","DOMINGO"))</f>
        <v/>
      </c>
      <c r="H6" s="34">
        <f>IF($A6="","",CHOOSE(MONTH($A6),"ENERO","FEBRERO","MARZO","ABRIL","MAYO","JUNIO","JULIO","AGOSTO","SEPTIEMBRE","OCTUBRE","NOVIEMBRE","DICIEMBRE"))</f>
        <v/>
      </c>
      <c r="I6" s="34">
        <f>IF($A6="","",IF(OR($G6="SÁBADO",$G6="DOMINGO"),"FIN","LV"))</f>
        <v/>
      </c>
      <c r="J6" s="34">
        <f>IF(OR($A6="",$B6=""),"",IF($L6&lt;&gt;"",UPPER($L6),IF($C6="","FALTA",IFERROR(IF($C6&gt;=$O6,"ROJO FUERTE",IF($C6&gt;=$N6,"ROJO",IF($C6&gt;=$M6,"AMARILLO","VERDE"))),"REVISAR"))))</f>
        <v/>
      </c>
      <c r="K6" s="36">
        <f>IF(OR($C6="",$D6=""),"",IF($D6&gt;=$C6,($D6-$C6)*24,(1-$C6+$D6)*24))</f>
        <v/>
      </c>
      <c r="L6" s="34" t="inlineStr">
        <is>
          <t>INCAPACIDAD</t>
        </is>
      </c>
      <c r="M6" s="53">
        <f t="array" ref="M6">IFERROR(INDEX(EXCEPCIONES_FECHA!$D$2:$D$201,MATCH(1,(EXCEPCIONES_FECHA!$A$2:$A$201=$A6)*(EXCEPCIONES_FECHA!$B$2:$B$201=$B6),0)),IFERROR(INDEX(EXCEPCIONES_FECHA!$D$2:$D$201,MATCH(1,(EXCEPCIONES_FECHA!$A$2:$A$201=$A6)*(EXCEPCIONES_FECHA!$B$2:$B$201=""),0)),IFERROR(INDEX(IF($I6="FIN",HISTORIAL_HORARIOS!$J$2:$J$201,HISTORIAL_HORARIOS!$F$2:$F$201),MATCH(1,(HISTORIAL_HORARIOS!$A$2:$A$201=$B6)*(HISTORIAL_HORARIOS!$C$2:$C$201&lt;=$A6)*(HISTORIAL_HORARIOS!$D$2:$D$201&gt;=$A6),0)),INDEX(IF($I6="FIN",PERSONAL!$J$2:$J$80,PERSONAL!$F$2:$F$80),MATCH($B6,PERSONAL!$A$2:$A$80,0)))))</f>
        <v/>
      </c>
      <c r="N6" s="53">
        <f t="array" ref="N6">IFERROR(INDEX(EXCEPCIONES_FECHA!$E$2:$E$201,MATCH(1,(EXCEPCIONES_FECHA!$A$2:$A$201=$A6)*(EXCEPCIONES_FECHA!$B$2:$B$201=$B6),0)),IFERROR(INDEX(EXCEPCIONES_FECHA!$E$2:$E$201,MATCH(1,(EXCEPCIONES_FECHA!$A$2:$A$201=$A6)*(EXCEPCIONES_FECHA!$B$2:$B$201=""),0)),IFERROR(INDEX(IF($I6="FIN",HISTORIAL_HORARIOS!$K$2:$K$201,HISTORIAL_HORARIOS!$G$2:$G$201),MATCH(1,(HISTORIAL_HORARIOS!$A$2:$A$201=$B6)*(HISTORIAL_HORARIOS!$C$2:$C$201&lt;=$A6)*(HISTORIAL_HORARIOS!$D$2:$D$201&gt;=$A6),0)),INDEX(IF($I6="FIN",PERSONAL!$K$2:$K$80,PERSONAL!$G$2:$G$80),MATCH($B6,PERSONAL!$A$2:$A$80,0)))))</f>
        <v/>
      </c>
      <c r="O6" s="53">
        <f t="array" ref="O6">IFERROR(INDEX(EXCEPCIONES_FECHA!$F$2:$F$201,MATCH(1,(EXCEPCIONES_FECHA!$A$2:$A$201=$A6)*(EXCEPCIONES_FECHA!$B$2:$B$201=$B6),0)),IFERROR(INDEX(EXCEPCIONES_FECHA!$F$2:$F$201,MATCH(1,(EXCEPCIONES_FECHA!$A$2:$A$201=$A6)*(EXCEPCIONES_FECHA!$B$2:$B$201=""),0)),IFERROR(INDEX(IF($I6="FIN",HISTORIAL_HORARIOS!$L$2:$L$201,HISTORIAL_HORARIOS!$H$2:$H$201),MATCH(1,(HISTORIAL_HORARIOS!$A$2:$A$201=$B6)*(HISTORIAL_HORARIOS!$C$2:$C$201&lt;=$A6)*(HISTORIAL_HORARIOS!$D$2:$D$201&gt;=$A6),0)),INDEX(IF($I6="FIN",PERSONAL!$L$2:$L$80,PERSONAL!$H$2:$H$80),MATCH($B6,PERSONAL!$A$2:$A$80,0)))))</f>
        <v/>
      </c>
    </row>
    <row r="7" ht="15" customHeight="1" s="58">
      <c r="A7" s="30" t="n">
        <v>46177</v>
      </c>
      <c r="B7" s="31" t="inlineStr">
        <is>
          <t>7019</t>
        </is>
      </c>
      <c r="C7" s="32" t="n">
        <v>0.4597222222222222</v>
      </c>
      <c r="D7" s="33" t="inlineStr">
        <is>
          <t>-</t>
        </is>
      </c>
      <c r="E7" s="34">
        <f t="array" ref="E7">IF($B7="","",IFERROR(INDEX(PERSONAL!$B$2:$B$80,MATCH($B7,PERSONAL!$A$2:$A$80,0)),"NO EXISTE"))</f>
        <v/>
      </c>
      <c r="F7" s="52">
        <f t="array" ref="F7">IF($B7="","",IFERROR(INDEX(PERSONAL!$C$2:$C$80,MATCH($B7,PERSONAL!$A$2:$A$80,0)),""))</f>
        <v/>
      </c>
      <c r="G7" s="52">
        <f>IF($A7="","",CHOOSE(WEEKDAY($A7,2),"LUNES","MARTES","MIÉRCOLES","JUEVES","VIERNES","SÁBADO","DOMINGO"))</f>
        <v/>
      </c>
      <c r="H7" s="34">
        <f>IF($A7="","",CHOOSE(MONTH($A7),"ENERO","FEBRERO","MARZO","ABRIL","MAYO","JUNIO","JULIO","AGOSTO","SEPTIEMBRE","OCTUBRE","NOVIEMBRE","DICIEMBRE"))</f>
        <v/>
      </c>
      <c r="I7" s="34">
        <f>IF($A7="","",IF(OR($G7="SÁBADO",$G7="DOMINGO"),"FIN","LV"))</f>
        <v/>
      </c>
      <c r="J7" s="34">
        <f>IF(OR($A7="",$B7=""),"",IF($L7&lt;&gt;"",UPPER($L7),IF($C7="","FALTA",IFERROR(IF($C7&gt;=$O7,"ROJO FUERTE",IF($C7&gt;=$N7,"ROJO",IF($C7&gt;=$M7,"AMARILLO","VERDE"))),"REVISAR"))))</f>
        <v/>
      </c>
      <c r="K7" s="36">
        <f>IF(OR($C7="",$D7=""),"",IF($D7&gt;=$C7,($D7-$C7)*24,(1-$C7+$D7)*24))</f>
        <v/>
      </c>
      <c r="L7" s="34" t="n"/>
      <c r="M7" s="53">
        <f t="array" ref="M7">IFERROR(INDEX(EXCEPCIONES_FECHA!$D$2:$D$201,MATCH(1,(EXCEPCIONES_FECHA!$A$2:$A$201=$A7)*(EXCEPCIONES_FECHA!$B$2:$B$201=$B7),0)),IFERROR(INDEX(EXCEPCIONES_FECHA!$D$2:$D$201,MATCH(1,(EXCEPCIONES_FECHA!$A$2:$A$201=$A7)*(EXCEPCIONES_FECHA!$B$2:$B$201=""),0)),IFERROR(INDEX(IF($I7="FIN",HISTORIAL_HORARIOS!$J$2:$J$201,HISTORIAL_HORARIOS!$F$2:$F$201),MATCH(1,(HISTORIAL_HORARIOS!$A$2:$A$201=$B7)*(HISTORIAL_HORARIOS!$C$2:$C$201&lt;=$A7)*(HISTORIAL_HORARIOS!$D$2:$D$201&gt;=$A7),0)),INDEX(IF($I7="FIN",PERSONAL!$J$2:$J$80,PERSONAL!$F$2:$F$80),MATCH($B7,PERSONAL!$A$2:$A$80,0)))))</f>
        <v/>
      </c>
      <c r="N7" s="53">
        <f t="array" ref="N7">IFERROR(INDEX(EXCEPCIONES_FECHA!$E$2:$E$201,MATCH(1,(EXCEPCIONES_FECHA!$A$2:$A$201=$A7)*(EXCEPCIONES_FECHA!$B$2:$B$201=$B7),0)),IFERROR(INDEX(EXCEPCIONES_FECHA!$E$2:$E$201,MATCH(1,(EXCEPCIONES_FECHA!$A$2:$A$201=$A7)*(EXCEPCIONES_FECHA!$B$2:$B$201=""),0)),IFERROR(INDEX(IF($I7="FIN",HISTORIAL_HORARIOS!$K$2:$K$201,HISTORIAL_HORARIOS!$G$2:$G$201),MATCH(1,(HISTORIAL_HORARIOS!$A$2:$A$201=$B7)*(HISTORIAL_HORARIOS!$C$2:$C$201&lt;=$A7)*(HISTORIAL_HORARIOS!$D$2:$D$201&gt;=$A7),0)),INDEX(IF($I7="FIN",PERSONAL!$K$2:$K$80,PERSONAL!$G$2:$G$80),MATCH($B7,PERSONAL!$A$2:$A$80,0)))))</f>
        <v/>
      </c>
      <c r="O7" s="53">
        <f t="array" ref="O7">IFERROR(INDEX(EXCEPCIONES_FECHA!$F$2:$F$201,MATCH(1,(EXCEPCIONES_FECHA!$A$2:$A$201=$A7)*(EXCEPCIONES_FECHA!$B$2:$B$201=$B7),0)),IFERROR(INDEX(EXCEPCIONES_FECHA!$F$2:$F$201,MATCH(1,(EXCEPCIONES_FECHA!$A$2:$A$201=$A7)*(EXCEPCIONES_FECHA!$B$2:$B$201=""),0)),IFERROR(INDEX(IF($I7="FIN",HISTORIAL_HORARIOS!$L$2:$L$201,HISTORIAL_HORARIOS!$H$2:$H$201),MATCH(1,(HISTORIAL_HORARIOS!$A$2:$A$201=$B7)*(HISTORIAL_HORARIOS!$C$2:$C$201&lt;=$A7)*(HISTORIAL_HORARIOS!$D$2:$D$201&gt;=$A7),0)),INDEX(IF($I7="FIN",PERSONAL!$L$2:$L$80,PERSONAL!$H$2:$H$80),MATCH($B7,PERSONAL!$A$2:$A$80,0)))))</f>
        <v/>
      </c>
    </row>
    <row r="8" ht="15" customHeight="1" s="58">
      <c r="A8" s="30" t="n">
        <v>46177</v>
      </c>
      <c r="B8" s="31" t="inlineStr">
        <is>
          <t>7016</t>
        </is>
      </c>
      <c r="C8" s="32" t="n">
        <v>0.3715277777777778</v>
      </c>
      <c r="D8" s="33" t="inlineStr">
        <is>
          <t>-</t>
        </is>
      </c>
      <c r="E8" s="34">
        <f t="array" ref="E8">IF($B8="","",IFERROR(INDEX(PERSONAL!$B$2:$B$80,MATCH($B8,PERSONAL!$A$2:$A$80,0)),"NO EXISTE"))</f>
        <v/>
      </c>
      <c r="F8" s="52">
        <f t="array" ref="F8">IF($B8="","",IFERROR(INDEX(PERSONAL!$C$2:$C$80,MATCH($B8,PERSONAL!$A$2:$A$80,0)),""))</f>
        <v/>
      </c>
      <c r="G8" s="52">
        <f>IF($A8="","",CHOOSE(WEEKDAY($A8,2),"LUNES","MARTES","MIÉRCOLES","JUEVES","VIERNES","SÁBADO","DOMINGO"))</f>
        <v/>
      </c>
      <c r="H8" s="34">
        <f>IF($A8="","",CHOOSE(MONTH($A8),"ENERO","FEBRERO","MARZO","ABRIL","MAYO","JUNIO","JULIO","AGOSTO","SEPTIEMBRE","OCTUBRE","NOVIEMBRE","DICIEMBRE"))</f>
        <v/>
      </c>
      <c r="I8" s="34">
        <f>IF($A8="","",IF(OR($G8="SÁBADO",$G8="DOMINGO"),"FIN","LV"))</f>
        <v/>
      </c>
      <c r="J8" s="34">
        <f>IF(OR($A8="",$B8=""),"",IF($L8&lt;&gt;"",UPPER($L8),IF($C8="","FALTA",IFERROR(IF($C8&gt;=$O8,"ROJO FUERTE",IF($C8&gt;=$N8,"ROJO",IF($C8&gt;=$M8,"AMARILLO","VERDE"))),"REVISAR"))))</f>
        <v/>
      </c>
      <c r="K8" s="36">
        <f>IF(OR($C8="",$D8=""),"",IF($D8&gt;=$C8,($D8-$C8)*24,(1-$C8+$D8)*24))</f>
        <v/>
      </c>
      <c r="L8" s="34" t="inlineStr">
        <is>
          <t>PERMISO</t>
        </is>
      </c>
      <c r="M8" s="53">
        <f t="array" ref="M8">IFERROR(INDEX(EXCEPCIONES_FECHA!$D$2:$D$201,MATCH(1,(EXCEPCIONES_FECHA!$A$2:$A$201=$A8)*(EXCEPCIONES_FECHA!$B$2:$B$201=$B8),0)),IFERROR(INDEX(EXCEPCIONES_FECHA!$D$2:$D$201,MATCH(1,(EXCEPCIONES_FECHA!$A$2:$A$201=$A8)*(EXCEPCIONES_FECHA!$B$2:$B$201=""),0)),IFERROR(INDEX(IF($I8="FIN",HISTORIAL_HORARIOS!$J$2:$J$201,HISTORIAL_HORARIOS!$F$2:$F$201),MATCH(1,(HISTORIAL_HORARIOS!$A$2:$A$201=$B8)*(HISTORIAL_HORARIOS!$C$2:$C$201&lt;=$A8)*(HISTORIAL_HORARIOS!$D$2:$D$201&gt;=$A8),0)),INDEX(IF($I8="FIN",PERSONAL!$J$2:$J$80,PERSONAL!$F$2:$F$80),MATCH($B8,PERSONAL!$A$2:$A$80,0)))))</f>
        <v/>
      </c>
      <c r="N8" s="53">
        <f t="array" ref="N8">IFERROR(INDEX(EXCEPCIONES_FECHA!$E$2:$E$201,MATCH(1,(EXCEPCIONES_FECHA!$A$2:$A$201=$A8)*(EXCEPCIONES_FECHA!$B$2:$B$201=$B8),0)),IFERROR(INDEX(EXCEPCIONES_FECHA!$E$2:$E$201,MATCH(1,(EXCEPCIONES_FECHA!$A$2:$A$201=$A8)*(EXCEPCIONES_FECHA!$B$2:$B$201=""),0)),IFERROR(INDEX(IF($I8="FIN",HISTORIAL_HORARIOS!$K$2:$K$201,HISTORIAL_HORARIOS!$G$2:$G$201),MATCH(1,(HISTORIAL_HORARIOS!$A$2:$A$201=$B8)*(HISTORIAL_HORARIOS!$C$2:$C$201&lt;=$A8)*(HISTORIAL_HORARIOS!$D$2:$D$201&gt;=$A8),0)),INDEX(IF($I8="FIN",PERSONAL!$K$2:$K$80,PERSONAL!$G$2:$G$80),MATCH($B8,PERSONAL!$A$2:$A$80,0)))))</f>
        <v/>
      </c>
      <c r="O8" s="53">
        <f t="array" ref="O8">IFERROR(INDEX(EXCEPCIONES_FECHA!$F$2:$F$201,MATCH(1,(EXCEPCIONES_FECHA!$A$2:$A$201=$A8)*(EXCEPCIONES_FECHA!$B$2:$B$201=$B8),0)),IFERROR(INDEX(EXCEPCIONES_FECHA!$F$2:$F$201,MATCH(1,(EXCEPCIONES_FECHA!$A$2:$A$201=$A8)*(EXCEPCIONES_FECHA!$B$2:$B$201=""),0)),IFERROR(INDEX(IF($I8="FIN",HISTORIAL_HORARIOS!$L$2:$L$201,HISTORIAL_HORARIOS!$H$2:$H$201),MATCH(1,(HISTORIAL_HORARIOS!$A$2:$A$201=$B8)*(HISTORIAL_HORARIOS!$C$2:$C$201&lt;=$A8)*(HISTORIAL_HORARIOS!$D$2:$D$201&gt;=$A8),0)),INDEX(IF($I8="FIN",PERSONAL!$L$2:$L$80,PERSONAL!$H$2:$H$80),MATCH($B8,PERSONAL!$A$2:$A$80,0)))))</f>
        <v/>
      </c>
    </row>
    <row r="9" ht="15" customHeight="1" s="58">
      <c r="A9" s="30" t="n">
        <v>46177</v>
      </c>
      <c r="B9" s="31" t="inlineStr">
        <is>
          <t>7017</t>
        </is>
      </c>
      <c r="C9" s="32" t="n">
        <v>0.3631944444444444</v>
      </c>
      <c r="D9" s="33" t="inlineStr">
        <is>
          <t>-</t>
        </is>
      </c>
      <c r="E9" s="34">
        <f t="array" ref="E9">IF($B9="","",IFERROR(INDEX(PERSONAL!$B$2:$B$80,MATCH($B9,PERSONAL!$A$2:$A$80,0)),"NO EXISTE"))</f>
        <v/>
      </c>
      <c r="F9" s="52">
        <f t="array" ref="F9">IF($B9="","",IFERROR(INDEX(PERSONAL!$C$2:$C$80,MATCH($B9,PERSONAL!$A$2:$A$80,0)),""))</f>
        <v/>
      </c>
      <c r="G9" s="52">
        <f>IF($A9="","",CHOOSE(WEEKDAY($A9,2),"LUNES","MARTES","MIÉRCOLES","JUEVES","VIERNES","SÁBADO","DOMINGO"))</f>
        <v/>
      </c>
      <c r="H9" s="34">
        <f>IF($A9="","",CHOOSE(MONTH($A9),"ENERO","FEBRERO","MARZO","ABRIL","MAYO","JUNIO","JULIO","AGOSTO","SEPTIEMBRE","OCTUBRE","NOVIEMBRE","DICIEMBRE"))</f>
        <v/>
      </c>
      <c r="I9" s="34">
        <f>IF($A9="","",IF(OR($G9="SÁBADO",$G9="DOMINGO"),"FIN","LV"))</f>
        <v/>
      </c>
      <c r="J9" s="34">
        <f>IF(OR($A9="",$B9=""),"",IF($L9&lt;&gt;"",UPPER($L9),IF($C9="","FALTA",IFERROR(IF($C9&gt;=$O9,"ROJO FUERTE",IF($C9&gt;=$N9,"ROJO",IF($C9&gt;=$M9,"AMARILLO","VERDE"))),"REVISAR"))))</f>
        <v/>
      </c>
      <c r="K9" s="36">
        <f>IF(OR($C9="",$D9=""),"",IF($D9&gt;=$C9,($D9-$C9)*24,(1-$C9+$D9)*24))</f>
        <v/>
      </c>
      <c r="L9" s="34" t="n"/>
      <c r="M9" s="53">
        <f t="array" ref="M9">IFERROR(INDEX(EXCEPCIONES_FECHA!$D$2:$D$201,MATCH(1,(EXCEPCIONES_FECHA!$A$2:$A$201=$A9)*(EXCEPCIONES_FECHA!$B$2:$B$201=$B9),0)),IFERROR(INDEX(EXCEPCIONES_FECHA!$D$2:$D$201,MATCH(1,(EXCEPCIONES_FECHA!$A$2:$A$201=$A9)*(EXCEPCIONES_FECHA!$B$2:$B$201=""),0)),IFERROR(INDEX(IF($I9="FIN",HISTORIAL_HORARIOS!$J$2:$J$201,HISTORIAL_HORARIOS!$F$2:$F$201),MATCH(1,(HISTORIAL_HORARIOS!$A$2:$A$201=$B9)*(HISTORIAL_HORARIOS!$C$2:$C$201&lt;=$A9)*(HISTORIAL_HORARIOS!$D$2:$D$201&gt;=$A9),0)),INDEX(IF($I9="FIN",PERSONAL!$J$2:$J$80,PERSONAL!$F$2:$F$80),MATCH($B9,PERSONAL!$A$2:$A$80,0)))))</f>
        <v/>
      </c>
      <c r="N9" s="53">
        <f t="array" ref="N9">IFERROR(INDEX(EXCEPCIONES_FECHA!$E$2:$E$201,MATCH(1,(EXCEPCIONES_FECHA!$A$2:$A$201=$A9)*(EXCEPCIONES_FECHA!$B$2:$B$201=$B9),0)),IFERROR(INDEX(EXCEPCIONES_FECHA!$E$2:$E$201,MATCH(1,(EXCEPCIONES_FECHA!$A$2:$A$201=$A9)*(EXCEPCIONES_FECHA!$B$2:$B$201=""),0)),IFERROR(INDEX(IF($I9="FIN",HISTORIAL_HORARIOS!$K$2:$K$201,HISTORIAL_HORARIOS!$G$2:$G$201),MATCH(1,(HISTORIAL_HORARIOS!$A$2:$A$201=$B9)*(HISTORIAL_HORARIOS!$C$2:$C$201&lt;=$A9)*(HISTORIAL_HORARIOS!$D$2:$D$201&gt;=$A9),0)),INDEX(IF($I9="FIN",PERSONAL!$K$2:$K$80,PERSONAL!$G$2:$G$80),MATCH($B9,PERSONAL!$A$2:$A$80,0)))))</f>
        <v/>
      </c>
      <c r="O9" s="53">
        <f t="array" ref="O9">IFERROR(INDEX(EXCEPCIONES_FECHA!$F$2:$F$201,MATCH(1,(EXCEPCIONES_FECHA!$A$2:$A$201=$A9)*(EXCEPCIONES_FECHA!$B$2:$B$201=$B9),0)),IFERROR(INDEX(EXCEPCIONES_FECHA!$F$2:$F$201,MATCH(1,(EXCEPCIONES_FECHA!$A$2:$A$201=$A9)*(EXCEPCIONES_FECHA!$B$2:$B$201=""),0)),IFERROR(INDEX(IF($I9="FIN",HISTORIAL_HORARIOS!$L$2:$L$201,HISTORIAL_HORARIOS!$H$2:$H$201),MATCH(1,(HISTORIAL_HORARIOS!$A$2:$A$201=$B9)*(HISTORIAL_HORARIOS!$C$2:$C$201&lt;=$A9)*(HISTORIAL_HORARIOS!$D$2:$D$201&gt;=$A9),0)),INDEX(IF($I9="FIN",PERSONAL!$L$2:$L$80,PERSONAL!$H$2:$H$80),MATCH($B9,PERSONAL!$A$2:$A$80,0)))))</f>
        <v/>
      </c>
    </row>
    <row r="10" ht="15" customHeight="1" s="58">
      <c r="A10" s="37" t="n"/>
      <c r="B10" s="38" t="n"/>
      <c r="C10" s="39" t="n"/>
      <c r="D10" s="39" t="n"/>
      <c r="E10" s="34">
        <f t="array" ref="E10">IF($B10="","",IFERROR(INDEX(PERSONAL!$B$2:$B$80,MATCH($B10,PERSONAL!$A$2:$A$80,0)),"NO EXISTE"))</f>
        <v/>
      </c>
      <c r="F10" s="52">
        <f t="array" ref="F10">IF($B10="","",IFERROR(INDEX(PERSONAL!$C$2:$C$80,MATCH($B10,PERSONAL!$A$2:$A$80,0)),""))</f>
        <v/>
      </c>
      <c r="G10" s="52">
        <f>IF($A10="","",CHOOSE(WEEKDAY($A10,2),"LUNES","MARTES","MIÉRCOLES","JUEVES","VIERNES","SÁBADO","DOMINGO"))</f>
        <v/>
      </c>
      <c r="H10" s="34">
        <f>IF($A10="","",CHOOSE(MONTH($A10),"ENERO","FEBRERO","MARZO","ABRIL","MAYO","JUNIO","JULIO","AGOSTO","SEPTIEMBRE","OCTUBRE","NOVIEMBRE","DICIEMBRE"))</f>
        <v/>
      </c>
      <c r="I10" s="34">
        <f>IF($A10="","",IF(OR($G10="SÁBADO",$G10="DOMINGO"),"FIN","LV"))</f>
        <v/>
      </c>
      <c r="J10" s="34">
        <f>IF(OR($A10="",$B10=""),"",IF($L10&lt;&gt;"",UPPER($L10),IF($C10="","FALTA",IFERROR(IF($C10&gt;=$O10,"ROJO FUERTE",IF($C10&gt;=$N10,"ROJO",IF($C10&gt;=$M10,"AMARILLO","VERDE"))),"REVISAR"))))</f>
        <v/>
      </c>
      <c r="K10" s="36">
        <f>IF(OR($C10="",$D10=""),"",IF($D10&gt;=$C10,($D10-$C10)*24,(1-$C10+$D10)*24))</f>
        <v/>
      </c>
      <c r="L10" s="34" t="n"/>
      <c r="M10" s="53">
        <f t="array" ref="M10">IFERROR(INDEX(EXCEPCIONES_FECHA!$D$2:$D$201,MATCH(1,(EXCEPCIONES_FECHA!$A$2:$A$201=$A10)*(EXCEPCIONES_FECHA!$B$2:$B$201=$B10),0)),IFERROR(INDEX(EXCEPCIONES_FECHA!$D$2:$D$201,MATCH(1,(EXCEPCIONES_FECHA!$A$2:$A$201=$A10)*(EXCEPCIONES_FECHA!$B$2:$B$201=""),0)),IFERROR(INDEX(IF($I10="FIN",HISTORIAL_HORARIOS!$J$2:$J$201,HISTORIAL_HORARIOS!$F$2:$F$201),MATCH(1,(HISTORIAL_HORARIOS!$A$2:$A$201=$B10)*(HISTORIAL_HORARIOS!$C$2:$C$201&lt;=$A10)*(HISTORIAL_HORARIOS!$D$2:$D$201&gt;=$A10),0)),INDEX(IF($I10="FIN",PERSONAL!$J$2:$J$80,PERSONAL!$F$2:$F$80),MATCH($B10,PERSONAL!$A$2:$A$80,0)))))</f>
        <v/>
      </c>
      <c r="N10" s="53">
        <f t="array" ref="N10">IFERROR(INDEX(EXCEPCIONES_FECHA!$E$2:$E$201,MATCH(1,(EXCEPCIONES_FECHA!$A$2:$A$201=$A10)*(EXCEPCIONES_FECHA!$B$2:$B$201=$B10),0)),IFERROR(INDEX(EXCEPCIONES_FECHA!$E$2:$E$201,MATCH(1,(EXCEPCIONES_FECHA!$A$2:$A$201=$A10)*(EXCEPCIONES_FECHA!$B$2:$B$201=""),0)),IFERROR(INDEX(IF($I10="FIN",HISTORIAL_HORARIOS!$K$2:$K$201,HISTORIAL_HORARIOS!$G$2:$G$201),MATCH(1,(HISTORIAL_HORARIOS!$A$2:$A$201=$B10)*(HISTORIAL_HORARIOS!$C$2:$C$201&lt;=$A10)*(HISTORIAL_HORARIOS!$D$2:$D$201&gt;=$A10),0)),INDEX(IF($I10="FIN",PERSONAL!$K$2:$K$80,PERSONAL!$G$2:$G$80),MATCH($B10,PERSONAL!$A$2:$A$80,0)))))</f>
        <v/>
      </c>
      <c r="O10" s="53">
        <f t="array" ref="O10">IFERROR(INDEX(EXCEPCIONES_FECHA!$F$2:$F$201,MATCH(1,(EXCEPCIONES_FECHA!$A$2:$A$201=$A10)*(EXCEPCIONES_FECHA!$B$2:$B$201=$B10),0)),IFERROR(INDEX(EXCEPCIONES_FECHA!$F$2:$F$201,MATCH(1,(EXCEPCIONES_FECHA!$A$2:$A$201=$A10)*(EXCEPCIONES_FECHA!$B$2:$B$201=""),0)),IFERROR(INDEX(IF($I10="FIN",HISTORIAL_HORARIOS!$L$2:$L$201,HISTORIAL_HORARIOS!$H$2:$H$201),MATCH(1,(HISTORIAL_HORARIOS!$A$2:$A$201=$B10)*(HISTORIAL_HORARIOS!$C$2:$C$201&lt;=$A10)*(HISTORIAL_HORARIOS!$D$2:$D$201&gt;=$A10),0)),INDEX(IF($I10="FIN",PERSONAL!$L$2:$L$80,PERSONAL!$H$2:$H$80),MATCH($B10,PERSONAL!$A$2:$A$80,0)))))</f>
        <v/>
      </c>
    </row>
    <row r="11" ht="15" customHeight="1" s="58">
      <c r="A11" s="37" t="n"/>
      <c r="B11" s="38" t="n"/>
      <c r="C11" s="39" t="n"/>
      <c r="D11" s="39" t="n"/>
      <c r="E11" s="34">
        <f t="array" ref="E11">IF($B11="","",IFERROR(INDEX(PERSONAL!$B$2:$B$80,MATCH($B11,PERSONAL!$A$2:$A$80,0)),"NO EXISTE"))</f>
        <v/>
      </c>
      <c r="F11" s="52">
        <f t="array" ref="F11">IF($B11="","",IFERROR(INDEX(PERSONAL!$C$2:$C$80,MATCH($B11,PERSONAL!$A$2:$A$80,0)),""))</f>
        <v/>
      </c>
      <c r="G11" s="52">
        <f>IF($A11="","",CHOOSE(WEEKDAY($A11,2),"LUNES","MARTES","MIÉRCOLES","JUEVES","VIERNES","SÁBADO","DOMINGO"))</f>
        <v/>
      </c>
      <c r="H11" s="34">
        <f>IF($A11="","",CHOOSE(MONTH($A11),"ENERO","FEBRERO","MARZO","ABRIL","MAYO","JUNIO","JULIO","AGOSTO","SEPTIEMBRE","OCTUBRE","NOVIEMBRE","DICIEMBRE"))</f>
        <v/>
      </c>
      <c r="I11" s="34">
        <f>IF($A11="","",IF(OR($G11="SÁBADO",$G11="DOMINGO"),"FIN","LV"))</f>
        <v/>
      </c>
      <c r="J11" s="34">
        <f>IF(OR($A11="",$B11=""),"",IF($L11&lt;&gt;"",UPPER($L11),IF($C11="","FALTA",IFERROR(IF($C11&gt;=$O11,"ROJO FUERTE",IF($C11&gt;=$N11,"ROJO",IF($C11&gt;=$M11,"AMARILLO","VERDE"))),"REVISAR"))))</f>
        <v/>
      </c>
      <c r="K11" s="36">
        <f>IF(OR($C11="",$D11=""),"",IF($D11&gt;=$C11,($D11-$C11)*24,(1-$C11+$D11)*24))</f>
        <v/>
      </c>
      <c r="L11" s="34" t="n"/>
      <c r="M11" s="53">
        <f t="array" ref="M11">IFERROR(INDEX(EXCEPCIONES_FECHA!$D$2:$D$201,MATCH(1,(EXCEPCIONES_FECHA!$A$2:$A$201=$A11)*(EXCEPCIONES_FECHA!$B$2:$B$201=$B11),0)),IFERROR(INDEX(EXCEPCIONES_FECHA!$D$2:$D$201,MATCH(1,(EXCEPCIONES_FECHA!$A$2:$A$201=$A11)*(EXCEPCIONES_FECHA!$B$2:$B$201=""),0)),IFERROR(INDEX(IF($I11="FIN",HISTORIAL_HORARIOS!$J$2:$J$201,HISTORIAL_HORARIOS!$F$2:$F$201),MATCH(1,(HISTORIAL_HORARIOS!$A$2:$A$201=$B11)*(HISTORIAL_HORARIOS!$C$2:$C$201&lt;=$A11)*(HISTORIAL_HORARIOS!$D$2:$D$201&gt;=$A11),0)),INDEX(IF($I11="FIN",PERSONAL!$J$2:$J$80,PERSONAL!$F$2:$F$80),MATCH($B11,PERSONAL!$A$2:$A$80,0)))))</f>
        <v/>
      </c>
      <c r="N11" s="53">
        <f t="array" ref="N11">IFERROR(INDEX(EXCEPCIONES_FECHA!$E$2:$E$201,MATCH(1,(EXCEPCIONES_FECHA!$A$2:$A$201=$A11)*(EXCEPCIONES_FECHA!$B$2:$B$201=$B11),0)),IFERROR(INDEX(EXCEPCIONES_FECHA!$E$2:$E$201,MATCH(1,(EXCEPCIONES_FECHA!$A$2:$A$201=$A11)*(EXCEPCIONES_FECHA!$B$2:$B$201=""),0)),IFERROR(INDEX(IF($I11="FIN",HISTORIAL_HORARIOS!$K$2:$K$201,HISTORIAL_HORARIOS!$G$2:$G$201),MATCH(1,(HISTORIAL_HORARIOS!$A$2:$A$201=$B11)*(HISTORIAL_HORARIOS!$C$2:$C$201&lt;=$A11)*(HISTORIAL_HORARIOS!$D$2:$D$201&gt;=$A11),0)),INDEX(IF($I11="FIN",PERSONAL!$K$2:$K$80,PERSONAL!$G$2:$G$80),MATCH($B11,PERSONAL!$A$2:$A$80,0)))))</f>
        <v/>
      </c>
      <c r="O11" s="53">
        <f t="array" ref="O11">IFERROR(INDEX(EXCEPCIONES_FECHA!$F$2:$F$201,MATCH(1,(EXCEPCIONES_FECHA!$A$2:$A$201=$A11)*(EXCEPCIONES_FECHA!$B$2:$B$201=$B11),0)),IFERROR(INDEX(EXCEPCIONES_FECHA!$F$2:$F$201,MATCH(1,(EXCEPCIONES_FECHA!$A$2:$A$201=$A11)*(EXCEPCIONES_FECHA!$B$2:$B$201=""),0)),IFERROR(INDEX(IF($I11="FIN",HISTORIAL_HORARIOS!$L$2:$L$201,HISTORIAL_HORARIOS!$H$2:$H$201),MATCH(1,(HISTORIAL_HORARIOS!$A$2:$A$201=$B11)*(HISTORIAL_HORARIOS!$C$2:$C$201&lt;=$A11)*(HISTORIAL_HORARIOS!$D$2:$D$201&gt;=$A11),0)),INDEX(IF($I11="FIN",PERSONAL!$L$2:$L$80,PERSONAL!$H$2:$H$80),MATCH($B11,PERSONAL!$A$2:$A$80,0)))))</f>
        <v/>
      </c>
    </row>
    <row r="12" ht="15" customHeight="1" s="58">
      <c r="A12" s="37" t="n"/>
      <c r="B12" s="38" t="n"/>
      <c r="C12" s="39" t="n"/>
      <c r="D12" s="39" t="n"/>
      <c r="E12" s="34">
        <f t="array" ref="E12">IF($B12="","",IFERROR(INDEX(PERSONAL!$B$2:$B$80,MATCH($B12,PERSONAL!$A$2:$A$80,0)),"NO EXISTE"))</f>
        <v/>
      </c>
      <c r="F12" s="52">
        <f t="array" ref="F12">IF($B12="","",IFERROR(INDEX(PERSONAL!$C$2:$C$80,MATCH($B12,PERSONAL!$A$2:$A$80,0)),""))</f>
        <v/>
      </c>
      <c r="G12" s="52">
        <f>IF($A12="","",CHOOSE(WEEKDAY($A12,2),"LUNES","MARTES","MIÉRCOLES","JUEVES","VIERNES","SÁBADO","DOMINGO"))</f>
        <v/>
      </c>
      <c r="H12" s="34">
        <f>IF($A12="","",CHOOSE(MONTH($A12),"ENERO","FEBRERO","MARZO","ABRIL","MAYO","JUNIO","JULIO","AGOSTO","SEPTIEMBRE","OCTUBRE","NOVIEMBRE","DICIEMBRE"))</f>
        <v/>
      </c>
      <c r="I12" s="34">
        <f>IF($A12="","",IF(OR($G12="SÁBADO",$G12="DOMINGO"),"FIN","LV"))</f>
        <v/>
      </c>
      <c r="J12" s="34">
        <f>IF(OR($A12="",$B12=""),"",IF($L12&lt;&gt;"",UPPER($L12),IF($C12="","FALTA",IFERROR(IF($C12&gt;=$O12,"ROJO FUERTE",IF($C12&gt;=$N12,"ROJO",IF($C12&gt;=$M12,"AMARILLO","VERDE"))),"REVISAR"))))</f>
        <v/>
      </c>
      <c r="K12" s="36">
        <f>IF(OR($C12="",$D12=""),"",IF($D12&gt;=$C12,($D12-$C12)*24,(1-$C12+$D12)*24))</f>
        <v/>
      </c>
      <c r="L12" s="34" t="n"/>
      <c r="M12" s="53">
        <f t="array" ref="M12">IFERROR(INDEX(EXCEPCIONES_FECHA!$D$2:$D$201,MATCH(1,(EXCEPCIONES_FECHA!$A$2:$A$201=$A12)*(EXCEPCIONES_FECHA!$B$2:$B$201=$B12),0)),IFERROR(INDEX(EXCEPCIONES_FECHA!$D$2:$D$201,MATCH(1,(EXCEPCIONES_FECHA!$A$2:$A$201=$A12)*(EXCEPCIONES_FECHA!$B$2:$B$201=""),0)),IFERROR(INDEX(IF($I12="FIN",HISTORIAL_HORARIOS!$J$2:$J$201,HISTORIAL_HORARIOS!$F$2:$F$201),MATCH(1,(HISTORIAL_HORARIOS!$A$2:$A$201=$B12)*(HISTORIAL_HORARIOS!$C$2:$C$201&lt;=$A12)*(HISTORIAL_HORARIOS!$D$2:$D$201&gt;=$A12),0)),INDEX(IF($I12="FIN",PERSONAL!$J$2:$J$80,PERSONAL!$F$2:$F$80),MATCH($B12,PERSONAL!$A$2:$A$80,0)))))</f>
        <v/>
      </c>
      <c r="N12" s="53">
        <f t="array" ref="N12">IFERROR(INDEX(EXCEPCIONES_FECHA!$E$2:$E$201,MATCH(1,(EXCEPCIONES_FECHA!$A$2:$A$201=$A12)*(EXCEPCIONES_FECHA!$B$2:$B$201=$B12),0)),IFERROR(INDEX(EXCEPCIONES_FECHA!$E$2:$E$201,MATCH(1,(EXCEPCIONES_FECHA!$A$2:$A$201=$A12)*(EXCEPCIONES_FECHA!$B$2:$B$201=""),0)),IFERROR(INDEX(IF($I12="FIN",HISTORIAL_HORARIOS!$K$2:$K$201,HISTORIAL_HORARIOS!$G$2:$G$201),MATCH(1,(HISTORIAL_HORARIOS!$A$2:$A$201=$B12)*(HISTORIAL_HORARIOS!$C$2:$C$201&lt;=$A12)*(HISTORIAL_HORARIOS!$D$2:$D$201&gt;=$A12),0)),INDEX(IF($I12="FIN",PERSONAL!$K$2:$K$80,PERSONAL!$G$2:$G$80),MATCH($B12,PERSONAL!$A$2:$A$80,0)))))</f>
        <v/>
      </c>
      <c r="O12" s="53">
        <f t="array" ref="O12">IFERROR(INDEX(EXCEPCIONES_FECHA!$F$2:$F$201,MATCH(1,(EXCEPCIONES_FECHA!$A$2:$A$201=$A12)*(EXCEPCIONES_FECHA!$B$2:$B$201=$B12),0)),IFERROR(INDEX(EXCEPCIONES_FECHA!$F$2:$F$201,MATCH(1,(EXCEPCIONES_FECHA!$A$2:$A$201=$A12)*(EXCEPCIONES_FECHA!$B$2:$B$201=""),0)),IFERROR(INDEX(IF($I12="FIN",HISTORIAL_HORARIOS!$L$2:$L$201,HISTORIAL_HORARIOS!$H$2:$H$201),MATCH(1,(HISTORIAL_HORARIOS!$A$2:$A$201=$B12)*(HISTORIAL_HORARIOS!$C$2:$C$201&lt;=$A12)*(HISTORIAL_HORARIOS!$D$2:$D$201&gt;=$A12),0)),INDEX(IF($I12="FIN",PERSONAL!$L$2:$L$80,PERSONAL!$H$2:$H$80),MATCH($B12,PERSONAL!$A$2:$A$80,0)))))</f>
        <v/>
      </c>
    </row>
    <row r="13" ht="15" customHeight="1" s="58">
      <c r="A13" s="37" t="n"/>
      <c r="B13" s="38" t="n"/>
      <c r="C13" s="39" t="n"/>
      <c r="D13" s="39" t="n"/>
      <c r="E13" s="34">
        <f t="array" ref="E13">IF($B13="","",IFERROR(INDEX(PERSONAL!$B$2:$B$80,MATCH($B13,PERSONAL!$A$2:$A$80,0)),"NO EXISTE"))</f>
        <v/>
      </c>
      <c r="F13" s="52">
        <f t="array" ref="F13">IF($B13="","",IFERROR(INDEX(PERSONAL!$C$2:$C$80,MATCH($B13,PERSONAL!$A$2:$A$80,0)),""))</f>
        <v/>
      </c>
      <c r="G13" s="52">
        <f>IF($A13="","",CHOOSE(WEEKDAY($A13,2),"LUNES","MARTES","MIÉRCOLES","JUEVES","VIERNES","SÁBADO","DOMINGO"))</f>
        <v/>
      </c>
      <c r="H13" s="34">
        <f>IF($A13="","",CHOOSE(MONTH($A13),"ENERO","FEBRERO","MARZO","ABRIL","MAYO","JUNIO","JULIO","AGOSTO","SEPTIEMBRE","OCTUBRE","NOVIEMBRE","DICIEMBRE"))</f>
        <v/>
      </c>
      <c r="I13" s="34">
        <f>IF($A13="","",IF(OR($G13="SÁBADO",$G13="DOMINGO"),"FIN","LV"))</f>
        <v/>
      </c>
      <c r="J13" s="34">
        <f>IF(OR($A13="",$B13=""),"",IF($L13&lt;&gt;"",UPPER($L13),IF($C13="","FALTA",IFERROR(IF($C13&gt;=$O13,"ROJO FUERTE",IF($C13&gt;=$N13,"ROJO",IF($C13&gt;=$M13,"AMARILLO","VERDE"))),"REVISAR"))))</f>
        <v/>
      </c>
      <c r="K13" s="36">
        <f>IF(OR($C13="",$D13=""),"",IF($D13&gt;=$C13,($D13-$C13)*24,(1-$C13+$D13)*24))</f>
        <v/>
      </c>
      <c r="L13" s="34" t="n"/>
      <c r="M13" s="53">
        <f t="array" ref="M13">IFERROR(INDEX(EXCEPCIONES_FECHA!$D$2:$D$201,MATCH(1,(EXCEPCIONES_FECHA!$A$2:$A$201=$A13)*(EXCEPCIONES_FECHA!$B$2:$B$201=$B13),0)),IFERROR(INDEX(EXCEPCIONES_FECHA!$D$2:$D$201,MATCH(1,(EXCEPCIONES_FECHA!$A$2:$A$201=$A13)*(EXCEPCIONES_FECHA!$B$2:$B$201=""),0)),IFERROR(INDEX(IF($I13="FIN",HISTORIAL_HORARIOS!$J$2:$J$201,HISTORIAL_HORARIOS!$F$2:$F$201),MATCH(1,(HISTORIAL_HORARIOS!$A$2:$A$201=$B13)*(HISTORIAL_HORARIOS!$C$2:$C$201&lt;=$A13)*(HISTORIAL_HORARIOS!$D$2:$D$201&gt;=$A13),0)),INDEX(IF($I13="FIN",PERSONAL!$J$2:$J$80,PERSONAL!$F$2:$F$80),MATCH($B13,PERSONAL!$A$2:$A$80,0)))))</f>
        <v/>
      </c>
      <c r="N13" s="53">
        <f t="array" ref="N13">IFERROR(INDEX(EXCEPCIONES_FECHA!$E$2:$E$201,MATCH(1,(EXCEPCIONES_FECHA!$A$2:$A$201=$A13)*(EXCEPCIONES_FECHA!$B$2:$B$201=$B13),0)),IFERROR(INDEX(EXCEPCIONES_FECHA!$E$2:$E$201,MATCH(1,(EXCEPCIONES_FECHA!$A$2:$A$201=$A13)*(EXCEPCIONES_FECHA!$B$2:$B$201=""),0)),IFERROR(INDEX(IF($I13="FIN",HISTORIAL_HORARIOS!$K$2:$K$201,HISTORIAL_HORARIOS!$G$2:$G$201),MATCH(1,(HISTORIAL_HORARIOS!$A$2:$A$201=$B13)*(HISTORIAL_HORARIOS!$C$2:$C$201&lt;=$A13)*(HISTORIAL_HORARIOS!$D$2:$D$201&gt;=$A13),0)),INDEX(IF($I13="FIN",PERSONAL!$K$2:$K$80,PERSONAL!$G$2:$G$80),MATCH($B13,PERSONAL!$A$2:$A$80,0)))))</f>
        <v/>
      </c>
      <c r="O13" s="53">
        <f t="array" ref="O13">IFERROR(INDEX(EXCEPCIONES_FECHA!$F$2:$F$201,MATCH(1,(EXCEPCIONES_FECHA!$A$2:$A$201=$A13)*(EXCEPCIONES_FECHA!$B$2:$B$201=$B13),0)),IFERROR(INDEX(EXCEPCIONES_FECHA!$F$2:$F$201,MATCH(1,(EXCEPCIONES_FECHA!$A$2:$A$201=$A13)*(EXCEPCIONES_FECHA!$B$2:$B$201=""),0)),IFERROR(INDEX(IF($I13="FIN",HISTORIAL_HORARIOS!$L$2:$L$201,HISTORIAL_HORARIOS!$H$2:$H$201),MATCH(1,(HISTORIAL_HORARIOS!$A$2:$A$201=$B13)*(HISTORIAL_HORARIOS!$C$2:$C$201&lt;=$A13)*(HISTORIAL_HORARIOS!$D$2:$D$201&gt;=$A13),0)),INDEX(IF($I13="FIN",PERSONAL!$L$2:$L$80,PERSONAL!$H$2:$H$80),MATCH($B13,PERSONAL!$A$2:$A$80,0)))))</f>
        <v/>
      </c>
    </row>
    <row r="14" ht="15" customHeight="1" s="58">
      <c r="A14" s="37" t="n"/>
      <c r="B14" s="38" t="n"/>
      <c r="C14" s="39" t="n"/>
      <c r="D14" s="39" t="n"/>
      <c r="E14" s="34">
        <f t="array" ref="E14">IF($B14="","",IFERROR(INDEX(PERSONAL!$B$2:$B$80,MATCH($B14,PERSONAL!$A$2:$A$80,0)),"NO EXISTE"))</f>
        <v/>
      </c>
      <c r="F14" s="52">
        <f t="array" ref="F14">IF($B14="","",IFERROR(INDEX(PERSONAL!$C$2:$C$80,MATCH($B14,PERSONAL!$A$2:$A$80,0)),""))</f>
        <v/>
      </c>
      <c r="G14" s="52">
        <f>IF($A14="","",CHOOSE(WEEKDAY($A14,2),"LUNES","MARTES","MIÉRCOLES","JUEVES","VIERNES","SÁBADO","DOMINGO"))</f>
        <v/>
      </c>
      <c r="H14" s="34">
        <f>IF($A14="","",CHOOSE(MONTH($A14),"ENERO","FEBRERO","MARZO","ABRIL","MAYO","JUNIO","JULIO","AGOSTO","SEPTIEMBRE","OCTUBRE","NOVIEMBRE","DICIEMBRE"))</f>
        <v/>
      </c>
      <c r="I14" s="34">
        <f>IF($A14="","",IF(OR($G14="SÁBADO",$G14="DOMINGO"),"FIN","LV"))</f>
        <v/>
      </c>
      <c r="J14" s="34">
        <f>IF(OR($A14="",$B14=""),"",IF($L14&lt;&gt;"",UPPER($L14),IF($C14="","FALTA",IFERROR(IF($C14&gt;=$O14,"ROJO FUERTE",IF($C14&gt;=$N14,"ROJO",IF($C14&gt;=$M14,"AMARILLO","VERDE"))),"REVISAR"))))</f>
        <v/>
      </c>
      <c r="K14" s="36">
        <f>IF(OR($C14="",$D14=""),"",IF($D14&gt;=$C14,($D14-$C14)*24,(1-$C14+$D14)*24))</f>
        <v/>
      </c>
      <c r="L14" s="34" t="n"/>
      <c r="M14" s="53">
        <f t="array" ref="M14">IFERROR(INDEX(EXCEPCIONES_FECHA!$D$2:$D$201,MATCH(1,(EXCEPCIONES_FECHA!$A$2:$A$201=$A14)*(EXCEPCIONES_FECHA!$B$2:$B$201=$B14),0)),IFERROR(INDEX(EXCEPCIONES_FECHA!$D$2:$D$201,MATCH(1,(EXCEPCIONES_FECHA!$A$2:$A$201=$A14)*(EXCEPCIONES_FECHA!$B$2:$B$201=""),0)),IFERROR(INDEX(IF($I14="FIN",HISTORIAL_HORARIOS!$J$2:$J$201,HISTORIAL_HORARIOS!$F$2:$F$201),MATCH(1,(HISTORIAL_HORARIOS!$A$2:$A$201=$B14)*(HISTORIAL_HORARIOS!$C$2:$C$201&lt;=$A14)*(HISTORIAL_HORARIOS!$D$2:$D$201&gt;=$A14),0)),INDEX(IF($I14="FIN",PERSONAL!$J$2:$J$80,PERSONAL!$F$2:$F$80),MATCH($B14,PERSONAL!$A$2:$A$80,0)))))</f>
        <v/>
      </c>
      <c r="N14" s="53">
        <f t="array" ref="N14">IFERROR(INDEX(EXCEPCIONES_FECHA!$E$2:$E$201,MATCH(1,(EXCEPCIONES_FECHA!$A$2:$A$201=$A14)*(EXCEPCIONES_FECHA!$B$2:$B$201=$B14),0)),IFERROR(INDEX(EXCEPCIONES_FECHA!$E$2:$E$201,MATCH(1,(EXCEPCIONES_FECHA!$A$2:$A$201=$A14)*(EXCEPCIONES_FECHA!$B$2:$B$201=""),0)),IFERROR(INDEX(IF($I14="FIN",HISTORIAL_HORARIOS!$K$2:$K$201,HISTORIAL_HORARIOS!$G$2:$G$201),MATCH(1,(HISTORIAL_HORARIOS!$A$2:$A$201=$B14)*(HISTORIAL_HORARIOS!$C$2:$C$201&lt;=$A14)*(HISTORIAL_HORARIOS!$D$2:$D$201&gt;=$A14),0)),INDEX(IF($I14="FIN",PERSONAL!$K$2:$K$80,PERSONAL!$G$2:$G$80),MATCH($B14,PERSONAL!$A$2:$A$80,0)))))</f>
        <v/>
      </c>
      <c r="O14" s="53">
        <f t="array" ref="O14">IFERROR(INDEX(EXCEPCIONES_FECHA!$F$2:$F$201,MATCH(1,(EXCEPCIONES_FECHA!$A$2:$A$201=$A14)*(EXCEPCIONES_FECHA!$B$2:$B$201=$B14),0)),IFERROR(INDEX(EXCEPCIONES_FECHA!$F$2:$F$201,MATCH(1,(EXCEPCIONES_FECHA!$A$2:$A$201=$A14)*(EXCEPCIONES_FECHA!$B$2:$B$201=""),0)),IFERROR(INDEX(IF($I14="FIN",HISTORIAL_HORARIOS!$L$2:$L$201,HISTORIAL_HORARIOS!$H$2:$H$201),MATCH(1,(HISTORIAL_HORARIOS!$A$2:$A$201=$B14)*(HISTORIAL_HORARIOS!$C$2:$C$201&lt;=$A14)*(HISTORIAL_HORARIOS!$D$2:$D$201&gt;=$A14),0)),INDEX(IF($I14="FIN",PERSONAL!$L$2:$L$80,PERSONAL!$H$2:$H$80),MATCH($B14,PERSONAL!$A$2:$A$80,0)))))</f>
        <v/>
      </c>
    </row>
    <row r="15" ht="15" customHeight="1" s="58">
      <c r="A15" s="37" t="n"/>
      <c r="B15" s="38" t="n"/>
      <c r="C15" s="39" t="n"/>
      <c r="D15" s="39" t="n"/>
      <c r="E15" s="34">
        <f t="array" ref="E15">IF($B15="","",IFERROR(INDEX(PERSONAL!$B$2:$B$80,MATCH($B15,PERSONAL!$A$2:$A$80,0)),"NO EXISTE"))</f>
        <v/>
      </c>
      <c r="F15" s="52">
        <f t="array" ref="F15">IF($B15="","",IFERROR(INDEX(PERSONAL!$C$2:$C$80,MATCH($B15,PERSONAL!$A$2:$A$80,0)),""))</f>
        <v/>
      </c>
      <c r="G15" s="52">
        <f>IF($A15="","",CHOOSE(WEEKDAY($A15,2),"LUNES","MARTES","MIÉRCOLES","JUEVES","VIERNES","SÁBADO","DOMINGO"))</f>
        <v/>
      </c>
      <c r="H15" s="34">
        <f>IF($A15="","",CHOOSE(MONTH($A15),"ENERO","FEBRERO","MARZO","ABRIL","MAYO","JUNIO","JULIO","AGOSTO","SEPTIEMBRE","OCTUBRE","NOVIEMBRE","DICIEMBRE"))</f>
        <v/>
      </c>
      <c r="I15" s="34">
        <f>IF($A15="","",IF(OR($G15="SÁBADO",$G15="DOMINGO"),"FIN","LV"))</f>
        <v/>
      </c>
      <c r="J15" s="34">
        <f>IF(OR($A15="",$B15=""),"",IF($L15&lt;&gt;"",UPPER($L15),IF($C15="","FALTA",IFERROR(IF($C15&gt;=$O15,"ROJO FUERTE",IF($C15&gt;=$N15,"ROJO",IF($C15&gt;=$M15,"AMARILLO","VERDE"))),"REVISAR"))))</f>
        <v/>
      </c>
      <c r="K15" s="36">
        <f>IF(OR($C15="",$D15=""),"",IF($D15&gt;=$C15,($D15-$C15)*24,(1-$C15+$D15)*24))</f>
        <v/>
      </c>
      <c r="L15" s="34" t="n"/>
      <c r="M15" s="53">
        <f t="array" ref="M15">IFERROR(INDEX(EXCEPCIONES_FECHA!$D$2:$D$201,MATCH(1,(EXCEPCIONES_FECHA!$A$2:$A$201=$A15)*(EXCEPCIONES_FECHA!$B$2:$B$201=$B15),0)),IFERROR(INDEX(EXCEPCIONES_FECHA!$D$2:$D$201,MATCH(1,(EXCEPCIONES_FECHA!$A$2:$A$201=$A15)*(EXCEPCIONES_FECHA!$B$2:$B$201=""),0)),IFERROR(INDEX(IF($I15="FIN",HISTORIAL_HORARIOS!$J$2:$J$201,HISTORIAL_HORARIOS!$F$2:$F$201),MATCH(1,(HISTORIAL_HORARIOS!$A$2:$A$201=$B15)*(HISTORIAL_HORARIOS!$C$2:$C$201&lt;=$A15)*(HISTORIAL_HORARIOS!$D$2:$D$201&gt;=$A15),0)),INDEX(IF($I15="FIN",PERSONAL!$J$2:$J$80,PERSONAL!$F$2:$F$80),MATCH($B15,PERSONAL!$A$2:$A$80,0)))))</f>
        <v/>
      </c>
      <c r="N15" s="53">
        <f t="array" ref="N15">IFERROR(INDEX(EXCEPCIONES_FECHA!$E$2:$E$201,MATCH(1,(EXCEPCIONES_FECHA!$A$2:$A$201=$A15)*(EXCEPCIONES_FECHA!$B$2:$B$201=$B15),0)),IFERROR(INDEX(EXCEPCIONES_FECHA!$E$2:$E$201,MATCH(1,(EXCEPCIONES_FECHA!$A$2:$A$201=$A15)*(EXCEPCIONES_FECHA!$B$2:$B$201=""),0)),IFERROR(INDEX(IF($I15="FIN",HISTORIAL_HORARIOS!$K$2:$K$201,HISTORIAL_HORARIOS!$G$2:$G$201),MATCH(1,(HISTORIAL_HORARIOS!$A$2:$A$201=$B15)*(HISTORIAL_HORARIOS!$C$2:$C$201&lt;=$A15)*(HISTORIAL_HORARIOS!$D$2:$D$201&gt;=$A15),0)),INDEX(IF($I15="FIN",PERSONAL!$K$2:$K$80,PERSONAL!$G$2:$G$80),MATCH($B15,PERSONAL!$A$2:$A$80,0)))))</f>
        <v/>
      </c>
      <c r="O15" s="53">
        <f t="array" ref="O15">IFERROR(INDEX(EXCEPCIONES_FECHA!$F$2:$F$201,MATCH(1,(EXCEPCIONES_FECHA!$A$2:$A$201=$A15)*(EXCEPCIONES_FECHA!$B$2:$B$201=$B15),0)),IFERROR(INDEX(EXCEPCIONES_FECHA!$F$2:$F$201,MATCH(1,(EXCEPCIONES_FECHA!$A$2:$A$201=$A15)*(EXCEPCIONES_FECHA!$B$2:$B$201=""),0)),IFERROR(INDEX(IF($I15="FIN",HISTORIAL_HORARIOS!$L$2:$L$201,HISTORIAL_HORARIOS!$H$2:$H$201),MATCH(1,(HISTORIAL_HORARIOS!$A$2:$A$201=$B15)*(HISTORIAL_HORARIOS!$C$2:$C$201&lt;=$A15)*(HISTORIAL_HORARIOS!$D$2:$D$201&gt;=$A15),0)),INDEX(IF($I15="FIN",PERSONAL!$L$2:$L$80,PERSONAL!$H$2:$H$80),MATCH($B15,PERSONAL!$A$2:$A$80,0)))))</f>
        <v/>
      </c>
    </row>
    <row r="16" ht="15" customHeight="1" s="58">
      <c r="A16" s="37" t="n"/>
      <c r="B16" s="38" t="n"/>
      <c r="C16" s="39" t="n"/>
      <c r="D16" s="39" t="n"/>
      <c r="E16" s="34">
        <f t="array" ref="E16">IF($B16="","",IFERROR(INDEX(PERSONAL!$B$2:$B$80,MATCH($B16,PERSONAL!$A$2:$A$80,0)),"NO EXISTE"))</f>
        <v/>
      </c>
      <c r="F16" s="52">
        <f t="array" ref="F16">IF($B16="","",IFERROR(INDEX(PERSONAL!$C$2:$C$80,MATCH($B16,PERSONAL!$A$2:$A$80,0)),""))</f>
        <v/>
      </c>
      <c r="G16" s="52">
        <f>IF($A16="","",CHOOSE(WEEKDAY($A16,2),"LUNES","MARTES","MIÉRCOLES","JUEVES","VIERNES","SÁBADO","DOMINGO"))</f>
        <v/>
      </c>
      <c r="H16" s="34">
        <f>IF($A16="","",CHOOSE(MONTH($A16),"ENERO","FEBRERO","MARZO","ABRIL","MAYO","JUNIO","JULIO","AGOSTO","SEPTIEMBRE","OCTUBRE","NOVIEMBRE","DICIEMBRE"))</f>
        <v/>
      </c>
      <c r="I16" s="34">
        <f>IF($A16="","",IF(OR($G16="SÁBADO",$G16="DOMINGO"),"FIN","LV"))</f>
        <v/>
      </c>
      <c r="J16" s="34">
        <f>IF(OR($A16="",$B16=""),"",IF($L16&lt;&gt;"",UPPER($L16),IF($C16="","FALTA",IFERROR(IF($C16&gt;=$O16,"ROJO FUERTE",IF($C16&gt;=$N16,"ROJO",IF($C16&gt;=$M16,"AMARILLO","VERDE"))),"REVISAR"))))</f>
        <v/>
      </c>
      <c r="K16" s="36">
        <f>IF(OR($C16="",$D16=""),"",IF($D16&gt;=$C16,($D16-$C16)*24,(1-$C16+$D16)*24))</f>
        <v/>
      </c>
      <c r="L16" s="34" t="n"/>
      <c r="M16" s="53">
        <f t="array" ref="M16">IFERROR(INDEX(EXCEPCIONES_FECHA!$D$2:$D$201,MATCH(1,(EXCEPCIONES_FECHA!$A$2:$A$201=$A16)*(EXCEPCIONES_FECHA!$B$2:$B$201=$B16),0)),IFERROR(INDEX(EXCEPCIONES_FECHA!$D$2:$D$201,MATCH(1,(EXCEPCIONES_FECHA!$A$2:$A$201=$A16)*(EXCEPCIONES_FECHA!$B$2:$B$201=""),0)),IFERROR(INDEX(IF($I16="FIN",HISTORIAL_HORARIOS!$J$2:$J$201,HISTORIAL_HORARIOS!$F$2:$F$201),MATCH(1,(HISTORIAL_HORARIOS!$A$2:$A$201=$B16)*(HISTORIAL_HORARIOS!$C$2:$C$201&lt;=$A16)*(HISTORIAL_HORARIOS!$D$2:$D$201&gt;=$A16),0)),INDEX(IF($I16="FIN",PERSONAL!$J$2:$J$80,PERSONAL!$F$2:$F$80),MATCH($B16,PERSONAL!$A$2:$A$80,0)))))</f>
        <v/>
      </c>
      <c r="N16" s="53">
        <f t="array" ref="N16">IFERROR(INDEX(EXCEPCIONES_FECHA!$E$2:$E$201,MATCH(1,(EXCEPCIONES_FECHA!$A$2:$A$201=$A16)*(EXCEPCIONES_FECHA!$B$2:$B$201=$B16),0)),IFERROR(INDEX(EXCEPCIONES_FECHA!$E$2:$E$201,MATCH(1,(EXCEPCIONES_FECHA!$A$2:$A$201=$A16)*(EXCEPCIONES_FECHA!$B$2:$B$201=""),0)),IFERROR(INDEX(IF($I16="FIN",HISTORIAL_HORARIOS!$K$2:$K$201,HISTORIAL_HORARIOS!$G$2:$G$201),MATCH(1,(HISTORIAL_HORARIOS!$A$2:$A$201=$B16)*(HISTORIAL_HORARIOS!$C$2:$C$201&lt;=$A16)*(HISTORIAL_HORARIOS!$D$2:$D$201&gt;=$A16),0)),INDEX(IF($I16="FIN",PERSONAL!$K$2:$K$80,PERSONAL!$G$2:$G$80),MATCH($B16,PERSONAL!$A$2:$A$80,0)))))</f>
        <v/>
      </c>
      <c r="O16" s="53">
        <f t="array" ref="O16">IFERROR(INDEX(EXCEPCIONES_FECHA!$F$2:$F$201,MATCH(1,(EXCEPCIONES_FECHA!$A$2:$A$201=$A16)*(EXCEPCIONES_FECHA!$B$2:$B$201=$B16),0)),IFERROR(INDEX(EXCEPCIONES_FECHA!$F$2:$F$201,MATCH(1,(EXCEPCIONES_FECHA!$A$2:$A$201=$A16)*(EXCEPCIONES_FECHA!$B$2:$B$201=""),0)),IFERROR(INDEX(IF($I16="FIN",HISTORIAL_HORARIOS!$L$2:$L$201,HISTORIAL_HORARIOS!$H$2:$H$201),MATCH(1,(HISTORIAL_HORARIOS!$A$2:$A$201=$B16)*(HISTORIAL_HORARIOS!$C$2:$C$201&lt;=$A16)*(HISTORIAL_HORARIOS!$D$2:$D$201&gt;=$A16),0)),INDEX(IF($I16="FIN",PERSONAL!$L$2:$L$80,PERSONAL!$H$2:$H$80),MATCH($B16,PERSONAL!$A$2:$A$80,0)))))</f>
        <v/>
      </c>
    </row>
    <row r="17" ht="15" customHeight="1" s="58">
      <c r="A17" s="37" t="n"/>
      <c r="B17" s="38" t="n"/>
      <c r="C17" s="39" t="n"/>
      <c r="D17" s="39" t="n"/>
      <c r="E17" s="34">
        <f t="array" ref="E17">IF($B17="","",IFERROR(INDEX(PERSONAL!$B$2:$B$80,MATCH($B17,PERSONAL!$A$2:$A$80,0)),"NO EXISTE"))</f>
        <v/>
      </c>
      <c r="F17" s="52">
        <f t="array" ref="F17">IF($B17="","",IFERROR(INDEX(PERSONAL!$C$2:$C$80,MATCH($B17,PERSONAL!$A$2:$A$80,0)),""))</f>
        <v/>
      </c>
      <c r="G17" s="52">
        <f>IF($A17="","",CHOOSE(WEEKDAY($A17,2),"LUNES","MARTES","MIÉRCOLES","JUEVES","VIERNES","SÁBADO","DOMINGO"))</f>
        <v/>
      </c>
      <c r="H17" s="34">
        <f>IF($A17="","",CHOOSE(MONTH($A17),"ENERO","FEBRERO","MARZO","ABRIL","MAYO","JUNIO","JULIO","AGOSTO","SEPTIEMBRE","OCTUBRE","NOVIEMBRE","DICIEMBRE"))</f>
        <v/>
      </c>
      <c r="I17" s="34">
        <f>IF($A17="","",IF(OR($G17="SÁBADO",$G17="DOMINGO"),"FIN","LV"))</f>
        <v/>
      </c>
      <c r="J17" s="34">
        <f>IF(OR($A17="",$B17=""),"",IF($L17&lt;&gt;"",UPPER($L17),IF($C17="","FALTA",IFERROR(IF($C17&gt;=$O17,"ROJO FUERTE",IF($C17&gt;=$N17,"ROJO",IF($C17&gt;=$M17,"AMARILLO","VERDE"))),"REVISAR"))))</f>
        <v/>
      </c>
      <c r="K17" s="36">
        <f>IF(OR($C17="",$D17=""),"",IF($D17&gt;=$C17,($D17-$C17)*24,(1-$C17+$D17)*24))</f>
        <v/>
      </c>
      <c r="L17" s="34" t="n"/>
      <c r="M17" s="53">
        <f t="array" ref="M17">IFERROR(INDEX(EXCEPCIONES_FECHA!$D$2:$D$201,MATCH(1,(EXCEPCIONES_FECHA!$A$2:$A$201=$A17)*(EXCEPCIONES_FECHA!$B$2:$B$201=$B17),0)),IFERROR(INDEX(EXCEPCIONES_FECHA!$D$2:$D$201,MATCH(1,(EXCEPCIONES_FECHA!$A$2:$A$201=$A17)*(EXCEPCIONES_FECHA!$B$2:$B$201=""),0)),IFERROR(INDEX(IF($I17="FIN",HISTORIAL_HORARIOS!$J$2:$J$201,HISTORIAL_HORARIOS!$F$2:$F$201),MATCH(1,(HISTORIAL_HORARIOS!$A$2:$A$201=$B17)*(HISTORIAL_HORARIOS!$C$2:$C$201&lt;=$A17)*(HISTORIAL_HORARIOS!$D$2:$D$201&gt;=$A17),0)),INDEX(IF($I17="FIN",PERSONAL!$J$2:$J$80,PERSONAL!$F$2:$F$80),MATCH($B17,PERSONAL!$A$2:$A$80,0)))))</f>
        <v/>
      </c>
      <c r="N17" s="53">
        <f t="array" ref="N17">IFERROR(INDEX(EXCEPCIONES_FECHA!$E$2:$E$201,MATCH(1,(EXCEPCIONES_FECHA!$A$2:$A$201=$A17)*(EXCEPCIONES_FECHA!$B$2:$B$201=$B17),0)),IFERROR(INDEX(EXCEPCIONES_FECHA!$E$2:$E$201,MATCH(1,(EXCEPCIONES_FECHA!$A$2:$A$201=$A17)*(EXCEPCIONES_FECHA!$B$2:$B$201=""),0)),IFERROR(INDEX(IF($I17="FIN",HISTORIAL_HORARIOS!$K$2:$K$201,HISTORIAL_HORARIOS!$G$2:$G$201),MATCH(1,(HISTORIAL_HORARIOS!$A$2:$A$201=$B17)*(HISTORIAL_HORARIOS!$C$2:$C$201&lt;=$A17)*(HISTORIAL_HORARIOS!$D$2:$D$201&gt;=$A17),0)),INDEX(IF($I17="FIN",PERSONAL!$K$2:$K$80,PERSONAL!$G$2:$G$80),MATCH($B17,PERSONAL!$A$2:$A$80,0)))))</f>
        <v/>
      </c>
      <c r="O17" s="53">
        <f t="array" ref="O17">IFERROR(INDEX(EXCEPCIONES_FECHA!$F$2:$F$201,MATCH(1,(EXCEPCIONES_FECHA!$A$2:$A$201=$A17)*(EXCEPCIONES_FECHA!$B$2:$B$201=$B17),0)),IFERROR(INDEX(EXCEPCIONES_FECHA!$F$2:$F$201,MATCH(1,(EXCEPCIONES_FECHA!$A$2:$A$201=$A17)*(EXCEPCIONES_FECHA!$B$2:$B$201=""),0)),IFERROR(INDEX(IF($I17="FIN",HISTORIAL_HORARIOS!$L$2:$L$201,HISTORIAL_HORARIOS!$H$2:$H$201),MATCH(1,(HISTORIAL_HORARIOS!$A$2:$A$201=$B17)*(HISTORIAL_HORARIOS!$C$2:$C$201&lt;=$A17)*(HISTORIAL_HORARIOS!$D$2:$D$201&gt;=$A17),0)),INDEX(IF($I17="FIN",PERSONAL!$L$2:$L$80,PERSONAL!$H$2:$H$80),MATCH($B17,PERSONAL!$A$2:$A$80,0)))))</f>
        <v/>
      </c>
    </row>
    <row r="18" ht="15" customHeight="1" s="58">
      <c r="A18" s="37" t="n"/>
      <c r="B18" s="38" t="n"/>
      <c r="C18" s="39" t="n"/>
      <c r="D18" s="39" t="n"/>
      <c r="E18" s="34">
        <f t="array" ref="E18">IF($B18="","",IFERROR(INDEX(PERSONAL!$B$2:$B$80,MATCH($B18,PERSONAL!$A$2:$A$80,0)),"NO EXISTE"))</f>
        <v/>
      </c>
      <c r="F18" s="52">
        <f t="array" ref="F18">IF($B18="","",IFERROR(INDEX(PERSONAL!$C$2:$C$80,MATCH($B18,PERSONAL!$A$2:$A$80,0)),""))</f>
        <v/>
      </c>
      <c r="G18" s="52">
        <f>IF($A18="","",CHOOSE(WEEKDAY($A18,2),"LUNES","MARTES","MIÉRCOLES","JUEVES","VIERNES","SÁBADO","DOMINGO"))</f>
        <v/>
      </c>
      <c r="H18" s="34">
        <f>IF($A18="","",CHOOSE(MONTH($A18),"ENERO","FEBRERO","MARZO","ABRIL","MAYO","JUNIO","JULIO","AGOSTO","SEPTIEMBRE","OCTUBRE","NOVIEMBRE","DICIEMBRE"))</f>
        <v/>
      </c>
      <c r="I18" s="34">
        <f>IF($A18="","",IF(OR($G18="SÁBADO",$G18="DOMINGO"),"FIN","LV"))</f>
        <v/>
      </c>
      <c r="J18" s="34">
        <f>IF(OR($A18="",$B18=""),"",IF($L18&lt;&gt;"",UPPER($L18),IF($C18="","FALTA",IFERROR(IF($C18&gt;=$O18,"ROJO FUERTE",IF($C18&gt;=$N18,"ROJO",IF($C18&gt;=$M18,"AMARILLO","VERDE"))),"REVISAR"))))</f>
        <v/>
      </c>
      <c r="K18" s="36">
        <f>IF(OR($C18="",$D18=""),"",IF($D18&gt;=$C18,($D18-$C18)*24,(1-$C18+$D18)*24))</f>
        <v/>
      </c>
      <c r="L18" s="34" t="n"/>
      <c r="M18" s="53">
        <f t="array" ref="M18">IFERROR(INDEX(EXCEPCIONES_FECHA!$D$2:$D$201,MATCH(1,(EXCEPCIONES_FECHA!$A$2:$A$201=$A18)*(EXCEPCIONES_FECHA!$B$2:$B$201=$B18),0)),IFERROR(INDEX(EXCEPCIONES_FECHA!$D$2:$D$201,MATCH(1,(EXCEPCIONES_FECHA!$A$2:$A$201=$A18)*(EXCEPCIONES_FECHA!$B$2:$B$201=""),0)),IFERROR(INDEX(IF($I18="FIN",HISTORIAL_HORARIOS!$J$2:$J$201,HISTORIAL_HORARIOS!$F$2:$F$201),MATCH(1,(HISTORIAL_HORARIOS!$A$2:$A$201=$B18)*(HISTORIAL_HORARIOS!$C$2:$C$201&lt;=$A18)*(HISTORIAL_HORARIOS!$D$2:$D$201&gt;=$A18),0)),INDEX(IF($I18="FIN",PERSONAL!$J$2:$J$80,PERSONAL!$F$2:$F$80),MATCH($B18,PERSONAL!$A$2:$A$80,0)))))</f>
        <v/>
      </c>
      <c r="N18" s="53">
        <f t="array" ref="N18">IFERROR(INDEX(EXCEPCIONES_FECHA!$E$2:$E$201,MATCH(1,(EXCEPCIONES_FECHA!$A$2:$A$201=$A18)*(EXCEPCIONES_FECHA!$B$2:$B$201=$B18),0)),IFERROR(INDEX(EXCEPCIONES_FECHA!$E$2:$E$201,MATCH(1,(EXCEPCIONES_FECHA!$A$2:$A$201=$A18)*(EXCEPCIONES_FECHA!$B$2:$B$201=""),0)),IFERROR(INDEX(IF($I18="FIN",HISTORIAL_HORARIOS!$K$2:$K$201,HISTORIAL_HORARIOS!$G$2:$G$201),MATCH(1,(HISTORIAL_HORARIOS!$A$2:$A$201=$B18)*(HISTORIAL_HORARIOS!$C$2:$C$201&lt;=$A18)*(HISTORIAL_HORARIOS!$D$2:$D$201&gt;=$A18),0)),INDEX(IF($I18="FIN",PERSONAL!$K$2:$K$80,PERSONAL!$G$2:$G$80),MATCH($B18,PERSONAL!$A$2:$A$80,0)))))</f>
        <v/>
      </c>
      <c r="O18" s="53">
        <f t="array" ref="O18">IFERROR(INDEX(EXCEPCIONES_FECHA!$F$2:$F$201,MATCH(1,(EXCEPCIONES_FECHA!$A$2:$A$201=$A18)*(EXCEPCIONES_FECHA!$B$2:$B$201=$B18),0)),IFERROR(INDEX(EXCEPCIONES_FECHA!$F$2:$F$201,MATCH(1,(EXCEPCIONES_FECHA!$A$2:$A$201=$A18)*(EXCEPCIONES_FECHA!$B$2:$B$201=""),0)),IFERROR(INDEX(IF($I18="FIN",HISTORIAL_HORARIOS!$L$2:$L$201,HISTORIAL_HORARIOS!$H$2:$H$201),MATCH(1,(HISTORIAL_HORARIOS!$A$2:$A$201=$B18)*(HISTORIAL_HORARIOS!$C$2:$C$201&lt;=$A18)*(HISTORIAL_HORARIOS!$D$2:$D$201&gt;=$A18),0)),INDEX(IF($I18="FIN",PERSONAL!$L$2:$L$80,PERSONAL!$H$2:$H$80),MATCH($B18,PERSONAL!$A$2:$A$80,0)))))</f>
        <v/>
      </c>
    </row>
    <row r="19" ht="15" customHeight="1" s="58">
      <c r="A19" s="37" t="n"/>
      <c r="B19" s="38" t="n"/>
      <c r="C19" s="39" t="n"/>
      <c r="D19" s="39" t="n"/>
      <c r="E19" s="34">
        <f t="array" ref="E19">IF($B19="","",IFERROR(INDEX(PERSONAL!$B$2:$B$80,MATCH($B19,PERSONAL!$A$2:$A$80,0)),"NO EXISTE"))</f>
        <v/>
      </c>
      <c r="F19" s="52">
        <f t="array" ref="F19">IF($B19="","",IFERROR(INDEX(PERSONAL!$C$2:$C$80,MATCH($B19,PERSONAL!$A$2:$A$80,0)),""))</f>
        <v/>
      </c>
      <c r="G19" s="52">
        <f>IF($A19="","",CHOOSE(WEEKDAY($A19,2),"LUNES","MARTES","MIÉRCOLES","JUEVES","VIERNES","SÁBADO","DOMINGO"))</f>
        <v/>
      </c>
      <c r="H19" s="34">
        <f>IF($A19="","",CHOOSE(MONTH($A19),"ENERO","FEBRERO","MARZO","ABRIL","MAYO","JUNIO","JULIO","AGOSTO","SEPTIEMBRE","OCTUBRE","NOVIEMBRE","DICIEMBRE"))</f>
        <v/>
      </c>
      <c r="I19" s="34">
        <f>IF($A19="","",IF(OR($G19="SÁBADO",$G19="DOMINGO"),"FIN","LV"))</f>
        <v/>
      </c>
      <c r="J19" s="34">
        <f>IF(OR($A19="",$B19=""),"",IF($L19&lt;&gt;"",UPPER($L19),IF($C19="","FALTA",IFERROR(IF($C19&gt;=$O19,"ROJO FUERTE",IF($C19&gt;=$N19,"ROJO",IF($C19&gt;=$M19,"AMARILLO","VERDE"))),"REVISAR"))))</f>
        <v/>
      </c>
      <c r="K19" s="36">
        <f>IF(OR($C19="",$D19=""),"",IF($D19&gt;=$C19,($D19-$C19)*24,(1-$C19+$D19)*24))</f>
        <v/>
      </c>
      <c r="L19" s="34" t="n"/>
      <c r="M19" s="53">
        <f t="array" ref="M19">IFERROR(INDEX(EXCEPCIONES_FECHA!$D$2:$D$201,MATCH(1,(EXCEPCIONES_FECHA!$A$2:$A$201=$A19)*(EXCEPCIONES_FECHA!$B$2:$B$201=$B19),0)),IFERROR(INDEX(EXCEPCIONES_FECHA!$D$2:$D$201,MATCH(1,(EXCEPCIONES_FECHA!$A$2:$A$201=$A19)*(EXCEPCIONES_FECHA!$B$2:$B$201=""),0)),IFERROR(INDEX(IF($I19="FIN",HISTORIAL_HORARIOS!$J$2:$J$201,HISTORIAL_HORARIOS!$F$2:$F$201),MATCH(1,(HISTORIAL_HORARIOS!$A$2:$A$201=$B19)*(HISTORIAL_HORARIOS!$C$2:$C$201&lt;=$A19)*(HISTORIAL_HORARIOS!$D$2:$D$201&gt;=$A19),0)),INDEX(IF($I19="FIN",PERSONAL!$J$2:$J$80,PERSONAL!$F$2:$F$80),MATCH($B19,PERSONAL!$A$2:$A$80,0)))))</f>
        <v/>
      </c>
      <c r="N19" s="53">
        <f t="array" ref="N19">IFERROR(INDEX(EXCEPCIONES_FECHA!$E$2:$E$201,MATCH(1,(EXCEPCIONES_FECHA!$A$2:$A$201=$A19)*(EXCEPCIONES_FECHA!$B$2:$B$201=$B19),0)),IFERROR(INDEX(EXCEPCIONES_FECHA!$E$2:$E$201,MATCH(1,(EXCEPCIONES_FECHA!$A$2:$A$201=$A19)*(EXCEPCIONES_FECHA!$B$2:$B$201=""),0)),IFERROR(INDEX(IF($I19="FIN",HISTORIAL_HORARIOS!$K$2:$K$201,HISTORIAL_HORARIOS!$G$2:$G$201),MATCH(1,(HISTORIAL_HORARIOS!$A$2:$A$201=$B19)*(HISTORIAL_HORARIOS!$C$2:$C$201&lt;=$A19)*(HISTORIAL_HORARIOS!$D$2:$D$201&gt;=$A19),0)),INDEX(IF($I19="FIN",PERSONAL!$K$2:$K$80,PERSONAL!$G$2:$G$80),MATCH($B19,PERSONAL!$A$2:$A$80,0)))))</f>
        <v/>
      </c>
      <c r="O19" s="53">
        <f t="array" ref="O19">IFERROR(INDEX(EXCEPCIONES_FECHA!$F$2:$F$201,MATCH(1,(EXCEPCIONES_FECHA!$A$2:$A$201=$A19)*(EXCEPCIONES_FECHA!$B$2:$B$201=$B19),0)),IFERROR(INDEX(EXCEPCIONES_FECHA!$F$2:$F$201,MATCH(1,(EXCEPCIONES_FECHA!$A$2:$A$201=$A19)*(EXCEPCIONES_FECHA!$B$2:$B$201=""),0)),IFERROR(INDEX(IF($I19="FIN",HISTORIAL_HORARIOS!$L$2:$L$201,HISTORIAL_HORARIOS!$H$2:$H$201),MATCH(1,(HISTORIAL_HORARIOS!$A$2:$A$201=$B19)*(HISTORIAL_HORARIOS!$C$2:$C$201&lt;=$A19)*(HISTORIAL_HORARIOS!$D$2:$D$201&gt;=$A19),0)),INDEX(IF($I19="FIN",PERSONAL!$L$2:$L$80,PERSONAL!$H$2:$H$80),MATCH($B19,PERSONAL!$A$2:$A$80,0)))))</f>
        <v/>
      </c>
    </row>
    <row r="20" ht="15" customHeight="1" s="58">
      <c r="A20" s="37" t="n"/>
      <c r="B20" s="38" t="n"/>
      <c r="C20" s="39" t="n"/>
      <c r="D20" s="39" t="n"/>
      <c r="E20" s="34">
        <f t="array" ref="E20">IF($B20="","",IFERROR(INDEX(PERSONAL!$B$2:$B$80,MATCH($B20,PERSONAL!$A$2:$A$80,0)),"NO EXISTE"))</f>
        <v/>
      </c>
      <c r="F20" s="52">
        <f t="array" ref="F20">IF($B20="","",IFERROR(INDEX(PERSONAL!$C$2:$C$80,MATCH($B20,PERSONAL!$A$2:$A$80,0)),""))</f>
        <v/>
      </c>
      <c r="G20" s="52">
        <f>IF($A20="","",CHOOSE(WEEKDAY($A20,2),"LUNES","MARTES","MIÉRCOLES","JUEVES","VIERNES","SÁBADO","DOMINGO"))</f>
        <v/>
      </c>
      <c r="H20" s="34">
        <f>IF($A20="","",CHOOSE(MONTH($A20),"ENERO","FEBRERO","MARZO","ABRIL","MAYO","JUNIO","JULIO","AGOSTO","SEPTIEMBRE","OCTUBRE","NOVIEMBRE","DICIEMBRE"))</f>
        <v/>
      </c>
      <c r="I20" s="34">
        <f>IF($A20="","",IF(OR($G20="SÁBADO",$G20="DOMINGO"),"FIN","LV"))</f>
        <v/>
      </c>
      <c r="J20" s="34">
        <f>IF(OR($A20="",$B20=""),"",IF($L20&lt;&gt;"",UPPER($L20),IF($C20="","FALTA",IFERROR(IF($C20&gt;=$O20,"ROJO FUERTE",IF($C20&gt;=$N20,"ROJO",IF($C20&gt;=$M20,"AMARILLO","VERDE"))),"REVISAR"))))</f>
        <v/>
      </c>
      <c r="K20" s="36">
        <f>IF(OR($C20="",$D20=""),"",IF($D20&gt;=$C20,($D20-$C20)*24,(1-$C20+$D20)*24))</f>
        <v/>
      </c>
      <c r="L20" s="34" t="n"/>
      <c r="M20" s="53">
        <f t="array" ref="M20">IFERROR(INDEX(EXCEPCIONES_FECHA!$D$2:$D$201,MATCH(1,(EXCEPCIONES_FECHA!$A$2:$A$201=$A20)*(EXCEPCIONES_FECHA!$B$2:$B$201=$B20),0)),IFERROR(INDEX(EXCEPCIONES_FECHA!$D$2:$D$201,MATCH(1,(EXCEPCIONES_FECHA!$A$2:$A$201=$A20)*(EXCEPCIONES_FECHA!$B$2:$B$201=""),0)),IFERROR(INDEX(IF($I20="FIN",HISTORIAL_HORARIOS!$J$2:$J$201,HISTORIAL_HORARIOS!$F$2:$F$201),MATCH(1,(HISTORIAL_HORARIOS!$A$2:$A$201=$B20)*(HISTORIAL_HORARIOS!$C$2:$C$201&lt;=$A20)*(HISTORIAL_HORARIOS!$D$2:$D$201&gt;=$A20),0)),INDEX(IF($I20="FIN",PERSONAL!$J$2:$J$80,PERSONAL!$F$2:$F$80),MATCH($B20,PERSONAL!$A$2:$A$80,0)))))</f>
        <v/>
      </c>
      <c r="N20" s="53">
        <f t="array" ref="N20">IFERROR(INDEX(EXCEPCIONES_FECHA!$E$2:$E$201,MATCH(1,(EXCEPCIONES_FECHA!$A$2:$A$201=$A20)*(EXCEPCIONES_FECHA!$B$2:$B$201=$B20),0)),IFERROR(INDEX(EXCEPCIONES_FECHA!$E$2:$E$201,MATCH(1,(EXCEPCIONES_FECHA!$A$2:$A$201=$A20)*(EXCEPCIONES_FECHA!$B$2:$B$201=""),0)),IFERROR(INDEX(IF($I20="FIN",HISTORIAL_HORARIOS!$K$2:$K$201,HISTORIAL_HORARIOS!$G$2:$G$201),MATCH(1,(HISTORIAL_HORARIOS!$A$2:$A$201=$B20)*(HISTORIAL_HORARIOS!$C$2:$C$201&lt;=$A20)*(HISTORIAL_HORARIOS!$D$2:$D$201&gt;=$A20),0)),INDEX(IF($I20="FIN",PERSONAL!$K$2:$K$80,PERSONAL!$G$2:$G$80),MATCH($B20,PERSONAL!$A$2:$A$80,0)))))</f>
        <v/>
      </c>
      <c r="O20" s="53">
        <f t="array" ref="O20">IFERROR(INDEX(EXCEPCIONES_FECHA!$F$2:$F$201,MATCH(1,(EXCEPCIONES_FECHA!$A$2:$A$201=$A20)*(EXCEPCIONES_FECHA!$B$2:$B$201=$B20),0)),IFERROR(INDEX(EXCEPCIONES_FECHA!$F$2:$F$201,MATCH(1,(EXCEPCIONES_FECHA!$A$2:$A$201=$A20)*(EXCEPCIONES_FECHA!$B$2:$B$201=""),0)),IFERROR(INDEX(IF($I20="FIN",HISTORIAL_HORARIOS!$L$2:$L$201,HISTORIAL_HORARIOS!$H$2:$H$201),MATCH(1,(HISTORIAL_HORARIOS!$A$2:$A$201=$B20)*(HISTORIAL_HORARIOS!$C$2:$C$201&lt;=$A20)*(HISTORIAL_HORARIOS!$D$2:$D$201&gt;=$A20),0)),INDEX(IF($I20="FIN",PERSONAL!$L$2:$L$80,PERSONAL!$H$2:$H$80),MATCH($B20,PERSONAL!$A$2:$A$80,0)))))</f>
        <v/>
      </c>
    </row>
    <row r="21" ht="15" customHeight="1" s="58">
      <c r="A21" s="37" t="n"/>
      <c r="B21" s="38" t="n"/>
      <c r="C21" s="39" t="n"/>
      <c r="D21" s="39" t="n"/>
      <c r="E21" s="34">
        <f t="array" ref="E21">IF($B21="","",IFERROR(INDEX(PERSONAL!$B$2:$B$80,MATCH($B21,PERSONAL!$A$2:$A$80,0)),"NO EXISTE"))</f>
        <v/>
      </c>
      <c r="F21" s="52">
        <f t="array" ref="F21">IF($B21="","",IFERROR(INDEX(PERSONAL!$C$2:$C$80,MATCH($B21,PERSONAL!$A$2:$A$80,0)),""))</f>
        <v/>
      </c>
      <c r="G21" s="52">
        <f>IF($A21="","",CHOOSE(WEEKDAY($A21,2),"LUNES","MARTES","MIÉRCOLES","JUEVES","VIERNES","SÁBADO","DOMINGO"))</f>
        <v/>
      </c>
      <c r="H21" s="34">
        <f>IF($A21="","",CHOOSE(MONTH($A21),"ENERO","FEBRERO","MARZO","ABRIL","MAYO","JUNIO","JULIO","AGOSTO","SEPTIEMBRE","OCTUBRE","NOVIEMBRE","DICIEMBRE"))</f>
        <v/>
      </c>
      <c r="I21" s="34">
        <f>IF($A21="","",IF(OR($G21="SÁBADO",$G21="DOMINGO"),"FIN","LV"))</f>
        <v/>
      </c>
      <c r="J21" s="34">
        <f>IF(OR($A21="",$B21=""),"",IF($L21&lt;&gt;"",UPPER($L21),IF($C21="","FALTA",IFERROR(IF($C21&gt;=$O21,"ROJO FUERTE",IF($C21&gt;=$N21,"ROJO",IF($C21&gt;=$M21,"AMARILLO","VERDE"))),"REVISAR"))))</f>
        <v/>
      </c>
      <c r="K21" s="36">
        <f>IF(OR($C21="",$D21=""),"",IF($D21&gt;=$C21,($D21-$C21)*24,(1-$C21+$D21)*24))</f>
        <v/>
      </c>
      <c r="L21" s="34" t="n"/>
      <c r="M21" s="53">
        <f t="array" ref="M21">IFERROR(INDEX(EXCEPCIONES_FECHA!$D$2:$D$201,MATCH(1,(EXCEPCIONES_FECHA!$A$2:$A$201=$A21)*(EXCEPCIONES_FECHA!$B$2:$B$201=$B21),0)),IFERROR(INDEX(EXCEPCIONES_FECHA!$D$2:$D$201,MATCH(1,(EXCEPCIONES_FECHA!$A$2:$A$201=$A21)*(EXCEPCIONES_FECHA!$B$2:$B$201=""),0)),IFERROR(INDEX(IF($I21="FIN",HISTORIAL_HORARIOS!$J$2:$J$201,HISTORIAL_HORARIOS!$F$2:$F$201),MATCH(1,(HISTORIAL_HORARIOS!$A$2:$A$201=$B21)*(HISTORIAL_HORARIOS!$C$2:$C$201&lt;=$A21)*(HISTORIAL_HORARIOS!$D$2:$D$201&gt;=$A21),0)),INDEX(IF($I21="FIN",PERSONAL!$J$2:$J$80,PERSONAL!$F$2:$F$80),MATCH($B21,PERSONAL!$A$2:$A$80,0)))))</f>
        <v/>
      </c>
      <c r="N21" s="53">
        <f t="array" ref="N21">IFERROR(INDEX(EXCEPCIONES_FECHA!$E$2:$E$201,MATCH(1,(EXCEPCIONES_FECHA!$A$2:$A$201=$A21)*(EXCEPCIONES_FECHA!$B$2:$B$201=$B21),0)),IFERROR(INDEX(EXCEPCIONES_FECHA!$E$2:$E$201,MATCH(1,(EXCEPCIONES_FECHA!$A$2:$A$201=$A21)*(EXCEPCIONES_FECHA!$B$2:$B$201=""),0)),IFERROR(INDEX(IF($I21="FIN",HISTORIAL_HORARIOS!$K$2:$K$201,HISTORIAL_HORARIOS!$G$2:$G$201),MATCH(1,(HISTORIAL_HORARIOS!$A$2:$A$201=$B21)*(HISTORIAL_HORARIOS!$C$2:$C$201&lt;=$A21)*(HISTORIAL_HORARIOS!$D$2:$D$201&gt;=$A21),0)),INDEX(IF($I21="FIN",PERSONAL!$K$2:$K$80,PERSONAL!$G$2:$G$80),MATCH($B21,PERSONAL!$A$2:$A$80,0)))))</f>
        <v/>
      </c>
      <c r="O21" s="53">
        <f t="array" ref="O21">IFERROR(INDEX(EXCEPCIONES_FECHA!$F$2:$F$201,MATCH(1,(EXCEPCIONES_FECHA!$A$2:$A$201=$A21)*(EXCEPCIONES_FECHA!$B$2:$B$201=$B21),0)),IFERROR(INDEX(EXCEPCIONES_FECHA!$F$2:$F$201,MATCH(1,(EXCEPCIONES_FECHA!$A$2:$A$201=$A21)*(EXCEPCIONES_FECHA!$B$2:$B$201=""),0)),IFERROR(INDEX(IF($I21="FIN",HISTORIAL_HORARIOS!$L$2:$L$201,HISTORIAL_HORARIOS!$H$2:$H$201),MATCH(1,(HISTORIAL_HORARIOS!$A$2:$A$201=$B21)*(HISTORIAL_HORARIOS!$C$2:$C$201&lt;=$A21)*(HISTORIAL_HORARIOS!$D$2:$D$201&gt;=$A21),0)),INDEX(IF($I21="FIN",PERSONAL!$L$2:$L$80,PERSONAL!$H$2:$H$80),MATCH($B21,PERSONAL!$A$2:$A$80,0)))))</f>
        <v/>
      </c>
    </row>
    <row r="22" ht="15" customHeight="1" s="58">
      <c r="A22" s="37" t="n"/>
      <c r="B22" s="38" t="n"/>
      <c r="C22" s="39" t="n"/>
      <c r="D22" s="39" t="n"/>
      <c r="E22" s="34">
        <f t="array" ref="E22">IF($B22="","",IFERROR(INDEX(PERSONAL!$B$2:$B$80,MATCH($B22,PERSONAL!$A$2:$A$80,0)),"NO EXISTE"))</f>
        <v/>
      </c>
      <c r="F22" s="52">
        <f t="array" ref="F22">IF($B22="","",IFERROR(INDEX(PERSONAL!$C$2:$C$80,MATCH($B22,PERSONAL!$A$2:$A$80,0)),""))</f>
        <v/>
      </c>
      <c r="G22" s="52">
        <f>IF($A22="","",CHOOSE(WEEKDAY($A22,2),"LUNES","MARTES","MIÉRCOLES","JUEVES","VIERNES","SÁBADO","DOMINGO"))</f>
        <v/>
      </c>
      <c r="H22" s="34">
        <f>IF($A22="","",CHOOSE(MONTH($A22),"ENERO","FEBRERO","MARZO","ABRIL","MAYO","JUNIO","JULIO","AGOSTO","SEPTIEMBRE","OCTUBRE","NOVIEMBRE","DICIEMBRE"))</f>
        <v/>
      </c>
      <c r="I22" s="34">
        <f>IF($A22="","",IF(OR($G22="SÁBADO",$G22="DOMINGO"),"FIN","LV"))</f>
        <v/>
      </c>
      <c r="J22" s="34">
        <f>IF(OR($A22="",$B22=""),"",IF($L22&lt;&gt;"",UPPER($L22),IF($C22="","FALTA",IFERROR(IF($C22&gt;=$O22,"ROJO FUERTE",IF($C22&gt;=$N22,"ROJO",IF($C22&gt;=$M22,"AMARILLO","VERDE"))),"REVISAR"))))</f>
        <v/>
      </c>
      <c r="K22" s="36">
        <f>IF(OR($C22="",$D22=""),"",IF($D22&gt;=$C22,($D22-$C22)*24,(1-$C22+$D22)*24))</f>
        <v/>
      </c>
      <c r="L22" s="34" t="n"/>
      <c r="M22" s="53">
        <f t="array" ref="M22">IFERROR(INDEX(EXCEPCIONES_FECHA!$D$2:$D$201,MATCH(1,(EXCEPCIONES_FECHA!$A$2:$A$201=$A22)*(EXCEPCIONES_FECHA!$B$2:$B$201=$B22),0)),IFERROR(INDEX(EXCEPCIONES_FECHA!$D$2:$D$201,MATCH(1,(EXCEPCIONES_FECHA!$A$2:$A$201=$A22)*(EXCEPCIONES_FECHA!$B$2:$B$201=""),0)),IFERROR(INDEX(IF($I22="FIN",HISTORIAL_HORARIOS!$J$2:$J$201,HISTORIAL_HORARIOS!$F$2:$F$201),MATCH(1,(HISTORIAL_HORARIOS!$A$2:$A$201=$B22)*(HISTORIAL_HORARIOS!$C$2:$C$201&lt;=$A22)*(HISTORIAL_HORARIOS!$D$2:$D$201&gt;=$A22),0)),INDEX(IF($I22="FIN",PERSONAL!$J$2:$J$80,PERSONAL!$F$2:$F$80),MATCH($B22,PERSONAL!$A$2:$A$80,0)))))</f>
        <v/>
      </c>
      <c r="N22" s="53">
        <f t="array" ref="N22">IFERROR(INDEX(EXCEPCIONES_FECHA!$E$2:$E$201,MATCH(1,(EXCEPCIONES_FECHA!$A$2:$A$201=$A22)*(EXCEPCIONES_FECHA!$B$2:$B$201=$B22),0)),IFERROR(INDEX(EXCEPCIONES_FECHA!$E$2:$E$201,MATCH(1,(EXCEPCIONES_FECHA!$A$2:$A$201=$A22)*(EXCEPCIONES_FECHA!$B$2:$B$201=""),0)),IFERROR(INDEX(IF($I22="FIN",HISTORIAL_HORARIOS!$K$2:$K$201,HISTORIAL_HORARIOS!$G$2:$G$201),MATCH(1,(HISTORIAL_HORARIOS!$A$2:$A$201=$B22)*(HISTORIAL_HORARIOS!$C$2:$C$201&lt;=$A22)*(HISTORIAL_HORARIOS!$D$2:$D$201&gt;=$A22),0)),INDEX(IF($I22="FIN",PERSONAL!$K$2:$K$80,PERSONAL!$G$2:$G$80),MATCH($B22,PERSONAL!$A$2:$A$80,0)))))</f>
        <v/>
      </c>
      <c r="O22" s="53">
        <f t="array" ref="O22">IFERROR(INDEX(EXCEPCIONES_FECHA!$F$2:$F$201,MATCH(1,(EXCEPCIONES_FECHA!$A$2:$A$201=$A22)*(EXCEPCIONES_FECHA!$B$2:$B$201=$B22),0)),IFERROR(INDEX(EXCEPCIONES_FECHA!$F$2:$F$201,MATCH(1,(EXCEPCIONES_FECHA!$A$2:$A$201=$A22)*(EXCEPCIONES_FECHA!$B$2:$B$201=""),0)),IFERROR(INDEX(IF($I22="FIN",HISTORIAL_HORARIOS!$L$2:$L$201,HISTORIAL_HORARIOS!$H$2:$H$201),MATCH(1,(HISTORIAL_HORARIOS!$A$2:$A$201=$B22)*(HISTORIAL_HORARIOS!$C$2:$C$201&lt;=$A22)*(HISTORIAL_HORARIOS!$D$2:$D$201&gt;=$A22),0)),INDEX(IF($I22="FIN",PERSONAL!$L$2:$L$80,PERSONAL!$H$2:$H$80),MATCH($B22,PERSONAL!$A$2:$A$80,0)))))</f>
        <v/>
      </c>
    </row>
    <row r="23" ht="15" customHeight="1" s="58">
      <c r="A23" s="37" t="n"/>
      <c r="B23" s="38" t="n"/>
      <c r="C23" s="39" t="n"/>
      <c r="D23" s="39" t="n"/>
      <c r="E23" s="34">
        <f t="array" ref="E23">IF($B23="","",IFERROR(INDEX(PERSONAL!$B$2:$B$80,MATCH($B23,PERSONAL!$A$2:$A$80,0)),"NO EXISTE"))</f>
        <v/>
      </c>
      <c r="F23" s="52">
        <f t="array" ref="F23">IF($B23="","",IFERROR(INDEX(PERSONAL!$C$2:$C$80,MATCH($B23,PERSONAL!$A$2:$A$80,0)),""))</f>
        <v/>
      </c>
      <c r="G23" s="52">
        <f>IF($A23="","",CHOOSE(WEEKDAY($A23,2),"LUNES","MARTES","MIÉRCOLES","JUEVES","VIERNES","SÁBADO","DOMINGO"))</f>
        <v/>
      </c>
      <c r="H23" s="34">
        <f>IF($A23="","",CHOOSE(MONTH($A23),"ENERO","FEBRERO","MARZO","ABRIL","MAYO","JUNIO","JULIO","AGOSTO","SEPTIEMBRE","OCTUBRE","NOVIEMBRE","DICIEMBRE"))</f>
        <v/>
      </c>
      <c r="I23" s="34">
        <f>IF($A23="","",IF(OR($G23="SÁBADO",$G23="DOMINGO"),"FIN","LV"))</f>
        <v/>
      </c>
      <c r="J23" s="34">
        <f>IF(OR($A23="",$B23=""),"",IF($L23&lt;&gt;"",UPPER($L23),IF($C23="","FALTA",IFERROR(IF($C23&gt;=$O23,"ROJO FUERTE",IF($C23&gt;=$N23,"ROJO",IF($C23&gt;=$M23,"AMARILLO","VERDE"))),"REVISAR"))))</f>
        <v/>
      </c>
      <c r="K23" s="36">
        <f>IF(OR($C23="",$D23=""),"",IF($D23&gt;=$C23,($D23-$C23)*24,(1-$C23+$D23)*24))</f>
        <v/>
      </c>
      <c r="L23" s="34" t="n"/>
      <c r="M23" s="53">
        <f t="array" ref="M23">IFERROR(INDEX(EXCEPCIONES_FECHA!$D$2:$D$201,MATCH(1,(EXCEPCIONES_FECHA!$A$2:$A$201=$A23)*(EXCEPCIONES_FECHA!$B$2:$B$201=$B23),0)),IFERROR(INDEX(EXCEPCIONES_FECHA!$D$2:$D$201,MATCH(1,(EXCEPCIONES_FECHA!$A$2:$A$201=$A23)*(EXCEPCIONES_FECHA!$B$2:$B$201=""),0)),IFERROR(INDEX(IF($I23="FIN",HISTORIAL_HORARIOS!$J$2:$J$201,HISTORIAL_HORARIOS!$F$2:$F$201),MATCH(1,(HISTORIAL_HORARIOS!$A$2:$A$201=$B23)*(HISTORIAL_HORARIOS!$C$2:$C$201&lt;=$A23)*(HISTORIAL_HORARIOS!$D$2:$D$201&gt;=$A23),0)),INDEX(IF($I23="FIN",PERSONAL!$J$2:$J$80,PERSONAL!$F$2:$F$80),MATCH($B23,PERSONAL!$A$2:$A$80,0)))))</f>
        <v/>
      </c>
      <c r="N23" s="53">
        <f t="array" ref="N23">IFERROR(INDEX(EXCEPCIONES_FECHA!$E$2:$E$201,MATCH(1,(EXCEPCIONES_FECHA!$A$2:$A$201=$A23)*(EXCEPCIONES_FECHA!$B$2:$B$201=$B23),0)),IFERROR(INDEX(EXCEPCIONES_FECHA!$E$2:$E$201,MATCH(1,(EXCEPCIONES_FECHA!$A$2:$A$201=$A23)*(EXCEPCIONES_FECHA!$B$2:$B$201=""),0)),IFERROR(INDEX(IF($I23="FIN",HISTORIAL_HORARIOS!$K$2:$K$201,HISTORIAL_HORARIOS!$G$2:$G$201),MATCH(1,(HISTORIAL_HORARIOS!$A$2:$A$201=$B23)*(HISTORIAL_HORARIOS!$C$2:$C$201&lt;=$A23)*(HISTORIAL_HORARIOS!$D$2:$D$201&gt;=$A23),0)),INDEX(IF($I23="FIN",PERSONAL!$K$2:$K$80,PERSONAL!$G$2:$G$80),MATCH($B23,PERSONAL!$A$2:$A$80,0)))))</f>
        <v/>
      </c>
      <c r="O23" s="53">
        <f t="array" ref="O23">IFERROR(INDEX(EXCEPCIONES_FECHA!$F$2:$F$201,MATCH(1,(EXCEPCIONES_FECHA!$A$2:$A$201=$A23)*(EXCEPCIONES_FECHA!$B$2:$B$201=$B23),0)),IFERROR(INDEX(EXCEPCIONES_FECHA!$F$2:$F$201,MATCH(1,(EXCEPCIONES_FECHA!$A$2:$A$201=$A23)*(EXCEPCIONES_FECHA!$B$2:$B$201=""),0)),IFERROR(INDEX(IF($I23="FIN",HISTORIAL_HORARIOS!$L$2:$L$201,HISTORIAL_HORARIOS!$H$2:$H$201),MATCH(1,(HISTORIAL_HORARIOS!$A$2:$A$201=$B23)*(HISTORIAL_HORARIOS!$C$2:$C$201&lt;=$A23)*(HISTORIAL_HORARIOS!$D$2:$D$201&gt;=$A23),0)),INDEX(IF($I23="FIN",PERSONAL!$L$2:$L$80,PERSONAL!$H$2:$H$80),MATCH($B23,PERSONAL!$A$2:$A$80,0)))))</f>
        <v/>
      </c>
    </row>
    <row r="24" ht="15" customHeight="1" s="58">
      <c r="A24" s="37" t="n"/>
      <c r="B24" s="38" t="n"/>
      <c r="C24" s="39" t="n"/>
      <c r="D24" s="39" t="n"/>
      <c r="E24" s="34">
        <f t="array" ref="E24">IF($B24="","",IFERROR(INDEX(PERSONAL!$B$2:$B$80,MATCH($B24,PERSONAL!$A$2:$A$80,0)),"NO EXISTE"))</f>
        <v/>
      </c>
      <c r="F24" s="52">
        <f t="array" ref="F24">IF($B24="","",IFERROR(INDEX(PERSONAL!$C$2:$C$80,MATCH($B24,PERSONAL!$A$2:$A$80,0)),""))</f>
        <v/>
      </c>
      <c r="G24" s="52">
        <f>IF($A24="","",CHOOSE(WEEKDAY($A24,2),"LUNES","MARTES","MIÉRCOLES","JUEVES","VIERNES","SÁBADO","DOMINGO"))</f>
        <v/>
      </c>
      <c r="H24" s="34">
        <f>IF($A24="","",CHOOSE(MONTH($A24),"ENERO","FEBRERO","MARZO","ABRIL","MAYO","JUNIO","JULIO","AGOSTO","SEPTIEMBRE","OCTUBRE","NOVIEMBRE","DICIEMBRE"))</f>
        <v/>
      </c>
      <c r="I24" s="34">
        <f>IF($A24="","",IF(OR($G24="SÁBADO",$G24="DOMINGO"),"FIN","LV"))</f>
        <v/>
      </c>
      <c r="J24" s="34">
        <f>IF(OR($A24="",$B24=""),"",IF($L24&lt;&gt;"",UPPER($L24),IF($C24="","FALTA",IFERROR(IF($C24&gt;=$O24,"ROJO FUERTE",IF($C24&gt;=$N24,"ROJO",IF($C24&gt;=$M24,"AMARILLO","VERDE"))),"REVISAR"))))</f>
        <v/>
      </c>
      <c r="K24" s="36">
        <f>IF(OR($C24="",$D24=""),"",IF($D24&gt;=$C24,($D24-$C24)*24,(1-$C24+$D24)*24))</f>
        <v/>
      </c>
      <c r="L24" s="34" t="n"/>
      <c r="M24" s="53">
        <f t="array" ref="M24">IFERROR(INDEX(EXCEPCIONES_FECHA!$D$2:$D$201,MATCH(1,(EXCEPCIONES_FECHA!$A$2:$A$201=$A24)*(EXCEPCIONES_FECHA!$B$2:$B$201=$B24),0)),IFERROR(INDEX(EXCEPCIONES_FECHA!$D$2:$D$201,MATCH(1,(EXCEPCIONES_FECHA!$A$2:$A$201=$A24)*(EXCEPCIONES_FECHA!$B$2:$B$201=""),0)),IFERROR(INDEX(IF($I24="FIN",HISTORIAL_HORARIOS!$J$2:$J$201,HISTORIAL_HORARIOS!$F$2:$F$201),MATCH(1,(HISTORIAL_HORARIOS!$A$2:$A$201=$B24)*(HISTORIAL_HORARIOS!$C$2:$C$201&lt;=$A24)*(HISTORIAL_HORARIOS!$D$2:$D$201&gt;=$A24),0)),INDEX(IF($I24="FIN",PERSONAL!$J$2:$J$80,PERSONAL!$F$2:$F$80),MATCH($B24,PERSONAL!$A$2:$A$80,0)))))</f>
        <v/>
      </c>
      <c r="N24" s="53">
        <f t="array" ref="N24">IFERROR(INDEX(EXCEPCIONES_FECHA!$E$2:$E$201,MATCH(1,(EXCEPCIONES_FECHA!$A$2:$A$201=$A24)*(EXCEPCIONES_FECHA!$B$2:$B$201=$B24),0)),IFERROR(INDEX(EXCEPCIONES_FECHA!$E$2:$E$201,MATCH(1,(EXCEPCIONES_FECHA!$A$2:$A$201=$A24)*(EXCEPCIONES_FECHA!$B$2:$B$201=""),0)),IFERROR(INDEX(IF($I24="FIN",HISTORIAL_HORARIOS!$K$2:$K$201,HISTORIAL_HORARIOS!$G$2:$G$201),MATCH(1,(HISTORIAL_HORARIOS!$A$2:$A$201=$B24)*(HISTORIAL_HORARIOS!$C$2:$C$201&lt;=$A24)*(HISTORIAL_HORARIOS!$D$2:$D$201&gt;=$A24),0)),INDEX(IF($I24="FIN",PERSONAL!$K$2:$K$80,PERSONAL!$G$2:$G$80),MATCH($B24,PERSONAL!$A$2:$A$80,0)))))</f>
        <v/>
      </c>
      <c r="O24" s="53">
        <f t="array" ref="O24">IFERROR(INDEX(EXCEPCIONES_FECHA!$F$2:$F$201,MATCH(1,(EXCEPCIONES_FECHA!$A$2:$A$201=$A24)*(EXCEPCIONES_FECHA!$B$2:$B$201=$B24),0)),IFERROR(INDEX(EXCEPCIONES_FECHA!$F$2:$F$201,MATCH(1,(EXCEPCIONES_FECHA!$A$2:$A$201=$A24)*(EXCEPCIONES_FECHA!$B$2:$B$201=""),0)),IFERROR(INDEX(IF($I24="FIN",HISTORIAL_HORARIOS!$L$2:$L$201,HISTORIAL_HORARIOS!$H$2:$H$201),MATCH(1,(HISTORIAL_HORARIOS!$A$2:$A$201=$B24)*(HISTORIAL_HORARIOS!$C$2:$C$201&lt;=$A24)*(HISTORIAL_HORARIOS!$D$2:$D$201&gt;=$A24),0)),INDEX(IF($I24="FIN",PERSONAL!$L$2:$L$80,PERSONAL!$H$2:$H$80),MATCH($B24,PERSONAL!$A$2:$A$80,0)))))</f>
        <v/>
      </c>
    </row>
    <row r="25" ht="15" customHeight="1" s="58">
      <c r="A25" s="37" t="n"/>
      <c r="B25" s="38" t="n"/>
      <c r="C25" s="39" t="n"/>
      <c r="D25" s="39" t="n"/>
      <c r="E25" s="34">
        <f t="array" ref="E25">IF($B25="","",IFERROR(INDEX(PERSONAL!$B$2:$B$80,MATCH($B25,PERSONAL!$A$2:$A$80,0)),"NO EXISTE"))</f>
        <v/>
      </c>
      <c r="F25" s="52">
        <f t="array" ref="F25">IF($B25="","",IFERROR(INDEX(PERSONAL!$C$2:$C$80,MATCH($B25,PERSONAL!$A$2:$A$80,0)),""))</f>
        <v/>
      </c>
      <c r="G25" s="52">
        <f>IF($A25="","",CHOOSE(WEEKDAY($A25,2),"LUNES","MARTES","MIÉRCOLES","JUEVES","VIERNES","SÁBADO","DOMINGO"))</f>
        <v/>
      </c>
      <c r="H25" s="34">
        <f>IF($A25="","",CHOOSE(MONTH($A25),"ENERO","FEBRERO","MARZO","ABRIL","MAYO","JUNIO","JULIO","AGOSTO","SEPTIEMBRE","OCTUBRE","NOVIEMBRE","DICIEMBRE"))</f>
        <v/>
      </c>
      <c r="I25" s="34">
        <f>IF($A25="","",IF(OR($G25="SÁBADO",$G25="DOMINGO"),"FIN","LV"))</f>
        <v/>
      </c>
      <c r="J25" s="34">
        <f>IF(OR($A25="",$B25=""),"",IF($L25&lt;&gt;"",UPPER($L25),IF($C25="","FALTA",IFERROR(IF($C25&gt;=$O25,"ROJO FUERTE",IF($C25&gt;=$N25,"ROJO",IF($C25&gt;=$M25,"AMARILLO","VERDE"))),"REVISAR"))))</f>
        <v/>
      </c>
      <c r="K25" s="36">
        <f>IF(OR($C25="",$D25=""),"",IF($D25&gt;=$C25,($D25-$C25)*24,(1-$C25+$D25)*24))</f>
        <v/>
      </c>
      <c r="L25" s="34" t="n"/>
      <c r="M25" s="53">
        <f t="array" ref="M25">IFERROR(INDEX(EXCEPCIONES_FECHA!$D$2:$D$201,MATCH(1,(EXCEPCIONES_FECHA!$A$2:$A$201=$A25)*(EXCEPCIONES_FECHA!$B$2:$B$201=$B25),0)),IFERROR(INDEX(EXCEPCIONES_FECHA!$D$2:$D$201,MATCH(1,(EXCEPCIONES_FECHA!$A$2:$A$201=$A25)*(EXCEPCIONES_FECHA!$B$2:$B$201=""),0)),IFERROR(INDEX(IF($I25="FIN",HISTORIAL_HORARIOS!$J$2:$J$201,HISTORIAL_HORARIOS!$F$2:$F$201),MATCH(1,(HISTORIAL_HORARIOS!$A$2:$A$201=$B25)*(HISTORIAL_HORARIOS!$C$2:$C$201&lt;=$A25)*(HISTORIAL_HORARIOS!$D$2:$D$201&gt;=$A25),0)),INDEX(IF($I25="FIN",PERSONAL!$J$2:$J$80,PERSONAL!$F$2:$F$80),MATCH($B25,PERSONAL!$A$2:$A$80,0)))))</f>
        <v/>
      </c>
      <c r="N25" s="53">
        <f t="array" ref="N25">IFERROR(INDEX(EXCEPCIONES_FECHA!$E$2:$E$201,MATCH(1,(EXCEPCIONES_FECHA!$A$2:$A$201=$A25)*(EXCEPCIONES_FECHA!$B$2:$B$201=$B25),0)),IFERROR(INDEX(EXCEPCIONES_FECHA!$E$2:$E$201,MATCH(1,(EXCEPCIONES_FECHA!$A$2:$A$201=$A25)*(EXCEPCIONES_FECHA!$B$2:$B$201=""),0)),IFERROR(INDEX(IF($I25="FIN",HISTORIAL_HORARIOS!$K$2:$K$201,HISTORIAL_HORARIOS!$G$2:$G$201),MATCH(1,(HISTORIAL_HORARIOS!$A$2:$A$201=$B25)*(HISTORIAL_HORARIOS!$C$2:$C$201&lt;=$A25)*(HISTORIAL_HORARIOS!$D$2:$D$201&gt;=$A25),0)),INDEX(IF($I25="FIN",PERSONAL!$K$2:$K$80,PERSONAL!$G$2:$G$80),MATCH($B25,PERSONAL!$A$2:$A$80,0)))))</f>
        <v/>
      </c>
      <c r="O25" s="53">
        <f t="array" ref="O25">IFERROR(INDEX(EXCEPCIONES_FECHA!$F$2:$F$201,MATCH(1,(EXCEPCIONES_FECHA!$A$2:$A$201=$A25)*(EXCEPCIONES_FECHA!$B$2:$B$201=$B25),0)),IFERROR(INDEX(EXCEPCIONES_FECHA!$F$2:$F$201,MATCH(1,(EXCEPCIONES_FECHA!$A$2:$A$201=$A25)*(EXCEPCIONES_FECHA!$B$2:$B$201=""),0)),IFERROR(INDEX(IF($I25="FIN",HISTORIAL_HORARIOS!$L$2:$L$201,HISTORIAL_HORARIOS!$H$2:$H$201),MATCH(1,(HISTORIAL_HORARIOS!$A$2:$A$201=$B25)*(HISTORIAL_HORARIOS!$C$2:$C$201&lt;=$A25)*(HISTORIAL_HORARIOS!$D$2:$D$201&gt;=$A25),0)),INDEX(IF($I25="FIN",PERSONAL!$L$2:$L$80,PERSONAL!$H$2:$H$80),MATCH($B25,PERSONAL!$A$2:$A$80,0)))))</f>
        <v/>
      </c>
    </row>
    <row r="26" ht="15" customHeight="1" s="58">
      <c r="A26" s="37" t="n"/>
      <c r="B26" s="38" t="n"/>
      <c r="C26" s="39" t="n"/>
      <c r="D26" s="39" t="n"/>
      <c r="E26" s="34">
        <f t="array" ref="E26">IF($B26="","",IFERROR(INDEX(PERSONAL!$B$2:$B$80,MATCH($B26,PERSONAL!$A$2:$A$80,0)),"NO EXISTE"))</f>
        <v/>
      </c>
      <c r="F26" s="52">
        <f t="array" ref="F26">IF($B26="","",IFERROR(INDEX(PERSONAL!$C$2:$C$80,MATCH($B26,PERSONAL!$A$2:$A$80,0)),""))</f>
        <v/>
      </c>
      <c r="G26" s="52">
        <f>IF($A26="","",CHOOSE(WEEKDAY($A26,2),"LUNES","MARTES","MIÉRCOLES","JUEVES","VIERNES","SÁBADO","DOMINGO"))</f>
        <v/>
      </c>
      <c r="H26" s="34">
        <f>IF($A26="","",CHOOSE(MONTH($A26),"ENERO","FEBRERO","MARZO","ABRIL","MAYO","JUNIO","JULIO","AGOSTO","SEPTIEMBRE","OCTUBRE","NOVIEMBRE","DICIEMBRE"))</f>
        <v/>
      </c>
      <c r="I26" s="34">
        <f>IF($A26="","",IF(OR($G26="SÁBADO",$G26="DOMINGO"),"FIN","LV"))</f>
        <v/>
      </c>
      <c r="J26" s="34">
        <f>IF(OR($A26="",$B26=""),"",IF($L26&lt;&gt;"",UPPER($L26),IF($C26="","FALTA",IFERROR(IF($C26&gt;=$O26,"ROJO FUERTE",IF($C26&gt;=$N26,"ROJO",IF($C26&gt;=$M26,"AMARILLO","VERDE"))),"REVISAR"))))</f>
        <v/>
      </c>
      <c r="K26" s="36">
        <f>IF(OR($C26="",$D26=""),"",IF($D26&gt;=$C26,($D26-$C26)*24,(1-$C26+$D26)*24))</f>
        <v/>
      </c>
      <c r="L26" s="34" t="n"/>
      <c r="M26" s="53">
        <f t="array" ref="M26">IFERROR(INDEX(EXCEPCIONES_FECHA!$D$2:$D$201,MATCH(1,(EXCEPCIONES_FECHA!$A$2:$A$201=$A26)*(EXCEPCIONES_FECHA!$B$2:$B$201=$B26),0)),IFERROR(INDEX(EXCEPCIONES_FECHA!$D$2:$D$201,MATCH(1,(EXCEPCIONES_FECHA!$A$2:$A$201=$A26)*(EXCEPCIONES_FECHA!$B$2:$B$201=""),0)),IFERROR(INDEX(IF($I26="FIN",HISTORIAL_HORARIOS!$J$2:$J$201,HISTORIAL_HORARIOS!$F$2:$F$201),MATCH(1,(HISTORIAL_HORARIOS!$A$2:$A$201=$B26)*(HISTORIAL_HORARIOS!$C$2:$C$201&lt;=$A26)*(HISTORIAL_HORARIOS!$D$2:$D$201&gt;=$A26),0)),INDEX(IF($I26="FIN",PERSONAL!$J$2:$J$80,PERSONAL!$F$2:$F$80),MATCH($B26,PERSONAL!$A$2:$A$80,0)))))</f>
        <v/>
      </c>
      <c r="N26" s="53">
        <f t="array" ref="N26">IFERROR(INDEX(EXCEPCIONES_FECHA!$E$2:$E$201,MATCH(1,(EXCEPCIONES_FECHA!$A$2:$A$201=$A26)*(EXCEPCIONES_FECHA!$B$2:$B$201=$B26),0)),IFERROR(INDEX(EXCEPCIONES_FECHA!$E$2:$E$201,MATCH(1,(EXCEPCIONES_FECHA!$A$2:$A$201=$A26)*(EXCEPCIONES_FECHA!$B$2:$B$201=""),0)),IFERROR(INDEX(IF($I26="FIN",HISTORIAL_HORARIOS!$K$2:$K$201,HISTORIAL_HORARIOS!$G$2:$G$201),MATCH(1,(HISTORIAL_HORARIOS!$A$2:$A$201=$B26)*(HISTORIAL_HORARIOS!$C$2:$C$201&lt;=$A26)*(HISTORIAL_HORARIOS!$D$2:$D$201&gt;=$A26),0)),INDEX(IF($I26="FIN",PERSONAL!$K$2:$K$80,PERSONAL!$G$2:$G$80),MATCH($B26,PERSONAL!$A$2:$A$80,0)))))</f>
        <v/>
      </c>
      <c r="O26" s="53">
        <f t="array" ref="O26">IFERROR(INDEX(EXCEPCIONES_FECHA!$F$2:$F$201,MATCH(1,(EXCEPCIONES_FECHA!$A$2:$A$201=$A26)*(EXCEPCIONES_FECHA!$B$2:$B$201=$B26),0)),IFERROR(INDEX(EXCEPCIONES_FECHA!$F$2:$F$201,MATCH(1,(EXCEPCIONES_FECHA!$A$2:$A$201=$A26)*(EXCEPCIONES_FECHA!$B$2:$B$201=""),0)),IFERROR(INDEX(IF($I26="FIN",HISTORIAL_HORARIOS!$L$2:$L$201,HISTORIAL_HORARIOS!$H$2:$H$201),MATCH(1,(HISTORIAL_HORARIOS!$A$2:$A$201=$B26)*(HISTORIAL_HORARIOS!$C$2:$C$201&lt;=$A26)*(HISTORIAL_HORARIOS!$D$2:$D$201&gt;=$A26),0)),INDEX(IF($I26="FIN",PERSONAL!$L$2:$L$80,PERSONAL!$H$2:$H$80),MATCH($B26,PERSONAL!$A$2:$A$80,0)))))</f>
        <v/>
      </c>
    </row>
    <row r="27" ht="15" customHeight="1" s="58">
      <c r="A27" s="37" t="n"/>
      <c r="B27" s="38" t="n"/>
      <c r="C27" s="39" t="n"/>
      <c r="D27" s="39" t="n"/>
      <c r="E27" s="34">
        <f t="array" ref="E27">IF($B27="","",IFERROR(INDEX(PERSONAL!$B$2:$B$80,MATCH($B27,PERSONAL!$A$2:$A$80,0)),"NO EXISTE"))</f>
        <v/>
      </c>
      <c r="F27" s="52">
        <f t="array" ref="F27">IF($B27="","",IFERROR(INDEX(PERSONAL!$C$2:$C$80,MATCH($B27,PERSONAL!$A$2:$A$80,0)),""))</f>
        <v/>
      </c>
      <c r="G27" s="52">
        <f>IF($A27="","",CHOOSE(WEEKDAY($A27,2),"LUNES","MARTES","MIÉRCOLES","JUEVES","VIERNES","SÁBADO","DOMINGO"))</f>
        <v/>
      </c>
      <c r="H27" s="34">
        <f>IF($A27="","",CHOOSE(MONTH($A27),"ENERO","FEBRERO","MARZO","ABRIL","MAYO","JUNIO","JULIO","AGOSTO","SEPTIEMBRE","OCTUBRE","NOVIEMBRE","DICIEMBRE"))</f>
        <v/>
      </c>
      <c r="I27" s="34">
        <f>IF($A27="","",IF(OR($G27="SÁBADO",$G27="DOMINGO"),"FIN","LV"))</f>
        <v/>
      </c>
      <c r="J27" s="34">
        <f>IF(OR($A27="",$B27=""),"",IF($L27&lt;&gt;"",UPPER($L27),IF($C27="","FALTA",IFERROR(IF($C27&gt;=$O27,"ROJO FUERTE",IF($C27&gt;=$N27,"ROJO",IF($C27&gt;=$M27,"AMARILLO","VERDE"))),"REVISAR"))))</f>
        <v/>
      </c>
      <c r="K27" s="36">
        <f>IF(OR($C27="",$D27=""),"",IF($D27&gt;=$C27,($D27-$C27)*24,(1-$C27+$D27)*24))</f>
        <v/>
      </c>
      <c r="L27" s="34" t="n"/>
      <c r="M27" s="53">
        <f t="array" ref="M27">IFERROR(INDEX(EXCEPCIONES_FECHA!$D$2:$D$201,MATCH(1,(EXCEPCIONES_FECHA!$A$2:$A$201=$A27)*(EXCEPCIONES_FECHA!$B$2:$B$201=$B27),0)),IFERROR(INDEX(EXCEPCIONES_FECHA!$D$2:$D$201,MATCH(1,(EXCEPCIONES_FECHA!$A$2:$A$201=$A27)*(EXCEPCIONES_FECHA!$B$2:$B$201=""),0)),IFERROR(INDEX(IF($I27="FIN",HISTORIAL_HORARIOS!$J$2:$J$201,HISTORIAL_HORARIOS!$F$2:$F$201),MATCH(1,(HISTORIAL_HORARIOS!$A$2:$A$201=$B27)*(HISTORIAL_HORARIOS!$C$2:$C$201&lt;=$A27)*(HISTORIAL_HORARIOS!$D$2:$D$201&gt;=$A27),0)),INDEX(IF($I27="FIN",PERSONAL!$J$2:$J$80,PERSONAL!$F$2:$F$80),MATCH($B27,PERSONAL!$A$2:$A$80,0)))))</f>
        <v/>
      </c>
      <c r="N27" s="53">
        <f t="array" ref="N27">IFERROR(INDEX(EXCEPCIONES_FECHA!$E$2:$E$201,MATCH(1,(EXCEPCIONES_FECHA!$A$2:$A$201=$A27)*(EXCEPCIONES_FECHA!$B$2:$B$201=$B27),0)),IFERROR(INDEX(EXCEPCIONES_FECHA!$E$2:$E$201,MATCH(1,(EXCEPCIONES_FECHA!$A$2:$A$201=$A27)*(EXCEPCIONES_FECHA!$B$2:$B$201=""),0)),IFERROR(INDEX(IF($I27="FIN",HISTORIAL_HORARIOS!$K$2:$K$201,HISTORIAL_HORARIOS!$G$2:$G$201),MATCH(1,(HISTORIAL_HORARIOS!$A$2:$A$201=$B27)*(HISTORIAL_HORARIOS!$C$2:$C$201&lt;=$A27)*(HISTORIAL_HORARIOS!$D$2:$D$201&gt;=$A27),0)),INDEX(IF($I27="FIN",PERSONAL!$K$2:$K$80,PERSONAL!$G$2:$G$80),MATCH($B27,PERSONAL!$A$2:$A$80,0)))))</f>
        <v/>
      </c>
      <c r="O27" s="53">
        <f t="array" ref="O27">IFERROR(INDEX(EXCEPCIONES_FECHA!$F$2:$F$201,MATCH(1,(EXCEPCIONES_FECHA!$A$2:$A$201=$A27)*(EXCEPCIONES_FECHA!$B$2:$B$201=$B27),0)),IFERROR(INDEX(EXCEPCIONES_FECHA!$F$2:$F$201,MATCH(1,(EXCEPCIONES_FECHA!$A$2:$A$201=$A27)*(EXCEPCIONES_FECHA!$B$2:$B$201=""),0)),IFERROR(INDEX(IF($I27="FIN",HISTORIAL_HORARIOS!$L$2:$L$201,HISTORIAL_HORARIOS!$H$2:$H$201),MATCH(1,(HISTORIAL_HORARIOS!$A$2:$A$201=$B27)*(HISTORIAL_HORARIOS!$C$2:$C$201&lt;=$A27)*(HISTORIAL_HORARIOS!$D$2:$D$201&gt;=$A27),0)),INDEX(IF($I27="FIN",PERSONAL!$L$2:$L$80,PERSONAL!$H$2:$H$80),MATCH($B27,PERSONAL!$A$2:$A$80,0)))))</f>
        <v/>
      </c>
    </row>
    <row r="28" ht="15" customHeight="1" s="58">
      <c r="A28" s="37" t="n"/>
      <c r="B28" s="38" t="n"/>
      <c r="C28" s="39" t="n"/>
      <c r="D28" s="39" t="n"/>
      <c r="E28" s="34">
        <f t="array" ref="E28">IF($B28="","",IFERROR(INDEX(PERSONAL!$B$2:$B$80,MATCH($B28,PERSONAL!$A$2:$A$80,0)),"NO EXISTE"))</f>
        <v/>
      </c>
      <c r="F28" s="52">
        <f t="array" ref="F28">IF($B28="","",IFERROR(INDEX(PERSONAL!$C$2:$C$80,MATCH($B28,PERSONAL!$A$2:$A$80,0)),""))</f>
        <v/>
      </c>
      <c r="G28" s="52">
        <f>IF($A28="","",CHOOSE(WEEKDAY($A28,2),"LUNES","MARTES","MIÉRCOLES","JUEVES","VIERNES","SÁBADO","DOMINGO"))</f>
        <v/>
      </c>
      <c r="H28" s="34">
        <f>IF($A28="","",CHOOSE(MONTH($A28),"ENERO","FEBRERO","MARZO","ABRIL","MAYO","JUNIO","JULIO","AGOSTO","SEPTIEMBRE","OCTUBRE","NOVIEMBRE","DICIEMBRE"))</f>
        <v/>
      </c>
      <c r="I28" s="34">
        <f>IF($A28="","",IF(OR($G28="SÁBADO",$G28="DOMINGO"),"FIN","LV"))</f>
        <v/>
      </c>
      <c r="J28" s="34">
        <f>IF(OR($A28="",$B28=""),"",IF($L28&lt;&gt;"",UPPER($L28),IF($C28="","FALTA",IFERROR(IF($C28&gt;=$O28,"ROJO FUERTE",IF($C28&gt;=$N28,"ROJO",IF($C28&gt;=$M28,"AMARILLO","VERDE"))),"REVISAR"))))</f>
        <v/>
      </c>
      <c r="K28" s="36">
        <f>IF(OR($C28="",$D28=""),"",IF($D28&gt;=$C28,($D28-$C28)*24,(1-$C28+$D28)*24))</f>
        <v/>
      </c>
      <c r="L28" s="34" t="n"/>
      <c r="M28" s="53">
        <f t="array" ref="M28">IFERROR(INDEX(EXCEPCIONES_FECHA!$D$2:$D$201,MATCH(1,(EXCEPCIONES_FECHA!$A$2:$A$201=$A28)*(EXCEPCIONES_FECHA!$B$2:$B$201=$B28),0)),IFERROR(INDEX(EXCEPCIONES_FECHA!$D$2:$D$201,MATCH(1,(EXCEPCIONES_FECHA!$A$2:$A$201=$A28)*(EXCEPCIONES_FECHA!$B$2:$B$201=""),0)),IFERROR(INDEX(IF($I28="FIN",HISTORIAL_HORARIOS!$J$2:$J$201,HISTORIAL_HORARIOS!$F$2:$F$201),MATCH(1,(HISTORIAL_HORARIOS!$A$2:$A$201=$B28)*(HISTORIAL_HORARIOS!$C$2:$C$201&lt;=$A28)*(HISTORIAL_HORARIOS!$D$2:$D$201&gt;=$A28),0)),INDEX(IF($I28="FIN",PERSONAL!$J$2:$J$80,PERSONAL!$F$2:$F$80),MATCH($B28,PERSONAL!$A$2:$A$80,0)))))</f>
        <v/>
      </c>
      <c r="N28" s="53">
        <f t="array" ref="N28">IFERROR(INDEX(EXCEPCIONES_FECHA!$E$2:$E$201,MATCH(1,(EXCEPCIONES_FECHA!$A$2:$A$201=$A28)*(EXCEPCIONES_FECHA!$B$2:$B$201=$B28),0)),IFERROR(INDEX(EXCEPCIONES_FECHA!$E$2:$E$201,MATCH(1,(EXCEPCIONES_FECHA!$A$2:$A$201=$A28)*(EXCEPCIONES_FECHA!$B$2:$B$201=""),0)),IFERROR(INDEX(IF($I28="FIN",HISTORIAL_HORARIOS!$K$2:$K$201,HISTORIAL_HORARIOS!$G$2:$G$201),MATCH(1,(HISTORIAL_HORARIOS!$A$2:$A$201=$B28)*(HISTORIAL_HORARIOS!$C$2:$C$201&lt;=$A28)*(HISTORIAL_HORARIOS!$D$2:$D$201&gt;=$A28),0)),INDEX(IF($I28="FIN",PERSONAL!$K$2:$K$80,PERSONAL!$G$2:$G$80),MATCH($B28,PERSONAL!$A$2:$A$80,0)))))</f>
        <v/>
      </c>
      <c r="O28" s="53">
        <f t="array" ref="O28">IFERROR(INDEX(EXCEPCIONES_FECHA!$F$2:$F$201,MATCH(1,(EXCEPCIONES_FECHA!$A$2:$A$201=$A28)*(EXCEPCIONES_FECHA!$B$2:$B$201=$B28),0)),IFERROR(INDEX(EXCEPCIONES_FECHA!$F$2:$F$201,MATCH(1,(EXCEPCIONES_FECHA!$A$2:$A$201=$A28)*(EXCEPCIONES_FECHA!$B$2:$B$201=""),0)),IFERROR(INDEX(IF($I28="FIN",HISTORIAL_HORARIOS!$L$2:$L$201,HISTORIAL_HORARIOS!$H$2:$H$201),MATCH(1,(HISTORIAL_HORARIOS!$A$2:$A$201=$B28)*(HISTORIAL_HORARIOS!$C$2:$C$201&lt;=$A28)*(HISTORIAL_HORARIOS!$D$2:$D$201&gt;=$A28),0)),INDEX(IF($I28="FIN",PERSONAL!$L$2:$L$80,PERSONAL!$H$2:$H$80),MATCH($B28,PERSONAL!$A$2:$A$80,0)))))</f>
        <v/>
      </c>
    </row>
    <row r="29" ht="15" customHeight="1" s="58">
      <c r="A29" s="37" t="n"/>
      <c r="B29" s="38" t="n"/>
      <c r="C29" s="39" t="n"/>
      <c r="D29" s="39" t="n"/>
      <c r="E29" s="34">
        <f t="array" ref="E29">IF($B29="","",IFERROR(INDEX(PERSONAL!$B$2:$B$80,MATCH($B29,PERSONAL!$A$2:$A$80,0)),"NO EXISTE"))</f>
        <v/>
      </c>
      <c r="F29" s="52">
        <f t="array" ref="F29">IF($B29="","",IFERROR(INDEX(PERSONAL!$C$2:$C$80,MATCH($B29,PERSONAL!$A$2:$A$80,0)),""))</f>
        <v/>
      </c>
      <c r="G29" s="52">
        <f>IF($A29="","",CHOOSE(WEEKDAY($A29,2),"LUNES","MARTES","MIÉRCOLES","JUEVES","VIERNES","SÁBADO","DOMINGO"))</f>
        <v/>
      </c>
      <c r="H29" s="34">
        <f>IF($A29="","",CHOOSE(MONTH($A29),"ENERO","FEBRERO","MARZO","ABRIL","MAYO","JUNIO","JULIO","AGOSTO","SEPTIEMBRE","OCTUBRE","NOVIEMBRE","DICIEMBRE"))</f>
        <v/>
      </c>
      <c r="I29" s="34">
        <f>IF($A29="","",IF(OR($G29="SÁBADO",$G29="DOMINGO"),"FIN","LV"))</f>
        <v/>
      </c>
      <c r="J29" s="34">
        <f>IF(OR($A29="",$B29=""),"",IF($L29&lt;&gt;"",UPPER($L29),IF($C29="","FALTA",IFERROR(IF($C29&gt;=$O29,"ROJO FUERTE",IF($C29&gt;=$N29,"ROJO",IF($C29&gt;=$M29,"AMARILLO","VERDE"))),"REVISAR"))))</f>
        <v/>
      </c>
      <c r="K29" s="36">
        <f>IF(OR($C29="",$D29=""),"",IF($D29&gt;=$C29,($D29-$C29)*24,(1-$C29+$D29)*24))</f>
        <v/>
      </c>
      <c r="L29" s="34" t="n"/>
      <c r="M29" s="53">
        <f t="array" ref="M29">IFERROR(INDEX(EXCEPCIONES_FECHA!$D$2:$D$201,MATCH(1,(EXCEPCIONES_FECHA!$A$2:$A$201=$A29)*(EXCEPCIONES_FECHA!$B$2:$B$201=$B29),0)),IFERROR(INDEX(EXCEPCIONES_FECHA!$D$2:$D$201,MATCH(1,(EXCEPCIONES_FECHA!$A$2:$A$201=$A29)*(EXCEPCIONES_FECHA!$B$2:$B$201=""),0)),IFERROR(INDEX(IF($I29="FIN",HISTORIAL_HORARIOS!$J$2:$J$201,HISTORIAL_HORARIOS!$F$2:$F$201),MATCH(1,(HISTORIAL_HORARIOS!$A$2:$A$201=$B29)*(HISTORIAL_HORARIOS!$C$2:$C$201&lt;=$A29)*(HISTORIAL_HORARIOS!$D$2:$D$201&gt;=$A29),0)),INDEX(IF($I29="FIN",PERSONAL!$J$2:$J$80,PERSONAL!$F$2:$F$80),MATCH($B29,PERSONAL!$A$2:$A$80,0)))))</f>
        <v/>
      </c>
      <c r="N29" s="53">
        <f t="array" ref="N29">IFERROR(INDEX(EXCEPCIONES_FECHA!$E$2:$E$201,MATCH(1,(EXCEPCIONES_FECHA!$A$2:$A$201=$A29)*(EXCEPCIONES_FECHA!$B$2:$B$201=$B29),0)),IFERROR(INDEX(EXCEPCIONES_FECHA!$E$2:$E$201,MATCH(1,(EXCEPCIONES_FECHA!$A$2:$A$201=$A29)*(EXCEPCIONES_FECHA!$B$2:$B$201=""),0)),IFERROR(INDEX(IF($I29="FIN",HISTORIAL_HORARIOS!$K$2:$K$201,HISTORIAL_HORARIOS!$G$2:$G$201),MATCH(1,(HISTORIAL_HORARIOS!$A$2:$A$201=$B29)*(HISTORIAL_HORARIOS!$C$2:$C$201&lt;=$A29)*(HISTORIAL_HORARIOS!$D$2:$D$201&gt;=$A29),0)),INDEX(IF($I29="FIN",PERSONAL!$K$2:$K$80,PERSONAL!$G$2:$G$80),MATCH($B29,PERSONAL!$A$2:$A$80,0)))))</f>
        <v/>
      </c>
      <c r="O29" s="53">
        <f t="array" ref="O29">IFERROR(INDEX(EXCEPCIONES_FECHA!$F$2:$F$201,MATCH(1,(EXCEPCIONES_FECHA!$A$2:$A$201=$A29)*(EXCEPCIONES_FECHA!$B$2:$B$201=$B29),0)),IFERROR(INDEX(EXCEPCIONES_FECHA!$F$2:$F$201,MATCH(1,(EXCEPCIONES_FECHA!$A$2:$A$201=$A29)*(EXCEPCIONES_FECHA!$B$2:$B$201=""),0)),IFERROR(INDEX(IF($I29="FIN",HISTORIAL_HORARIOS!$L$2:$L$201,HISTORIAL_HORARIOS!$H$2:$H$201),MATCH(1,(HISTORIAL_HORARIOS!$A$2:$A$201=$B29)*(HISTORIAL_HORARIOS!$C$2:$C$201&lt;=$A29)*(HISTORIAL_HORARIOS!$D$2:$D$201&gt;=$A29),0)),INDEX(IF($I29="FIN",PERSONAL!$L$2:$L$80,PERSONAL!$H$2:$H$80),MATCH($B29,PERSONAL!$A$2:$A$80,0)))))</f>
        <v/>
      </c>
    </row>
    <row r="30" ht="15" customHeight="1" s="58">
      <c r="A30" s="37" t="n"/>
      <c r="B30" s="38" t="n"/>
      <c r="C30" s="39" t="n"/>
      <c r="D30" s="39" t="n"/>
      <c r="E30" s="34">
        <f t="array" ref="E30">IF($B30="","",IFERROR(INDEX(PERSONAL!$B$2:$B$80,MATCH($B30,PERSONAL!$A$2:$A$80,0)),"NO EXISTE"))</f>
        <v/>
      </c>
      <c r="F30" s="52">
        <f t="array" ref="F30">IF($B30="","",IFERROR(INDEX(PERSONAL!$C$2:$C$80,MATCH($B30,PERSONAL!$A$2:$A$80,0)),""))</f>
        <v/>
      </c>
      <c r="G30" s="52">
        <f>IF($A30="","",CHOOSE(WEEKDAY($A30,2),"LUNES","MARTES","MIÉRCOLES","JUEVES","VIERNES","SÁBADO","DOMINGO"))</f>
        <v/>
      </c>
      <c r="H30" s="34">
        <f>IF($A30="","",CHOOSE(MONTH($A30),"ENERO","FEBRERO","MARZO","ABRIL","MAYO","JUNIO","JULIO","AGOSTO","SEPTIEMBRE","OCTUBRE","NOVIEMBRE","DICIEMBRE"))</f>
        <v/>
      </c>
      <c r="I30" s="34">
        <f>IF($A30="","",IF(OR($G30="SÁBADO",$G30="DOMINGO"),"FIN","LV"))</f>
        <v/>
      </c>
      <c r="J30" s="34">
        <f>IF(OR($A30="",$B30=""),"",IF($L30&lt;&gt;"",UPPER($L30),IF($C30="","FALTA",IFERROR(IF($C30&gt;=$O30,"ROJO FUERTE",IF($C30&gt;=$N30,"ROJO",IF($C30&gt;=$M30,"AMARILLO","VERDE"))),"REVISAR"))))</f>
        <v/>
      </c>
      <c r="K30" s="36">
        <f>IF(OR($C30="",$D30=""),"",IF($D30&gt;=$C30,($D30-$C30)*24,(1-$C30+$D30)*24))</f>
        <v/>
      </c>
      <c r="L30" s="34" t="n"/>
      <c r="M30" s="53">
        <f t="array" ref="M30">IFERROR(INDEX(EXCEPCIONES_FECHA!$D$2:$D$201,MATCH(1,(EXCEPCIONES_FECHA!$A$2:$A$201=$A30)*(EXCEPCIONES_FECHA!$B$2:$B$201=$B30),0)),IFERROR(INDEX(EXCEPCIONES_FECHA!$D$2:$D$201,MATCH(1,(EXCEPCIONES_FECHA!$A$2:$A$201=$A30)*(EXCEPCIONES_FECHA!$B$2:$B$201=""),0)),IFERROR(INDEX(IF($I30="FIN",HISTORIAL_HORARIOS!$J$2:$J$201,HISTORIAL_HORARIOS!$F$2:$F$201),MATCH(1,(HISTORIAL_HORARIOS!$A$2:$A$201=$B30)*(HISTORIAL_HORARIOS!$C$2:$C$201&lt;=$A30)*(HISTORIAL_HORARIOS!$D$2:$D$201&gt;=$A30),0)),INDEX(IF($I30="FIN",PERSONAL!$J$2:$J$80,PERSONAL!$F$2:$F$80),MATCH($B30,PERSONAL!$A$2:$A$80,0)))))</f>
        <v/>
      </c>
      <c r="N30" s="53">
        <f t="array" ref="N30">IFERROR(INDEX(EXCEPCIONES_FECHA!$E$2:$E$201,MATCH(1,(EXCEPCIONES_FECHA!$A$2:$A$201=$A30)*(EXCEPCIONES_FECHA!$B$2:$B$201=$B30),0)),IFERROR(INDEX(EXCEPCIONES_FECHA!$E$2:$E$201,MATCH(1,(EXCEPCIONES_FECHA!$A$2:$A$201=$A30)*(EXCEPCIONES_FECHA!$B$2:$B$201=""),0)),IFERROR(INDEX(IF($I30="FIN",HISTORIAL_HORARIOS!$K$2:$K$201,HISTORIAL_HORARIOS!$G$2:$G$201),MATCH(1,(HISTORIAL_HORARIOS!$A$2:$A$201=$B30)*(HISTORIAL_HORARIOS!$C$2:$C$201&lt;=$A30)*(HISTORIAL_HORARIOS!$D$2:$D$201&gt;=$A30),0)),INDEX(IF($I30="FIN",PERSONAL!$K$2:$K$80,PERSONAL!$G$2:$G$80),MATCH($B30,PERSONAL!$A$2:$A$80,0)))))</f>
        <v/>
      </c>
      <c r="O30" s="53">
        <f t="array" ref="O30">IFERROR(INDEX(EXCEPCIONES_FECHA!$F$2:$F$201,MATCH(1,(EXCEPCIONES_FECHA!$A$2:$A$201=$A30)*(EXCEPCIONES_FECHA!$B$2:$B$201=$B30),0)),IFERROR(INDEX(EXCEPCIONES_FECHA!$F$2:$F$201,MATCH(1,(EXCEPCIONES_FECHA!$A$2:$A$201=$A30)*(EXCEPCIONES_FECHA!$B$2:$B$201=""),0)),IFERROR(INDEX(IF($I30="FIN",HISTORIAL_HORARIOS!$L$2:$L$201,HISTORIAL_HORARIOS!$H$2:$H$201),MATCH(1,(HISTORIAL_HORARIOS!$A$2:$A$201=$B30)*(HISTORIAL_HORARIOS!$C$2:$C$201&lt;=$A30)*(HISTORIAL_HORARIOS!$D$2:$D$201&gt;=$A30),0)),INDEX(IF($I30="FIN",PERSONAL!$L$2:$L$80,PERSONAL!$H$2:$H$80),MATCH($B30,PERSONAL!$A$2:$A$80,0)))))</f>
        <v/>
      </c>
    </row>
    <row r="31" ht="15" customHeight="1" s="58">
      <c r="A31" s="37" t="n"/>
      <c r="B31" s="38" t="n"/>
      <c r="C31" s="39" t="n"/>
      <c r="D31" s="39" t="n"/>
      <c r="E31" s="34">
        <f t="array" ref="E31">IF($B31="","",IFERROR(INDEX(PERSONAL!$B$2:$B$80,MATCH($B31,PERSONAL!$A$2:$A$80,0)),"NO EXISTE"))</f>
        <v/>
      </c>
      <c r="F31" s="52">
        <f t="array" ref="F31">IF($B31="","",IFERROR(INDEX(PERSONAL!$C$2:$C$80,MATCH($B31,PERSONAL!$A$2:$A$80,0)),""))</f>
        <v/>
      </c>
      <c r="G31" s="52">
        <f>IF($A31="","",CHOOSE(WEEKDAY($A31,2),"LUNES","MARTES","MIÉRCOLES","JUEVES","VIERNES","SÁBADO","DOMINGO"))</f>
        <v/>
      </c>
      <c r="H31" s="34">
        <f>IF($A31="","",CHOOSE(MONTH($A31),"ENERO","FEBRERO","MARZO","ABRIL","MAYO","JUNIO","JULIO","AGOSTO","SEPTIEMBRE","OCTUBRE","NOVIEMBRE","DICIEMBRE"))</f>
        <v/>
      </c>
      <c r="I31" s="34">
        <f>IF($A31="","",IF(OR($G31="SÁBADO",$G31="DOMINGO"),"FIN","LV"))</f>
        <v/>
      </c>
      <c r="J31" s="34">
        <f>IF(OR($A31="",$B31=""),"",IF($L31&lt;&gt;"",UPPER($L31),IF($C31="","FALTA",IFERROR(IF($C31&gt;=$O31,"ROJO FUERTE",IF($C31&gt;=$N31,"ROJO",IF($C31&gt;=$M31,"AMARILLO","VERDE"))),"REVISAR"))))</f>
        <v/>
      </c>
      <c r="K31" s="36">
        <f>IF(OR($C31="",$D31=""),"",IF($D31&gt;=$C31,($D31-$C31)*24,(1-$C31+$D31)*24))</f>
        <v/>
      </c>
      <c r="L31" s="34" t="n"/>
      <c r="M31" s="53">
        <f t="array" ref="M31">IFERROR(INDEX(EXCEPCIONES_FECHA!$D$2:$D$201,MATCH(1,(EXCEPCIONES_FECHA!$A$2:$A$201=$A31)*(EXCEPCIONES_FECHA!$B$2:$B$201=$B31),0)),IFERROR(INDEX(EXCEPCIONES_FECHA!$D$2:$D$201,MATCH(1,(EXCEPCIONES_FECHA!$A$2:$A$201=$A31)*(EXCEPCIONES_FECHA!$B$2:$B$201=""),0)),IFERROR(INDEX(IF($I31="FIN",HISTORIAL_HORARIOS!$J$2:$J$201,HISTORIAL_HORARIOS!$F$2:$F$201),MATCH(1,(HISTORIAL_HORARIOS!$A$2:$A$201=$B31)*(HISTORIAL_HORARIOS!$C$2:$C$201&lt;=$A31)*(HISTORIAL_HORARIOS!$D$2:$D$201&gt;=$A31),0)),INDEX(IF($I31="FIN",PERSONAL!$J$2:$J$80,PERSONAL!$F$2:$F$80),MATCH($B31,PERSONAL!$A$2:$A$80,0)))))</f>
        <v/>
      </c>
      <c r="N31" s="53">
        <f t="array" ref="N31">IFERROR(INDEX(EXCEPCIONES_FECHA!$E$2:$E$201,MATCH(1,(EXCEPCIONES_FECHA!$A$2:$A$201=$A31)*(EXCEPCIONES_FECHA!$B$2:$B$201=$B31),0)),IFERROR(INDEX(EXCEPCIONES_FECHA!$E$2:$E$201,MATCH(1,(EXCEPCIONES_FECHA!$A$2:$A$201=$A31)*(EXCEPCIONES_FECHA!$B$2:$B$201=""),0)),IFERROR(INDEX(IF($I31="FIN",HISTORIAL_HORARIOS!$K$2:$K$201,HISTORIAL_HORARIOS!$G$2:$G$201),MATCH(1,(HISTORIAL_HORARIOS!$A$2:$A$201=$B31)*(HISTORIAL_HORARIOS!$C$2:$C$201&lt;=$A31)*(HISTORIAL_HORARIOS!$D$2:$D$201&gt;=$A31),0)),INDEX(IF($I31="FIN",PERSONAL!$K$2:$K$80,PERSONAL!$G$2:$G$80),MATCH($B31,PERSONAL!$A$2:$A$80,0)))))</f>
        <v/>
      </c>
      <c r="O31" s="53">
        <f t="array" ref="O31">IFERROR(INDEX(EXCEPCIONES_FECHA!$F$2:$F$201,MATCH(1,(EXCEPCIONES_FECHA!$A$2:$A$201=$A31)*(EXCEPCIONES_FECHA!$B$2:$B$201=$B31),0)),IFERROR(INDEX(EXCEPCIONES_FECHA!$F$2:$F$201,MATCH(1,(EXCEPCIONES_FECHA!$A$2:$A$201=$A31)*(EXCEPCIONES_FECHA!$B$2:$B$201=""),0)),IFERROR(INDEX(IF($I31="FIN",HISTORIAL_HORARIOS!$L$2:$L$201,HISTORIAL_HORARIOS!$H$2:$H$201),MATCH(1,(HISTORIAL_HORARIOS!$A$2:$A$201=$B31)*(HISTORIAL_HORARIOS!$C$2:$C$201&lt;=$A31)*(HISTORIAL_HORARIOS!$D$2:$D$201&gt;=$A31),0)),INDEX(IF($I31="FIN",PERSONAL!$L$2:$L$80,PERSONAL!$H$2:$H$80),MATCH($B31,PERSONAL!$A$2:$A$80,0)))))</f>
        <v/>
      </c>
    </row>
    <row r="32" ht="15" customHeight="1" s="58">
      <c r="A32" s="37" t="n"/>
      <c r="B32" s="38" t="n"/>
      <c r="C32" s="39" t="n"/>
      <c r="D32" s="39" t="n"/>
      <c r="E32" s="34">
        <f t="array" ref="E32">IF($B32="","",IFERROR(INDEX(PERSONAL!$B$2:$B$80,MATCH($B32,PERSONAL!$A$2:$A$80,0)),"NO EXISTE"))</f>
        <v/>
      </c>
      <c r="F32" s="52">
        <f t="array" ref="F32">IF($B32="","",IFERROR(INDEX(PERSONAL!$C$2:$C$80,MATCH($B32,PERSONAL!$A$2:$A$80,0)),""))</f>
        <v/>
      </c>
      <c r="G32" s="52">
        <f>IF($A32="","",CHOOSE(WEEKDAY($A32,2),"LUNES","MARTES","MIÉRCOLES","JUEVES","VIERNES","SÁBADO","DOMINGO"))</f>
        <v/>
      </c>
      <c r="H32" s="34">
        <f>IF($A32="","",CHOOSE(MONTH($A32),"ENERO","FEBRERO","MARZO","ABRIL","MAYO","JUNIO","JULIO","AGOSTO","SEPTIEMBRE","OCTUBRE","NOVIEMBRE","DICIEMBRE"))</f>
        <v/>
      </c>
      <c r="I32" s="34">
        <f>IF($A32="","",IF(OR($G32="SÁBADO",$G32="DOMINGO"),"FIN","LV"))</f>
        <v/>
      </c>
      <c r="J32" s="34">
        <f>IF(OR($A32="",$B32=""),"",IF($L32&lt;&gt;"",UPPER($L32),IF($C32="","FALTA",IFERROR(IF($C32&gt;=$O32,"ROJO FUERTE",IF($C32&gt;=$N32,"ROJO",IF($C32&gt;=$M32,"AMARILLO","VERDE"))),"REVISAR"))))</f>
        <v/>
      </c>
      <c r="K32" s="36">
        <f>IF(OR($C32="",$D32=""),"",IF($D32&gt;=$C32,($D32-$C32)*24,(1-$C32+$D32)*24))</f>
        <v/>
      </c>
      <c r="L32" s="34" t="n"/>
      <c r="M32" s="53">
        <f t="array" ref="M32">IFERROR(INDEX(EXCEPCIONES_FECHA!$D$2:$D$201,MATCH(1,(EXCEPCIONES_FECHA!$A$2:$A$201=$A32)*(EXCEPCIONES_FECHA!$B$2:$B$201=$B32),0)),IFERROR(INDEX(EXCEPCIONES_FECHA!$D$2:$D$201,MATCH(1,(EXCEPCIONES_FECHA!$A$2:$A$201=$A32)*(EXCEPCIONES_FECHA!$B$2:$B$201=""),0)),IFERROR(INDEX(IF($I32="FIN",HISTORIAL_HORARIOS!$J$2:$J$201,HISTORIAL_HORARIOS!$F$2:$F$201),MATCH(1,(HISTORIAL_HORARIOS!$A$2:$A$201=$B32)*(HISTORIAL_HORARIOS!$C$2:$C$201&lt;=$A32)*(HISTORIAL_HORARIOS!$D$2:$D$201&gt;=$A32),0)),INDEX(IF($I32="FIN",PERSONAL!$J$2:$J$80,PERSONAL!$F$2:$F$80),MATCH($B32,PERSONAL!$A$2:$A$80,0)))))</f>
        <v/>
      </c>
      <c r="N32" s="53">
        <f t="array" ref="N32">IFERROR(INDEX(EXCEPCIONES_FECHA!$E$2:$E$201,MATCH(1,(EXCEPCIONES_FECHA!$A$2:$A$201=$A32)*(EXCEPCIONES_FECHA!$B$2:$B$201=$B32),0)),IFERROR(INDEX(EXCEPCIONES_FECHA!$E$2:$E$201,MATCH(1,(EXCEPCIONES_FECHA!$A$2:$A$201=$A32)*(EXCEPCIONES_FECHA!$B$2:$B$201=""),0)),IFERROR(INDEX(IF($I32="FIN",HISTORIAL_HORARIOS!$K$2:$K$201,HISTORIAL_HORARIOS!$G$2:$G$201),MATCH(1,(HISTORIAL_HORARIOS!$A$2:$A$201=$B32)*(HISTORIAL_HORARIOS!$C$2:$C$201&lt;=$A32)*(HISTORIAL_HORARIOS!$D$2:$D$201&gt;=$A32),0)),INDEX(IF($I32="FIN",PERSONAL!$K$2:$K$80,PERSONAL!$G$2:$G$80),MATCH($B32,PERSONAL!$A$2:$A$80,0)))))</f>
        <v/>
      </c>
      <c r="O32" s="53">
        <f t="array" ref="O32">IFERROR(INDEX(EXCEPCIONES_FECHA!$F$2:$F$201,MATCH(1,(EXCEPCIONES_FECHA!$A$2:$A$201=$A32)*(EXCEPCIONES_FECHA!$B$2:$B$201=$B32),0)),IFERROR(INDEX(EXCEPCIONES_FECHA!$F$2:$F$201,MATCH(1,(EXCEPCIONES_FECHA!$A$2:$A$201=$A32)*(EXCEPCIONES_FECHA!$B$2:$B$201=""),0)),IFERROR(INDEX(IF($I32="FIN",HISTORIAL_HORARIOS!$L$2:$L$201,HISTORIAL_HORARIOS!$H$2:$H$201),MATCH(1,(HISTORIAL_HORARIOS!$A$2:$A$201=$B32)*(HISTORIAL_HORARIOS!$C$2:$C$201&lt;=$A32)*(HISTORIAL_HORARIOS!$D$2:$D$201&gt;=$A32),0)),INDEX(IF($I32="FIN",PERSONAL!$L$2:$L$80,PERSONAL!$H$2:$H$80),MATCH($B32,PERSONAL!$A$2:$A$80,0)))))</f>
        <v/>
      </c>
    </row>
    <row r="33" ht="15" customHeight="1" s="58">
      <c r="A33" s="37" t="n"/>
      <c r="B33" s="38" t="n"/>
      <c r="C33" s="39" t="n"/>
      <c r="D33" s="39" t="n"/>
      <c r="E33" s="34">
        <f t="array" ref="E33">IF($B33="","",IFERROR(INDEX(PERSONAL!$B$2:$B$80,MATCH($B33,PERSONAL!$A$2:$A$80,0)),"NO EXISTE"))</f>
        <v/>
      </c>
      <c r="F33" s="52">
        <f t="array" ref="F33">IF($B33="","",IFERROR(INDEX(PERSONAL!$C$2:$C$80,MATCH($B33,PERSONAL!$A$2:$A$80,0)),""))</f>
        <v/>
      </c>
      <c r="G33" s="52">
        <f>IF($A33="","",CHOOSE(WEEKDAY($A33,2),"LUNES","MARTES","MIÉRCOLES","JUEVES","VIERNES","SÁBADO","DOMINGO"))</f>
        <v/>
      </c>
      <c r="H33" s="34">
        <f>IF($A33="","",CHOOSE(MONTH($A33),"ENERO","FEBRERO","MARZO","ABRIL","MAYO","JUNIO","JULIO","AGOSTO","SEPTIEMBRE","OCTUBRE","NOVIEMBRE","DICIEMBRE"))</f>
        <v/>
      </c>
      <c r="I33" s="34">
        <f>IF($A33="","",IF(OR($G33="SÁBADO",$G33="DOMINGO"),"FIN","LV"))</f>
        <v/>
      </c>
      <c r="J33" s="34">
        <f>IF(OR($A33="",$B33=""),"",IF($L33&lt;&gt;"",UPPER($L33),IF($C33="","FALTA",IFERROR(IF($C33&gt;=$O33,"ROJO FUERTE",IF($C33&gt;=$N33,"ROJO",IF($C33&gt;=$M33,"AMARILLO","VERDE"))),"REVISAR"))))</f>
        <v/>
      </c>
      <c r="K33" s="36">
        <f>IF(OR($C33="",$D33=""),"",IF($D33&gt;=$C33,($D33-$C33)*24,(1-$C33+$D33)*24))</f>
        <v/>
      </c>
      <c r="L33" s="34" t="n"/>
      <c r="M33" s="53">
        <f t="array" ref="M33">IFERROR(INDEX(EXCEPCIONES_FECHA!$D$2:$D$201,MATCH(1,(EXCEPCIONES_FECHA!$A$2:$A$201=$A33)*(EXCEPCIONES_FECHA!$B$2:$B$201=$B33),0)),IFERROR(INDEX(EXCEPCIONES_FECHA!$D$2:$D$201,MATCH(1,(EXCEPCIONES_FECHA!$A$2:$A$201=$A33)*(EXCEPCIONES_FECHA!$B$2:$B$201=""),0)),IFERROR(INDEX(IF($I33="FIN",HISTORIAL_HORARIOS!$J$2:$J$201,HISTORIAL_HORARIOS!$F$2:$F$201),MATCH(1,(HISTORIAL_HORARIOS!$A$2:$A$201=$B33)*(HISTORIAL_HORARIOS!$C$2:$C$201&lt;=$A33)*(HISTORIAL_HORARIOS!$D$2:$D$201&gt;=$A33),0)),INDEX(IF($I33="FIN",PERSONAL!$J$2:$J$80,PERSONAL!$F$2:$F$80),MATCH($B33,PERSONAL!$A$2:$A$80,0)))))</f>
        <v/>
      </c>
      <c r="N33" s="53">
        <f t="array" ref="N33">IFERROR(INDEX(EXCEPCIONES_FECHA!$E$2:$E$201,MATCH(1,(EXCEPCIONES_FECHA!$A$2:$A$201=$A33)*(EXCEPCIONES_FECHA!$B$2:$B$201=$B33),0)),IFERROR(INDEX(EXCEPCIONES_FECHA!$E$2:$E$201,MATCH(1,(EXCEPCIONES_FECHA!$A$2:$A$201=$A33)*(EXCEPCIONES_FECHA!$B$2:$B$201=""),0)),IFERROR(INDEX(IF($I33="FIN",HISTORIAL_HORARIOS!$K$2:$K$201,HISTORIAL_HORARIOS!$G$2:$G$201),MATCH(1,(HISTORIAL_HORARIOS!$A$2:$A$201=$B33)*(HISTORIAL_HORARIOS!$C$2:$C$201&lt;=$A33)*(HISTORIAL_HORARIOS!$D$2:$D$201&gt;=$A33),0)),INDEX(IF($I33="FIN",PERSONAL!$K$2:$K$80,PERSONAL!$G$2:$G$80),MATCH($B33,PERSONAL!$A$2:$A$80,0)))))</f>
        <v/>
      </c>
      <c r="O33" s="53">
        <f t="array" ref="O33">IFERROR(INDEX(EXCEPCIONES_FECHA!$F$2:$F$201,MATCH(1,(EXCEPCIONES_FECHA!$A$2:$A$201=$A33)*(EXCEPCIONES_FECHA!$B$2:$B$201=$B33),0)),IFERROR(INDEX(EXCEPCIONES_FECHA!$F$2:$F$201,MATCH(1,(EXCEPCIONES_FECHA!$A$2:$A$201=$A33)*(EXCEPCIONES_FECHA!$B$2:$B$201=""),0)),IFERROR(INDEX(IF($I33="FIN",HISTORIAL_HORARIOS!$L$2:$L$201,HISTORIAL_HORARIOS!$H$2:$H$201),MATCH(1,(HISTORIAL_HORARIOS!$A$2:$A$201=$B33)*(HISTORIAL_HORARIOS!$C$2:$C$201&lt;=$A33)*(HISTORIAL_HORARIOS!$D$2:$D$201&gt;=$A33),0)),INDEX(IF($I33="FIN",PERSONAL!$L$2:$L$80,PERSONAL!$H$2:$H$80),MATCH($B33,PERSONAL!$A$2:$A$80,0)))))</f>
        <v/>
      </c>
    </row>
    <row r="34" ht="15" customHeight="1" s="58">
      <c r="A34" s="37" t="n"/>
      <c r="B34" s="38" t="n"/>
      <c r="C34" s="39" t="n"/>
      <c r="D34" s="39" t="n"/>
      <c r="E34" s="34">
        <f t="array" ref="E34">IF($B34="","",IFERROR(INDEX(PERSONAL!$B$2:$B$80,MATCH($B34,PERSONAL!$A$2:$A$80,0)),"NO EXISTE"))</f>
        <v/>
      </c>
      <c r="F34" s="52">
        <f t="array" ref="F34">IF($B34="","",IFERROR(INDEX(PERSONAL!$C$2:$C$80,MATCH($B34,PERSONAL!$A$2:$A$80,0)),""))</f>
        <v/>
      </c>
      <c r="G34" s="52">
        <f>IF($A34="","",CHOOSE(WEEKDAY($A34,2),"LUNES","MARTES","MIÉRCOLES","JUEVES","VIERNES","SÁBADO","DOMINGO"))</f>
        <v/>
      </c>
      <c r="H34" s="34">
        <f>IF($A34="","",CHOOSE(MONTH($A34),"ENERO","FEBRERO","MARZO","ABRIL","MAYO","JUNIO","JULIO","AGOSTO","SEPTIEMBRE","OCTUBRE","NOVIEMBRE","DICIEMBRE"))</f>
        <v/>
      </c>
      <c r="I34" s="34">
        <f>IF($A34="","",IF(OR($G34="SÁBADO",$G34="DOMINGO"),"FIN","LV"))</f>
        <v/>
      </c>
      <c r="J34" s="34">
        <f>IF(OR($A34="",$B34=""),"",IF($L34&lt;&gt;"",UPPER($L34),IF($C34="","FALTA",IFERROR(IF($C34&gt;=$O34,"ROJO FUERTE",IF($C34&gt;=$N34,"ROJO",IF($C34&gt;=$M34,"AMARILLO","VERDE"))),"REVISAR"))))</f>
        <v/>
      </c>
      <c r="K34" s="36">
        <f>IF(OR($C34="",$D34=""),"",IF($D34&gt;=$C34,($D34-$C34)*24,(1-$C34+$D34)*24))</f>
        <v/>
      </c>
      <c r="L34" s="34" t="n"/>
      <c r="M34" s="53">
        <f t="array" ref="M34">IFERROR(INDEX(EXCEPCIONES_FECHA!$D$2:$D$201,MATCH(1,(EXCEPCIONES_FECHA!$A$2:$A$201=$A34)*(EXCEPCIONES_FECHA!$B$2:$B$201=$B34),0)),IFERROR(INDEX(EXCEPCIONES_FECHA!$D$2:$D$201,MATCH(1,(EXCEPCIONES_FECHA!$A$2:$A$201=$A34)*(EXCEPCIONES_FECHA!$B$2:$B$201=""),0)),IFERROR(INDEX(IF($I34="FIN",HISTORIAL_HORARIOS!$J$2:$J$201,HISTORIAL_HORARIOS!$F$2:$F$201),MATCH(1,(HISTORIAL_HORARIOS!$A$2:$A$201=$B34)*(HISTORIAL_HORARIOS!$C$2:$C$201&lt;=$A34)*(HISTORIAL_HORARIOS!$D$2:$D$201&gt;=$A34),0)),INDEX(IF($I34="FIN",PERSONAL!$J$2:$J$80,PERSONAL!$F$2:$F$80),MATCH($B34,PERSONAL!$A$2:$A$80,0)))))</f>
        <v/>
      </c>
      <c r="N34" s="53">
        <f t="array" ref="N34">IFERROR(INDEX(EXCEPCIONES_FECHA!$E$2:$E$201,MATCH(1,(EXCEPCIONES_FECHA!$A$2:$A$201=$A34)*(EXCEPCIONES_FECHA!$B$2:$B$201=$B34),0)),IFERROR(INDEX(EXCEPCIONES_FECHA!$E$2:$E$201,MATCH(1,(EXCEPCIONES_FECHA!$A$2:$A$201=$A34)*(EXCEPCIONES_FECHA!$B$2:$B$201=""),0)),IFERROR(INDEX(IF($I34="FIN",HISTORIAL_HORARIOS!$K$2:$K$201,HISTORIAL_HORARIOS!$G$2:$G$201),MATCH(1,(HISTORIAL_HORARIOS!$A$2:$A$201=$B34)*(HISTORIAL_HORARIOS!$C$2:$C$201&lt;=$A34)*(HISTORIAL_HORARIOS!$D$2:$D$201&gt;=$A34),0)),INDEX(IF($I34="FIN",PERSONAL!$K$2:$K$80,PERSONAL!$G$2:$G$80),MATCH($B34,PERSONAL!$A$2:$A$80,0)))))</f>
        <v/>
      </c>
      <c r="O34" s="53">
        <f t="array" ref="O34">IFERROR(INDEX(EXCEPCIONES_FECHA!$F$2:$F$201,MATCH(1,(EXCEPCIONES_FECHA!$A$2:$A$201=$A34)*(EXCEPCIONES_FECHA!$B$2:$B$201=$B34),0)),IFERROR(INDEX(EXCEPCIONES_FECHA!$F$2:$F$201,MATCH(1,(EXCEPCIONES_FECHA!$A$2:$A$201=$A34)*(EXCEPCIONES_FECHA!$B$2:$B$201=""),0)),IFERROR(INDEX(IF($I34="FIN",HISTORIAL_HORARIOS!$L$2:$L$201,HISTORIAL_HORARIOS!$H$2:$H$201),MATCH(1,(HISTORIAL_HORARIOS!$A$2:$A$201=$B34)*(HISTORIAL_HORARIOS!$C$2:$C$201&lt;=$A34)*(HISTORIAL_HORARIOS!$D$2:$D$201&gt;=$A34),0)),INDEX(IF($I34="FIN",PERSONAL!$L$2:$L$80,PERSONAL!$H$2:$H$80),MATCH($B34,PERSONAL!$A$2:$A$80,0)))))</f>
        <v/>
      </c>
    </row>
    <row r="35" ht="15" customHeight="1" s="58">
      <c r="A35" s="37" t="n"/>
      <c r="B35" s="38" t="n"/>
      <c r="C35" s="39" t="n"/>
      <c r="D35" s="39" t="n"/>
      <c r="E35" s="34">
        <f t="array" ref="E35">IF($B35="","",IFERROR(INDEX(PERSONAL!$B$2:$B$80,MATCH($B35,PERSONAL!$A$2:$A$80,0)),"NO EXISTE"))</f>
        <v/>
      </c>
      <c r="F35" s="52">
        <f t="array" ref="F35">IF($B35="","",IFERROR(INDEX(PERSONAL!$C$2:$C$80,MATCH($B35,PERSONAL!$A$2:$A$80,0)),""))</f>
        <v/>
      </c>
      <c r="G35" s="52">
        <f>IF($A35="","",CHOOSE(WEEKDAY($A35,2),"LUNES","MARTES","MIÉRCOLES","JUEVES","VIERNES","SÁBADO","DOMINGO"))</f>
        <v/>
      </c>
      <c r="H35" s="34">
        <f>IF($A35="","",CHOOSE(MONTH($A35),"ENERO","FEBRERO","MARZO","ABRIL","MAYO","JUNIO","JULIO","AGOSTO","SEPTIEMBRE","OCTUBRE","NOVIEMBRE","DICIEMBRE"))</f>
        <v/>
      </c>
      <c r="I35" s="34">
        <f>IF($A35="","",IF(OR($G35="SÁBADO",$G35="DOMINGO"),"FIN","LV"))</f>
        <v/>
      </c>
      <c r="J35" s="34">
        <f>IF(OR($A35="",$B35=""),"",IF($L35&lt;&gt;"",UPPER($L35),IF($C35="","FALTA",IFERROR(IF($C35&gt;=$O35,"ROJO FUERTE",IF($C35&gt;=$N35,"ROJO",IF($C35&gt;=$M35,"AMARILLO","VERDE"))),"REVISAR"))))</f>
        <v/>
      </c>
      <c r="K35" s="36">
        <f>IF(OR($C35="",$D35=""),"",IF($D35&gt;=$C35,($D35-$C35)*24,(1-$C35+$D35)*24))</f>
        <v/>
      </c>
      <c r="L35" s="34" t="n"/>
      <c r="M35" s="53">
        <f t="array" ref="M35">IFERROR(INDEX(EXCEPCIONES_FECHA!$D$2:$D$201,MATCH(1,(EXCEPCIONES_FECHA!$A$2:$A$201=$A35)*(EXCEPCIONES_FECHA!$B$2:$B$201=$B35),0)),IFERROR(INDEX(EXCEPCIONES_FECHA!$D$2:$D$201,MATCH(1,(EXCEPCIONES_FECHA!$A$2:$A$201=$A35)*(EXCEPCIONES_FECHA!$B$2:$B$201=""),0)),IFERROR(INDEX(IF($I35="FIN",HISTORIAL_HORARIOS!$J$2:$J$201,HISTORIAL_HORARIOS!$F$2:$F$201),MATCH(1,(HISTORIAL_HORARIOS!$A$2:$A$201=$B35)*(HISTORIAL_HORARIOS!$C$2:$C$201&lt;=$A35)*(HISTORIAL_HORARIOS!$D$2:$D$201&gt;=$A35),0)),INDEX(IF($I35="FIN",PERSONAL!$J$2:$J$80,PERSONAL!$F$2:$F$80),MATCH($B35,PERSONAL!$A$2:$A$80,0)))))</f>
        <v/>
      </c>
      <c r="N35" s="53">
        <f t="array" ref="N35">IFERROR(INDEX(EXCEPCIONES_FECHA!$E$2:$E$201,MATCH(1,(EXCEPCIONES_FECHA!$A$2:$A$201=$A35)*(EXCEPCIONES_FECHA!$B$2:$B$201=$B35),0)),IFERROR(INDEX(EXCEPCIONES_FECHA!$E$2:$E$201,MATCH(1,(EXCEPCIONES_FECHA!$A$2:$A$201=$A35)*(EXCEPCIONES_FECHA!$B$2:$B$201=""),0)),IFERROR(INDEX(IF($I35="FIN",HISTORIAL_HORARIOS!$K$2:$K$201,HISTORIAL_HORARIOS!$G$2:$G$201),MATCH(1,(HISTORIAL_HORARIOS!$A$2:$A$201=$B35)*(HISTORIAL_HORARIOS!$C$2:$C$201&lt;=$A35)*(HISTORIAL_HORARIOS!$D$2:$D$201&gt;=$A35),0)),INDEX(IF($I35="FIN",PERSONAL!$K$2:$K$80,PERSONAL!$G$2:$G$80),MATCH($B35,PERSONAL!$A$2:$A$80,0)))))</f>
        <v/>
      </c>
      <c r="O35" s="53">
        <f t="array" ref="O35">IFERROR(INDEX(EXCEPCIONES_FECHA!$F$2:$F$201,MATCH(1,(EXCEPCIONES_FECHA!$A$2:$A$201=$A35)*(EXCEPCIONES_FECHA!$B$2:$B$201=$B35),0)),IFERROR(INDEX(EXCEPCIONES_FECHA!$F$2:$F$201,MATCH(1,(EXCEPCIONES_FECHA!$A$2:$A$201=$A35)*(EXCEPCIONES_FECHA!$B$2:$B$201=""),0)),IFERROR(INDEX(IF($I35="FIN",HISTORIAL_HORARIOS!$L$2:$L$201,HISTORIAL_HORARIOS!$H$2:$H$201),MATCH(1,(HISTORIAL_HORARIOS!$A$2:$A$201=$B35)*(HISTORIAL_HORARIOS!$C$2:$C$201&lt;=$A35)*(HISTORIAL_HORARIOS!$D$2:$D$201&gt;=$A35),0)),INDEX(IF($I35="FIN",PERSONAL!$L$2:$L$80,PERSONAL!$H$2:$H$80),MATCH($B35,PERSONAL!$A$2:$A$80,0)))))</f>
        <v/>
      </c>
    </row>
    <row r="36" ht="15" customHeight="1" s="58">
      <c r="A36" s="37" t="n"/>
      <c r="B36" s="38" t="n"/>
      <c r="C36" s="39" t="n"/>
      <c r="D36" s="39" t="n"/>
      <c r="E36" s="34">
        <f t="array" ref="E36">IF($B36="","",IFERROR(INDEX(PERSONAL!$B$2:$B$80,MATCH($B36,PERSONAL!$A$2:$A$80,0)),"NO EXISTE"))</f>
        <v/>
      </c>
      <c r="F36" s="52">
        <f t="array" ref="F36">IF($B36="","",IFERROR(INDEX(PERSONAL!$C$2:$C$80,MATCH($B36,PERSONAL!$A$2:$A$80,0)),""))</f>
        <v/>
      </c>
      <c r="G36" s="52">
        <f>IF($A36="","",CHOOSE(WEEKDAY($A36,2),"LUNES","MARTES","MIÉRCOLES","JUEVES","VIERNES","SÁBADO","DOMINGO"))</f>
        <v/>
      </c>
      <c r="H36" s="34">
        <f>IF($A36="","",CHOOSE(MONTH($A36),"ENERO","FEBRERO","MARZO","ABRIL","MAYO","JUNIO","JULIO","AGOSTO","SEPTIEMBRE","OCTUBRE","NOVIEMBRE","DICIEMBRE"))</f>
        <v/>
      </c>
      <c r="I36" s="34">
        <f>IF($A36="","",IF(OR($G36="SÁBADO",$G36="DOMINGO"),"FIN","LV"))</f>
        <v/>
      </c>
      <c r="J36" s="34">
        <f>IF(OR($A36="",$B36=""),"",IF($L36&lt;&gt;"",UPPER($L36),IF($C36="","FALTA",IFERROR(IF($C36&gt;=$O36,"ROJO FUERTE",IF($C36&gt;=$N36,"ROJO",IF($C36&gt;=$M36,"AMARILLO","VERDE"))),"REVISAR"))))</f>
        <v/>
      </c>
      <c r="K36" s="36">
        <f>IF(OR($C36="",$D36=""),"",IF($D36&gt;=$C36,($D36-$C36)*24,(1-$C36+$D36)*24))</f>
        <v/>
      </c>
      <c r="L36" s="34" t="n"/>
      <c r="M36" s="53">
        <f t="array" ref="M36">IFERROR(INDEX(EXCEPCIONES_FECHA!$D$2:$D$201,MATCH(1,(EXCEPCIONES_FECHA!$A$2:$A$201=$A36)*(EXCEPCIONES_FECHA!$B$2:$B$201=$B36),0)),IFERROR(INDEX(EXCEPCIONES_FECHA!$D$2:$D$201,MATCH(1,(EXCEPCIONES_FECHA!$A$2:$A$201=$A36)*(EXCEPCIONES_FECHA!$B$2:$B$201=""),0)),IFERROR(INDEX(IF($I36="FIN",HISTORIAL_HORARIOS!$J$2:$J$201,HISTORIAL_HORARIOS!$F$2:$F$201),MATCH(1,(HISTORIAL_HORARIOS!$A$2:$A$201=$B36)*(HISTORIAL_HORARIOS!$C$2:$C$201&lt;=$A36)*(HISTORIAL_HORARIOS!$D$2:$D$201&gt;=$A36),0)),INDEX(IF($I36="FIN",PERSONAL!$J$2:$J$80,PERSONAL!$F$2:$F$80),MATCH($B36,PERSONAL!$A$2:$A$80,0)))))</f>
        <v/>
      </c>
      <c r="N36" s="53">
        <f t="array" ref="N36">IFERROR(INDEX(EXCEPCIONES_FECHA!$E$2:$E$201,MATCH(1,(EXCEPCIONES_FECHA!$A$2:$A$201=$A36)*(EXCEPCIONES_FECHA!$B$2:$B$201=$B36),0)),IFERROR(INDEX(EXCEPCIONES_FECHA!$E$2:$E$201,MATCH(1,(EXCEPCIONES_FECHA!$A$2:$A$201=$A36)*(EXCEPCIONES_FECHA!$B$2:$B$201=""),0)),IFERROR(INDEX(IF($I36="FIN",HISTORIAL_HORARIOS!$K$2:$K$201,HISTORIAL_HORARIOS!$G$2:$G$201),MATCH(1,(HISTORIAL_HORARIOS!$A$2:$A$201=$B36)*(HISTORIAL_HORARIOS!$C$2:$C$201&lt;=$A36)*(HISTORIAL_HORARIOS!$D$2:$D$201&gt;=$A36),0)),INDEX(IF($I36="FIN",PERSONAL!$K$2:$K$80,PERSONAL!$G$2:$G$80),MATCH($B36,PERSONAL!$A$2:$A$80,0)))))</f>
        <v/>
      </c>
      <c r="O36" s="53">
        <f t="array" ref="O36">IFERROR(INDEX(EXCEPCIONES_FECHA!$F$2:$F$201,MATCH(1,(EXCEPCIONES_FECHA!$A$2:$A$201=$A36)*(EXCEPCIONES_FECHA!$B$2:$B$201=$B36),0)),IFERROR(INDEX(EXCEPCIONES_FECHA!$F$2:$F$201,MATCH(1,(EXCEPCIONES_FECHA!$A$2:$A$201=$A36)*(EXCEPCIONES_FECHA!$B$2:$B$201=""),0)),IFERROR(INDEX(IF($I36="FIN",HISTORIAL_HORARIOS!$L$2:$L$201,HISTORIAL_HORARIOS!$H$2:$H$201),MATCH(1,(HISTORIAL_HORARIOS!$A$2:$A$201=$B36)*(HISTORIAL_HORARIOS!$C$2:$C$201&lt;=$A36)*(HISTORIAL_HORARIOS!$D$2:$D$201&gt;=$A36),0)),INDEX(IF($I36="FIN",PERSONAL!$L$2:$L$80,PERSONAL!$H$2:$H$80),MATCH($B36,PERSONAL!$A$2:$A$80,0)))))</f>
        <v/>
      </c>
    </row>
    <row r="37" ht="15" customHeight="1" s="58">
      <c r="A37" s="37" t="n"/>
      <c r="B37" s="38" t="n"/>
      <c r="C37" s="39" t="n"/>
      <c r="D37" s="39" t="n"/>
      <c r="E37" s="34">
        <f t="array" ref="E37">IF($B37="","",IFERROR(INDEX(PERSONAL!$B$2:$B$80,MATCH($B37,PERSONAL!$A$2:$A$80,0)),"NO EXISTE"))</f>
        <v/>
      </c>
      <c r="F37" s="52">
        <f t="array" ref="F37">IF($B37="","",IFERROR(INDEX(PERSONAL!$C$2:$C$80,MATCH($B37,PERSONAL!$A$2:$A$80,0)),""))</f>
        <v/>
      </c>
      <c r="G37" s="52">
        <f>IF($A37="","",CHOOSE(WEEKDAY($A37,2),"LUNES","MARTES","MIÉRCOLES","JUEVES","VIERNES","SÁBADO","DOMINGO"))</f>
        <v/>
      </c>
      <c r="H37" s="34">
        <f>IF($A37="","",CHOOSE(MONTH($A37),"ENERO","FEBRERO","MARZO","ABRIL","MAYO","JUNIO","JULIO","AGOSTO","SEPTIEMBRE","OCTUBRE","NOVIEMBRE","DICIEMBRE"))</f>
        <v/>
      </c>
      <c r="I37" s="34">
        <f>IF($A37="","",IF(OR($G37="SÁBADO",$G37="DOMINGO"),"FIN","LV"))</f>
        <v/>
      </c>
      <c r="J37" s="34">
        <f>IF(OR($A37="",$B37=""),"",IF($L37&lt;&gt;"",UPPER($L37),IF($C37="","FALTA",IFERROR(IF($C37&gt;=$O37,"ROJO FUERTE",IF($C37&gt;=$N37,"ROJO",IF($C37&gt;=$M37,"AMARILLO","VERDE"))),"REVISAR"))))</f>
        <v/>
      </c>
      <c r="K37" s="36">
        <f>IF(OR($C37="",$D37=""),"",IF($D37&gt;=$C37,($D37-$C37)*24,(1-$C37+$D37)*24))</f>
        <v/>
      </c>
      <c r="L37" s="34" t="n"/>
      <c r="M37" s="53">
        <f t="array" ref="M37">IFERROR(INDEX(EXCEPCIONES_FECHA!$D$2:$D$201,MATCH(1,(EXCEPCIONES_FECHA!$A$2:$A$201=$A37)*(EXCEPCIONES_FECHA!$B$2:$B$201=$B37),0)),IFERROR(INDEX(EXCEPCIONES_FECHA!$D$2:$D$201,MATCH(1,(EXCEPCIONES_FECHA!$A$2:$A$201=$A37)*(EXCEPCIONES_FECHA!$B$2:$B$201=""),0)),IFERROR(INDEX(IF($I37="FIN",HISTORIAL_HORARIOS!$J$2:$J$201,HISTORIAL_HORARIOS!$F$2:$F$201),MATCH(1,(HISTORIAL_HORARIOS!$A$2:$A$201=$B37)*(HISTORIAL_HORARIOS!$C$2:$C$201&lt;=$A37)*(HISTORIAL_HORARIOS!$D$2:$D$201&gt;=$A37),0)),INDEX(IF($I37="FIN",PERSONAL!$J$2:$J$80,PERSONAL!$F$2:$F$80),MATCH($B37,PERSONAL!$A$2:$A$80,0)))))</f>
        <v/>
      </c>
      <c r="N37" s="53">
        <f t="array" ref="N37">IFERROR(INDEX(EXCEPCIONES_FECHA!$E$2:$E$201,MATCH(1,(EXCEPCIONES_FECHA!$A$2:$A$201=$A37)*(EXCEPCIONES_FECHA!$B$2:$B$201=$B37),0)),IFERROR(INDEX(EXCEPCIONES_FECHA!$E$2:$E$201,MATCH(1,(EXCEPCIONES_FECHA!$A$2:$A$201=$A37)*(EXCEPCIONES_FECHA!$B$2:$B$201=""),0)),IFERROR(INDEX(IF($I37="FIN",HISTORIAL_HORARIOS!$K$2:$K$201,HISTORIAL_HORARIOS!$G$2:$G$201),MATCH(1,(HISTORIAL_HORARIOS!$A$2:$A$201=$B37)*(HISTORIAL_HORARIOS!$C$2:$C$201&lt;=$A37)*(HISTORIAL_HORARIOS!$D$2:$D$201&gt;=$A37),0)),INDEX(IF($I37="FIN",PERSONAL!$K$2:$K$80,PERSONAL!$G$2:$G$80),MATCH($B37,PERSONAL!$A$2:$A$80,0)))))</f>
        <v/>
      </c>
      <c r="O37" s="53">
        <f t="array" ref="O37">IFERROR(INDEX(EXCEPCIONES_FECHA!$F$2:$F$201,MATCH(1,(EXCEPCIONES_FECHA!$A$2:$A$201=$A37)*(EXCEPCIONES_FECHA!$B$2:$B$201=$B37),0)),IFERROR(INDEX(EXCEPCIONES_FECHA!$F$2:$F$201,MATCH(1,(EXCEPCIONES_FECHA!$A$2:$A$201=$A37)*(EXCEPCIONES_FECHA!$B$2:$B$201=""),0)),IFERROR(INDEX(IF($I37="FIN",HISTORIAL_HORARIOS!$L$2:$L$201,HISTORIAL_HORARIOS!$H$2:$H$201),MATCH(1,(HISTORIAL_HORARIOS!$A$2:$A$201=$B37)*(HISTORIAL_HORARIOS!$C$2:$C$201&lt;=$A37)*(HISTORIAL_HORARIOS!$D$2:$D$201&gt;=$A37),0)),INDEX(IF($I37="FIN",PERSONAL!$L$2:$L$80,PERSONAL!$H$2:$H$80),MATCH($B37,PERSONAL!$A$2:$A$80,0)))))</f>
        <v/>
      </c>
    </row>
    <row r="38" ht="15" customHeight="1" s="58">
      <c r="A38" s="37" t="n"/>
      <c r="B38" s="38" t="n"/>
      <c r="C38" s="39" t="n"/>
      <c r="D38" s="39" t="n"/>
      <c r="E38" s="34">
        <f t="array" ref="E38">IF($B38="","",IFERROR(INDEX(PERSONAL!$B$2:$B$80,MATCH($B38,PERSONAL!$A$2:$A$80,0)),"NO EXISTE"))</f>
        <v/>
      </c>
      <c r="F38" s="52">
        <f t="array" ref="F38">IF($B38="","",IFERROR(INDEX(PERSONAL!$C$2:$C$80,MATCH($B38,PERSONAL!$A$2:$A$80,0)),""))</f>
        <v/>
      </c>
      <c r="G38" s="52">
        <f>IF($A38="","",CHOOSE(WEEKDAY($A38,2),"LUNES","MARTES","MIÉRCOLES","JUEVES","VIERNES","SÁBADO","DOMINGO"))</f>
        <v/>
      </c>
      <c r="H38" s="34">
        <f>IF($A38="","",CHOOSE(MONTH($A38),"ENERO","FEBRERO","MARZO","ABRIL","MAYO","JUNIO","JULIO","AGOSTO","SEPTIEMBRE","OCTUBRE","NOVIEMBRE","DICIEMBRE"))</f>
        <v/>
      </c>
      <c r="I38" s="34">
        <f>IF($A38="","",IF(OR($G38="SÁBADO",$G38="DOMINGO"),"FIN","LV"))</f>
        <v/>
      </c>
      <c r="J38" s="34">
        <f>IF(OR($A38="",$B38=""),"",IF($L38&lt;&gt;"",UPPER($L38),IF($C38="","FALTA",IFERROR(IF($C38&gt;=$O38,"ROJO FUERTE",IF($C38&gt;=$N38,"ROJO",IF($C38&gt;=$M38,"AMARILLO","VERDE"))),"REVISAR"))))</f>
        <v/>
      </c>
      <c r="K38" s="36">
        <f>IF(OR($C38="",$D38=""),"",IF($D38&gt;=$C38,($D38-$C38)*24,(1-$C38+$D38)*24))</f>
        <v/>
      </c>
      <c r="L38" s="34" t="n"/>
      <c r="M38" s="53">
        <f t="array" ref="M38">IFERROR(INDEX(EXCEPCIONES_FECHA!$D$2:$D$201,MATCH(1,(EXCEPCIONES_FECHA!$A$2:$A$201=$A38)*(EXCEPCIONES_FECHA!$B$2:$B$201=$B38),0)),IFERROR(INDEX(EXCEPCIONES_FECHA!$D$2:$D$201,MATCH(1,(EXCEPCIONES_FECHA!$A$2:$A$201=$A38)*(EXCEPCIONES_FECHA!$B$2:$B$201=""),0)),IFERROR(INDEX(IF($I38="FIN",HISTORIAL_HORARIOS!$J$2:$J$201,HISTORIAL_HORARIOS!$F$2:$F$201),MATCH(1,(HISTORIAL_HORARIOS!$A$2:$A$201=$B38)*(HISTORIAL_HORARIOS!$C$2:$C$201&lt;=$A38)*(HISTORIAL_HORARIOS!$D$2:$D$201&gt;=$A38),0)),INDEX(IF($I38="FIN",PERSONAL!$J$2:$J$80,PERSONAL!$F$2:$F$80),MATCH($B38,PERSONAL!$A$2:$A$80,0)))))</f>
        <v/>
      </c>
      <c r="N38" s="53">
        <f t="array" ref="N38">IFERROR(INDEX(EXCEPCIONES_FECHA!$E$2:$E$201,MATCH(1,(EXCEPCIONES_FECHA!$A$2:$A$201=$A38)*(EXCEPCIONES_FECHA!$B$2:$B$201=$B38),0)),IFERROR(INDEX(EXCEPCIONES_FECHA!$E$2:$E$201,MATCH(1,(EXCEPCIONES_FECHA!$A$2:$A$201=$A38)*(EXCEPCIONES_FECHA!$B$2:$B$201=""),0)),IFERROR(INDEX(IF($I38="FIN",HISTORIAL_HORARIOS!$K$2:$K$201,HISTORIAL_HORARIOS!$G$2:$G$201),MATCH(1,(HISTORIAL_HORARIOS!$A$2:$A$201=$B38)*(HISTORIAL_HORARIOS!$C$2:$C$201&lt;=$A38)*(HISTORIAL_HORARIOS!$D$2:$D$201&gt;=$A38),0)),INDEX(IF($I38="FIN",PERSONAL!$K$2:$K$80,PERSONAL!$G$2:$G$80),MATCH($B38,PERSONAL!$A$2:$A$80,0)))))</f>
        <v/>
      </c>
      <c r="O38" s="53">
        <f t="array" ref="O38">IFERROR(INDEX(EXCEPCIONES_FECHA!$F$2:$F$201,MATCH(1,(EXCEPCIONES_FECHA!$A$2:$A$201=$A38)*(EXCEPCIONES_FECHA!$B$2:$B$201=$B38),0)),IFERROR(INDEX(EXCEPCIONES_FECHA!$F$2:$F$201,MATCH(1,(EXCEPCIONES_FECHA!$A$2:$A$201=$A38)*(EXCEPCIONES_FECHA!$B$2:$B$201=""),0)),IFERROR(INDEX(IF($I38="FIN",HISTORIAL_HORARIOS!$L$2:$L$201,HISTORIAL_HORARIOS!$H$2:$H$201),MATCH(1,(HISTORIAL_HORARIOS!$A$2:$A$201=$B38)*(HISTORIAL_HORARIOS!$C$2:$C$201&lt;=$A38)*(HISTORIAL_HORARIOS!$D$2:$D$201&gt;=$A38),0)),INDEX(IF($I38="FIN",PERSONAL!$L$2:$L$80,PERSONAL!$H$2:$H$80),MATCH($B38,PERSONAL!$A$2:$A$80,0)))))</f>
        <v/>
      </c>
    </row>
    <row r="39" ht="15" customHeight="1" s="58">
      <c r="A39" s="37" t="n"/>
      <c r="B39" s="38" t="n"/>
      <c r="C39" s="39" t="n"/>
      <c r="D39" s="39" t="n"/>
      <c r="E39" s="34">
        <f t="array" ref="E39">IF($B39="","",IFERROR(INDEX(PERSONAL!$B$2:$B$80,MATCH($B39,PERSONAL!$A$2:$A$80,0)),"NO EXISTE"))</f>
        <v/>
      </c>
      <c r="F39" s="52">
        <f t="array" ref="F39">IF($B39="","",IFERROR(INDEX(PERSONAL!$C$2:$C$80,MATCH($B39,PERSONAL!$A$2:$A$80,0)),""))</f>
        <v/>
      </c>
      <c r="G39" s="52">
        <f>IF($A39="","",CHOOSE(WEEKDAY($A39,2),"LUNES","MARTES","MIÉRCOLES","JUEVES","VIERNES","SÁBADO","DOMINGO"))</f>
        <v/>
      </c>
      <c r="H39" s="34">
        <f>IF($A39="","",CHOOSE(MONTH($A39),"ENERO","FEBRERO","MARZO","ABRIL","MAYO","JUNIO","JULIO","AGOSTO","SEPTIEMBRE","OCTUBRE","NOVIEMBRE","DICIEMBRE"))</f>
        <v/>
      </c>
      <c r="I39" s="34">
        <f>IF($A39="","",IF(OR($G39="SÁBADO",$G39="DOMINGO"),"FIN","LV"))</f>
        <v/>
      </c>
      <c r="J39" s="34">
        <f>IF(OR($A39="",$B39=""),"",IF($L39&lt;&gt;"",UPPER($L39),IF($C39="","FALTA",IFERROR(IF($C39&gt;=$O39,"ROJO FUERTE",IF($C39&gt;=$N39,"ROJO",IF($C39&gt;=$M39,"AMARILLO","VERDE"))),"REVISAR"))))</f>
        <v/>
      </c>
      <c r="K39" s="36">
        <f>IF(OR($C39="",$D39=""),"",IF($D39&gt;=$C39,($D39-$C39)*24,(1-$C39+$D39)*24))</f>
        <v/>
      </c>
      <c r="L39" s="34" t="n"/>
      <c r="M39" s="53">
        <f t="array" ref="M39">IFERROR(INDEX(EXCEPCIONES_FECHA!$D$2:$D$201,MATCH(1,(EXCEPCIONES_FECHA!$A$2:$A$201=$A39)*(EXCEPCIONES_FECHA!$B$2:$B$201=$B39),0)),IFERROR(INDEX(EXCEPCIONES_FECHA!$D$2:$D$201,MATCH(1,(EXCEPCIONES_FECHA!$A$2:$A$201=$A39)*(EXCEPCIONES_FECHA!$B$2:$B$201=""),0)),IFERROR(INDEX(IF($I39="FIN",HISTORIAL_HORARIOS!$J$2:$J$201,HISTORIAL_HORARIOS!$F$2:$F$201),MATCH(1,(HISTORIAL_HORARIOS!$A$2:$A$201=$B39)*(HISTORIAL_HORARIOS!$C$2:$C$201&lt;=$A39)*(HISTORIAL_HORARIOS!$D$2:$D$201&gt;=$A39),0)),INDEX(IF($I39="FIN",PERSONAL!$J$2:$J$80,PERSONAL!$F$2:$F$80),MATCH($B39,PERSONAL!$A$2:$A$80,0)))))</f>
        <v/>
      </c>
      <c r="N39" s="53">
        <f t="array" ref="N39">IFERROR(INDEX(EXCEPCIONES_FECHA!$E$2:$E$201,MATCH(1,(EXCEPCIONES_FECHA!$A$2:$A$201=$A39)*(EXCEPCIONES_FECHA!$B$2:$B$201=$B39),0)),IFERROR(INDEX(EXCEPCIONES_FECHA!$E$2:$E$201,MATCH(1,(EXCEPCIONES_FECHA!$A$2:$A$201=$A39)*(EXCEPCIONES_FECHA!$B$2:$B$201=""),0)),IFERROR(INDEX(IF($I39="FIN",HISTORIAL_HORARIOS!$K$2:$K$201,HISTORIAL_HORARIOS!$G$2:$G$201),MATCH(1,(HISTORIAL_HORARIOS!$A$2:$A$201=$B39)*(HISTORIAL_HORARIOS!$C$2:$C$201&lt;=$A39)*(HISTORIAL_HORARIOS!$D$2:$D$201&gt;=$A39),0)),INDEX(IF($I39="FIN",PERSONAL!$K$2:$K$80,PERSONAL!$G$2:$G$80),MATCH($B39,PERSONAL!$A$2:$A$80,0)))))</f>
        <v/>
      </c>
      <c r="O39" s="53">
        <f t="array" ref="O39">IFERROR(INDEX(EXCEPCIONES_FECHA!$F$2:$F$201,MATCH(1,(EXCEPCIONES_FECHA!$A$2:$A$201=$A39)*(EXCEPCIONES_FECHA!$B$2:$B$201=$B39),0)),IFERROR(INDEX(EXCEPCIONES_FECHA!$F$2:$F$201,MATCH(1,(EXCEPCIONES_FECHA!$A$2:$A$201=$A39)*(EXCEPCIONES_FECHA!$B$2:$B$201=""),0)),IFERROR(INDEX(IF($I39="FIN",HISTORIAL_HORARIOS!$L$2:$L$201,HISTORIAL_HORARIOS!$H$2:$H$201),MATCH(1,(HISTORIAL_HORARIOS!$A$2:$A$201=$B39)*(HISTORIAL_HORARIOS!$C$2:$C$201&lt;=$A39)*(HISTORIAL_HORARIOS!$D$2:$D$201&gt;=$A39),0)),INDEX(IF($I39="FIN",PERSONAL!$L$2:$L$80,PERSONAL!$H$2:$H$80),MATCH($B39,PERSONAL!$A$2:$A$80,0)))))</f>
        <v/>
      </c>
    </row>
    <row r="40" ht="15" customHeight="1" s="58">
      <c r="A40" s="37" t="n"/>
      <c r="B40" s="38" t="n"/>
      <c r="C40" s="39" t="n"/>
      <c r="D40" s="39" t="n"/>
      <c r="E40" s="34">
        <f t="array" ref="E40">IF($B40="","",IFERROR(INDEX(PERSONAL!$B$2:$B$80,MATCH($B40,PERSONAL!$A$2:$A$80,0)),"NO EXISTE"))</f>
        <v/>
      </c>
      <c r="F40" s="52">
        <f t="array" ref="F40">IF($B40="","",IFERROR(INDEX(PERSONAL!$C$2:$C$80,MATCH($B40,PERSONAL!$A$2:$A$80,0)),""))</f>
        <v/>
      </c>
      <c r="G40" s="52">
        <f>IF($A40="","",CHOOSE(WEEKDAY($A40,2),"LUNES","MARTES","MIÉRCOLES","JUEVES","VIERNES","SÁBADO","DOMINGO"))</f>
        <v/>
      </c>
      <c r="H40" s="34">
        <f>IF($A40="","",CHOOSE(MONTH($A40),"ENERO","FEBRERO","MARZO","ABRIL","MAYO","JUNIO","JULIO","AGOSTO","SEPTIEMBRE","OCTUBRE","NOVIEMBRE","DICIEMBRE"))</f>
        <v/>
      </c>
      <c r="I40" s="34">
        <f>IF($A40="","",IF(OR($G40="SÁBADO",$G40="DOMINGO"),"FIN","LV"))</f>
        <v/>
      </c>
      <c r="J40" s="34">
        <f>IF(OR($A40="",$B40=""),"",IF($L40&lt;&gt;"",UPPER($L40),IF($C40="","FALTA",IFERROR(IF($C40&gt;=$O40,"ROJO FUERTE",IF($C40&gt;=$N40,"ROJO",IF($C40&gt;=$M40,"AMARILLO","VERDE"))),"REVISAR"))))</f>
        <v/>
      </c>
      <c r="K40" s="36">
        <f>IF(OR($C40="",$D40=""),"",IF($D40&gt;=$C40,($D40-$C40)*24,(1-$C40+$D40)*24))</f>
        <v/>
      </c>
      <c r="L40" s="34" t="n"/>
      <c r="M40" s="53">
        <f t="array" ref="M40">IFERROR(INDEX(EXCEPCIONES_FECHA!$D$2:$D$201,MATCH(1,(EXCEPCIONES_FECHA!$A$2:$A$201=$A40)*(EXCEPCIONES_FECHA!$B$2:$B$201=$B40),0)),IFERROR(INDEX(EXCEPCIONES_FECHA!$D$2:$D$201,MATCH(1,(EXCEPCIONES_FECHA!$A$2:$A$201=$A40)*(EXCEPCIONES_FECHA!$B$2:$B$201=""),0)),IFERROR(INDEX(IF($I40="FIN",HISTORIAL_HORARIOS!$J$2:$J$201,HISTORIAL_HORARIOS!$F$2:$F$201),MATCH(1,(HISTORIAL_HORARIOS!$A$2:$A$201=$B40)*(HISTORIAL_HORARIOS!$C$2:$C$201&lt;=$A40)*(HISTORIAL_HORARIOS!$D$2:$D$201&gt;=$A40),0)),INDEX(IF($I40="FIN",PERSONAL!$J$2:$J$80,PERSONAL!$F$2:$F$80),MATCH($B40,PERSONAL!$A$2:$A$80,0)))))</f>
        <v/>
      </c>
      <c r="N40" s="53">
        <f t="array" ref="N40">IFERROR(INDEX(EXCEPCIONES_FECHA!$E$2:$E$201,MATCH(1,(EXCEPCIONES_FECHA!$A$2:$A$201=$A40)*(EXCEPCIONES_FECHA!$B$2:$B$201=$B40),0)),IFERROR(INDEX(EXCEPCIONES_FECHA!$E$2:$E$201,MATCH(1,(EXCEPCIONES_FECHA!$A$2:$A$201=$A40)*(EXCEPCIONES_FECHA!$B$2:$B$201=""),0)),IFERROR(INDEX(IF($I40="FIN",HISTORIAL_HORARIOS!$K$2:$K$201,HISTORIAL_HORARIOS!$G$2:$G$201),MATCH(1,(HISTORIAL_HORARIOS!$A$2:$A$201=$B40)*(HISTORIAL_HORARIOS!$C$2:$C$201&lt;=$A40)*(HISTORIAL_HORARIOS!$D$2:$D$201&gt;=$A40),0)),INDEX(IF($I40="FIN",PERSONAL!$K$2:$K$80,PERSONAL!$G$2:$G$80),MATCH($B40,PERSONAL!$A$2:$A$80,0)))))</f>
        <v/>
      </c>
      <c r="O40" s="53">
        <f t="array" ref="O40">IFERROR(INDEX(EXCEPCIONES_FECHA!$F$2:$F$201,MATCH(1,(EXCEPCIONES_FECHA!$A$2:$A$201=$A40)*(EXCEPCIONES_FECHA!$B$2:$B$201=$B40),0)),IFERROR(INDEX(EXCEPCIONES_FECHA!$F$2:$F$201,MATCH(1,(EXCEPCIONES_FECHA!$A$2:$A$201=$A40)*(EXCEPCIONES_FECHA!$B$2:$B$201=""),0)),IFERROR(INDEX(IF($I40="FIN",HISTORIAL_HORARIOS!$L$2:$L$201,HISTORIAL_HORARIOS!$H$2:$H$201),MATCH(1,(HISTORIAL_HORARIOS!$A$2:$A$201=$B40)*(HISTORIAL_HORARIOS!$C$2:$C$201&lt;=$A40)*(HISTORIAL_HORARIOS!$D$2:$D$201&gt;=$A40),0)),INDEX(IF($I40="FIN",PERSONAL!$L$2:$L$80,PERSONAL!$H$2:$H$80),MATCH($B40,PERSONAL!$A$2:$A$80,0)))))</f>
        <v/>
      </c>
    </row>
    <row r="41" ht="15" customHeight="1" s="58">
      <c r="A41" s="37" t="n"/>
      <c r="B41" s="38" t="n"/>
      <c r="C41" s="39" t="n"/>
      <c r="D41" s="39" t="n"/>
      <c r="E41" s="34">
        <f t="array" ref="E41">IF($B41="","",IFERROR(INDEX(PERSONAL!$B$2:$B$80,MATCH($B41,PERSONAL!$A$2:$A$80,0)),"NO EXISTE"))</f>
        <v/>
      </c>
      <c r="F41" s="52">
        <f t="array" ref="F41">IF($B41="","",IFERROR(INDEX(PERSONAL!$C$2:$C$80,MATCH($B41,PERSONAL!$A$2:$A$80,0)),""))</f>
        <v/>
      </c>
      <c r="G41" s="52">
        <f>IF($A41="","",CHOOSE(WEEKDAY($A41,2),"LUNES","MARTES","MIÉRCOLES","JUEVES","VIERNES","SÁBADO","DOMINGO"))</f>
        <v/>
      </c>
      <c r="H41" s="34">
        <f>IF($A41="","",CHOOSE(MONTH($A41),"ENERO","FEBRERO","MARZO","ABRIL","MAYO","JUNIO","JULIO","AGOSTO","SEPTIEMBRE","OCTUBRE","NOVIEMBRE","DICIEMBRE"))</f>
        <v/>
      </c>
      <c r="I41" s="34">
        <f>IF($A41="","",IF(OR($G41="SÁBADO",$G41="DOMINGO"),"FIN","LV"))</f>
        <v/>
      </c>
      <c r="J41" s="34">
        <f>IF(OR($A41="",$B41=""),"",IF($L41&lt;&gt;"",UPPER($L41),IF($C41="","FALTA",IFERROR(IF($C41&gt;=$O41,"ROJO FUERTE",IF($C41&gt;=$N41,"ROJO",IF($C41&gt;=$M41,"AMARILLO","VERDE"))),"REVISAR"))))</f>
        <v/>
      </c>
      <c r="K41" s="36">
        <f>IF(OR($C41="",$D41=""),"",IF($D41&gt;=$C41,($D41-$C41)*24,(1-$C41+$D41)*24))</f>
        <v/>
      </c>
      <c r="L41" s="34" t="n"/>
      <c r="M41" s="53">
        <f t="array" ref="M41">IFERROR(INDEX(EXCEPCIONES_FECHA!$D$2:$D$201,MATCH(1,(EXCEPCIONES_FECHA!$A$2:$A$201=$A41)*(EXCEPCIONES_FECHA!$B$2:$B$201=$B41),0)),IFERROR(INDEX(EXCEPCIONES_FECHA!$D$2:$D$201,MATCH(1,(EXCEPCIONES_FECHA!$A$2:$A$201=$A41)*(EXCEPCIONES_FECHA!$B$2:$B$201=""),0)),IFERROR(INDEX(IF($I41="FIN",HISTORIAL_HORARIOS!$J$2:$J$201,HISTORIAL_HORARIOS!$F$2:$F$201),MATCH(1,(HISTORIAL_HORARIOS!$A$2:$A$201=$B41)*(HISTORIAL_HORARIOS!$C$2:$C$201&lt;=$A41)*(HISTORIAL_HORARIOS!$D$2:$D$201&gt;=$A41),0)),INDEX(IF($I41="FIN",PERSONAL!$J$2:$J$80,PERSONAL!$F$2:$F$80),MATCH($B41,PERSONAL!$A$2:$A$80,0)))))</f>
        <v/>
      </c>
      <c r="N41" s="53">
        <f t="array" ref="N41">IFERROR(INDEX(EXCEPCIONES_FECHA!$E$2:$E$201,MATCH(1,(EXCEPCIONES_FECHA!$A$2:$A$201=$A41)*(EXCEPCIONES_FECHA!$B$2:$B$201=$B41),0)),IFERROR(INDEX(EXCEPCIONES_FECHA!$E$2:$E$201,MATCH(1,(EXCEPCIONES_FECHA!$A$2:$A$201=$A41)*(EXCEPCIONES_FECHA!$B$2:$B$201=""),0)),IFERROR(INDEX(IF($I41="FIN",HISTORIAL_HORARIOS!$K$2:$K$201,HISTORIAL_HORARIOS!$G$2:$G$201),MATCH(1,(HISTORIAL_HORARIOS!$A$2:$A$201=$B41)*(HISTORIAL_HORARIOS!$C$2:$C$201&lt;=$A41)*(HISTORIAL_HORARIOS!$D$2:$D$201&gt;=$A41),0)),INDEX(IF($I41="FIN",PERSONAL!$K$2:$K$80,PERSONAL!$G$2:$G$80),MATCH($B41,PERSONAL!$A$2:$A$80,0)))))</f>
        <v/>
      </c>
      <c r="O41" s="53">
        <f t="array" ref="O41">IFERROR(INDEX(EXCEPCIONES_FECHA!$F$2:$F$201,MATCH(1,(EXCEPCIONES_FECHA!$A$2:$A$201=$A41)*(EXCEPCIONES_FECHA!$B$2:$B$201=$B41),0)),IFERROR(INDEX(EXCEPCIONES_FECHA!$F$2:$F$201,MATCH(1,(EXCEPCIONES_FECHA!$A$2:$A$201=$A41)*(EXCEPCIONES_FECHA!$B$2:$B$201=""),0)),IFERROR(INDEX(IF($I41="FIN",HISTORIAL_HORARIOS!$L$2:$L$201,HISTORIAL_HORARIOS!$H$2:$H$201),MATCH(1,(HISTORIAL_HORARIOS!$A$2:$A$201=$B41)*(HISTORIAL_HORARIOS!$C$2:$C$201&lt;=$A41)*(HISTORIAL_HORARIOS!$D$2:$D$201&gt;=$A41),0)),INDEX(IF($I41="FIN",PERSONAL!$L$2:$L$80,PERSONAL!$H$2:$H$80),MATCH($B41,PERSONAL!$A$2:$A$80,0)))))</f>
        <v/>
      </c>
    </row>
    <row r="42" ht="15" customHeight="1" s="58">
      <c r="A42" s="37" t="n"/>
      <c r="B42" s="38" t="n"/>
      <c r="C42" s="39" t="n"/>
      <c r="D42" s="39" t="n"/>
      <c r="E42" s="34">
        <f t="array" ref="E42">IF($B42="","",IFERROR(INDEX(PERSONAL!$B$2:$B$80,MATCH($B42,PERSONAL!$A$2:$A$80,0)),"NO EXISTE"))</f>
        <v/>
      </c>
      <c r="F42" s="52">
        <f t="array" ref="F42">IF($B42="","",IFERROR(INDEX(PERSONAL!$C$2:$C$80,MATCH($B42,PERSONAL!$A$2:$A$80,0)),""))</f>
        <v/>
      </c>
      <c r="G42" s="52">
        <f>IF($A42="","",CHOOSE(WEEKDAY($A42,2),"LUNES","MARTES","MIÉRCOLES","JUEVES","VIERNES","SÁBADO","DOMINGO"))</f>
        <v/>
      </c>
      <c r="H42" s="34">
        <f>IF($A42="","",CHOOSE(MONTH($A42),"ENERO","FEBRERO","MARZO","ABRIL","MAYO","JUNIO","JULIO","AGOSTO","SEPTIEMBRE","OCTUBRE","NOVIEMBRE","DICIEMBRE"))</f>
        <v/>
      </c>
      <c r="I42" s="34">
        <f>IF($A42="","",IF(OR($G42="SÁBADO",$G42="DOMINGO"),"FIN","LV"))</f>
        <v/>
      </c>
      <c r="J42" s="34">
        <f>IF(OR($A42="",$B42=""),"",IF($L42&lt;&gt;"",UPPER($L42),IF($C42="","FALTA",IFERROR(IF($C42&gt;=$O42,"ROJO FUERTE",IF($C42&gt;=$N42,"ROJO",IF($C42&gt;=$M42,"AMARILLO","VERDE"))),"REVISAR"))))</f>
        <v/>
      </c>
      <c r="K42" s="36">
        <f>IF(OR($C42="",$D42=""),"",IF($D42&gt;=$C42,($D42-$C42)*24,(1-$C42+$D42)*24))</f>
        <v/>
      </c>
      <c r="L42" s="34" t="n"/>
      <c r="M42" s="53">
        <f t="array" ref="M42">IFERROR(INDEX(EXCEPCIONES_FECHA!$D$2:$D$201,MATCH(1,(EXCEPCIONES_FECHA!$A$2:$A$201=$A42)*(EXCEPCIONES_FECHA!$B$2:$B$201=$B42),0)),IFERROR(INDEX(EXCEPCIONES_FECHA!$D$2:$D$201,MATCH(1,(EXCEPCIONES_FECHA!$A$2:$A$201=$A42)*(EXCEPCIONES_FECHA!$B$2:$B$201=""),0)),IFERROR(INDEX(IF($I42="FIN",HISTORIAL_HORARIOS!$J$2:$J$201,HISTORIAL_HORARIOS!$F$2:$F$201),MATCH(1,(HISTORIAL_HORARIOS!$A$2:$A$201=$B42)*(HISTORIAL_HORARIOS!$C$2:$C$201&lt;=$A42)*(HISTORIAL_HORARIOS!$D$2:$D$201&gt;=$A42),0)),INDEX(IF($I42="FIN",PERSONAL!$J$2:$J$80,PERSONAL!$F$2:$F$80),MATCH($B42,PERSONAL!$A$2:$A$80,0)))))</f>
        <v/>
      </c>
      <c r="N42" s="53">
        <f t="array" ref="N42">IFERROR(INDEX(EXCEPCIONES_FECHA!$E$2:$E$201,MATCH(1,(EXCEPCIONES_FECHA!$A$2:$A$201=$A42)*(EXCEPCIONES_FECHA!$B$2:$B$201=$B42),0)),IFERROR(INDEX(EXCEPCIONES_FECHA!$E$2:$E$201,MATCH(1,(EXCEPCIONES_FECHA!$A$2:$A$201=$A42)*(EXCEPCIONES_FECHA!$B$2:$B$201=""),0)),IFERROR(INDEX(IF($I42="FIN",HISTORIAL_HORARIOS!$K$2:$K$201,HISTORIAL_HORARIOS!$G$2:$G$201),MATCH(1,(HISTORIAL_HORARIOS!$A$2:$A$201=$B42)*(HISTORIAL_HORARIOS!$C$2:$C$201&lt;=$A42)*(HISTORIAL_HORARIOS!$D$2:$D$201&gt;=$A42),0)),INDEX(IF($I42="FIN",PERSONAL!$K$2:$K$80,PERSONAL!$G$2:$G$80),MATCH($B42,PERSONAL!$A$2:$A$80,0)))))</f>
        <v/>
      </c>
      <c r="O42" s="53">
        <f t="array" ref="O42">IFERROR(INDEX(EXCEPCIONES_FECHA!$F$2:$F$201,MATCH(1,(EXCEPCIONES_FECHA!$A$2:$A$201=$A42)*(EXCEPCIONES_FECHA!$B$2:$B$201=$B42),0)),IFERROR(INDEX(EXCEPCIONES_FECHA!$F$2:$F$201,MATCH(1,(EXCEPCIONES_FECHA!$A$2:$A$201=$A42)*(EXCEPCIONES_FECHA!$B$2:$B$201=""),0)),IFERROR(INDEX(IF($I42="FIN",HISTORIAL_HORARIOS!$L$2:$L$201,HISTORIAL_HORARIOS!$H$2:$H$201),MATCH(1,(HISTORIAL_HORARIOS!$A$2:$A$201=$B42)*(HISTORIAL_HORARIOS!$C$2:$C$201&lt;=$A42)*(HISTORIAL_HORARIOS!$D$2:$D$201&gt;=$A42),0)),INDEX(IF($I42="FIN",PERSONAL!$L$2:$L$80,PERSONAL!$H$2:$H$80),MATCH($B42,PERSONAL!$A$2:$A$80,0)))))</f>
        <v/>
      </c>
    </row>
    <row r="43" ht="15" customHeight="1" s="58">
      <c r="A43" s="37" t="n"/>
      <c r="B43" s="38" t="n"/>
      <c r="C43" s="39" t="n"/>
      <c r="D43" s="39" t="n"/>
      <c r="E43" s="34">
        <f t="array" ref="E43">IF($B43="","",IFERROR(INDEX(PERSONAL!$B$2:$B$80,MATCH($B43,PERSONAL!$A$2:$A$80,0)),"NO EXISTE"))</f>
        <v/>
      </c>
      <c r="F43" s="52">
        <f t="array" ref="F43">IF($B43="","",IFERROR(INDEX(PERSONAL!$C$2:$C$80,MATCH($B43,PERSONAL!$A$2:$A$80,0)),""))</f>
        <v/>
      </c>
      <c r="G43" s="52">
        <f>IF($A43="","",CHOOSE(WEEKDAY($A43,2),"LUNES","MARTES","MIÉRCOLES","JUEVES","VIERNES","SÁBADO","DOMINGO"))</f>
        <v/>
      </c>
      <c r="H43" s="34">
        <f>IF($A43="","",CHOOSE(MONTH($A43),"ENERO","FEBRERO","MARZO","ABRIL","MAYO","JUNIO","JULIO","AGOSTO","SEPTIEMBRE","OCTUBRE","NOVIEMBRE","DICIEMBRE"))</f>
        <v/>
      </c>
      <c r="I43" s="34">
        <f>IF($A43="","",IF(OR($G43="SÁBADO",$G43="DOMINGO"),"FIN","LV"))</f>
        <v/>
      </c>
      <c r="J43" s="34">
        <f>IF(OR($A43="",$B43=""),"",IF($L43&lt;&gt;"",UPPER($L43),IF($C43="","FALTA",IFERROR(IF($C43&gt;=$O43,"ROJO FUERTE",IF($C43&gt;=$N43,"ROJO",IF($C43&gt;=$M43,"AMARILLO","VERDE"))),"REVISAR"))))</f>
        <v/>
      </c>
      <c r="K43" s="36">
        <f>IF(OR($C43="",$D43=""),"",IF($D43&gt;=$C43,($D43-$C43)*24,(1-$C43+$D43)*24))</f>
        <v/>
      </c>
      <c r="L43" s="34" t="n"/>
      <c r="M43" s="53">
        <f t="array" ref="M43">IFERROR(INDEX(EXCEPCIONES_FECHA!$D$2:$D$201,MATCH(1,(EXCEPCIONES_FECHA!$A$2:$A$201=$A43)*(EXCEPCIONES_FECHA!$B$2:$B$201=$B43),0)),IFERROR(INDEX(EXCEPCIONES_FECHA!$D$2:$D$201,MATCH(1,(EXCEPCIONES_FECHA!$A$2:$A$201=$A43)*(EXCEPCIONES_FECHA!$B$2:$B$201=""),0)),IFERROR(INDEX(IF($I43="FIN",HISTORIAL_HORARIOS!$J$2:$J$201,HISTORIAL_HORARIOS!$F$2:$F$201),MATCH(1,(HISTORIAL_HORARIOS!$A$2:$A$201=$B43)*(HISTORIAL_HORARIOS!$C$2:$C$201&lt;=$A43)*(HISTORIAL_HORARIOS!$D$2:$D$201&gt;=$A43),0)),INDEX(IF($I43="FIN",PERSONAL!$J$2:$J$80,PERSONAL!$F$2:$F$80),MATCH($B43,PERSONAL!$A$2:$A$80,0)))))</f>
        <v/>
      </c>
      <c r="N43" s="53">
        <f t="array" ref="N43">IFERROR(INDEX(EXCEPCIONES_FECHA!$E$2:$E$201,MATCH(1,(EXCEPCIONES_FECHA!$A$2:$A$201=$A43)*(EXCEPCIONES_FECHA!$B$2:$B$201=$B43),0)),IFERROR(INDEX(EXCEPCIONES_FECHA!$E$2:$E$201,MATCH(1,(EXCEPCIONES_FECHA!$A$2:$A$201=$A43)*(EXCEPCIONES_FECHA!$B$2:$B$201=""),0)),IFERROR(INDEX(IF($I43="FIN",HISTORIAL_HORARIOS!$K$2:$K$201,HISTORIAL_HORARIOS!$G$2:$G$201),MATCH(1,(HISTORIAL_HORARIOS!$A$2:$A$201=$B43)*(HISTORIAL_HORARIOS!$C$2:$C$201&lt;=$A43)*(HISTORIAL_HORARIOS!$D$2:$D$201&gt;=$A43),0)),INDEX(IF($I43="FIN",PERSONAL!$K$2:$K$80,PERSONAL!$G$2:$G$80),MATCH($B43,PERSONAL!$A$2:$A$80,0)))))</f>
        <v/>
      </c>
      <c r="O43" s="53">
        <f t="array" ref="O43">IFERROR(INDEX(EXCEPCIONES_FECHA!$F$2:$F$201,MATCH(1,(EXCEPCIONES_FECHA!$A$2:$A$201=$A43)*(EXCEPCIONES_FECHA!$B$2:$B$201=$B43),0)),IFERROR(INDEX(EXCEPCIONES_FECHA!$F$2:$F$201,MATCH(1,(EXCEPCIONES_FECHA!$A$2:$A$201=$A43)*(EXCEPCIONES_FECHA!$B$2:$B$201=""),0)),IFERROR(INDEX(IF($I43="FIN",HISTORIAL_HORARIOS!$L$2:$L$201,HISTORIAL_HORARIOS!$H$2:$H$201),MATCH(1,(HISTORIAL_HORARIOS!$A$2:$A$201=$B43)*(HISTORIAL_HORARIOS!$C$2:$C$201&lt;=$A43)*(HISTORIAL_HORARIOS!$D$2:$D$201&gt;=$A43),0)),INDEX(IF($I43="FIN",PERSONAL!$L$2:$L$80,PERSONAL!$H$2:$H$80),MATCH($B43,PERSONAL!$A$2:$A$80,0)))))</f>
        <v/>
      </c>
    </row>
    <row r="44" ht="15" customHeight="1" s="58">
      <c r="A44" s="37" t="n"/>
      <c r="B44" s="38" t="n"/>
      <c r="C44" s="39" t="n"/>
      <c r="D44" s="39" t="n"/>
      <c r="E44" s="34">
        <f t="array" ref="E44">IF($B44="","",IFERROR(INDEX(PERSONAL!$B$2:$B$80,MATCH($B44,PERSONAL!$A$2:$A$80,0)),"NO EXISTE"))</f>
        <v/>
      </c>
      <c r="F44" s="52">
        <f t="array" ref="F44">IF($B44="","",IFERROR(INDEX(PERSONAL!$C$2:$C$80,MATCH($B44,PERSONAL!$A$2:$A$80,0)),""))</f>
        <v/>
      </c>
      <c r="G44" s="52">
        <f>IF($A44="","",CHOOSE(WEEKDAY($A44,2),"LUNES","MARTES","MIÉRCOLES","JUEVES","VIERNES","SÁBADO","DOMINGO"))</f>
        <v/>
      </c>
      <c r="H44" s="34">
        <f>IF($A44="","",CHOOSE(MONTH($A44),"ENERO","FEBRERO","MARZO","ABRIL","MAYO","JUNIO","JULIO","AGOSTO","SEPTIEMBRE","OCTUBRE","NOVIEMBRE","DICIEMBRE"))</f>
        <v/>
      </c>
      <c r="I44" s="34">
        <f>IF($A44="","",IF(OR($G44="SÁBADO",$G44="DOMINGO"),"FIN","LV"))</f>
        <v/>
      </c>
      <c r="J44" s="34">
        <f>IF(OR($A44="",$B44=""),"",IF($L44&lt;&gt;"",UPPER($L44),IF($C44="","FALTA",IFERROR(IF($C44&gt;=$O44,"ROJO FUERTE",IF($C44&gt;=$N44,"ROJO",IF($C44&gt;=$M44,"AMARILLO","VERDE"))),"REVISAR"))))</f>
        <v/>
      </c>
      <c r="K44" s="36">
        <f>IF(OR($C44="",$D44=""),"",IF($D44&gt;=$C44,($D44-$C44)*24,(1-$C44+$D44)*24))</f>
        <v/>
      </c>
      <c r="L44" s="34" t="n"/>
      <c r="M44" s="53">
        <f t="array" ref="M44">IFERROR(INDEX(EXCEPCIONES_FECHA!$D$2:$D$201,MATCH(1,(EXCEPCIONES_FECHA!$A$2:$A$201=$A44)*(EXCEPCIONES_FECHA!$B$2:$B$201=$B44),0)),IFERROR(INDEX(EXCEPCIONES_FECHA!$D$2:$D$201,MATCH(1,(EXCEPCIONES_FECHA!$A$2:$A$201=$A44)*(EXCEPCIONES_FECHA!$B$2:$B$201=""),0)),IFERROR(INDEX(IF($I44="FIN",HISTORIAL_HORARIOS!$J$2:$J$201,HISTORIAL_HORARIOS!$F$2:$F$201),MATCH(1,(HISTORIAL_HORARIOS!$A$2:$A$201=$B44)*(HISTORIAL_HORARIOS!$C$2:$C$201&lt;=$A44)*(HISTORIAL_HORARIOS!$D$2:$D$201&gt;=$A44),0)),INDEX(IF($I44="FIN",PERSONAL!$J$2:$J$80,PERSONAL!$F$2:$F$80),MATCH($B44,PERSONAL!$A$2:$A$80,0)))))</f>
        <v/>
      </c>
      <c r="N44" s="53">
        <f t="array" ref="N44">IFERROR(INDEX(EXCEPCIONES_FECHA!$E$2:$E$201,MATCH(1,(EXCEPCIONES_FECHA!$A$2:$A$201=$A44)*(EXCEPCIONES_FECHA!$B$2:$B$201=$B44),0)),IFERROR(INDEX(EXCEPCIONES_FECHA!$E$2:$E$201,MATCH(1,(EXCEPCIONES_FECHA!$A$2:$A$201=$A44)*(EXCEPCIONES_FECHA!$B$2:$B$201=""),0)),IFERROR(INDEX(IF($I44="FIN",HISTORIAL_HORARIOS!$K$2:$K$201,HISTORIAL_HORARIOS!$G$2:$G$201),MATCH(1,(HISTORIAL_HORARIOS!$A$2:$A$201=$B44)*(HISTORIAL_HORARIOS!$C$2:$C$201&lt;=$A44)*(HISTORIAL_HORARIOS!$D$2:$D$201&gt;=$A44),0)),INDEX(IF($I44="FIN",PERSONAL!$K$2:$K$80,PERSONAL!$G$2:$G$80),MATCH($B44,PERSONAL!$A$2:$A$80,0)))))</f>
        <v/>
      </c>
      <c r="O44" s="53">
        <f t="array" ref="O44">IFERROR(INDEX(EXCEPCIONES_FECHA!$F$2:$F$201,MATCH(1,(EXCEPCIONES_FECHA!$A$2:$A$201=$A44)*(EXCEPCIONES_FECHA!$B$2:$B$201=$B44),0)),IFERROR(INDEX(EXCEPCIONES_FECHA!$F$2:$F$201,MATCH(1,(EXCEPCIONES_FECHA!$A$2:$A$201=$A44)*(EXCEPCIONES_FECHA!$B$2:$B$201=""),0)),IFERROR(INDEX(IF($I44="FIN",HISTORIAL_HORARIOS!$L$2:$L$201,HISTORIAL_HORARIOS!$H$2:$H$201),MATCH(1,(HISTORIAL_HORARIOS!$A$2:$A$201=$B44)*(HISTORIAL_HORARIOS!$C$2:$C$201&lt;=$A44)*(HISTORIAL_HORARIOS!$D$2:$D$201&gt;=$A44),0)),INDEX(IF($I44="FIN",PERSONAL!$L$2:$L$80,PERSONAL!$H$2:$H$80),MATCH($B44,PERSONAL!$A$2:$A$80,0)))))</f>
        <v/>
      </c>
    </row>
    <row r="45" ht="15" customHeight="1" s="58">
      <c r="A45" s="37" t="n"/>
      <c r="B45" s="38" t="n"/>
      <c r="C45" s="39" t="n"/>
      <c r="D45" s="39" t="n"/>
      <c r="E45" s="34">
        <f t="array" ref="E45">IF($B45="","",IFERROR(INDEX(PERSONAL!$B$2:$B$80,MATCH($B45,PERSONAL!$A$2:$A$80,0)),"NO EXISTE"))</f>
        <v/>
      </c>
      <c r="F45" s="52">
        <f t="array" ref="F45">IF($B45="","",IFERROR(INDEX(PERSONAL!$C$2:$C$80,MATCH($B45,PERSONAL!$A$2:$A$80,0)),""))</f>
        <v/>
      </c>
      <c r="G45" s="52">
        <f>IF($A45="","",CHOOSE(WEEKDAY($A45,2),"LUNES","MARTES","MIÉRCOLES","JUEVES","VIERNES","SÁBADO","DOMINGO"))</f>
        <v/>
      </c>
      <c r="H45" s="34">
        <f>IF($A45="","",CHOOSE(MONTH($A45),"ENERO","FEBRERO","MARZO","ABRIL","MAYO","JUNIO","JULIO","AGOSTO","SEPTIEMBRE","OCTUBRE","NOVIEMBRE","DICIEMBRE"))</f>
        <v/>
      </c>
      <c r="I45" s="34">
        <f>IF($A45="","",IF(OR($G45="SÁBADO",$G45="DOMINGO"),"FIN","LV"))</f>
        <v/>
      </c>
      <c r="J45" s="34">
        <f>IF(OR($A45="",$B45=""),"",IF($L45&lt;&gt;"",UPPER($L45),IF($C45="","FALTA",IFERROR(IF($C45&gt;=$O45,"ROJO FUERTE",IF($C45&gt;=$N45,"ROJO",IF($C45&gt;=$M45,"AMARILLO","VERDE"))),"REVISAR"))))</f>
        <v/>
      </c>
      <c r="K45" s="36">
        <f>IF(OR($C45="",$D45=""),"",IF($D45&gt;=$C45,($D45-$C45)*24,(1-$C45+$D45)*24))</f>
        <v/>
      </c>
      <c r="L45" s="34" t="n"/>
      <c r="M45" s="53">
        <f t="array" ref="M45">IFERROR(INDEX(EXCEPCIONES_FECHA!$D$2:$D$201,MATCH(1,(EXCEPCIONES_FECHA!$A$2:$A$201=$A45)*(EXCEPCIONES_FECHA!$B$2:$B$201=$B45),0)),IFERROR(INDEX(EXCEPCIONES_FECHA!$D$2:$D$201,MATCH(1,(EXCEPCIONES_FECHA!$A$2:$A$201=$A45)*(EXCEPCIONES_FECHA!$B$2:$B$201=""),0)),IFERROR(INDEX(IF($I45="FIN",HISTORIAL_HORARIOS!$J$2:$J$201,HISTORIAL_HORARIOS!$F$2:$F$201),MATCH(1,(HISTORIAL_HORARIOS!$A$2:$A$201=$B45)*(HISTORIAL_HORARIOS!$C$2:$C$201&lt;=$A45)*(HISTORIAL_HORARIOS!$D$2:$D$201&gt;=$A45),0)),INDEX(IF($I45="FIN",PERSONAL!$J$2:$J$80,PERSONAL!$F$2:$F$80),MATCH($B45,PERSONAL!$A$2:$A$80,0)))))</f>
        <v/>
      </c>
      <c r="N45" s="53">
        <f t="array" ref="N45">IFERROR(INDEX(EXCEPCIONES_FECHA!$E$2:$E$201,MATCH(1,(EXCEPCIONES_FECHA!$A$2:$A$201=$A45)*(EXCEPCIONES_FECHA!$B$2:$B$201=$B45),0)),IFERROR(INDEX(EXCEPCIONES_FECHA!$E$2:$E$201,MATCH(1,(EXCEPCIONES_FECHA!$A$2:$A$201=$A45)*(EXCEPCIONES_FECHA!$B$2:$B$201=""),0)),IFERROR(INDEX(IF($I45="FIN",HISTORIAL_HORARIOS!$K$2:$K$201,HISTORIAL_HORARIOS!$G$2:$G$201),MATCH(1,(HISTORIAL_HORARIOS!$A$2:$A$201=$B45)*(HISTORIAL_HORARIOS!$C$2:$C$201&lt;=$A45)*(HISTORIAL_HORARIOS!$D$2:$D$201&gt;=$A45),0)),INDEX(IF($I45="FIN",PERSONAL!$K$2:$K$80,PERSONAL!$G$2:$G$80),MATCH($B45,PERSONAL!$A$2:$A$80,0)))))</f>
        <v/>
      </c>
      <c r="O45" s="53">
        <f t="array" ref="O45">IFERROR(INDEX(EXCEPCIONES_FECHA!$F$2:$F$201,MATCH(1,(EXCEPCIONES_FECHA!$A$2:$A$201=$A45)*(EXCEPCIONES_FECHA!$B$2:$B$201=$B45),0)),IFERROR(INDEX(EXCEPCIONES_FECHA!$F$2:$F$201,MATCH(1,(EXCEPCIONES_FECHA!$A$2:$A$201=$A45)*(EXCEPCIONES_FECHA!$B$2:$B$201=""),0)),IFERROR(INDEX(IF($I45="FIN",HISTORIAL_HORARIOS!$L$2:$L$201,HISTORIAL_HORARIOS!$H$2:$H$201),MATCH(1,(HISTORIAL_HORARIOS!$A$2:$A$201=$B45)*(HISTORIAL_HORARIOS!$C$2:$C$201&lt;=$A45)*(HISTORIAL_HORARIOS!$D$2:$D$201&gt;=$A45),0)),INDEX(IF($I45="FIN",PERSONAL!$L$2:$L$80,PERSONAL!$H$2:$H$80),MATCH($B45,PERSONAL!$A$2:$A$80,0)))))</f>
        <v/>
      </c>
    </row>
    <row r="46" ht="15" customHeight="1" s="58">
      <c r="A46" s="37" t="n"/>
      <c r="B46" s="38" t="n"/>
      <c r="C46" s="39" t="n"/>
      <c r="D46" s="39" t="n"/>
      <c r="E46" s="34">
        <f t="array" ref="E46">IF($B46="","",IFERROR(INDEX(PERSONAL!$B$2:$B$80,MATCH($B46,PERSONAL!$A$2:$A$80,0)),"NO EXISTE"))</f>
        <v/>
      </c>
      <c r="F46" s="52">
        <f t="array" ref="F46">IF($B46="","",IFERROR(INDEX(PERSONAL!$C$2:$C$80,MATCH($B46,PERSONAL!$A$2:$A$80,0)),""))</f>
        <v/>
      </c>
      <c r="G46" s="52">
        <f>IF($A46="","",CHOOSE(WEEKDAY($A46,2),"LUNES","MARTES","MIÉRCOLES","JUEVES","VIERNES","SÁBADO","DOMINGO"))</f>
        <v/>
      </c>
      <c r="H46" s="34">
        <f>IF($A46="","",CHOOSE(MONTH($A46),"ENERO","FEBRERO","MARZO","ABRIL","MAYO","JUNIO","JULIO","AGOSTO","SEPTIEMBRE","OCTUBRE","NOVIEMBRE","DICIEMBRE"))</f>
        <v/>
      </c>
      <c r="I46" s="34">
        <f>IF($A46="","",IF(OR($G46="SÁBADO",$G46="DOMINGO"),"FIN","LV"))</f>
        <v/>
      </c>
      <c r="J46" s="34">
        <f>IF(OR($A46="",$B46=""),"",IF($L46&lt;&gt;"",UPPER($L46),IF($C46="","FALTA",IFERROR(IF($C46&gt;=$O46,"ROJO FUERTE",IF($C46&gt;=$N46,"ROJO",IF($C46&gt;=$M46,"AMARILLO","VERDE"))),"REVISAR"))))</f>
        <v/>
      </c>
      <c r="K46" s="36">
        <f>IF(OR($C46="",$D46=""),"",IF($D46&gt;=$C46,($D46-$C46)*24,(1-$C46+$D46)*24))</f>
        <v/>
      </c>
      <c r="L46" s="34" t="n"/>
      <c r="M46" s="53">
        <f t="array" ref="M46">IFERROR(INDEX(EXCEPCIONES_FECHA!$D$2:$D$201,MATCH(1,(EXCEPCIONES_FECHA!$A$2:$A$201=$A46)*(EXCEPCIONES_FECHA!$B$2:$B$201=$B46),0)),IFERROR(INDEX(EXCEPCIONES_FECHA!$D$2:$D$201,MATCH(1,(EXCEPCIONES_FECHA!$A$2:$A$201=$A46)*(EXCEPCIONES_FECHA!$B$2:$B$201=""),0)),IFERROR(INDEX(IF($I46="FIN",HISTORIAL_HORARIOS!$J$2:$J$201,HISTORIAL_HORARIOS!$F$2:$F$201),MATCH(1,(HISTORIAL_HORARIOS!$A$2:$A$201=$B46)*(HISTORIAL_HORARIOS!$C$2:$C$201&lt;=$A46)*(HISTORIAL_HORARIOS!$D$2:$D$201&gt;=$A46),0)),INDEX(IF($I46="FIN",PERSONAL!$J$2:$J$80,PERSONAL!$F$2:$F$80),MATCH($B46,PERSONAL!$A$2:$A$80,0)))))</f>
        <v/>
      </c>
      <c r="N46" s="53">
        <f t="array" ref="N46">IFERROR(INDEX(EXCEPCIONES_FECHA!$E$2:$E$201,MATCH(1,(EXCEPCIONES_FECHA!$A$2:$A$201=$A46)*(EXCEPCIONES_FECHA!$B$2:$B$201=$B46),0)),IFERROR(INDEX(EXCEPCIONES_FECHA!$E$2:$E$201,MATCH(1,(EXCEPCIONES_FECHA!$A$2:$A$201=$A46)*(EXCEPCIONES_FECHA!$B$2:$B$201=""),0)),IFERROR(INDEX(IF($I46="FIN",HISTORIAL_HORARIOS!$K$2:$K$201,HISTORIAL_HORARIOS!$G$2:$G$201),MATCH(1,(HISTORIAL_HORARIOS!$A$2:$A$201=$B46)*(HISTORIAL_HORARIOS!$C$2:$C$201&lt;=$A46)*(HISTORIAL_HORARIOS!$D$2:$D$201&gt;=$A46),0)),INDEX(IF($I46="FIN",PERSONAL!$K$2:$K$80,PERSONAL!$G$2:$G$80),MATCH($B46,PERSONAL!$A$2:$A$80,0)))))</f>
        <v/>
      </c>
      <c r="O46" s="53">
        <f t="array" ref="O46">IFERROR(INDEX(EXCEPCIONES_FECHA!$F$2:$F$201,MATCH(1,(EXCEPCIONES_FECHA!$A$2:$A$201=$A46)*(EXCEPCIONES_FECHA!$B$2:$B$201=$B46),0)),IFERROR(INDEX(EXCEPCIONES_FECHA!$F$2:$F$201,MATCH(1,(EXCEPCIONES_FECHA!$A$2:$A$201=$A46)*(EXCEPCIONES_FECHA!$B$2:$B$201=""),0)),IFERROR(INDEX(IF($I46="FIN",HISTORIAL_HORARIOS!$L$2:$L$201,HISTORIAL_HORARIOS!$H$2:$H$201),MATCH(1,(HISTORIAL_HORARIOS!$A$2:$A$201=$B46)*(HISTORIAL_HORARIOS!$C$2:$C$201&lt;=$A46)*(HISTORIAL_HORARIOS!$D$2:$D$201&gt;=$A46),0)),INDEX(IF($I46="FIN",PERSONAL!$L$2:$L$80,PERSONAL!$H$2:$H$80),MATCH($B46,PERSONAL!$A$2:$A$80,0)))))</f>
        <v/>
      </c>
    </row>
    <row r="47" ht="15" customHeight="1" s="58">
      <c r="A47" s="37" t="n"/>
      <c r="B47" s="38" t="n"/>
      <c r="C47" s="39" t="n"/>
      <c r="D47" s="39" t="n"/>
      <c r="E47" s="34">
        <f t="array" ref="E47">IF($B47="","",IFERROR(INDEX(PERSONAL!$B$2:$B$80,MATCH($B47,PERSONAL!$A$2:$A$80,0)),"NO EXISTE"))</f>
        <v/>
      </c>
      <c r="F47" s="52">
        <f t="array" ref="F47">IF($B47="","",IFERROR(INDEX(PERSONAL!$C$2:$C$80,MATCH($B47,PERSONAL!$A$2:$A$80,0)),""))</f>
        <v/>
      </c>
      <c r="G47" s="52">
        <f>IF($A47="","",CHOOSE(WEEKDAY($A47,2),"LUNES","MARTES","MIÉRCOLES","JUEVES","VIERNES","SÁBADO","DOMINGO"))</f>
        <v/>
      </c>
      <c r="H47" s="34">
        <f>IF($A47="","",CHOOSE(MONTH($A47),"ENERO","FEBRERO","MARZO","ABRIL","MAYO","JUNIO","JULIO","AGOSTO","SEPTIEMBRE","OCTUBRE","NOVIEMBRE","DICIEMBRE"))</f>
        <v/>
      </c>
      <c r="I47" s="34">
        <f>IF($A47="","",IF(OR($G47="SÁBADO",$G47="DOMINGO"),"FIN","LV"))</f>
        <v/>
      </c>
      <c r="J47" s="34">
        <f>IF(OR($A47="",$B47=""),"",IF($L47&lt;&gt;"",UPPER($L47),IF($C47="","FALTA",IFERROR(IF($C47&gt;=$O47,"ROJO FUERTE",IF($C47&gt;=$N47,"ROJO",IF($C47&gt;=$M47,"AMARILLO","VERDE"))),"REVISAR"))))</f>
        <v/>
      </c>
      <c r="K47" s="36">
        <f>IF(OR($C47="",$D47=""),"",IF($D47&gt;=$C47,($D47-$C47)*24,(1-$C47+$D47)*24))</f>
        <v/>
      </c>
      <c r="L47" s="34" t="n"/>
      <c r="M47" s="53">
        <f t="array" ref="M47">IFERROR(INDEX(EXCEPCIONES_FECHA!$D$2:$D$201,MATCH(1,(EXCEPCIONES_FECHA!$A$2:$A$201=$A47)*(EXCEPCIONES_FECHA!$B$2:$B$201=$B47),0)),IFERROR(INDEX(EXCEPCIONES_FECHA!$D$2:$D$201,MATCH(1,(EXCEPCIONES_FECHA!$A$2:$A$201=$A47)*(EXCEPCIONES_FECHA!$B$2:$B$201=""),0)),IFERROR(INDEX(IF($I47="FIN",HISTORIAL_HORARIOS!$J$2:$J$201,HISTORIAL_HORARIOS!$F$2:$F$201),MATCH(1,(HISTORIAL_HORARIOS!$A$2:$A$201=$B47)*(HISTORIAL_HORARIOS!$C$2:$C$201&lt;=$A47)*(HISTORIAL_HORARIOS!$D$2:$D$201&gt;=$A47),0)),INDEX(IF($I47="FIN",PERSONAL!$J$2:$J$80,PERSONAL!$F$2:$F$80),MATCH($B47,PERSONAL!$A$2:$A$80,0)))))</f>
        <v/>
      </c>
      <c r="N47" s="53">
        <f t="array" ref="N47">IFERROR(INDEX(EXCEPCIONES_FECHA!$E$2:$E$201,MATCH(1,(EXCEPCIONES_FECHA!$A$2:$A$201=$A47)*(EXCEPCIONES_FECHA!$B$2:$B$201=$B47),0)),IFERROR(INDEX(EXCEPCIONES_FECHA!$E$2:$E$201,MATCH(1,(EXCEPCIONES_FECHA!$A$2:$A$201=$A47)*(EXCEPCIONES_FECHA!$B$2:$B$201=""),0)),IFERROR(INDEX(IF($I47="FIN",HISTORIAL_HORARIOS!$K$2:$K$201,HISTORIAL_HORARIOS!$G$2:$G$201),MATCH(1,(HISTORIAL_HORARIOS!$A$2:$A$201=$B47)*(HISTORIAL_HORARIOS!$C$2:$C$201&lt;=$A47)*(HISTORIAL_HORARIOS!$D$2:$D$201&gt;=$A47),0)),INDEX(IF($I47="FIN",PERSONAL!$K$2:$K$80,PERSONAL!$G$2:$G$80),MATCH($B47,PERSONAL!$A$2:$A$80,0)))))</f>
        <v/>
      </c>
      <c r="O47" s="53">
        <f t="array" ref="O47">IFERROR(INDEX(EXCEPCIONES_FECHA!$F$2:$F$201,MATCH(1,(EXCEPCIONES_FECHA!$A$2:$A$201=$A47)*(EXCEPCIONES_FECHA!$B$2:$B$201=$B47),0)),IFERROR(INDEX(EXCEPCIONES_FECHA!$F$2:$F$201,MATCH(1,(EXCEPCIONES_FECHA!$A$2:$A$201=$A47)*(EXCEPCIONES_FECHA!$B$2:$B$201=""),0)),IFERROR(INDEX(IF($I47="FIN",HISTORIAL_HORARIOS!$L$2:$L$201,HISTORIAL_HORARIOS!$H$2:$H$201),MATCH(1,(HISTORIAL_HORARIOS!$A$2:$A$201=$B47)*(HISTORIAL_HORARIOS!$C$2:$C$201&lt;=$A47)*(HISTORIAL_HORARIOS!$D$2:$D$201&gt;=$A47),0)),INDEX(IF($I47="FIN",PERSONAL!$L$2:$L$80,PERSONAL!$H$2:$H$80),MATCH($B47,PERSONAL!$A$2:$A$80,0)))))</f>
        <v/>
      </c>
    </row>
    <row r="48" ht="15" customHeight="1" s="58">
      <c r="A48" s="37" t="n"/>
      <c r="B48" s="38" t="n"/>
      <c r="C48" s="39" t="n"/>
      <c r="D48" s="39" t="n"/>
      <c r="E48" s="34">
        <f t="array" ref="E48">IF($B48="","",IFERROR(INDEX(PERSONAL!$B$2:$B$80,MATCH($B48,PERSONAL!$A$2:$A$80,0)),"NO EXISTE"))</f>
        <v/>
      </c>
      <c r="F48" s="52">
        <f t="array" ref="F48">IF($B48="","",IFERROR(INDEX(PERSONAL!$C$2:$C$80,MATCH($B48,PERSONAL!$A$2:$A$80,0)),""))</f>
        <v/>
      </c>
      <c r="G48" s="52">
        <f>IF($A48="","",CHOOSE(WEEKDAY($A48,2),"LUNES","MARTES","MIÉRCOLES","JUEVES","VIERNES","SÁBADO","DOMINGO"))</f>
        <v/>
      </c>
      <c r="H48" s="34">
        <f>IF($A48="","",CHOOSE(MONTH($A48),"ENERO","FEBRERO","MARZO","ABRIL","MAYO","JUNIO","JULIO","AGOSTO","SEPTIEMBRE","OCTUBRE","NOVIEMBRE","DICIEMBRE"))</f>
        <v/>
      </c>
      <c r="I48" s="34">
        <f>IF($A48="","",IF(OR($G48="SÁBADO",$G48="DOMINGO"),"FIN","LV"))</f>
        <v/>
      </c>
      <c r="J48" s="34">
        <f>IF(OR($A48="",$B48=""),"",IF($L48&lt;&gt;"",UPPER($L48),IF($C48="","FALTA",IFERROR(IF($C48&gt;=$O48,"ROJO FUERTE",IF($C48&gt;=$N48,"ROJO",IF($C48&gt;=$M48,"AMARILLO","VERDE"))),"REVISAR"))))</f>
        <v/>
      </c>
      <c r="K48" s="36">
        <f>IF(OR($C48="",$D48=""),"",IF($D48&gt;=$C48,($D48-$C48)*24,(1-$C48+$D48)*24))</f>
        <v/>
      </c>
      <c r="L48" s="34" t="n"/>
      <c r="M48" s="53">
        <f t="array" ref="M48">IFERROR(INDEX(EXCEPCIONES_FECHA!$D$2:$D$201,MATCH(1,(EXCEPCIONES_FECHA!$A$2:$A$201=$A48)*(EXCEPCIONES_FECHA!$B$2:$B$201=$B48),0)),IFERROR(INDEX(EXCEPCIONES_FECHA!$D$2:$D$201,MATCH(1,(EXCEPCIONES_FECHA!$A$2:$A$201=$A48)*(EXCEPCIONES_FECHA!$B$2:$B$201=""),0)),IFERROR(INDEX(IF($I48="FIN",HISTORIAL_HORARIOS!$J$2:$J$201,HISTORIAL_HORARIOS!$F$2:$F$201),MATCH(1,(HISTORIAL_HORARIOS!$A$2:$A$201=$B48)*(HISTORIAL_HORARIOS!$C$2:$C$201&lt;=$A48)*(HISTORIAL_HORARIOS!$D$2:$D$201&gt;=$A48),0)),INDEX(IF($I48="FIN",PERSONAL!$J$2:$J$80,PERSONAL!$F$2:$F$80),MATCH($B48,PERSONAL!$A$2:$A$80,0)))))</f>
        <v/>
      </c>
      <c r="N48" s="53">
        <f t="array" ref="N48">IFERROR(INDEX(EXCEPCIONES_FECHA!$E$2:$E$201,MATCH(1,(EXCEPCIONES_FECHA!$A$2:$A$201=$A48)*(EXCEPCIONES_FECHA!$B$2:$B$201=$B48),0)),IFERROR(INDEX(EXCEPCIONES_FECHA!$E$2:$E$201,MATCH(1,(EXCEPCIONES_FECHA!$A$2:$A$201=$A48)*(EXCEPCIONES_FECHA!$B$2:$B$201=""),0)),IFERROR(INDEX(IF($I48="FIN",HISTORIAL_HORARIOS!$K$2:$K$201,HISTORIAL_HORARIOS!$G$2:$G$201),MATCH(1,(HISTORIAL_HORARIOS!$A$2:$A$201=$B48)*(HISTORIAL_HORARIOS!$C$2:$C$201&lt;=$A48)*(HISTORIAL_HORARIOS!$D$2:$D$201&gt;=$A48),0)),INDEX(IF($I48="FIN",PERSONAL!$K$2:$K$80,PERSONAL!$G$2:$G$80),MATCH($B48,PERSONAL!$A$2:$A$80,0)))))</f>
        <v/>
      </c>
      <c r="O48" s="53">
        <f t="array" ref="O48">IFERROR(INDEX(EXCEPCIONES_FECHA!$F$2:$F$201,MATCH(1,(EXCEPCIONES_FECHA!$A$2:$A$201=$A48)*(EXCEPCIONES_FECHA!$B$2:$B$201=$B48),0)),IFERROR(INDEX(EXCEPCIONES_FECHA!$F$2:$F$201,MATCH(1,(EXCEPCIONES_FECHA!$A$2:$A$201=$A48)*(EXCEPCIONES_FECHA!$B$2:$B$201=""),0)),IFERROR(INDEX(IF($I48="FIN",HISTORIAL_HORARIOS!$L$2:$L$201,HISTORIAL_HORARIOS!$H$2:$H$201),MATCH(1,(HISTORIAL_HORARIOS!$A$2:$A$201=$B48)*(HISTORIAL_HORARIOS!$C$2:$C$201&lt;=$A48)*(HISTORIAL_HORARIOS!$D$2:$D$201&gt;=$A48),0)),INDEX(IF($I48="FIN",PERSONAL!$L$2:$L$80,PERSONAL!$H$2:$H$80),MATCH($B48,PERSONAL!$A$2:$A$80,0)))))</f>
        <v/>
      </c>
    </row>
    <row r="49" ht="15" customHeight="1" s="58">
      <c r="A49" s="37" t="n"/>
      <c r="B49" s="38" t="n"/>
      <c r="C49" s="39" t="n"/>
      <c r="D49" s="39" t="n"/>
      <c r="E49" s="34">
        <f t="array" ref="E49">IF($B49="","",IFERROR(INDEX(PERSONAL!$B$2:$B$80,MATCH($B49,PERSONAL!$A$2:$A$80,0)),"NO EXISTE"))</f>
        <v/>
      </c>
      <c r="F49" s="52">
        <f t="array" ref="F49">IF($B49="","",IFERROR(INDEX(PERSONAL!$C$2:$C$80,MATCH($B49,PERSONAL!$A$2:$A$80,0)),""))</f>
        <v/>
      </c>
      <c r="G49" s="52">
        <f>IF($A49="","",CHOOSE(WEEKDAY($A49,2),"LUNES","MARTES","MIÉRCOLES","JUEVES","VIERNES","SÁBADO","DOMINGO"))</f>
        <v/>
      </c>
      <c r="H49" s="34">
        <f>IF($A49="","",CHOOSE(MONTH($A49),"ENERO","FEBRERO","MARZO","ABRIL","MAYO","JUNIO","JULIO","AGOSTO","SEPTIEMBRE","OCTUBRE","NOVIEMBRE","DICIEMBRE"))</f>
        <v/>
      </c>
      <c r="I49" s="34">
        <f>IF($A49="","",IF(OR($G49="SÁBADO",$G49="DOMINGO"),"FIN","LV"))</f>
        <v/>
      </c>
      <c r="J49" s="34">
        <f>IF(OR($A49="",$B49=""),"",IF($L49&lt;&gt;"",UPPER($L49),IF($C49="","FALTA",IFERROR(IF($C49&gt;=$O49,"ROJO FUERTE",IF($C49&gt;=$N49,"ROJO",IF($C49&gt;=$M49,"AMARILLO","VERDE"))),"REVISAR"))))</f>
        <v/>
      </c>
      <c r="K49" s="36">
        <f>IF(OR($C49="",$D49=""),"",IF($D49&gt;=$C49,($D49-$C49)*24,(1-$C49+$D49)*24))</f>
        <v/>
      </c>
      <c r="L49" s="34" t="n"/>
      <c r="M49" s="53">
        <f t="array" ref="M49">IFERROR(INDEX(EXCEPCIONES_FECHA!$D$2:$D$201,MATCH(1,(EXCEPCIONES_FECHA!$A$2:$A$201=$A49)*(EXCEPCIONES_FECHA!$B$2:$B$201=$B49),0)),IFERROR(INDEX(EXCEPCIONES_FECHA!$D$2:$D$201,MATCH(1,(EXCEPCIONES_FECHA!$A$2:$A$201=$A49)*(EXCEPCIONES_FECHA!$B$2:$B$201=""),0)),IFERROR(INDEX(IF($I49="FIN",HISTORIAL_HORARIOS!$J$2:$J$201,HISTORIAL_HORARIOS!$F$2:$F$201),MATCH(1,(HISTORIAL_HORARIOS!$A$2:$A$201=$B49)*(HISTORIAL_HORARIOS!$C$2:$C$201&lt;=$A49)*(HISTORIAL_HORARIOS!$D$2:$D$201&gt;=$A49),0)),INDEX(IF($I49="FIN",PERSONAL!$J$2:$J$80,PERSONAL!$F$2:$F$80),MATCH($B49,PERSONAL!$A$2:$A$80,0)))))</f>
        <v/>
      </c>
      <c r="N49" s="53">
        <f t="array" ref="N49">IFERROR(INDEX(EXCEPCIONES_FECHA!$E$2:$E$201,MATCH(1,(EXCEPCIONES_FECHA!$A$2:$A$201=$A49)*(EXCEPCIONES_FECHA!$B$2:$B$201=$B49),0)),IFERROR(INDEX(EXCEPCIONES_FECHA!$E$2:$E$201,MATCH(1,(EXCEPCIONES_FECHA!$A$2:$A$201=$A49)*(EXCEPCIONES_FECHA!$B$2:$B$201=""),0)),IFERROR(INDEX(IF($I49="FIN",HISTORIAL_HORARIOS!$K$2:$K$201,HISTORIAL_HORARIOS!$G$2:$G$201),MATCH(1,(HISTORIAL_HORARIOS!$A$2:$A$201=$B49)*(HISTORIAL_HORARIOS!$C$2:$C$201&lt;=$A49)*(HISTORIAL_HORARIOS!$D$2:$D$201&gt;=$A49),0)),INDEX(IF($I49="FIN",PERSONAL!$K$2:$K$80,PERSONAL!$G$2:$G$80),MATCH($B49,PERSONAL!$A$2:$A$80,0)))))</f>
        <v/>
      </c>
      <c r="O49" s="53">
        <f t="array" ref="O49">IFERROR(INDEX(EXCEPCIONES_FECHA!$F$2:$F$201,MATCH(1,(EXCEPCIONES_FECHA!$A$2:$A$201=$A49)*(EXCEPCIONES_FECHA!$B$2:$B$201=$B49),0)),IFERROR(INDEX(EXCEPCIONES_FECHA!$F$2:$F$201,MATCH(1,(EXCEPCIONES_FECHA!$A$2:$A$201=$A49)*(EXCEPCIONES_FECHA!$B$2:$B$201=""),0)),IFERROR(INDEX(IF($I49="FIN",HISTORIAL_HORARIOS!$L$2:$L$201,HISTORIAL_HORARIOS!$H$2:$H$201),MATCH(1,(HISTORIAL_HORARIOS!$A$2:$A$201=$B49)*(HISTORIAL_HORARIOS!$C$2:$C$201&lt;=$A49)*(HISTORIAL_HORARIOS!$D$2:$D$201&gt;=$A49),0)),INDEX(IF($I49="FIN",PERSONAL!$L$2:$L$80,PERSONAL!$H$2:$H$80),MATCH($B49,PERSONAL!$A$2:$A$80,0)))))</f>
        <v/>
      </c>
    </row>
    <row r="50" ht="15" customHeight="1" s="58">
      <c r="A50" s="37" t="n"/>
      <c r="B50" s="38" t="n"/>
      <c r="C50" s="39" t="n"/>
      <c r="D50" s="39" t="n"/>
      <c r="E50" s="34">
        <f t="array" ref="E50">IF($B50="","",IFERROR(INDEX(PERSONAL!$B$2:$B$80,MATCH($B50,PERSONAL!$A$2:$A$80,0)),"NO EXISTE"))</f>
        <v/>
      </c>
      <c r="F50" s="52">
        <f t="array" ref="F50">IF($B50="","",IFERROR(INDEX(PERSONAL!$C$2:$C$80,MATCH($B50,PERSONAL!$A$2:$A$80,0)),""))</f>
        <v/>
      </c>
      <c r="G50" s="52">
        <f>IF($A50="","",CHOOSE(WEEKDAY($A50,2),"LUNES","MARTES","MIÉRCOLES","JUEVES","VIERNES","SÁBADO","DOMINGO"))</f>
        <v/>
      </c>
      <c r="H50" s="34">
        <f>IF($A50="","",CHOOSE(MONTH($A50),"ENERO","FEBRERO","MARZO","ABRIL","MAYO","JUNIO","JULIO","AGOSTO","SEPTIEMBRE","OCTUBRE","NOVIEMBRE","DICIEMBRE"))</f>
        <v/>
      </c>
      <c r="I50" s="34">
        <f>IF($A50="","",IF(OR($G50="SÁBADO",$G50="DOMINGO"),"FIN","LV"))</f>
        <v/>
      </c>
      <c r="J50" s="34">
        <f>IF(OR($A50="",$B50=""),"",IF($L50&lt;&gt;"",UPPER($L50),IF($C50="","FALTA",IFERROR(IF($C50&gt;=$O50,"ROJO FUERTE",IF($C50&gt;=$N50,"ROJO",IF($C50&gt;=$M50,"AMARILLO","VERDE"))),"REVISAR"))))</f>
        <v/>
      </c>
      <c r="K50" s="36">
        <f>IF(OR($C50="",$D50=""),"",IF($D50&gt;=$C50,($D50-$C50)*24,(1-$C50+$D50)*24))</f>
        <v/>
      </c>
      <c r="L50" s="34" t="n"/>
      <c r="M50" s="53">
        <f t="array" ref="M50">IFERROR(INDEX(EXCEPCIONES_FECHA!$D$2:$D$201,MATCH(1,(EXCEPCIONES_FECHA!$A$2:$A$201=$A50)*(EXCEPCIONES_FECHA!$B$2:$B$201=$B50),0)),IFERROR(INDEX(EXCEPCIONES_FECHA!$D$2:$D$201,MATCH(1,(EXCEPCIONES_FECHA!$A$2:$A$201=$A50)*(EXCEPCIONES_FECHA!$B$2:$B$201=""),0)),IFERROR(INDEX(IF($I50="FIN",HISTORIAL_HORARIOS!$J$2:$J$201,HISTORIAL_HORARIOS!$F$2:$F$201),MATCH(1,(HISTORIAL_HORARIOS!$A$2:$A$201=$B50)*(HISTORIAL_HORARIOS!$C$2:$C$201&lt;=$A50)*(HISTORIAL_HORARIOS!$D$2:$D$201&gt;=$A50),0)),INDEX(IF($I50="FIN",PERSONAL!$J$2:$J$80,PERSONAL!$F$2:$F$80),MATCH($B50,PERSONAL!$A$2:$A$80,0)))))</f>
        <v/>
      </c>
      <c r="N50" s="53">
        <f t="array" ref="N50">IFERROR(INDEX(EXCEPCIONES_FECHA!$E$2:$E$201,MATCH(1,(EXCEPCIONES_FECHA!$A$2:$A$201=$A50)*(EXCEPCIONES_FECHA!$B$2:$B$201=$B50),0)),IFERROR(INDEX(EXCEPCIONES_FECHA!$E$2:$E$201,MATCH(1,(EXCEPCIONES_FECHA!$A$2:$A$201=$A50)*(EXCEPCIONES_FECHA!$B$2:$B$201=""),0)),IFERROR(INDEX(IF($I50="FIN",HISTORIAL_HORARIOS!$K$2:$K$201,HISTORIAL_HORARIOS!$G$2:$G$201),MATCH(1,(HISTORIAL_HORARIOS!$A$2:$A$201=$B50)*(HISTORIAL_HORARIOS!$C$2:$C$201&lt;=$A50)*(HISTORIAL_HORARIOS!$D$2:$D$201&gt;=$A50),0)),INDEX(IF($I50="FIN",PERSONAL!$K$2:$K$80,PERSONAL!$G$2:$G$80),MATCH($B50,PERSONAL!$A$2:$A$80,0)))))</f>
        <v/>
      </c>
      <c r="O50" s="53">
        <f t="array" ref="O50">IFERROR(INDEX(EXCEPCIONES_FECHA!$F$2:$F$201,MATCH(1,(EXCEPCIONES_FECHA!$A$2:$A$201=$A50)*(EXCEPCIONES_FECHA!$B$2:$B$201=$B50),0)),IFERROR(INDEX(EXCEPCIONES_FECHA!$F$2:$F$201,MATCH(1,(EXCEPCIONES_FECHA!$A$2:$A$201=$A50)*(EXCEPCIONES_FECHA!$B$2:$B$201=""),0)),IFERROR(INDEX(IF($I50="FIN",HISTORIAL_HORARIOS!$L$2:$L$201,HISTORIAL_HORARIOS!$H$2:$H$201),MATCH(1,(HISTORIAL_HORARIOS!$A$2:$A$201=$B50)*(HISTORIAL_HORARIOS!$C$2:$C$201&lt;=$A50)*(HISTORIAL_HORARIOS!$D$2:$D$201&gt;=$A50),0)),INDEX(IF($I50="FIN",PERSONAL!$L$2:$L$80,PERSONAL!$H$2:$H$80),MATCH($B50,PERSONAL!$A$2:$A$80,0)))))</f>
        <v/>
      </c>
    </row>
    <row r="51" ht="15" customHeight="1" s="58">
      <c r="A51" s="37" t="n"/>
      <c r="B51" s="38" t="n"/>
      <c r="C51" s="39" t="n"/>
      <c r="D51" s="39" t="n"/>
      <c r="E51" s="34">
        <f t="array" ref="E51">IF($B51="","",IFERROR(INDEX(PERSONAL!$B$2:$B$80,MATCH($B51,PERSONAL!$A$2:$A$80,0)),"NO EXISTE"))</f>
        <v/>
      </c>
      <c r="F51" s="52">
        <f t="array" ref="F51">IF($B51="","",IFERROR(INDEX(PERSONAL!$C$2:$C$80,MATCH($B51,PERSONAL!$A$2:$A$80,0)),""))</f>
        <v/>
      </c>
      <c r="G51" s="52">
        <f>IF($A51="","",CHOOSE(WEEKDAY($A51,2),"LUNES","MARTES","MIÉRCOLES","JUEVES","VIERNES","SÁBADO","DOMINGO"))</f>
        <v/>
      </c>
      <c r="H51" s="34">
        <f>IF($A51="","",CHOOSE(MONTH($A51),"ENERO","FEBRERO","MARZO","ABRIL","MAYO","JUNIO","JULIO","AGOSTO","SEPTIEMBRE","OCTUBRE","NOVIEMBRE","DICIEMBRE"))</f>
        <v/>
      </c>
      <c r="I51" s="34">
        <f>IF($A51="","",IF(OR($G51="SÁBADO",$G51="DOMINGO"),"FIN","LV"))</f>
        <v/>
      </c>
      <c r="J51" s="34">
        <f>IF(OR($A51="",$B51=""),"",IF($L51&lt;&gt;"",UPPER($L51),IF($C51="","FALTA",IFERROR(IF($C51&gt;=$O51,"ROJO FUERTE",IF($C51&gt;=$N51,"ROJO",IF($C51&gt;=$M51,"AMARILLO","VERDE"))),"REVISAR"))))</f>
        <v/>
      </c>
      <c r="K51" s="36">
        <f>IF(OR($C51="",$D51=""),"",IF($D51&gt;=$C51,($D51-$C51)*24,(1-$C51+$D51)*24))</f>
        <v/>
      </c>
      <c r="L51" s="34" t="n"/>
      <c r="M51" s="53">
        <f t="array" ref="M51">IFERROR(INDEX(EXCEPCIONES_FECHA!$D$2:$D$201,MATCH(1,(EXCEPCIONES_FECHA!$A$2:$A$201=$A51)*(EXCEPCIONES_FECHA!$B$2:$B$201=$B51),0)),IFERROR(INDEX(EXCEPCIONES_FECHA!$D$2:$D$201,MATCH(1,(EXCEPCIONES_FECHA!$A$2:$A$201=$A51)*(EXCEPCIONES_FECHA!$B$2:$B$201=""),0)),IFERROR(INDEX(IF($I51="FIN",HISTORIAL_HORARIOS!$J$2:$J$201,HISTORIAL_HORARIOS!$F$2:$F$201),MATCH(1,(HISTORIAL_HORARIOS!$A$2:$A$201=$B51)*(HISTORIAL_HORARIOS!$C$2:$C$201&lt;=$A51)*(HISTORIAL_HORARIOS!$D$2:$D$201&gt;=$A51),0)),INDEX(IF($I51="FIN",PERSONAL!$J$2:$J$80,PERSONAL!$F$2:$F$80),MATCH($B51,PERSONAL!$A$2:$A$80,0)))))</f>
        <v/>
      </c>
      <c r="N51" s="53">
        <f t="array" ref="N51">IFERROR(INDEX(EXCEPCIONES_FECHA!$E$2:$E$201,MATCH(1,(EXCEPCIONES_FECHA!$A$2:$A$201=$A51)*(EXCEPCIONES_FECHA!$B$2:$B$201=$B51),0)),IFERROR(INDEX(EXCEPCIONES_FECHA!$E$2:$E$201,MATCH(1,(EXCEPCIONES_FECHA!$A$2:$A$201=$A51)*(EXCEPCIONES_FECHA!$B$2:$B$201=""),0)),IFERROR(INDEX(IF($I51="FIN",HISTORIAL_HORARIOS!$K$2:$K$201,HISTORIAL_HORARIOS!$G$2:$G$201),MATCH(1,(HISTORIAL_HORARIOS!$A$2:$A$201=$B51)*(HISTORIAL_HORARIOS!$C$2:$C$201&lt;=$A51)*(HISTORIAL_HORARIOS!$D$2:$D$201&gt;=$A51),0)),INDEX(IF($I51="FIN",PERSONAL!$K$2:$K$80,PERSONAL!$G$2:$G$80),MATCH($B51,PERSONAL!$A$2:$A$80,0)))))</f>
        <v/>
      </c>
      <c r="O51" s="53">
        <f t="array" ref="O51">IFERROR(INDEX(EXCEPCIONES_FECHA!$F$2:$F$201,MATCH(1,(EXCEPCIONES_FECHA!$A$2:$A$201=$A51)*(EXCEPCIONES_FECHA!$B$2:$B$201=$B51),0)),IFERROR(INDEX(EXCEPCIONES_FECHA!$F$2:$F$201,MATCH(1,(EXCEPCIONES_FECHA!$A$2:$A$201=$A51)*(EXCEPCIONES_FECHA!$B$2:$B$201=""),0)),IFERROR(INDEX(IF($I51="FIN",HISTORIAL_HORARIOS!$L$2:$L$201,HISTORIAL_HORARIOS!$H$2:$H$201),MATCH(1,(HISTORIAL_HORARIOS!$A$2:$A$201=$B51)*(HISTORIAL_HORARIOS!$C$2:$C$201&lt;=$A51)*(HISTORIAL_HORARIOS!$D$2:$D$201&gt;=$A51),0)),INDEX(IF($I51="FIN",PERSONAL!$L$2:$L$80,PERSONAL!$H$2:$H$80),MATCH($B51,PERSONAL!$A$2:$A$80,0)))))</f>
        <v/>
      </c>
    </row>
    <row r="52" ht="15" customHeight="1" s="58">
      <c r="A52" s="37" t="n"/>
      <c r="B52" s="38" t="n"/>
      <c r="C52" s="39" t="n"/>
      <c r="D52" s="39" t="n"/>
      <c r="E52" s="34">
        <f t="array" ref="E52">IF($B52="","",IFERROR(INDEX(PERSONAL!$B$2:$B$80,MATCH($B52,PERSONAL!$A$2:$A$80,0)),"NO EXISTE"))</f>
        <v/>
      </c>
      <c r="F52" s="52">
        <f t="array" ref="F52">IF($B52="","",IFERROR(INDEX(PERSONAL!$C$2:$C$80,MATCH($B52,PERSONAL!$A$2:$A$80,0)),""))</f>
        <v/>
      </c>
      <c r="G52" s="52">
        <f>IF($A52="","",CHOOSE(WEEKDAY($A52,2),"LUNES","MARTES","MIÉRCOLES","JUEVES","VIERNES","SÁBADO","DOMINGO"))</f>
        <v/>
      </c>
      <c r="H52" s="34">
        <f>IF($A52="","",CHOOSE(MONTH($A52),"ENERO","FEBRERO","MARZO","ABRIL","MAYO","JUNIO","JULIO","AGOSTO","SEPTIEMBRE","OCTUBRE","NOVIEMBRE","DICIEMBRE"))</f>
        <v/>
      </c>
      <c r="I52" s="34">
        <f>IF($A52="","",IF(OR($G52="SÁBADO",$G52="DOMINGO"),"FIN","LV"))</f>
        <v/>
      </c>
      <c r="J52" s="34">
        <f>IF(OR($A52="",$B52=""),"",IF($L52&lt;&gt;"",UPPER($L52),IF($C52="","FALTA",IFERROR(IF($C52&gt;=$O52,"ROJO FUERTE",IF($C52&gt;=$N52,"ROJO",IF($C52&gt;=$M52,"AMARILLO","VERDE"))),"REVISAR"))))</f>
        <v/>
      </c>
      <c r="K52" s="36">
        <f>IF(OR($C52="",$D52=""),"",IF($D52&gt;=$C52,($D52-$C52)*24,(1-$C52+$D52)*24))</f>
        <v/>
      </c>
      <c r="L52" s="34" t="n"/>
      <c r="M52" s="53">
        <f t="array" ref="M52">IFERROR(INDEX(EXCEPCIONES_FECHA!$D$2:$D$201,MATCH(1,(EXCEPCIONES_FECHA!$A$2:$A$201=$A52)*(EXCEPCIONES_FECHA!$B$2:$B$201=$B52),0)),IFERROR(INDEX(EXCEPCIONES_FECHA!$D$2:$D$201,MATCH(1,(EXCEPCIONES_FECHA!$A$2:$A$201=$A52)*(EXCEPCIONES_FECHA!$B$2:$B$201=""),0)),IFERROR(INDEX(IF($I52="FIN",HISTORIAL_HORARIOS!$J$2:$J$201,HISTORIAL_HORARIOS!$F$2:$F$201),MATCH(1,(HISTORIAL_HORARIOS!$A$2:$A$201=$B52)*(HISTORIAL_HORARIOS!$C$2:$C$201&lt;=$A52)*(HISTORIAL_HORARIOS!$D$2:$D$201&gt;=$A52),0)),INDEX(IF($I52="FIN",PERSONAL!$J$2:$J$80,PERSONAL!$F$2:$F$80),MATCH($B52,PERSONAL!$A$2:$A$80,0)))))</f>
        <v/>
      </c>
      <c r="N52" s="53">
        <f t="array" ref="N52">IFERROR(INDEX(EXCEPCIONES_FECHA!$E$2:$E$201,MATCH(1,(EXCEPCIONES_FECHA!$A$2:$A$201=$A52)*(EXCEPCIONES_FECHA!$B$2:$B$201=$B52),0)),IFERROR(INDEX(EXCEPCIONES_FECHA!$E$2:$E$201,MATCH(1,(EXCEPCIONES_FECHA!$A$2:$A$201=$A52)*(EXCEPCIONES_FECHA!$B$2:$B$201=""),0)),IFERROR(INDEX(IF($I52="FIN",HISTORIAL_HORARIOS!$K$2:$K$201,HISTORIAL_HORARIOS!$G$2:$G$201),MATCH(1,(HISTORIAL_HORARIOS!$A$2:$A$201=$B52)*(HISTORIAL_HORARIOS!$C$2:$C$201&lt;=$A52)*(HISTORIAL_HORARIOS!$D$2:$D$201&gt;=$A52),0)),INDEX(IF($I52="FIN",PERSONAL!$K$2:$K$80,PERSONAL!$G$2:$G$80),MATCH($B52,PERSONAL!$A$2:$A$80,0)))))</f>
        <v/>
      </c>
      <c r="O52" s="53">
        <f t="array" ref="O52">IFERROR(INDEX(EXCEPCIONES_FECHA!$F$2:$F$201,MATCH(1,(EXCEPCIONES_FECHA!$A$2:$A$201=$A52)*(EXCEPCIONES_FECHA!$B$2:$B$201=$B52),0)),IFERROR(INDEX(EXCEPCIONES_FECHA!$F$2:$F$201,MATCH(1,(EXCEPCIONES_FECHA!$A$2:$A$201=$A52)*(EXCEPCIONES_FECHA!$B$2:$B$201=""),0)),IFERROR(INDEX(IF($I52="FIN",HISTORIAL_HORARIOS!$L$2:$L$201,HISTORIAL_HORARIOS!$H$2:$H$201),MATCH(1,(HISTORIAL_HORARIOS!$A$2:$A$201=$B52)*(HISTORIAL_HORARIOS!$C$2:$C$201&lt;=$A52)*(HISTORIAL_HORARIOS!$D$2:$D$201&gt;=$A52),0)),INDEX(IF($I52="FIN",PERSONAL!$L$2:$L$80,PERSONAL!$H$2:$H$80),MATCH($B52,PERSONAL!$A$2:$A$80,0)))))</f>
        <v/>
      </c>
    </row>
    <row r="53" ht="15" customHeight="1" s="58">
      <c r="A53" s="37" t="n"/>
      <c r="B53" s="38" t="n"/>
      <c r="C53" s="39" t="n"/>
      <c r="D53" s="39" t="n"/>
      <c r="E53" s="34">
        <f t="array" ref="E53">IF($B53="","",IFERROR(INDEX(PERSONAL!$B$2:$B$80,MATCH($B53,PERSONAL!$A$2:$A$80,0)),"NO EXISTE"))</f>
        <v/>
      </c>
      <c r="F53" s="52">
        <f t="array" ref="F53">IF($B53="","",IFERROR(INDEX(PERSONAL!$C$2:$C$80,MATCH($B53,PERSONAL!$A$2:$A$80,0)),""))</f>
        <v/>
      </c>
      <c r="G53" s="52">
        <f>IF($A53="","",CHOOSE(WEEKDAY($A53,2),"LUNES","MARTES","MIÉRCOLES","JUEVES","VIERNES","SÁBADO","DOMINGO"))</f>
        <v/>
      </c>
      <c r="H53" s="34">
        <f>IF($A53="","",CHOOSE(MONTH($A53),"ENERO","FEBRERO","MARZO","ABRIL","MAYO","JUNIO","JULIO","AGOSTO","SEPTIEMBRE","OCTUBRE","NOVIEMBRE","DICIEMBRE"))</f>
        <v/>
      </c>
      <c r="I53" s="34">
        <f>IF($A53="","",IF(OR($G53="SÁBADO",$G53="DOMINGO"),"FIN","LV"))</f>
        <v/>
      </c>
      <c r="J53" s="34">
        <f>IF(OR($A53="",$B53=""),"",IF($L53&lt;&gt;"",UPPER($L53),IF($C53="","FALTA",IFERROR(IF($C53&gt;=$O53,"ROJO FUERTE",IF($C53&gt;=$N53,"ROJO",IF($C53&gt;=$M53,"AMARILLO","VERDE"))),"REVISAR"))))</f>
        <v/>
      </c>
      <c r="K53" s="36">
        <f>IF(OR($C53="",$D53=""),"",IF($D53&gt;=$C53,($D53-$C53)*24,(1-$C53+$D53)*24))</f>
        <v/>
      </c>
      <c r="L53" s="34" t="n"/>
      <c r="M53" s="53">
        <f t="array" ref="M53">IFERROR(INDEX(EXCEPCIONES_FECHA!$D$2:$D$201,MATCH(1,(EXCEPCIONES_FECHA!$A$2:$A$201=$A53)*(EXCEPCIONES_FECHA!$B$2:$B$201=$B53),0)),IFERROR(INDEX(EXCEPCIONES_FECHA!$D$2:$D$201,MATCH(1,(EXCEPCIONES_FECHA!$A$2:$A$201=$A53)*(EXCEPCIONES_FECHA!$B$2:$B$201=""),0)),IFERROR(INDEX(IF($I53="FIN",HISTORIAL_HORARIOS!$J$2:$J$201,HISTORIAL_HORARIOS!$F$2:$F$201),MATCH(1,(HISTORIAL_HORARIOS!$A$2:$A$201=$B53)*(HISTORIAL_HORARIOS!$C$2:$C$201&lt;=$A53)*(HISTORIAL_HORARIOS!$D$2:$D$201&gt;=$A53),0)),INDEX(IF($I53="FIN",PERSONAL!$J$2:$J$80,PERSONAL!$F$2:$F$80),MATCH($B53,PERSONAL!$A$2:$A$80,0)))))</f>
        <v/>
      </c>
      <c r="N53" s="53">
        <f t="array" ref="N53">IFERROR(INDEX(EXCEPCIONES_FECHA!$E$2:$E$201,MATCH(1,(EXCEPCIONES_FECHA!$A$2:$A$201=$A53)*(EXCEPCIONES_FECHA!$B$2:$B$201=$B53),0)),IFERROR(INDEX(EXCEPCIONES_FECHA!$E$2:$E$201,MATCH(1,(EXCEPCIONES_FECHA!$A$2:$A$201=$A53)*(EXCEPCIONES_FECHA!$B$2:$B$201=""),0)),IFERROR(INDEX(IF($I53="FIN",HISTORIAL_HORARIOS!$K$2:$K$201,HISTORIAL_HORARIOS!$G$2:$G$201),MATCH(1,(HISTORIAL_HORARIOS!$A$2:$A$201=$B53)*(HISTORIAL_HORARIOS!$C$2:$C$201&lt;=$A53)*(HISTORIAL_HORARIOS!$D$2:$D$201&gt;=$A53),0)),INDEX(IF($I53="FIN",PERSONAL!$K$2:$K$80,PERSONAL!$G$2:$G$80),MATCH($B53,PERSONAL!$A$2:$A$80,0)))))</f>
        <v/>
      </c>
      <c r="O53" s="53">
        <f t="array" ref="O53">IFERROR(INDEX(EXCEPCIONES_FECHA!$F$2:$F$201,MATCH(1,(EXCEPCIONES_FECHA!$A$2:$A$201=$A53)*(EXCEPCIONES_FECHA!$B$2:$B$201=$B53),0)),IFERROR(INDEX(EXCEPCIONES_FECHA!$F$2:$F$201,MATCH(1,(EXCEPCIONES_FECHA!$A$2:$A$201=$A53)*(EXCEPCIONES_FECHA!$B$2:$B$201=""),0)),IFERROR(INDEX(IF($I53="FIN",HISTORIAL_HORARIOS!$L$2:$L$201,HISTORIAL_HORARIOS!$H$2:$H$201),MATCH(1,(HISTORIAL_HORARIOS!$A$2:$A$201=$B53)*(HISTORIAL_HORARIOS!$C$2:$C$201&lt;=$A53)*(HISTORIAL_HORARIOS!$D$2:$D$201&gt;=$A53),0)),INDEX(IF($I53="FIN",PERSONAL!$L$2:$L$80,PERSONAL!$H$2:$H$80),MATCH($B53,PERSONAL!$A$2:$A$80,0)))))</f>
        <v/>
      </c>
    </row>
    <row r="54" ht="15" customHeight="1" s="58">
      <c r="A54" s="37" t="n"/>
      <c r="B54" s="38" t="n"/>
      <c r="C54" s="39" t="n"/>
      <c r="D54" s="39" t="n"/>
      <c r="E54" s="34">
        <f t="array" ref="E54">IF($B54="","",IFERROR(INDEX(PERSONAL!$B$2:$B$80,MATCH($B54,PERSONAL!$A$2:$A$80,0)),"NO EXISTE"))</f>
        <v/>
      </c>
      <c r="F54" s="52">
        <f t="array" ref="F54">IF($B54="","",IFERROR(INDEX(PERSONAL!$C$2:$C$80,MATCH($B54,PERSONAL!$A$2:$A$80,0)),""))</f>
        <v/>
      </c>
      <c r="G54" s="52">
        <f>IF($A54="","",CHOOSE(WEEKDAY($A54,2),"LUNES","MARTES","MIÉRCOLES","JUEVES","VIERNES","SÁBADO","DOMINGO"))</f>
        <v/>
      </c>
      <c r="H54" s="34">
        <f>IF($A54="","",CHOOSE(MONTH($A54),"ENERO","FEBRERO","MARZO","ABRIL","MAYO","JUNIO","JULIO","AGOSTO","SEPTIEMBRE","OCTUBRE","NOVIEMBRE","DICIEMBRE"))</f>
        <v/>
      </c>
      <c r="I54" s="34">
        <f>IF($A54="","",IF(OR($G54="SÁBADO",$G54="DOMINGO"),"FIN","LV"))</f>
        <v/>
      </c>
      <c r="J54" s="34">
        <f>IF(OR($A54="",$B54=""),"",IF($L54&lt;&gt;"",UPPER($L54),IF($C54="","FALTA",IFERROR(IF($C54&gt;=$O54,"ROJO FUERTE",IF($C54&gt;=$N54,"ROJO",IF($C54&gt;=$M54,"AMARILLO","VERDE"))),"REVISAR"))))</f>
        <v/>
      </c>
      <c r="K54" s="36">
        <f>IF(OR($C54="",$D54=""),"",IF($D54&gt;=$C54,($D54-$C54)*24,(1-$C54+$D54)*24))</f>
        <v/>
      </c>
      <c r="L54" s="34" t="n"/>
      <c r="M54" s="53">
        <f t="array" ref="M54">IFERROR(INDEX(EXCEPCIONES_FECHA!$D$2:$D$201,MATCH(1,(EXCEPCIONES_FECHA!$A$2:$A$201=$A54)*(EXCEPCIONES_FECHA!$B$2:$B$201=$B54),0)),IFERROR(INDEX(EXCEPCIONES_FECHA!$D$2:$D$201,MATCH(1,(EXCEPCIONES_FECHA!$A$2:$A$201=$A54)*(EXCEPCIONES_FECHA!$B$2:$B$201=""),0)),IFERROR(INDEX(IF($I54="FIN",HISTORIAL_HORARIOS!$J$2:$J$201,HISTORIAL_HORARIOS!$F$2:$F$201),MATCH(1,(HISTORIAL_HORARIOS!$A$2:$A$201=$B54)*(HISTORIAL_HORARIOS!$C$2:$C$201&lt;=$A54)*(HISTORIAL_HORARIOS!$D$2:$D$201&gt;=$A54),0)),INDEX(IF($I54="FIN",PERSONAL!$J$2:$J$80,PERSONAL!$F$2:$F$80),MATCH($B54,PERSONAL!$A$2:$A$80,0)))))</f>
        <v/>
      </c>
      <c r="N54" s="53">
        <f t="array" ref="N54">IFERROR(INDEX(EXCEPCIONES_FECHA!$E$2:$E$201,MATCH(1,(EXCEPCIONES_FECHA!$A$2:$A$201=$A54)*(EXCEPCIONES_FECHA!$B$2:$B$201=$B54),0)),IFERROR(INDEX(EXCEPCIONES_FECHA!$E$2:$E$201,MATCH(1,(EXCEPCIONES_FECHA!$A$2:$A$201=$A54)*(EXCEPCIONES_FECHA!$B$2:$B$201=""),0)),IFERROR(INDEX(IF($I54="FIN",HISTORIAL_HORARIOS!$K$2:$K$201,HISTORIAL_HORARIOS!$G$2:$G$201),MATCH(1,(HISTORIAL_HORARIOS!$A$2:$A$201=$B54)*(HISTORIAL_HORARIOS!$C$2:$C$201&lt;=$A54)*(HISTORIAL_HORARIOS!$D$2:$D$201&gt;=$A54),0)),INDEX(IF($I54="FIN",PERSONAL!$K$2:$K$80,PERSONAL!$G$2:$G$80),MATCH($B54,PERSONAL!$A$2:$A$80,0)))))</f>
        <v/>
      </c>
      <c r="O54" s="53">
        <f t="array" ref="O54">IFERROR(INDEX(EXCEPCIONES_FECHA!$F$2:$F$201,MATCH(1,(EXCEPCIONES_FECHA!$A$2:$A$201=$A54)*(EXCEPCIONES_FECHA!$B$2:$B$201=$B54),0)),IFERROR(INDEX(EXCEPCIONES_FECHA!$F$2:$F$201,MATCH(1,(EXCEPCIONES_FECHA!$A$2:$A$201=$A54)*(EXCEPCIONES_FECHA!$B$2:$B$201=""),0)),IFERROR(INDEX(IF($I54="FIN",HISTORIAL_HORARIOS!$L$2:$L$201,HISTORIAL_HORARIOS!$H$2:$H$201),MATCH(1,(HISTORIAL_HORARIOS!$A$2:$A$201=$B54)*(HISTORIAL_HORARIOS!$C$2:$C$201&lt;=$A54)*(HISTORIAL_HORARIOS!$D$2:$D$201&gt;=$A54),0)),INDEX(IF($I54="FIN",PERSONAL!$L$2:$L$80,PERSONAL!$H$2:$H$80),MATCH($B54,PERSONAL!$A$2:$A$80,0)))))</f>
        <v/>
      </c>
    </row>
    <row r="55" ht="15" customHeight="1" s="58">
      <c r="A55" s="37" t="n"/>
      <c r="B55" s="38" t="n"/>
      <c r="C55" s="39" t="n"/>
      <c r="D55" s="39" t="n"/>
      <c r="E55" s="34">
        <f t="array" ref="E55">IF($B55="","",IFERROR(INDEX(PERSONAL!$B$2:$B$80,MATCH($B55,PERSONAL!$A$2:$A$80,0)),"NO EXISTE"))</f>
        <v/>
      </c>
      <c r="F55" s="52">
        <f t="array" ref="F55">IF($B55="","",IFERROR(INDEX(PERSONAL!$C$2:$C$80,MATCH($B55,PERSONAL!$A$2:$A$80,0)),""))</f>
        <v/>
      </c>
      <c r="G55" s="52">
        <f>IF($A55="","",CHOOSE(WEEKDAY($A55,2),"LUNES","MARTES","MIÉRCOLES","JUEVES","VIERNES","SÁBADO","DOMINGO"))</f>
        <v/>
      </c>
      <c r="H55" s="34">
        <f>IF($A55="","",CHOOSE(MONTH($A55),"ENERO","FEBRERO","MARZO","ABRIL","MAYO","JUNIO","JULIO","AGOSTO","SEPTIEMBRE","OCTUBRE","NOVIEMBRE","DICIEMBRE"))</f>
        <v/>
      </c>
      <c r="I55" s="34">
        <f>IF($A55="","",IF(OR($G55="SÁBADO",$G55="DOMINGO"),"FIN","LV"))</f>
        <v/>
      </c>
      <c r="J55" s="34">
        <f>IF(OR($A55="",$B55=""),"",IF($L55&lt;&gt;"",UPPER($L55),IF($C55="","FALTA",IFERROR(IF($C55&gt;=$O55,"ROJO FUERTE",IF($C55&gt;=$N55,"ROJO",IF($C55&gt;=$M55,"AMARILLO","VERDE"))),"REVISAR"))))</f>
        <v/>
      </c>
      <c r="K55" s="36">
        <f>IF(OR($C55="",$D55=""),"",IF($D55&gt;=$C55,($D55-$C55)*24,(1-$C55+$D55)*24))</f>
        <v/>
      </c>
      <c r="L55" s="34" t="n"/>
      <c r="M55" s="53">
        <f t="array" ref="M55">IFERROR(INDEX(EXCEPCIONES_FECHA!$D$2:$D$201,MATCH(1,(EXCEPCIONES_FECHA!$A$2:$A$201=$A55)*(EXCEPCIONES_FECHA!$B$2:$B$201=$B55),0)),IFERROR(INDEX(EXCEPCIONES_FECHA!$D$2:$D$201,MATCH(1,(EXCEPCIONES_FECHA!$A$2:$A$201=$A55)*(EXCEPCIONES_FECHA!$B$2:$B$201=""),0)),IFERROR(INDEX(IF($I55="FIN",HISTORIAL_HORARIOS!$J$2:$J$201,HISTORIAL_HORARIOS!$F$2:$F$201),MATCH(1,(HISTORIAL_HORARIOS!$A$2:$A$201=$B55)*(HISTORIAL_HORARIOS!$C$2:$C$201&lt;=$A55)*(HISTORIAL_HORARIOS!$D$2:$D$201&gt;=$A55),0)),INDEX(IF($I55="FIN",PERSONAL!$J$2:$J$80,PERSONAL!$F$2:$F$80),MATCH($B55,PERSONAL!$A$2:$A$80,0)))))</f>
        <v/>
      </c>
      <c r="N55" s="53">
        <f t="array" ref="N55">IFERROR(INDEX(EXCEPCIONES_FECHA!$E$2:$E$201,MATCH(1,(EXCEPCIONES_FECHA!$A$2:$A$201=$A55)*(EXCEPCIONES_FECHA!$B$2:$B$201=$B55),0)),IFERROR(INDEX(EXCEPCIONES_FECHA!$E$2:$E$201,MATCH(1,(EXCEPCIONES_FECHA!$A$2:$A$201=$A55)*(EXCEPCIONES_FECHA!$B$2:$B$201=""),0)),IFERROR(INDEX(IF($I55="FIN",HISTORIAL_HORARIOS!$K$2:$K$201,HISTORIAL_HORARIOS!$G$2:$G$201),MATCH(1,(HISTORIAL_HORARIOS!$A$2:$A$201=$B55)*(HISTORIAL_HORARIOS!$C$2:$C$201&lt;=$A55)*(HISTORIAL_HORARIOS!$D$2:$D$201&gt;=$A55),0)),INDEX(IF($I55="FIN",PERSONAL!$K$2:$K$80,PERSONAL!$G$2:$G$80),MATCH($B55,PERSONAL!$A$2:$A$80,0)))))</f>
        <v/>
      </c>
      <c r="O55" s="53">
        <f t="array" ref="O55">IFERROR(INDEX(EXCEPCIONES_FECHA!$F$2:$F$201,MATCH(1,(EXCEPCIONES_FECHA!$A$2:$A$201=$A55)*(EXCEPCIONES_FECHA!$B$2:$B$201=$B55),0)),IFERROR(INDEX(EXCEPCIONES_FECHA!$F$2:$F$201,MATCH(1,(EXCEPCIONES_FECHA!$A$2:$A$201=$A55)*(EXCEPCIONES_FECHA!$B$2:$B$201=""),0)),IFERROR(INDEX(IF($I55="FIN",HISTORIAL_HORARIOS!$L$2:$L$201,HISTORIAL_HORARIOS!$H$2:$H$201),MATCH(1,(HISTORIAL_HORARIOS!$A$2:$A$201=$B55)*(HISTORIAL_HORARIOS!$C$2:$C$201&lt;=$A55)*(HISTORIAL_HORARIOS!$D$2:$D$201&gt;=$A55),0)),INDEX(IF($I55="FIN",PERSONAL!$L$2:$L$80,PERSONAL!$H$2:$H$80),MATCH($B55,PERSONAL!$A$2:$A$80,0)))))</f>
        <v/>
      </c>
    </row>
    <row r="56" ht="15" customHeight="1" s="58">
      <c r="A56" s="37" t="n"/>
      <c r="B56" s="38" t="n"/>
      <c r="C56" s="39" t="n"/>
      <c r="D56" s="39" t="n"/>
      <c r="E56" s="34">
        <f t="array" ref="E56">IF($B56="","",IFERROR(INDEX(PERSONAL!$B$2:$B$80,MATCH($B56,PERSONAL!$A$2:$A$80,0)),"NO EXISTE"))</f>
        <v/>
      </c>
      <c r="F56" s="52">
        <f t="array" ref="F56">IF($B56="","",IFERROR(INDEX(PERSONAL!$C$2:$C$80,MATCH($B56,PERSONAL!$A$2:$A$80,0)),""))</f>
        <v/>
      </c>
      <c r="G56" s="52">
        <f>IF($A56="","",CHOOSE(WEEKDAY($A56,2),"LUNES","MARTES","MIÉRCOLES","JUEVES","VIERNES","SÁBADO","DOMINGO"))</f>
        <v/>
      </c>
      <c r="H56" s="34">
        <f>IF($A56="","",CHOOSE(MONTH($A56),"ENERO","FEBRERO","MARZO","ABRIL","MAYO","JUNIO","JULIO","AGOSTO","SEPTIEMBRE","OCTUBRE","NOVIEMBRE","DICIEMBRE"))</f>
        <v/>
      </c>
      <c r="I56" s="34">
        <f>IF($A56="","",IF(OR($G56="SÁBADO",$G56="DOMINGO"),"FIN","LV"))</f>
        <v/>
      </c>
      <c r="J56" s="34">
        <f>IF(OR($A56="",$B56=""),"",IF($L56&lt;&gt;"",UPPER($L56),IF($C56="","FALTA",IFERROR(IF($C56&gt;=$O56,"ROJO FUERTE",IF($C56&gt;=$N56,"ROJO",IF($C56&gt;=$M56,"AMARILLO","VERDE"))),"REVISAR"))))</f>
        <v/>
      </c>
      <c r="K56" s="36">
        <f>IF(OR($C56="",$D56=""),"",IF($D56&gt;=$C56,($D56-$C56)*24,(1-$C56+$D56)*24))</f>
        <v/>
      </c>
      <c r="L56" s="34" t="n"/>
      <c r="M56" s="53">
        <f t="array" ref="M56">IFERROR(INDEX(EXCEPCIONES_FECHA!$D$2:$D$201,MATCH(1,(EXCEPCIONES_FECHA!$A$2:$A$201=$A56)*(EXCEPCIONES_FECHA!$B$2:$B$201=$B56),0)),IFERROR(INDEX(EXCEPCIONES_FECHA!$D$2:$D$201,MATCH(1,(EXCEPCIONES_FECHA!$A$2:$A$201=$A56)*(EXCEPCIONES_FECHA!$B$2:$B$201=""),0)),IFERROR(INDEX(IF($I56="FIN",HISTORIAL_HORARIOS!$J$2:$J$201,HISTORIAL_HORARIOS!$F$2:$F$201),MATCH(1,(HISTORIAL_HORARIOS!$A$2:$A$201=$B56)*(HISTORIAL_HORARIOS!$C$2:$C$201&lt;=$A56)*(HISTORIAL_HORARIOS!$D$2:$D$201&gt;=$A56),0)),INDEX(IF($I56="FIN",PERSONAL!$J$2:$J$80,PERSONAL!$F$2:$F$80),MATCH($B56,PERSONAL!$A$2:$A$80,0)))))</f>
        <v/>
      </c>
      <c r="N56" s="53">
        <f t="array" ref="N56">IFERROR(INDEX(EXCEPCIONES_FECHA!$E$2:$E$201,MATCH(1,(EXCEPCIONES_FECHA!$A$2:$A$201=$A56)*(EXCEPCIONES_FECHA!$B$2:$B$201=$B56),0)),IFERROR(INDEX(EXCEPCIONES_FECHA!$E$2:$E$201,MATCH(1,(EXCEPCIONES_FECHA!$A$2:$A$201=$A56)*(EXCEPCIONES_FECHA!$B$2:$B$201=""),0)),IFERROR(INDEX(IF($I56="FIN",HISTORIAL_HORARIOS!$K$2:$K$201,HISTORIAL_HORARIOS!$G$2:$G$201),MATCH(1,(HISTORIAL_HORARIOS!$A$2:$A$201=$B56)*(HISTORIAL_HORARIOS!$C$2:$C$201&lt;=$A56)*(HISTORIAL_HORARIOS!$D$2:$D$201&gt;=$A56),0)),INDEX(IF($I56="FIN",PERSONAL!$K$2:$K$80,PERSONAL!$G$2:$G$80),MATCH($B56,PERSONAL!$A$2:$A$80,0)))))</f>
        <v/>
      </c>
      <c r="O56" s="53">
        <f t="array" ref="O56">IFERROR(INDEX(EXCEPCIONES_FECHA!$F$2:$F$201,MATCH(1,(EXCEPCIONES_FECHA!$A$2:$A$201=$A56)*(EXCEPCIONES_FECHA!$B$2:$B$201=$B56),0)),IFERROR(INDEX(EXCEPCIONES_FECHA!$F$2:$F$201,MATCH(1,(EXCEPCIONES_FECHA!$A$2:$A$201=$A56)*(EXCEPCIONES_FECHA!$B$2:$B$201=""),0)),IFERROR(INDEX(IF($I56="FIN",HISTORIAL_HORARIOS!$L$2:$L$201,HISTORIAL_HORARIOS!$H$2:$H$201),MATCH(1,(HISTORIAL_HORARIOS!$A$2:$A$201=$B56)*(HISTORIAL_HORARIOS!$C$2:$C$201&lt;=$A56)*(HISTORIAL_HORARIOS!$D$2:$D$201&gt;=$A56),0)),INDEX(IF($I56="FIN",PERSONAL!$L$2:$L$80,PERSONAL!$H$2:$H$80),MATCH($B56,PERSONAL!$A$2:$A$80,0)))))</f>
        <v/>
      </c>
    </row>
    <row r="57" ht="15" customHeight="1" s="58">
      <c r="A57" s="37" t="n"/>
      <c r="B57" s="38" t="n"/>
      <c r="C57" s="39" t="n"/>
      <c r="D57" s="39" t="n"/>
      <c r="E57" s="34">
        <f t="array" ref="E57">IF($B57="","",IFERROR(INDEX(PERSONAL!$B$2:$B$80,MATCH($B57,PERSONAL!$A$2:$A$80,0)),"NO EXISTE"))</f>
        <v/>
      </c>
      <c r="F57" s="52">
        <f t="array" ref="F57">IF($B57="","",IFERROR(INDEX(PERSONAL!$C$2:$C$80,MATCH($B57,PERSONAL!$A$2:$A$80,0)),""))</f>
        <v/>
      </c>
      <c r="G57" s="52">
        <f>IF($A57="","",CHOOSE(WEEKDAY($A57,2),"LUNES","MARTES","MIÉRCOLES","JUEVES","VIERNES","SÁBADO","DOMINGO"))</f>
        <v/>
      </c>
      <c r="H57" s="34">
        <f>IF($A57="","",CHOOSE(MONTH($A57),"ENERO","FEBRERO","MARZO","ABRIL","MAYO","JUNIO","JULIO","AGOSTO","SEPTIEMBRE","OCTUBRE","NOVIEMBRE","DICIEMBRE"))</f>
        <v/>
      </c>
      <c r="I57" s="34">
        <f>IF($A57="","",IF(OR($G57="SÁBADO",$G57="DOMINGO"),"FIN","LV"))</f>
        <v/>
      </c>
      <c r="J57" s="34">
        <f>IF(OR($A57="",$B57=""),"",IF($L57&lt;&gt;"",UPPER($L57),IF($C57="","FALTA",IFERROR(IF($C57&gt;=$O57,"ROJO FUERTE",IF($C57&gt;=$N57,"ROJO",IF($C57&gt;=$M57,"AMARILLO","VERDE"))),"REVISAR"))))</f>
        <v/>
      </c>
      <c r="K57" s="36">
        <f>IF(OR($C57="",$D57=""),"",IF($D57&gt;=$C57,($D57-$C57)*24,(1-$C57+$D57)*24))</f>
        <v/>
      </c>
      <c r="L57" s="34" t="n"/>
      <c r="M57" s="53">
        <f t="array" ref="M57">IFERROR(INDEX(EXCEPCIONES_FECHA!$D$2:$D$201,MATCH(1,(EXCEPCIONES_FECHA!$A$2:$A$201=$A57)*(EXCEPCIONES_FECHA!$B$2:$B$201=$B57),0)),IFERROR(INDEX(EXCEPCIONES_FECHA!$D$2:$D$201,MATCH(1,(EXCEPCIONES_FECHA!$A$2:$A$201=$A57)*(EXCEPCIONES_FECHA!$B$2:$B$201=""),0)),IFERROR(INDEX(IF($I57="FIN",HISTORIAL_HORARIOS!$J$2:$J$201,HISTORIAL_HORARIOS!$F$2:$F$201),MATCH(1,(HISTORIAL_HORARIOS!$A$2:$A$201=$B57)*(HISTORIAL_HORARIOS!$C$2:$C$201&lt;=$A57)*(HISTORIAL_HORARIOS!$D$2:$D$201&gt;=$A57),0)),INDEX(IF($I57="FIN",PERSONAL!$J$2:$J$80,PERSONAL!$F$2:$F$80),MATCH($B57,PERSONAL!$A$2:$A$80,0)))))</f>
        <v/>
      </c>
      <c r="N57" s="53">
        <f t="array" ref="N57">IFERROR(INDEX(EXCEPCIONES_FECHA!$E$2:$E$201,MATCH(1,(EXCEPCIONES_FECHA!$A$2:$A$201=$A57)*(EXCEPCIONES_FECHA!$B$2:$B$201=$B57),0)),IFERROR(INDEX(EXCEPCIONES_FECHA!$E$2:$E$201,MATCH(1,(EXCEPCIONES_FECHA!$A$2:$A$201=$A57)*(EXCEPCIONES_FECHA!$B$2:$B$201=""),0)),IFERROR(INDEX(IF($I57="FIN",HISTORIAL_HORARIOS!$K$2:$K$201,HISTORIAL_HORARIOS!$G$2:$G$201),MATCH(1,(HISTORIAL_HORARIOS!$A$2:$A$201=$B57)*(HISTORIAL_HORARIOS!$C$2:$C$201&lt;=$A57)*(HISTORIAL_HORARIOS!$D$2:$D$201&gt;=$A57),0)),INDEX(IF($I57="FIN",PERSONAL!$K$2:$K$80,PERSONAL!$G$2:$G$80),MATCH($B57,PERSONAL!$A$2:$A$80,0)))))</f>
        <v/>
      </c>
      <c r="O57" s="53">
        <f t="array" ref="O57">IFERROR(INDEX(EXCEPCIONES_FECHA!$F$2:$F$201,MATCH(1,(EXCEPCIONES_FECHA!$A$2:$A$201=$A57)*(EXCEPCIONES_FECHA!$B$2:$B$201=$B57),0)),IFERROR(INDEX(EXCEPCIONES_FECHA!$F$2:$F$201,MATCH(1,(EXCEPCIONES_FECHA!$A$2:$A$201=$A57)*(EXCEPCIONES_FECHA!$B$2:$B$201=""),0)),IFERROR(INDEX(IF($I57="FIN",HISTORIAL_HORARIOS!$L$2:$L$201,HISTORIAL_HORARIOS!$H$2:$H$201),MATCH(1,(HISTORIAL_HORARIOS!$A$2:$A$201=$B57)*(HISTORIAL_HORARIOS!$C$2:$C$201&lt;=$A57)*(HISTORIAL_HORARIOS!$D$2:$D$201&gt;=$A57),0)),INDEX(IF($I57="FIN",PERSONAL!$L$2:$L$80,PERSONAL!$H$2:$H$80),MATCH($B57,PERSONAL!$A$2:$A$80,0)))))</f>
        <v/>
      </c>
    </row>
    <row r="58" ht="15" customHeight="1" s="58">
      <c r="A58" s="37" t="n"/>
      <c r="B58" s="38" t="n"/>
      <c r="C58" s="39" t="n"/>
      <c r="D58" s="39" t="n"/>
      <c r="E58" s="34">
        <f t="array" ref="E58">IF($B58="","",IFERROR(INDEX(PERSONAL!$B$2:$B$80,MATCH($B58,PERSONAL!$A$2:$A$80,0)),"NO EXISTE"))</f>
        <v/>
      </c>
      <c r="F58" s="52">
        <f t="array" ref="F58">IF($B58="","",IFERROR(INDEX(PERSONAL!$C$2:$C$80,MATCH($B58,PERSONAL!$A$2:$A$80,0)),""))</f>
        <v/>
      </c>
      <c r="G58" s="52">
        <f>IF($A58="","",CHOOSE(WEEKDAY($A58,2),"LUNES","MARTES","MIÉRCOLES","JUEVES","VIERNES","SÁBADO","DOMINGO"))</f>
        <v/>
      </c>
      <c r="H58" s="34">
        <f>IF($A58="","",CHOOSE(MONTH($A58),"ENERO","FEBRERO","MARZO","ABRIL","MAYO","JUNIO","JULIO","AGOSTO","SEPTIEMBRE","OCTUBRE","NOVIEMBRE","DICIEMBRE"))</f>
        <v/>
      </c>
      <c r="I58" s="34">
        <f>IF($A58="","",IF(OR($G58="SÁBADO",$G58="DOMINGO"),"FIN","LV"))</f>
        <v/>
      </c>
      <c r="J58" s="34">
        <f>IF(OR($A58="",$B58=""),"",IF($L58&lt;&gt;"",UPPER($L58),IF($C58="","FALTA",IFERROR(IF($C58&gt;=$O58,"ROJO FUERTE",IF($C58&gt;=$N58,"ROJO",IF($C58&gt;=$M58,"AMARILLO","VERDE"))),"REVISAR"))))</f>
        <v/>
      </c>
      <c r="K58" s="36">
        <f>IF(OR($C58="",$D58=""),"",IF($D58&gt;=$C58,($D58-$C58)*24,(1-$C58+$D58)*24))</f>
        <v/>
      </c>
      <c r="L58" s="34" t="n"/>
      <c r="M58" s="53">
        <f t="array" ref="M58">IFERROR(INDEX(EXCEPCIONES_FECHA!$D$2:$D$201,MATCH(1,(EXCEPCIONES_FECHA!$A$2:$A$201=$A58)*(EXCEPCIONES_FECHA!$B$2:$B$201=$B58),0)),IFERROR(INDEX(EXCEPCIONES_FECHA!$D$2:$D$201,MATCH(1,(EXCEPCIONES_FECHA!$A$2:$A$201=$A58)*(EXCEPCIONES_FECHA!$B$2:$B$201=""),0)),IFERROR(INDEX(IF($I58="FIN",HISTORIAL_HORARIOS!$J$2:$J$201,HISTORIAL_HORARIOS!$F$2:$F$201),MATCH(1,(HISTORIAL_HORARIOS!$A$2:$A$201=$B58)*(HISTORIAL_HORARIOS!$C$2:$C$201&lt;=$A58)*(HISTORIAL_HORARIOS!$D$2:$D$201&gt;=$A58),0)),INDEX(IF($I58="FIN",PERSONAL!$J$2:$J$80,PERSONAL!$F$2:$F$80),MATCH($B58,PERSONAL!$A$2:$A$80,0)))))</f>
        <v/>
      </c>
      <c r="N58" s="53">
        <f t="array" ref="N58">IFERROR(INDEX(EXCEPCIONES_FECHA!$E$2:$E$201,MATCH(1,(EXCEPCIONES_FECHA!$A$2:$A$201=$A58)*(EXCEPCIONES_FECHA!$B$2:$B$201=$B58),0)),IFERROR(INDEX(EXCEPCIONES_FECHA!$E$2:$E$201,MATCH(1,(EXCEPCIONES_FECHA!$A$2:$A$201=$A58)*(EXCEPCIONES_FECHA!$B$2:$B$201=""),0)),IFERROR(INDEX(IF($I58="FIN",HISTORIAL_HORARIOS!$K$2:$K$201,HISTORIAL_HORARIOS!$G$2:$G$201),MATCH(1,(HISTORIAL_HORARIOS!$A$2:$A$201=$B58)*(HISTORIAL_HORARIOS!$C$2:$C$201&lt;=$A58)*(HISTORIAL_HORARIOS!$D$2:$D$201&gt;=$A58),0)),INDEX(IF($I58="FIN",PERSONAL!$K$2:$K$80,PERSONAL!$G$2:$G$80),MATCH($B58,PERSONAL!$A$2:$A$80,0)))))</f>
        <v/>
      </c>
      <c r="O58" s="53">
        <f t="array" ref="O58">IFERROR(INDEX(EXCEPCIONES_FECHA!$F$2:$F$201,MATCH(1,(EXCEPCIONES_FECHA!$A$2:$A$201=$A58)*(EXCEPCIONES_FECHA!$B$2:$B$201=$B58),0)),IFERROR(INDEX(EXCEPCIONES_FECHA!$F$2:$F$201,MATCH(1,(EXCEPCIONES_FECHA!$A$2:$A$201=$A58)*(EXCEPCIONES_FECHA!$B$2:$B$201=""),0)),IFERROR(INDEX(IF($I58="FIN",HISTORIAL_HORARIOS!$L$2:$L$201,HISTORIAL_HORARIOS!$H$2:$H$201),MATCH(1,(HISTORIAL_HORARIOS!$A$2:$A$201=$B58)*(HISTORIAL_HORARIOS!$C$2:$C$201&lt;=$A58)*(HISTORIAL_HORARIOS!$D$2:$D$201&gt;=$A58),0)),INDEX(IF($I58="FIN",PERSONAL!$L$2:$L$80,PERSONAL!$H$2:$H$80),MATCH($B58,PERSONAL!$A$2:$A$80,0)))))</f>
        <v/>
      </c>
    </row>
    <row r="59" ht="15" customHeight="1" s="58">
      <c r="A59" s="37" t="n"/>
      <c r="B59" s="38" t="n"/>
      <c r="C59" s="39" t="n"/>
      <c r="D59" s="39" t="n"/>
      <c r="E59" s="34">
        <f t="array" ref="E59">IF($B59="","",IFERROR(INDEX(PERSONAL!$B$2:$B$80,MATCH($B59,PERSONAL!$A$2:$A$80,0)),"NO EXISTE"))</f>
        <v/>
      </c>
      <c r="F59" s="52">
        <f t="array" ref="F59">IF($B59="","",IFERROR(INDEX(PERSONAL!$C$2:$C$80,MATCH($B59,PERSONAL!$A$2:$A$80,0)),""))</f>
        <v/>
      </c>
      <c r="G59" s="52">
        <f>IF($A59="","",CHOOSE(WEEKDAY($A59,2),"LUNES","MARTES","MIÉRCOLES","JUEVES","VIERNES","SÁBADO","DOMINGO"))</f>
        <v/>
      </c>
      <c r="H59" s="34">
        <f>IF($A59="","",CHOOSE(MONTH($A59),"ENERO","FEBRERO","MARZO","ABRIL","MAYO","JUNIO","JULIO","AGOSTO","SEPTIEMBRE","OCTUBRE","NOVIEMBRE","DICIEMBRE"))</f>
        <v/>
      </c>
      <c r="I59" s="34">
        <f>IF($A59="","",IF(OR($G59="SÁBADO",$G59="DOMINGO"),"FIN","LV"))</f>
        <v/>
      </c>
      <c r="J59" s="34">
        <f>IF(OR($A59="",$B59=""),"",IF($L59&lt;&gt;"",UPPER($L59),IF($C59="","FALTA",IFERROR(IF($C59&gt;=$O59,"ROJO FUERTE",IF($C59&gt;=$N59,"ROJO",IF($C59&gt;=$M59,"AMARILLO","VERDE"))),"REVISAR"))))</f>
        <v/>
      </c>
      <c r="K59" s="36">
        <f>IF(OR($C59="",$D59=""),"",IF($D59&gt;=$C59,($D59-$C59)*24,(1-$C59+$D59)*24))</f>
        <v/>
      </c>
      <c r="L59" s="34" t="n"/>
      <c r="M59" s="53">
        <f t="array" ref="M59">IFERROR(INDEX(EXCEPCIONES_FECHA!$D$2:$D$201,MATCH(1,(EXCEPCIONES_FECHA!$A$2:$A$201=$A59)*(EXCEPCIONES_FECHA!$B$2:$B$201=$B59),0)),IFERROR(INDEX(EXCEPCIONES_FECHA!$D$2:$D$201,MATCH(1,(EXCEPCIONES_FECHA!$A$2:$A$201=$A59)*(EXCEPCIONES_FECHA!$B$2:$B$201=""),0)),IFERROR(INDEX(IF($I59="FIN",HISTORIAL_HORARIOS!$J$2:$J$201,HISTORIAL_HORARIOS!$F$2:$F$201),MATCH(1,(HISTORIAL_HORARIOS!$A$2:$A$201=$B59)*(HISTORIAL_HORARIOS!$C$2:$C$201&lt;=$A59)*(HISTORIAL_HORARIOS!$D$2:$D$201&gt;=$A59),0)),INDEX(IF($I59="FIN",PERSONAL!$J$2:$J$80,PERSONAL!$F$2:$F$80),MATCH($B59,PERSONAL!$A$2:$A$80,0)))))</f>
        <v/>
      </c>
      <c r="N59" s="53">
        <f t="array" ref="N59">IFERROR(INDEX(EXCEPCIONES_FECHA!$E$2:$E$201,MATCH(1,(EXCEPCIONES_FECHA!$A$2:$A$201=$A59)*(EXCEPCIONES_FECHA!$B$2:$B$201=$B59),0)),IFERROR(INDEX(EXCEPCIONES_FECHA!$E$2:$E$201,MATCH(1,(EXCEPCIONES_FECHA!$A$2:$A$201=$A59)*(EXCEPCIONES_FECHA!$B$2:$B$201=""),0)),IFERROR(INDEX(IF($I59="FIN",HISTORIAL_HORARIOS!$K$2:$K$201,HISTORIAL_HORARIOS!$G$2:$G$201),MATCH(1,(HISTORIAL_HORARIOS!$A$2:$A$201=$B59)*(HISTORIAL_HORARIOS!$C$2:$C$201&lt;=$A59)*(HISTORIAL_HORARIOS!$D$2:$D$201&gt;=$A59),0)),INDEX(IF($I59="FIN",PERSONAL!$K$2:$K$80,PERSONAL!$G$2:$G$80),MATCH($B59,PERSONAL!$A$2:$A$80,0)))))</f>
        <v/>
      </c>
      <c r="O59" s="53">
        <f t="array" ref="O59">IFERROR(INDEX(EXCEPCIONES_FECHA!$F$2:$F$201,MATCH(1,(EXCEPCIONES_FECHA!$A$2:$A$201=$A59)*(EXCEPCIONES_FECHA!$B$2:$B$201=$B59),0)),IFERROR(INDEX(EXCEPCIONES_FECHA!$F$2:$F$201,MATCH(1,(EXCEPCIONES_FECHA!$A$2:$A$201=$A59)*(EXCEPCIONES_FECHA!$B$2:$B$201=""),0)),IFERROR(INDEX(IF($I59="FIN",HISTORIAL_HORARIOS!$L$2:$L$201,HISTORIAL_HORARIOS!$H$2:$H$201),MATCH(1,(HISTORIAL_HORARIOS!$A$2:$A$201=$B59)*(HISTORIAL_HORARIOS!$C$2:$C$201&lt;=$A59)*(HISTORIAL_HORARIOS!$D$2:$D$201&gt;=$A59),0)),INDEX(IF($I59="FIN",PERSONAL!$L$2:$L$80,PERSONAL!$H$2:$H$80),MATCH($B59,PERSONAL!$A$2:$A$80,0)))))</f>
        <v/>
      </c>
    </row>
    <row r="60" ht="15" customHeight="1" s="58">
      <c r="A60" s="37" t="n"/>
      <c r="B60" s="38" t="n"/>
      <c r="C60" s="39" t="n"/>
      <c r="D60" s="39" t="n"/>
      <c r="E60" s="34">
        <f t="array" ref="E60">IF($B60="","",IFERROR(INDEX(PERSONAL!$B$2:$B$80,MATCH($B60,PERSONAL!$A$2:$A$80,0)),"NO EXISTE"))</f>
        <v/>
      </c>
      <c r="F60" s="52">
        <f t="array" ref="F60">IF($B60="","",IFERROR(INDEX(PERSONAL!$C$2:$C$80,MATCH($B60,PERSONAL!$A$2:$A$80,0)),""))</f>
        <v/>
      </c>
      <c r="G60" s="52">
        <f>IF($A60="","",CHOOSE(WEEKDAY($A60,2),"LUNES","MARTES","MIÉRCOLES","JUEVES","VIERNES","SÁBADO","DOMINGO"))</f>
        <v/>
      </c>
      <c r="H60" s="34">
        <f>IF($A60="","",CHOOSE(MONTH($A60),"ENERO","FEBRERO","MARZO","ABRIL","MAYO","JUNIO","JULIO","AGOSTO","SEPTIEMBRE","OCTUBRE","NOVIEMBRE","DICIEMBRE"))</f>
        <v/>
      </c>
      <c r="I60" s="34">
        <f>IF($A60="","",IF(OR($G60="SÁBADO",$G60="DOMINGO"),"FIN","LV"))</f>
        <v/>
      </c>
      <c r="J60" s="34">
        <f>IF(OR($A60="",$B60=""),"",IF($L60&lt;&gt;"",UPPER($L60),IF($C60="","FALTA",IFERROR(IF($C60&gt;=$O60,"ROJO FUERTE",IF($C60&gt;=$N60,"ROJO",IF($C60&gt;=$M60,"AMARILLO","VERDE"))),"REVISAR"))))</f>
        <v/>
      </c>
      <c r="K60" s="36">
        <f>IF(OR($C60="",$D60=""),"",IF($D60&gt;=$C60,($D60-$C60)*24,(1-$C60+$D60)*24))</f>
        <v/>
      </c>
      <c r="L60" s="34" t="n"/>
      <c r="M60" s="53">
        <f t="array" ref="M60">IFERROR(INDEX(EXCEPCIONES_FECHA!$D$2:$D$201,MATCH(1,(EXCEPCIONES_FECHA!$A$2:$A$201=$A60)*(EXCEPCIONES_FECHA!$B$2:$B$201=$B60),0)),IFERROR(INDEX(EXCEPCIONES_FECHA!$D$2:$D$201,MATCH(1,(EXCEPCIONES_FECHA!$A$2:$A$201=$A60)*(EXCEPCIONES_FECHA!$B$2:$B$201=""),0)),IFERROR(INDEX(IF($I60="FIN",HISTORIAL_HORARIOS!$J$2:$J$201,HISTORIAL_HORARIOS!$F$2:$F$201),MATCH(1,(HISTORIAL_HORARIOS!$A$2:$A$201=$B60)*(HISTORIAL_HORARIOS!$C$2:$C$201&lt;=$A60)*(HISTORIAL_HORARIOS!$D$2:$D$201&gt;=$A60),0)),INDEX(IF($I60="FIN",PERSONAL!$J$2:$J$80,PERSONAL!$F$2:$F$80),MATCH($B60,PERSONAL!$A$2:$A$80,0)))))</f>
        <v/>
      </c>
      <c r="N60" s="53">
        <f t="array" ref="N60">IFERROR(INDEX(EXCEPCIONES_FECHA!$E$2:$E$201,MATCH(1,(EXCEPCIONES_FECHA!$A$2:$A$201=$A60)*(EXCEPCIONES_FECHA!$B$2:$B$201=$B60),0)),IFERROR(INDEX(EXCEPCIONES_FECHA!$E$2:$E$201,MATCH(1,(EXCEPCIONES_FECHA!$A$2:$A$201=$A60)*(EXCEPCIONES_FECHA!$B$2:$B$201=""),0)),IFERROR(INDEX(IF($I60="FIN",HISTORIAL_HORARIOS!$K$2:$K$201,HISTORIAL_HORARIOS!$G$2:$G$201),MATCH(1,(HISTORIAL_HORARIOS!$A$2:$A$201=$B60)*(HISTORIAL_HORARIOS!$C$2:$C$201&lt;=$A60)*(HISTORIAL_HORARIOS!$D$2:$D$201&gt;=$A60),0)),INDEX(IF($I60="FIN",PERSONAL!$K$2:$K$80,PERSONAL!$G$2:$G$80),MATCH($B60,PERSONAL!$A$2:$A$80,0)))))</f>
        <v/>
      </c>
      <c r="O60" s="53">
        <f t="array" ref="O60">IFERROR(INDEX(EXCEPCIONES_FECHA!$F$2:$F$201,MATCH(1,(EXCEPCIONES_FECHA!$A$2:$A$201=$A60)*(EXCEPCIONES_FECHA!$B$2:$B$201=$B60),0)),IFERROR(INDEX(EXCEPCIONES_FECHA!$F$2:$F$201,MATCH(1,(EXCEPCIONES_FECHA!$A$2:$A$201=$A60)*(EXCEPCIONES_FECHA!$B$2:$B$201=""),0)),IFERROR(INDEX(IF($I60="FIN",HISTORIAL_HORARIOS!$L$2:$L$201,HISTORIAL_HORARIOS!$H$2:$H$201),MATCH(1,(HISTORIAL_HORARIOS!$A$2:$A$201=$B60)*(HISTORIAL_HORARIOS!$C$2:$C$201&lt;=$A60)*(HISTORIAL_HORARIOS!$D$2:$D$201&gt;=$A60),0)),INDEX(IF($I60="FIN",PERSONAL!$L$2:$L$80,PERSONAL!$H$2:$H$80),MATCH($B60,PERSONAL!$A$2:$A$80,0)))))</f>
        <v/>
      </c>
    </row>
    <row r="61" ht="15" customHeight="1" s="58">
      <c r="A61" s="37" t="n"/>
      <c r="B61" s="38" t="n"/>
      <c r="C61" s="39" t="n"/>
      <c r="D61" s="39" t="n"/>
      <c r="E61" s="34">
        <f t="array" ref="E61">IF($B61="","",IFERROR(INDEX(PERSONAL!$B$2:$B$80,MATCH($B61,PERSONAL!$A$2:$A$80,0)),"NO EXISTE"))</f>
        <v/>
      </c>
      <c r="F61" s="52">
        <f t="array" ref="F61">IF($B61="","",IFERROR(INDEX(PERSONAL!$C$2:$C$80,MATCH($B61,PERSONAL!$A$2:$A$80,0)),""))</f>
        <v/>
      </c>
      <c r="G61" s="52">
        <f>IF($A61="","",CHOOSE(WEEKDAY($A61,2),"LUNES","MARTES","MIÉRCOLES","JUEVES","VIERNES","SÁBADO","DOMINGO"))</f>
        <v/>
      </c>
      <c r="H61" s="34">
        <f>IF($A61="","",CHOOSE(MONTH($A61),"ENERO","FEBRERO","MARZO","ABRIL","MAYO","JUNIO","JULIO","AGOSTO","SEPTIEMBRE","OCTUBRE","NOVIEMBRE","DICIEMBRE"))</f>
        <v/>
      </c>
      <c r="I61" s="34">
        <f>IF($A61="","",IF(OR($G61="SÁBADO",$G61="DOMINGO"),"FIN","LV"))</f>
        <v/>
      </c>
      <c r="J61" s="34">
        <f>IF(OR($A61="",$B61=""),"",IF($L61&lt;&gt;"",UPPER($L61),IF($C61="","FALTA",IFERROR(IF($C61&gt;=$O61,"ROJO FUERTE",IF($C61&gt;=$N61,"ROJO",IF($C61&gt;=$M61,"AMARILLO","VERDE"))),"REVISAR"))))</f>
        <v/>
      </c>
      <c r="K61" s="36">
        <f>IF(OR($C61="",$D61=""),"",IF($D61&gt;=$C61,($D61-$C61)*24,(1-$C61+$D61)*24))</f>
        <v/>
      </c>
      <c r="L61" s="34" t="n"/>
      <c r="M61" s="53">
        <f t="array" ref="M61">IFERROR(INDEX(EXCEPCIONES_FECHA!$D$2:$D$201,MATCH(1,(EXCEPCIONES_FECHA!$A$2:$A$201=$A61)*(EXCEPCIONES_FECHA!$B$2:$B$201=$B61),0)),IFERROR(INDEX(EXCEPCIONES_FECHA!$D$2:$D$201,MATCH(1,(EXCEPCIONES_FECHA!$A$2:$A$201=$A61)*(EXCEPCIONES_FECHA!$B$2:$B$201=""),0)),IFERROR(INDEX(IF($I61="FIN",HISTORIAL_HORARIOS!$J$2:$J$201,HISTORIAL_HORARIOS!$F$2:$F$201),MATCH(1,(HISTORIAL_HORARIOS!$A$2:$A$201=$B61)*(HISTORIAL_HORARIOS!$C$2:$C$201&lt;=$A61)*(HISTORIAL_HORARIOS!$D$2:$D$201&gt;=$A61),0)),INDEX(IF($I61="FIN",PERSONAL!$J$2:$J$80,PERSONAL!$F$2:$F$80),MATCH($B61,PERSONAL!$A$2:$A$80,0)))))</f>
        <v/>
      </c>
      <c r="N61" s="53">
        <f t="array" ref="N61">IFERROR(INDEX(EXCEPCIONES_FECHA!$E$2:$E$201,MATCH(1,(EXCEPCIONES_FECHA!$A$2:$A$201=$A61)*(EXCEPCIONES_FECHA!$B$2:$B$201=$B61),0)),IFERROR(INDEX(EXCEPCIONES_FECHA!$E$2:$E$201,MATCH(1,(EXCEPCIONES_FECHA!$A$2:$A$201=$A61)*(EXCEPCIONES_FECHA!$B$2:$B$201=""),0)),IFERROR(INDEX(IF($I61="FIN",HISTORIAL_HORARIOS!$K$2:$K$201,HISTORIAL_HORARIOS!$G$2:$G$201),MATCH(1,(HISTORIAL_HORARIOS!$A$2:$A$201=$B61)*(HISTORIAL_HORARIOS!$C$2:$C$201&lt;=$A61)*(HISTORIAL_HORARIOS!$D$2:$D$201&gt;=$A61),0)),INDEX(IF($I61="FIN",PERSONAL!$K$2:$K$80,PERSONAL!$G$2:$G$80),MATCH($B61,PERSONAL!$A$2:$A$80,0)))))</f>
        <v/>
      </c>
      <c r="O61" s="53">
        <f t="array" ref="O61">IFERROR(INDEX(EXCEPCIONES_FECHA!$F$2:$F$201,MATCH(1,(EXCEPCIONES_FECHA!$A$2:$A$201=$A61)*(EXCEPCIONES_FECHA!$B$2:$B$201=$B61),0)),IFERROR(INDEX(EXCEPCIONES_FECHA!$F$2:$F$201,MATCH(1,(EXCEPCIONES_FECHA!$A$2:$A$201=$A61)*(EXCEPCIONES_FECHA!$B$2:$B$201=""),0)),IFERROR(INDEX(IF($I61="FIN",HISTORIAL_HORARIOS!$L$2:$L$201,HISTORIAL_HORARIOS!$H$2:$H$201),MATCH(1,(HISTORIAL_HORARIOS!$A$2:$A$201=$B61)*(HISTORIAL_HORARIOS!$C$2:$C$201&lt;=$A61)*(HISTORIAL_HORARIOS!$D$2:$D$201&gt;=$A61),0)),INDEX(IF($I61="FIN",PERSONAL!$L$2:$L$80,PERSONAL!$H$2:$H$80),MATCH($B61,PERSONAL!$A$2:$A$80,0)))))</f>
        <v/>
      </c>
    </row>
    <row r="62" ht="15" customHeight="1" s="58">
      <c r="A62" s="37" t="n"/>
      <c r="B62" s="38" t="n"/>
      <c r="C62" s="39" t="n"/>
      <c r="D62" s="39" t="n"/>
      <c r="E62" s="34">
        <f t="array" ref="E62">IF($B62="","",IFERROR(INDEX(PERSONAL!$B$2:$B$80,MATCH($B62,PERSONAL!$A$2:$A$80,0)),"NO EXISTE"))</f>
        <v/>
      </c>
      <c r="F62" s="52">
        <f t="array" ref="F62">IF($B62="","",IFERROR(INDEX(PERSONAL!$C$2:$C$80,MATCH($B62,PERSONAL!$A$2:$A$80,0)),""))</f>
        <v/>
      </c>
      <c r="G62" s="52">
        <f>IF($A62="","",CHOOSE(WEEKDAY($A62,2),"LUNES","MARTES","MIÉRCOLES","JUEVES","VIERNES","SÁBADO","DOMINGO"))</f>
        <v/>
      </c>
      <c r="H62" s="34">
        <f>IF($A62="","",CHOOSE(MONTH($A62),"ENERO","FEBRERO","MARZO","ABRIL","MAYO","JUNIO","JULIO","AGOSTO","SEPTIEMBRE","OCTUBRE","NOVIEMBRE","DICIEMBRE"))</f>
        <v/>
      </c>
      <c r="I62" s="34">
        <f>IF($A62="","",IF(OR($G62="SÁBADO",$G62="DOMINGO"),"FIN","LV"))</f>
        <v/>
      </c>
      <c r="J62" s="34">
        <f>IF(OR($A62="",$B62=""),"",IF($L62&lt;&gt;"",UPPER($L62),IF($C62="","FALTA",IFERROR(IF($C62&gt;=$O62,"ROJO FUERTE",IF($C62&gt;=$N62,"ROJO",IF($C62&gt;=$M62,"AMARILLO","VERDE"))),"REVISAR"))))</f>
        <v/>
      </c>
      <c r="K62" s="36">
        <f>IF(OR($C62="",$D62=""),"",IF($D62&gt;=$C62,($D62-$C62)*24,(1-$C62+$D62)*24))</f>
        <v/>
      </c>
      <c r="L62" s="34" t="n"/>
      <c r="M62" s="53">
        <f t="array" ref="M62">IFERROR(INDEX(EXCEPCIONES_FECHA!$D$2:$D$201,MATCH(1,(EXCEPCIONES_FECHA!$A$2:$A$201=$A62)*(EXCEPCIONES_FECHA!$B$2:$B$201=$B62),0)),IFERROR(INDEX(EXCEPCIONES_FECHA!$D$2:$D$201,MATCH(1,(EXCEPCIONES_FECHA!$A$2:$A$201=$A62)*(EXCEPCIONES_FECHA!$B$2:$B$201=""),0)),IFERROR(INDEX(IF($I62="FIN",HISTORIAL_HORARIOS!$J$2:$J$201,HISTORIAL_HORARIOS!$F$2:$F$201),MATCH(1,(HISTORIAL_HORARIOS!$A$2:$A$201=$B62)*(HISTORIAL_HORARIOS!$C$2:$C$201&lt;=$A62)*(HISTORIAL_HORARIOS!$D$2:$D$201&gt;=$A62),0)),INDEX(IF($I62="FIN",PERSONAL!$J$2:$J$80,PERSONAL!$F$2:$F$80),MATCH($B62,PERSONAL!$A$2:$A$80,0)))))</f>
        <v/>
      </c>
      <c r="N62" s="53">
        <f t="array" ref="N62">IFERROR(INDEX(EXCEPCIONES_FECHA!$E$2:$E$201,MATCH(1,(EXCEPCIONES_FECHA!$A$2:$A$201=$A62)*(EXCEPCIONES_FECHA!$B$2:$B$201=$B62),0)),IFERROR(INDEX(EXCEPCIONES_FECHA!$E$2:$E$201,MATCH(1,(EXCEPCIONES_FECHA!$A$2:$A$201=$A62)*(EXCEPCIONES_FECHA!$B$2:$B$201=""),0)),IFERROR(INDEX(IF($I62="FIN",HISTORIAL_HORARIOS!$K$2:$K$201,HISTORIAL_HORARIOS!$G$2:$G$201),MATCH(1,(HISTORIAL_HORARIOS!$A$2:$A$201=$B62)*(HISTORIAL_HORARIOS!$C$2:$C$201&lt;=$A62)*(HISTORIAL_HORARIOS!$D$2:$D$201&gt;=$A62),0)),INDEX(IF($I62="FIN",PERSONAL!$K$2:$K$80,PERSONAL!$G$2:$G$80),MATCH($B62,PERSONAL!$A$2:$A$80,0)))))</f>
        <v/>
      </c>
      <c r="O62" s="53">
        <f t="array" ref="O62">IFERROR(INDEX(EXCEPCIONES_FECHA!$F$2:$F$201,MATCH(1,(EXCEPCIONES_FECHA!$A$2:$A$201=$A62)*(EXCEPCIONES_FECHA!$B$2:$B$201=$B62),0)),IFERROR(INDEX(EXCEPCIONES_FECHA!$F$2:$F$201,MATCH(1,(EXCEPCIONES_FECHA!$A$2:$A$201=$A62)*(EXCEPCIONES_FECHA!$B$2:$B$201=""),0)),IFERROR(INDEX(IF($I62="FIN",HISTORIAL_HORARIOS!$L$2:$L$201,HISTORIAL_HORARIOS!$H$2:$H$201),MATCH(1,(HISTORIAL_HORARIOS!$A$2:$A$201=$B62)*(HISTORIAL_HORARIOS!$C$2:$C$201&lt;=$A62)*(HISTORIAL_HORARIOS!$D$2:$D$201&gt;=$A62),0)),INDEX(IF($I62="FIN",PERSONAL!$L$2:$L$80,PERSONAL!$H$2:$H$80),MATCH($B62,PERSONAL!$A$2:$A$80,0)))))</f>
        <v/>
      </c>
    </row>
    <row r="63" ht="15" customHeight="1" s="58">
      <c r="A63" s="37" t="n"/>
      <c r="B63" s="38" t="n"/>
      <c r="C63" s="39" t="n"/>
      <c r="D63" s="39" t="n"/>
      <c r="E63" s="34">
        <f t="array" ref="E63">IF($B63="","",IFERROR(INDEX(PERSONAL!$B$2:$B$80,MATCH($B63,PERSONAL!$A$2:$A$80,0)),"NO EXISTE"))</f>
        <v/>
      </c>
      <c r="F63" s="52">
        <f t="array" ref="F63">IF($B63="","",IFERROR(INDEX(PERSONAL!$C$2:$C$80,MATCH($B63,PERSONAL!$A$2:$A$80,0)),""))</f>
        <v/>
      </c>
      <c r="G63" s="52">
        <f>IF($A63="","",CHOOSE(WEEKDAY($A63,2),"LUNES","MARTES","MIÉRCOLES","JUEVES","VIERNES","SÁBADO","DOMINGO"))</f>
        <v/>
      </c>
      <c r="H63" s="34">
        <f>IF($A63="","",CHOOSE(MONTH($A63),"ENERO","FEBRERO","MARZO","ABRIL","MAYO","JUNIO","JULIO","AGOSTO","SEPTIEMBRE","OCTUBRE","NOVIEMBRE","DICIEMBRE"))</f>
        <v/>
      </c>
      <c r="I63" s="34">
        <f>IF($A63="","",IF(OR($G63="SÁBADO",$G63="DOMINGO"),"FIN","LV"))</f>
        <v/>
      </c>
      <c r="J63" s="34">
        <f>IF(OR($A63="",$B63=""),"",IF($L63&lt;&gt;"",UPPER($L63),IF($C63="","FALTA",IFERROR(IF($C63&gt;=$O63,"ROJO FUERTE",IF($C63&gt;=$N63,"ROJO",IF($C63&gt;=$M63,"AMARILLO","VERDE"))),"REVISAR"))))</f>
        <v/>
      </c>
      <c r="K63" s="36">
        <f>IF(OR($C63="",$D63=""),"",IF($D63&gt;=$C63,($D63-$C63)*24,(1-$C63+$D63)*24))</f>
        <v/>
      </c>
      <c r="L63" s="34" t="n"/>
      <c r="M63" s="53">
        <f t="array" ref="M63">IFERROR(INDEX(EXCEPCIONES_FECHA!$D$2:$D$201,MATCH(1,(EXCEPCIONES_FECHA!$A$2:$A$201=$A63)*(EXCEPCIONES_FECHA!$B$2:$B$201=$B63),0)),IFERROR(INDEX(EXCEPCIONES_FECHA!$D$2:$D$201,MATCH(1,(EXCEPCIONES_FECHA!$A$2:$A$201=$A63)*(EXCEPCIONES_FECHA!$B$2:$B$201=""),0)),IFERROR(INDEX(IF($I63="FIN",HISTORIAL_HORARIOS!$J$2:$J$201,HISTORIAL_HORARIOS!$F$2:$F$201),MATCH(1,(HISTORIAL_HORARIOS!$A$2:$A$201=$B63)*(HISTORIAL_HORARIOS!$C$2:$C$201&lt;=$A63)*(HISTORIAL_HORARIOS!$D$2:$D$201&gt;=$A63),0)),INDEX(IF($I63="FIN",PERSONAL!$J$2:$J$80,PERSONAL!$F$2:$F$80),MATCH($B63,PERSONAL!$A$2:$A$80,0)))))</f>
        <v/>
      </c>
      <c r="N63" s="53">
        <f t="array" ref="N63">IFERROR(INDEX(EXCEPCIONES_FECHA!$E$2:$E$201,MATCH(1,(EXCEPCIONES_FECHA!$A$2:$A$201=$A63)*(EXCEPCIONES_FECHA!$B$2:$B$201=$B63),0)),IFERROR(INDEX(EXCEPCIONES_FECHA!$E$2:$E$201,MATCH(1,(EXCEPCIONES_FECHA!$A$2:$A$201=$A63)*(EXCEPCIONES_FECHA!$B$2:$B$201=""),0)),IFERROR(INDEX(IF($I63="FIN",HISTORIAL_HORARIOS!$K$2:$K$201,HISTORIAL_HORARIOS!$G$2:$G$201),MATCH(1,(HISTORIAL_HORARIOS!$A$2:$A$201=$B63)*(HISTORIAL_HORARIOS!$C$2:$C$201&lt;=$A63)*(HISTORIAL_HORARIOS!$D$2:$D$201&gt;=$A63),0)),INDEX(IF($I63="FIN",PERSONAL!$K$2:$K$80,PERSONAL!$G$2:$G$80),MATCH($B63,PERSONAL!$A$2:$A$80,0)))))</f>
        <v/>
      </c>
      <c r="O63" s="53">
        <f t="array" ref="O63">IFERROR(INDEX(EXCEPCIONES_FECHA!$F$2:$F$201,MATCH(1,(EXCEPCIONES_FECHA!$A$2:$A$201=$A63)*(EXCEPCIONES_FECHA!$B$2:$B$201=$B63),0)),IFERROR(INDEX(EXCEPCIONES_FECHA!$F$2:$F$201,MATCH(1,(EXCEPCIONES_FECHA!$A$2:$A$201=$A63)*(EXCEPCIONES_FECHA!$B$2:$B$201=""),0)),IFERROR(INDEX(IF($I63="FIN",HISTORIAL_HORARIOS!$L$2:$L$201,HISTORIAL_HORARIOS!$H$2:$H$201),MATCH(1,(HISTORIAL_HORARIOS!$A$2:$A$201=$B63)*(HISTORIAL_HORARIOS!$C$2:$C$201&lt;=$A63)*(HISTORIAL_HORARIOS!$D$2:$D$201&gt;=$A63),0)),INDEX(IF($I63="FIN",PERSONAL!$L$2:$L$80,PERSONAL!$H$2:$H$80),MATCH($B63,PERSONAL!$A$2:$A$80,0)))))</f>
        <v/>
      </c>
    </row>
    <row r="64" ht="15" customHeight="1" s="58">
      <c r="A64" s="37" t="n"/>
      <c r="B64" s="38" t="n"/>
      <c r="C64" s="39" t="n"/>
      <c r="D64" s="39" t="n"/>
      <c r="E64" s="34">
        <f t="array" ref="E64">IF($B64="","",IFERROR(INDEX(PERSONAL!$B$2:$B$80,MATCH($B64,PERSONAL!$A$2:$A$80,0)),"NO EXISTE"))</f>
        <v/>
      </c>
      <c r="F64" s="52">
        <f t="array" ref="F64">IF($B64="","",IFERROR(INDEX(PERSONAL!$C$2:$C$80,MATCH($B64,PERSONAL!$A$2:$A$80,0)),""))</f>
        <v/>
      </c>
      <c r="G64" s="52">
        <f>IF($A64="","",CHOOSE(WEEKDAY($A64,2),"LUNES","MARTES","MIÉRCOLES","JUEVES","VIERNES","SÁBADO","DOMINGO"))</f>
        <v/>
      </c>
      <c r="H64" s="34">
        <f>IF($A64="","",CHOOSE(MONTH($A64),"ENERO","FEBRERO","MARZO","ABRIL","MAYO","JUNIO","JULIO","AGOSTO","SEPTIEMBRE","OCTUBRE","NOVIEMBRE","DICIEMBRE"))</f>
        <v/>
      </c>
      <c r="I64" s="34">
        <f>IF($A64="","",IF(OR($G64="SÁBADO",$G64="DOMINGO"),"FIN","LV"))</f>
        <v/>
      </c>
      <c r="J64" s="34">
        <f>IF(OR($A64="",$B64=""),"",IF($L64&lt;&gt;"",UPPER($L64),IF($C64="","FALTA",IFERROR(IF($C64&gt;=$O64,"ROJO FUERTE",IF($C64&gt;=$N64,"ROJO",IF($C64&gt;=$M64,"AMARILLO","VERDE"))),"REVISAR"))))</f>
        <v/>
      </c>
      <c r="K64" s="36">
        <f>IF(OR($C64="",$D64=""),"",IF($D64&gt;=$C64,($D64-$C64)*24,(1-$C64+$D64)*24))</f>
        <v/>
      </c>
      <c r="L64" s="34" t="n"/>
      <c r="M64" s="53">
        <f t="array" ref="M64">IFERROR(INDEX(EXCEPCIONES_FECHA!$D$2:$D$201,MATCH(1,(EXCEPCIONES_FECHA!$A$2:$A$201=$A64)*(EXCEPCIONES_FECHA!$B$2:$B$201=$B64),0)),IFERROR(INDEX(EXCEPCIONES_FECHA!$D$2:$D$201,MATCH(1,(EXCEPCIONES_FECHA!$A$2:$A$201=$A64)*(EXCEPCIONES_FECHA!$B$2:$B$201=""),0)),IFERROR(INDEX(IF($I64="FIN",HISTORIAL_HORARIOS!$J$2:$J$201,HISTORIAL_HORARIOS!$F$2:$F$201),MATCH(1,(HISTORIAL_HORARIOS!$A$2:$A$201=$B64)*(HISTORIAL_HORARIOS!$C$2:$C$201&lt;=$A64)*(HISTORIAL_HORARIOS!$D$2:$D$201&gt;=$A64),0)),INDEX(IF($I64="FIN",PERSONAL!$J$2:$J$80,PERSONAL!$F$2:$F$80),MATCH($B64,PERSONAL!$A$2:$A$80,0)))))</f>
        <v/>
      </c>
      <c r="N64" s="53">
        <f t="array" ref="N64">IFERROR(INDEX(EXCEPCIONES_FECHA!$E$2:$E$201,MATCH(1,(EXCEPCIONES_FECHA!$A$2:$A$201=$A64)*(EXCEPCIONES_FECHA!$B$2:$B$201=$B64),0)),IFERROR(INDEX(EXCEPCIONES_FECHA!$E$2:$E$201,MATCH(1,(EXCEPCIONES_FECHA!$A$2:$A$201=$A64)*(EXCEPCIONES_FECHA!$B$2:$B$201=""),0)),IFERROR(INDEX(IF($I64="FIN",HISTORIAL_HORARIOS!$K$2:$K$201,HISTORIAL_HORARIOS!$G$2:$G$201),MATCH(1,(HISTORIAL_HORARIOS!$A$2:$A$201=$B64)*(HISTORIAL_HORARIOS!$C$2:$C$201&lt;=$A64)*(HISTORIAL_HORARIOS!$D$2:$D$201&gt;=$A64),0)),INDEX(IF($I64="FIN",PERSONAL!$K$2:$K$80,PERSONAL!$G$2:$G$80),MATCH($B64,PERSONAL!$A$2:$A$80,0)))))</f>
        <v/>
      </c>
      <c r="O64" s="53">
        <f t="array" ref="O64">IFERROR(INDEX(EXCEPCIONES_FECHA!$F$2:$F$201,MATCH(1,(EXCEPCIONES_FECHA!$A$2:$A$201=$A64)*(EXCEPCIONES_FECHA!$B$2:$B$201=$B64),0)),IFERROR(INDEX(EXCEPCIONES_FECHA!$F$2:$F$201,MATCH(1,(EXCEPCIONES_FECHA!$A$2:$A$201=$A64)*(EXCEPCIONES_FECHA!$B$2:$B$201=""),0)),IFERROR(INDEX(IF($I64="FIN",HISTORIAL_HORARIOS!$L$2:$L$201,HISTORIAL_HORARIOS!$H$2:$H$201),MATCH(1,(HISTORIAL_HORARIOS!$A$2:$A$201=$B64)*(HISTORIAL_HORARIOS!$C$2:$C$201&lt;=$A64)*(HISTORIAL_HORARIOS!$D$2:$D$201&gt;=$A64),0)),INDEX(IF($I64="FIN",PERSONAL!$L$2:$L$80,PERSONAL!$H$2:$H$80),MATCH($B64,PERSONAL!$A$2:$A$80,0)))))</f>
        <v/>
      </c>
    </row>
    <row r="65" ht="15" customHeight="1" s="58">
      <c r="A65" s="37" t="n"/>
      <c r="B65" s="38" t="n"/>
      <c r="C65" s="39" t="n"/>
      <c r="D65" s="39" t="n"/>
      <c r="E65" s="34">
        <f t="array" ref="E65">IF($B65="","",IFERROR(INDEX(PERSONAL!$B$2:$B$80,MATCH($B65,PERSONAL!$A$2:$A$80,0)),"NO EXISTE"))</f>
        <v/>
      </c>
      <c r="F65" s="52">
        <f t="array" ref="F65">IF($B65="","",IFERROR(INDEX(PERSONAL!$C$2:$C$80,MATCH($B65,PERSONAL!$A$2:$A$80,0)),""))</f>
        <v/>
      </c>
      <c r="G65" s="52">
        <f>IF($A65="","",CHOOSE(WEEKDAY($A65,2),"LUNES","MARTES","MIÉRCOLES","JUEVES","VIERNES","SÁBADO","DOMINGO"))</f>
        <v/>
      </c>
      <c r="H65" s="34">
        <f>IF($A65="","",CHOOSE(MONTH($A65),"ENERO","FEBRERO","MARZO","ABRIL","MAYO","JUNIO","JULIO","AGOSTO","SEPTIEMBRE","OCTUBRE","NOVIEMBRE","DICIEMBRE"))</f>
        <v/>
      </c>
      <c r="I65" s="34">
        <f>IF($A65="","",IF(OR($G65="SÁBADO",$G65="DOMINGO"),"FIN","LV"))</f>
        <v/>
      </c>
      <c r="J65" s="34">
        <f>IF(OR($A65="",$B65=""),"",IF($L65&lt;&gt;"",UPPER($L65),IF($C65="","FALTA",IFERROR(IF($C65&gt;=$O65,"ROJO FUERTE",IF($C65&gt;=$N65,"ROJO",IF($C65&gt;=$M65,"AMARILLO","VERDE"))),"REVISAR"))))</f>
        <v/>
      </c>
      <c r="K65" s="36">
        <f>IF(OR($C65="",$D65=""),"",IF($D65&gt;=$C65,($D65-$C65)*24,(1-$C65+$D65)*24))</f>
        <v/>
      </c>
      <c r="L65" s="34" t="n"/>
      <c r="M65" s="53">
        <f t="array" ref="M65">IFERROR(INDEX(EXCEPCIONES_FECHA!$D$2:$D$201,MATCH(1,(EXCEPCIONES_FECHA!$A$2:$A$201=$A65)*(EXCEPCIONES_FECHA!$B$2:$B$201=$B65),0)),IFERROR(INDEX(EXCEPCIONES_FECHA!$D$2:$D$201,MATCH(1,(EXCEPCIONES_FECHA!$A$2:$A$201=$A65)*(EXCEPCIONES_FECHA!$B$2:$B$201=""),0)),IFERROR(INDEX(IF($I65="FIN",HISTORIAL_HORARIOS!$J$2:$J$201,HISTORIAL_HORARIOS!$F$2:$F$201),MATCH(1,(HISTORIAL_HORARIOS!$A$2:$A$201=$B65)*(HISTORIAL_HORARIOS!$C$2:$C$201&lt;=$A65)*(HISTORIAL_HORARIOS!$D$2:$D$201&gt;=$A65),0)),INDEX(IF($I65="FIN",PERSONAL!$J$2:$J$80,PERSONAL!$F$2:$F$80),MATCH($B65,PERSONAL!$A$2:$A$80,0)))))</f>
        <v/>
      </c>
      <c r="N65" s="53">
        <f t="array" ref="N65">IFERROR(INDEX(EXCEPCIONES_FECHA!$E$2:$E$201,MATCH(1,(EXCEPCIONES_FECHA!$A$2:$A$201=$A65)*(EXCEPCIONES_FECHA!$B$2:$B$201=$B65),0)),IFERROR(INDEX(EXCEPCIONES_FECHA!$E$2:$E$201,MATCH(1,(EXCEPCIONES_FECHA!$A$2:$A$201=$A65)*(EXCEPCIONES_FECHA!$B$2:$B$201=""),0)),IFERROR(INDEX(IF($I65="FIN",HISTORIAL_HORARIOS!$K$2:$K$201,HISTORIAL_HORARIOS!$G$2:$G$201),MATCH(1,(HISTORIAL_HORARIOS!$A$2:$A$201=$B65)*(HISTORIAL_HORARIOS!$C$2:$C$201&lt;=$A65)*(HISTORIAL_HORARIOS!$D$2:$D$201&gt;=$A65),0)),INDEX(IF($I65="FIN",PERSONAL!$K$2:$K$80,PERSONAL!$G$2:$G$80),MATCH($B65,PERSONAL!$A$2:$A$80,0)))))</f>
        <v/>
      </c>
      <c r="O65" s="53">
        <f t="array" ref="O65">IFERROR(INDEX(EXCEPCIONES_FECHA!$F$2:$F$201,MATCH(1,(EXCEPCIONES_FECHA!$A$2:$A$201=$A65)*(EXCEPCIONES_FECHA!$B$2:$B$201=$B65),0)),IFERROR(INDEX(EXCEPCIONES_FECHA!$F$2:$F$201,MATCH(1,(EXCEPCIONES_FECHA!$A$2:$A$201=$A65)*(EXCEPCIONES_FECHA!$B$2:$B$201=""),0)),IFERROR(INDEX(IF($I65="FIN",HISTORIAL_HORARIOS!$L$2:$L$201,HISTORIAL_HORARIOS!$H$2:$H$201),MATCH(1,(HISTORIAL_HORARIOS!$A$2:$A$201=$B65)*(HISTORIAL_HORARIOS!$C$2:$C$201&lt;=$A65)*(HISTORIAL_HORARIOS!$D$2:$D$201&gt;=$A65),0)),INDEX(IF($I65="FIN",PERSONAL!$L$2:$L$80,PERSONAL!$H$2:$H$80),MATCH($B65,PERSONAL!$A$2:$A$80,0)))))</f>
        <v/>
      </c>
    </row>
    <row r="66" ht="15" customHeight="1" s="58">
      <c r="A66" s="37" t="n"/>
      <c r="B66" s="38" t="n"/>
      <c r="C66" s="39" t="n"/>
      <c r="D66" s="39" t="n"/>
      <c r="E66" s="34">
        <f t="array" ref="E66">IF($B66="","",IFERROR(INDEX(PERSONAL!$B$2:$B$80,MATCH($B66,PERSONAL!$A$2:$A$80,0)),"NO EXISTE"))</f>
        <v/>
      </c>
      <c r="F66" s="52">
        <f t="array" ref="F66">IF($B66="","",IFERROR(INDEX(PERSONAL!$C$2:$C$80,MATCH($B66,PERSONAL!$A$2:$A$80,0)),""))</f>
        <v/>
      </c>
      <c r="G66" s="52">
        <f>IF($A66="","",CHOOSE(WEEKDAY($A66,2),"LUNES","MARTES","MIÉRCOLES","JUEVES","VIERNES","SÁBADO","DOMINGO"))</f>
        <v/>
      </c>
      <c r="H66" s="34">
        <f>IF($A66="","",CHOOSE(MONTH($A66),"ENERO","FEBRERO","MARZO","ABRIL","MAYO","JUNIO","JULIO","AGOSTO","SEPTIEMBRE","OCTUBRE","NOVIEMBRE","DICIEMBRE"))</f>
        <v/>
      </c>
      <c r="I66" s="34">
        <f>IF($A66="","",IF(OR($G66="SÁBADO",$G66="DOMINGO"),"FIN","LV"))</f>
        <v/>
      </c>
      <c r="J66" s="34">
        <f>IF(OR($A66="",$B66=""),"",IF($L66&lt;&gt;"",UPPER($L66),IF($C66="","FALTA",IFERROR(IF($C66&gt;=$O66,"ROJO FUERTE",IF($C66&gt;=$N66,"ROJO",IF($C66&gt;=$M66,"AMARILLO","VERDE"))),"REVISAR"))))</f>
        <v/>
      </c>
      <c r="K66" s="36">
        <f>IF(OR($C66="",$D66=""),"",IF($D66&gt;=$C66,($D66-$C66)*24,(1-$C66+$D66)*24))</f>
        <v/>
      </c>
      <c r="L66" s="34" t="n"/>
      <c r="M66" s="53">
        <f t="array" ref="M66">IFERROR(INDEX(EXCEPCIONES_FECHA!$D$2:$D$201,MATCH(1,(EXCEPCIONES_FECHA!$A$2:$A$201=$A66)*(EXCEPCIONES_FECHA!$B$2:$B$201=$B66),0)),IFERROR(INDEX(EXCEPCIONES_FECHA!$D$2:$D$201,MATCH(1,(EXCEPCIONES_FECHA!$A$2:$A$201=$A66)*(EXCEPCIONES_FECHA!$B$2:$B$201=""),0)),IFERROR(INDEX(IF($I66="FIN",HISTORIAL_HORARIOS!$J$2:$J$201,HISTORIAL_HORARIOS!$F$2:$F$201),MATCH(1,(HISTORIAL_HORARIOS!$A$2:$A$201=$B66)*(HISTORIAL_HORARIOS!$C$2:$C$201&lt;=$A66)*(HISTORIAL_HORARIOS!$D$2:$D$201&gt;=$A66),0)),INDEX(IF($I66="FIN",PERSONAL!$J$2:$J$80,PERSONAL!$F$2:$F$80),MATCH($B66,PERSONAL!$A$2:$A$80,0)))))</f>
        <v/>
      </c>
      <c r="N66" s="53">
        <f t="array" ref="N66">IFERROR(INDEX(EXCEPCIONES_FECHA!$E$2:$E$201,MATCH(1,(EXCEPCIONES_FECHA!$A$2:$A$201=$A66)*(EXCEPCIONES_FECHA!$B$2:$B$201=$B66),0)),IFERROR(INDEX(EXCEPCIONES_FECHA!$E$2:$E$201,MATCH(1,(EXCEPCIONES_FECHA!$A$2:$A$201=$A66)*(EXCEPCIONES_FECHA!$B$2:$B$201=""),0)),IFERROR(INDEX(IF($I66="FIN",HISTORIAL_HORARIOS!$K$2:$K$201,HISTORIAL_HORARIOS!$G$2:$G$201),MATCH(1,(HISTORIAL_HORARIOS!$A$2:$A$201=$B66)*(HISTORIAL_HORARIOS!$C$2:$C$201&lt;=$A66)*(HISTORIAL_HORARIOS!$D$2:$D$201&gt;=$A66),0)),INDEX(IF($I66="FIN",PERSONAL!$K$2:$K$80,PERSONAL!$G$2:$G$80),MATCH($B66,PERSONAL!$A$2:$A$80,0)))))</f>
        <v/>
      </c>
      <c r="O66" s="53">
        <f t="array" ref="O66">IFERROR(INDEX(EXCEPCIONES_FECHA!$F$2:$F$201,MATCH(1,(EXCEPCIONES_FECHA!$A$2:$A$201=$A66)*(EXCEPCIONES_FECHA!$B$2:$B$201=$B66),0)),IFERROR(INDEX(EXCEPCIONES_FECHA!$F$2:$F$201,MATCH(1,(EXCEPCIONES_FECHA!$A$2:$A$201=$A66)*(EXCEPCIONES_FECHA!$B$2:$B$201=""),0)),IFERROR(INDEX(IF($I66="FIN",HISTORIAL_HORARIOS!$L$2:$L$201,HISTORIAL_HORARIOS!$H$2:$H$201),MATCH(1,(HISTORIAL_HORARIOS!$A$2:$A$201=$B66)*(HISTORIAL_HORARIOS!$C$2:$C$201&lt;=$A66)*(HISTORIAL_HORARIOS!$D$2:$D$201&gt;=$A66),0)),INDEX(IF($I66="FIN",PERSONAL!$L$2:$L$80,PERSONAL!$H$2:$H$80),MATCH($B66,PERSONAL!$A$2:$A$80,0)))))</f>
        <v/>
      </c>
    </row>
    <row r="67" ht="15" customHeight="1" s="58">
      <c r="A67" s="37" t="n"/>
      <c r="B67" s="38" t="n"/>
      <c r="C67" s="39" t="n"/>
      <c r="D67" s="39" t="n"/>
      <c r="E67" s="34">
        <f t="array" ref="E67">IF($B67="","",IFERROR(INDEX(PERSONAL!$B$2:$B$80,MATCH($B67,PERSONAL!$A$2:$A$80,0)),"NO EXISTE"))</f>
        <v/>
      </c>
      <c r="F67" s="52">
        <f t="array" ref="F67">IF($B67="","",IFERROR(INDEX(PERSONAL!$C$2:$C$80,MATCH($B67,PERSONAL!$A$2:$A$80,0)),""))</f>
        <v/>
      </c>
      <c r="G67" s="52">
        <f>IF($A67="","",CHOOSE(WEEKDAY($A67,2),"LUNES","MARTES","MIÉRCOLES","JUEVES","VIERNES","SÁBADO","DOMINGO"))</f>
        <v/>
      </c>
      <c r="H67" s="34">
        <f>IF($A67="","",CHOOSE(MONTH($A67),"ENERO","FEBRERO","MARZO","ABRIL","MAYO","JUNIO","JULIO","AGOSTO","SEPTIEMBRE","OCTUBRE","NOVIEMBRE","DICIEMBRE"))</f>
        <v/>
      </c>
      <c r="I67" s="34">
        <f>IF($A67="","",IF(OR($G67="SÁBADO",$G67="DOMINGO"),"FIN","LV"))</f>
        <v/>
      </c>
      <c r="J67" s="34">
        <f>IF(OR($A67="",$B67=""),"",IF($L67&lt;&gt;"",UPPER($L67),IF($C67="","FALTA",IFERROR(IF($C67&gt;=$O67,"ROJO FUERTE",IF($C67&gt;=$N67,"ROJO",IF($C67&gt;=$M67,"AMARILLO","VERDE"))),"REVISAR"))))</f>
        <v/>
      </c>
      <c r="K67" s="36">
        <f>IF(OR($C67="",$D67=""),"",IF($D67&gt;=$C67,($D67-$C67)*24,(1-$C67+$D67)*24))</f>
        <v/>
      </c>
      <c r="L67" s="34" t="n"/>
      <c r="M67" s="53">
        <f t="array" ref="M67">IFERROR(INDEX(EXCEPCIONES_FECHA!$D$2:$D$201,MATCH(1,(EXCEPCIONES_FECHA!$A$2:$A$201=$A67)*(EXCEPCIONES_FECHA!$B$2:$B$201=$B67),0)),IFERROR(INDEX(EXCEPCIONES_FECHA!$D$2:$D$201,MATCH(1,(EXCEPCIONES_FECHA!$A$2:$A$201=$A67)*(EXCEPCIONES_FECHA!$B$2:$B$201=""),0)),IFERROR(INDEX(IF($I67="FIN",HISTORIAL_HORARIOS!$J$2:$J$201,HISTORIAL_HORARIOS!$F$2:$F$201),MATCH(1,(HISTORIAL_HORARIOS!$A$2:$A$201=$B67)*(HISTORIAL_HORARIOS!$C$2:$C$201&lt;=$A67)*(HISTORIAL_HORARIOS!$D$2:$D$201&gt;=$A67),0)),INDEX(IF($I67="FIN",PERSONAL!$J$2:$J$80,PERSONAL!$F$2:$F$80),MATCH($B67,PERSONAL!$A$2:$A$80,0)))))</f>
        <v/>
      </c>
      <c r="N67" s="53">
        <f t="array" ref="N67">IFERROR(INDEX(EXCEPCIONES_FECHA!$E$2:$E$201,MATCH(1,(EXCEPCIONES_FECHA!$A$2:$A$201=$A67)*(EXCEPCIONES_FECHA!$B$2:$B$201=$B67),0)),IFERROR(INDEX(EXCEPCIONES_FECHA!$E$2:$E$201,MATCH(1,(EXCEPCIONES_FECHA!$A$2:$A$201=$A67)*(EXCEPCIONES_FECHA!$B$2:$B$201=""),0)),IFERROR(INDEX(IF($I67="FIN",HISTORIAL_HORARIOS!$K$2:$K$201,HISTORIAL_HORARIOS!$G$2:$G$201),MATCH(1,(HISTORIAL_HORARIOS!$A$2:$A$201=$B67)*(HISTORIAL_HORARIOS!$C$2:$C$201&lt;=$A67)*(HISTORIAL_HORARIOS!$D$2:$D$201&gt;=$A67),0)),INDEX(IF($I67="FIN",PERSONAL!$K$2:$K$80,PERSONAL!$G$2:$G$80),MATCH($B67,PERSONAL!$A$2:$A$80,0)))))</f>
        <v/>
      </c>
      <c r="O67" s="53">
        <f t="array" ref="O67">IFERROR(INDEX(EXCEPCIONES_FECHA!$F$2:$F$201,MATCH(1,(EXCEPCIONES_FECHA!$A$2:$A$201=$A67)*(EXCEPCIONES_FECHA!$B$2:$B$201=$B67),0)),IFERROR(INDEX(EXCEPCIONES_FECHA!$F$2:$F$201,MATCH(1,(EXCEPCIONES_FECHA!$A$2:$A$201=$A67)*(EXCEPCIONES_FECHA!$B$2:$B$201=""),0)),IFERROR(INDEX(IF($I67="FIN",HISTORIAL_HORARIOS!$L$2:$L$201,HISTORIAL_HORARIOS!$H$2:$H$201),MATCH(1,(HISTORIAL_HORARIOS!$A$2:$A$201=$B67)*(HISTORIAL_HORARIOS!$C$2:$C$201&lt;=$A67)*(HISTORIAL_HORARIOS!$D$2:$D$201&gt;=$A67),0)),INDEX(IF($I67="FIN",PERSONAL!$L$2:$L$80,PERSONAL!$H$2:$H$80),MATCH($B67,PERSONAL!$A$2:$A$80,0)))))</f>
        <v/>
      </c>
    </row>
    <row r="68" ht="15" customHeight="1" s="58">
      <c r="A68" s="37" t="n"/>
      <c r="B68" s="38" t="n"/>
      <c r="C68" s="39" t="n"/>
      <c r="D68" s="39" t="n"/>
      <c r="E68" s="34">
        <f t="array" ref="E68">IF($B68="","",IFERROR(INDEX(PERSONAL!$B$2:$B$80,MATCH($B68,PERSONAL!$A$2:$A$80,0)),"NO EXISTE"))</f>
        <v/>
      </c>
      <c r="F68" s="52">
        <f t="array" ref="F68">IF($B68="","",IFERROR(INDEX(PERSONAL!$C$2:$C$80,MATCH($B68,PERSONAL!$A$2:$A$80,0)),""))</f>
        <v/>
      </c>
      <c r="G68" s="52">
        <f>IF($A68="","",CHOOSE(WEEKDAY($A68,2),"LUNES","MARTES","MIÉRCOLES","JUEVES","VIERNES","SÁBADO","DOMINGO"))</f>
        <v/>
      </c>
      <c r="H68" s="34">
        <f>IF($A68="","",CHOOSE(MONTH($A68),"ENERO","FEBRERO","MARZO","ABRIL","MAYO","JUNIO","JULIO","AGOSTO","SEPTIEMBRE","OCTUBRE","NOVIEMBRE","DICIEMBRE"))</f>
        <v/>
      </c>
      <c r="I68" s="34">
        <f>IF($A68="","",IF(OR($G68="SÁBADO",$G68="DOMINGO"),"FIN","LV"))</f>
        <v/>
      </c>
      <c r="J68" s="34">
        <f>IF(OR($A68="",$B68=""),"",IF($L68&lt;&gt;"",UPPER($L68),IF($C68="","FALTA",IFERROR(IF($C68&gt;=$O68,"ROJO FUERTE",IF($C68&gt;=$N68,"ROJO",IF($C68&gt;=$M68,"AMARILLO","VERDE"))),"REVISAR"))))</f>
        <v/>
      </c>
      <c r="K68" s="36">
        <f>IF(OR($C68="",$D68=""),"",IF($D68&gt;=$C68,($D68-$C68)*24,(1-$C68+$D68)*24))</f>
        <v/>
      </c>
      <c r="L68" s="34" t="n"/>
      <c r="M68" s="53">
        <f t="array" ref="M68">IFERROR(INDEX(EXCEPCIONES_FECHA!$D$2:$D$201,MATCH(1,(EXCEPCIONES_FECHA!$A$2:$A$201=$A68)*(EXCEPCIONES_FECHA!$B$2:$B$201=$B68),0)),IFERROR(INDEX(EXCEPCIONES_FECHA!$D$2:$D$201,MATCH(1,(EXCEPCIONES_FECHA!$A$2:$A$201=$A68)*(EXCEPCIONES_FECHA!$B$2:$B$201=""),0)),IFERROR(INDEX(IF($I68="FIN",HISTORIAL_HORARIOS!$J$2:$J$201,HISTORIAL_HORARIOS!$F$2:$F$201),MATCH(1,(HISTORIAL_HORARIOS!$A$2:$A$201=$B68)*(HISTORIAL_HORARIOS!$C$2:$C$201&lt;=$A68)*(HISTORIAL_HORARIOS!$D$2:$D$201&gt;=$A68),0)),INDEX(IF($I68="FIN",PERSONAL!$J$2:$J$80,PERSONAL!$F$2:$F$80),MATCH($B68,PERSONAL!$A$2:$A$80,0)))))</f>
        <v/>
      </c>
      <c r="N68" s="53">
        <f t="array" ref="N68">IFERROR(INDEX(EXCEPCIONES_FECHA!$E$2:$E$201,MATCH(1,(EXCEPCIONES_FECHA!$A$2:$A$201=$A68)*(EXCEPCIONES_FECHA!$B$2:$B$201=$B68),0)),IFERROR(INDEX(EXCEPCIONES_FECHA!$E$2:$E$201,MATCH(1,(EXCEPCIONES_FECHA!$A$2:$A$201=$A68)*(EXCEPCIONES_FECHA!$B$2:$B$201=""),0)),IFERROR(INDEX(IF($I68="FIN",HISTORIAL_HORARIOS!$K$2:$K$201,HISTORIAL_HORARIOS!$G$2:$G$201),MATCH(1,(HISTORIAL_HORARIOS!$A$2:$A$201=$B68)*(HISTORIAL_HORARIOS!$C$2:$C$201&lt;=$A68)*(HISTORIAL_HORARIOS!$D$2:$D$201&gt;=$A68),0)),INDEX(IF($I68="FIN",PERSONAL!$K$2:$K$80,PERSONAL!$G$2:$G$80),MATCH($B68,PERSONAL!$A$2:$A$80,0)))))</f>
        <v/>
      </c>
      <c r="O68" s="53">
        <f t="array" ref="O68">IFERROR(INDEX(EXCEPCIONES_FECHA!$F$2:$F$201,MATCH(1,(EXCEPCIONES_FECHA!$A$2:$A$201=$A68)*(EXCEPCIONES_FECHA!$B$2:$B$201=$B68),0)),IFERROR(INDEX(EXCEPCIONES_FECHA!$F$2:$F$201,MATCH(1,(EXCEPCIONES_FECHA!$A$2:$A$201=$A68)*(EXCEPCIONES_FECHA!$B$2:$B$201=""),0)),IFERROR(INDEX(IF($I68="FIN",HISTORIAL_HORARIOS!$L$2:$L$201,HISTORIAL_HORARIOS!$H$2:$H$201),MATCH(1,(HISTORIAL_HORARIOS!$A$2:$A$201=$B68)*(HISTORIAL_HORARIOS!$C$2:$C$201&lt;=$A68)*(HISTORIAL_HORARIOS!$D$2:$D$201&gt;=$A68),0)),INDEX(IF($I68="FIN",PERSONAL!$L$2:$L$80,PERSONAL!$H$2:$H$80),MATCH($B68,PERSONAL!$A$2:$A$80,0)))))</f>
        <v/>
      </c>
    </row>
    <row r="69" ht="15" customHeight="1" s="58">
      <c r="A69" s="37" t="n"/>
      <c r="B69" s="38" t="n"/>
      <c r="C69" s="39" t="n"/>
      <c r="D69" s="39" t="n"/>
      <c r="E69" s="34">
        <f t="array" ref="E69">IF($B69="","",IFERROR(INDEX(PERSONAL!$B$2:$B$80,MATCH($B69,PERSONAL!$A$2:$A$80,0)),"NO EXISTE"))</f>
        <v/>
      </c>
      <c r="F69" s="52">
        <f t="array" ref="F69">IF($B69="","",IFERROR(INDEX(PERSONAL!$C$2:$C$80,MATCH($B69,PERSONAL!$A$2:$A$80,0)),""))</f>
        <v/>
      </c>
      <c r="G69" s="52">
        <f>IF($A69="","",CHOOSE(WEEKDAY($A69,2),"LUNES","MARTES","MIÉRCOLES","JUEVES","VIERNES","SÁBADO","DOMINGO"))</f>
        <v/>
      </c>
      <c r="H69" s="34">
        <f>IF($A69="","",CHOOSE(MONTH($A69),"ENERO","FEBRERO","MARZO","ABRIL","MAYO","JUNIO","JULIO","AGOSTO","SEPTIEMBRE","OCTUBRE","NOVIEMBRE","DICIEMBRE"))</f>
        <v/>
      </c>
      <c r="I69" s="34">
        <f>IF($A69="","",IF(OR($G69="SÁBADO",$G69="DOMINGO"),"FIN","LV"))</f>
        <v/>
      </c>
      <c r="J69" s="34">
        <f>IF(OR($A69="",$B69=""),"",IF($L69&lt;&gt;"",UPPER($L69),IF($C69="","FALTA",IFERROR(IF($C69&gt;=$O69,"ROJO FUERTE",IF($C69&gt;=$N69,"ROJO",IF($C69&gt;=$M69,"AMARILLO","VERDE"))),"REVISAR"))))</f>
        <v/>
      </c>
      <c r="K69" s="36">
        <f>IF(OR($C69="",$D69=""),"",IF($D69&gt;=$C69,($D69-$C69)*24,(1-$C69+$D69)*24))</f>
        <v/>
      </c>
      <c r="L69" s="34" t="n"/>
      <c r="M69" s="53">
        <f t="array" ref="M69">IFERROR(INDEX(EXCEPCIONES_FECHA!$D$2:$D$201,MATCH(1,(EXCEPCIONES_FECHA!$A$2:$A$201=$A69)*(EXCEPCIONES_FECHA!$B$2:$B$201=$B69),0)),IFERROR(INDEX(EXCEPCIONES_FECHA!$D$2:$D$201,MATCH(1,(EXCEPCIONES_FECHA!$A$2:$A$201=$A69)*(EXCEPCIONES_FECHA!$B$2:$B$201=""),0)),IFERROR(INDEX(IF($I69="FIN",HISTORIAL_HORARIOS!$J$2:$J$201,HISTORIAL_HORARIOS!$F$2:$F$201),MATCH(1,(HISTORIAL_HORARIOS!$A$2:$A$201=$B69)*(HISTORIAL_HORARIOS!$C$2:$C$201&lt;=$A69)*(HISTORIAL_HORARIOS!$D$2:$D$201&gt;=$A69),0)),INDEX(IF($I69="FIN",PERSONAL!$J$2:$J$80,PERSONAL!$F$2:$F$80),MATCH($B69,PERSONAL!$A$2:$A$80,0)))))</f>
        <v/>
      </c>
      <c r="N69" s="53">
        <f t="array" ref="N69">IFERROR(INDEX(EXCEPCIONES_FECHA!$E$2:$E$201,MATCH(1,(EXCEPCIONES_FECHA!$A$2:$A$201=$A69)*(EXCEPCIONES_FECHA!$B$2:$B$201=$B69),0)),IFERROR(INDEX(EXCEPCIONES_FECHA!$E$2:$E$201,MATCH(1,(EXCEPCIONES_FECHA!$A$2:$A$201=$A69)*(EXCEPCIONES_FECHA!$B$2:$B$201=""),0)),IFERROR(INDEX(IF($I69="FIN",HISTORIAL_HORARIOS!$K$2:$K$201,HISTORIAL_HORARIOS!$G$2:$G$201),MATCH(1,(HISTORIAL_HORARIOS!$A$2:$A$201=$B69)*(HISTORIAL_HORARIOS!$C$2:$C$201&lt;=$A69)*(HISTORIAL_HORARIOS!$D$2:$D$201&gt;=$A69),0)),INDEX(IF($I69="FIN",PERSONAL!$K$2:$K$80,PERSONAL!$G$2:$G$80),MATCH($B69,PERSONAL!$A$2:$A$80,0)))))</f>
        <v/>
      </c>
      <c r="O69" s="53">
        <f t="array" ref="O69">IFERROR(INDEX(EXCEPCIONES_FECHA!$F$2:$F$201,MATCH(1,(EXCEPCIONES_FECHA!$A$2:$A$201=$A69)*(EXCEPCIONES_FECHA!$B$2:$B$201=$B69),0)),IFERROR(INDEX(EXCEPCIONES_FECHA!$F$2:$F$201,MATCH(1,(EXCEPCIONES_FECHA!$A$2:$A$201=$A69)*(EXCEPCIONES_FECHA!$B$2:$B$201=""),0)),IFERROR(INDEX(IF($I69="FIN",HISTORIAL_HORARIOS!$L$2:$L$201,HISTORIAL_HORARIOS!$H$2:$H$201),MATCH(1,(HISTORIAL_HORARIOS!$A$2:$A$201=$B69)*(HISTORIAL_HORARIOS!$C$2:$C$201&lt;=$A69)*(HISTORIAL_HORARIOS!$D$2:$D$201&gt;=$A69),0)),INDEX(IF($I69="FIN",PERSONAL!$L$2:$L$80,PERSONAL!$H$2:$H$80),MATCH($B69,PERSONAL!$A$2:$A$80,0)))))</f>
        <v/>
      </c>
    </row>
    <row r="70" ht="15" customHeight="1" s="58">
      <c r="A70" s="37" t="n"/>
      <c r="B70" s="38" t="n"/>
      <c r="C70" s="39" t="n"/>
      <c r="D70" s="39" t="n"/>
      <c r="E70" s="34">
        <f t="array" ref="E70">IF($B70="","",IFERROR(INDEX(PERSONAL!$B$2:$B$80,MATCH($B70,PERSONAL!$A$2:$A$80,0)),"NO EXISTE"))</f>
        <v/>
      </c>
      <c r="F70" s="52">
        <f t="array" ref="F70">IF($B70="","",IFERROR(INDEX(PERSONAL!$C$2:$C$80,MATCH($B70,PERSONAL!$A$2:$A$80,0)),""))</f>
        <v/>
      </c>
      <c r="G70" s="52">
        <f>IF($A70="","",CHOOSE(WEEKDAY($A70,2),"LUNES","MARTES","MIÉRCOLES","JUEVES","VIERNES","SÁBADO","DOMINGO"))</f>
        <v/>
      </c>
      <c r="H70" s="34">
        <f>IF($A70="","",CHOOSE(MONTH($A70),"ENERO","FEBRERO","MARZO","ABRIL","MAYO","JUNIO","JULIO","AGOSTO","SEPTIEMBRE","OCTUBRE","NOVIEMBRE","DICIEMBRE"))</f>
        <v/>
      </c>
      <c r="I70" s="34">
        <f>IF($A70="","",IF(OR($G70="SÁBADO",$G70="DOMINGO"),"FIN","LV"))</f>
        <v/>
      </c>
      <c r="J70" s="34">
        <f>IF(OR($A70="",$B70=""),"",IF($L70&lt;&gt;"",UPPER($L70),IF($C70="","FALTA",IFERROR(IF($C70&gt;=$O70,"ROJO FUERTE",IF($C70&gt;=$N70,"ROJO",IF($C70&gt;=$M70,"AMARILLO","VERDE"))),"REVISAR"))))</f>
        <v/>
      </c>
      <c r="K70" s="36">
        <f>IF(OR($C70="",$D70=""),"",IF($D70&gt;=$C70,($D70-$C70)*24,(1-$C70+$D70)*24))</f>
        <v/>
      </c>
      <c r="L70" s="34" t="n"/>
      <c r="M70" s="53">
        <f t="array" ref="M70">IFERROR(INDEX(EXCEPCIONES_FECHA!$D$2:$D$201,MATCH(1,(EXCEPCIONES_FECHA!$A$2:$A$201=$A70)*(EXCEPCIONES_FECHA!$B$2:$B$201=$B70),0)),IFERROR(INDEX(EXCEPCIONES_FECHA!$D$2:$D$201,MATCH(1,(EXCEPCIONES_FECHA!$A$2:$A$201=$A70)*(EXCEPCIONES_FECHA!$B$2:$B$201=""),0)),IFERROR(INDEX(IF($I70="FIN",HISTORIAL_HORARIOS!$J$2:$J$201,HISTORIAL_HORARIOS!$F$2:$F$201),MATCH(1,(HISTORIAL_HORARIOS!$A$2:$A$201=$B70)*(HISTORIAL_HORARIOS!$C$2:$C$201&lt;=$A70)*(HISTORIAL_HORARIOS!$D$2:$D$201&gt;=$A70),0)),INDEX(IF($I70="FIN",PERSONAL!$J$2:$J$80,PERSONAL!$F$2:$F$80),MATCH($B70,PERSONAL!$A$2:$A$80,0)))))</f>
        <v/>
      </c>
      <c r="N70" s="53">
        <f t="array" ref="N70">IFERROR(INDEX(EXCEPCIONES_FECHA!$E$2:$E$201,MATCH(1,(EXCEPCIONES_FECHA!$A$2:$A$201=$A70)*(EXCEPCIONES_FECHA!$B$2:$B$201=$B70),0)),IFERROR(INDEX(EXCEPCIONES_FECHA!$E$2:$E$201,MATCH(1,(EXCEPCIONES_FECHA!$A$2:$A$201=$A70)*(EXCEPCIONES_FECHA!$B$2:$B$201=""),0)),IFERROR(INDEX(IF($I70="FIN",HISTORIAL_HORARIOS!$K$2:$K$201,HISTORIAL_HORARIOS!$G$2:$G$201),MATCH(1,(HISTORIAL_HORARIOS!$A$2:$A$201=$B70)*(HISTORIAL_HORARIOS!$C$2:$C$201&lt;=$A70)*(HISTORIAL_HORARIOS!$D$2:$D$201&gt;=$A70),0)),INDEX(IF($I70="FIN",PERSONAL!$K$2:$K$80,PERSONAL!$G$2:$G$80),MATCH($B70,PERSONAL!$A$2:$A$80,0)))))</f>
        <v/>
      </c>
      <c r="O70" s="53">
        <f t="array" ref="O70">IFERROR(INDEX(EXCEPCIONES_FECHA!$F$2:$F$201,MATCH(1,(EXCEPCIONES_FECHA!$A$2:$A$201=$A70)*(EXCEPCIONES_FECHA!$B$2:$B$201=$B70),0)),IFERROR(INDEX(EXCEPCIONES_FECHA!$F$2:$F$201,MATCH(1,(EXCEPCIONES_FECHA!$A$2:$A$201=$A70)*(EXCEPCIONES_FECHA!$B$2:$B$201=""),0)),IFERROR(INDEX(IF($I70="FIN",HISTORIAL_HORARIOS!$L$2:$L$201,HISTORIAL_HORARIOS!$H$2:$H$201),MATCH(1,(HISTORIAL_HORARIOS!$A$2:$A$201=$B70)*(HISTORIAL_HORARIOS!$C$2:$C$201&lt;=$A70)*(HISTORIAL_HORARIOS!$D$2:$D$201&gt;=$A70),0)),INDEX(IF($I70="FIN",PERSONAL!$L$2:$L$80,PERSONAL!$H$2:$H$80),MATCH($B70,PERSONAL!$A$2:$A$80,0)))))</f>
        <v/>
      </c>
    </row>
    <row r="71" ht="15" customHeight="1" s="58">
      <c r="A71" s="37" t="n"/>
      <c r="B71" s="38" t="n"/>
      <c r="C71" s="39" t="n"/>
      <c r="D71" s="39" t="n"/>
      <c r="E71" s="34">
        <f t="array" ref="E71">IF($B71="","",IFERROR(INDEX(PERSONAL!$B$2:$B$80,MATCH($B71,PERSONAL!$A$2:$A$80,0)),"NO EXISTE"))</f>
        <v/>
      </c>
      <c r="F71" s="52">
        <f t="array" ref="F71">IF($B71="","",IFERROR(INDEX(PERSONAL!$C$2:$C$80,MATCH($B71,PERSONAL!$A$2:$A$80,0)),""))</f>
        <v/>
      </c>
      <c r="G71" s="52">
        <f>IF($A71="","",CHOOSE(WEEKDAY($A71,2),"LUNES","MARTES","MIÉRCOLES","JUEVES","VIERNES","SÁBADO","DOMINGO"))</f>
        <v/>
      </c>
      <c r="H71" s="34">
        <f>IF($A71="","",CHOOSE(MONTH($A71),"ENERO","FEBRERO","MARZO","ABRIL","MAYO","JUNIO","JULIO","AGOSTO","SEPTIEMBRE","OCTUBRE","NOVIEMBRE","DICIEMBRE"))</f>
        <v/>
      </c>
      <c r="I71" s="34">
        <f>IF($A71="","",IF(OR($G71="SÁBADO",$G71="DOMINGO"),"FIN","LV"))</f>
        <v/>
      </c>
      <c r="J71" s="34">
        <f>IF(OR($A71="",$B71=""),"",IF($L71&lt;&gt;"",UPPER($L71),IF($C71="","FALTA",IFERROR(IF($C71&gt;=$O71,"ROJO FUERTE",IF($C71&gt;=$N71,"ROJO",IF($C71&gt;=$M71,"AMARILLO","VERDE"))),"REVISAR"))))</f>
        <v/>
      </c>
      <c r="K71" s="36">
        <f>IF(OR($C71="",$D71=""),"",IF($D71&gt;=$C71,($D71-$C71)*24,(1-$C71+$D71)*24))</f>
        <v/>
      </c>
      <c r="L71" s="34" t="n"/>
      <c r="M71" s="53">
        <f t="array" ref="M71">IFERROR(INDEX(EXCEPCIONES_FECHA!$D$2:$D$201,MATCH(1,(EXCEPCIONES_FECHA!$A$2:$A$201=$A71)*(EXCEPCIONES_FECHA!$B$2:$B$201=$B71),0)),IFERROR(INDEX(EXCEPCIONES_FECHA!$D$2:$D$201,MATCH(1,(EXCEPCIONES_FECHA!$A$2:$A$201=$A71)*(EXCEPCIONES_FECHA!$B$2:$B$201=""),0)),IFERROR(INDEX(IF($I71="FIN",HISTORIAL_HORARIOS!$J$2:$J$201,HISTORIAL_HORARIOS!$F$2:$F$201),MATCH(1,(HISTORIAL_HORARIOS!$A$2:$A$201=$B71)*(HISTORIAL_HORARIOS!$C$2:$C$201&lt;=$A71)*(HISTORIAL_HORARIOS!$D$2:$D$201&gt;=$A71),0)),INDEX(IF($I71="FIN",PERSONAL!$J$2:$J$80,PERSONAL!$F$2:$F$80),MATCH($B71,PERSONAL!$A$2:$A$80,0)))))</f>
        <v/>
      </c>
      <c r="N71" s="53">
        <f t="array" ref="N71">IFERROR(INDEX(EXCEPCIONES_FECHA!$E$2:$E$201,MATCH(1,(EXCEPCIONES_FECHA!$A$2:$A$201=$A71)*(EXCEPCIONES_FECHA!$B$2:$B$201=$B71),0)),IFERROR(INDEX(EXCEPCIONES_FECHA!$E$2:$E$201,MATCH(1,(EXCEPCIONES_FECHA!$A$2:$A$201=$A71)*(EXCEPCIONES_FECHA!$B$2:$B$201=""),0)),IFERROR(INDEX(IF($I71="FIN",HISTORIAL_HORARIOS!$K$2:$K$201,HISTORIAL_HORARIOS!$G$2:$G$201),MATCH(1,(HISTORIAL_HORARIOS!$A$2:$A$201=$B71)*(HISTORIAL_HORARIOS!$C$2:$C$201&lt;=$A71)*(HISTORIAL_HORARIOS!$D$2:$D$201&gt;=$A71),0)),INDEX(IF($I71="FIN",PERSONAL!$K$2:$K$80,PERSONAL!$G$2:$G$80),MATCH($B71,PERSONAL!$A$2:$A$80,0)))))</f>
        <v/>
      </c>
      <c r="O71" s="53">
        <f t="array" ref="O71">IFERROR(INDEX(EXCEPCIONES_FECHA!$F$2:$F$201,MATCH(1,(EXCEPCIONES_FECHA!$A$2:$A$201=$A71)*(EXCEPCIONES_FECHA!$B$2:$B$201=$B71),0)),IFERROR(INDEX(EXCEPCIONES_FECHA!$F$2:$F$201,MATCH(1,(EXCEPCIONES_FECHA!$A$2:$A$201=$A71)*(EXCEPCIONES_FECHA!$B$2:$B$201=""),0)),IFERROR(INDEX(IF($I71="FIN",HISTORIAL_HORARIOS!$L$2:$L$201,HISTORIAL_HORARIOS!$H$2:$H$201),MATCH(1,(HISTORIAL_HORARIOS!$A$2:$A$201=$B71)*(HISTORIAL_HORARIOS!$C$2:$C$201&lt;=$A71)*(HISTORIAL_HORARIOS!$D$2:$D$201&gt;=$A71),0)),INDEX(IF($I71="FIN",PERSONAL!$L$2:$L$80,PERSONAL!$H$2:$H$80),MATCH($B71,PERSONAL!$A$2:$A$80,0)))))</f>
        <v/>
      </c>
    </row>
    <row r="72" ht="15" customHeight="1" s="58">
      <c r="A72" s="37" t="n"/>
      <c r="B72" s="38" t="n"/>
      <c r="C72" s="39" t="n"/>
      <c r="D72" s="39" t="n"/>
      <c r="E72" s="34">
        <f t="array" ref="E72">IF($B72="","",IFERROR(INDEX(PERSONAL!$B$2:$B$80,MATCH($B72,PERSONAL!$A$2:$A$80,0)),"NO EXISTE"))</f>
        <v/>
      </c>
      <c r="F72" s="52">
        <f t="array" ref="F72">IF($B72="","",IFERROR(INDEX(PERSONAL!$C$2:$C$80,MATCH($B72,PERSONAL!$A$2:$A$80,0)),""))</f>
        <v/>
      </c>
      <c r="G72" s="52">
        <f>IF($A72="","",CHOOSE(WEEKDAY($A72,2),"LUNES","MARTES","MIÉRCOLES","JUEVES","VIERNES","SÁBADO","DOMINGO"))</f>
        <v/>
      </c>
      <c r="H72" s="34">
        <f>IF($A72="","",CHOOSE(MONTH($A72),"ENERO","FEBRERO","MARZO","ABRIL","MAYO","JUNIO","JULIO","AGOSTO","SEPTIEMBRE","OCTUBRE","NOVIEMBRE","DICIEMBRE"))</f>
        <v/>
      </c>
      <c r="I72" s="34">
        <f>IF($A72="","",IF(OR($G72="SÁBADO",$G72="DOMINGO"),"FIN","LV"))</f>
        <v/>
      </c>
      <c r="J72" s="34">
        <f>IF(OR($A72="",$B72=""),"",IF($L72&lt;&gt;"",UPPER($L72),IF($C72="","FALTA",IFERROR(IF($C72&gt;=$O72,"ROJO FUERTE",IF($C72&gt;=$N72,"ROJO",IF($C72&gt;=$M72,"AMARILLO","VERDE"))),"REVISAR"))))</f>
        <v/>
      </c>
      <c r="K72" s="36">
        <f>IF(OR($C72="",$D72=""),"",IF($D72&gt;=$C72,($D72-$C72)*24,(1-$C72+$D72)*24))</f>
        <v/>
      </c>
      <c r="L72" s="34" t="n"/>
      <c r="M72" s="53">
        <f t="array" ref="M72">IFERROR(INDEX(EXCEPCIONES_FECHA!$D$2:$D$201,MATCH(1,(EXCEPCIONES_FECHA!$A$2:$A$201=$A72)*(EXCEPCIONES_FECHA!$B$2:$B$201=$B72),0)),IFERROR(INDEX(EXCEPCIONES_FECHA!$D$2:$D$201,MATCH(1,(EXCEPCIONES_FECHA!$A$2:$A$201=$A72)*(EXCEPCIONES_FECHA!$B$2:$B$201=""),0)),IFERROR(INDEX(IF($I72="FIN",HISTORIAL_HORARIOS!$J$2:$J$201,HISTORIAL_HORARIOS!$F$2:$F$201),MATCH(1,(HISTORIAL_HORARIOS!$A$2:$A$201=$B72)*(HISTORIAL_HORARIOS!$C$2:$C$201&lt;=$A72)*(HISTORIAL_HORARIOS!$D$2:$D$201&gt;=$A72),0)),INDEX(IF($I72="FIN",PERSONAL!$J$2:$J$80,PERSONAL!$F$2:$F$80),MATCH($B72,PERSONAL!$A$2:$A$80,0)))))</f>
        <v/>
      </c>
      <c r="N72" s="53">
        <f t="array" ref="N72">IFERROR(INDEX(EXCEPCIONES_FECHA!$E$2:$E$201,MATCH(1,(EXCEPCIONES_FECHA!$A$2:$A$201=$A72)*(EXCEPCIONES_FECHA!$B$2:$B$201=$B72),0)),IFERROR(INDEX(EXCEPCIONES_FECHA!$E$2:$E$201,MATCH(1,(EXCEPCIONES_FECHA!$A$2:$A$201=$A72)*(EXCEPCIONES_FECHA!$B$2:$B$201=""),0)),IFERROR(INDEX(IF($I72="FIN",HISTORIAL_HORARIOS!$K$2:$K$201,HISTORIAL_HORARIOS!$G$2:$G$201),MATCH(1,(HISTORIAL_HORARIOS!$A$2:$A$201=$B72)*(HISTORIAL_HORARIOS!$C$2:$C$201&lt;=$A72)*(HISTORIAL_HORARIOS!$D$2:$D$201&gt;=$A72),0)),INDEX(IF($I72="FIN",PERSONAL!$K$2:$K$80,PERSONAL!$G$2:$G$80),MATCH($B72,PERSONAL!$A$2:$A$80,0)))))</f>
        <v/>
      </c>
      <c r="O72" s="53">
        <f t="array" ref="O72">IFERROR(INDEX(EXCEPCIONES_FECHA!$F$2:$F$201,MATCH(1,(EXCEPCIONES_FECHA!$A$2:$A$201=$A72)*(EXCEPCIONES_FECHA!$B$2:$B$201=$B72),0)),IFERROR(INDEX(EXCEPCIONES_FECHA!$F$2:$F$201,MATCH(1,(EXCEPCIONES_FECHA!$A$2:$A$201=$A72)*(EXCEPCIONES_FECHA!$B$2:$B$201=""),0)),IFERROR(INDEX(IF($I72="FIN",HISTORIAL_HORARIOS!$L$2:$L$201,HISTORIAL_HORARIOS!$H$2:$H$201),MATCH(1,(HISTORIAL_HORARIOS!$A$2:$A$201=$B72)*(HISTORIAL_HORARIOS!$C$2:$C$201&lt;=$A72)*(HISTORIAL_HORARIOS!$D$2:$D$201&gt;=$A72),0)),INDEX(IF($I72="FIN",PERSONAL!$L$2:$L$80,PERSONAL!$H$2:$H$80),MATCH($B72,PERSONAL!$A$2:$A$80,0)))))</f>
        <v/>
      </c>
    </row>
    <row r="73" ht="15" customHeight="1" s="58">
      <c r="A73" s="37" t="n"/>
      <c r="B73" s="38" t="n"/>
      <c r="C73" s="39" t="n"/>
      <c r="D73" s="39" t="n"/>
      <c r="E73" s="34">
        <f t="array" ref="E73">IF($B73="","",IFERROR(INDEX(PERSONAL!$B$2:$B$80,MATCH($B73,PERSONAL!$A$2:$A$80,0)),"NO EXISTE"))</f>
        <v/>
      </c>
      <c r="F73" s="52">
        <f t="array" ref="F73">IF($B73="","",IFERROR(INDEX(PERSONAL!$C$2:$C$80,MATCH($B73,PERSONAL!$A$2:$A$80,0)),""))</f>
        <v/>
      </c>
      <c r="G73" s="52">
        <f>IF($A73="","",CHOOSE(WEEKDAY($A73,2),"LUNES","MARTES","MIÉRCOLES","JUEVES","VIERNES","SÁBADO","DOMINGO"))</f>
        <v/>
      </c>
      <c r="H73" s="34">
        <f>IF($A73="","",CHOOSE(MONTH($A73),"ENERO","FEBRERO","MARZO","ABRIL","MAYO","JUNIO","JULIO","AGOSTO","SEPTIEMBRE","OCTUBRE","NOVIEMBRE","DICIEMBRE"))</f>
        <v/>
      </c>
      <c r="I73" s="34">
        <f>IF($A73="","",IF(OR($G73="SÁBADO",$G73="DOMINGO"),"FIN","LV"))</f>
        <v/>
      </c>
      <c r="J73" s="34">
        <f>IF(OR($A73="",$B73=""),"",IF($L73&lt;&gt;"",UPPER($L73),IF($C73="","FALTA",IFERROR(IF($C73&gt;=$O73,"ROJO FUERTE",IF($C73&gt;=$N73,"ROJO",IF($C73&gt;=$M73,"AMARILLO","VERDE"))),"REVISAR"))))</f>
        <v/>
      </c>
      <c r="K73" s="36">
        <f>IF(OR($C73="",$D73=""),"",IF($D73&gt;=$C73,($D73-$C73)*24,(1-$C73+$D73)*24))</f>
        <v/>
      </c>
      <c r="L73" s="34" t="n"/>
      <c r="M73" s="53">
        <f t="array" ref="M73">IFERROR(INDEX(EXCEPCIONES_FECHA!$D$2:$D$201,MATCH(1,(EXCEPCIONES_FECHA!$A$2:$A$201=$A73)*(EXCEPCIONES_FECHA!$B$2:$B$201=$B73),0)),IFERROR(INDEX(EXCEPCIONES_FECHA!$D$2:$D$201,MATCH(1,(EXCEPCIONES_FECHA!$A$2:$A$201=$A73)*(EXCEPCIONES_FECHA!$B$2:$B$201=""),0)),IFERROR(INDEX(IF($I73="FIN",HISTORIAL_HORARIOS!$J$2:$J$201,HISTORIAL_HORARIOS!$F$2:$F$201),MATCH(1,(HISTORIAL_HORARIOS!$A$2:$A$201=$B73)*(HISTORIAL_HORARIOS!$C$2:$C$201&lt;=$A73)*(HISTORIAL_HORARIOS!$D$2:$D$201&gt;=$A73),0)),INDEX(IF($I73="FIN",PERSONAL!$J$2:$J$80,PERSONAL!$F$2:$F$80),MATCH($B73,PERSONAL!$A$2:$A$80,0)))))</f>
        <v/>
      </c>
      <c r="N73" s="53">
        <f t="array" ref="N73">IFERROR(INDEX(EXCEPCIONES_FECHA!$E$2:$E$201,MATCH(1,(EXCEPCIONES_FECHA!$A$2:$A$201=$A73)*(EXCEPCIONES_FECHA!$B$2:$B$201=$B73),0)),IFERROR(INDEX(EXCEPCIONES_FECHA!$E$2:$E$201,MATCH(1,(EXCEPCIONES_FECHA!$A$2:$A$201=$A73)*(EXCEPCIONES_FECHA!$B$2:$B$201=""),0)),IFERROR(INDEX(IF($I73="FIN",HISTORIAL_HORARIOS!$K$2:$K$201,HISTORIAL_HORARIOS!$G$2:$G$201),MATCH(1,(HISTORIAL_HORARIOS!$A$2:$A$201=$B73)*(HISTORIAL_HORARIOS!$C$2:$C$201&lt;=$A73)*(HISTORIAL_HORARIOS!$D$2:$D$201&gt;=$A73),0)),INDEX(IF($I73="FIN",PERSONAL!$K$2:$K$80,PERSONAL!$G$2:$G$80),MATCH($B73,PERSONAL!$A$2:$A$80,0)))))</f>
        <v/>
      </c>
      <c r="O73" s="53">
        <f t="array" ref="O73">IFERROR(INDEX(EXCEPCIONES_FECHA!$F$2:$F$201,MATCH(1,(EXCEPCIONES_FECHA!$A$2:$A$201=$A73)*(EXCEPCIONES_FECHA!$B$2:$B$201=$B73),0)),IFERROR(INDEX(EXCEPCIONES_FECHA!$F$2:$F$201,MATCH(1,(EXCEPCIONES_FECHA!$A$2:$A$201=$A73)*(EXCEPCIONES_FECHA!$B$2:$B$201=""),0)),IFERROR(INDEX(IF($I73="FIN",HISTORIAL_HORARIOS!$L$2:$L$201,HISTORIAL_HORARIOS!$H$2:$H$201),MATCH(1,(HISTORIAL_HORARIOS!$A$2:$A$201=$B73)*(HISTORIAL_HORARIOS!$C$2:$C$201&lt;=$A73)*(HISTORIAL_HORARIOS!$D$2:$D$201&gt;=$A73),0)),INDEX(IF($I73="FIN",PERSONAL!$L$2:$L$80,PERSONAL!$H$2:$H$80),MATCH($B73,PERSONAL!$A$2:$A$80,0)))))</f>
        <v/>
      </c>
    </row>
    <row r="74" ht="15" customHeight="1" s="58">
      <c r="A74" s="37" t="n"/>
      <c r="B74" s="38" t="n"/>
      <c r="C74" s="39" t="n"/>
      <c r="D74" s="39" t="n"/>
      <c r="E74" s="34">
        <f t="array" ref="E74">IF($B74="","",IFERROR(INDEX(PERSONAL!$B$2:$B$80,MATCH($B74,PERSONAL!$A$2:$A$80,0)),"NO EXISTE"))</f>
        <v/>
      </c>
      <c r="F74" s="52">
        <f t="array" ref="F74">IF($B74="","",IFERROR(INDEX(PERSONAL!$C$2:$C$80,MATCH($B74,PERSONAL!$A$2:$A$80,0)),""))</f>
        <v/>
      </c>
      <c r="G74" s="52">
        <f>IF($A74="","",CHOOSE(WEEKDAY($A74,2),"LUNES","MARTES","MIÉRCOLES","JUEVES","VIERNES","SÁBADO","DOMINGO"))</f>
        <v/>
      </c>
      <c r="H74" s="34">
        <f>IF($A74="","",CHOOSE(MONTH($A74),"ENERO","FEBRERO","MARZO","ABRIL","MAYO","JUNIO","JULIO","AGOSTO","SEPTIEMBRE","OCTUBRE","NOVIEMBRE","DICIEMBRE"))</f>
        <v/>
      </c>
      <c r="I74" s="34">
        <f>IF($A74="","",IF(OR($G74="SÁBADO",$G74="DOMINGO"),"FIN","LV"))</f>
        <v/>
      </c>
      <c r="J74" s="34">
        <f>IF(OR($A74="",$B74=""),"",IF($L74&lt;&gt;"",UPPER($L74),IF($C74="","FALTA",IFERROR(IF($C74&gt;=$O74,"ROJO FUERTE",IF($C74&gt;=$N74,"ROJO",IF($C74&gt;=$M74,"AMARILLO","VERDE"))),"REVISAR"))))</f>
        <v/>
      </c>
      <c r="K74" s="36">
        <f>IF(OR($C74="",$D74=""),"",IF($D74&gt;=$C74,($D74-$C74)*24,(1-$C74+$D74)*24))</f>
        <v/>
      </c>
      <c r="L74" s="34" t="n"/>
      <c r="M74" s="53">
        <f t="array" ref="M74">IFERROR(INDEX(EXCEPCIONES_FECHA!$D$2:$D$201,MATCH(1,(EXCEPCIONES_FECHA!$A$2:$A$201=$A74)*(EXCEPCIONES_FECHA!$B$2:$B$201=$B74),0)),IFERROR(INDEX(EXCEPCIONES_FECHA!$D$2:$D$201,MATCH(1,(EXCEPCIONES_FECHA!$A$2:$A$201=$A74)*(EXCEPCIONES_FECHA!$B$2:$B$201=""),0)),IFERROR(INDEX(IF($I74="FIN",HISTORIAL_HORARIOS!$J$2:$J$201,HISTORIAL_HORARIOS!$F$2:$F$201),MATCH(1,(HISTORIAL_HORARIOS!$A$2:$A$201=$B74)*(HISTORIAL_HORARIOS!$C$2:$C$201&lt;=$A74)*(HISTORIAL_HORARIOS!$D$2:$D$201&gt;=$A74),0)),INDEX(IF($I74="FIN",PERSONAL!$J$2:$J$80,PERSONAL!$F$2:$F$80),MATCH($B74,PERSONAL!$A$2:$A$80,0)))))</f>
        <v/>
      </c>
      <c r="N74" s="53">
        <f t="array" ref="N74">IFERROR(INDEX(EXCEPCIONES_FECHA!$E$2:$E$201,MATCH(1,(EXCEPCIONES_FECHA!$A$2:$A$201=$A74)*(EXCEPCIONES_FECHA!$B$2:$B$201=$B74),0)),IFERROR(INDEX(EXCEPCIONES_FECHA!$E$2:$E$201,MATCH(1,(EXCEPCIONES_FECHA!$A$2:$A$201=$A74)*(EXCEPCIONES_FECHA!$B$2:$B$201=""),0)),IFERROR(INDEX(IF($I74="FIN",HISTORIAL_HORARIOS!$K$2:$K$201,HISTORIAL_HORARIOS!$G$2:$G$201),MATCH(1,(HISTORIAL_HORARIOS!$A$2:$A$201=$B74)*(HISTORIAL_HORARIOS!$C$2:$C$201&lt;=$A74)*(HISTORIAL_HORARIOS!$D$2:$D$201&gt;=$A74),0)),INDEX(IF($I74="FIN",PERSONAL!$K$2:$K$80,PERSONAL!$G$2:$G$80),MATCH($B74,PERSONAL!$A$2:$A$80,0)))))</f>
        <v/>
      </c>
      <c r="O74" s="53">
        <f t="array" ref="O74">IFERROR(INDEX(EXCEPCIONES_FECHA!$F$2:$F$201,MATCH(1,(EXCEPCIONES_FECHA!$A$2:$A$201=$A74)*(EXCEPCIONES_FECHA!$B$2:$B$201=$B74),0)),IFERROR(INDEX(EXCEPCIONES_FECHA!$F$2:$F$201,MATCH(1,(EXCEPCIONES_FECHA!$A$2:$A$201=$A74)*(EXCEPCIONES_FECHA!$B$2:$B$201=""),0)),IFERROR(INDEX(IF($I74="FIN",HISTORIAL_HORARIOS!$L$2:$L$201,HISTORIAL_HORARIOS!$H$2:$H$201),MATCH(1,(HISTORIAL_HORARIOS!$A$2:$A$201=$B74)*(HISTORIAL_HORARIOS!$C$2:$C$201&lt;=$A74)*(HISTORIAL_HORARIOS!$D$2:$D$201&gt;=$A74),0)),INDEX(IF($I74="FIN",PERSONAL!$L$2:$L$80,PERSONAL!$H$2:$H$80),MATCH($B74,PERSONAL!$A$2:$A$80,0)))))</f>
        <v/>
      </c>
    </row>
    <row r="75" ht="15" customHeight="1" s="58">
      <c r="A75" s="37" t="n"/>
      <c r="B75" s="38" t="n"/>
      <c r="C75" s="39" t="n"/>
      <c r="D75" s="39" t="n"/>
      <c r="E75" s="34">
        <f t="array" ref="E75">IF($B75="","",IFERROR(INDEX(PERSONAL!$B$2:$B$80,MATCH($B75,PERSONAL!$A$2:$A$80,0)),"NO EXISTE"))</f>
        <v/>
      </c>
      <c r="F75" s="52">
        <f t="array" ref="F75">IF($B75="","",IFERROR(INDEX(PERSONAL!$C$2:$C$80,MATCH($B75,PERSONAL!$A$2:$A$80,0)),""))</f>
        <v/>
      </c>
      <c r="G75" s="52">
        <f>IF($A75="","",CHOOSE(WEEKDAY($A75,2),"LUNES","MARTES","MIÉRCOLES","JUEVES","VIERNES","SÁBADO","DOMINGO"))</f>
        <v/>
      </c>
      <c r="H75" s="34">
        <f>IF($A75="","",CHOOSE(MONTH($A75),"ENERO","FEBRERO","MARZO","ABRIL","MAYO","JUNIO","JULIO","AGOSTO","SEPTIEMBRE","OCTUBRE","NOVIEMBRE","DICIEMBRE"))</f>
        <v/>
      </c>
      <c r="I75" s="34">
        <f>IF($A75="","",IF(OR($G75="SÁBADO",$G75="DOMINGO"),"FIN","LV"))</f>
        <v/>
      </c>
      <c r="J75" s="34">
        <f>IF(OR($A75="",$B75=""),"",IF($L75&lt;&gt;"",UPPER($L75),IF($C75="","FALTA",IFERROR(IF($C75&gt;=$O75,"ROJO FUERTE",IF($C75&gt;=$N75,"ROJO",IF($C75&gt;=$M75,"AMARILLO","VERDE"))),"REVISAR"))))</f>
        <v/>
      </c>
      <c r="K75" s="36">
        <f>IF(OR($C75="",$D75=""),"",IF($D75&gt;=$C75,($D75-$C75)*24,(1-$C75+$D75)*24))</f>
        <v/>
      </c>
      <c r="L75" s="34" t="n"/>
      <c r="M75" s="53">
        <f t="array" ref="M75">IFERROR(INDEX(EXCEPCIONES_FECHA!$D$2:$D$201,MATCH(1,(EXCEPCIONES_FECHA!$A$2:$A$201=$A75)*(EXCEPCIONES_FECHA!$B$2:$B$201=$B75),0)),IFERROR(INDEX(EXCEPCIONES_FECHA!$D$2:$D$201,MATCH(1,(EXCEPCIONES_FECHA!$A$2:$A$201=$A75)*(EXCEPCIONES_FECHA!$B$2:$B$201=""),0)),IFERROR(INDEX(IF($I75="FIN",HISTORIAL_HORARIOS!$J$2:$J$201,HISTORIAL_HORARIOS!$F$2:$F$201),MATCH(1,(HISTORIAL_HORARIOS!$A$2:$A$201=$B75)*(HISTORIAL_HORARIOS!$C$2:$C$201&lt;=$A75)*(HISTORIAL_HORARIOS!$D$2:$D$201&gt;=$A75),0)),INDEX(IF($I75="FIN",PERSONAL!$J$2:$J$80,PERSONAL!$F$2:$F$80),MATCH($B75,PERSONAL!$A$2:$A$80,0)))))</f>
        <v/>
      </c>
      <c r="N75" s="53">
        <f t="array" ref="N75">IFERROR(INDEX(EXCEPCIONES_FECHA!$E$2:$E$201,MATCH(1,(EXCEPCIONES_FECHA!$A$2:$A$201=$A75)*(EXCEPCIONES_FECHA!$B$2:$B$201=$B75),0)),IFERROR(INDEX(EXCEPCIONES_FECHA!$E$2:$E$201,MATCH(1,(EXCEPCIONES_FECHA!$A$2:$A$201=$A75)*(EXCEPCIONES_FECHA!$B$2:$B$201=""),0)),IFERROR(INDEX(IF($I75="FIN",HISTORIAL_HORARIOS!$K$2:$K$201,HISTORIAL_HORARIOS!$G$2:$G$201),MATCH(1,(HISTORIAL_HORARIOS!$A$2:$A$201=$B75)*(HISTORIAL_HORARIOS!$C$2:$C$201&lt;=$A75)*(HISTORIAL_HORARIOS!$D$2:$D$201&gt;=$A75),0)),INDEX(IF($I75="FIN",PERSONAL!$K$2:$K$80,PERSONAL!$G$2:$G$80),MATCH($B75,PERSONAL!$A$2:$A$80,0)))))</f>
        <v/>
      </c>
      <c r="O75" s="53">
        <f t="array" ref="O75">IFERROR(INDEX(EXCEPCIONES_FECHA!$F$2:$F$201,MATCH(1,(EXCEPCIONES_FECHA!$A$2:$A$201=$A75)*(EXCEPCIONES_FECHA!$B$2:$B$201=$B75),0)),IFERROR(INDEX(EXCEPCIONES_FECHA!$F$2:$F$201,MATCH(1,(EXCEPCIONES_FECHA!$A$2:$A$201=$A75)*(EXCEPCIONES_FECHA!$B$2:$B$201=""),0)),IFERROR(INDEX(IF($I75="FIN",HISTORIAL_HORARIOS!$L$2:$L$201,HISTORIAL_HORARIOS!$H$2:$H$201),MATCH(1,(HISTORIAL_HORARIOS!$A$2:$A$201=$B75)*(HISTORIAL_HORARIOS!$C$2:$C$201&lt;=$A75)*(HISTORIAL_HORARIOS!$D$2:$D$201&gt;=$A75),0)),INDEX(IF($I75="FIN",PERSONAL!$L$2:$L$80,PERSONAL!$H$2:$H$80),MATCH($B75,PERSONAL!$A$2:$A$80,0)))))</f>
        <v/>
      </c>
    </row>
    <row r="76" ht="15" customHeight="1" s="58">
      <c r="A76" s="37" t="n"/>
      <c r="B76" s="38" t="n"/>
      <c r="C76" s="39" t="n"/>
      <c r="D76" s="39" t="n"/>
      <c r="E76" s="34">
        <f t="array" ref="E76">IF($B76="","",IFERROR(INDEX(PERSONAL!$B$2:$B$80,MATCH($B76,PERSONAL!$A$2:$A$80,0)),"NO EXISTE"))</f>
        <v/>
      </c>
      <c r="F76" s="52">
        <f t="array" ref="F76">IF($B76="","",IFERROR(INDEX(PERSONAL!$C$2:$C$80,MATCH($B76,PERSONAL!$A$2:$A$80,0)),""))</f>
        <v/>
      </c>
      <c r="G76" s="52">
        <f>IF($A76="","",CHOOSE(WEEKDAY($A76,2),"LUNES","MARTES","MIÉRCOLES","JUEVES","VIERNES","SÁBADO","DOMINGO"))</f>
        <v/>
      </c>
      <c r="H76" s="34">
        <f>IF($A76="","",CHOOSE(MONTH($A76),"ENERO","FEBRERO","MARZO","ABRIL","MAYO","JUNIO","JULIO","AGOSTO","SEPTIEMBRE","OCTUBRE","NOVIEMBRE","DICIEMBRE"))</f>
        <v/>
      </c>
      <c r="I76" s="34">
        <f>IF($A76="","",IF(OR($G76="SÁBADO",$G76="DOMINGO"),"FIN","LV"))</f>
        <v/>
      </c>
      <c r="J76" s="34">
        <f>IF(OR($A76="",$B76=""),"",IF($L76&lt;&gt;"",UPPER($L76),IF($C76="","FALTA",IFERROR(IF($C76&gt;=$O76,"ROJO FUERTE",IF($C76&gt;=$N76,"ROJO",IF($C76&gt;=$M76,"AMARILLO","VERDE"))),"REVISAR"))))</f>
        <v/>
      </c>
      <c r="K76" s="36">
        <f>IF(OR($C76="",$D76=""),"",IF($D76&gt;=$C76,($D76-$C76)*24,(1-$C76+$D76)*24))</f>
        <v/>
      </c>
      <c r="L76" s="34" t="n"/>
      <c r="M76" s="53">
        <f t="array" ref="M76">IFERROR(INDEX(EXCEPCIONES_FECHA!$D$2:$D$201,MATCH(1,(EXCEPCIONES_FECHA!$A$2:$A$201=$A76)*(EXCEPCIONES_FECHA!$B$2:$B$201=$B76),0)),IFERROR(INDEX(EXCEPCIONES_FECHA!$D$2:$D$201,MATCH(1,(EXCEPCIONES_FECHA!$A$2:$A$201=$A76)*(EXCEPCIONES_FECHA!$B$2:$B$201=""),0)),IFERROR(INDEX(IF($I76="FIN",HISTORIAL_HORARIOS!$J$2:$J$201,HISTORIAL_HORARIOS!$F$2:$F$201),MATCH(1,(HISTORIAL_HORARIOS!$A$2:$A$201=$B76)*(HISTORIAL_HORARIOS!$C$2:$C$201&lt;=$A76)*(HISTORIAL_HORARIOS!$D$2:$D$201&gt;=$A76),0)),INDEX(IF($I76="FIN",PERSONAL!$J$2:$J$80,PERSONAL!$F$2:$F$80),MATCH($B76,PERSONAL!$A$2:$A$80,0)))))</f>
        <v/>
      </c>
      <c r="N76" s="53">
        <f t="array" ref="N76">IFERROR(INDEX(EXCEPCIONES_FECHA!$E$2:$E$201,MATCH(1,(EXCEPCIONES_FECHA!$A$2:$A$201=$A76)*(EXCEPCIONES_FECHA!$B$2:$B$201=$B76),0)),IFERROR(INDEX(EXCEPCIONES_FECHA!$E$2:$E$201,MATCH(1,(EXCEPCIONES_FECHA!$A$2:$A$201=$A76)*(EXCEPCIONES_FECHA!$B$2:$B$201=""),0)),IFERROR(INDEX(IF($I76="FIN",HISTORIAL_HORARIOS!$K$2:$K$201,HISTORIAL_HORARIOS!$G$2:$G$201),MATCH(1,(HISTORIAL_HORARIOS!$A$2:$A$201=$B76)*(HISTORIAL_HORARIOS!$C$2:$C$201&lt;=$A76)*(HISTORIAL_HORARIOS!$D$2:$D$201&gt;=$A76),0)),INDEX(IF($I76="FIN",PERSONAL!$K$2:$K$80,PERSONAL!$G$2:$G$80),MATCH($B76,PERSONAL!$A$2:$A$80,0)))))</f>
        <v/>
      </c>
      <c r="O76" s="53">
        <f t="array" ref="O76">IFERROR(INDEX(EXCEPCIONES_FECHA!$F$2:$F$201,MATCH(1,(EXCEPCIONES_FECHA!$A$2:$A$201=$A76)*(EXCEPCIONES_FECHA!$B$2:$B$201=$B76),0)),IFERROR(INDEX(EXCEPCIONES_FECHA!$F$2:$F$201,MATCH(1,(EXCEPCIONES_FECHA!$A$2:$A$201=$A76)*(EXCEPCIONES_FECHA!$B$2:$B$201=""),0)),IFERROR(INDEX(IF($I76="FIN",HISTORIAL_HORARIOS!$L$2:$L$201,HISTORIAL_HORARIOS!$H$2:$H$201),MATCH(1,(HISTORIAL_HORARIOS!$A$2:$A$201=$B76)*(HISTORIAL_HORARIOS!$C$2:$C$201&lt;=$A76)*(HISTORIAL_HORARIOS!$D$2:$D$201&gt;=$A76),0)),INDEX(IF($I76="FIN",PERSONAL!$L$2:$L$80,PERSONAL!$H$2:$H$80),MATCH($B76,PERSONAL!$A$2:$A$80,0)))))</f>
        <v/>
      </c>
    </row>
    <row r="77" ht="15" customHeight="1" s="58">
      <c r="A77" s="37" t="n"/>
      <c r="B77" s="38" t="n"/>
      <c r="C77" s="39" t="n"/>
      <c r="D77" s="39" t="n"/>
      <c r="E77" s="34">
        <f t="array" ref="E77">IF($B77="","",IFERROR(INDEX(PERSONAL!$B$2:$B$80,MATCH($B77,PERSONAL!$A$2:$A$80,0)),"NO EXISTE"))</f>
        <v/>
      </c>
      <c r="F77" s="52">
        <f t="array" ref="F77">IF($B77="","",IFERROR(INDEX(PERSONAL!$C$2:$C$80,MATCH($B77,PERSONAL!$A$2:$A$80,0)),""))</f>
        <v/>
      </c>
      <c r="G77" s="52">
        <f>IF($A77="","",CHOOSE(WEEKDAY($A77,2),"LUNES","MARTES","MIÉRCOLES","JUEVES","VIERNES","SÁBADO","DOMINGO"))</f>
        <v/>
      </c>
      <c r="H77" s="34">
        <f>IF($A77="","",CHOOSE(MONTH($A77),"ENERO","FEBRERO","MARZO","ABRIL","MAYO","JUNIO","JULIO","AGOSTO","SEPTIEMBRE","OCTUBRE","NOVIEMBRE","DICIEMBRE"))</f>
        <v/>
      </c>
      <c r="I77" s="34">
        <f>IF($A77="","",IF(OR($G77="SÁBADO",$G77="DOMINGO"),"FIN","LV"))</f>
        <v/>
      </c>
      <c r="J77" s="34">
        <f>IF(OR($A77="",$B77=""),"",IF($L77&lt;&gt;"",UPPER($L77),IF($C77="","FALTA",IFERROR(IF($C77&gt;=$O77,"ROJO FUERTE",IF($C77&gt;=$N77,"ROJO",IF($C77&gt;=$M77,"AMARILLO","VERDE"))),"REVISAR"))))</f>
        <v/>
      </c>
      <c r="K77" s="36">
        <f>IF(OR($C77="",$D77=""),"",IF($D77&gt;=$C77,($D77-$C77)*24,(1-$C77+$D77)*24))</f>
        <v/>
      </c>
      <c r="L77" s="34" t="n"/>
      <c r="M77" s="53">
        <f t="array" ref="M77">IFERROR(INDEX(EXCEPCIONES_FECHA!$D$2:$D$201,MATCH(1,(EXCEPCIONES_FECHA!$A$2:$A$201=$A77)*(EXCEPCIONES_FECHA!$B$2:$B$201=$B77),0)),IFERROR(INDEX(EXCEPCIONES_FECHA!$D$2:$D$201,MATCH(1,(EXCEPCIONES_FECHA!$A$2:$A$201=$A77)*(EXCEPCIONES_FECHA!$B$2:$B$201=""),0)),IFERROR(INDEX(IF($I77="FIN",HISTORIAL_HORARIOS!$J$2:$J$201,HISTORIAL_HORARIOS!$F$2:$F$201),MATCH(1,(HISTORIAL_HORARIOS!$A$2:$A$201=$B77)*(HISTORIAL_HORARIOS!$C$2:$C$201&lt;=$A77)*(HISTORIAL_HORARIOS!$D$2:$D$201&gt;=$A77),0)),INDEX(IF($I77="FIN",PERSONAL!$J$2:$J$80,PERSONAL!$F$2:$F$80),MATCH($B77,PERSONAL!$A$2:$A$80,0)))))</f>
        <v/>
      </c>
      <c r="N77" s="53">
        <f t="array" ref="N77">IFERROR(INDEX(EXCEPCIONES_FECHA!$E$2:$E$201,MATCH(1,(EXCEPCIONES_FECHA!$A$2:$A$201=$A77)*(EXCEPCIONES_FECHA!$B$2:$B$201=$B77),0)),IFERROR(INDEX(EXCEPCIONES_FECHA!$E$2:$E$201,MATCH(1,(EXCEPCIONES_FECHA!$A$2:$A$201=$A77)*(EXCEPCIONES_FECHA!$B$2:$B$201=""),0)),IFERROR(INDEX(IF($I77="FIN",HISTORIAL_HORARIOS!$K$2:$K$201,HISTORIAL_HORARIOS!$G$2:$G$201),MATCH(1,(HISTORIAL_HORARIOS!$A$2:$A$201=$B77)*(HISTORIAL_HORARIOS!$C$2:$C$201&lt;=$A77)*(HISTORIAL_HORARIOS!$D$2:$D$201&gt;=$A77),0)),INDEX(IF($I77="FIN",PERSONAL!$K$2:$K$80,PERSONAL!$G$2:$G$80),MATCH($B77,PERSONAL!$A$2:$A$80,0)))))</f>
        <v/>
      </c>
      <c r="O77" s="53">
        <f t="array" ref="O77">IFERROR(INDEX(EXCEPCIONES_FECHA!$F$2:$F$201,MATCH(1,(EXCEPCIONES_FECHA!$A$2:$A$201=$A77)*(EXCEPCIONES_FECHA!$B$2:$B$201=$B77),0)),IFERROR(INDEX(EXCEPCIONES_FECHA!$F$2:$F$201,MATCH(1,(EXCEPCIONES_FECHA!$A$2:$A$201=$A77)*(EXCEPCIONES_FECHA!$B$2:$B$201=""),0)),IFERROR(INDEX(IF($I77="FIN",HISTORIAL_HORARIOS!$L$2:$L$201,HISTORIAL_HORARIOS!$H$2:$H$201),MATCH(1,(HISTORIAL_HORARIOS!$A$2:$A$201=$B77)*(HISTORIAL_HORARIOS!$C$2:$C$201&lt;=$A77)*(HISTORIAL_HORARIOS!$D$2:$D$201&gt;=$A77),0)),INDEX(IF($I77="FIN",PERSONAL!$L$2:$L$80,PERSONAL!$H$2:$H$80),MATCH($B77,PERSONAL!$A$2:$A$80,0)))))</f>
        <v/>
      </c>
    </row>
    <row r="78" ht="15" customHeight="1" s="58">
      <c r="A78" s="37" t="n"/>
      <c r="B78" s="38" t="n"/>
      <c r="C78" s="39" t="n"/>
      <c r="D78" s="39" t="n"/>
      <c r="E78" s="34">
        <f t="array" ref="E78">IF($B78="","",IFERROR(INDEX(PERSONAL!$B$2:$B$80,MATCH($B78,PERSONAL!$A$2:$A$80,0)),"NO EXISTE"))</f>
        <v/>
      </c>
      <c r="F78" s="52">
        <f t="array" ref="F78">IF($B78="","",IFERROR(INDEX(PERSONAL!$C$2:$C$80,MATCH($B78,PERSONAL!$A$2:$A$80,0)),""))</f>
        <v/>
      </c>
      <c r="G78" s="52">
        <f>IF($A78="","",CHOOSE(WEEKDAY($A78,2),"LUNES","MARTES","MIÉRCOLES","JUEVES","VIERNES","SÁBADO","DOMINGO"))</f>
        <v/>
      </c>
      <c r="H78" s="34">
        <f>IF($A78="","",CHOOSE(MONTH($A78),"ENERO","FEBRERO","MARZO","ABRIL","MAYO","JUNIO","JULIO","AGOSTO","SEPTIEMBRE","OCTUBRE","NOVIEMBRE","DICIEMBRE"))</f>
        <v/>
      </c>
      <c r="I78" s="34">
        <f>IF($A78="","",IF(OR($G78="SÁBADO",$G78="DOMINGO"),"FIN","LV"))</f>
        <v/>
      </c>
      <c r="J78" s="34">
        <f>IF(OR($A78="",$B78=""),"",IF($L78&lt;&gt;"",UPPER($L78),IF($C78="","FALTA",IFERROR(IF($C78&gt;=$O78,"ROJO FUERTE",IF($C78&gt;=$N78,"ROJO",IF($C78&gt;=$M78,"AMARILLO","VERDE"))),"REVISAR"))))</f>
        <v/>
      </c>
      <c r="K78" s="36">
        <f>IF(OR($C78="",$D78=""),"",IF($D78&gt;=$C78,($D78-$C78)*24,(1-$C78+$D78)*24))</f>
        <v/>
      </c>
      <c r="L78" s="34" t="n"/>
      <c r="M78" s="53">
        <f t="array" ref="M78">IFERROR(INDEX(EXCEPCIONES_FECHA!$D$2:$D$201,MATCH(1,(EXCEPCIONES_FECHA!$A$2:$A$201=$A78)*(EXCEPCIONES_FECHA!$B$2:$B$201=$B78),0)),IFERROR(INDEX(EXCEPCIONES_FECHA!$D$2:$D$201,MATCH(1,(EXCEPCIONES_FECHA!$A$2:$A$201=$A78)*(EXCEPCIONES_FECHA!$B$2:$B$201=""),0)),IFERROR(INDEX(IF($I78="FIN",HISTORIAL_HORARIOS!$J$2:$J$201,HISTORIAL_HORARIOS!$F$2:$F$201),MATCH(1,(HISTORIAL_HORARIOS!$A$2:$A$201=$B78)*(HISTORIAL_HORARIOS!$C$2:$C$201&lt;=$A78)*(HISTORIAL_HORARIOS!$D$2:$D$201&gt;=$A78),0)),INDEX(IF($I78="FIN",PERSONAL!$J$2:$J$80,PERSONAL!$F$2:$F$80),MATCH($B78,PERSONAL!$A$2:$A$80,0)))))</f>
        <v/>
      </c>
      <c r="N78" s="53">
        <f t="array" ref="N78">IFERROR(INDEX(EXCEPCIONES_FECHA!$E$2:$E$201,MATCH(1,(EXCEPCIONES_FECHA!$A$2:$A$201=$A78)*(EXCEPCIONES_FECHA!$B$2:$B$201=$B78),0)),IFERROR(INDEX(EXCEPCIONES_FECHA!$E$2:$E$201,MATCH(1,(EXCEPCIONES_FECHA!$A$2:$A$201=$A78)*(EXCEPCIONES_FECHA!$B$2:$B$201=""),0)),IFERROR(INDEX(IF($I78="FIN",HISTORIAL_HORARIOS!$K$2:$K$201,HISTORIAL_HORARIOS!$G$2:$G$201),MATCH(1,(HISTORIAL_HORARIOS!$A$2:$A$201=$B78)*(HISTORIAL_HORARIOS!$C$2:$C$201&lt;=$A78)*(HISTORIAL_HORARIOS!$D$2:$D$201&gt;=$A78),0)),INDEX(IF($I78="FIN",PERSONAL!$K$2:$K$80,PERSONAL!$G$2:$G$80),MATCH($B78,PERSONAL!$A$2:$A$80,0)))))</f>
        <v/>
      </c>
      <c r="O78" s="53">
        <f t="array" ref="O78">IFERROR(INDEX(EXCEPCIONES_FECHA!$F$2:$F$201,MATCH(1,(EXCEPCIONES_FECHA!$A$2:$A$201=$A78)*(EXCEPCIONES_FECHA!$B$2:$B$201=$B78),0)),IFERROR(INDEX(EXCEPCIONES_FECHA!$F$2:$F$201,MATCH(1,(EXCEPCIONES_FECHA!$A$2:$A$201=$A78)*(EXCEPCIONES_FECHA!$B$2:$B$201=""),0)),IFERROR(INDEX(IF($I78="FIN",HISTORIAL_HORARIOS!$L$2:$L$201,HISTORIAL_HORARIOS!$H$2:$H$201),MATCH(1,(HISTORIAL_HORARIOS!$A$2:$A$201=$B78)*(HISTORIAL_HORARIOS!$C$2:$C$201&lt;=$A78)*(HISTORIAL_HORARIOS!$D$2:$D$201&gt;=$A78),0)),INDEX(IF($I78="FIN",PERSONAL!$L$2:$L$80,PERSONAL!$H$2:$H$80),MATCH($B78,PERSONAL!$A$2:$A$80,0)))))</f>
        <v/>
      </c>
    </row>
    <row r="79" ht="15" customHeight="1" s="58">
      <c r="A79" s="37" t="n"/>
      <c r="B79" s="38" t="n"/>
      <c r="C79" s="39" t="n"/>
      <c r="D79" s="39" t="n"/>
      <c r="E79" s="34">
        <f t="array" ref="E79">IF($B79="","",IFERROR(INDEX(PERSONAL!$B$2:$B$80,MATCH($B79,PERSONAL!$A$2:$A$80,0)),"NO EXISTE"))</f>
        <v/>
      </c>
      <c r="F79" s="52">
        <f t="array" ref="F79">IF($B79="","",IFERROR(INDEX(PERSONAL!$C$2:$C$80,MATCH($B79,PERSONAL!$A$2:$A$80,0)),""))</f>
        <v/>
      </c>
      <c r="G79" s="52">
        <f>IF($A79="","",CHOOSE(WEEKDAY($A79,2),"LUNES","MARTES","MIÉRCOLES","JUEVES","VIERNES","SÁBADO","DOMINGO"))</f>
        <v/>
      </c>
      <c r="H79" s="34">
        <f>IF($A79="","",CHOOSE(MONTH($A79),"ENERO","FEBRERO","MARZO","ABRIL","MAYO","JUNIO","JULIO","AGOSTO","SEPTIEMBRE","OCTUBRE","NOVIEMBRE","DICIEMBRE"))</f>
        <v/>
      </c>
      <c r="I79" s="34">
        <f>IF($A79="","",IF(OR($G79="SÁBADO",$G79="DOMINGO"),"FIN","LV"))</f>
        <v/>
      </c>
      <c r="J79" s="34">
        <f>IF(OR($A79="",$B79=""),"",IF($L79&lt;&gt;"",UPPER($L79),IF($C79="","FALTA",IFERROR(IF($C79&gt;=$O79,"ROJO FUERTE",IF($C79&gt;=$N79,"ROJO",IF($C79&gt;=$M79,"AMARILLO","VERDE"))),"REVISAR"))))</f>
        <v/>
      </c>
      <c r="K79" s="36">
        <f>IF(OR($C79="",$D79=""),"",IF($D79&gt;=$C79,($D79-$C79)*24,(1-$C79+$D79)*24))</f>
        <v/>
      </c>
      <c r="L79" s="34" t="n"/>
      <c r="M79" s="53">
        <f t="array" ref="M79">IFERROR(INDEX(EXCEPCIONES_FECHA!$D$2:$D$201,MATCH(1,(EXCEPCIONES_FECHA!$A$2:$A$201=$A79)*(EXCEPCIONES_FECHA!$B$2:$B$201=$B79),0)),IFERROR(INDEX(EXCEPCIONES_FECHA!$D$2:$D$201,MATCH(1,(EXCEPCIONES_FECHA!$A$2:$A$201=$A79)*(EXCEPCIONES_FECHA!$B$2:$B$201=""),0)),IFERROR(INDEX(IF($I79="FIN",HISTORIAL_HORARIOS!$J$2:$J$201,HISTORIAL_HORARIOS!$F$2:$F$201),MATCH(1,(HISTORIAL_HORARIOS!$A$2:$A$201=$B79)*(HISTORIAL_HORARIOS!$C$2:$C$201&lt;=$A79)*(HISTORIAL_HORARIOS!$D$2:$D$201&gt;=$A79),0)),INDEX(IF($I79="FIN",PERSONAL!$J$2:$J$80,PERSONAL!$F$2:$F$80),MATCH($B79,PERSONAL!$A$2:$A$80,0)))))</f>
        <v/>
      </c>
      <c r="N79" s="53">
        <f t="array" ref="N79">IFERROR(INDEX(EXCEPCIONES_FECHA!$E$2:$E$201,MATCH(1,(EXCEPCIONES_FECHA!$A$2:$A$201=$A79)*(EXCEPCIONES_FECHA!$B$2:$B$201=$B79),0)),IFERROR(INDEX(EXCEPCIONES_FECHA!$E$2:$E$201,MATCH(1,(EXCEPCIONES_FECHA!$A$2:$A$201=$A79)*(EXCEPCIONES_FECHA!$B$2:$B$201=""),0)),IFERROR(INDEX(IF($I79="FIN",HISTORIAL_HORARIOS!$K$2:$K$201,HISTORIAL_HORARIOS!$G$2:$G$201),MATCH(1,(HISTORIAL_HORARIOS!$A$2:$A$201=$B79)*(HISTORIAL_HORARIOS!$C$2:$C$201&lt;=$A79)*(HISTORIAL_HORARIOS!$D$2:$D$201&gt;=$A79),0)),INDEX(IF($I79="FIN",PERSONAL!$K$2:$K$80,PERSONAL!$G$2:$G$80),MATCH($B79,PERSONAL!$A$2:$A$80,0)))))</f>
        <v/>
      </c>
      <c r="O79" s="53">
        <f t="array" ref="O79">IFERROR(INDEX(EXCEPCIONES_FECHA!$F$2:$F$201,MATCH(1,(EXCEPCIONES_FECHA!$A$2:$A$201=$A79)*(EXCEPCIONES_FECHA!$B$2:$B$201=$B79),0)),IFERROR(INDEX(EXCEPCIONES_FECHA!$F$2:$F$201,MATCH(1,(EXCEPCIONES_FECHA!$A$2:$A$201=$A79)*(EXCEPCIONES_FECHA!$B$2:$B$201=""),0)),IFERROR(INDEX(IF($I79="FIN",HISTORIAL_HORARIOS!$L$2:$L$201,HISTORIAL_HORARIOS!$H$2:$H$201),MATCH(1,(HISTORIAL_HORARIOS!$A$2:$A$201=$B79)*(HISTORIAL_HORARIOS!$C$2:$C$201&lt;=$A79)*(HISTORIAL_HORARIOS!$D$2:$D$201&gt;=$A79),0)),INDEX(IF($I79="FIN",PERSONAL!$L$2:$L$80,PERSONAL!$H$2:$H$80),MATCH($B79,PERSONAL!$A$2:$A$80,0)))))</f>
        <v/>
      </c>
    </row>
    <row r="80" ht="15" customHeight="1" s="58">
      <c r="A80" s="37" t="n"/>
      <c r="B80" s="38" t="n"/>
      <c r="C80" s="39" t="n"/>
      <c r="D80" s="39" t="n"/>
      <c r="E80" s="34">
        <f t="array" ref="E80">IF($B80="","",IFERROR(INDEX(PERSONAL!$B$2:$B$80,MATCH($B80,PERSONAL!$A$2:$A$80,0)),"NO EXISTE"))</f>
        <v/>
      </c>
      <c r="F80" s="52">
        <f t="array" ref="F80">IF($B80="","",IFERROR(INDEX(PERSONAL!$C$2:$C$80,MATCH($B80,PERSONAL!$A$2:$A$80,0)),""))</f>
        <v/>
      </c>
      <c r="G80" s="52">
        <f>IF($A80="","",CHOOSE(WEEKDAY($A80,2),"LUNES","MARTES","MIÉRCOLES","JUEVES","VIERNES","SÁBADO","DOMINGO"))</f>
        <v/>
      </c>
      <c r="H80" s="34">
        <f>IF($A80="","",CHOOSE(MONTH($A80),"ENERO","FEBRERO","MARZO","ABRIL","MAYO","JUNIO","JULIO","AGOSTO","SEPTIEMBRE","OCTUBRE","NOVIEMBRE","DICIEMBRE"))</f>
        <v/>
      </c>
      <c r="I80" s="34">
        <f>IF($A80="","",IF(OR($G80="SÁBADO",$G80="DOMINGO"),"FIN","LV"))</f>
        <v/>
      </c>
      <c r="J80" s="34">
        <f>IF(OR($A80="",$B80=""),"",IF($L80&lt;&gt;"",UPPER($L80),IF($C80="","FALTA",IFERROR(IF($C80&gt;=$O80,"ROJO FUERTE",IF($C80&gt;=$N80,"ROJO",IF($C80&gt;=$M80,"AMARILLO","VERDE"))),"REVISAR"))))</f>
        <v/>
      </c>
      <c r="K80" s="36">
        <f>IF(OR($C80="",$D80=""),"",IF($D80&gt;=$C80,($D80-$C80)*24,(1-$C80+$D80)*24))</f>
        <v/>
      </c>
      <c r="L80" s="34" t="n"/>
      <c r="M80" s="53">
        <f t="array" ref="M80">IFERROR(INDEX(EXCEPCIONES_FECHA!$D$2:$D$201,MATCH(1,(EXCEPCIONES_FECHA!$A$2:$A$201=$A80)*(EXCEPCIONES_FECHA!$B$2:$B$201=$B80),0)),IFERROR(INDEX(EXCEPCIONES_FECHA!$D$2:$D$201,MATCH(1,(EXCEPCIONES_FECHA!$A$2:$A$201=$A80)*(EXCEPCIONES_FECHA!$B$2:$B$201=""),0)),IFERROR(INDEX(IF($I80="FIN",HISTORIAL_HORARIOS!$J$2:$J$201,HISTORIAL_HORARIOS!$F$2:$F$201),MATCH(1,(HISTORIAL_HORARIOS!$A$2:$A$201=$B80)*(HISTORIAL_HORARIOS!$C$2:$C$201&lt;=$A80)*(HISTORIAL_HORARIOS!$D$2:$D$201&gt;=$A80),0)),INDEX(IF($I80="FIN",PERSONAL!$J$2:$J$80,PERSONAL!$F$2:$F$80),MATCH($B80,PERSONAL!$A$2:$A$80,0)))))</f>
        <v/>
      </c>
      <c r="N80" s="53">
        <f t="array" ref="N80">IFERROR(INDEX(EXCEPCIONES_FECHA!$E$2:$E$201,MATCH(1,(EXCEPCIONES_FECHA!$A$2:$A$201=$A80)*(EXCEPCIONES_FECHA!$B$2:$B$201=$B80),0)),IFERROR(INDEX(EXCEPCIONES_FECHA!$E$2:$E$201,MATCH(1,(EXCEPCIONES_FECHA!$A$2:$A$201=$A80)*(EXCEPCIONES_FECHA!$B$2:$B$201=""),0)),IFERROR(INDEX(IF($I80="FIN",HISTORIAL_HORARIOS!$K$2:$K$201,HISTORIAL_HORARIOS!$G$2:$G$201),MATCH(1,(HISTORIAL_HORARIOS!$A$2:$A$201=$B80)*(HISTORIAL_HORARIOS!$C$2:$C$201&lt;=$A80)*(HISTORIAL_HORARIOS!$D$2:$D$201&gt;=$A80),0)),INDEX(IF($I80="FIN",PERSONAL!$K$2:$K$80,PERSONAL!$G$2:$G$80),MATCH($B80,PERSONAL!$A$2:$A$80,0)))))</f>
        <v/>
      </c>
      <c r="O80" s="53">
        <f t="array" ref="O80">IFERROR(INDEX(EXCEPCIONES_FECHA!$F$2:$F$201,MATCH(1,(EXCEPCIONES_FECHA!$A$2:$A$201=$A80)*(EXCEPCIONES_FECHA!$B$2:$B$201=$B80),0)),IFERROR(INDEX(EXCEPCIONES_FECHA!$F$2:$F$201,MATCH(1,(EXCEPCIONES_FECHA!$A$2:$A$201=$A80)*(EXCEPCIONES_FECHA!$B$2:$B$201=""),0)),IFERROR(INDEX(IF($I80="FIN",HISTORIAL_HORARIOS!$L$2:$L$201,HISTORIAL_HORARIOS!$H$2:$H$201),MATCH(1,(HISTORIAL_HORARIOS!$A$2:$A$201=$B80)*(HISTORIAL_HORARIOS!$C$2:$C$201&lt;=$A80)*(HISTORIAL_HORARIOS!$D$2:$D$201&gt;=$A80),0)),INDEX(IF($I80="FIN",PERSONAL!$L$2:$L$80,PERSONAL!$H$2:$H$80),MATCH($B80,PERSONAL!$A$2:$A$80,0)))))</f>
        <v/>
      </c>
    </row>
    <row r="81" ht="15" customHeight="1" s="58">
      <c r="A81" s="37" t="n"/>
      <c r="B81" s="38" t="n"/>
      <c r="C81" s="39" t="n"/>
      <c r="D81" s="39" t="n"/>
      <c r="E81" s="34">
        <f t="array" ref="E81">IF($B81="","",IFERROR(INDEX(PERSONAL!$B$2:$B$80,MATCH($B81,PERSONAL!$A$2:$A$80,0)),"NO EXISTE"))</f>
        <v/>
      </c>
      <c r="F81" s="52">
        <f t="array" ref="F81">IF($B81="","",IFERROR(INDEX(PERSONAL!$C$2:$C$80,MATCH($B81,PERSONAL!$A$2:$A$80,0)),""))</f>
        <v/>
      </c>
      <c r="G81" s="52">
        <f>IF($A81="","",CHOOSE(WEEKDAY($A81,2),"LUNES","MARTES","MIÉRCOLES","JUEVES","VIERNES","SÁBADO","DOMINGO"))</f>
        <v/>
      </c>
      <c r="H81" s="34">
        <f>IF($A81="","",CHOOSE(MONTH($A81),"ENERO","FEBRERO","MARZO","ABRIL","MAYO","JUNIO","JULIO","AGOSTO","SEPTIEMBRE","OCTUBRE","NOVIEMBRE","DICIEMBRE"))</f>
        <v/>
      </c>
      <c r="I81" s="34">
        <f>IF($A81="","",IF(OR($G81="SÁBADO",$G81="DOMINGO"),"FIN","LV"))</f>
        <v/>
      </c>
      <c r="J81" s="34">
        <f>IF(OR($A81="",$B81=""),"",IF($L81&lt;&gt;"",UPPER($L81),IF($C81="","FALTA",IFERROR(IF($C81&gt;=$O81,"ROJO FUERTE",IF($C81&gt;=$N81,"ROJO",IF($C81&gt;=$M81,"AMARILLO","VERDE"))),"REVISAR"))))</f>
        <v/>
      </c>
      <c r="K81" s="36">
        <f>IF(OR($C81="",$D81=""),"",IF($D81&gt;=$C81,($D81-$C81)*24,(1-$C81+$D81)*24))</f>
        <v/>
      </c>
      <c r="L81" s="34" t="n"/>
      <c r="M81" s="53">
        <f t="array" ref="M81">IFERROR(INDEX(EXCEPCIONES_FECHA!$D$2:$D$201,MATCH(1,(EXCEPCIONES_FECHA!$A$2:$A$201=$A81)*(EXCEPCIONES_FECHA!$B$2:$B$201=$B81),0)),IFERROR(INDEX(EXCEPCIONES_FECHA!$D$2:$D$201,MATCH(1,(EXCEPCIONES_FECHA!$A$2:$A$201=$A81)*(EXCEPCIONES_FECHA!$B$2:$B$201=""),0)),IFERROR(INDEX(IF($I81="FIN",HISTORIAL_HORARIOS!$J$2:$J$201,HISTORIAL_HORARIOS!$F$2:$F$201),MATCH(1,(HISTORIAL_HORARIOS!$A$2:$A$201=$B81)*(HISTORIAL_HORARIOS!$C$2:$C$201&lt;=$A81)*(HISTORIAL_HORARIOS!$D$2:$D$201&gt;=$A81),0)),INDEX(IF($I81="FIN",PERSONAL!$J$2:$J$80,PERSONAL!$F$2:$F$80),MATCH($B81,PERSONAL!$A$2:$A$80,0)))))</f>
        <v/>
      </c>
      <c r="N81" s="53">
        <f t="array" ref="N81">IFERROR(INDEX(EXCEPCIONES_FECHA!$E$2:$E$201,MATCH(1,(EXCEPCIONES_FECHA!$A$2:$A$201=$A81)*(EXCEPCIONES_FECHA!$B$2:$B$201=$B81),0)),IFERROR(INDEX(EXCEPCIONES_FECHA!$E$2:$E$201,MATCH(1,(EXCEPCIONES_FECHA!$A$2:$A$201=$A81)*(EXCEPCIONES_FECHA!$B$2:$B$201=""),0)),IFERROR(INDEX(IF($I81="FIN",HISTORIAL_HORARIOS!$K$2:$K$201,HISTORIAL_HORARIOS!$G$2:$G$201),MATCH(1,(HISTORIAL_HORARIOS!$A$2:$A$201=$B81)*(HISTORIAL_HORARIOS!$C$2:$C$201&lt;=$A81)*(HISTORIAL_HORARIOS!$D$2:$D$201&gt;=$A81),0)),INDEX(IF($I81="FIN",PERSONAL!$K$2:$K$80,PERSONAL!$G$2:$G$80),MATCH($B81,PERSONAL!$A$2:$A$80,0)))))</f>
        <v/>
      </c>
      <c r="O81" s="53">
        <f t="array" ref="O81">IFERROR(INDEX(EXCEPCIONES_FECHA!$F$2:$F$201,MATCH(1,(EXCEPCIONES_FECHA!$A$2:$A$201=$A81)*(EXCEPCIONES_FECHA!$B$2:$B$201=$B81),0)),IFERROR(INDEX(EXCEPCIONES_FECHA!$F$2:$F$201,MATCH(1,(EXCEPCIONES_FECHA!$A$2:$A$201=$A81)*(EXCEPCIONES_FECHA!$B$2:$B$201=""),0)),IFERROR(INDEX(IF($I81="FIN",HISTORIAL_HORARIOS!$L$2:$L$201,HISTORIAL_HORARIOS!$H$2:$H$201),MATCH(1,(HISTORIAL_HORARIOS!$A$2:$A$201=$B81)*(HISTORIAL_HORARIOS!$C$2:$C$201&lt;=$A81)*(HISTORIAL_HORARIOS!$D$2:$D$201&gt;=$A81),0)),INDEX(IF($I81="FIN",PERSONAL!$L$2:$L$80,PERSONAL!$H$2:$H$80),MATCH($B81,PERSONAL!$A$2:$A$80,0)))))</f>
        <v/>
      </c>
    </row>
    <row r="82" ht="15" customHeight="1" s="58">
      <c r="A82" s="37" t="n"/>
      <c r="B82" s="38" t="n"/>
      <c r="C82" s="39" t="n"/>
      <c r="D82" s="39" t="n"/>
      <c r="E82" s="34">
        <f t="array" ref="E82">IF($B82="","",IFERROR(INDEX(PERSONAL!$B$2:$B$80,MATCH($B82,PERSONAL!$A$2:$A$80,0)),"NO EXISTE"))</f>
        <v/>
      </c>
      <c r="F82" s="52">
        <f t="array" ref="F82">IF($B82="","",IFERROR(INDEX(PERSONAL!$C$2:$C$80,MATCH($B82,PERSONAL!$A$2:$A$80,0)),""))</f>
        <v/>
      </c>
      <c r="G82" s="52">
        <f>IF($A82="","",CHOOSE(WEEKDAY($A82,2),"LUNES","MARTES","MIÉRCOLES","JUEVES","VIERNES","SÁBADO","DOMINGO"))</f>
        <v/>
      </c>
      <c r="H82" s="34">
        <f>IF($A82="","",CHOOSE(MONTH($A82),"ENERO","FEBRERO","MARZO","ABRIL","MAYO","JUNIO","JULIO","AGOSTO","SEPTIEMBRE","OCTUBRE","NOVIEMBRE","DICIEMBRE"))</f>
        <v/>
      </c>
      <c r="I82" s="34">
        <f>IF($A82="","",IF(OR($G82="SÁBADO",$G82="DOMINGO"),"FIN","LV"))</f>
        <v/>
      </c>
      <c r="J82" s="34">
        <f>IF(OR($A82="",$B82=""),"",IF($L82&lt;&gt;"",UPPER($L82),IF($C82="","FALTA",IFERROR(IF($C82&gt;=$O82,"ROJO FUERTE",IF($C82&gt;=$N82,"ROJO",IF($C82&gt;=$M82,"AMARILLO","VERDE"))),"REVISAR"))))</f>
        <v/>
      </c>
      <c r="K82" s="36">
        <f>IF(OR($C82="",$D82=""),"",IF($D82&gt;=$C82,($D82-$C82)*24,(1-$C82+$D82)*24))</f>
        <v/>
      </c>
      <c r="L82" s="34" t="n"/>
      <c r="M82" s="53">
        <f t="array" ref="M82">IFERROR(INDEX(EXCEPCIONES_FECHA!$D$2:$D$201,MATCH(1,(EXCEPCIONES_FECHA!$A$2:$A$201=$A82)*(EXCEPCIONES_FECHA!$B$2:$B$201=$B82),0)),IFERROR(INDEX(EXCEPCIONES_FECHA!$D$2:$D$201,MATCH(1,(EXCEPCIONES_FECHA!$A$2:$A$201=$A82)*(EXCEPCIONES_FECHA!$B$2:$B$201=""),0)),IFERROR(INDEX(IF($I82="FIN",HISTORIAL_HORARIOS!$J$2:$J$201,HISTORIAL_HORARIOS!$F$2:$F$201),MATCH(1,(HISTORIAL_HORARIOS!$A$2:$A$201=$B82)*(HISTORIAL_HORARIOS!$C$2:$C$201&lt;=$A82)*(HISTORIAL_HORARIOS!$D$2:$D$201&gt;=$A82),0)),INDEX(IF($I82="FIN",PERSONAL!$J$2:$J$80,PERSONAL!$F$2:$F$80),MATCH($B82,PERSONAL!$A$2:$A$80,0)))))</f>
        <v/>
      </c>
      <c r="N82" s="53">
        <f t="array" ref="N82">IFERROR(INDEX(EXCEPCIONES_FECHA!$E$2:$E$201,MATCH(1,(EXCEPCIONES_FECHA!$A$2:$A$201=$A82)*(EXCEPCIONES_FECHA!$B$2:$B$201=$B82),0)),IFERROR(INDEX(EXCEPCIONES_FECHA!$E$2:$E$201,MATCH(1,(EXCEPCIONES_FECHA!$A$2:$A$201=$A82)*(EXCEPCIONES_FECHA!$B$2:$B$201=""),0)),IFERROR(INDEX(IF($I82="FIN",HISTORIAL_HORARIOS!$K$2:$K$201,HISTORIAL_HORARIOS!$G$2:$G$201),MATCH(1,(HISTORIAL_HORARIOS!$A$2:$A$201=$B82)*(HISTORIAL_HORARIOS!$C$2:$C$201&lt;=$A82)*(HISTORIAL_HORARIOS!$D$2:$D$201&gt;=$A82),0)),INDEX(IF($I82="FIN",PERSONAL!$K$2:$K$80,PERSONAL!$G$2:$G$80),MATCH($B82,PERSONAL!$A$2:$A$80,0)))))</f>
        <v/>
      </c>
      <c r="O82" s="53">
        <f t="array" ref="O82">IFERROR(INDEX(EXCEPCIONES_FECHA!$F$2:$F$201,MATCH(1,(EXCEPCIONES_FECHA!$A$2:$A$201=$A82)*(EXCEPCIONES_FECHA!$B$2:$B$201=$B82),0)),IFERROR(INDEX(EXCEPCIONES_FECHA!$F$2:$F$201,MATCH(1,(EXCEPCIONES_FECHA!$A$2:$A$201=$A82)*(EXCEPCIONES_FECHA!$B$2:$B$201=""),0)),IFERROR(INDEX(IF($I82="FIN",HISTORIAL_HORARIOS!$L$2:$L$201,HISTORIAL_HORARIOS!$H$2:$H$201),MATCH(1,(HISTORIAL_HORARIOS!$A$2:$A$201=$B82)*(HISTORIAL_HORARIOS!$C$2:$C$201&lt;=$A82)*(HISTORIAL_HORARIOS!$D$2:$D$201&gt;=$A82),0)),INDEX(IF($I82="FIN",PERSONAL!$L$2:$L$80,PERSONAL!$H$2:$H$80),MATCH($B82,PERSONAL!$A$2:$A$80,0)))))</f>
        <v/>
      </c>
    </row>
    <row r="83" ht="15" customHeight="1" s="58">
      <c r="A83" s="37" t="n"/>
      <c r="B83" s="38" t="n"/>
      <c r="C83" s="39" t="n"/>
      <c r="D83" s="39" t="n"/>
      <c r="E83" s="34">
        <f t="array" ref="E83">IF($B83="","",IFERROR(INDEX(PERSONAL!$B$2:$B$80,MATCH($B83,PERSONAL!$A$2:$A$80,0)),"NO EXISTE"))</f>
        <v/>
      </c>
      <c r="F83" s="52">
        <f t="array" ref="F83">IF($B83="","",IFERROR(INDEX(PERSONAL!$C$2:$C$80,MATCH($B83,PERSONAL!$A$2:$A$80,0)),""))</f>
        <v/>
      </c>
      <c r="G83" s="52">
        <f>IF($A83="","",CHOOSE(WEEKDAY($A83,2),"LUNES","MARTES","MIÉRCOLES","JUEVES","VIERNES","SÁBADO","DOMINGO"))</f>
        <v/>
      </c>
      <c r="H83" s="34">
        <f>IF($A83="","",CHOOSE(MONTH($A83),"ENERO","FEBRERO","MARZO","ABRIL","MAYO","JUNIO","JULIO","AGOSTO","SEPTIEMBRE","OCTUBRE","NOVIEMBRE","DICIEMBRE"))</f>
        <v/>
      </c>
      <c r="I83" s="34">
        <f>IF($A83="","",IF(OR($G83="SÁBADO",$G83="DOMINGO"),"FIN","LV"))</f>
        <v/>
      </c>
      <c r="J83" s="34">
        <f>IF(OR($A83="",$B83=""),"",IF($L83&lt;&gt;"",UPPER($L83),IF($C83="","FALTA",IFERROR(IF($C83&gt;=$O83,"ROJO FUERTE",IF($C83&gt;=$N83,"ROJO",IF($C83&gt;=$M83,"AMARILLO","VERDE"))),"REVISAR"))))</f>
        <v/>
      </c>
      <c r="K83" s="36">
        <f>IF(OR($C83="",$D83=""),"",IF($D83&gt;=$C83,($D83-$C83)*24,(1-$C83+$D83)*24))</f>
        <v/>
      </c>
      <c r="L83" s="34" t="n"/>
      <c r="M83" s="53">
        <f t="array" ref="M83">IFERROR(INDEX(EXCEPCIONES_FECHA!$D$2:$D$201,MATCH(1,(EXCEPCIONES_FECHA!$A$2:$A$201=$A83)*(EXCEPCIONES_FECHA!$B$2:$B$201=$B83),0)),IFERROR(INDEX(EXCEPCIONES_FECHA!$D$2:$D$201,MATCH(1,(EXCEPCIONES_FECHA!$A$2:$A$201=$A83)*(EXCEPCIONES_FECHA!$B$2:$B$201=""),0)),IFERROR(INDEX(IF($I83="FIN",HISTORIAL_HORARIOS!$J$2:$J$201,HISTORIAL_HORARIOS!$F$2:$F$201),MATCH(1,(HISTORIAL_HORARIOS!$A$2:$A$201=$B83)*(HISTORIAL_HORARIOS!$C$2:$C$201&lt;=$A83)*(HISTORIAL_HORARIOS!$D$2:$D$201&gt;=$A83),0)),INDEX(IF($I83="FIN",PERSONAL!$J$2:$J$80,PERSONAL!$F$2:$F$80),MATCH($B83,PERSONAL!$A$2:$A$80,0)))))</f>
        <v/>
      </c>
      <c r="N83" s="53">
        <f t="array" ref="N83">IFERROR(INDEX(EXCEPCIONES_FECHA!$E$2:$E$201,MATCH(1,(EXCEPCIONES_FECHA!$A$2:$A$201=$A83)*(EXCEPCIONES_FECHA!$B$2:$B$201=$B83),0)),IFERROR(INDEX(EXCEPCIONES_FECHA!$E$2:$E$201,MATCH(1,(EXCEPCIONES_FECHA!$A$2:$A$201=$A83)*(EXCEPCIONES_FECHA!$B$2:$B$201=""),0)),IFERROR(INDEX(IF($I83="FIN",HISTORIAL_HORARIOS!$K$2:$K$201,HISTORIAL_HORARIOS!$G$2:$G$201),MATCH(1,(HISTORIAL_HORARIOS!$A$2:$A$201=$B83)*(HISTORIAL_HORARIOS!$C$2:$C$201&lt;=$A83)*(HISTORIAL_HORARIOS!$D$2:$D$201&gt;=$A83),0)),INDEX(IF($I83="FIN",PERSONAL!$K$2:$K$80,PERSONAL!$G$2:$G$80),MATCH($B83,PERSONAL!$A$2:$A$80,0)))))</f>
        <v/>
      </c>
      <c r="O83" s="53">
        <f t="array" ref="O83">IFERROR(INDEX(EXCEPCIONES_FECHA!$F$2:$F$201,MATCH(1,(EXCEPCIONES_FECHA!$A$2:$A$201=$A83)*(EXCEPCIONES_FECHA!$B$2:$B$201=$B83),0)),IFERROR(INDEX(EXCEPCIONES_FECHA!$F$2:$F$201,MATCH(1,(EXCEPCIONES_FECHA!$A$2:$A$201=$A83)*(EXCEPCIONES_FECHA!$B$2:$B$201=""),0)),IFERROR(INDEX(IF($I83="FIN",HISTORIAL_HORARIOS!$L$2:$L$201,HISTORIAL_HORARIOS!$H$2:$H$201),MATCH(1,(HISTORIAL_HORARIOS!$A$2:$A$201=$B83)*(HISTORIAL_HORARIOS!$C$2:$C$201&lt;=$A83)*(HISTORIAL_HORARIOS!$D$2:$D$201&gt;=$A83),0)),INDEX(IF($I83="FIN",PERSONAL!$L$2:$L$80,PERSONAL!$H$2:$H$80),MATCH($B83,PERSONAL!$A$2:$A$80,0)))))</f>
        <v/>
      </c>
    </row>
    <row r="84" ht="15" customHeight="1" s="58">
      <c r="A84" s="37" t="n"/>
      <c r="B84" s="38" t="n"/>
      <c r="C84" s="39" t="n"/>
      <c r="D84" s="39" t="n"/>
      <c r="E84" s="34">
        <f t="array" ref="E84">IF($B84="","",IFERROR(INDEX(PERSONAL!$B$2:$B$80,MATCH($B84,PERSONAL!$A$2:$A$80,0)),"NO EXISTE"))</f>
        <v/>
      </c>
      <c r="F84" s="52">
        <f t="array" ref="F84">IF($B84="","",IFERROR(INDEX(PERSONAL!$C$2:$C$80,MATCH($B84,PERSONAL!$A$2:$A$80,0)),""))</f>
        <v/>
      </c>
      <c r="G84" s="52">
        <f>IF($A84="","",CHOOSE(WEEKDAY($A84,2),"LUNES","MARTES","MIÉRCOLES","JUEVES","VIERNES","SÁBADO","DOMINGO"))</f>
        <v/>
      </c>
      <c r="H84" s="34">
        <f>IF($A84="","",CHOOSE(MONTH($A84),"ENERO","FEBRERO","MARZO","ABRIL","MAYO","JUNIO","JULIO","AGOSTO","SEPTIEMBRE","OCTUBRE","NOVIEMBRE","DICIEMBRE"))</f>
        <v/>
      </c>
      <c r="I84" s="34">
        <f>IF($A84="","",IF(OR($G84="SÁBADO",$G84="DOMINGO"),"FIN","LV"))</f>
        <v/>
      </c>
      <c r="J84" s="34">
        <f>IF(OR($A84="",$B84=""),"",IF($L84&lt;&gt;"",UPPER($L84),IF($C84="","FALTA",IFERROR(IF($C84&gt;=$O84,"ROJO FUERTE",IF($C84&gt;=$N84,"ROJO",IF($C84&gt;=$M84,"AMARILLO","VERDE"))),"REVISAR"))))</f>
        <v/>
      </c>
      <c r="K84" s="36">
        <f>IF(OR($C84="",$D84=""),"",IF($D84&gt;=$C84,($D84-$C84)*24,(1-$C84+$D84)*24))</f>
        <v/>
      </c>
      <c r="L84" s="34" t="n"/>
      <c r="M84" s="53">
        <f t="array" ref="M84">IFERROR(INDEX(EXCEPCIONES_FECHA!$D$2:$D$201,MATCH(1,(EXCEPCIONES_FECHA!$A$2:$A$201=$A84)*(EXCEPCIONES_FECHA!$B$2:$B$201=$B84),0)),IFERROR(INDEX(EXCEPCIONES_FECHA!$D$2:$D$201,MATCH(1,(EXCEPCIONES_FECHA!$A$2:$A$201=$A84)*(EXCEPCIONES_FECHA!$B$2:$B$201=""),0)),IFERROR(INDEX(IF($I84="FIN",HISTORIAL_HORARIOS!$J$2:$J$201,HISTORIAL_HORARIOS!$F$2:$F$201),MATCH(1,(HISTORIAL_HORARIOS!$A$2:$A$201=$B84)*(HISTORIAL_HORARIOS!$C$2:$C$201&lt;=$A84)*(HISTORIAL_HORARIOS!$D$2:$D$201&gt;=$A84),0)),INDEX(IF($I84="FIN",PERSONAL!$J$2:$J$80,PERSONAL!$F$2:$F$80),MATCH($B84,PERSONAL!$A$2:$A$80,0)))))</f>
        <v/>
      </c>
      <c r="N84" s="53">
        <f t="array" ref="N84">IFERROR(INDEX(EXCEPCIONES_FECHA!$E$2:$E$201,MATCH(1,(EXCEPCIONES_FECHA!$A$2:$A$201=$A84)*(EXCEPCIONES_FECHA!$B$2:$B$201=$B84),0)),IFERROR(INDEX(EXCEPCIONES_FECHA!$E$2:$E$201,MATCH(1,(EXCEPCIONES_FECHA!$A$2:$A$201=$A84)*(EXCEPCIONES_FECHA!$B$2:$B$201=""),0)),IFERROR(INDEX(IF($I84="FIN",HISTORIAL_HORARIOS!$K$2:$K$201,HISTORIAL_HORARIOS!$G$2:$G$201),MATCH(1,(HISTORIAL_HORARIOS!$A$2:$A$201=$B84)*(HISTORIAL_HORARIOS!$C$2:$C$201&lt;=$A84)*(HISTORIAL_HORARIOS!$D$2:$D$201&gt;=$A84),0)),INDEX(IF($I84="FIN",PERSONAL!$K$2:$K$80,PERSONAL!$G$2:$G$80),MATCH($B84,PERSONAL!$A$2:$A$80,0)))))</f>
        <v/>
      </c>
      <c r="O84" s="53">
        <f t="array" ref="O84">IFERROR(INDEX(EXCEPCIONES_FECHA!$F$2:$F$201,MATCH(1,(EXCEPCIONES_FECHA!$A$2:$A$201=$A84)*(EXCEPCIONES_FECHA!$B$2:$B$201=$B84),0)),IFERROR(INDEX(EXCEPCIONES_FECHA!$F$2:$F$201,MATCH(1,(EXCEPCIONES_FECHA!$A$2:$A$201=$A84)*(EXCEPCIONES_FECHA!$B$2:$B$201=""),0)),IFERROR(INDEX(IF($I84="FIN",HISTORIAL_HORARIOS!$L$2:$L$201,HISTORIAL_HORARIOS!$H$2:$H$201),MATCH(1,(HISTORIAL_HORARIOS!$A$2:$A$201=$B84)*(HISTORIAL_HORARIOS!$C$2:$C$201&lt;=$A84)*(HISTORIAL_HORARIOS!$D$2:$D$201&gt;=$A84),0)),INDEX(IF($I84="FIN",PERSONAL!$L$2:$L$80,PERSONAL!$H$2:$H$80),MATCH($B84,PERSONAL!$A$2:$A$80,0)))))</f>
        <v/>
      </c>
    </row>
    <row r="85" ht="15" customHeight="1" s="58">
      <c r="A85" s="37" t="n"/>
      <c r="B85" s="38" t="n"/>
      <c r="C85" s="39" t="n"/>
      <c r="D85" s="39" t="n"/>
      <c r="E85" s="34">
        <f t="array" ref="E85">IF($B85="","",IFERROR(INDEX(PERSONAL!$B$2:$B$80,MATCH($B85,PERSONAL!$A$2:$A$80,0)),"NO EXISTE"))</f>
        <v/>
      </c>
      <c r="F85" s="52">
        <f t="array" ref="F85">IF($B85="","",IFERROR(INDEX(PERSONAL!$C$2:$C$80,MATCH($B85,PERSONAL!$A$2:$A$80,0)),""))</f>
        <v/>
      </c>
      <c r="G85" s="52">
        <f>IF($A85="","",CHOOSE(WEEKDAY($A85,2),"LUNES","MARTES","MIÉRCOLES","JUEVES","VIERNES","SÁBADO","DOMINGO"))</f>
        <v/>
      </c>
      <c r="H85" s="34">
        <f>IF($A85="","",CHOOSE(MONTH($A85),"ENERO","FEBRERO","MARZO","ABRIL","MAYO","JUNIO","JULIO","AGOSTO","SEPTIEMBRE","OCTUBRE","NOVIEMBRE","DICIEMBRE"))</f>
        <v/>
      </c>
      <c r="I85" s="34">
        <f>IF($A85="","",IF(OR($G85="SÁBADO",$G85="DOMINGO"),"FIN","LV"))</f>
        <v/>
      </c>
      <c r="J85" s="34">
        <f>IF(OR($A85="",$B85=""),"",IF($L85&lt;&gt;"",UPPER($L85),IF($C85="","FALTA",IFERROR(IF($C85&gt;=$O85,"ROJO FUERTE",IF($C85&gt;=$N85,"ROJO",IF($C85&gt;=$M85,"AMARILLO","VERDE"))),"REVISAR"))))</f>
        <v/>
      </c>
      <c r="K85" s="36">
        <f>IF(OR($C85="",$D85=""),"",IF($D85&gt;=$C85,($D85-$C85)*24,(1-$C85+$D85)*24))</f>
        <v/>
      </c>
      <c r="L85" s="34" t="n"/>
      <c r="M85" s="53">
        <f t="array" ref="M85">IFERROR(INDEX(EXCEPCIONES_FECHA!$D$2:$D$201,MATCH(1,(EXCEPCIONES_FECHA!$A$2:$A$201=$A85)*(EXCEPCIONES_FECHA!$B$2:$B$201=$B85),0)),IFERROR(INDEX(EXCEPCIONES_FECHA!$D$2:$D$201,MATCH(1,(EXCEPCIONES_FECHA!$A$2:$A$201=$A85)*(EXCEPCIONES_FECHA!$B$2:$B$201=""),0)),IFERROR(INDEX(IF($I85="FIN",HISTORIAL_HORARIOS!$J$2:$J$201,HISTORIAL_HORARIOS!$F$2:$F$201),MATCH(1,(HISTORIAL_HORARIOS!$A$2:$A$201=$B85)*(HISTORIAL_HORARIOS!$C$2:$C$201&lt;=$A85)*(HISTORIAL_HORARIOS!$D$2:$D$201&gt;=$A85),0)),INDEX(IF($I85="FIN",PERSONAL!$J$2:$J$80,PERSONAL!$F$2:$F$80),MATCH($B85,PERSONAL!$A$2:$A$80,0)))))</f>
        <v/>
      </c>
      <c r="N85" s="53">
        <f t="array" ref="N85">IFERROR(INDEX(EXCEPCIONES_FECHA!$E$2:$E$201,MATCH(1,(EXCEPCIONES_FECHA!$A$2:$A$201=$A85)*(EXCEPCIONES_FECHA!$B$2:$B$201=$B85),0)),IFERROR(INDEX(EXCEPCIONES_FECHA!$E$2:$E$201,MATCH(1,(EXCEPCIONES_FECHA!$A$2:$A$201=$A85)*(EXCEPCIONES_FECHA!$B$2:$B$201=""),0)),IFERROR(INDEX(IF($I85="FIN",HISTORIAL_HORARIOS!$K$2:$K$201,HISTORIAL_HORARIOS!$G$2:$G$201),MATCH(1,(HISTORIAL_HORARIOS!$A$2:$A$201=$B85)*(HISTORIAL_HORARIOS!$C$2:$C$201&lt;=$A85)*(HISTORIAL_HORARIOS!$D$2:$D$201&gt;=$A85),0)),INDEX(IF($I85="FIN",PERSONAL!$K$2:$K$80,PERSONAL!$G$2:$G$80),MATCH($B85,PERSONAL!$A$2:$A$80,0)))))</f>
        <v/>
      </c>
      <c r="O85" s="53">
        <f t="array" ref="O85">IFERROR(INDEX(EXCEPCIONES_FECHA!$F$2:$F$201,MATCH(1,(EXCEPCIONES_FECHA!$A$2:$A$201=$A85)*(EXCEPCIONES_FECHA!$B$2:$B$201=$B85),0)),IFERROR(INDEX(EXCEPCIONES_FECHA!$F$2:$F$201,MATCH(1,(EXCEPCIONES_FECHA!$A$2:$A$201=$A85)*(EXCEPCIONES_FECHA!$B$2:$B$201=""),0)),IFERROR(INDEX(IF($I85="FIN",HISTORIAL_HORARIOS!$L$2:$L$201,HISTORIAL_HORARIOS!$H$2:$H$201),MATCH(1,(HISTORIAL_HORARIOS!$A$2:$A$201=$B85)*(HISTORIAL_HORARIOS!$C$2:$C$201&lt;=$A85)*(HISTORIAL_HORARIOS!$D$2:$D$201&gt;=$A85),0)),INDEX(IF($I85="FIN",PERSONAL!$L$2:$L$80,PERSONAL!$H$2:$H$80),MATCH($B85,PERSONAL!$A$2:$A$80,0)))))</f>
        <v/>
      </c>
    </row>
    <row r="86" ht="15" customHeight="1" s="58">
      <c r="A86" s="37" t="n"/>
      <c r="B86" s="38" t="n"/>
      <c r="C86" s="39" t="n"/>
      <c r="D86" s="39" t="n"/>
      <c r="E86" s="34">
        <f t="array" ref="E86">IF($B86="","",IFERROR(INDEX(PERSONAL!$B$2:$B$80,MATCH($B86,PERSONAL!$A$2:$A$80,0)),"NO EXISTE"))</f>
        <v/>
      </c>
      <c r="F86" s="52">
        <f t="array" ref="F86">IF($B86="","",IFERROR(INDEX(PERSONAL!$C$2:$C$80,MATCH($B86,PERSONAL!$A$2:$A$80,0)),""))</f>
        <v/>
      </c>
      <c r="G86" s="52">
        <f>IF($A86="","",CHOOSE(WEEKDAY($A86,2),"LUNES","MARTES","MIÉRCOLES","JUEVES","VIERNES","SÁBADO","DOMINGO"))</f>
        <v/>
      </c>
      <c r="H86" s="34">
        <f>IF($A86="","",CHOOSE(MONTH($A86),"ENERO","FEBRERO","MARZO","ABRIL","MAYO","JUNIO","JULIO","AGOSTO","SEPTIEMBRE","OCTUBRE","NOVIEMBRE","DICIEMBRE"))</f>
        <v/>
      </c>
      <c r="I86" s="34">
        <f>IF($A86="","",IF(OR($G86="SÁBADO",$G86="DOMINGO"),"FIN","LV"))</f>
        <v/>
      </c>
      <c r="J86" s="34">
        <f>IF(OR($A86="",$B86=""),"",IF($L86&lt;&gt;"",UPPER($L86),IF($C86="","FALTA",IFERROR(IF($C86&gt;=$O86,"ROJO FUERTE",IF($C86&gt;=$N86,"ROJO",IF($C86&gt;=$M86,"AMARILLO","VERDE"))),"REVISAR"))))</f>
        <v/>
      </c>
      <c r="K86" s="36">
        <f>IF(OR($C86="",$D86=""),"",IF($D86&gt;=$C86,($D86-$C86)*24,(1-$C86+$D86)*24))</f>
        <v/>
      </c>
      <c r="L86" s="34" t="n"/>
      <c r="M86" s="53">
        <f t="array" ref="M86">IFERROR(INDEX(EXCEPCIONES_FECHA!$D$2:$D$201,MATCH(1,(EXCEPCIONES_FECHA!$A$2:$A$201=$A86)*(EXCEPCIONES_FECHA!$B$2:$B$201=$B86),0)),IFERROR(INDEX(EXCEPCIONES_FECHA!$D$2:$D$201,MATCH(1,(EXCEPCIONES_FECHA!$A$2:$A$201=$A86)*(EXCEPCIONES_FECHA!$B$2:$B$201=""),0)),IFERROR(INDEX(IF($I86="FIN",HISTORIAL_HORARIOS!$J$2:$J$201,HISTORIAL_HORARIOS!$F$2:$F$201),MATCH(1,(HISTORIAL_HORARIOS!$A$2:$A$201=$B86)*(HISTORIAL_HORARIOS!$C$2:$C$201&lt;=$A86)*(HISTORIAL_HORARIOS!$D$2:$D$201&gt;=$A86),0)),INDEX(IF($I86="FIN",PERSONAL!$J$2:$J$80,PERSONAL!$F$2:$F$80),MATCH($B86,PERSONAL!$A$2:$A$80,0)))))</f>
        <v/>
      </c>
      <c r="N86" s="53">
        <f t="array" ref="N86">IFERROR(INDEX(EXCEPCIONES_FECHA!$E$2:$E$201,MATCH(1,(EXCEPCIONES_FECHA!$A$2:$A$201=$A86)*(EXCEPCIONES_FECHA!$B$2:$B$201=$B86),0)),IFERROR(INDEX(EXCEPCIONES_FECHA!$E$2:$E$201,MATCH(1,(EXCEPCIONES_FECHA!$A$2:$A$201=$A86)*(EXCEPCIONES_FECHA!$B$2:$B$201=""),0)),IFERROR(INDEX(IF($I86="FIN",HISTORIAL_HORARIOS!$K$2:$K$201,HISTORIAL_HORARIOS!$G$2:$G$201),MATCH(1,(HISTORIAL_HORARIOS!$A$2:$A$201=$B86)*(HISTORIAL_HORARIOS!$C$2:$C$201&lt;=$A86)*(HISTORIAL_HORARIOS!$D$2:$D$201&gt;=$A86),0)),INDEX(IF($I86="FIN",PERSONAL!$K$2:$K$80,PERSONAL!$G$2:$G$80),MATCH($B86,PERSONAL!$A$2:$A$80,0)))))</f>
        <v/>
      </c>
      <c r="O86" s="53">
        <f t="array" ref="O86">IFERROR(INDEX(EXCEPCIONES_FECHA!$F$2:$F$201,MATCH(1,(EXCEPCIONES_FECHA!$A$2:$A$201=$A86)*(EXCEPCIONES_FECHA!$B$2:$B$201=$B86),0)),IFERROR(INDEX(EXCEPCIONES_FECHA!$F$2:$F$201,MATCH(1,(EXCEPCIONES_FECHA!$A$2:$A$201=$A86)*(EXCEPCIONES_FECHA!$B$2:$B$201=""),0)),IFERROR(INDEX(IF($I86="FIN",HISTORIAL_HORARIOS!$L$2:$L$201,HISTORIAL_HORARIOS!$H$2:$H$201),MATCH(1,(HISTORIAL_HORARIOS!$A$2:$A$201=$B86)*(HISTORIAL_HORARIOS!$C$2:$C$201&lt;=$A86)*(HISTORIAL_HORARIOS!$D$2:$D$201&gt;=$A86),0)),INDEX(IF($I86="FIN",PERSONAL!$L$2:$L$80,PERSONAL!$H$2:$H$80),MATCH($B86,PERSONAL!$A$2:$A$80,0)))))</f>
        <v/>
      </c>
    </row>
    <row r="87" ht="15" customHeight="1" s="58">
      <c r="A87" s="37" t="n"/>
      <c r="B87" s="38" t="n"/>
      <c r="C87" s="39" t="n"/>
      <c r="D87" s="39" t="n"/>
      <c r="E87" s="34">
        <f t="array" ref="E87">IF($B87="","",IFERROR(INDEX(PERSONAL!$B$2:$B$80,MATCH($B87,PERSONAL!$A$2:$A$80,0)),"NO EXISTE"))</f>
        <v/>
      </c>
      <c r="F87" s="52">
        <f t="array" ref="F87">IF($B87="","",IFERROR(INDEX(PERSONAL!$C$2:$C$80,MATCH($B87,PERSONAL!$A$2:$A$80,0)),""))</f>
        <v/>
      </c>
      <c r="G87" s="52">
        <f>IF($A87="","",CHOOSE(WEEKDAY($A87,2),"LUNES","MARTES","MIÉRCOLES","JUEVES","VIERNES","SÁBADO","DOMINGO"))</f>
        <v/>
      </c>
      <c r="H87" s="34">
        <f>IF($A87="","",CHOOSE(MONTH($A87),"ENERO","FEBRERO","MARZO","ABRIL","MAYO","JUNIO","JULIO","AGOSTO","SEPTIEMBRE","OCTUBRE","NOVIEMBRE","DICIEMBRE"))</f>
        <v/>
      </c>
      <c r="I87" s="34">
        <f>IF($A87="","",IF(OR($G87="SÁBADO",$G87="DOMINGO"),"FIN","LV"))</f>
        <v/>
      </c>
      <c r="J87" s="34">
        <f>IF(OR($A87="",$B87=""),"",IF($L87&lt;&gt;"",UPPER($L87),IF($C87="","FALTA",IFERROR(IF($C87&gt;=$O87,"ROJO FUERTE",IF($C87&gt;=$N87,"ROJO",IF($C87&gt;=$M87,"AMARILLO","VERDE"))),"REVISAR"))))</f>
        <v/>
      </c>
      <c r="K87" s="36">
        <f>IF(OR($C87="",$D87=""),"",IF($D87&gt;=$C87,($D87-$C87)*24,(1-$C87+$D87)*24))</f>
        <v/>
      </c>
      <c r="L87" s="34" t="n"/>
      <c r="M87" s="53">
        <f t="array" ref="M87">IFERROR(INDEX(EXCEPCIONES_FECHA!$D$2:$D$201,MATCH(1,(EXCEPCIONES_FECHA!$A$2:$A$201=$A87)*(EXCEPCIONES_FECHA!$B$2:$B$201=$B87),0)),IFERROR(INDEX(EXCEPCIONES_FECHA!$D$2:$D$201,MATCH(1,(EXCEPCIONES_FECHA!$A$2:$A$201=$A87)*(EXCEPCIONES_FECHA!$B$2:$B$201=""),0)),IFERROR(INDEX(IF($I87="FIN",HISTORIAL_HORARIOS!$J$2:$J$201,HISTORIAL_HORARIOS!$F$2:$F$201),MATCH(1,(HISTORIAL_HORARIOS!$A$2:$A$201=$B87)*(HISTORIAL_HORARIOS!$C$2:$C$201&lt;=$A87)*(HISTORIAL_HORARIOS!$D$2:$D$201&gt;=$A87),0)),INDEX(IF($I87="FIN",PERSONAL!$J$2:$J$80,PERSONAL!$F$2:$F$80),MATCH($B87,PERSONAL!$A$2:$A$80,0)))))</f>
        <v/>
      </c>
      <c r="N87" s="53">
        <f t="array" ref="N87">IFERROR(INDEX(EXCEPCIONES_FECHA!$E$2:$E$201,MATCH(1,(EXCEPCIONES_FECHA!$A$2:$A$201=$A87)*(EXCEPCIONES_FECHA!$B$2:$B$201=$B87),0)),IFERROR(INDEX(EXCEPCIONES_FECHA!$E$2:$E$201,MATCH(1,(EXCEPCIONES_FECHA!$A$2:$A$201=$A87)*(EXCEPCIONES_FECHA!$B$2:$B$201=""),0)),IFERROR(INDEX(IF($I87="FIN",HISTORIAL_HORARIOS!$K$2:$K$201,HISTORIAL_HORARIOS!$G$2:$G$201),MATCH(1,(HISTORIAL_HORARIOS!$A$2:$A$201=$B87)*(HISTORIAL_HORARIOS!$C$2:$C$201&lt;=$A87)*(HISTORIAL_HORARIOS!$D$2:$D$201&gt;=$A87),0)),INDEX(IF($I87="FIN",PERSONAL!$K$2:$K$80,PERSONAL!$G$2:$G$80),MATCH($B87,PERSONAL!$A$2:$A$80,0)))))</f>
        <v/>
      </c>
      <c r="O87" s="53">
        <f t="array" ref="O87">IFERROR(INDEX(EXCEPCIONES_FECHA!$F$2:$F$201,MATCH(1,(EXCEPCIONES_FECHA!$A$2:$A$201=$A87)*(EXCEPCIONES_FECHA!$B$2:$B$201=$B87),0)),IFERROR(INDEX(EXCEPCIONES_FECHA!$F$2:$F$201,MATCH(1,(EXCEPCIONES_FECHA!$A$2:$A$201=$A87)*(EXCEPCIONES_FECHA!$B$2:$B$201=""),0)),IFERROR(INDEX(IF($I87="FIN",HISTORIAL_HORARIOS!$L$2:$L$201,HISTORIAL_HORARIOS!$H$2:$H$201),MATCH(1,(HISTORIAL_HORARIOS!$A$2:$A$201=$B87)*(HISTORIAL_HORARIOS!$C$2:$C$201&lt;=$A87)*(HISTORIAL_HORARIOS!$D$2:$D$201&gt;=$A87),0)),INDEX(IF($I87="FIN",PERSONAL!$L$2:$L$80,PERSONAL!$H$2:$H$80),MATCH($B87,PERSONAL!$A$2:$A$80,0)))))</f>
        <v/>
      </c>
    </row>
    <row r="88" ht="15" customHeight="1" s="58">
      <c r="A88" s="37" t="n"/>
      <c r="B88" s="38" t="n"/>
      <c r="C88" s="39" t="n"/>
      <c r="D88" s="39" t="n"/>
      <c r="E88" s="34">
        <f t="array" ref="E88">IF($B88="","",IFERROR(INDEX(PERSONAL!$B$2:$B$80,MATCH($B88,PERSONAL!$A$2:$A$80,0)),"NO EXISTE"))</f>
        <v/>
      </c>
      <c r="F88" s="52">
        <f t="array" ref="F88">IF($B88="","",IFERROR(INDEX(PERSONAL!$C$2:$C$80,MATCH($B88,PERSONAL!$A$2:$A$80,0)),""))</f>
        <v/>
      </c>
      <c r="G88" s="52">
        <f>IF($A88="","",CHOOSE(WEEKDAY($A88,2),"LUNES","MARTES","MIÉRCOLES","JUEVES","VIERNES","SÁBADO","DOMINGO"))</f>
        <v/>
      </c>
      <c r="H88" s="34">
        <f>IF($A88="","",CHOOSE(MONTH($A88),"ENERO","FEBRERO","MARZO","ABRIL","MAYO","JUNIO","JULIO","AGOSTO","SEPTIEMBRE","OCTUBRE","NOVIEMBRE","DICIEMBRE"))</f>
        <v/>
      </c>
      <c r="I88" s="34">
        <f>IF($A88="","",IF(OR($G88="SÁBADO",$G88="DOMINGO"),"FIN","LV"))</f>
        <v/>
      </c>
      <c r="J88" s="34">
        <f>IF(OR($A88="",$B88=""),"",IF($L88&lt;&gt;"",UPPER($L88),IF($C88="","FALTA",IFERROR(IF($C88&gt;=$O88,"ROJO FUERTE",IF($C88&gt;=$N88,"ROJO",IF($C88&gt;=$M88,"AMARILLO","VERDE"))),"REVISAR"))))</f>
        <v/>
      </c>
      <c r="K88" s="36">
        <f>IF(OR($C88="",$D88=""),"",IF($D88&gt;=$C88,($D88-$C88)*24,(1-$C88+$D88)*24))</f>
        <v/>
      </c>
      <c r="L88" s="34" t="n"/>
      <c r="M88" s="53">
        <f t="array" ref="M88">IFERROR(INDEX(EXCEPCIONES_FECHA!$D$2:$D$201,MATCH(1,(EXCEPCIONES_FECHA!$A$2:$A$201=$A88)*(EXCEPCIONES_FECHA!$B$2:$B$201=$B88),0)),IFERROR(INDEX(EXCEPCIONES_FECHA!$D$2:$D$201,MATCH(1,(EXCEPCIONES_FECHA!$A$2:$A$201=$A88)*(EXCEPCIONES_FECHA!$B$2:$B$201=""),0)),IFERROR(INDEX(IF($I88="FIN",HISTORIAL_HORARIOS!$J$2:$J$201,HISTORIAL_HORARIOS!$F$2:$F$201),MATCH(1,(HISTORIAL_HORARIOS!$A$2:$A$201=$B88)*(HISTORIAL_HORARIOS!$C$2:$C$201&lt;=$A88)*(HISTORIAL_HORARIOS!$D$2:$D$201&gt;=$A88),0)),INDEX(IF($I88="FIN",PERSONAL!$J$2:$J$80,PERSONAL!$F$2:$F$80),MATCH($B88,PERSONAL!$A$2:$A$80,0)))))</f>
        <v/>
      </c>
      <c r="N88" s="53">
        <f t="array" ref="N88">IFERROR(INDEX(EXCEPCIONES_FECHA!$E$2:$E$201,MATCH(1,(EXCEPCIONES_FECHA!$A$2:$A$201=$A88)*(EXCEPCIONES_FECHA!$B$2:$B$201=$B88),0)),IFERROR(INDEX(EXCEPCIONES_FECHA!$E$2:$E$201,MATCH(1,(EXCEPCIONES_FECHA!$A$2:$A$201=$A88)*(EXCEPCIONES_FECHA!$B$2:$B$201=""),0)),IFERROR(INDEX(IF($I88="FIN",HISTORIAL_HORARIOS!$K$2:$K$201,HISTORIAL_HORARIOS!$G$2:$G$201),MATCH(1,(HISTORIAL_HORARIOS!$A$2:$A$201=$B88)*(HISTORIAL_HORARIOS!$C$2:$C$201&lt;=$A88)*(HISTORIAL_HORARIOS!$D$2:$D$201&gt;=$A88),0)),INDEX(IF($I88="FIN",PERSONAL!$K$2:$K$80,PERSONAL!$G$2:$G$80),MATCH($B88,PERSONAL!$A$2:$A$80,0)))))</f>
        <v/>
      </c>
      <c r="O88" s="53">
        <f t="array" ref="O88">IFERROR(INDEX(EXCEPCIONES_FECHA!$F$2:$F$201,MATCH(1,(EXCEPCIONES_FECHA!$A$2:$A$201=$A88)*(EXCEPCIONES_FECHA!$B$2:$B$201=$B88),0)),IFERROR(INDEX(EXCEPCIONES_FECHA!$F$2:$F$201,MATCH(1,(EXCEPCIONES_FECHA!$A$2:$A$201=$A88)*(EXCEPCIONES_FECHA!$B$2:$B$201=""),0)),IFERROR(INDEX(IF($I88="FIN",HISTORIAL_HORARIOS!$L$2:$L$201,HISTORIAL_HORARIOS!$H$2:$H$201),MATCH(1,(HISTORIAL_HORARIOS!$A$2:$A$201=$B88)*(HISTORIAL_HORARIOS!$C$2:$C$201&lt;=$A88)*(HISTORIAL_HORARIOS!$D$2:$D$201&gt;=$A88),0)),INDEX(IF($I88="FIN",PERSONAL!$L$2:$L$80,PERSONAL!$H$2:$H$80),MATCH($B88,PERSONAL!$A$2:$A$80,0)))))</f>
        <v/>
      </c>
    </row>
    <row r="89" ht="15" customHeight="1" s="58">
      <c r="A89" s="37" t="n"/>
      <c r="B89" s="38" t="n"/>
      <c r="C89" s="39" t="n"/>
      <c r="D89" s="39" t="n"/>
      <c r="E89" s="34">
        <f t="array" ref="E89">IF($B89="","",IFERROR(INDEX(PERSONAL!$B$2:$B$80,MATCH($B89,PERSONAL!$A$2:$A$80,0)),"NO EXISTE"))</f>
        <v/>
      </c>
      <c r="F89" s="52">
        <f t="array" ref="F89">IF($B89="","",IFERROR(INDEX(PERSONAL!$C$2:$C$80,MATCH($B89,PERSONAL!$A$2:$A$80,0)),""))</f>
        <v/>
      </c>
      <c r="G89" s="52">
        <f>IF($A89="","",CHOOSE(WEEKDAY($A89,2),"LUNES","MARTES","MIÉRCOLES","JUEVES","VIERNES","SÁBADO","DOMINGO"))</f>
        <v/>
      </c>
      <c r="H89" s="34">
        <f>IF($A89="","",CHOOSE(MONTH($A89),"ENERO","FEBRERO","MARZO","ABRIL","MAYO","JUNIO","JULIO","AGOSTO","SEPTIEMBRE","OCTUBRE","NOVIEMBRE","DICIEMBRE"))</f>
        <v/>
      </c>
      <c r="I89" s="34">
        <f>IF($A89="","",IF(OR($G89="SÁBADO",$G89="DOMINGO"),"FIN","LV"))</f>
        <v/>
      </c>
      <c r="J89" s="34">
        <f>IF(OR($A89="",$B89=""),"",IF($L89&lt;&gt;"",UPPER($L89),IF($C89="","FALTA",IFERROR(IF($C89&gt;=$O89,"ROJO FUERTE",IF($C89&gt;=$N89,"ROJO",IF($C89&gt;=$M89,"AMARILLO","VERDE"))),"REVISAR"))))</f>
        <v/>
      </c>
      <c r="K89" s="36">
        <f>IF(OR($C89="",$D89=""),"",IF($D89&gt;=$C89,($D89-$C89)*24,(1-$C89+$D89)*24))</f>
        <v/>
      </c>
      <c r="L89" s="34" t="n"/>
      <c r="M89" s="53">
        <f t="array" ref="M89">IFERROR(INDEX(EXCEPCIONES_FECHA!$D$2:$D$201,MATCH(1,(EXCEPCIONES_FECHA!$A$2:$A$201=$A89)*(EXCEPCIONES_FECHA!$B$2:$B$201=$B89),0)),IFERROR(INDEX(EXCEPCIONES_FECHA!$D$2:$D$201,MATCH(1,(EXCEPCIONES_FECHA!$A$2:$A$201=$A89)*(EXCEPCIONES_FECHA!$B$2:$B$201=""),0)),IFERROR(INDEX(IF($I89="FIN",HISTORIAL_HORARIOS!$J$2:$J$201,HISTORIAL_HORARIOS!$F$2:$F$201),MATCH(1,(HISTORIAL_HORARIOS!$A$2:$A$201=$B89)*(HISTORIAL_HORARIOS!$C$2:$C$201&lt;=$A89)*(HISTORIAL_HORARIOS!$D$2:$D$201&gt;=$A89),0)),INDEX(IF($I89="FIN",PERSONAL!$J$2:$J$80,PERSONAL!$F$2:$F$80),MATCH($B89,PERSONAL!$A$2:$A$80,0)))))</f>
        <v/>
      </c>
      <c r="N89" s="53">
        <f t="array" ref="N89">IFERROR(INDEX(EXCEPCIONES_FECHA!$E$2:$E$201,MATCH(1,(EXCEPCIONES_FECHA!$A$2:$A$201=$A89)*(EXCEPCIONES_FECHA!$B$2:$B$201=$B89),0)),IFERROR(INDEX(EXCEPCIONES_FECHA!$E$2:$E$201,MATCH(1,(EXCEPCIONES_FECHA!$A$2:$A$201=$A89)*(EXCEPCIONES_FECHA!$B$2:$B$201=""),0)),IFERROR(INDEX(IF($I89="FIN",HISTORIAL_HORARIOS!$K$2:$K$201,HISTORIAL_HORARIOS!$G$2:$G$201),MATCH(1,(HISTORIAL_HORARIOS!$A$2:$A$201=$B89)*(HISTORIAL_HORARIOS!$C$2:$C$201&lt;=$A89)*(HISTORIAL_HORARIOS!$D$2:$D$201&gt;=$A89),0)),INDEX(IF($I89="FIN",PERSONAL!$K$2:$K$80,PERSONAL!$G$2:$G$80),MATCH($B89,PERSONAL!$A$2:$A$80,0)))))</f>
        <v/>
      </c>
      <c r="O89" s="53">
        <f t="array" ref="O89">IFERROR(INDEX(EXCEPCIONES_FECHA!$F$2:$F$201,MATCH(1,(EXCEPCIONES_FECHA!$A$2:$A$201=$A89)*(EXCEPCIONES_FECHA!$B$2:$B$201=$B89),0)),IFERROR(INDEX(EXCEPCIONES_FECHA!$F$2:$F$201,MATCH(1,(EXCEPCIONES_FECHA!$A$2:$A$201=$A89)*(EXCEPCIONES_FECHA!$B$2:$B$201=""),0)),IFERROR(INDEX(IF($I89="FIN",HISTORIAL_HORARIOS!$L$2:$L$201,HISTORIAL_HORARIOS!$H$2:$H$201),MATCH(1,(HISTORIAL_HORARIOS!$A$2:$A$201=$B89)*(HISTORIAL_HORARIOS!$C$2:$C$201&lt;=$A89)*(HISTORIAL_HORARIOS!$D$2:$D$201&gt;=$A89),0)),INDEX(IF($I89="FIN",PERSONAL!$L$2:$L$80,PERSONAL!$H$2:$H$80),MATCH($B89,PERSONAL!$A$2:$A$80,0)))))</f>
        <v/>
      </c>
    </row>
    <row r="90" ht="15" customHeight="1" s="58">
      <c r="A90" s="37" t="n"/>
      <c r="B90" s="38" t="n"/>
      <c r="C90" s="39" t="n"/>
      <c r="D90" s="39" t="n"/>
      <c r="E90" s="34">
        <f t="array" ref="E90">IF($B90="","",IFERROR(INDEX(PERSONAL!$B$2:$B$80,MATCH($B90,PERSONAL!$A$2:$A$80,0)),"NO EXISTE"))</f>
        <v/>
      </c>
      <c r="F90" s="52">
        <f t="array" ref="F90">IF($B90="","",IFERROR(INDEX(PERSONAL!$C$2:$C$80,MATCH($B90,PERSONAL!$A$2:$A$80,0)),""))</f>
        <v/>
      </c>
      <c r="G90" s="52">
        <f>IF($A90="","",CHOOSE(WEEKDAY($A90,2),"LUNES","MARTES","MIÉRCOLES","JUEVES","VIERNES","SÁBADO","DOMINGO"))</f>
        <v/>
      </c>
      <c r="H90" s="34">
        <f>IF($A90="","",CHOOSE(MONTH($A90),"ENERO","FEBRERO","MARZO","ABRIL","MAYO","JUNIO","JULIO","AGOSTO","SEPTIEMBRE","OCTUBRE","NOVIEMBRE","DICIEMBRE"))</f>
        <v/>
      </c>
      <c r="I90" s="34">
        <f>IF($A90="","",IF(OR($G90="SÁBADO",$G90="DOMINGO"),"FIN","LV"))</f>
        <v/>
      </c>
      <c r="J90" s="34">
        <f>IF(OR($A90="",$B90=""),"",IF($L90&lt;&gt;"",UPPER($L90),IF($C90="","FALTA",IFERROR(IF($C90&gt;=$O90,"ROJO FUERTE",IF($C90&gt;=$N90,"ROJO",IF($C90&gt;=$M90,"AMARILLO","VERDE"))),"REVISAR"))))</f>
        <v/>
      </c>
      <c r="K90" s="36">
        <f>IF(OR($C90="",$D90=""),"",IF($D90&gt;=$C90,($D90-$C90)*24,(1-$C90+$D90)*24))</f>
        <v/>
      </c>
      <c r="L90" s="34" t="n"/>
      <c r="M90" s="53">
        <f t="array" ref="M90">IFERROR(INDEX(EXCEPCIONES_FECHA!$D$2:$D$201,MATCH(1,(EXCEPCIONES_FECHA!$A$2:$A$201=$A90)*(EXCEPCIONES_FECHA!$B$2:$B$201=$B90),0)),IFERROR(INDEX(EXCEPCIONES_FECHA!$D$2:$D$201,MATCH(1,(EXCEPCIONES_FECHA!$A$2:$A$201=$A90)*(EXCEPCIONES_FECHA!$B$2:$B$201=""),0)),IFERROR(INDEX(IF($I90="FIN",HISTORIAL_HORARIOS!$J$2:$J$201,HISTORIAL_HORARIOS!$F$2:$F$201),MATCH(1,(HISTORIAL_HORARIOS!$A$2:$A$201=$B90)*(HISTORIAL_HORARIOS!$C$2:$C$201&lt;=$A90)*(HISTORIAL_HORARIOS!$D$2:$D$201&gt;=$A90),0)),INDEX(IF($I90="FIN",PERSONAL!$J$2:$J$80,PERSONAL!$F$2:$F$80),MATCH($B90,PERSONAL!$A$2:$A$80,0)))))</f>
        <v/>
      </c>
      <c r="N90" s="53">
        <f t="array" ref="N90">IFERROR(INDEX(EXCEPCIONES_FECHA!$E$2:$E$201,MATCH(1,(EXCEPCIONES_FECHA!$A$2:$A$201=$A90)*(EXCEPCIONES_FECHA!$B$2:$B$201=$B90),0)),IFERROR(INDEX(EXCEPCIONES_FECHA!$E$2:$E$201,MATCH(1,(EXCEPCIONES_FECHA!$A$2:$A$201=$A90)*(EXCEPCIONES_FECHA!$B$2:$B$201=""),0)),IFERROR(INDEX(IF($I90="FIN",HISTORIAL_HORARIOS!$K$2:$K$201,HISTORIAL_HORARIOS!$G$2:$G$201),MATCH(1,(HISTORIAL_HORARIOS!$A$2:$A$201=$B90)*(HISTORIAL_HORARIOS!$C$2:$C$201&lt;=$A90)*(HISTORIAL_HORARIOS!$D$2:$D$201&gt;=$A90),0)),INDEX(IF($I90="FIN",PERSONAL!$K$2:$K$80,PERSONAL!$G$2:$G$80),MATCH($B90,PERSONAL!$A$2:$A$80,0)))))</f>
        <v/>
      </c>
      <c r="O90" s="53">
        <f t="array" ref="O90">IFERROR(INDEX(EXCEPCIONES_FECHA!$F$2:$F$201,MATCH(1,(EXCEPCIONES_FECHA!$A$2:$A$201=$A90)*(EXCEPCIONES_FECHA!$B$2:$B$201=$B90),0)),IFERROR(INDEX(EXCEPCIONES_FECHA!$F$2:$F$201,MATCH(1,(EXCEPCIONES_FECHA!$A$2:$A$201=$A90)*(EXCEPCIONES_FECHA!$B$2:$B$201=""),0)),IFERROR(INDEX(IF($I90="FIN",HISTORIAL_HORARIOS!$L$2:$L$201,HISTORIAL_HORARIOS!$H$2:$H$201),MATCH(1,(HISTORIAL_HORARIOS!$A$2:$A$201=$B90)*(HISTORIAL_HORARIOS!$C$2:$C$201&lt;=$A90)*(HISTORIAL_HORARIOS!$D$2:$D$201&gt;=$A90),0)),INDEX(IF($I90="FIN",PERSONAL!$L$2:$L$80,PERSONAL!$H$2:$H$80),MATCH($B90,PERSONAL!$A$2:$A$80,0)))))</f>
        <v/>
      </c>
    </row>
    <row r="91" ht="15" customHeight="1" s="58">
      <c r="A91" s="37" t="n"/>
      <c r="B91" s="38" t="n"/>
      <c r="C91" s="39" t="n"/>
      <c r="D91" s="39" t="n"/>
      <c r="E91" s="34">
        <f t="array" ref="E91">IF($B91="","",IFERROR(INDEX(PERSONAL!$B$2:$B$80,MATCH($B91,PERSONAL!$A$2:$A$80,0)),"NO EXISTE"))</f>
        <v/>
      </c>
      <c r="F91" s="52">
        <f t="array" ref="F91">IF($B91="","",IFERROR(INDEX(PERSONAL!$C$2:$C$80,MATCH($B91,PERSONAL!$A$2:$A$80,0)),""))</f>
        <v/>
      </c>
      <c r="G91" s="52">
        <f>IF($A91="","",CHOOSE(WEEKDAY($A91,2),"LUNES","MARTES","MIÉRCOLES","JUEVES","VIERNES","SÁBADO","DOMINGO"))</f>
        <v/>
      </c>
      <c r="H91" s="34">
        <f>IF($A91="","",CHOOSE(MONTH($A91),"ENERO","FEBRERO","MARZO","ABRIL","MAYO","JUNIO","JULIO","AGOSTO","SEPTIEMBRE","OCTUBRE","NOVIEMBRE","DICIEMBRE"))</f>
        <v/>
      </c>
      <c r="I91" s="34">
        <f>IF($A91="","",IF(OR($G91="SÁBADO",$G91="DOMINGO"),"FIN","LV"))</f>
        <v/>
      </c>
      <c r="J91" s="34">
        <f>IF(OR($A91="",$B91=""),"",IF($L91&lt;&gt;"",UPPER($L91),IF($C91="","FALTA",IFERROR(IF($C91&gt;=$O91,"ROJO FUERTE",IF($C91&gt;=$N91,"ROJO",IF($C91&gt;=$M91,"AMARILLO","VERDE"))),"REVISAR"))))</f>
        <v/>
      </c>
      <c r="K91" s="36">
        <f>IF(OR($C91="",$D91=""),"",IF($D91&gt;=$C91,($D91-$C91)*24,(1-$C91+$D91)*24))</f>
        <v/>
      </c>
      <c r="L91" s="34" t="n"/>
      <c r="M91" s="53">
        <f t="array" ref="M91">IFERROR(INDEX(EXCEPCIONES_FECHA!$D$2:$D$201,MATCH(1,(EXCEPCIONES_FECHA!$A$2:$A$201=$A91)*(EXCEPCIONES_FECHA!$B$2:$B$201=$B91),0)),IFERROR(INDEX(EXCEPCIONES_FECHA!$D$2:$D$201,MATCH(1,(EXCEPCIONES_FECHA!$A$2:$A$201=$A91)*(EXCEPCIONES_FECHA!$B$2:$B$201=""),0)),IFERROR(INDEX(IF($I91="FIN",HISTORIAL_HORARIOS!$J$2:$J$201,HISTORIAL_HORARIOS!$F$2:$F$201),MATCH(1,(HISTORIAL_HORARIOS!$A$2:$A$201=$B91)*(HISTORIAL_HORARIOS!$C$2:$C$201&lt;=$A91)*(HISTORIAL_HORARIOS!$D$2:$D$201&gt;=$A91),0)),INDEX(IF($I91="FIN",PERSONAL!$J$2:$J$80,PERSONAL!$F$2:$F$80),MATCH($B91,PERSONAL!$A$2:$A$80,0)))))</f>
        <v/>
      </c>
      <c r="N91" s="53">
        <f t="array" ref="N91">IFERROR(INDEX(EXCEPCIONES_FECHA!$E$2:$E$201,MATCH(1,(EXCEPCIONES_FECHA!$A$2:$A$201=$A91)*(EXCEPCIONES_FECHA!$B$2:$B$201=$B91),0)),IFERROR(INDEX(EXCEPCIONES_FECHA!$E$2:$E$201,MATCH(1,(EXCEPCIONES_FECHA!$A$2:$A$201=$A91)*(EXCEPCIONES_FECHA!$B$2:$B$201=""),0)),IFERROR(INDEX(IF($I91="FIN",HISTORIAL_HORARIOS!$K$2:$K$201,HISTORIAL_HORARIOS!$G$2:$G$201),MATCH(1,(HISTORIAL_HORARIOS!$A$2:$A$201=$B91)*(HISTORIAL_HORARIOS!$C$2:$C$201&lt;=$A91)*(HISTORIAL_HORARIOS!$D$2:$D$201&gt;=$A91),0)),INDEX(IF($I91="FIN",PERSONAL!$K$2:$K$80,PERSONAL!$G$2:$G$80),MATCH($B91,PERSONAL!$A$2:$A$80,0)))))</f>
        <v/>
      </c>
      <c r="O91" s="53">
        <f t="array" ref="O91">IFERROR(INDEX(EXCEPCIONES_FECHA!$F$2:$F$201,MATCH(1,(EXCEPCIONES_FECHA!$A$2:$A$201=$A91)*(EXCEPCIONES_FECHA!$B$2:$B$201=$B91),0)),IFERROR(INDEX(EXCEPCIONES_FECHA!$F$2:$F$201,MATCH(1,(EXCEPCIONES_FECHA!$A$2:$A$201=$A91)*(EXCEPCIONES_FECHA!$B$2:$B$201=""),0)),IFERROR(INDEX(IF($I91="FIN",HISTORIAL_HORARIOS!$L$2:$L$201,HISTORIAL_HORARIOS!$H$2:$H$201),MATCH(1,(HISTORIAL_HORARIOS!$A$2:$A$201=$B91)*(HISTORIAL_HORARIOS!$C$2:$C$201&lt;=$A91)*(HISTORIAL_HORARIOS!$D$2:$D$201&gt;=$A91),0)),INDEX(IF($I91="FIN",PERSONAL!$L$2:$L$80,PERSONAL!$H$2:$H$80),MATCH($B91,PERSONAL!$A$2:$A$80,0)))))</f>
        <v/>
      </c>
    </row>
    <row r="92" ht="15" customHeight="1" s="58">
      <c r="A92" s="37" t="n"/>
      <c r="B92" s="38" t="n"/>
      <c r="C92" s="39" t="n"/>
      <c r="D92" s="39" t="n"/>
      <c r="E92" s="34">
        <f t="array" ref="E92">IF($B92="","",IFERROR(INDEX(PERSONAL!$B$2:$B$80,MATCH($B92,PERSONAL!$A$2:$A$80,0)),"NO EXISTE"))</f>
        <v/>
      </c>
      <c r="F92" s="52">
        <f t="array" ref="F92">IF($B92="","",IFERROR(INDEX(PERSONAL!$C$2:$C$80,MATCH($B92,PERSONAL!$A$2:$A$80,0)),""))</f>
        <v/>
      </c>
      <c r="G92" s="52">
        <f>IF($A92="","",CHOOSE(WEEKDAY($A92,2),"LUNES","MARTES","MIÉRCOLES","JUEVES","VIERNES","SÁBADO","DOMINGO"))</f>
        <v/>
      </c>
      <c r="H92" s="34">
        <f>IF($A92="","",CHOOSE(MONTH($A92),"ENERO","FEBRERO","MARZO","ABRIL","MAYO","JUNIO","JULIO","AGOSTO","SEPTIEMBRE","OCTUBRE","NOVIEMBRE","DICIEMBRE"))</f>
        <v/>
      </c>
      <c r="I92" s="34">
        <f>IF($A92="","",IF(OR($G92="SÁBADO",$G92="DOMINGO"),"FIN","LV"))</f>
        <v/>
      </c>
      <c r="J92" s="34">
        <f>IF(OR($A92="",$B92=""),"",IF($L92&lt;&gt;"",UPPER($L92),IF($C92="","FALTA",IFERROR(IF($C92&gt;=$O92,"ROJO FUERTE",IF($C92&gt;=$N92,"ROJO",IF($C92&gt;=$M92,"AMARILLO","VERDE"))),"REVISAR"))))</f>
        <v/>
      </c>
      <c r="K92" s="36">
        <f>IF(OR($C92="",$D92=""),"",IF($D92&gt;=$C92,($D92-$C92)*24,(1-$C92+$D92)*24))</f>
        <v/>
      </c>
      <c r="L92" s="34" t="n"/>
      <c r="M92" s="53">
        <f t="array" ref="M92">IFERROR(INDEX(EXCEPCIONES_FECHA!$D$2:$D$201,MATCH(1,(EXCEPCIONES_FECHA!$A$2:$A$201=$A92)*(EXCEPCIONES_FECHA!$B$2:$B$201=$B92),0)),IFERROR(INDEX(EXCEPCIONES_FECHA!$D$2:$D$201,MATCH(1,(EXCEPCIONES_FECHA!$A$2:$A$201=$A92)*(EXCEPCIONES_FECHA!$B$2:$B$201=""),0)),IFERROR(INDEX(IF($I92="FIN",HISTORIAL_HORARIOS!$J$2:$J$201,HISTORIAL_HORARIOS!$F$2:$F$201),MATCH(1,(HISTORIAL_HORARIOS!$A$2:$A$201=$B92)*(HISTORIAL_HORARIOS!$C$2:$C$201&lt;=$A92)*(HISTORIAL_HORARIOS!$D$2:$D$201&gt;=$A92),0)),INDEX(IF($I92="FIN",PERSONAL!$J$2:$J$80,PERSONAL!$F$2:$F$80),MATCH($B92,PERSONAL!$A$2:$A$80,0)))))</f>
        <v/>
      </c>
      <c r="N92" s="53">
        <f t="array" ref="N92">IFERROR(INDEX(EXCEPCIONES_FECHA!$E$2:$E$201,MATCH(1,(EXCEPCIONES_FECHA!$A$2:$A$201=$A92)*(EXCEPCIONES_FECHA!$B$2:$B$201=$B92),0)),IFERROR(INDEX(EXCEPCIONES_FECHA!$E$2:$E$201,MATCH(1,(EXCEPCIONES_FECHA!$A$2:$A$201=$A92)*(EXCEPCIONES_FECHA!$B$2:$B$201=""),0)),IFERROR(INDEX(IF($I92="FIN",HISTORIAL_HORARIOS!$K$2:$K$201,HISTORIAL_HORARIOS!$G$2:$G$201),MATCH(1,(HISTORIAL_HORARIOS!$A$2:$A$201=$B92)*(HISTORIAL_HORARIOS!$C$2:$C$201&lt;=$A92)*(HISTORIAL_HORARIOS!$D$2:$D$201&gt;=$A92),0)),INDEX(IF($I92="FIN",PERSONAL!$K$2:$K$80,PERSONAL!$G$2:$G$80),MATCH($B92,PERSONAL!$A$2:$A$80,0)))))</f>
        <v/>
      </c>
      <c r="O92" s="53">
        <f t="array" ref="O92">IFERROR(INDEX(EXCEPCIONES_FECHA!$F$2:$F$201,MATCH(1,(EXCEPCIONES_FECHA!$A$2:$A$201=$A92)*(EXCEPCIONES_FECHA!$B$2:$B$201=$B92),0)),IFERROR(INDEX(EXCEPCIONES_FECHA!$F$2:$F$201,MATCH(1,(EXCEPCIONES_FECHA!$A$2:$A$201=$A92)*(EXCEPCIONES_FECHA!$B$2:$B$201=""),0)),IFERROR(INDEX(IF($I92="FIN",HISTORIAL_HORARIOS!$L$2:$L$201,HISTORIAL_HORARIOS!$H$2:$H$201),MATCH(1,(HISTORIAL_HORARIOS!$A$2:$A$201=$B92)*(HISTORIAL_HORARIOS!$C$2:$C$201&lt;=$A92)*(HISTORIAL_HORARIOS!$D$2:$D$201&gt;=$A92),0)),INDEX(IF($I92="FIN",PERSONAL!$L$2:$L$80,PERSONAL!$H$2:$H$80),MATCH($B92,PERSONAL!$A$2:$A$80,0)))))</f>
        <v/>
      </c>
    </row>
    <row r="93" ht="15" customHeight="1" s="58">
      <c r="A93" s="37" t="n"/>
      <c r="B93" s="38" t="n"/>
      <c r="C93" s="39" t="n"/>
      <c r="D93" s="39" t="n"/>
      <c r="E93" s="34">
        <f t="array" ref="E93">IF($B93="","",IFERROR(INDEX(PERSONAL!$B$2:$B$80,MATCH($B93,PERSONAL!$A$2:$A$80,0)),"NO EXISTE"))</f>
        <v/>
      </c>
      <c r="F93" s="52">
        <f t="array" ref="F93">IF($B93="","",IFERROR(INDEX(PERSONAL!$C$2:$C$80,MATCH($B93,PERSONAL!$A$2:$A$80,0)),""))</f>
        <v/>
      </c>
      <c r="G93" s="52">
        <f>IF($A93="","",CHOOSE(WEEKDAY($A93,2),"LUNES","MARTES","MIÉRCOLES","JUEVES","VIERNES","SÁBADO","DOMINGO"))</f>
        <v/>
      </c>
      <c r="H93" s="34">
        <f>IF($A93="","",CHOOSE(MONTH($A93),"ENERO","FEBRERO","MARZO","ABRIL","MAYO","JUNIO","JULIO","AGOSTO","SEPTIEMBRE","OCTUBRE","NOVIEMBRE","DICIEMBRE"))</f>
        <v/>
      </c>
      <c r="I93" s="34">
        <f>IF($A93="","",IF(OR($G93="SÁBADO",$G93="DOMINGO"),"FIN","LV"))</f>
        <v/>
      </c>
      <c r="J93" s="34">
        <f>IF(OR($A93="",$B93=""),"",IF($L93&lt;&gt;"",UPPER($L93),IF($C93="","FALTA",IFERROR(IF($C93&gt;=$O93,"ROJO FUERTE",IF($C93&gt;=$N93,"ROJO",IF($C93&gt;=$M93,"AMARILLO","VERDE"))),"REVISAR"))))</f>
        <v/>
      </c>
      <c r="K93" s="36">
        <f>IF(OR($C93="",$D93=""),"",IF($D93&gt;=$C93,($D93-$C93)*24,(1-$C93+$D93)*24))</f>
        <v/>
      </c>
      <c r="L93" s="34" t="n"/>
      <c r="M93" s="53">
        <f t="array" ref="M93">IFERROR(INDEX(EXCEPCIONES_FECHA!$D$2:$D$201,MATCH(1,(EXCEPCIONES_FECHA!$A$2:$A$201=$A93)*(EXCEPCIONES_FECHA!$B$2:$B$201=$B93),0)),IFERROR(INDEX(EXCEPCIONES_FECHA!$D$2:$D$201,MATCH(1,(EXCEPCIONES_FECHA!$A$2:$A$201=$A93)*(EXCEPCIONES_FECHA!$B$2:$B$201=""),0)),IFERROR(INDEX(IF($I93="FIN",HISTORIAL_HORARIOS!$J$2:$J$201,HISTORIAL_HORARIOS!$F$2:$F$201),MATCH(1,(HISTORIAL_HORARIOS!$A$2:$A$201=$B93)*(HISTORIAL_HORARIOS!$C$2:$C$201&lt;=$A93)*(HISTORIAL_HORARIOS!$D$2:$D$201&gt;=$A93),0)),INDEX(IF($I93="FIN",PERSONAL!$J$2:$J$80,PERSONAL!$F$2:$F$80),MATCH($B93,PERSONAL!$A$2:$A$80,0)))))</f>
        <v/>
      </c>
      <c r="N93" s="53">
        <f t="array" ref="N93">IFERROR(INDEX(EXCEPCIONES_FECHA!$E$2:$E$201,MATCH(1,(EXCEPCIONES_FECHA!$A$2:$A$201=$A93)*(EXCEPCIONES_FECHA!$B$2:$B$201=$B93),0)),IFERROR(INDEX(EXCEPCIONES_FECHA!$E$2:$E$201,MATCH(1,(EXCEPCIONES_FECHA!$A$2:$A$201=$A93)*(EXCEPCIONES_FECHA!$B$2:$B$201=""),0)),IFERROR(INDEX(IF($I93="FIN",HISTORIAL_HORARIOS!$K$2:$K$201,HISTORIAL_HORARIOS!$G$2:$G$201),MATCH(1,(HISTORIAL_HORARIOS!$A$2:$A$201=$B93)*(HISTORIAL_HORARIOS!$C$2:$C$201&lt;=$A93)*(HISTORIAL_HORARIOS!$D$2:$D$201&gt;=$A93),0)),INDEX(IF($I93="FIN",PERSONAL!$K$2:$K$80,PERSONAL!$G$2:$G$80),MATCH($B93,PERSONAL!$A$2:$A$80,0)))))</f>
        <v/>
      </c>
      <c r="O93" s="53">
        <f t="array" ref="O93">IFERROR(INDEX(EXCEPCIONES_FECHA!$F$2:$F$201,MATCH(1,(EXCEPCIONES_FECHA!$A$2:$A$201=$A93)*(EXCEPCIONES_FECHA!$B$2:$B$201=$B93),0)),IFERROR(INDEX(EXCEPCIONES_FECHA!$F$2:$F$201,MATCH(1,(EXCEPCIONES_FECHA!$A$2:$A$201=$A93)*(EXCEPCIONES_FECHA!$B$2:$B$201=""),0)),IFERROR(INDEX(IF($I93="FIN",HISTORIAL_HORARIOS!$L$2:$L$201,HISTORIAL_HORARIOS!$H$2:$H$201),MATCH(1,(HISTORIAL_HORARIOS!$A$2:$A$201=$B93)*(HISTORIAL_HORARIOS!$C$2:$C$201&lt;=$A93)*(HISTORIAL_HORARIOS!$D$2:$D$201&gt;=$A93),0)),INDEX(IF($I93="FIN",PERSONAL!$L$2:$L$80,PERSONAL!$H$2:$H$80),MATCH($B93,PERSONAL!$A$2:$A$80,0)))))</f>
        <v/>
      </c>
    </row>
    <row r="94" ht="15" customHeight="1" s="58">
      <c r="A94" s="37" t="n"/>
      <c r="B94" s="38" t="n"/>
      <c r="C94" s="39" t="n"/>
      <c r="D94" s="39" t="n"/>
      <c r="E94" s="34">
        <f t="array" ref="E94">IF($B94="","",IFERROR(INDEX(PERSONAL!$B$2:$B$80,MATCH($B94,PERSONAL!$A$2:$A$80,0)),"NO EXISTE"))</f>
        <v/>
      </c>
      <c r="F94" s="52">
        <f t="array" ref="F94">IF($B94="","",IFERROR(INDEX(PERSONAL!$C$2:$C$80,MATCH($B94,PERSONAL!$A$2:$A$80,0)),""))</f>
        <v/>
      </c>
      <c r="G94" s="52">
        <f>IF($A94="","",CHOOSE(WEEKDAY($A94,2),"LUNES","MARTES","MIÉRCOLES","JUEVES","VIERNES","SÁBADO","DOMINGO"))</f>
        <v/>
      </c>
      <c r="H94" s="34">
        <f>IF($A94="","",CHOOSE(MONTH($A94),"ENERO","FEBRERO","MARZO","ABRIL","MAYO","JUNIO","JULIO","AGOSTO","SEPTIEMBRE","OCTUBRE","NOVIEMBRE","DICIEMBRE"))</f>
        <v/>
      </c>
      <c r="I94" s="34">
        <f>IF($A94="","",IF(OR($G94="SÁBADO",$G94="DOMINGO"),"FIN","LV"))</f>
        <v/>
      </c>
      <c r="J94" s="34">
        <f>IF(OR($A94="",$B94=""),"",IF($L94&lt;&gt;"",UPPER($L94),IF($C94="","FALTA",IFERROR(IF($C94&gt;=$O94,"ROJO FUERTE",IF($C94&gt;=$N94,"ROJO",IF($C94&gt;=$M94,"AMARILLO","VERDE"))),"REVISAR"))))</f>
        <v/>
      </c>
      <c r="K94" s="36">
        <f>IF(OR($C94="",$D94=""),"",IF($D94&gt;=$C94,($D94-$C94)*24,(1-$C94+$D94)*24))</f>
        <v/>
      </c>
      <c r="L94" s="34" t="n"/>
      <c r="M94" s="53">
        <f t="array" ref="M94">IFERROR(INDEX(EXCEPCIONES_FECHA!$D$2:$D$201,MATCH(1,(EXCEPCIONES_FECHA!$A$2:$A$201=$A94)*(EXCEPCIONES_FECHA!$B$2:$B$201=$B94),0)),IFERROR(INDEX(EXCEPCIONES_FECHA!$D$2:$D$201,MATCH(1,(EXCEPCIONES_FECHA!$A$2:$A$201=$A94)*(EXCEPCIONES_FECHA!$B$2:$B$201=""),0)),IFERROR(INDEX(IF($I94="FIN",HISTORIAL_HORARIOS!$J$2:$J$201,HISTORIAL_HORARIOS!$F$2:$F$201),MATCH(1,(HISTORIAL_HORARIOS!$A$2:$A$201=$B94)*(HISTORIAL_HORARIOS!$C$2:$C$201&lt;=$A94)*(HISTORIAL_HORARIOS!$D$2:$D$201&gt;=$A94),0)),INDEX(IF($I94="FIN",PERSONAL!$J$2:$J$80,PERSONAL!$F$2:$F$80),MATCH($B94,PERSONAL!$A$2:$A$80,0)))))</f>
        <v/>
      </c>
      <c r="N94" s="53">
        <f t="array" ref="N94">IFERROR(INDEX(EXCEPCIONES_FECHA!$E$2:$E$201,MATCH(1,(EXCEPCIONES_FECHA!$A$2:$A$201=$A94)*(EXCEPCIONES_FECHA!$B$2:$B$201=$B94),0)),IFERROR(INDEX(EXCEPCIONES_FECHA!$E$2:$E$201,MATCH(1,(EXCEPCIONES_FECHA!$A$2:$A$201=$A94)*(EXCEPCIONES_FECHA!$B$2:$B$201=""),0)),IFERROR(INDEX(IF($I94="FIN",HISTORIAL_HORARIOS!$K$2:$K$201,HISTORIAL_HORARIOS!$G$2:$G$201),MATCH(1,(HISTORIAL_HORARIOS!$A$2:$A$201=$B94)*(HISTORIAL_HORARIOS!$C$2:$C$201&lt;=$A94)*(HISTORIAL_HORARIOS!$D$2:$D$201&gt;=$A94),0)),INDEX(IF($I94="FIN",PERSONAL!$K$2:$K$80,PERSONAL!$G$2:$G$80),MATCH($B94,PERSONAL!$A$2:$A$80,0)))))</f>
        <v/>
      </c>
      <c r="O94" s="53">
        <f t="array" ref="O94">IFERROR(INDEX(EXCEPCIONES_FECHA!$F$2:$F$201,MATCH(1,(EXCEPCIONES_FECHA!$A$2:$A$201=$A94)*(EXCEPCIONES_FECHA!$B$2:$B$201=$B94),0)),IFERROR(INDEX(EXCEPCIONES_FECHA!$F$2:$F$201,MATCH(1,(EXCEPCIONES_FECHA!$A$2:$A$201=$A94)*(EXCEPCIONES_FECHA!$B$2:$B$201=""),0)),IFERROR(INDEX(IF($I94="FIN",HISTORIAL_HORARIOS!$L$2:$L$201,HISTORIAL_HORARIOS!$H$2:$H$201),MATCH(1,(HISTORIAL_HORARIOS!$A$2:$A$201=$B94)*(HISTORIAL_HORARIOS!$C$2:$C$201&lt;=$A94)*(HISTORIAL_HORARIOS!$D$2:$D$201&gt;=$A94),0)),INDEX(IF($I94="FIN",PERSONAL!$L$2:$L$80,PERSONAL!$H$2:$H$80),MATCH($B94,PERSONAL!$A$2:$A$80,0)))))</f>
        <v/>
      </c>
    </row>
    <row r="95" ht="15" customHeight="1" s="58">
      <c r="A95" s="37" t="n"/>
      <c r="B95" s="38" t="n"/>
      <c r="C95" s="39" t="n"/>
      <c r="D95" s="39" t="n"/>
      <c r="E95" s="34">
        <f t="array" ref="E95">IF($B95="","",IFERROR(INDEX(PERSONAL!$B$2:$B$80,MATCH($B95,PERSONAL!$A$2:$A$80,0)),"NO EXISTE"))</f>
        <v/>
      </c>
      <c r="F95" s="52">
        <f t="array" ref="F95">IF($B95="","",IFERROR(INDEX(PERSONAL!$C$2:$C$80,MATCH($B95,PERSONAL!$A$2:$A$80,0)),""))</f>
        <v/>
      </c>
      <c r="G95" s="52">
        <f>IF($A95="","",CHOOSE(WEEKDAY($A95,2),"LUNES","MARTES","MIÉRCOLES","JUEVES","VIERNES","SÁBADO","DOMINGO"))</f>
        <v/>
      </c>
      <c r="H95" s="34">
        <f>IF($A95="","",CHOOSE(MONTH($A95),"ENERO","FEBRERO","MARZO","ABRIL","MAYO","JUNIO","JULIO","AGOSTO","SEPTIEMBRE","OCTUBRE","NOVIEMBRE","DICIEMBRE"))</f>
        <v/>
      </c>
      <c r="I95" s="34">
        <f>IF($A95="","",IF(OR($G95="SÁBADO",$G95="DOMINGO"),"FIN","LV"))</f>
        <v/>
      </c>
      <c r="J95" s="34">
        <f>IF(OR($A95="",$B95=""),"",IF($L95&lt;&gt;"",UPPER($L95),IF($C95="","FALTA",IFERROR(IF($C95&gt;=$O95,"ROJO FUERTE",IF($C95&gt;=$N95,"ROJO",IF($C95&gt;=$M95,"AMARILLO","VERDE"))),"REVISAR"))))</f>
        <v/>
      </c>
      <c r="K95" s="36">
        <f>IF(OR($C95="",$D95=""),"",IF($D95&gt;=$C95,($D95-$C95)*24,(1-$C95+$D95)*24))</f>
        <v/>
      </c>
      <c r="L95" s="34" t="n"/>
      <c r="M95" s="53">
        <f t="array" ref="M95">IFERROR(INDEX(EXCEPCIONES_FECHA!$D$2:$D$201,MATCH(1,(EXCEPCIONES_FECHA!$A$2:$A$201=$A95)*(EXCEPCIONES_FECHA!$B$2:$B$201=$B95),0)),IFERROR(INDEX(EXCEPCIONES_FECHA!$D$2:$D$201,MATCH(1,(EXCEPCIONES_FECHA!$A$2:$A$201=$A95)*(EXCEPCIONES_FECHA!$B$2:$B$201=""),0)),IFERROR(INDEX(IF($I95="FIN",HISTORIAL_HORARIOS!$J$2:$J$201,HISTORIAL_HORARIOS!$F$2:$F$201),MATCH(1,(HISTORIAL_HORARIOS!$A$2:$A$201=$B95)*(HISTORIAL_HORARIOS!$C$2:$C$201&lt;=$A95)*(HISTORIAL_HORARIOS!$D$2:$D$201&gt;=$A95),0)),INDEX(IF($I95="FIN",PERSONAL!$J$2:$J$80,PERSONAL!$F$2:$F$80),MATCH($B95,PERSONAL!$A$2:$A$80,0)))))</f>
        <v/>
      </c>
      <c r="N95" s="53">
        <f t="array" ref="N95">IFERROR(INDEX(EXCEPCIONES_FECHA!$E$2:$E$201,MATCH(1,(EXCEPCIONES_FECHA!$A$2:$A$201=$A95)*(EXCEPCIONES_FECHA!$B$2:$B$201=$B95),0)),IFERROR(INDEX(EXCEPCIONES_FECHA!$E$2:$E$201,MATCH(1,(EXCEPCIONES_FECHA!$A$2:$A$201=$A95)*(EXCEPCIONES_FECHA!$B$2:$B$201=""),0)),IFERROR(INDEX(IF($I95="FIN",HISTORIAL_HORARIOS!$K$2:$K$201,HISTORIAL_HORARIOS!$G$2:$G$201),MATCH(1,(HISTORIAL_HORARIOS!$A$2:$A$201=$B95)*(HISTORIAL_HORARIOS!$C$2:$C$201&lt;=$A95)*(HISTORIAL_HORARIOS!$D$2:$D$201&gt;=$A95),0)),INDEX(IF($I95="FIN",PERSONAL!$K$2:$K$80,PERSONAL!$G$2:$G$80),MATCH($B95,PERSONAL!$A$2:$A$80,0)))))</f>
        <v/>
      </c>
      <c r="O95" s="53">
        <f t="array" ref="O95">IFERROR(INDEX(EXCEPCIONES_FECHA!$F$2:$F$201,MATCH(1,(EXCEPCIONES_FECHA!$A$2:$A$201=$A95)*(EXCEPCIONES_FECHA!$B$2:$B$201=$B95),0)),IFERROR(INDEX(EXCEPCIONES_FECHA!$F$2:$F$201,MATCH(1,(EXCEPCIONES_FECHA!$A$2:$A$201=$A95)*(EXCEPCIONES_FECHA!$B$2:$B$201=""),0)),IFERROR(INDEX(IF($I95="FIN",HISTORIAL_HORARIOS!$L$2:$L$201,HISTORIAL_HORARIOS!$H$2:$H$201),MATCH(1,(HISTORIAL_HORARIOS!$A$2:$A$201=$B95)*(HISTORIAL_HORARIOS!$C$2:$C$201&lt;=$A95)*(HISTORIAL_HORARIOS!$D$2:$D$201&gt;=$A95),0)),INDEX(IF($I95="FIN",PERSONAL!$L$2:$L$80,PERSONAL!$H$2:$H$80),MATCH($B95,PERSONAL!$A$2:$A$80,0)))))</f>
        <v/>
      </c>
    </row>
    <row r="96" ht="15" customHeight="1" s="58">
      <c r="A96" s="37" t="n"/>
      <c r="B96" s="38" t="n"/>
      <c r="C96" s="39" t="n"/>
      <c r="D96" s="39" t="n"/>
      <c r="E96" s="34">
        <f t="array" ref="E96">IF($B96="","",IFERROR(INDEX(PERSONAL!$B$2:$B$80,MATCH($B96,PERSONAL!$A$2:$A$80,0)),"NO EXISTE"))</f>
        <v/>
      </c>
      <c r="F96" s="52">
        <f t="array" ref="F96">IF($B96="","",IFERROR(INDEX(PERSONAL!$C$2:$C$80,MATCH($B96,PERSONAL!$A$2:$A$80,0)),""))</f>
        <v/>
      </c>
      <c r="G96" s="52">
        <f>IF($A96="","",CHOOSE(WEEKDAY($A96,2),"LUNES","MARTES","MIÉRCOLES","JUEVES","VIERNES","SÁBADO","DOMINGO"))</f>
        <v/>
      </c>
      <c r="H96" s="34">
        <f>IF($A96="","",CHOOSE(MONTH($A96),"ENERO","FEBRERO","MARZO","ABRIL","MAYO","JUNIO","JULIO","AGOSTO","SEPTIEMBRE","OCTUBRE","NOVIEMBRE","DICIEMBRE"))</f>
        <v/>
      </c>
      <c r="I96" s="34">
        <f>IF($A96="","",IF(OR($G96="SÁBADO",$G96="DOMINGO"),"FIN","LV"))</f>
        <v/>
      </c>
      <c r="J96" s="34">
        <f>IF(OR($A96="",$B96=""),"",IF($L96&lt;&gt;"",UPPER($L96),IF($C96="","FALTA",IFERROR(IF($C96&gt;=$O96,"ROJO FUERTE",IF($C96&gt;=$N96,"ROJO",IF($C96&gt;=$M96,"AMARILLO","VERDE"))),"REVISAR"))))</f>
        <v/>
      </c>
      <c r="K96" s="36">
        <f>IF(OR($C96="",$D96=""),"",IF($D96&gt;=$C96,($D96-$C96)*24,(1-$C96+$D96)*24))</f>
        <v/>
      </c>
      <c r="L96" s="34" t="n"/>
      <c r="M96" s="53">
        <f t="array" ref="M96">IFERROR(INDEX(EXCEPCIONES_FECHA!$D$2:$D$201,MATCH(1,(EXCEPCIONES_FECHA!$A$2:$A$201=$A96)*(EXCEPCIONES_FECHA!$B$2:$B$201=$B96),0)),IFERROR(INDEX(EXCEPCIONES_FECHA!$D$2:$D$201,MATCH(1,(EXCEPCIONES_FECHA!$A$2:$A$201=$A96)*(EXCEPCIONES_FECHA!$B$2:$B$201=""),0)),IFERROR(INDEX(IF($I96="FIN",HISTORIAL_HORARIOS!$J$2:$J$201,HISTORIAL_HORARIOS!$F$2:$F$201),MATCH(1,(HISTORIAL_HORARIOS!$A$2:$A$201=$B96)*(HISTORIAL_HORARIOS!$C$2:$C$201&lt;=$A96)*(HISTORIAL_HORARIOS!$D$2:$D$201&gt;=$A96),0)),INDEX(IF($I96="FIN",PERSONAL!$J$2:$J$80,PERSONAL!$F$2:$F$80),MATCH($B96,PERSONAL!$A$2:$A$80,0)))))</f>
        <v/>
      </c>
      <c r="N96" s="53">
        <f t="array" ref="N96">IFERROR(INDEX(EXCEPCIONES_FECHA!$E$2:$E$201,MATCH(1,(EXCEPCIONES_FECHA!$A$2:$A$201=$A96)*(EXCEPCIONES_FECHA!$B$2:$B$201=$B96),0)),IFERROR(INDEX(EXCEPCIONES_FECHA!$E$2:$E$201,MATCH(1,(EXCEPCIONES_FECHA!$A$2:$A$201=$A96)*(EXCEPCIONES_FECHA!$B$2:$B$201=""),0)),IFERROR(INDEX(IF($I96="FIN",HISTORIAL_HORARIOS!$K$2:$K$201,HISTORIAL_HORARIOS!$G$2:$G$201),MATCH(1,(HISTORIAL_HORARIOS!$A$2:$A$201=$B96)*(HISTORIAL_HORARIOS!$C$2:$C$201&lt;=$A96)*(HISTORIAL_HORARIOS!$D$2:$D$201&gt;=$A96),0)),INDEX(IF($I96="FIN",PERSONAL!$K$2:$K$80,PERSONAL!$G$2:$G$80),MATCH($B96,PERSONAL!$A$2:$A$80,0)))))</f>
        <v/>
      </c>
      <c r="O96" s="53">
        <f t="array" ref="O96">IFERROR(INDEX(EXCEPCIONES_FECHA!$F$2:$F$201,MATCH(1,(EXCEPCIONES_FECHA!$A$2:$A$201=$A96)*(EXCEPCIONES_FECHA!$B$2:$B$201=$B96),0)),IFERROR(INDEX(EXCEPCIONES_FECHA!$F$2:$F$201,MATCH(1,(EXCEPCIONES_FECHA!$A$2:$A$201=$A96)*(EXCEPCIONES_FECHA!$B$2:$B$201=""),0)),IFERROR(INDEX(IF($I96="FIN",HISTORIAL_HORARIOS!$L$2:$L$201,HISTORIAL_HORARIOS!$H$2:$H$201),MATCH(1,(HISTORIAL_HORARIOS!$A$2:$A$201=$B96)*(HISTORIAL_HORARIOS!$C$2:$C$201&lt;=$A96)*(HISTORIAL_HORARIOS!$D$2:$D$201&gt;=$A96),0)),INDEX(IF($I96="FIN",PERSONAL!$L$2:$L$80,PERSONAL!$H$2:$H$80),MATCH($B96,PERSONAL!$A$2:$A$80,0)))))</f>
        <v/>
      </c>
    </row>
    <row r="97" ht="15" customHeight="1" s="58">
      <c r="A97" s="37" t="n"/>
      <c r="B97" s="38" t="n"/>
      <c r="C97" s="39" t="n"/>
      <c r="D97" s="39" t="n"/>
      <c r="E97" s="34">
        <f t="array" ref="E97">IF($B97="","",IFERROR(INDEX(PERSONAL!$B$2:$B$80,MATCH($B97,PERSONAL!$A$2:$A$80,0)),"NO EXISTE"))</f>
        <v/>
      </c>
      <c r="F97" s="52">
        <f t="array" ref="F97">IF($B97="","",IFERROR(INDEX(PERSONAL!$C$2:$C$80,MATCH($B97,PERSONAL!$A$2:$A$80,0)),""))</f>
        <v/>
      </c>
      <c r="G97" s="52">
        <f>IF($A97="","",CHOOSE(WEEKDAY($A97,2),"LUNES","MARTES","MIÉRCOLES","JUEVES","VIERNES","SÁBADO","DOMINGO"))</f>
        <v/>
      </c>
      <c r="H97" s="34">
        <f>IF($A97="","",CHOOSE(MONTH($A97),"ENERO","FEBRERO","MARZO","ABRIL","MAYO","JUNIO","JULIO","AGOSTO","SEPTIEMBRE","OCTUBRE","NOVIEMBRE","DICIEMBRE"))</f>
        <v/>
      </c>
      <c r="I97" s="34">
        <f>IF($A97="","",IF(OR($G97="SÁBADO",$G97="DOMINGO"),"FIN","LV"))</f>
        <v/>
      </c>
      <c r="J97" s="34">
        <f>IF(OR($A97="",$B97=""),"",IF($L97&lt;&gt;"",UPPER($L97),IF($C97="","FALTA",IFERROR(IF($C97&gt;=$O97,"ROJO FUERTE",IF($C97&gt;=$N97,"ROJO",IF($C97&gt;=$M97,"AMARILLO","VERDE"))),"REVISAR"))))</f>
        <v/>
      </c>
      <c r="K97" s="36">
        <f>IF(OR($C97="",$D97=""),"",IF($D97&gt;=$C97,($D97-$C97)*24,(1-$C97+$D97)*24))</f>
        <v/>
      </c>
      <c r="L97" s="34" t="n"/>
      <c r="M97" s="53">
        <f t="array" ref="M97">IFERROR(INDEX(EXCEPCIONES_FECHA!$D$2:$D$201,MATCH(1,(EXCEPCIONES_FECHA!$A$2:$A$201=$A97)*(EXCEPCIONES_FECHA!$B$2:$B$201=$B97),0)),IFERROR(INDEX(EXCEPCIONES_FECHA!$D$2:$D$201,MATCH(1,(EXCEPCIONES_FECHA!$A$2:$A$201=$A97)*(EXCEPCIONES_FECHA!$B$2:$B$201=""),0)),IFERROR(INDEX(IF($I97="FIN",HISTORIAL_HORARIOS!$J$2:$J$201,HISTORIAL_HORARIOS!$F$2:$F$201),MATCH(1,(HISTORIAL_HORARIOS!$A$2:$A$201=$B97)*(HISTORIAL_HORARIOS!$C$2:$C$201&lt;=$A97)*(HISTORIAL_HORARIOS!$D$2:$D$201&gt;=$A97),0)),INDEX(IF($I97="FIN",PERSONAL!$J$2:$J$80,PERSONAL!$F$2:$F$80),MATCH($B97,PERSONAL!$A$2:$A$80,0)))))</f>
        <v/>
      </c>
      <c r="N97" s="53">
        <f t="array" ref="N97">IFERROR(INDEX(EXCEPCIONES_FECHA!$E$2:$E$201,MATCH(1,(EXCEPCIONES_FECHA!$A$2:$A$201=$A97)*(EXCEPCIONES_FECHA!$B$2:$B$201=$B97),0)),IFERROR(INDEX(EXCEPCIONES_FECHA!$E$2:$E$201,MATCH(1,(EXCEPCIONES_FECHA!$A$2:$A$201=$A97)*(EXCEPCIONES_FECHA!$B$2:$B$201=""),0)),IFERROR(INDEX(IF($I97="FIN",HISTORIAL_HORARIOS!$K$2:$K$201,HISTORIAL_HORARIOS!$G$2:$G$201),MATCH(1,(HISTORIAL_HORARIOS!$A$2:$A$201=$B97)*(HISTORIAL_HORARIOS!$C$2:$C$201&lt;=$A97)*(HISTORIAL_HORARIOS!$D$2:$D$201&gt;=$A97),0)),INDEX(IF($I97="FIN",PERSONAL!$K$2:$K$80,PERSONAL!$G$2:$G$80),MATCH($B97,PERSONAL!$A$2:$A$80,0)))))</f>
        <v/>
      </c>
      <c r="O97" s="53">
        <f t="array" ref="O97">IFERROR(INDEX(EXCEPCIONES_FECHA!$F$2:$F$201,MATCH(1,(EXCEPCIONES_FECHA!$A$2:$A$201=$A97)*(EXCEPCIONES_FECHA!$B$2:$B$201=$B97),0)),IFERROR(INDEX(EXCEPCIONES_FECHA!$F$2:$F$201,MATCH(1,(EXCEPCIONES_FECHA!$A$2:$A$201=$A97)*(EXCEPCIONES_FECHA!$B$2:$B$201=""),0)),IFERROR(INDEX(IF($I97="FIN",HISTORIAL_HORARIOS!$L$2:$L$201,HISTORIAL_HORARIOS!$H$2:$H$201),MATCH(1,(HISTORIAL_HORARIOS!$A$2:$A$201=$B97)*(HISTORIAL_HORARIOS!$C$2:$C$201&lt;=$A97)*(HISTORIAL_HORARIOS!$D$2:$D$201&gt;=$A97),0)),INDEX(IF($I97="FIN",PERSONAL!$L$2:$L$80,PERSONAL!$H$2:$H$80),MATCH($B97,PERSONAL!$A$2:$A$80,0)))))</f>
        <v/>
      </c>
    </row>
    <row r="98" ht="15" customHeight="1" s="58">
      <c r="A98" s="37" t="n"/>
      <c r="B98" s="38" t="n"/>
      <c r="C98" s="39" t="n"/>
      <c r="D98" s="39" t="n"/>
      <c r="E98" s="34">
        <f t="array" ref="E98">IF($B98="","",IFERROR(INDEX(PERSONAL!$B$2:$B$80,MATCH($B98,PERSONAL!$A$2:$A$80,0)),"NO EXISTE"))</f>
        <v/>
      </c>
      <c r="F98" s="52">
        <f t="array" ref="F98">IF($B98="","",IFERROR(INDEX(PERSONAL!$C$2:$C$80,MATCH($B98,PERSONAL!$A$2:$A$80,0)),""))</f>
        <v/>
      </c>
      <c r="G98" s="52">
        <f>IF($A98="","",CHOOSE(WEEKDAY($A98,2),"LUNES","MARTES","MIÉRCOLES","JUEVES","VIERNES","SÁBADO","DOMINGO"))</f>
        <v/>
      </c>
      <c r="H98" s="34">
        <f>IF($A98="","",CHOOSE(MONTH($A98),"ENERO","FEBRERO","MARZO","ABRIL","MAYO","JUNIO","JULIO","AGOSTO","SEPTIEMBRE","OCTUBRE","NOVIEMBRE","DICIEMBRE"))</f>
        <v/>
      </c>
      <c r="I98" s="34">
        <f>IF($A98="","",IF(OR($G98="SÁBADO",$G98="DOMINGO"),"FIN","LV"))</f>
        <v/>
      </c>
      <c r="J98" s="34">
        <f>IF(OR($A98="",$B98=""),"",IF($L98&lt;&gt;"",UPPER($L98),IF($C98="","FALTA",IFERROR(IF($C98&gt;=$O98,"ROJO FUERTE",IF($C98&gt;=$N98,"ROJO",IF($C98&gt;=$M98,"AMARILLO","VERDE"))),"REVISAR"))))</f>
        <v/>
      </c>
      <c r="K98" s="36">
        <f>IF(OR($C98="",$D98=""),"",IF($D98&gt;=$C98,($D98-$C98)*24,(1-$C98+$D98)*24))</f>
        <v/>
      </c>
      <c r="L98" s="34" t="n"/>
      <c r="M98" s="53">
        <f t="array" ref="M98">IFERROR(INDEX(EXCEPCIONES_FECHA!$D$2:$D$201,MATCH(1,(EXCEPCIONES_FECHA!$A$2:$A$201=$A98)*(EXCEPCIONES_FECHA!$B$2:$B$201=$B98),0)),IFERROR(INDEX(EXCEPCIONES_FECHA!$D$2:$D$201,MATCH(1,(EXCEPCIONES_FECHA!$A$2:$A$201=$A98)*(EXCEPCIONES_FECHA!$B$2:$B$201=""),0)),IFERROR(INDEX(IF($I98="FIN",HISTORIAL_HORARIOS!$J$2:$J$201,HISTORIAL_HORARIOS!$F$2:$F$201),MATCH(1,(HISTORIAL_HORARIOS!$A$2:$A$201=$B98)*(HISTORIAL_HORARIOS!$C$2:$C$201&lt;=$A98)*(HISTORIAL_HORARIOS!$D$2:$D$201&gt;=$A98),0)),INDEX(IF($I98="FIN",PERSONAL!$J$2:$J$80,PERSONAL!$F$2:$F$80),MATCH($B98,PERSONAL!$A$2:$A$80,0)))))</f>
        <v/>
      </c>
      <c r="N98" s="53">
        <f t="array" ref="N98">IFERROR(INDEX(EXCEPCIONES_FECHA!$E$2:$E$201,MATCH(1,(EXCEPCIONES_FECHA!$A$2:$A$201=$A98)*(EXCEPCIONES_FECHA!$B$2:$B$201=$B98),0)),IFERROR(INDEX(EXCEPCIONES_FECHA!$E$2:$E$201,MATCH(1,(EXCEPCIONES_FECHA!$A$2:$A$201=$A98)*(EXCEPCIONES_FECHA!$B$2:$B$201=""),0)),IFERROR(INDEX(IF($I98="FIN",HISTORIAL_HORARIOS!$K$2:$K$201,HISTORIAL_HORARIOS!$G$2:$G$201),MATCH(1,(HISTORIAL_HORARIOS!$A$2:$A$201=$B98)*(HISTORIAL_HORARIOS!$C$2:$C$201&lt;=$A98)*(HISTORIAL_HORARIOS!$D$2:$D$201&gt;=$A98),0)),INDEX(IF($I98="FIN",PERSONAL!$K$2:$K$80,PERSONAL!$G$2:$G$80),MATCH($B98,PERSONAL!$A$2:$A$80,0)))))</f>
        <v/>
      </c>
      <c r="O98" s="53">
        <f t="array" ref="O98">IFERROR(INDEX(EXCEPCIONES_FECHA!$F$2:$F$201,MATCH(1,(EXCEPCIONES_FECHA!$A$2:$A$201=$A98)*(EXCEPCIONES_FECHA!$B$2:$B$201=$B98),0)),IFERROR(INDEX(EXCEPCIONES_FECHA!$F$2:$F$201,MATCH(1,(EXCEPCIONES_FECHA!$A$2:$A$201=$A98)*(EXCEPCIONES_FECHA!$B$2:$B$201=""),0)),IFERROR(INDEX(IF($I98="FIN",HISTORIAL_HORARIOS!$L$2:$L$201,HISTORIAL_HORARIOS!$H$2:$H$201),MATCH(1,(HISTORIAL_HORARIOS!$A$2:$A$201=$B98)*(HISTORIAL_HORARIOS!$C$2:$C$201&lt;=$A98)*(HISTORIAL_HORARIOS!$D$2:$D$201&gt;=$A98),0)),INDEX(IF($I98="FIN",PERSONAL!$L$2:$L$80,PERSONAL!$H$2:$H$80),MATCH($B98,PERSONAL!$A$2:$A$80,0)))))</f>
        <v/>
      </c>
    </row>
    <row r="99" ht="15" customHeight="1" s="58">
      <c r="A99" s="37" t="n"/>
      <c r="B99" s="38" t="n"/>
      <c r="C99" s="39" t="n"/>
      <c r="D99" s="39" t="n"/>
      <c r="E99" s="34">
        <f t="array" ref="E99">IF($B99="","",IFERROR(INDEX(PERSONAL!$B$2:$B$80,MATCH($B99,PERSONAL!$A$2:$A$80,0)),"NO EXISTE"))</f>
        <v/>
      </c>
      <c r="F99" s="52">
        <f t="array" ref="F99">IF($B99="","",IFERROR(INDEX(PERSONAL!$C$2:$C$80,MATCH($B99,PERSONAL!$A$2:$A$80,0)),""))</f>
        <v/>
      </c>
      <c r="G99" s="52">
        <f>IF($A99="","",CHOOSE(WEEKDAY($A99,2),"LUNES","MARTES","MIÉRCOLES","JUEVES","VIERNES","SÁBADO","DOMINGO"))</f>
        <v/>
      </c>
      <c r="H99" s="34">
        <f>IF($A99="","",CHOOSE(MONTH($A99),"ENERO","FEBRERO","MARZO","ABRIL","MAYO","JUNIO","JULIO","AGOSTO","SEPTIEMBRE","OCTUBRE","NOVIEMBRE","DICIEMBRE"))</f>
        <v/>
      </c>
      <c r="I99" s="34">
        <f>IF($A99="","",IF(OR($G99="SÁBADO",$G99="DOMINGO"),"FIN","LV"))</f>
        <v/>
      </c>
      <c r="J99" s="34">
        <f>IF(OR($A99="",$B99=""),"",IF($L99&lt;&gt;"",UPPER($L99),IF($C99="","FALTA",IFERROR(IF($C99&gt;=$O99,"ROJO FUERTE",IF($C99&gt;=$N99,"ROJO",IF($C99&gt;=$M99,"AMARILLO","VERDE"))),"REVISAR"))))</f>
        <v/>
      </c>
      <c r="K99" s="36">
        <f>IF(OR($C99="",$D99=""),"",IF($D99&gt;=$C99,($D99-$C99)*24,(1-$C99+$D99)*24))</f>
        <v/>
      </c>
      <c r="L99" s="34" t="n"/>
      <c r="M99" s="53">
        <f t="array" ref="M99">IFERROR(INDEX(EXCEPCIONES_FECHA!$D$2:$D$201,MATCH(1,(EXCEPCIONES_FECHA!$A$2:$A$201=$A99)*(EXCEPCIONES_FECHA!$B$2:$B$201=$B99),0)),IFERROR(INDEX(EXCEPCIONES_FECHA!$D$2:$D$201,MATCH(1,(EXCEPCIONES_FECHA!$A$2:$A$201=$A99)*(EXCEPCIONES_FECHA!$B$2:$B$201=""),0)),IFERROR(INDEX(IF($I99="FIN",HISTORIAL_HORARIOS!$J$2:$J$201,HISTORIAL_HORARIOS!$F$2:$F$201),MATCH(1,(HISTORIAL_HORARIOS!$A$2:$A$201=$B99)*(HISTORIAL_HORARIOS!$C$2:$C$201&lt;=$A99)*(HISTORIAL_HORARIOS!$D$2:$D$201&gt;=$A99),0)),INDEX(IF($I99="FIN",PERSONAL!$J$2:$J$80,PERSONAL!$F$2:$F$80),MATCH($B99,PERSONAL!$A$2:$A$80,0)))))</f>
        <v/>
      </c>
      <c r="N99" s="53">
        <f t="array" ref="N99">IFERROR(INDEX(EXCEPCIONES_FECHA!$E$2:$E$201,MATCH(1,(EXCEPCIONES_FECHA!$A$2:$A$201=$A99)*(EXCEPCIONES_FECHA!$B$2:$B$201=$B99),0)),IFERROR(INDEX(EXCEPCIONES_FECHA!$E$2:$E$201,MATCH(1,(EXCEPCIONES_FECHA!$A$2:$A$201=$A99)*(EXCEPCIONES_FECHA!$B$2:$B$201=""),0)),IFERROR(INDEX(IF($I99="FIN",HISTORIAL_HORARIOS!$K$2:$K$201,HISTORIAL_HORARIOS!$G$2:$G$201),MATCH(1,(HISTORIAL_HORARIOS!$A$2:$A$201=$B99)*(HISTORIAL_HORARIOS!$C$2:$C$201&lt;=$A99)*(HISTORIAL_HORARIOS!$D$2:$D$201&gt;=$A99),0)),INDEX(IF($I99="FIN",PERSONAL!$K$2:$K$80,PERSONAL!$G$2:$G$80),MATCH($B99,PERSONAL!$A$2:$A$80,0)))))</f>
        <v/>
      </c>
      <c r="O99" s="53">
        <f t="array" ref="O99">IFERROR(INDEX(EXCEPCIONES_FECHA!$F$2:$F$201,MATCH(1,(EXCEPCIONES_FECHA!$A$2:$A$201=$A99)*(EXCEPCIONES_FECHA!$B$2:$B$201=$B99),0)),IFERROR(INDEX(EXCEPCIONES_FECHA!$F$2:$F$201,MATCH(1,(EXCEPCIONES_FECHA!$A$2:$A$201=$A99)*(EXCEPCIONES_FECHA!$B$2:$B$201=""),0)),IFERROR(INDEX(IF($I99="FIN",HISTORIAL_HORARIOS!$L$2:$L$201,HISTORIAL_HORARIOS!$H$2:$H$201),MATCH(1,(HISTORIAL_HORARIOS!$A$2:$A$201=$B99)*(HISTORIAL_HORARIOS!$C$2:$C$201&lt;=$A99)*(HISTORIAL_HORARIOS!$D$2:$D$201&gt;=$A99),0)),INDEX(IF($I99="FIN",PERSONAL!$L$2:$L$80,PERSONAL!$H$2:$H$80),MATCH($B99,PERSONAL!$A$2:$A$80,0)))))</f>
        <v/>
      </c>
    </row>
    <row r="100" ht="15" customHeight="1" s="58">
      <c r="A100" s="37" t="n"/>
      <c r="B100" s="38" t="n"/>
      <c r="C100" s="39" t="n"/>
      <c r="D100" s="39" t="n"/>
      <c r="E100" s="34">
        <f t="array" ref="E100">IF($B100="","",IFERROR(INDEX(PERSONAL!$B$2:$B$80,MATCH($B100,PERSONAL!$A$2:$A$80,0)),"NO EXISTE"))</f>
        <v/>
      </c>
      <c r="F100" s="52">
        <f t="array" ref="F100">IF($B100="","",IFERROR(INDEX(PERSONAL!$C$2:$C$80,MATCH($B100,PERSONAL!$A$2:$A$80,0)),""))</f>
        <v/>
      </c>
      <c r="G100" s="52">
        <f>IF($A100="","",CHOOSE(WEEKDAY($A100,2),"LUNES","MARTES","MIÉRCOLES","JUEVES","VIERNES","SÁBADO","DOMINGO"))</f>
        <v/>
      </c>
      <c r="H100" s="34">
        <f>IF($A100="","",CHOOSE(MONTH($A100),"ENERO","FEBRERO","MARZO","ABRIL","MAYO","JUNIO","JULIO","AGOSTO","SEPTIEMBRE","OCTUBRE","NOVIEMBRE","DICIEMBRE"))</f>
        <v/>
      </c>
      <c r="I100" s="34">
        <f>IF($A100="","",IF(OR($G100="SÁBADO",$G100="DOMINGO"),"FIN","LV"))</f>
        <v/>
      </c>
      <c r="J100" s="34">
        <f>IF(OR($A100="",$B100=""),"",IF($L100&lt;&gt;"",UPPER($L100),IF($C100="","FALTA",IFERROR(IF($C100&gt;=$O100,"ROJO FUERTE",IF($C100&gt;=$N100,"ROJO",IF($C100&gt;=$M100,"AMARILLO","VERDE"))),"REVISAR"))))</f>
        <v/>
      </c>
      <c r="K100" s="36">
        <f>IF(OR($C100="",$D100=""),"",IF($D100&gt;=$C100,($D100-$C100)*24,(1-$C100+$D100)*24))</f>
        <v/>
      </c>
      <c r="L100" s="34" t="n"/>
      <c r="M100" s="53">
        <f t="array" ref="M100">IFERROR(INDEX(EXCEPCIONES_FECHA!$D$2:$D$201,MATCH(1,(EXCEPCIONES_FECHA!$A$2:$A$201=$A100)*(EXCEPCIONES_FECHA!$B$2:$B$201=$B100),0)),IFERROR(INDEX(EXCEPCIONES_FECHA!$D$2:$D$201,MATCH(1,(EXCEPCIONES_FECHA!$A$2:$A$201=$A100)*(EXCEPCIONES_FECHA!$B$2:$B$201=""),0)),IFERROR(INDEX(IF($I100="FIN",HISTORIAL_HORARIOS!$J$2:$J$201,HISTORIAL_HORARIOS!$F$2:$F$201),MATCH(1,(HISTORIAL_HORARIOS!$A$2:$A$201=$B100)*(HISTORIAL_HORARIOS!$C$2:$C$201&lt;=$A100)*(HISTORIAL_HORARIOS!$D$2:$D$201&gt;=$A100),0)),INDEX(IF($I100="FIN",PERSONAL!$J$2:$J$80,PERSONAL!$F$2:$F$80),MATCH($B100,PERSONAL!$A$2:$A$80,0)))))</f>
        <v/>
      </c>
      <c r="N100" s="53">
        <f t="array" ref="N100">IFERROR(INDEX(EXCEPCIONES_FECHA!$E$2:$E$201,MATCH(1,(EXCEPCIONES_FECHA!$A$2:$A$201=$A100)*(EXCEPCIONES_FECHA!$B$2:$B$201=$B100),0)),IFERROR(INDEX(EXCEPCIONES_FECHA!$E$2:$E$201,MATCH(1,(EXCEPCIONES_FECHA!$A$2:$A$201=$A100)*(EXCEPCIONES_FECHA!$B$2:$B$201=""),0)),IFERROR(INDEX(IF($I100="FIN",HISTORIAL_HORARIOS!$K$2:$K$201,HISTORIAL_HORARIOS!$G$2:$G$201),MATCH(1,(HISTORIAL_HORARIOS!$A$2:$A$201=$B100)*(HISTORIAL_HORARIOS!$C$2:$C$201&lt;=$A100)*(HISTORIAL_HORARIOS!$D$2:$D$201&gt;=$A100),0)),INDEX(IF($I100="FIN",PERSONAL!$K$2:$K$80,PERSONAL!$G$2:$G$80),MATCH($B100,PERSONAL!$A$2:$A$80,0)))))</f>
        <v/>
      </c>
      <c r="O100" s="53">
        <f t="array" ref="O100">IFERROR(INDEX(EXCEPCIONES_FECHA!$F$2:$F$201,MATCH(1,(EXCEPCIONES_FECHA!$A$2:$A$201=$A100)*(EXCEPCIONES_FECHA!$B$2:$B$201=$B100),0)),IFERROR(INDEX(EXCEPCIONES_FECHA!$F$2:$F$201,MATCH(1,(EXCEPCIONES_FECHA!$A$2:$A$201=$A100)*(EXCEPCIONES_FECHA!$B$2:$B$201=""),0)),IFERROR(INDEX(IF($I100="FIN",HISTORIAL_HORARIOS!$L$2:$L$201,HISTORIAL_HORARIOS!$H$2:$H$201),MATCH(1,(HISTORIAL_HORARIOS!$A$2:$A$201=$B100)*(HISTORIAL_HORARIOS!$C$2:$C$201&lt;=$A100)*(HISTORIAL_HORARIOS!$D$2:$D$201&gt;=$A100),0)),INDEX(IF($I100="FIN",PERSONAL!$L$2:$L$80,PERSONAL!$H$2:$H$80),MATCH($B100,PERSONAL!$A$2:$A$80,0)))))</f>
        <v/>
      </c>
    </row>
    <row r="101" ht="15" customHeight="1" s="58">
      <c r="A101" s="37" t="n"/>
      <c r="B101" s="38" t="n"/>
      <c r="C101" s="39" t="n"/>
      <c r="D101" s="39" t="n"/>
      <c r="E101" s="34">
        <f t="array" ref="E101">IF($B101="","",IFERROR(INDEX(PERSONAL!$B$2:$B$80,MATCH($B101,PERSONAL!$A$2:$A$80,0)),"NO EXISTE"))</f>
        <v/>
      </c>
      <c r="F101" s="52">
        <f t="array" ref="F101">IF($B101="","",IFERROR(INDEX(PERSONAL!$C$2:$C$80,MATCH($B101,PERSONAL!$A$2:$A$80,0)),""))</f>
        <v/>
      </c>
      <c r="G101" s="52">
        <f>IF($A101="","",CHOOSE(WEEKDAY($A101,2),"LUNES","MARTES","MIÉRCOLES","JUEVES","VIERNES","SÁBADO","DOMINGO"))</f>
        <v/>
      </c>
      <c r="H101" s="34">
        <f>IF($A101="","",CHOOSE(MONTH($A101),"ENERO","FEBRERO","MARZO","ABRIL","MAYO","JUNIO","JULIO","AGOSTO","SEPTIEMBRE","OCTUBRE","NOVIEMBRE","DICIEMBRE"))</f>
        <v/>
      </c>
      <c r="I101" s="34">
        <f>IF($A101="","",IF(OR($G101="SÁBADO",$G101="DOMINGO"),"FIN","LV"))</f>
        <v/>
      </c>
      <c r="J101" s="34">
        <f>IF(OR($A101="",$B101=""),"",IF($L101&lt;&gt;"",UPPER($L101),IF($C101="","FALTA",IFERROR(IF($C101&gt;=$O101,"ROJO FUERTE",IF($C101&gt;=$N101,"ROJO",IF($C101&gt;=$M101,"AMARILLO","VERDE"))),"REVISAR"))))</f>
        <v/>
      </c>
      <c r="K101" s="36">
        <f>IF(OR($C101="",$D101=""),"",IF($D101&gt;=$C101,($D101-$C101)*24,(1-$C101+$D101)*24))</f>
        <v/>
      </c>
      <c r="L101" s="34" t="n"/>
      <c r="M101" s="53">
        <f t="array" ref="M101">IFERROR(INDEX(EXCEPCIONES_FECHA!$D$2:$D$201,MATCH(1,(EXCEPCIONES_FECHA!$A$2:$A$201=$A101)*(EXCEPCIONES_FECHA!$B$2:$B$201=$B101),0)),IFERROR(INDEX(EXCEPCIONES_FECHA!$D$2:$D$201,MATCH(1,(EXCEPCIONES_FECHA!$A$2:$A$201=$A101)*(EXCEPCIONES_FECHA!$B$2:$B$201=""),0)),IFERROR(INDEX(IF($I101="FIN",HISTORIAL_HORARIOS!$J$2:$J$201,HISTORIAL_HORARIOS!$F$2:$F$201),MATCH(1,(HISTORIAL_HORARIOS!$A$2:$A$201=$B101)*(HISTORIAL_HORARIOS!$C$2:$C$201&lt;=$A101)*(HISTORIAL_HORARIOS!$D$2:$D$201&gt;=$A101),0)),INDEX(IF($I101="FIN",PERSONAL!$J$2:$J$80,PERSONAL!$F$2:$F$80),MATCH($B101,PERSONAL!$A$2:$A$80,0)))))</f>
        <v/>
      </c>
      <c r="N101" s="53">
        <f t="array" ref="N101">IFERROR(INDEX(EXCEPCIONES_FECHA!$E$2:$E$201,MATCH(1,(EXCEPCIONES_FECHA!$A$2:$A$201=$A101)*(EXCEPCIONES_FECHA!$B$2:$B$201=$B101),0)),IFERROR(INDEX(EXCEPCIONES_FECHA!$E$2:$E$201,MATCH(1,(EXCEPCIONES_FECHA!$A$2:$A$201=$A101)*(EXCEPCIONES_FECHA!$B$2:$B$201=""),0)),IFERROR(INDEX(IF($I101="FIN",HISTORIAL_HORARIOS!$K$2:$K$201,HISTORIAL_HORARIOS!$G$2:$G$201),MATCH(1,(HISTORIAL_HORARIOS!$A$2:$A$201=$B101)*(HISTORIAL_HORARIOS!$C$2:$C$201&lt;=$A101)*(HISTORIAL_HORARIOS!$D$2:$D$201&gt;=$A101),0)),INDEX(IF($I101="FIN",PERSONAL!$K$2:$K$80,PERSONAL!$G$2:$G$80),MATCH($B101,PERSONAL!$A$2:$A$80,0)))))</f>
        <v/>
      </c>
      <c r="O101" s="53">
        <f t="array" ref="O101">IFERROR(INDEX(EXCEPCIONES_FECHA!$F$2:$F$201,MATCH(1,(EXCEPCIONES_FECHA!$A$2:$A$201=$A101)*(EXCEPCIONES_FECHA!$B$2:$B$201=$B101),0)),IFERROR(INDEX(EXCEPCIONES_FECHA!$F$2:$F$201,MATCH(1,(EXCEPCIONES_FECHA!$A$2:$A$201=$A101)*(EXCEPCIONES_FECHA!$B$2:$B$201=""),0)),IFERROR(INDEX(IF($I101="FIN",HISTORIAL_HORARIOS!$L$2:$L$201,HISTORIAL_HORARIOS!$H$2:$H$201),MATCH(1,(HISTORIAL_HORARIOS!$A$2:$A$201=$B101)*(HISTORIAL_HORARIOS!$C$2:$C$201&lt;=$A101)*(HISTORIAL_HORARIOS!$D$2:$D$201&gt;=$A101),0)),INDEX(IF($I101="FIN",PERSONAL!$L$2:$L$80,PERSONAL!$H$2:$H$80),MATCH($B101,PERSONAL!$A$2:$A$80,0)))))</f>
        <v/>
      </c>
    </row>
    <row r="102" ht="15" customHeight="1" s="58">
      <c r="A102" s="37" t="n"/>
      <c r="B102" s="38" t="n"/>
      <c r="C102" s="39" t="n"/>
      <c r="D102" s="39" t="n"/>
      <c r="E102" s="34">
        <f t="array" ref="E102">IF($B102="","",IFERROR(INDEX(PERSONAL!$B$2:$B$80,MATCH($B102,PERSONAL!$A$2:$A$80,0)),"NO EXISTE"))</f>
        <v/>
      </c>
      <c r="F102" s="52">
        <f t="array" ref="F102">IF($B102="","",IFERROR(INDEX(PERSONAL!$C$2:$C$80,MATCH($B102,PERSONAL!$A$2:$A$80,0)),""))</f>
        <v/>
      </c>
      <c r="G102" s="52">
        <f>IF($A102="","",CHOOSE(WEEKDAY($A102,2),"LUNES","MARTES","MIÉRCOLES","JUEVES","VIERNES","SÁBADO","DOMINGO"))</f>
        <v/>
      </c>
      <c r="H102" s="34">
        <f>IF($A102="","",CHOOSE(MONTH($A102),"ENERO","FEBRERO","MARZO","ABRIL","MAYO","JUNIO","JULIO","AGOSTO","SEPTIEMBRE","OCTUBRE","NOVIEMBRE","DICIEMBRE"))</f>
        <v/>
      </c>
      <c r="I102" s="34">
        <f>IF($A102="","",IF(OR($G102="SÁBADO",$G102="DOMINGO"),"FIN","LV"))</f>
        <v/>
      </c>
      <c r="J102" s="34">
        <f>IF(OR($A102="",$B102=""),"",IF($L102&lt;&gt;"",UPPER($L102),IF($C102="","FALTA",IFERROR(IF($C102&gt;=$O102,"ROJO FUERTE",IF($C102&gt;=$N102,"ROJO",IF($C102&gt;=$M102,"AMARILLO","VERDE"))),"REVISAR"))))</f>
        <v/>
      </c>
      <c r="K102" s="36">
        <f>IF(OR($C102="",$D102=""),"",IF($D102&gt;=$C102,($D102-$C102)*24,(1-$C102+$D102)*24))</f>
        <v/>
      </c>
      <c r="L102" s="34" t="n"/>
      <c r="M102" s="53">
        <f t="array" ref="M102">IFERROR(INDEX(EXCEPCIONES_FECHA!$D$2:$D$201,MATCH(1,(EXCEPCIONES_FECHA!$A$2:$A$201=$A102)*(EXCEPCIONES_FECHA!$B$2:$B$201=$B102),0)),IFERROR(INDEX(EXCEPCIONES_FECHA!$D$2:$D$201,MATCH(1,(EXCEPCIONES_FECHA!$A$2:$A$201=$A102)*(EXCEPCIONES_FECHA!$B$2:$B$201=""),0)),IFERROR(INDEX(IF($I102="FIN",HISTORIAL_HORARIOS!$J$2:$J$201,HISTORIAL_HORARIOS!$F$2:$F$201),MATCH(1,(HISTORIAL_HORARIOS!$A$2:$A$201=$B102)*(HISTORIAL_HORARIOS!$C$2:$C$201&lt;=$A102)*(HISTORIAL_HORARIOS!$D$2:$D$201&gt;=$A102),0)),INDEX(IF($I102="FIN",PERSONAL!$J$2:$J$80,PERSONAL!$F$2:$F$80),MATCH($B102,PERSONAL!$A$2:$A$80,0)))))</f>
        <v/>
      </c>
      <c r="N102" s="53">
        <f t="array" ref="N102">IFERROR(INDEX(EXCEPCIONES_FECHA!$E$2:$E$201,MATCH(1,(EXCEPCIONES_FECHA!$A$2:$A$201=$A102)*(EXCEPCIONES_FECHA!$B$2:$B$201=$B102),0)),IFERROR(INDEX(EXCEPCIONES_FECHA!$E$2:$E$201,MATCH(1,(EXCEPCIONES_FECHA!$A$2:$A$201=$A102)*(EXCEPCIONES_FECHA!$B$2:$B$201=""),0)),IFERROR(INDEX(IF($I102="FIN",HISTORIAL_HORARIOS!$K$2:$K$201,HISTORIAL_HORARIOS!$G$2:$G$201),MATCH(1,(HISTORIAL_HORARIOS!$A$2:$A$201=$B102)*(HISTORIAL_HORARIOS!$C$2:$C$201&lt;=$A102)*(HISTORIAL_HORARIOS!$D$2:$D$201&gt;=$A102),0)),INDEX(IF($I102="FIN",PERSONAL!$K$2:$K$80,PERSONAL!$G$2:$G$80),MATCH($B102,PERSONAL!$A$2:$A$80,0)))))</f>
        <v/>
      </c>
      <c r="O102" s="53">
        <f t="array" ref="O102">IFERROR(INDEX(EXCEPCIONES_FECHA!$F$2:$F$201,MATCH(1,(EXCEPCIONES_FECHA!$A$2:$A$201=$A102)*(EXCEPCIONES_FECHA!$B$2:$B$201=$B102),0)),IFERROR(INDEX(EXCEPCIONES_FECHA!$F$2:$F$201,MATCH(1,(EXCEPCIONES_FECHA!$A$2:$A$201=$A102)*(EXCEPCIONES_FECHA!$B$2:$B$201=""),0)),IFERROR(INDEX(IF($I102="FIN",HISTORIAL_HORARIOS!$L$2:$L$201,HISTORIAL_HORARIOS!$H$2:$H$201),MATCH(1,(HISTORIAL_HORARIOS!$A$2:$A$201=$B102)*(HISTORIAL_HORARIOS!$C$2:$C$201&lt;=$A102)*(HISTORIAL_HORARIOS!$D$2:$D$201&gt;=$A102),0)),INDEX(IF($I102="FIN",PERSONAL!$L$2:$L$80,PERSONAL!$H$2:$H$80),MATCH($B102,PERSONAL!$A$2:$A$80,0)))))</f>
        <v/>
      </c>
    </row>
    <row r="103" ht="15" customHeight="1" s="58">
      <c r="A103" s="37" t="n"/>
      <c r="B103" s="38" t="n"/>
      <c r="C103" s="39" t="n"/>
      <c r="D103" s="39" t="n"/>
      <c r="E103" s="34">
        <f t="array" ref="E103">IF($B103="","",IFERROR(INDEX(PERSONAL!$B$2:$B$80,MATCH($B103,PERSONAL!$A$2:$A$80,0)),"NO EXISTE"))</f>
        <v/>
      </c>
      <c r="F103" s="52">
        <f t="array" ref="F103">IF($B103="","",IFERROR(INDEX(PERSONAL!$C$2:$C$80,MATCH($B103,PERSONAL!$A$2:$A$80,0)),""))</f>
        <v/>
      </c>
      <c r="G103" s="52">
        <f>IF($A103="","",CHOOSE(WEEKDAY($A103,2),"LUNES","MARTES","MIÉRCOLES","JUEVES","VIERNES","SÁBADO","DOMINGO"))</f>
        <v/>
      </c>
      <c r="H103" s="34">
        <f>IF($A103="","",CHOOSE(MONTH($A103),"ENERO","FEBRERO","MARZO","ABRIL","MAYO","JUNIO","JULIO","AGOSTO","SEPTIEMBRE","OCTUBRE","NOVIEMBRE","DICIEMBRE"))</f>
        <v/>
      </c>
      <c r="I103" s="34">
        <f>IF($A103="","",IF(OR($G103="SÁBADO",$G103="DOMINGO"),"FIN","LV"))</f>
        <v/>
      </c>
      <c r="J103" s="34">
        <f>IF(OR($A103="",$B103=""),"",IF($L103&lt;&gt;"",UPPER($L103),IF($C103="","FALTA",IFERROR(IF($C103&gt;=$O103,"ROJO FUERTE",IF($C103&gt;=$N103,"ROJO",IF($C103&gt;=$M103,"AMARILLO","VERDE"))),"REVISAR"))))</f>
        <v/>
      </c>
      <c r="K103" s="36">
        <f>IF(OR($C103="",$D103=""),"",IF($D103&gt;=$C103,($D103-$C103)*24,(1-$C103+$D103)*24))</f>
        <v/>
      </c>
      <c r="L103" s="34" t="n"/>
      <c r="M103" s="53">
        <f t="array" ref="M103">IFERROR(INDEX(EXCEPCIONES_FECHA!$D$2:$D$201,MATCH(1,(EXCEPCIONES_FECHA!$A$2:$A$201=$A103)*(EXCEPCIONES_FECHA!$B$2:$B$201=$B103),0)),IFERROR(INDEX(EXCEPCIONES_FECHA!$D$2:$D$201,MATCH(1,(EXCEPCIONES_FECHA!$A$2:$A$201=$A103)*(EXCEPCIONES_FECHA!$B$2:$B$201=""),0)),IFERROR(INDEX(IF($I103="FIN",HISTORIAL_HORARIOS!$J$2:$J$201,HISTORIAL_HORARIOS!$F$2:$F$201),MATCH(1,(HISTORIAL_HORARIOS!$A$2:$A$201=$B103)*(HISTORIAL_HORARIOS!$C$2:$C$201&lt;=$A103)*(HISTORIAL_HORARIOS!$D$2:$D$201&gt;=$A103),0)),INDEX(IF($I103="FIN",PERSONAL!$J$2:$J$80,PERSONAL!$F$2:$F$80),MATCH($B103,PERSONAL!$A$2:$A$80,0)))))</f>
        <v/>
      </c>
      <c r="N103" s="53">
        <f t="array" ref="N103">IFERROR(INDEX(EXCEPCIONES_FECHA!$E$2:$E$201,MATCH(1,(EXCEPCIONES_FECHA!$A$2:$A$201=$A103)*(EXCEPCIONES_FECHA!$B$2:$B$201=$B103),0)),IFERROR(INDEX(EXCEPCIONES_FECHA!$E$2:$E$201,MATCH(1,(EXCEPCIONES_FECHA!$A$2:$A$201=$A103)*(EXCEPCIONES_FECHA!$B$2:$B$201=""),0)),IFERROR(INDEX(IF($I103="FIN",HISTORIAL_HORARIOS!$K$2:$K$201,HISTORIAL_HORARIOS!$G$2:$G$201),MATCH(1,(HISTORIAL_HORARIOS!$A$2:$A$201=$B103)*(HISTORIAL_HORARIOS!$C$2:$C$201&lt;=$A103)*(HISTORIAL_HORARIOS!$D$2:$D$201&gt;=$A103),0)),INDEX(IF($I103="FIN",PERSONAL!$K$2:$K$80,PERSONAL!$G$2:$G$80),MATCH($B103,PERSONAL!$A$2:$A$80,0)))))</f>
        <v/>
      </c>
      <c r="O103" s="53">
        <f t="array" ref="O103">IFERROR(INDEX(EXCEPCIONES_FECHA!$F$2:$F$201,MATCH(1,(EXCEPCIONES_FECHA!$A$2:$A$201=$A103)*(EXCEPCIONES_FECHA!$B$2:$B$201=$B103),0)),IFERROR(INDEX(EXCEPCIONES_FECHA!$F$2:$F$201,MATCH(1,(EXCEPCIONES_FECHA!$A$2:$A$201=$A103)*(EXCEPCIONES_FECHA!$B$2:$B$201=""),0)),IFERROR(INDEX(IF($I103="FIN",HISTORIAL_HORARIOS!$L$2:$L$201,HISTORIAL_HORARIOS!$H$2:$H$201),MATCH(1,(HISTORIAL_HORARIOS!$A$2:$A$201=$B103)*(HISTORIAL_HORARIOS!$C$2:$C$201&lt;=$A103)*(HISTORIAL_HORARIOS!$D$2:$D$201&gt;=$A103),0)),INDEX(IF($I103="FIN",PERSONAL!$L$2:$L$80,PERSONAL!$H$2:$H$80),MATCH($B103,PERSONAL!$A$2:$A$80,0)))))</f>
        <v/>
      </c>
    </row>
    <row r="104" ht="15" customHeight="1" s="58">
      <c r="A104" s="37" t="n"/>
      <c r="B104" s="38" t="n"/>
      <c r="C104" s="39" t="n"/>
      <c r="D104" s="39" t="n"/>
      <c r="E104" s="34">
        <f t="array" ref="E104">IF($B104="","",IFERROR(INDEX(PERSONAL!$B$2:$B$80,MATCH($B104,PERSONAL!$A$2:$A$80,0)),"NO EXISTE"))</f>
        <v/>
      </c>
      <c r="F104" s="52">
        <f t="array" ref="F104">IF($B104="","",IFERROR(INDEX(PERSONAL!$C$2:$C$80,MATCH($B104,PERSONAL!$A$2:$A$80,0)),""))</f>
        <v/>
      </c>
      <c r="G104" s="52">
        <f>IF($A104="","",CHOOSE(WEEKDAY($A104,2),"LUNES","MARTES","MIÉRCOLES","JUEVES","VIERNES","SÁBADO","DOMINGO"))</f>
        <v/>
      </c>
      <c r="H104" s="34">
        <f>IF($A104="","",CHOOSE(MONTH($A104),"ENERO","FEBRERO","MARZO","ABRIL","MAYO","JUNIO","JULIO","AGOSTO","SEPTIEMBRE","OCTUBRE","NOVIEMBRE","DICIEMBRE"))</f>
        <v/>
      </c>
      <c r="I104" s="34">
        <f>IF($A104="","",IF(OR($G104="SÁBADO",$G104="DOMINGO"),"FIN","LV"))</f>
        <v/>
      </c>
      <c r="J104" s="34">
        <f>IF(OR($A104="",$B104=""),"",IF($L104&lt;&gt;"",UPPER($L104),IF($C104="","FALTA",IFERROR(IF($C104&gt;=$O104,"ROJO FUERTE",IF($C104&gt;=$N104,"ROJO",IF($C104&gt;=$M104,"AMARILLO","VERDE"))),"REVISAR"))))</f>
        <v/>
      </c>
      <c r="K104" s="36">
        <f>IF(OR($C104="",$D104=""),"",IF($D104&gt;=$C104,($D104-$C104)*24,(1-$C104+$D104)*24))</f>
        <v/>
      </c>
      <c r="L104" s="34" t="n"/>
      <c r="M104" s="53">
        <f t="array" ref="M104">IFERROR(INDEX(EXCEPCIONES_FECHA!$D$2:$D$201,MATCH(1,(EXCEPCIONES_FECHA!$A$2:$A$201=$A104)*(EXCEPCIONES_FECHA!$B$2:$B$201=$B104),0)),IFERROR(INDEX(EXCEPCIONES_FECHA!$D$2:$D$201,MATCH(1,(EXCEPCIONES_FECHA!$A$2:$A$201=$A104)*(EXCEPCIONES_FECHA!$B$2:$B$201=""),0)),IFERROR(INDEX(IF($I104="FIN",HISTORIAL_HORARIOS!$J$2:$J$201,HISTORIAL_HORARIOS!$F$2:$F$201),MATCH(1,(HISTORIAL_HORARIOS!$A$2:$A$201=$B104)*(HISTORIAL_HORARIOS!$C$2:$C$201&lt;=$A104)*(HISTORIAL_HORARIOS!$D$2:$D$201&gt;=$A104),0)),INDEX(IF($I104="FIN",PERSONAL!$J$2:$J$80,PERSONAL!$F$2:$F$80),MATCH($B104,PERSONAL!$A$2:$A$80,0)))))</f>
        <v/>
      </c>
      <c r="N104" s="53">
        <f t="array" ref="N104">IFERROR(INDEX(EXCEPCIONES_FECHA!$E$2:$E$201,MATCH(1,(EXCEPCIONES_FECHA!$A$2:$A$201=$A104)*(EXCEPCIONES_FECHA!$B$2:$B$201=$B104),0)),IFERROR(INDEX(EXCEPCIONES_FECHA!$E$2:$E$201,MATCH(1,(EXCEPCIONES_FECHA!$A$2:$A$201=$A104)*(EXCEPCIONES_FECHA!$B$2:$B$201=""),0)),IFERROR(INDEX(IF($I104="FIN",HISTORIAL_HORARIOS!$K$2:$K$201,HISTORIAL_HORARIOS!$G$2:$G$201),MATCH(1,(HISTORIAL_HORARIOS!$A$2:$A$201=$B104)*(HISTORIAL_HORARIOS!$C$2:$C$201&lt;=$A104)*(HISTORIAL_HORARIOS!$D$2:$D$201&gt;=$A104),0)),INDEX(IF($I104="FIN",PERSONAL!$K$2:$K$80,PERSONAL!$G$2:$G$80),MATCH($B104,PERSONAL!$A$2:$A$80,0)))))</f>
        <v/>
      </c>
      <c r="O104" s="53">
        <f t="array" ref="O104">IFERROR(INDEX(EXCEPCIONES_FECHA!$F$2:$F$201,MATCH(1,(EXCEPCIONES_FECHA!$A$2:$A$201=$A104)*(EXCEPCIONES_FECHA!$B$2:$B$201=$B104),0)),IFERROR(INDEX(EXCEPCIONES_FECHA!$F$2:$F$201,MATCH(1,(EXCEPCIONES_FECHA!$A$2:$A$201=$A104)*(EXCEPCIONES_FECHA!$B$2:$B$201=""),0)),IFERROR(INDEX(IF($I104="FIN",HISTORIAL_HORARIOS!$L$2:$L$201,HISTORIAL_HORARIOS!$H$2:$H$201),MATCH(1,(HISTORIAL_HORARIOS!$A$2:$A$201=$B104)*(HISTORIAL_HORARIOS!$C$2:$C$201&lt;=$A104)*(HISTORIAL_HORARIOS!$D$2:$D$201&gt;=$A104),0)),INDEX(IF($I104="FIN",PERSONAL!$L$2:$L$80,PERSONAL!$H$2:$H$80),MATCH($B104,PERSONAL!$A$2:$A$80,0)))))</f>
        <v/>
      </c>
    </row>
    <row r="105" ht="15" customHeight="1" s="58">
      <c r="A105" s="37" t="n"/>
      <c r="B105" s="38" t="n"/>
      <c r="C105" s="39" t="n"/>
      <c r="D105" s="39" t="n"/>
      <c r="E105" s="34">
        <f t="array" ref="E105">IF($B105="","",IFERROR(INDEX(PERSONAL!$B$2:$B$80,MATCH($B105,PERSONAL!$A$2:$A$80,0)),"NO EXISTE"))</f>
        <v/>
      </c>
      <c r="F105" s="52">
        <f t="array" ref="F105">IF($B105="","",IFERROR(INDEX(PERSONAL!$C$2:$C$80,MATCH($B105,PERSONAL!$A$2:$A$80,0)),""))</f>
        <v/>
      </c>
      <c r="G105" s="52">
        <f>IF($A105="","",CHOOSE(WEEKDAY($A105,2),"LUNES","MARTES","MIÉRCOLES","JUEVES","VIERNES","SÁBADO","DOMINGO"))</f>
        <v/>
      </c>
      <c r="H105" s="34">
        <f>IF($A105="","",CHOOSE(MONTH($A105),"ENERO","FEBRERO","MARZO","ABRIL","MAYO","JUNIO","JULIO","AGOSTO","SEPTIEMBRE","OCTUBRE","NOVIEMBRE","DICIEMBRE"))</f>
        <v/>
      </c>
      <c r="I105" s="34">
        <f>IF($A105="","",IF(OR($G105="SÁBADO",$G105="DOMINGO"),"FIN","LV"))</f>
        <v/>
      </c>
      <c r="J105" s="34">
        <f>IF(OR($A105="",$B105=""),"",IF($L105&lt;&gt;"",UPPER($L105),IF($C105="","FALTA",IFERROR(IF($C105&gt;=$O105,"ROJO FUERTE",IF($C105&gt;=$N105,"ROJO",IF($C105&gt;=$M105,"AMARILLO","VERDE"))),"REVISAR"))))</f>
        <v/>
      </c>
      <c r="K105" s="36">
        <f>IF(OR($C105="",$D105=""),"",IF($D105&gt;=$C105,($D105-$C105)*24,(1-$C105+$D105)*24))</f>
        <v/>
      </c>
      <c r="L105" s="34" t="n"/>
      <c r="M105" s="53">
        <f t="array" ref="M105">IFERROR(INDEX(EXCEPCIONES_FECHA!$D$2:$D$201,MATCH(1,(EXCEPCIONES_FECHA!$A$2:$A$201=$A105)*(EXCEPCIONES_FECHA!$B$2:$B$201=$B105),0)),IFERROR(INDEX(EXCEPCIONES_FECHA!$D$2:$D$201,MATCH(1,(EXCEPCIONES_FECHA!$A$2:$A$201=$A105)*(EXCEPCIONES_FECHA!$B$2:$B$201=""),0)),IFERROR(INDEX(IF($I105="FIN",HISTORIAL_HORARIOS!$J$2:$J$201,HISTORIAL_HORARIOS!$F$2:$F$201),MATCH(1,(HISTORIAL_HORARIOS!$A$2:$A$201=$B105)*(HISTORIAL_HORARIOS!$C$2:$C$201&lt;=$A105)*(HISTORIAL_HORARIOS!$D$2:$D$201&gt;=$A105),0)),INDEX(IF($I105="FIN",PERSONAL!$J$2:$J$80,PERSONAL!$F$2:$F$80),MATCH($B105,PERSONAL!$A$2:$A$80,0)))))</f>
        <v/>
      </c>
      <c r="N105" s="53">
        <f t="array" ref="N105">IFERROR(INDEX(EXCEPCIONES_FECHA!$E$2:$E$201,MATCH(1,(EXCEPCIONES_FECHA!$A$2:$A$201=$A105)*(EXCEPCIONES_FECHA!$B$2:$B$201=$B105),0)),IFERROR(INDEX(EXCEPCIONES_FECHA!$E$2:$E$201,MATCH(1,(EXCEPCIONES_FECHA!$A$2:$A$201=$A105)*(EXCEPCIONES_FECHA!$B$2:$B$201=""),0)),IFERROR(INDEX(IF($I105="FIN",HISTORIAL_HORARIOS!$K$2:$K$201,HISTORIAL_HORARIOS!$G$2:$G$201),MATCH(1,(HISTORIAL_HORARIOS!$A$2:$A$201=$B105)*(HISTORIAL_HORARIOS!$C$2:$C$201&lt;=$A105)*(HISTORIAL_HORARIOS!$D$2:$D$201&gt;=$A105),0)),INDEX(IF($I105="FIN",PERSONAL!$K$2:$K$80,PERSONAL!$G$2:$G$80),MATCH($B105,PERSONAL!$A$2:$A$80,0)))))</f>
        <v/>
      </c>
      <c r="O105" s="53">
        <f t="array" ref="O105">IFERROR(INDEX(EXCEPCIONES_FECHA!$F$2:$F$201,MATCH(1,(EXCEPCIONES_FECHA!$A$2:$A$201=$A105)*(EXCEPCIONES_FECHA!$B$2:$B$201=$B105),0)),IFERROR(INDEX(EXCEPCIONES_FECHA!$F$2:$F$201,MATCH(1,(EXCEPCIONES_FECHA!$A$2:$A$201=$A105)*(EXCEPCIONES_FECHA!$B$2:$B$201=""),0)),IFERROR(INDEX(IF($I105="FIN",HISTORIAL_HORARIOS!$L$2:$L$201,HISTORIAL_HORARIOS!$H$2:$H$201),MATCH(1,(HISTORIAL_HORARIOS!$A$2:$A$201=$B105)*(HISTORIAL_HORARIOS!$C$2:$C$201&lt;=$A105)*(HISTORIAL_HORARIOS!$D$2:$D$201&gt;=$A105),0)),INDEX(IF($I105="FIN",PERSONAL!$L$2:$L$80,PERSONAL!$H$2:$H$80),MATCH($B105,PERSONAL!$A$2:$A$80,0)))))</f>
        <v/>
      </c>
    </row>
    <row r="106" ht="15" customHeight="1" s="58">
      <c r="A106" s="37" t="n"/>
      <c r="B106" s="38" t="n"/>
      <c r="C106" s="39" t="n"/>
      <c r="D106" s="39" t="n"/>
      <c r="E106" s="34">
        <f t="array" ref="E106">IF($B106="","",IFERROR(INDEX(PERSONAL!$B$2:$B$80,MATCH($B106,PERSONAL!$A$2:$A$80,0)),"NO EXISTE"))</f>
        <v/>
      </c>
      <c r="F106" s="52">
        <f t="array" ref="F106">IF($B106="","",IFERROR(INDEX(PERSONAL!$C$2:$C$80,MATCH($B106,PERSONAL!$A$2:$A$80,0)),""))</f>
        <v/>
      </c>
      <c r="G106" s="52">
        <f>IF($A106="","",CHOOSE(WEEKDAY($A106,2),"LUNES","MARTES","MIÉRCOLES","JUEVES","VIERNES","SÁBADO","DOMINGO"))</f>
        <v/>
      </c>
      <c r="H106" s="34">
        <f>IF($A106="","",CHOOSE(MONTH($A106),"ENERO","FEBRERO","MARZO","ABRIL","MAYO","JUNIO","JULIO","AGOSTO","SEPTIEMBRE","OCTUBRE","NOVIEMBRE","DICIEMBRE"))</f>
        <v/>
      </c>
      <c r="I106" s="34">
        <f>IF($A106="","",IF(OR($G106="SÁBADO",$G106="DOMINGO"),"FIN","LV"))</f>
        <v/>
      </c>
      <c r="J106" s="34">
        <f>IF(OR($A106="",$B106=""),"",IF($L106&lt;&gt;"",UPPER($L106),IF($C106="","FALTA",IFERROR(IF($C106&gt;=$O106,"ROJO FUERTE",IF($C106&gt;=$N106,"ROJO",IF($C106&gt;=$M106,"AMARILLO","VERDE"))),"REVISAR"))))</f>
        <v/>
      </c>
      <c r="K106" s="36">
        <f>IF(OR($C106="",$D106=""),"",IF($D106&gt;=$C106,($D106-$C106)*24,(1-$C106+$D106)*24))</f>
        <v/>
      </c>
      <c r="L106" s="34" t="n"/>
      <c r="M106" s="53">
        <f t="array" ref="M106">IFERROR(INDEX(EXCEPCIONES_FECHA!$D$2:$D$201,MATCH(1,(EXCEPCIONES_FECHA!$A$2:$A$201=$A106)*(EXCEPCIONES_FECHA!$B$2:$B$201=$B106),0)),IFERROR(INDEX(EXCEPCIONES_FECHA!$D$2:$D$201,MATCH(1,(EXCEPCIONES_FECHA!$A$2:$A$201=$A106)*(EXCEPCIONES_FECHA!$B$2:$B$201=""),0)),IFERROR(INDEX(IF($I106="FIN",HISTORIAL_HORARIOS!$J$2:$J$201,HISTORIAL_HORARIOS!$F$2:$F$201),MATCH(1,(HISTORIAL_HORARIOS!$A$2:$A$201=$B106)*(HISTORIAL_HORARIOS!$C$2:$C$201&lt;=$A106)*(HISTORIAL_HORARIOS!$D$2:$D$201&gt;=$A106),0)),INDEX(IF($I106="FIN",PERSONAL!$J$2:$J$80,PERSONAL!$F$2:$F$80),MATCH($B106,PERSONAL!$A$2:$A$80,0)))))</f>
        <v/>
      </c>
      <c r="N106" s="53">
        <f t="array" ref="N106">IFERROR(INDEX(EXCEPCIONES_FECHA!$E$2:$E$201,MATCH(1,(EXCEPCIONES_FECHA!$A$2:$A$201=$A106)*(EXCEPCIONES_FECHA!$B$2:$B$201=$B106),0)),IFERROR(INDEX(EXCEPCIONES_FECHA!$E$2:$E$201,MATCH(1,(EXCEPCIONES_FECHA!$A$2:$A$201=$A106)*(EXCEPCIONES_FECHA!$B$2:$B$201=""),0)),IFERROR(INDEX(IF($I106="FIN",HISTORIAL_HORARIOS!$K$2:$K$201,HISTORIAL_HORARIOS!$G$2:$G$201),MATCH(1,(HISTORIAL_HORARIOS!$A$2:$A$201=$B106)*(HISTORIAL_HORARIOS!$C$2:$C$201&lt;=$A106)*(HISTORIAL_HORARIOS!$D$2:$D$201&gt;=$A106),0)),INDEX(IF($I106="FIN",PERSONAL!$K$2:$K$80,PERSONAL!$G$2:$G$80),MATCH($B106,PERSONAL!$A$2:$A$80,0)))))</f>
        <v/>
      </c>
      <c r="O106" s="53">
        <f t="array" ref="O106">IFERROR(INDEX(EXCEPCIONES_FECHA!$F$2:$F$201,MATCH(1,(EXCEPCIONES_FECHA!$A$2:$A$201=$A106)*(EXCEPCIONES_FECHA!$B$2:$B$201=$B106),0)),IFERROR(INDEX(EXCEPCIONES_FECHA!$F$2:$F$201,MATCH(1,(EXCEPCIONES_FECHA!$A$2:$A$201=$A106)*(EXCEPCIONES_FECHA!$B$2:$B$201=""),0)),IFERROR(INDEX(IF($I106="FIN",HISTORIAL_HORARIOS!$L$2:$L$201,HISTORIAL_HORARIOS!$H$2:$H$201),MATCH(1,(HISTORIAL_HORARIOS!$A$2:$A$201=$B106)*(HISTORIAL_HORARIOS!$C$2:$C$201&lt;=$A106)*(HISTORIAL_HORARIOS!$D$2:$D$201&gt;=$A106),0)),INDEX(IF($I106="FIN",PERSONAL!$L$2:$L$80,PERSONAL!$H$2:$H$80),MATCH($B106,PERSONAL!$A$2:$A$80,0)))))</f>
        <v/>
      </c>
    </row>
    <row r="107" ht="15" customHeight="1" s="58">
      <c r="A107" s="37" t="n"/>
      <c r="B107" s="38" t="n"/>
      <c r="C107" s="39" t="n"/>
      <c r="D107" s="39" t="n"/>
      <c r="E107" s="34">
        <f t="array" ref="E107">IF($B107="","",IFERROR(INDEX(PERSONAL!$B$2:$B$80,MATCH($B107,PERSONAL!$A$2:$A$80,0)),"NO EXISTE"))</f>
        <v/>
      </c>
      <c r="F107" s="52">
        <f t="array" ref="F107">IF($B107="","",IFERROR(INDEX(PERSONAL!$C$2:$C$80,MATCH($B107,PERSONAL!$A$2:$A$80,0)),""))</f>
        <v/>
      </c>
      <c r="G107" s="52">
        <f>IF($A107="","",CHOOSE(WEEKDAY($A107,2),"LUNES","MARTES","MIÉRCOLES","JUEVES","VIERNES","SÁBADO","DOMINGO"))</f>
        <v/>
      </c>
      <c r="H107" s="34">
        <f>IF($A107="","",CHOOSE(MONTH($A107),"ENERO","FEBRERO","MARZO","ABRIL","MAYO","JUNIO","JULIO","AGOSTO","SEPTIEMBRE","OCTUBRE","NOVIEMBRE","DICIEMBRE"))</f>
        <v/>
      </c>
      <c r="I107" s="34">
        <f>IF($A107="","",IF(OR($G107="SÁBADO",$G107="DOMINGO"),"FIN","LV"))</f>
        <v/>
      </c>
      <c r="J107" s="34">
        <f>IF(OR($A107="",$B107=""),"",IF($L107&lt;&gt;"",UPPER($L107),IF($C107="","FALTA",IFERROR(IF($C107&gt;=$O107,"ROJO FUERTE",IF($C107&gt;=$N107,"ROJO",IF($C107&gt;=$M107,"AMARILLO","VERDE"))),"REVISAR"))))</f>
        <v/>
      </c>
      <c r="K107" s="36">
        <f>IF(OR($C107="",$D107=""),"",IF($D107&gt;=$C107,($D107-$C107)*24,(1-$C107+$D107)*24))</f>
        <v/>
      </c>
      <c r="L107" s="34" t="n"/>
      <c r="M107" s="53">
        <f t="array" ref="M107">IFERROR(INDEX(EXCEPCIONES_FECHA!$D$2:$D$201,MATCH(1,(EXCEPCIONES_FECHA!$A$2:$A$201=$A107)*(EXCEPCIONES_FECHA!$B$2:$B$201=$B107),0)),IFERROR(INDEX(EXCEPCIONES_FECHA!$D$2:$D$201,MATCH(1,(EXCEPCIONES_FECHA!$A$2:$A$201=$A107)*(EXCEPCIONES_FECHA!$B$2:$B$201=""),0)),IFERROR(INDEX(IF($I107="FIN",HISTORIAL_HORARIOS!$J$2:$J$201,HISTORIAL_HORARIOS!$F$2:$F$201),MATCH(1,(HISTORIAL_HORARIOS!$A$2:$A$201=$B107)*(HISTORIAL_HORARIOS!$C$2:$C$201&lt;=$A107)*(HISTORIAL_HORARIOS!$D$2:$D$201&gt;=$A107),0)),INDEX(IF($I107="FIN",PERSONAL!$J$2:$J$80,PERSONAL!$F$2:$F$80),MATCH($B107,PERSONAL!$A$2:$A$80,0)))))</f>
        <v/>
      </c>
      <c r="N107" s="53">
        <f t="array" ref="N107">IFERROR(INDEX(EXCEPCIONES_FECHA!$E$2:$E$201,MATCH(1,(EXCEPCIONES_FECHA!$A$2:$A$201=$A107)*(EXCEPCIONES_FECHA!$B$2:$B$201=$B107),0)),IFERROR(INDEX(EXCEPCIONES_FECHA!$E$2:$E$201,MATCH(1,(EXCEPCIONES_FECHA!$A$2:$A$201=$A107)*(EXCEPCIONES_FECHA!$B$2:$B$201=""),0)),IFERROR(INDEX(IF($I107="FIN",HISTORIAL_HORARIOS!$K$2:$K$201,HISTORIAL_HORARIOS!$G$2:$G$201),MATCH(1,(HISTORIAL_HORARIOS!$A$2:$A$201=$B107)*(HISTORIAL_HORARIOS!$C$2:$C$201&lt;=$A107)*(HISTORIAL_HORARIOS!$D$2:$D$201&gt;=$A107),0)),INDEX(IF($I107="FIN",PERSONAL!$K$2:$K$80,PERSONAL!$G$2:$G$80),MATCH($B107,PERSONAL!$A$2:$A$80,0)))))</f>
        <v/>
      </c>
      <c r="O107" s="53">
        <f t="array" ref="O107">IFERROR(INDEX(EXCEPCIONES_FECHA!$F$2:$F$201,MATCH(1,(EXCEPCIONES_FECHA!$A$2:$A$201=$A107)*(EXCEPCIONES_FECHA!$B$2:$B$201=$B107),0)),IFERROR(INDEX(EXCEPCIONES_FECHA!$F$2:$F$201,MATCH(1,(EXCEPCIONES_FECHA!$A$2:$A$201=$A107)*(EXCEPCIONES_FECHA!$B$2:$B$201=""),0)),IFERROR(INDEX(IF($I107="FIN",HISTORIAL_HORARIOS!$L$2:$L$201,HISTORIAL_HORARIOS!$H$2:$H$201),MATCH(1,(HISTORIAL_HORARIOS!$A$2:$A$201=$B107)*(HISTORIAL_HORARIOS!$C$2:$C$201&lt;=$A107)*(HISTORIAL_HORARIOS!$D$2:$D$201&gt;=$A107),0)),INDEX(IF($I107="FIN",PERSONAL!$L$2:$L$80,PERSONAL!$H$2:$H$80),MATCH($B107,PERSONAL!$A$2:$A$80,0)))))</f>
        <v/>
      </c>
    </row>
    <row r="108" ht="15" customHeight="1" s="58">
      <c r="A108" s="37" t="n"/>
      <c r="B108" s="38" t="n"/>
      <c r="C108" s="39" t="n"/>
      <c r="D108" s="39" t="n"/>
      <c r="E108" s="34">
        <f t="array" ref="E108">IF($B108="","",IFERROR(INDEX(PERSONAL!$B$2:$B$80,MATCH($B108,PERSONAL!$A$2:$A$80,0)),"NO EXISTE"))</f>
        <v/>
      </c>
      <c r="F108" s="52">
        <f t="array" ref="F108">IF($B108="","",IFERROR(INDEX(PERSONAL!$C$2:$C$80,MATCH($B108,PERSONAL!$A$2:$A$80,0)),""))</f>
        <v/>
      </c>
      <c r="G108" s="52">
        <f>IF($A108="","",CHOOSE(WEEKDAY($A108,2),"LUNES","MARTES","MIÉRCOLES","JUEVES","VIERNES","SÁBADO","DOMINGO"))</f>
        <v/>
      </c>
      <c r="H108" s="34">
        <f>IF($A108="","",CHOOSE(MONTH($A108),"ENERO","FEBRERO","MARZO","ABRIL","MAYO","JUNIO","JULIO","AGOSTO","SEPTIEMBRE","OCTUBRE","NOVIEMBRE","DICIEMBRE"))</f>
        <v/>
      </c>
      <c r="I108" s="34">
        <f>IF($A108="","",IF(OR($G108="SÁBADO",$G108="DOMINGO"),"FIN","LV"))</f>
        <v/>
      </c>
      <c r="J108" s="34">
        <f>IF(OR($A108="",$B108=""),"",IF($L108&lt;&gt;"",UPPER($L108),IF($C108="","FALTA",IFERROR(IF($C108&gt;=$O108,"ROJO FUERTE",IF($C108&gt;=$N108,"ROJO",IF($C108&gt;=$M108,"AMARILLO","VERDE"))),"REVISAR"))))</f>
        <v/>
      </c>
      <c r="K108" s="36">
        <f>IF(OR($C108="",$D108=""),"",IF($D108&gt;=$C108,($D108-$C108)*24,(1-$C108+$D108)*24))</f>
        <v/>
      </c>
      <c r="L108" s="34" t="n"/>
      <c r="M108" s="53">
        <f t="array" ref="M108">IFERROR(INDEX(EXCEPCIONES_FECHA!$D$2:$D$201,MATCH(1,(EXCEPCIONES_FECHA!$A$2:$A$201=$A108)*(EXCEPCIONES_FECHA!$B$2:$B$201=$B108),0)),IFERROR(INDEX(EXCEPCIONES_FECHA!$D$2:$D$201,MATCH(1,(EXCEPCIONES_FECHA!$A$2:$A$201=$A108)*(EXCEPCIONES_FECHA!$B$2:$B$201=""),0)),IFERROR(INDEX(IF($I108="FIN",HISTORIAL_HORARIOS!$J$2:$J$201,HISTORIAL_HORARIOS!$F$2:$F$201),MATCH(1,(HISTORIAL_HORARIOS!$A$2:$A$201=$B108)*(HISTORIAL_HORARIOS!$C$2:$C$201&lt;=$A108)*(HISTORIAL_HORARIOS!$D$2:$D$201&gt;=$A108),0)),INDEX(IF($I108="FIN",PERSONAL!$J$2:$J$80,PERSONAL!$F$2:$F$80),MATCH($B108,PERSONAL!$A$2:$A$80,0)))))</f>
        <v/>
      </c>
      <c r="N108" s="53">
        <f t="array" ref="N108">IFERROR(INDEX(EXCEPCIONES_FECHA!$E$2:$E$201,MATCH(1,(EXCEPCIONES_FECHA!$A$2:$A$201=$A108)*(EXCEPCIONES_FECHA!$B$2:$B$201=$B108),0)),IFERROR(INDEX(EXCEPCIONES_FECHA!$E$2:$E$201,MATCH(1,(EXCEPCIONES_FECHA!$A$2:$A$201=$A108)*(EXCEPCIONES_FECHA!$B$2:$B$201=""),0)),IFERROR(INDEX(IF($I108="FIN",HISTORIAL_HORARIOS!$K$2:$K$201,HISTORIAL_HORARIOS!$G$2:$G$201),MATCH(1,(HISTORIAL_HORARIOS!$A$2:$A$201=$B108)*(HISTORIAL_HORARIOS!$C$2:$C$201&lt;=$A108)*(HISTORIAL_HORARIOS!$D$2:$D$201&gt;=$A108),0)),INDEX(IF($I108="FIN",PERSONAL!$K$2:$K$80,PERSONAL!$G$2:$G$80),MATCH($B108,PERSONAL!$A$2:$A$80,0)))))</f>
        <v/>
      </c>
      <c r="O108" s="53">
        <f t="array" ref="O108">IFERROR(INDEX(EXCEPCIONES_FECHA!$F$2:$F$201,MATCH(1,(EXCEPCIONES_FECHA!$A$2:$A$201=$A108)*(EXCEPCIONES_FECHA!$B$2:$B$201=$B108),0)),IFERROR(INDEX(EXCEPCIONES_FECHA!$F$2:$F$201,MATCH(1,(EXCEPCIONES_FECHA!$A$2:$A$201=$A108)*(EXCEPCIONES_FECHA!$B$2:$B$201=""),0)),IFERROR(INDEX(IF($I108="FIN",HISTORIAL_HORARIOS!$L$2:$L$201,HISTORIAL_HORARIOS!$H$2:$H$201),MATCH(1,(HISTORIAL_HORARIOS!$A$2:$A$201=$B108)*(HISTORIAL_HORARIOS!$C$2:$C$201&lt;=$A108)*(HISTORIAL_HORARIOS!$D$2:$D$201&gt;=$A108),0)),INDEX(IF($I108="FIN",PERSONAL!$L$2:$L$80,PERSONAL!$H$2:$H$80),MATCH($B108,PERSONAL!$A$2:$A$80,0)))))</f>
        <v/>
      </c>
    </row>
    <row r="109" ht="15" customHeight="1" s="58">
      <c r="A109" s="37" t="n"/>
      <c r="B109" s="38" t="n"/>
      <c r="C109" s="39" t="n"/>
      <c r="D109" s="39" t="n"/>
      <c r="E109" s="34">
        <f t="array" ref="E109">IF($B109="","",IFERROR(INDEX(PERSONAL!$B$2:$B$80,MATCH($B109,PERSONAL!$A$2:$A$80,0)),"NO EXISTE"))</f>
        <v/>
      </c>
      <c r="F109" s="52">
        <f t="array" ref="F109">IF($B109="","",IFERROR(INDEX(PERSONAL!$C$2:$C$80,MATCH($B109,PERSONAL!$A$2:$A$80,0)),""))</f>
        <v/>
      </c>
      <c r="G109" s="52">
        <f>IF($A109="","",CHOOSE(WEEKDAY($A109,2),"LUNES","MARTES","MIÉRCOLES","JUEVES","VIERNES","SÁBADO","DOMINGO"))</f>
        <v/>
      </c>
      <c r="H109" s="34">
        <f>IF($A109="","",CHOOSE(MONTH($A109),"ENERO","FEBRERO","MARZO","ABRIL","MAYO","JUNIO","JULIO","AGOSTO","SEPTIEMBRE","OCTUBRE","NOVIEMBRE","DICIEMBRE"))</f>
        <v/>
      </c>
      <c r="I109" s="34">
        <f>IF($A109="","",IF(OR($G109="SÁBADO",$G109="DOMINGO"),"FIN","LV"))</f>
        <v/>
      </c>
      <c r="J109" s="34">
        <f>IF(OR($A109="",$B109=""),"",IF($L109&lt;&gt;"",UPPER($L109),IF($C109="","FALTA",IFERROR(IF($C109&gt;=$O109,"ROJO FUERTE",IF($C109&gt;=$N109,"ROJO",IF($C109&gt;=$M109,"AMARILLO","VERDE"))),"REVISAR"))))</f>
        <v/>
      </c>
      <c r="K109" s="36">
        <f>IF(OR($C109="",$D109=""),"",IF($D109&gt;=$C109,($D109-$C109)*24,(1-$C109+$D109)*24))</f>
        <v/>
      </c>
      <c r="L109" s="34" t="n"/>
      <c r="M109" s="53">
        <f t="array" ref="M109">IFERROR(INDEX(EXCEPCIONES_FECHA!$D$2:$D$201,MATCH(1,(EXCEPCIONES_FECHA!$A$2:$A$201=$A109)*(EXCEPCIONES_FECHA!$B$2:$B$201=$B109),0)),IFERROR(INDEX(EXCEPCIONES_FECHA!$D$2:$D$201,MATCH(1,(EXCEPCIONES_FECHA!$A$2:$A$201=$A109)*(EXCEPCIONES_FECHA!$B$2:$B$201=""),0)),IFERROR(INDEX(IF($I109="FIN",HISTORIAL_HORARIOS!$J$2:$J$201,HISTORIAL_HORARIOS!$F$2:$F$201),MATCH(1,(HISTORIAL_HORARIOS!$A$2:$A$201=$B109)*(HISTORIAL_HORARIOS!$C$2:$C$201&lt;=$A109)*(HISTORIAL_HORARIOS!$D$2:$D$201&gt;=$A109),0)),INDEX(IF($I109="FIN",PERSONAL!$J$2:$J$80,PERSONAL!$F$2:$F$80),MATCH($B109,PERSONAL!$A$2:$A$80,0)))))</f>
        <v/>
      </c>
      <c r="N109" s="53">
        <f t="array" ref="N109">IFERROR(INDEX(EXCEPCIONES_FECHA!$E$2:$E$201,MATCH(1,(EXCEPCIONES_FECHA!$A$2:$A$201=$A109)*(EXCEPCIONES_FECHA!$B$2:$B$201=$B109),0)),IFERROR(INDEX(EXCEPCIONES_FECHA!$E$2:$E$201,MATCH(1,(EXCEPCIONES_FECHA!$A$2:$A$201=$A109)*(EXCEPCIONES_FECHA!$B$2:$B$201=""),0)),IFERROR(INDEX(IF($I109="FIN",HISTORIAL_HORARIOS!$K$2:$K$201,HISTORIAL_HORARIOS!$G$2:$G$201),MATCH(1,(HISTORIAL_HORARIOS!$A$2:$A$201=$B109)*(HISTORIAL_HORARIOS!$C$2:$C$201&lt;=$A109)*(HISTORIAL_HORARIOS!$D$2:$D$201&gt;=$A109),0)),INDEX(IF($I109="FIN",PERSONAL!$K$2:$K$80,PERSONAL!$G$2:$G$80),MATCH($B109,PERSONAL!$A$2:$A$80,0)))))</f>
        <v/>
      </c>
      <c r="O109" s="53">
        <f t="array" ref="O109">IFERROR(INDEX(EXCEPCIONES_FECHA!$F$2:$F$201,MATCH(1,(EXCEPCIONES_FECHA!$A$2:$A$201=$A109)*(EXCEPCIONES_FECHA!$B$2:$B$201=$B109),0)),IFERROR(INDEX(EXCEPCIONES_FECHA!$F$2:$F$201,MATCH(1,(EXCEPCIONES_FECHA!$A$2:$A$201=$A109)*(EXCEPCIONES_FECHA!$B$2:$B$201=""),0)),IFERROR(INDEX(IF($I109="FIN",HISTORIAL_HORARIOS!$L$2:$L$201,HISTORIAL_HORARIOS!$H$2:$H$201),MATCH(1,(HISTORIAL_HORARIOS!$A$2:$A$201=$B109)*(HISTORIAL_HORARIOS!$C$2:$C$201&lt;=$A109)*(HISTORIAL_HORARIOS!$D$2:$D$201&gt;=$A109),0)),INDEX(IF($I109="FIN",PERSONAL!$L$2:$L$80,PERSONAL!$H$2:$H$80),MATCH($B109,PERSONAL!$A$2:$A$80,0)))))</f>
        <v/>
      </c>
    </row>
    <row r="110" ht="15" customHeight="1" s="58">
      <c r="A110" s="37" t="n"/>
      <c r="B110" s="38" t="n"/>
      <c r="C110" s="39" t="n"/>
      <c r="D110" s="39" t="n"/>
      <c r="E110" s="34">
        <f t="array" ref="E110">IF($B110="","",IFERROR(INDEX(PERSONAL!$B$2:$B$80,MATCH($B110,PERSONAL!$A$2:$A$80,0)),"NO EXISTE"))</f>
        <v/>
      </c>
      <c r="F110" s="52">
        <f t="array" ref="F110">IF($B110="","",IFERROR(INDEX(PERSONAL!$C$2:$C$80,MATCH($B110,PERSONAL!$A$2:$A$80,0)),""))</f>
        <v/>
      </c>
      <c r="G110" s="52">
        <f>IF($A110="","",CHOOSE(WEEKDAY($A110,2),"LUNES","MARTES","MIÉRCOLES","JUEVES","VIERNES","SÁBADO","DOMINGO"))</f>
        <v/>
      </c>
      <c r="H110" s="34">
        <f>IF($A110="","",CHOOSE(MONTH($A110),"ENERO","FEBRERO","MARZO","ABRIL","MAYO","JUNIO","JULIO","AGOSTO","SEPTIEMBRE","OCTUBRE","NOVIEMBRE","DICIEMBRE"))</f>
        <v/>
      </c>
      <c r="I110" s="34">
        <f>IF($A110="","",IF(OR($G110="SÁBADO",$G110="DOMINGO"),"FIN","LV"))</f>
        <v/>
      </c>
      <c r="J110" s="34">
        <f>IF(OR($A110="",$B110=""),"",IF($L110&lt;&gt;"",UPPER($L110),IF($C110="","FALTA",IFERROR(IF($C110&gt;=$O110,"ROJO FUERTE",IF($C110&gt;=$N110,"ROJO",IF($C110&gt;=$M110,"AMARILLO","VERDE"))),"REVISAR"))))</f>
        <v/>
      </c>
      <c r="K110" s="36">
        <f>IF(OR($C110="",$D110=""),"",IF($D110&gt;=$C110,($D110-$C110)*24,(1-$C110+$D110)*24))</f>
        <v/>
      </c>
      <c r="L110" s="34" t="n"/>
      <c r="M110" s="53">
        <f t="array" ref="M110">IFERROR(INDEX(EXCEPCIONES_FECHA!$D$2:$D$201,MATCH(1,(EXCEPCIONES_FECHA!$A$2:$A$201=$A110)*(EXCEPCIONES_FECHA!$B$2:$B$201=$B110),0)),IFERROR(INDEX(EXCEPCIONES_FECHA!$D$2:$D$201,MATCH(1,(EXCEPCIONES_FECHA!$A$2:$A$201=$A110)*(EXCEPCIONES_FECHA!$B$2:$B$201=""),0)),IFERROR(INDEX(IF($I110="FIN",HISTORIAL_HORARIOS!$J$2:$J$201,HISTORIAL_HORARIOS!$F$2:$F$201),MATCH(1,(HISTORIAL_HORARIOS!$A$2:$A$201=$B110)*(HISTORIAL_HORARIOS!$C$2:$C$201&lt;=$A110)*(HISTORIAL_HORARIOS!$D$2:$D$201&gt;=$A110),0)),INDEX(IF($I110="FIN",PERSONAL!$J$2:$J$80,PERSONAL!$F$2:$F$80),MATCH($B110,PERSONAL!$A$2:$A$80,0)))))</f>
        <v/>
      </c>
      <c r="N110" s="53">
        <f t="array" ref="N110">IFERROR(INDEX(EXCEPCIONES_FECHA!$E$2:$E$201,MATCH(1,(EXCEPCIONES_FECHA!$A$2:$A$201=$A110)*(EXCEPCIONES_FECHA!$B$2:$B$201=$B110),0)),IFERROR(INDEX(EXCEPCIONES_FECHA!$E$2:$E$201,MATCH(1,(EXCEPCIONES_FECHA!$A$2:$A$201=$A110)*(EXCEPCIONES_FECHA!$B$2:$B$201=""),0)),IFERROR(INDEX(IF($I110="FIN",HISTORIAL_HORARIOS!$K$2:$K$201,HISTORIAL_HORARIOS!$G$2:$G$201),MATCH(1,(HISTORIAL_HORARIOS!$A$2:$A$201=$B110)*(HISTORIAL_HORARIOS!$C$2:$C$201&lt;=$A110)*(HISTORIAL_HORARIOS!$D$2:$D$201&gt;=$A110),0)),INDEX(IF($I110="FIN",PERSONAL!$K$2:$K$80,PERSONAL!$G$2:$G$80),MATCH($B110,PERSONAL!$A$2:$A$80,0)))))</f>
        <v/>
      </c>
      <c r="O110" s="53">
        <f t="array" ref="O110">IFERROR(INDEX(EXCEPCIONES_FECHA!$F$2:$F$201,MATCH(1,(EXCEPCIONES_FECHA!$A$2:$A$201=$A110)*(EXCEPCIONES_FECHA!$B$2:$B$201=$B110),0)),IFERROR(INDEX(EXCEPCIONES_FECHA!$F$2:$F$201,MATCH(1,(EXCEPCIONES_FECHA!$A$2:$A$201=$A110)*(EXCEPCIONES_FECHA!$B$2:$B$201=""),0)),IFERROR(INDEX(IF($I110="FIN",HISTORIAL_HORARIOS!$L$2:$L$201,HISTORIAL_HORARIOS!$H$2:$H$201),MATCH(1,(HISTORIAL_HORARIOS!$A$2:$A$201=$B110)*(HISTORIAL_HORARIOS!$C$2:$C$201&lt;=$A110)*(HISTORIAL_HORARIOS!$D$2:$D$201&gt;=$A110),0)),INDEX(IF($I110="FIN",PERSONAL!$L$2:$L$80,PERSONAL!$H$2:$H$80),MATCH($B110,PERSONAL!$A$2:$A$80,0)))))</f>
        <v/>
      </c>
    </row>
    <row r="111" ht="15" customHeight="1" s="58">
      <c r="A111" s="37" t="n"/>
      <c r="B111" s="38" t="n"/>
      <c r="C111" s="39" t="n"/>
      <c r="D111" s="39" t="n"/>
      <c r="E111" s="34">
        <f t="array" ref="E111">IF($B111="","",IFERROR(INDEX(PERSONAL!$B$2:$B$80,MATCH($B111,PERSONAL!$A$2:$A$80,0)),"NO EXISTE"))</f>
        <v/>
      </c>
      <c r="F111" s="52">
        <f t="array" ref="F111">IF($B111="","",IFERROR(INDEX(PERSONAL!$C$2:$C$80,MATCH($B111,PERSONAL!$A$2:$A$80,0)),""))</f>
        <v/>
      </c>
      <c r="G111" s="52">
        <f>IF($A111="","",CHOOSE(WEEKDAY($A111,2),"LUNES","MARTES","MIÉRCOLES","JUEVES","VIERNES","SÁBADO","DOMINGO"))</f>
        <v/>
      </c>
      <c r="H111" s="34">
        <f>IF($A111="","",CHOOSE(MONTH($A111),"ENERO","FEBRERO","MARZO","ABRIL","MAYO","JUNIO","JULIO","AGOSTO","SEPTIEMBRE","OCTUBRE","NOVIEMBRE","DICIEMBRE"))</f>
        <v/>
      </c>
      <c r="I111" s="34">
        <f>IF($A111="","",IF(OR($G111="SÁBADO",$G111="DOMINGO"),"FIN","LV"))</f>
        <v/>
      </c>
      <c r="J111" s="34">
        <f>IF(OR($A111="",$B111=""),"",IF($L111&lt;&gt;"",UPPER($L111),IF($C111="","FALTA",IFERROR(IF($C111&gt;=$O111,"ROJO FUERTE",IF($C111&gt;=$N111,"ROJO",IF($C111&gt;=$M111,"AMARILLO","VERDE"))),"REVISAR"))))</f>
        <v/>
      </c>
      <c r="K111" s="36">
        <f>IF(OR($C111="",$D111=""),"",IF($D111&gt;=$C111,($D111-$C111)*24,(1-$C111+$D111)*24))</f>
        <v/>
      </c>
      <c r="L111" s="34" t="n"/>
      <c r="M111" s="53">
        <f t="array" ref="M111">IFERROR(INDEX(EXCEPCIONES_FECHA!$D$2:$D$201,MATCH(1,(EXCEPCIONES_FECHA!$A$2:$A$201=$A111)*(EXCEPCIONES_FECHA!$B$2:$B$201=$B111),0)),IFERROR(INDEX(EXCEPCIONES_FECHA!$D$2:$D$201,MATCH(1,(EXCEPCIONES_FECHA!$A$2:$A$201=$A111)*(EXCEPCIONES_FECHA!$B$2:$B$201=""),0)),IFERROR(INDEX(IF($I111="FIN",HISTORIAL_HORARIOS!$J$2:$J$201,HISTORIAL_HORARIOS!$F$2:$F$201),MATCH(1,(HISTORIAL_HORARIOS!$A$2:$A$201=$B111)*(HISTORIAL_HORARIOS!$C$2:$C$201&lt;=$A111)*(HISTORIAL_HORARIOS!$D$2:$D$201&gt;=$A111),0)),INDEX(IF($I111="FIN",PERSONAL!$J$2:$J$80,PERSONAL!$F$2:$F$80),MATCH($B111,PERSONAL!$A$2:$A$80,0)))))</f>
        <v/>
      </c>
      <c r="N111" s="53">
        <f t="array" ref="N111">IFERROR(INDEX(EXCEPCIONES_FECHA!$E$2:$E$201,MATCH(1,(EXCEPCIONES_FECHA!$A$2:$A$201=$A111)*(EXCEPCIONES_FECHA!$B$2:$B$201=$B111),0)),IFERROR(INDEX(EXCEPCIONES_FECHA!$E$2:$E$201,MATCH(1,(EXCEPCIONES_FECHA!$A$2:$A$201=$A111)*(EXCEPCIONES_FECHA!$B$2:$B$201=""),0)),IFERROR(INDEX(IF($I111="FIN",HISTORIAL_HORARIOS!$K$2:$K$201,HISTORIAL_HORARIOS!$G$2:$G$201),MATCH(1,(HISTORIAL_HORARIOS!$A$2:$A$201=$B111)*(HISTORIAL_HORARIOS!$C$2:$C$201&lt;=$A111)*(HISTORIAL_HORARIOS!$D$2:$D$201&gt;=$A111),0)),INDEX(IF($I111="FIN",PERSONAL!$K$2:$K$80,PERSONAL!$G$2:$G$80),MATCH($B111,PERSONAL!$A$2:$A$80,0)))))</f>
        <v/>
      </c>
      <c r="O111" s="53">
        <f t="array" ref="O111">IFERROR(INDEX(EXCEPCIONES_FECHA!$F$2:$F$201,MATCH(1,(EXCEPCIONES_FECHA!$A$2:$A$201=$A111)*(EXCEPCIONES_FECHA!$B$2:$B$201=$B111),0)),IFERROR(INDEX(EXCEPCIONES_FECHA!$F$2:$F$201,MATCH(1,(EXCEPCIONES_FECHA!$A$2:$A$201=$A111)*(EXCEPCIONES_FECHA!$B$2:$B$201=""),0)),IFERROR(INDEX(IF($I111="FIN",HISTORIAL_HORARIOS!$L$2:$L$201,HISTORIAL_HORARIOS!$H$2:$H$201),MATCH(1,(HISTORIAL_HORARIOS!$A$2:$A$201=$B111)*(HISTORIAL_HORARIOS!$C$2:$C$201&lt;=$A111)*(HISTORIAL_HORARIOS!$D$2:$D$201&gt;=$A111),0)),INDEX(IF($I111="FIN",PERSONAL!$L$2:$L$80,PERSONAL!$H$2:$H$80),MATCH($B111,PERSONAL!$A$2:$A$80,0)))))</f>
        <v/>
      </c>
    </row>
    <row r="112" ht="15" customHeight="1" s="58">
      <c r="A112" s="37" t="n"/>
      <c r="B112" s="38" t="n"/>
      <c r="C112" s="39" t="n"/>
      <c r="D112" s="39" t="n"/>
      <c r="E112" s="34">
        <f t="array" ref="E112">IF($B112="","",IFERROR(INDEX(PERSONAL!$B$2:$B$80,MATCH($B112,PERSONAL!$A$2:$A$80,0)),"NO EXISTE"))</f>
        <v/>
      </c>
      <c r="F112" s="52">
        <f t="array" ref="F112">IF($B112="","",IFERROR(INDEX(PERSONAL!$C$2:$C$80,MATCH($B112,PERSONAL!$A$2:$A$80,0)),""))</f>
        <v/>
      </c>
      <c r="G112" s="52">
        <f>IF($A112="","",CHOOSE(WEEKDAY($A112,2),"LUNES","MARTES","MIÉRCOLES","JUEVES","VIERNES","SÁBADO","DOMINGO"))</f>
        <v/>
      </c>
      <c r="H112" s="34">
        <f>IF($A112="","",CHOOSE(MONTH($A112),"ENERO","FEBRERO","MARZO","ABRIL","MAYO","JUNIO","JULIO","AGOSTO","SEPTIEMBRE","OCTUBRE","NOVIEMBRE","DICIEMBRE"))</f>
        <v/>
      </c>
      <c r="I112" s="34">
        <f>IF($A112="","",IF(OR($G112="SÁBADO",$G112="DOMINGO"),"FIN","LV"))</f>
        <v/>
      </c>
      <c r="J112" s="34">
        <f>IF(OR($A112="",$B112=""),"",IF($L112&lt;&gt;"",UPPER($L112),IF($C112="","FALTA",IFERROR(IF($C112&gt;=$O112,"ROJO FUERTE",IF($C112&gt;=$N112,"ROJO",IF($C112&gt;=$M112,"AMARILLO","VERDE"))),"REVISAR"))))</f>
        <v/>
      </c>
      <c r="K112" s="36">
        <f>IF(OR($C112="",$D112=""),"",IF($D112&gt;=$C112,($D112-$C112)*24,(1-$C112+$D112)*24))</f>
        <v/>
      </c>
      <c r="L112" s="34" t="n"/>
      <c r="M112" s="53">
        <f t="array" ref="M112">IFERROR(INDEX(EXCEPCIONES_FECHA!$D$2:$D$201,MATCH(1,(EXCEPCIONES_FECHA!$A$2:$A$201=$A112)*(EXCEPCIONES_FECHA!$B$2:$B$201=$B112),0)),IFERROR(INDEX(EXCEPCIONES_FECHA!$D$2:$D$201,MATCH(1,(EXCEPCIONES_FECHA!$A$2:$A$201=$A112)*(EXCEPCIONES_FECHA!$B$2:$B$201=""),0)),IFERROR(INDEX(IF($I112="FIN",HISTORIAL_HORARIOS!$J$2:$J$201,HISTORIAL_HORARIOS!$F$2:$F$201),MATCH(1,(HISTORIAL_HORARIOS!$A$2:$A$201=$B112)*(HISTORIAL_HORARIOS!$C$2:$C$201&lt;=$A112)*(HISTORIAL_HORARIOS!$D$2:$D$201&gt;=$A112),0)),INDEX(IF($I112="FIN",PERSONAL!$J$2:$J$80,PERSONAL!$F$2:$F$80),MATCH($B112,PERSONAL!$A$2:$A$80,0)))))</f>
        <v/>
      </c>
      <c r="N112" s="53">
        <f t="array" ref="N112">IFERROR(INDEX(EXCEPCIONES_FECHA!$E$2:$E$201,MATCH(1,(EXCEPCIONES_FECHA!$A$2:$A$201=$A112)*(EXCEPCIONES_FECHA!$B$2:$B$201=$B112),0)),IFERROR(INDEX(EXCEPCIONES_FECHA!$E$2:$E$201,MATCH(1,(EXCEPCIONES_FECHA!$A$2:$A$201=$A112)*(EXCEPCIONES_FECHA!$B$2:$B$201=""),0)),IFERROR(INDEX(IF($I112="FIN",HISTORIAL_HORARIOS!$K$2:$K$201,HISTORIAL_HORARIOS!$G$2:$G$201),MATCH(1,(HISTORIAL_HORARIOS!$A$2:$A$201=$B112)*(HISTORIAL_HORARIOS!$C$2:$C$201&lt;=$A112)*(HISTORIAL_HORARIOS!$D$2:$D$201&gt;=$A112),0)),INDEX(IF($I112="FIN",PERSONAL!$K$2:$K$80,PERSONAL!$G$2:$G$80),MATCH($B112,PERSONAL!$A$2:$A$80,0)))))</f>
        <v/>
      </c>
      <c r="O112" s="53">
        <f t="array" ref="O112">IFERROR(INDEX(EXCEPCIONES_FECHA!$F$2:$F$201,MATCH(1,(EXCEPCIONES_FECHA!$A$2:$A$201=$A112)*(EXCEPCIONES_FECHA!$B$2:$B$201=$B112),0)),IFERROR(INDEX(EXCEPCIONES_FECHA!$F$2:$F$201,MATCH(1,(EXCEPCIONES_FECHA!$A$2:$A$201=$A112)*(EXCEPCIONES_FECHA!$B$2:$B$201=""),0)),IFERROR(INDEX(IF($I112="FIN",HISTORIAL_HORARIOS!$L$2:$L$201,HISTORIAL_HORARIOS!$H$2:$H$201),MATCH(1,(HISTORIAL_HORARIOS!$A$2:$A$201=$B112)*(HISTORIAL_HORARIOS!$C$2:$C$201&lt;=$A112)*(HISTORIAL_HORARIOS!$D$2:$D$201&gt;=$A112),0)),INDEX(IF($I112="FIN",PERSONAL!$L$2:$L$80,PERSONAL!$H$2:$H$80),MATCH($B112,PERSONAL!$A$2:$A$80,0)))))</f>
        <v/>
      </c>
    </row>
    <row r="113" ht="15" customHeight="1" s="58">
      <c r="A113" s="37" t="n"/>
      <c r="B113" s="38" t="n"/>
      <c r="C113" s="39" t="n"/>
      <c r="D113" s="39" t="n"/>
      <c r="E113" s="34">
        <f t="array" ref="E113">IF($B113="","",IFERROR(INDEX(PERSONAL!$B$2:$B$80,MATCH($B113,PERSONAL!$A$2:$A$80,0)),"NO EXISTE"))</f>
        <v/>
      </c>
      <c r="F113" s="52">
        <f t="array" ref="F113">IF($B113="","",IFERROR(INDEX(PERSONAL!$C$2:$C$80,MATCH($B113,PERSONAL!$A$2:$A$80,0)),""))</f>
        <v/>
      </c>
      <c r="G113" s="52">
        <f>IF($A113="","",CHOOSE(WEEKDAY($A113,2),"LUNES","MARTES","MIÉRCOLES","JUEVES","VIERNES","SÁBADO","DOMINGO"))</f>
        <v/>
      </c>
      <c r="H113" s="34">
        <f>IF($A113="","",CHOOSE(MONTH($A113),"ENERO","FEBRERO","MARZO","ABRIL","MAYO","JUNIO","JULIO","AGOSTO","SEPTIEMBRE","OCTUBRE","NOVIEMBRE","DICIEMBRE"))</f>
        <v/>
      </c>
      <c r="I113" s="34">
        <f>IF($A113="","",IF(OR($G113="SÁBADO",$G113="DOMINGO"),"FIN","LV"))</f>
        <v/>
      </c>
      <c r="J113" s="34">
        <f>IF(OR($A113="",$B113=""),"",IF($L113&lt;&gt;"",UPPER($L113),IF($C113="","FALTA",IFERROR(IF($C113&gt;=$O113,"ROJO FUERTE",IF($C113&gt;=$N113,"ROJO",IF($C113&gt;=$M113,"AMARILLO","VERDE"))),"REVISAR"))))</f>
        <v/>
      </c>
      <c r="K113" s="36">
        <f>IF(OR($C113="",$D113=""),"",IF($D113&gt;=$C113,($D113-$C113)*24,(1-$C113+$D113)*24))</f>
        <v/>
      </c>
      <c r="L113" s="34" t="n"/>
      <c r="M113" s="53">
        <f t="array" ref="M113">IFERROR(INDEX(EXCEPCIONES_FECHA!$D$2:$D$201,MATCH(1,(EXCEPCIONES_FECHA!$A$2:$A$201=$A113)*(EXCEPCIONES_FECHA!$B$2:$B$201=$B113),0)),IFERROR(INDEX(EXCEPCIONES_FECHA!$D$2:$D$201,MATCH(1,(EXCEPCIONES_FECHA!$A$2:$A$201=$A113)*(EXCEPCIONES_FECHA!$B$2:$B$201=""),0)),IFERROR(INDEX(IF($I113="FIN",HISTORIAL_HORARIOS!$J$2:$J$201,HISTORIAL_HORARIOS!$F$2:$F$201),MATCH(1,(HISTORIAL_HORARIOS!$A$2:$A$201=$B113)*(HISTORIAL_HORARIOS!$C$2:$C$201&lt;=$A113)*(HISTORIAL_HORARIOS!$D$2:$D$201&gt;=$A113),0)),INDEX(IF($I113="FIN",PERSONAL!$J$2:$J$80,PERSONAL!$F$2:$F$80),MATCH($B113,PERSONAL!$A$2:$A$80,0)))))</f>
        <v/>
      </c>
      <c r="N113" s="53">
        <f t="array" ref="N113">IFERROR(INDEX(EXCEPCIONES_FECHA!$E$2:$E$201,MATCH(1,(EXCEPCIONES_FECHA!$A$2:$A$201=$A113)*(EXCEPCIONES_FECHA!$B$2:$B$201=$B113),0)),IFERROR(INDEX(EXCEPCIONES_FECHA!$E$2:$E$201,MATCH(1,(EXCEPCIONES_FECHA!$A$2:$A$201=$A113)*(EXCEPCIONES_FECHA!$B$2:$B$201=""),0)),IFERROR(INDEX(IF($I113="FIN",HISTORIAL_HORARIOS!$K$2:$K$201,HISTORIAL_HORARIOS!$G$2:$G$201),MATCH(1,(HISTORIAL_HORARIOS!$A$2:$A$201=$B113)*(HISTORIAL_HORARIOS!$C$2:$C$201&lt;=$A113)*(HISTORIAL_HORARIOS!$D$2:$D$201&gt;=$A113),0)),INDEX(IF($I113="FIN",PERSONAL!$K$2:$K$80,PERSONAL!$G$2:$G$80),MATCH($B113,PERSONAL!$A$2:$A$80,0)))))</f>
        <v/>
      </c>
      <c r="O113" s="53">
        <f t="array" ref="O113">IFERROR(INDEX(EXCEPCIONES_FECHA!$F$2:$F$201,MATCH(1,(EXCEPCIONES_FECHA!$A$2:$A$201=$A113)*(EXCEPCIONES_FECHA!$B$2:$B$201=$B113),0)),IFERROR(INDEX(EXCEPCIONES_FECHA!$F$2:$F$201,MATCH(1,(EXCEPCIONES_FECHA!$A$2:$A$201=$A113)*(EXCEPCIONES_FECHA!$B$2:$B$201=""),0)),IFERROR(INDEX(IF($I113="FIN",HISTORIAL_HORARIOS!$L$2:$L$201,HISTORIAL_HORARIOS!$H$2:$H$201),MATCH(1,(HISTORIAL_HORARIOS!$A$2:$A$201=$B113)*(HISTORIAL_HORARIOS!$C$2:$C$201&lt;=$A113)*(HISTORIAL_HORARIOS!$D$2:$D$201&gt;=$A113),0)),INDEX(IF($I113="FIN",PERSONAL!$L$2:$L$80,PERSONAL!$H$2:$H$80),MATCH($B113,PERSONAL!$A$2:$A$80,0)))))</f>
        <v/>
      </c>
    </row>
    <row r="114" ht="15" customHeight="1" s="58">
      <c r="A114" s="37" t="n"/>
      <c r="B114" s="38" t="n"/>
      <c r="C114" s="39" t="n"/>
      <c r="D114" s="39" t="n"/>
      <c r="E114" s="34">
        <f t="array" ref="E114">IF($B114="","",IFERROR(INDEX(PERSONAL!$B$2:$B$80,MATCH($B114,PERSONAL!$A$2:$A$80,0)),"NO EXISTE"))</f>
        <v/>
      </c>
      <c r="F114" s="52">
        <f t="array" ref="F114">IF($B114="","",IFERROR(INDEX(PERSONAL!$C$2:$C$80,MATCH($B114,PERSONAL!$A$2:$A$80,0)),""))</f>
        <v/>
      </c>
      <c r="G114" s="52">
        <f>IF($A114="","",CHOOSE(WEEKDAY($A114,2),"LUNES","MARTES","MIÉRCOLES","JUEVES","VIERNES","SÁBADO","DOMINGO"))</f>
        <v/>
      </c>
      <c r="H114" s="34">
        <f>IF($A114="","",CHOOSE(MONTH($A114),"ENERO","FEBRERO","MARZO","ABRIL","MAYO","JUNIO","JULIO","AGOSTO","SEPTIEMBRE","OCTUBRE","NOVIEMBRE","DICIEMBRE"))</f>
        <v/>
      </c>
      <c r="I114" s="34">
        <f>IF($A114="","",IF(OR($G114="SÁBADO",$G114="DOMINGO"),"FIN","LV"))</f>
        <v/>
      </c>
      <c r="J114" s="34">
        <f>IF(OR($A114="",$B114=""),"",IF($L114&lt;&gt;"",UPPER($L114),IF($C114="","FALTA",IFERROR(IF($C114&gt;=$O114,"ROJO FUERTE",IF($C114&gt;=$N114,"ROJO",IF($C114&gt;=$M114,"AMARILLO","VERDE"))),"REVISAR"))))</f>
        <v/>
      </c>
      <c r="K114" s="36">
        <f>IF(OR($C114="",$D114=""),"",IF($D114&gt;=$C114,($D114-$C114)*24,(1-$C114+$D114)*24))</f>
        <v/>
      </c>
      <c r="L114" s="34" t="n"/>
      <c r="M114" s="53">
        <f t="array" ref="M114">IFERROR(INDEX(EXCEPCIONES_FECHA!$D$2:$D$201,MATCH(1,(EXCEPCIONES_FECHA!$A$2:$A$201=$A114)*(EXCEPCIONES_FECHA!$B$2:$B$201=$B114),0)),IFERROR(INDEX(EXCEPCIONES_FECHA!$D$2:$D$201,MATCH(1,(EXCEPCIONES_FECHA!$A$2:$A$201=$A114)*(EXCEPCIONES_FECHA!$B$2:$B$201=""),0)),IFERROR(INDEX(IF($I114="FIN",HISTORIAL_HORARIOS!$J$2:$J$201,HISTORIAL_HORARIOS!$F$2:$F$201),MATCH(1,(HISTORIAL_HORARIOS!$A$2:$A$201=$B114)*(HISTORIAL_HORARIOS!$C$2:$C$201&lt;=$A114)*(HISTORIAL_HORARIOS!$D$2:$D$201&gt;=$A114),0)),INDEX(IF($I114="FIN",PERSONAL!$J$2:$J$80,PERSONAL!$F$2:$F$80),MATCH($B114,PERSONAL!$A$2:$A$80,0)))))</f>
        <v/>
      </c>
      <c r="N114" s="53">
        <f t="array" ref="N114">IFERROR(INDEX(EXCEPCIONES_FECHA!$E$2:$E$201,MATCH(1,(EXCEPCIONES_FECHA!$A$2:$A$201=$A114)*(EXCEPCIONES_FECHA!$B$2:$B$201=$B114),0)),IFERROR(INDEX(EXCEPCIONES_FECHA!$E$2:$E$201,MATCH(1,(EXCEPCIONES_FECHA!$A$2:$A$201=$A114)*(EXCEPCIONES_FECHA!$B$2:$B$201=""),0)),IFERROR(INDEX(IF($I114="FIN",HISTORIAL_HORARIOS!$K$2:$K$201,HISTORIAL_HORARIOS!$G$2:$G$201),MATCH(1,(HISTORIAL_HORARIOS!$A$2:$A$201=$B114)*(HISTORIAL_HORARIOS!$C$2:$C$201&lt;=$A114)*(HISTORIAL_HORARIOS!$D$2:$D$201&gt;=$A114),0)),INDEX(IF($I114="FIN",PERSONAL!$K$2:$K$80,PERSONAL!$G$2:$G$80),MATCH($B114,PERSONAL!$A$2:$A$80,0)))))</f>
        <v/>
      </c>
      <c r="O114" s="53">
        <f t="array" ref="O114">IFERROR(INDEX(EXCEPCIONES_FECHA!$F$2:$F$201,MATCH(1,(EXCEPCIONES_FECHA!$A$2:$A$201=$A114)*(EXCEPCIONES_FECHA!$B$2:$B$201=$B114),0)),IFERROR(INDEX(EXCEPCIONES_FECHA!$F$2:$F$201,MATCH(1,(EXCEPCIONES_FECHA!$A$2:$A$201=$A114)*(EXCEPCIONES_FECHA!$B$2:$B$201=""),0)),IFERROR(INDEX(IF($I114="FIN",HISTORIAL_HORARIOS!$L$2:$L$201,HISTORIAL_HORARIOS!$H$2:$H$201),MATCH(1,(HISTORIAL_HORARIOS!$A$2:$A$201=$B114)*(HISTORIAL_HORARIOS!$C$2:$C$201&lt;=$A114)*(HISTORIAL_HORARIOS!$D$2:$D$201&gt;=$A114),0)),INDEX(IF($I114="FIN",PERSONAL!$L$2:$L$80,PERSONAL!$H$2:$H$80),MATCH($B114,PERSONAL!$A$2:$A$80,0)))))</f>
        <v/>
      </c>
    </row>
    <row r="115" ht="15" customHeight="1" s="58">
      <c r="A115" s="37" t="n"/>
      <c r="B115" s="38" t="n"/>
      <c r="C115" s="39" t="n"/>
      <c r="D115" s="39" t="n"/>
      <c r="E115" s="34">
        <f t="array" ref="E115">IF($B115="","",IFERROR(INDEX(PERSONAL!$B$2:$B$80,MATCH($B115,PERSONAL!$A$2:$A$80,0)),"NO EXISTE"))</f>
        <v/>
      </c>
      <c r="F115" s="52">
        <f t="array" ref="F115">IF($B115="","",IFERROR(INDEX(PERSONAL!$C$2:$C$80,MATCH($B115,PERSONAL!$A$2:$A$80,0)),""))</f>
        <v/>
      </c>
      <c r="G115" s="52">
        <f>IF($A115="","",CHOOSE(WEEKDAY($A115,2),"LUNES","MARTES","MIÉRCOLES","JUEVES","VIERNES","SÁBADO","DOMINGO"))</f>
        <v/>
      </c>
      <c r="H115" s="34">
        <f>IF($A115="","",CHOOSE(MONTH($A115),"ENERO","FEBRERO","MARZO","ABRIL","MAYO","JUNIO","JULIO","AGOSTO","SEPTIEMBRE","OCTUBRE","NOVIEMBRE","DICIEMBRE"))</f>
        <v/>
      </c>
      <c r="I115" s="34">
        <f>IF($A115="","",IF(OR($G115="SÁBADO",$G115="DOMINGO"),"FIN","LV"))</f>
        <v/>
      </c>
      <c r="J115" s="34">
        <f>IF(OR($A115="",$B115=""),"",IF($L115&lt;&gt;"",UPPER($L115),IF($C115="","FALTA",IFERROR(IF($C115&gt;=$O115,"ROJO FUERTE",IF($C115&gt;=$N115,"ROJO",IF($C115&gt;=$M115,"AMARILLO","VERDE"))),"REVISAR"))))</f>
        <v/>
      </c>
      <c r="K115" s="36">
        <f>IF(OR($C115="",$D115=""),"",IF($D115&gt;=$C115,($D115-$C115)*24,(1-$C115+$D115)*24))</f>
        <v/>
      </c>
      <c r="L115" s="34" t="n"/>
      <c r="M115" s="53">
        <f t="array" ref="M115">IFERROR(INDEX(EXCEPCIONES_FECHA!$D$2:$D$201,MATCH(1,(EXCEPCIONES_FECHA!$A$2:$A$201=$A115)*(EXCEPCIONES_FECHA!$B$2:$B$201=$B115),0)),IFERROR(INDEX(EXCEPCIONES_FECHA!$D$2:$D$201,MATCH(1,(EXCEPCIONES_FECHA!$A$2:$A$201=$A115)*(EXCEPCIONES_FECHA!$B$2:$B$201=""),0)),IFERROR(INDEX(IF($I115="FIN",HISTORIAL_HORARIOS!$J$2:$J$201,HISTORIAL_HORARIOS!$F$2:$F$201),MATCH(1,(HISTORIAL_HORARIOS!$A$2:$A$201=$B115)*(HISTORIAL_HORARIOS!$C$2:$C$201&lt;=$A115)*(HISTORIAL_HORARIOS!$D$2:$D$201&gt;=$A115),0)),INDEX(IF($I115="FIN",PERSONAL!$J$2:$J$80,PERSONAL!$F$2:$F$80),MATCH($B115,PERSONAL!$A$2:$A$80,0)))))</f>
        <v/>
      </c>
      <c r="N115" s="53">
        <f t="array" ref="N115">IFERROR(INDEX(EXCEPCIONES_FECHA!$E$2:$E$201,MATCH(1,(EXCEPCIONES_FECHA!$A$2:$A$201=$A115)*(EXCEPCIONES_FECHA!$B$2:$B$201=$B115),0)),IFERROR(INDEX(EXCEPCIONES_FECHA!$E$2:$E$201,MATCH(1,(EXCEPCIONES_FECHA!$A$2:$A$201=$A115)*(EXCEPCIONES_FECHA!$B$2:$B$201=""),0)),IFERROR(INDEX(IF($I115="FIN",HISTORIAL_HORARIOS!$K$2:$K$201,HISTORIAL_HORARIOS!$G$2:$G$201),MATCH(1,(HISTORIAL_HORARIOS!$A$2:$A$201=$B115)*(HISTORIAL_HORARIOS!$C$2:$C$201&lt;=$A115)*(HISTORIAL_HORARIOS!$D$2:$D$201&gt;=$A115),0)),INDEX(IF($I115="FIN",PERSONAL!$K$2:$K$80,PERSONAL!$G$2:$G$80),MATCH($B115,PERSONAL!$A$2:$A$80,0)))))</f>
        <v/>
      </c>
      <c r="O115" s="53">
        <f t="array" ref="O115">IFERROR(INDEX(EXCEPCIONES_FECHA!$F$2:$F$201,MATCH(1,(EXCEPCIONES_FECHA!$A$2:$A$201=$A115)*(EXCEPCIONES_FECHA!$B$2:$B$201=$B115),0)),IFERROR(INDEX(EXCEPCIONES_FECHA!$F$2:$F$201,MATCH(1,(EXCEPCIONES_FECHA!$A$2:$A$201=$A115)*(EXCEPCIONES_FECHA!$B$2:$B$201=""),0)),IFERROR(INDEX(IF($I115="FIN",HISTORIAL_HORARIOS!$L$2:$L$201,HISTORIAL_HORARIOS!$H$2:$H$201),MATCH(1,(HISTORIAL_HORARIOS!$A$2:$A$201=$B115)*(HISTORIAL_HORARIOS!$C$2:$C$201&lt;=$A115)*(HISTORIAL_HORARIOS!$D$2:$D$201&gt;=$A115),0)),INDEX(IF($I115="FIN",PERSONAL!$L$2:$L$80,PERSONAL!$H$2:$H$80),MATCH($B115,PERSONAL!$A$2:$A$80,0)))))</f>
        <v/>
      </c>
    </row>
    <row r="116" ht="15" customHeight="1" s="58">
      <c r="A116" s="37" t="n"/>
      <c r="B116" s="38" t="n"/>
      <c r="C116" s="39" t="n"/>
      <c r="D116" s="39" t="n"/>
      <c r="E116" s="34">
        <f t="array" ref="E116">IF($B116="","",IFERROR(INDEX(PERSONAL!$B$2:$B$80,MATCH($B116,PERSONAL!$A$2:$A$80,0)),"NO EXISTE"))</f>
        <v/>
      </c>
      <c r="F116" s="52">
        <f t="array" ref="F116">IF($B116="","",IFERROR(INDEX(PERSONAL!$C$2:$C$80,MATCH($B116,PERSONAL!$A$2:$A$80,0)),""))</f>
        <v/>
      </c>
      <c r="G116" s="52">
        <f>IF($A116="","",CHOOSE(WEEKDAY($A116,2),"LUNES","MARTES","MIÉRCOLES","JUEVES","VIERNES","SÁBADO","DOMINGO"))</f>
        <v/>
      </c>
      <c r="H116" s="34">
        <f>IF($A116="","",CHOOSE(MONTH($A116),"ENERO","FEBRERO","MARZO","ABRIL","MAYO","JUNIO","JULIO","AGOSTO","SEPTIEMBRE","OCTUBRE","NOVIEMBRE","DICIEMBRE"))</f>
        <v/>
      </c>
      <c r="I116" s="34">
        <f>IF($A116="","",IF(OR($G116="SÁBADO",$G116="DOMINGO"),"FIN","LV"))</f>
        <v/>
      </c>
      <c r="J116" s="34">
        <f>IF(OR($A116="",$B116=""),"",IF($L116&lt;&gt;"",UPPER($L116),IF($C116="","FALTA",IFERROR(IF($C116&gt;=$O116,"ROJO FUERTE",IF($C116&gt;=$N116,"ROJO",IF($C116&gt;=$M116,"AMARILLO","VERDE"))),"REVISAR"))))</f>
        <v/>
      </c>
      <c r="K116" s="36">
        <f>IF(OR($C116="",$D116=""),"",IF($D116&gt;=$C116,($D116-$C116)*24,(1-$C116+$D116)*24))</f>
        <v/>
      </c>
      <c r="L116" s="34" t="n"/>
      <c r="M116" s="53">
        <f t="array" ref="M116">IFERROR(INDEX(EXCEPCIONES_FECHA!$D$2:$D$201,MATCH(1,(EXCEPCIONES_FECHA!$A$2:$A$201=$A116)*(EXCEPCIONES_FECHA!$B$2:$B$201=$B116),0)),IFERROR(INDEX(EXCEPCIONES_FECHA!$D$2:$D$201,MATCH(1,(EXCEPCIONES_FECHA!$A$2:$A$201=$A116)*(EXCEPCIONES_FECHA!$B$2:$B$201=""),0)),IFERROR(INDEX(IF($I116="FIN",HISTORIAL_HORARIOS!$J$2:$J$201,HISTORIAL_HORARIOS!$F$2:$F$201),MATCH(1,(HISTORIAL_HORARIOS!$A$2:$A$201=$B116)*(HISTORIAL_HORARIOS!$C$2:$C$201&lt;=$A116)*(HISTORIAL_HORARIOS!$D$2:$D$201&gt;=$A116),0)),INDEX(IF($I116="FIN",PERSONAL!$J$2:$J$80,PERSONAL!$F$2:$F$80),MATCH($B116,PERSONAL!$A$2:$A$80,0)))))</f>
        <v/>
      </c>
      <c r="N116" s="53">
        <f t="array" ref="N116">IFERROR(INDEX(EXCEPCIONES_FECHA!$E$2:$E$201,MATCH(1,(EXCEPCIONES_FECHA!$A$2:$A$201=$A116)*(EXCEPCIONES_FECHA!$B$2:$B$201=$B116),0)),IFERROR(INDEX(EXCEPCIONES_FECHA!$E$2:$E$201,MATCH(1,(EXCEPCIONES_FECHA!$A$2:$A$201=$A116)*(EXCEPCIONES_FECHA!$B$2:$B$201=""),0)),IFERROR(INDEX(IF($I116="FIN",HISTORIAL_HORARIOS!$K$2:$K$201,HISTORIAL_HORARIOS!$G$2:$G$201),MATCH(1,(HISTORIAL_HORARIOS!$A$2:$A$201=$B116)*(HISTORIAL_HORARIOS!$C$2:$C$201&lt;=$A116)*(HISTORIAL_HORARIOS!$D$2:$D$201&gt;=$A116),0)),INDEX(IF($I116="FIN",PERSONAL!$K$2:$K$80,PERSONAL!$G$2:$G$80),MATCH($B116,PERSONAL!$A$2:$A$80,0)))))</f>
        <v/>
      </c>
      <c r="O116" s="53">
        <f t="array" ref="O116">IFERROR(INDEX(EXCEPCIONES_FECHA!$F$2:$F$201,MATCH(1,(EXCEPCIONES_FECHA!$A$2:$A$201=$A116)*(EXCEPCIONES_FECHA!$B$2:$B$201=$B116),0)),IFERROR(INDEX(EXCEPCIONES_FECHA!$F$2:$F$201,MATCH(1,(EXCEPCIONES_FECHA!$A$2:$A$201=$A116)*(EXCEPCIONES_FECHA!$B$2:$B$201=""),0)),IFERROR(INDEX(IF($I116="FIN",HISTORIAL_HORARIOS!$L$2:$L$201,HISTORIAL_HORARIOS!$H$2:$H$201),MATCH(1,(HISTORIAL_HORARIOS!$A$2:$A$201=$B116)*(HISTORIAL_HORARIOS!$C$2:$C$201&lt;=$A116)*(HISTORIAL_HORARIOS!$D$2:$D$201&gt;=$A116),0)),INDEX(IF($I116="FIN",PERSONAL!$L$2:$L$80,PERSONAL!$H$2:$H$80),MATCH($B116,PERSONAL!$A$2:$A$80,0)))))</f>
        <v/>
      </c>
    </row>
    <row r="117" ht="15" customHeight="1" s="58">
      <c r="A117" s="37" t="n"/>
      <c r="B117" s="38" t="n"/>
      <c r="C117" s="39" t="n"/>
      <c r="D117" s="39" t="n"/>
      <c r="E117" s="34">
        <f t="array" ref="E117">IF($B117="","",IFERROR(INDEX(PERSONAL!$B$2:$B$80,MATCH($B117,PERSONAL!$A$2:$A$80,0)),"NO EXISTE"))</f>
        <v/>
      </c>
      <c r="F117" s="52">
        <f t="array" ref="F117">IF($B117="","",IFERROR(INDEX(PERSONAL!$C$2:$C$80,MATCH($B117,PERSONAL!$A$2:$A$80,0)),""))</f>
        <v/>
      </c>
      <c r="G117" s="52">
        <f>IF($A117="","",CHOOSE(WEEKDAY($A117,2),"LUNES","MARTES","MIÉRCOLES","JUEVES","VIERNES","SÁBADO","DOMINGO"))</f>
        <v/>
      </c>
      <c r="H117" s="34">
        <f>IF($A117="","",CHOOSE(MONTH($A117),"ENERO","FEBRERO","MARZO","ABRIL","MAYO","JUNIO","JULIO","AGOSTO","SEPTIEMBRE","OCTUBRE","NOVIEMBRE","DICIEMBRE"))</f>
        <v/>
      </c>
      <c r="I117" s="34">
        <f>IF($A117="","",IF(OR($G117="SÁBADO",$G117="DOMINGO"),"FIN","LV"))</f>
        <v/>
      </c>
      <c r="J117" s="34">
        <f>IF(OR($A117="",$B117=""),"",IF($L117&lt;&gt;"",UPPER($L117),IF($C117="","FALTA",IFERROR(IF($C117&gt;=$O117,"ROJO FUERTE",IF($C117&gt;=$N117,"ROJO",IF($C117&gt;=$M117,"AMARILLO","VERDE"))),"REVISAR"))))</f>
        <v/>
      </c>
      <c r="K117" s="36">
        <f>IF(OR($C117="",$D117=""),"",IF($D117&gt;=$C117,($D117-$C117)*24,(1-$C117+$D117)*24))</f>
        <v/>
      </c>
      <c r="L117" s="34" t="n"/>
      <c r="M117" s="53">
        <f t="array" ref="M117">IFERROR(INDEX(EXCEPCIONES_FECHA!$D$2:$D$201,MATCH(1,(EXCEPCIONES_FECHA!$A$2:$A$201=$A117)*(EXCEPCIONES_FECHA!$B$2:$B$201=$B117),0)),IFERROR(INDEX(EXCEPCIONES_FECHA!$D$2:$D$201,MATCH(1,(EXCEPCIONES_FECHA!$A$2:$A$201=$A117)*(EXCEPCIONES_FECHA!$B$2:$B$201=""),0)),IFERROR(INDEX(IF($I117="FIN",HISTORIAL_HORARIOS!$J$2:$J$201,HISTORIAL_HORARIOS!$F$2:$F$201),MATCH(1,(HISTORIAL_HORARIOS!$A$2:$A$201=$B117)*(HISTORIAL_HORARIOS!$C$2:$C$201&lt;=$A117)*(HISTORIAL_HORARIOS!$D$2:$D$201&gt;=$A117),0)),INDEX(IF($I117="FIN",PERSONAL!$J$2:$J$80,PERSONAL!$F$2:$F$80),MATCH($B117,PERSONAL!$A$2:$A$80,0)))))</f>
        <v/>
      </c>
      <c r="N117" s="53">
        <f t="array" ref="N117">IFERROR(INDEX(EXCEPCIONES_FECHA!$E$2:$E$201,MATCH(1,(EXCEPCIONES_FECHA!$A$2:$A$201=$A117)*(EXCEPCIONES_FECHA!$B$2:$B$201=$B117),0)),IFERROR(INDEX(EXCEPCIONES_FECHA!$E$2:$E$201,MATCH(1,(EXCEPCIONES_FECHA!$A$2:$A$201=$A117)*(EXCEPCIONES_FECHA!$B$2:$B$201=""),0)),IFERROR(INDEX(IF($I117="FIN",HISTORIAL_HORARIOS!$K$2:$K$201,HISTORIAL_HORARIOS!$G$2:$G$201),MATCH(1,(HISTORIAL_HORARIOS!$A$2:$A$201=$B117)*(HISTORIAL_HORARIOS!$C$2:$C$201&lt;=$A117)*(HISTORIAL_HORARIOS!$D$2:$D$201&gt;=$A117),0)),INDEX(IF($I117="FIN",PERSONAL!$K$2:$K$80,PERSONAL!$G$2:$G$80),MATCH($B117,PERSONAL!$A$2:$A$80,0)))))</f>
        <v/>
      </c>
      <c r="O117" s="53">
        <f t="array" ref="O117">IFERROR(INDEX(EXCEPCIONES_FECHA!$F$2:$F$201,MATCH(1,(EXCEPCIONES_FECHA!$A$2:$A$201=$A117)*(EXCEPCIONES_FECHA!$B$2:$B$201=$B117),0)),IFERROR(INDEX(EXCEPCIONES_FECHA!$F$2:$F$201,MATCH(1,(EXCEPCIONES_FECHA!$A$2:$A$201=$A117)*(EXCEPCIONES_FECHA!$B$2:$B$201=""),0)),IFERROR(INDEX(IF($I117="FIN",HISTORIAL_HORARIOS!$L$2:$L$201,HISTORIAL_HORARIOS!$H$2:$H$201),MATCH(1,(HISTORIAL_HORARIOS!$A$2:$A$201=$B117)*(HISTORIAL_HORARIOS!$C$2:$C$201&lt;=$A117)*(HISTORIAL_HORARIOS!$D$2:$D$201&gt;=$A117),0)),INDEX(IF($I117="FIN",PERSONAL!$L$2:$L$80,PERSONAL!$H$2:$H$80),MATCH($B117,PERSONAL!$A$2:$A$80,0)))))</f>
        <v/>
      </c>
    </row>
    <row r="118" ht="15" customHeight="1" s="58">
      <c r="A118" s="37" t="n"/>
      <c r="B118" s="38" t="n"/>
      <c r="C118" s="39" t="n"/>
      <c r="D118" s="39" t="n"/>
      <c r="E118" s="34">
        <f t="array" ref="E118">IF($B118="","",IFERROR(INDEX(PERSONAL!$B$2:$B$80,MATCH($B118,PERSONAL!$A$2:$A$80,0)),"NO EXISTE"))</f>
        <v/>
      </c>
      <c r="F118" s="52">
        <f t="array" ref="F118">IF($B118="","",IFERROR(INDEX(PERSONAL!$C$2:$C$80,MATCH($B118,PERSONAL!$A$2:$A$80,0)),""))</f>
        <v/>
      </c>
      <c r="G118" s="52">
        <f>IF($A118="","",CHOOSE(WEEKDAY($A118,2),"LUNES","MARTES","MIÉRCOLES","JUEVES","VIERNES","SÁBADO","DOMINGO"))</f>
        <v/>
      </c>
      <c r="H118" s="34">
        <f>IF($A118="","",CHOOSE(MONTH($A118),"ENERO","FEBRERO","MARZO","ABRIL","MAYO","JUNIO","JULIO","AGOSTO","SEPTIEMBRE","OCTUBRE","NOVIEMBRE","DICIEMBRE"))</f>
        <v/>
      </c>
      <c r="I118" s="34">
        <f>IF($A118="","",IF(OR($G118="SÁBADO",$G118="DOMINGO"),"FIN","LV"))</f>
        <v/>
      </c>
      <c r="J118" s="34">
        <f>IF(OR($A118="",$B118=""),"",IF($L118&lt;&gt;"",UPPER($L118),IF($C118="","FALTA",IFERROR(IF($C118&gt;=$O118,"ROJO FUERTE",IF($C118&gt;=$N118,"ROJO",IF($C118&gt;=$M118,"AMARILLO","VERDE"))),"REVISAR"))))</f>
        <v/>
      </c>
      <c r="K118" s="36">
        <f>IF(OR($C118="",$D118=""),"",IF($D118&gt;=$C118,($D118-$C118)*24,(1-$C118+$D118)*24))</f>
        <v/>
      </c>
      <c r="L118" s="34" t="n"/>
      <c r="M118" s="53">
        <f t="array" ref="M118">IFERROR(INDEX(EXCEPCIONES_FECHA!$D$2:$D$201,MATCH(1,(EXCEPCIONES_FECHA!$A$2:$A$201=$A118)*(EXCEPCIONES_FECHA!$B$2:$B$201=$B118),0)),IFERROR(INDEX(EXCEPCIONES_FECHA!$D$2:$D$201,MATCH(1,(EXCEPCIONES_FECHA!$A$2:$A$201=$A118)*(EXCEPCIONES_FECHA!$B$2:$B$201=""),0)),IFERROR(INDEX(IF($I118="FIN",HISTORIAL_HORARIOS!$J$2:$J$201,HISTORIAL_HORARIOS!$F$2:$F$201),MATCH(1,(HISTORIAL_HORARIOS!$A$2:$A$201=$B118)*(HISTORIAL_HORARIOS!$C$2:$C$201&lt;=$A118)*(HISTORIAL_HORARIOS!$D$2:$D$201&gt;=$A118),0)),INDEX(IF($I118="FIN",PERSONAL!$J$2:$J$80,PERSONAL!$F$2:$F$80),MATCH($B118,PERSONAL!$A$2:$A$80,0)))))</f>
        <v/>
      </c>
      <c r="N118" s="53">
        <f t="array" ref="N118">IFERROR(INDEX(EXCEPCIONES_FECHA!$E$2:$E$201,MATCH(1,(EXCEPCIONES_FECHA!$A$2:$A$201=$A118)*(EXCEPCIONES_FECHA!$B$2:$B$201=$B118),0)),IFERROR(INDEX(EXCEPCIONES_FECHA!$E$2:$E$201,MATCH(1,(EXCEPCIONES_FECHA!$A$2:$A$201=$A118)*(EXCEPCIONES_FECHA!$B$2:$B$201=""),0)),IFERROR(INDEX(IF($I118="FIN",HISTORIAL_HORARIOS!$K$2:$K$201,HISTORIAL_HORARIOS!$G$2:$G$201),MATCH(1,(HISTORIAL_HORARIOS!$A$2:$A$201=$B118)*(HISTORIAL_HORARIOS!$C$2:$C$201&lt;=$A118)*(HISTORIAL_HORARIOS!$D$2:$D$201&gt;=$A118),0)),INDEX(IF($I118="FIN",PERSONAL!$K$2:$K$80,PERSONAL!$G$2:$G$80),MATCH($B118,PERSONAL!$A$2:$A$80,0)))))</f>
        <v/>
      </c>
      <c r="O118" s="53">
        <f t="array" ref="O118">IFERROR(INDEX(EXCEPCIONES_FECHA!$F$2:$F$201,MATCH(1,(EXCEPCIONES_FECHA!$A$2:$A$201=$A118)*(EXCEPCIONES_FECHA!$B$2:$B$201=$B118),0)),IFERROR(INDEX(EXCEPCIONES_FECHA!$F$2:$F$201,MATCH(1,(EXCEPCIONES_FECHA!$A$2:$A$201=$A118)*(EXCEPCIONES_FECHA!$B$2:$B$201=""),0)),IFERROR(INDEX(IF($I118="FIN",HISTORIAL_HORARIOS!$L$2:$L$201,HISTORIAL_HORARIOS!$H$2:$H$201),MATCH(1,(HISTORIAL_HORARIOS!$A$2:$A$201=$B118)*(HISTORIAL_HORARIOS!$C$2:$C$201&lt;=$A118)*(HISTORIAL_HORARIOS!$D$2:$D$201&gt;=$A118),0)),INDEX(IF($I118="FIN",PERSONAL!$L$2:$L$80,PERSONAL!$H$2:$H$80),MATCH($B118,PERSONAL!$A$2:$A$80,0)))))</f>
        <v/>
      </c>
    </row>
    <row r="119" ht="15" customHeight="1" s="58">
      <c r="A119" s="37" t="n"/>
      <c r="B119" s="38" t="n"/>
      <c r="C119" s="39" t="n"/>
      <c r="D119" s="39" t="n"/>
      <c r="E119" s="34">
        <f t="array" ref="E119">IF($B119="","",IFERROR(INDEX(PERSONAL!$B$2:$B$80,MATCH($B119,PERSONAL!$A$2:$A$80,0)),"NO EXISTE"))</f>
        <v/>
      </c>
      <c r="F119" s="52">
        <f t="array" ref="F119">IF($B119="","",IFERROR(INDEX(PERSONAL!$C$2:$C$80,MATCH($B119,PERSONAL!$A$2:$A$80,0)),""))</f>
        <v/>
      </c>
      <c r="G119" s="52">
        <f>IF($A119="","",CHOOSE(WEEKDAY($A119,2),"LUNES","MARTES","MIÉRCOLES","JUEVES","VIERNES","SÁBADO","DOMINGO"))</f>
        <v/>
      </c>
      <c r="H119" s="34">
        <f>IF($A119="","",CHOOSE(MONTH($A119),"ENERO","FEBRERO","MARZO","ABRIL","MAYO","JUNIO","JULIO","AGOSTO","SEPTIEMBRE","OCTUBRE","NOVIEMBRE","DICIEMBRE"))</f>
        <v/>
      </c>
      <c r="I119" s="34">
        <f>IF($A119="","",IF(OR($G119="SÁBADO",$G119="DOMINGO"),"FIN","LV"))</f>
        <v/>
      </c>
      <c r="J119" s="34">
        <f>IF(OR($A119="",$B119=""),"",IF($L119&lt;&gt;"",UPPER($L119),IF($C119="","FALTA",IFERROR(IF($C119&gt;=$O119,"ROJO FUERTE",IF($C119&gt;=$N119,"ROJO",IF($C119&gt;=$M119,"AMARILLO","VERDE"))),"REVISAR"))))</f>
        <v/>
      </c>
      <c r="K119" s="36">
        <f>IF(OR($C119="",$D119=""),"",IF($D119&gt;=$C119,($D119-$C119)*24,(1-$C119+$D119)*24))</f>
        <v/>
      </c>
      <c r="L119" s="34" t="n"/>
      <c r="M119" s="53">
        <f t="array" ref="M119">IFERROR(INDEX(EXCEPCIONES_FECHA!$D$2:$D$201,MATCH(1,(EXCEPCIONES_FECHA!$A$2:$A$201=$A119)*(EXCEPCIONES_FECHA!$B$2:$B$201=$B119),0)),IFERROR(INDEX(EXCEPCIONES_FECHA!$D$2:$D$201,MATCH(1,(EXCEPCIONES_FECHA!$A$2:$A$201=$A119)*(EXCEPCIONES_FECHA!$B$2:$B$201=""),0)),IFERROR(INDEX(IF($I119="FIN",HISTORIAL_HORARIOS!$J$2:$J$201,HISTORIAL_HORARIOS!$F$2:$F$201),MATCH(1,(HISTORIAL_HORARIOS!$A$2:$A$201=$B119)*(HISTORIAL_HORARIOS!$C$2:$C$201&lt;=$A119)*(HISTORIAL_HORARIOS!$D$2:$D$201&gt;=$A119),0)),INDEX(IF($I119="FIN",PERSONAL!$J$2:$J$80,PERSONAL!$F$2:$F$80),MATCH($B119,PERSONAL!$A$2:$A$80,0)))))</f>
        <v/>
      </c>
      <c r="N119" s="53">
        <f t="array" ref="N119">IFERROR(INDEX(EXCEPCIONES_FECHA!$E$2:$E$201,MATCH(1,(EXCEPCIONES_FECHA!$A$2:$A$201=$A119)*(EXCEPCIONES_FECHA!$B$2:$B$201=$B119),0)),IFERROR(INDEX(EXCEPCIONES_FECHA!$E$2:$E$201,MATCH(1,(EXCEPCIONES_FECHA!$A$2:$A$201=$A119)*(EXCEPCIONES_FECHA!$B$2:$B$201=""),0)),IFERROR(INDEX(IF($I119="FIN",HISTORIAL_HORARIOS!$K$2:$K$201,HISTORIAL_HORARIOS!$G$2:$G$201),MATCH(1,(HISTORIAL_HORARIOS!$A$2:$A$201=$B119)*(HISTORIAL_HORARIOS!$C$2:$C$201&lt;=$A119)*(HISTORIAL_HORARIOS!$D$2:$D$201&gt;=$A119),0)),INDEX(IF($I119="FIN",PERSONAL!$K$2:$K$80,PERSONAL!$G$2:$G$80),MATCH($B119,PERSONAL!$A$2:$A$80,0)))))</f>
        <v/>
      </c>
      <c r="O119" s="53">
        <f t="array" ref="O119">IFERROR(INDEX(EXCEPCIONES_FECHA!$F$2:$F$201,MATCH(1,(EXCEPCIONES_FECHA!$A$2:$A$201=$A119)*(EXCEPCIONES_FECHA!$B$2:$B$201=$B119),0)),IFERROR(INDEX(EXCEPCIONES_FECHA!$F$2:$F$201,MATCH(1,(EXCEPCIONES_FECHA!$A$2:$A$201=$A119)*(EXCEPCIONES_FECHA!$B$2:$B$201=""),0)),IFERROR(INDEX(IF($I119="FIN",HISTORIAL_HORARIOS!$L$2:$L$201,HISTORIAL_HORARIOS!$H$2:$H$201),MATCH(1,(HISTORIAL_HORARIOS!$A$2:$A$201=$B119)*(HISTORIAL_HORARIOS!$C$2:$C$201&lt;=$A119)*(HISTORIAL_HORARIOS!$D$2:$D$201&gt;=$A119),0)),INDEX(IF($I119="FIN",PERSONAL!$L$2:$L$80,PERSONAL!$H$2:$H$80),MATCH($B119,PERSONAL!$A$2:$A$80,0)))))</f>
        <v/>
      </c>
    </row>
    <row r="120" ht="15" customHeight="1" s="58">
      <c r="A120" s="37" t="n"/>
      <c r="B120" s="38" t="n"/>
      <c r="C120" s="39" t="n"/>
      <c r="D120" s="39" t="n"/>
      <c r="E120" s="34">
        <f t="array" ref="E120">IF($B120="","",IFERROR(INDEX(PERSONAL!$B$2:$B$80,MATCH($B120,PERSONAL!$A$2:$A$80,0)),"NO EXISTE"))</f>
        <v/>
      </c>
      <c r="F120" s="52">
        <f t="array" ref="F120">IF($B120="","",IFERROR(INDEX(PERSONAL!$C$2:$C$80,MATCH($B120,PERSONAL!$A$2:$A$80,0)),""))</f>
        <v/>
      </c>
      <c r="G120" s="52">
        <f>IF($A120="","",CHOOSE(WEEKDAY($A120,2),"LUNES","MARTES","MIÉRCOLES","JUEVES","VIERNES","SÁBADO","DOMINGO"))</f>
        <v/>
      </c>
      <c r="H120" s="34">
        <f>IF($A120="","",CHOOSE(MONTH($A120),"ENERO","FEBRERO","MARZO","ABRIL","MAYO","JUNIO","JULIO","AGOSTO","SEPTIEMBRE","OCTUBRE","NOVIEMBRE","DICIEMBRE"))</f>
        <v/>
      </c>
      <c r="I120" s="34">
        <f>IF($A120="","",IF(OR($G120="SÁBADO",$G120="DOMINGO"),"FIN","LV"))</f>
        <v/>
      </c>
      <c r="J120" s="34">
        <f>IF(OR($A120="",$B120=""),"",IF($L120&lt;&gt;"",UPPER($L120),IF($C120="","FALTA",IFERROR(IF($C120&gt;=$O120,"ROJO FUERTE",IF($C120&gt;=$N120,"ROJO",IF($C120&gt;=$M120,"AMARILLO","VERDE"))),"REVISAR"))))</f>
        <v/>
      </c>
      <c r="K120" s="36">
        <f>IF(OR($C120="",$D120=""),"",IF($D120&gt;=$C120,($D120-$C120)*24,(1-$C120+$D120)*24))</f>
        <v/>
      </c>
      <c r="L120" s="34" t="n"/>
      <c r="M120" s="53">
        <f t="array" ref="M120">IFERROR(INDEX(EXCEPCIONES_FECHA!$D$2:$D$201,MATCH(1,(EXCEPCIONES_FECHA!$A$2:$A$201=$A120)*(EXCEPCIONES_FECHA!$B$2:$B$201=$B120),0)),IFERROR(INDEX(EXCEPCIONES_FECHA!$D$2:$D$201,MATCH(1,(EXCEPCIONES_FECHA!$A$2:$A$201=$A120)*(EXCEPCIONES_FECHA!$B$2:$B$201=""),0)),IFERROR(INDEX(IF($I120="FIN",HISTORIAL_HORARIOS!$J$2:$J$201,HISTORIAL_HORARIOS!$F$2:$F$201),MATCH(1,(HISTORIAL_HORARIOS!$A$2:$A$201=$B120)*(HISTORIAL_HORARIOS!$C$2:$C$201&lt;=$A120)*(HISTORIAL_HORARIOS!$D$2:$D$201&gt;=$A120),0)),INDEX(IF($I120="FIN",PERSONAL!$J$2:$J$80,PERSONAL!$F$2:$F$80),MATCH($B120,PERSONAL!$A$2:$A$80,0)))))</f>
        <v/>
      </c>
      <c r="N120" s="53">
        <f t="array" ref="N120">IFERROR(INDEX(EXCEPCIONES_FECHA!$E$2:$E$201,MATCH(1,(EXCEPCIONES_FECHA!$A$2:$A$201=$A120)*(EXCEPCIONES_FECHA!$B$2:$B$201=$B120),0)),IFERROR(INDEX(EXCEPCIONES_FECHA!$E$2:$E$201,MATCH(1,(EXCEPCIONES_FECHA!$A$2:$A$201=$A120)*(EXCEPCIONES_FECHA!$B$2:$B$201=""),0)),IFERROR(INDEX(IF($I120="FIN",HISTORIAL_HORARIOS!$K$2:$K$201,HISTORIAL_HORARIOS!$G$2:$G$201),MATCH(1,(HISTORIAL_HORARIOS!$A$2:$A$201=$B120)*(HISTORIAL_HORARIOS!$C$2:$C$201&lt;=$A120)*(HISTORIAL_HORARIOS!$D$2:$D$201&gt;=$A120),0)),INDEX(IF($I120="FIN",PERSONAL!$K$2:$K$80,PERSONAL!$G$2:$G$80),MATCH($B120,PERSONAL!$A$2:$A$80,0)))))</f>
        <v/>
      </c>
      <c r="O120" s="53">
        <f t="array" ref="O120">IFERROR(INDEX(EXCEPCIONES_FECHA!$F$2:$F$201,MATCH(1,(EXCEPCIONES_FECHA!$A$2:$A$201=$A120)*(EXCEPCIONES_FECHA!$B$2:$B$201=$B120),0)),IFERROR(INDEX(EXCEPCIONES_FECHA!$F$2:$F$201,MATCH(1,(EXCEPCIONES_FECHA!$A$2:$A$201=$A120)*(EXCEPCIONES_FECHA!$B$2:$B$201=""),0)),IFERROR(INDEX(IF($I120="FIN",HISTORIAL_HORARIOS!$L$2:$L$201,HISTORIAL_HORARIOS!$H$2:$H$201),MATCH(1,(HISTORIAL_HORARIOS!$A$2:$A$201=$B120)*(HISTORIAL_HORARIOS!$C$2:$C$201&lt;=$A120)*(HISTORIAL_HORARIOS!$D$2:$D$201&gt;=$A120),0)),INDEX(IF($I120="FIN",PERSONAL!$L$2:$L$80,PERSONAL!$H$2:$H$80),MATCH($B120,PERSONAL!$A$2:$A$80,0)))))</f>
        <v/>
      </c>
    </row>
    <row r="121" ht="15" customHeight="1" s="58">
      <c r="A121" s="37" t="n"/>
      <c r="B121" s="38" t="n"/>
      <c r="C121" s="39" t="n"/>
      <c r="D121" s="39" t="n"/>
      <c r="E121" s="34">
        <f t="array" ref="E121">IF($B121="","",IFERROR(INDEX(PERSONAL!$B$2:$B$80,MATCH($B121,PERSONAL!$A$2:$A$80,0)),"NO EXISTE"))</f>
        <v/>
      </c>
      <c r="F121" s="52">
        <f t="array" ref="F121">IF($B121="","",IFERROR(INDEX(PERSONAL!$C$2:$C$80,MATCH($B121,PERSONAL!$A$2:$A$80,0)),""))</f>
        <v/>
      </c>
      <c r="G121" s="52">
        <f>IF($A121="","",CHOOSE(WEEKDAY($A121,2),"LUNES","MARTES","MIÉRCOLES","JUEVES","VIERNES","SÁBADO","DOMINGO"))</f>
        <v/>
      </c>
      <c r="H121" s="34">
        <f>IF($A121="","",CHOOSE(MONTH($A121),"ENERO","FEBRERO","MARZO","ABRIL","MAYO","JUNIO","JULIO","AGOSTO","SEPTIEMBRE","OCTUBRE","NOVIEMBRE","DICIEMBRE"))</f>
        <v/>
      </c>
      <c r="I121" s="34">
        <f>IF($A121="","",IF(OR($G121="SÁBADO",$G121="DOMINGO"),"FIN","LV"))</f>
        <v/>
      </c>
      <c r="J121" s="34">
        <f>IF(OR($A121="",$B121=""),"",IF($L121&lt;&gt;"",UPPER($L121),IF($C121="","FALTA",IFERROR(IF($C121&gt;=$O121,"ROJO FUERTE",IF($C121&gt;=$N121,"ROJO",IF($C121&gt;=$M121,"AMARILLO","VERDE"))),"REVISAR"))))</f>
        <v/>
      </c>
      <c r="K121" s="36">
        <f>IF(OR($C121="",$D121=""),"",IF($D121&gt;=$C121,($D121-$C121)*24,(1-$C121+$D121)*24))</f>
        <v/>
      </c>
      <c r="L121" s="34" t="n"/>
      <c r="M121" s="53">
        <f t="array" ref="M121">IFERROR(INDEX(EXCEPCIONES_FECHA!$D$2:$D$201,MATCH(1,(EXCEPCIONES_FECHA!$A$2:$A$201=$A121)*(EXCEPCIONES_FECHA!$B$2:$B$201=$B121),0)),IFERROR(INDEX(EXCEPCIONES_FECHA!$D$2:$D$201,MATCH(1,(EXCEPCIONES_FECHA!$A$2:$A$201=$A121)*(EXCEPCIONES_FECHA!$B$2:$B$201=""),0)),IFERROR(INDEX(IF($I121="FIN",HISTORIAL_HORARIOS!$J$2:$J$201,HISTORIAL_HORARIOS!$F$2:$F$201),MATCH(1,(HISTORIAL_HORARIOS!$A$2:$A$201=$B121)*(HISTORIAL_HORARIOS!$C$2:$C$201&lt;=$A121)*(HISTORIAL_HORARIOS!$D$2:$D$201&gt;=$A121),0)),INDEX(IF($I121="FIN",PERSONAL!$J$2:$J$80,PERSONAL!$F$2:$F$80),MATCH($B121,PERSONAL!$A$2:$A$80,0)))))</f>
        <v/>
      </c>
      <c r="N121" s="53">
        <f t="array" ref="N121">IFERROR(INDEX(EXCEPCIONES_FECHA!$E$2:$E$201,MATCH(1,(EXCEPCIONES_FECHA!$A$2:$A$201=$A121)*(EXCEPCIONES_FECHA!$B$2:$B$201=$B121),0)),IFERROR(INDEX(EXCEPCIONES_FECHA!$E$2:$E$201,MATCH(1,(EXCEPCIONES_FECHA!$A$2:$A$201=$A121)*(EXCEPCIONES_FECHA!$B$2:$B$201=""),0)),IFERROR(INDEX(IF($I121="FIN",HISTORIAL_HORARIOS!$K$2:$K$201,HISTORIAL_HORARIOS!$G$2:$G$201),MATCH(1,(HISTORIAL_HORARIOS!$A$2:$A$201=$B121)*(HISTORIAL_HORARIOS!$C$2:$C$201&lt;=$A121)*(HISTORIAL_HORARIOS!$D$2:$D$201&gt;=$A121),0)),INDEX(IF($I121="FIN",PERSONAL!$K$2:$K$80,PERSONAL!$G$2:$G$80),MATCH($B121,PERSONAL!$A$2:$A$80,0)))))</f>
        <v/>
      </c>
      <c r="O121" s="53">
        <f t="array" ref="O121">IFERROR(INDEX(EXCEPCIONES_FECHA!$F$2:$F$201,MATCH(1,(EXCEPCIONES_FECHA!$A$2:$A$201=$A121)*(EXCEPCIONES_FECHA!$B$2:$B$201=$B121),0)),IFERROR(INDEX(EXCEPCIONES_FECHA!$F$2:$F$201,MATCH(1,(EXCEPCIONES_FECHA!$A$2:$A$201=$A121)*(EXCEPCIONES_FECHA!$B$2:$B$201=""),0)),IFERROR(INDEX(IF($I121="FIN",HISTORIAL_HORARIOS!$L$2:$L$201,HISTORIAL_HORARIOS!$H$2:$H$201),MATCH(1,(HISTORIAL_HORARIOS!$A$2:$A$201=$B121)*(HISTORIAL_HORARIOS!$C$2:$C$201&lt;=$A121)*(HISTORIAL_HORARIOS!$D$2:$D$201&gt;=$A121),0)),INDEX(IF($I121="FIN",PERSONAL!$L$2:$L$80,PERSONAL!$H$2:$H$80),MATCH($B121,PERSONAL!$A$2:$A$80,0)))))</f>
        <v/>
      </c>
    </row>
    <row r="122" ht="15" customHeight="1" s="58">
      <c r="A122" s="37" t="n"/>
      <c r="B122" s="38" t="n"/>
      <c r="C122" s="39" t="n"/>
      <c r="D122" s="39" t="n"/>
      <c r="E122" s="34">
        <f t="array" ref="E122">IF($B122="","",IFERROR(INDEX(PERSONAL!$B$2:$B$80,MATCH($B122,PERSONAL!$A$2:$A$80,0)),"NO EXISTE"))</f>
        <v/>
      </c>
      <c r="F122" s="52">
        <f t="array" ref="F122">IF($B122="","",IFERROR(INDEX(PERSONAL!$C$2:$C$80,MATCH($B122,PERSONAL!$A$2:$A$80,0)),""))</f>
        <v/>
      </c>
      <c r="G122" s="52">
        <f>IF($A122="","",CHOOSE(WEEKDAY($A122,2),"LUNES","MARTES","MIÉRCOLES","JUEVES","VIERNES","SÁBADO","DOMINGO"))</f>
        <v/>
      </c>
      <c r="H122" s="34">
        <f>IF($A122="","",CHOOSE(MONTH($A122),"ENERO","FEBRERO","MARZO","ABRIL","MAYO","JUNIO","JULIO","AGOSTO","SEPTIEMBRE","OCTUBRE","NOVIEMBRE","DICIEMBRE"))</f>
        <v/>
      </c>
      <c r="I122" s="34">
        <f>IF($A122="","",IF(OR($G122="SÁBADO",$G122="DOMINGO"),"FIN","LV"))</f>
        <v/>
      </c>
      <c r="J122" s="34">
        <f>IF(OR($A122="",$B122=""),"",IF($L122&lt;&gt;"",UPPER($L122),IF($C122="","FALTA",IFERROR(IF($C122&gt;=$O122,"ROJO FUERTE",IF($C122&gt;=$N122,"ROJO",IF($C122&gt;=$M122,"AMARILLO","VERDE"))),"REVISAR"))))</f>
        <v/>
      </c>
      <c r="K122" s="36">
        <f>IF(OR($C122="",$D122=""),"",IF($D122&gt;=$C122,($D122-$C122)*24,(1-$C122+$D122)*24))</f>
        <v/>
      </c>
      <c r="L122" s="34" t="n"/>
      <c r="M122" s="53">
        <f t="array" ref="M122">IFERROR(INDEX(EXCEPCIONES_FECHA!$D$2:$D$201,MATCH(1,(EXCEPCIONES_FECHA!$A$2:$A$201=$A122)*(EXCEPCIONES_FECHA!$B$2:$B$201=$B122),0)),IFERROR(INDEX(EXCEPCIONES_FECHA!$D$2:$D$201,MATCH(1,(EXCEPCIONES_FECHA!$A$2:$A$201=$A122)*(EXCEPCIONES_FECHA!$B$2:$B$201=""),0)),IFERROR(INDEX(IF($I122="FIN",HISTORIAL_HORARIOS!$J$2:$J$201,HISTORIAL_HORARIOS!$F$2:$F$201),MATCH(1,(HISTORIAL_HORARIOS!$A$2:$A$201=$B122)*(HISTORIAL_HORARIOS!$C$2:$C$201&lt;=$A122)*(HISTORIAL_HORARIOS!$D$2:$D$201&gt;=$A122),0)),INDEX(IF($I122="FIN",PERSONAL!$J$2:$J$80,PERSONAL!$F$2:$F$80),MATCH($B122,PERSONAL!$A$2:$A$80,0)))))</f>
        <v/>
      </c>
      <c r="N122" s="53">
        <f t="array" ref="N122">IFERROR(INDEX(EXCEPCIONES_FECHA!$E$2:$E$201,MATCH(1,(EXCEPCIONES_FECHA!$A$2:$A$201=$A122)*(EXCEPCIONES_FECHA!$B$2:$B$201=$B122),0)),IFERROR(INDEX(EXCEPCIONES_FECHA!$E$2:$E$201,MATCH(1,(EXCEPCIONES_FECHA!$A$2:$A$201=$A122)*(EXCEPCIONES_FECHA!$B$2:$B$201=""),0)),IFERROR(INDEX(IF($I122="FIN",HISTORIAL_HORARIOS!$K$2:$K$201,HISTORIAL_HORARIOS!$G$2:$G$201),MATCH(1,(HISTORIAL_HORARIOS!$A$2:$A$201=$B122)*(HISTORIAL_HORARIOS!$C$2:$C$201&lt;=$A122)*(HISTORIAL_HORARIOS!$D$2:$D$201&gt;=$A122),0)),INDEX(IF($I122="FIN",PERSONAL!$K$2:$K$80,PERSONAL!$G$2:$G$80),MATCH($B122,PERSONAL!$A$2:$A$80,0)))))</f>
        <v/>
      </c>
      <c r="O122" s="53">
        <f t="array" ref="O122">IFERROR(INDEX(EXCEPCIONES_FECHA!$F$2:$F$201,MATCH(1,(EXCEPCIONES_FECHA!$A$2:$A$201=$A122)*(EXCEPCIONES_FECHA!$B$2:$B$201=$B122),0)),IFERROR(INDEX(EXCEPCIONES_FECHA!$F$2:$F$201,MATCH(1,(EXCEPCIONES_FECHA!$A$2:$A$201=$A122)*(EXCEPCIONES_FECHA!$B$2:$B$201=""),0)),IFERROR(INDEX(IF($I122="FIN",HISTORIAL_HORARIOS!$L$2:$L$201,HISTORIAL_HORARIOS!$H$2:$H$201),MATCH(1,(HISTORIAL_HORARIOS!$A$2:$A$201=$B122)*(HISTORIAL_HORARIOS!$C$2:$C$201&lt;=$A122)*(HISTORIAL_HORARIOS!$D$2:$D$201&gt;=$A122),0)),INDEX(IF($I122="FIN",PERSONAL!$L$2:$L$80,PERSONAL!$H$2:$H$80),MATCH($B122,PERSONAL!$A$2:$A$80,0)))))</f>
        <v/>
      </c>
    </row>
    <row r="123" ht="15" customHeight="1" s="58">
      <c r="A123" s="37" t="n"/>
      <c r="B123" s="38" t="n"/>
      <c r="C123" s="39" t="n"/>
      <c r="D123" s="39" t="n"/>
      <c r="E123" s="34">
        <f t="array" ref="E123">IF($B123="","",IFERROR(INDEX(PERSONAL!$B$2:$B$80,MATCH($B123,PERSONAL!$A$2:$A$80,0)),"NO EXISTE"))</f>
        <v/>
      </c>
      <c r="F123" s="52">
        <f t="array" ref="F123">IF($B123="","",IFERROR(INDEX(PERSONAL!$C$2:$C$80,MATCH($B123,PERSONAL!$A$2:$A$80,0)),""))</f>
        <v/>
      </c>
      <c r="G123" s="52">
        <f>IF($A123="","",CHOOSE(WEEKDAY($A123,2),"LUNES","MARTES","MIÉRCOLES","JUEVES","VIERNES","SÁBADO","DOMINGO"))</f>
        <v/>
      </c>
      <c r="H123" s="34">
        <f>IF($A123="","",CHOOSE(MONTH($A123),"ENERO","FEBRERO","MARZO","ABRIL","MAYO","JUNIO","JULIO","AGOSTO","SEPTIEMBRE","OCTUBRE","NOVIEMBRE","DICIEMBRE"))</f>
        <v/>
      </c>
      <c r="I123" s="34">
        <f>IF($A123="","",IF(OR($G123="SÁBADO",$G123="DOMINGO"),"FIN","LV"))</f>
        <v/>
      </c>
      <c r="J123" s="34">
        <f>IF(OR($A123="",$B123=""),"",IF($L123&lt;&gt;"",UPPER($L123),IF($C123="","FALTA",IFERROR(IF($C123&gt;=$O123,"ROJO FUERTE",IF($C123&gt;=$N123,"ROJO",IF($C123&gt;=$M123,"AMARILLO","VERDE"))),"REVISAR"))))</f>
        <v/>
      </c>
      <c r="K123" s="36">
        <f>IF(OR($C123="",$D123=""),"",IF($D123&gt;=$C123,($D123-$C123)*24,(1-$C123+$D123)*24))</f>
        <v/>
      </c>
      <c r="L123" s="34" t="n"/>
      <c r="M123" s="53">
        <f t="array" ref="M123">IFERROR(INDEX(EXCEPCIONES_FECHA!$D$2:$D$201,MATCH(1,(EXCEPCIONES_FECHA!$A$2:$A$201=$A123)*(EXCEPCIONES_FECHA!$B$2:$B$201=$B123),0)),IFERROR(INDEX(EXCEPCIONES_FECHA!$D$2:$D$201,MATCH(1,(EXCEPCIONES_FECHA!$A$2:$A$201=$A123)*(EXCEPCIONES_FECHA!$B$2:$B$201=""),0)),IFERROR(INDEX(IF($I123="FIN",HISTORIAL_HORARIOS!$J$2:$J$201,HISTORIAL_HORARIOS!$F$2:$F$201),MATCH(1,(HISTORIAL_HORARIOS!$A$2:$A$201=$B123)*(HISTORIAL_HORARIOS!$C$2:$C$201&lt;=$A123)*(HISTORIAL_HORARIOS!$D$2:$D$201&gt;=$A123),0)),INDEX(IF($I123="FIN",PERSONAL!$J$2:$J$80,PERSONAL!$F$2:$F$80),MATCH($B123,PERSONAL!$A$2:$A$80,0)))))</f>
        <v/>
      </c>
      <c r="N123" s="53">
        <f t="array" ref="N123">IFERROR(INDEX(EXCEPCIONES_FECHA!$E$2:$E$201,MATCH(1,(EXCEPCIONES_FECHA!$A$2:$A$201=$A123)*(EXCEPCIONES_FECHA!$B$2:$B$201=$B123),0)),IFERROR(INDEX(EXCEPCIONES_FECHA!$E$2:$E$201,MATCH(1,(EXCEPCIONES_FECHA!$A$2:$A$201=$A123)*(EXCEPCIONES_FECHA!$B$2:$B$201=""),0)),IFERROR(INDEX(IF($I123="FIN",HISTORIAL_HORARIOS!$K$2:$K$201,HISTORIAL_HORARIOS!$G$2:$G$201),MATCH(1,(HISTORIAL_HORARIOS!$A$2:$A$201=$B123)*(HISTORIAL_HORARIOS!$C$2:$C$201&lt;=$A123)*(HISTORIAL_HORARIOS!$D$2:$D$201&gt;=$A123),0)),INDEX(IF($I123="FIN",PERSONAL!$K$2:$K$80,PERSONAL!$G$2:$G$80),MATCH($B123,PERSONAL!$A$2:$A$80,0)))))</f>
        <v/>
      </c>
      <c r="O123" s="53">
        <f t="array" ref="O123">IFERROR(INDEX(EXCEPCIONES_FECHA!$F$2:$F$201,MATCH(1,(EXCEPCIONES_FECHA!$A$2:$A$201=$A123)*(EXCEPCIONES_FECHA!$B$2:$B$201=$B123),0)),IFERROR(INDEX(EXCEPCIONES_FECHA!$F$2:$F$201,MATCH(1,(EXCEPCIONES_FECHA!$A$2:$A$201=$A123)*(EXCEPCIONES_FECHA!$B$2:$B$201=""),0)),IFERROR(INDEX(IF($I123="FIN",HISTORIAL_HORARIOS!$L$2:$L$201,HISTORIAL_HORARIOS!$H$2:$H$201),MATCH(1,(HISTORIAL_HORARIOS!$A$2:$A$201=$B123)*(HISTORIAL_HORARIOS!$C$2:$C$201&lt;=$A123)*(HISTORIAL_HORARIOS!$D$2:$D$201&gt;=$A123),0)),INDEX(IF($I123="FIN",PERSONAL!$L$2:$L$80,PERSONAL!$H$2:$H$80),MATCH($B123,PERSONAL!$A$2:$A$80,0)))))</f>
        <v/>
      </c>
    </row>
    <row r="124" ht="15" customHeight="1" s="58">
      <c r="A124" s="37" t="n"/>
      <c r="B124" s="38" t="n"/>
      <c r="C124" s="39" t="n"/>
      <c r="D124" s="39" t="n"/>
      <c r="E124" s="34">
        <f t="array" ref="E124">IF($B124="","",IFERROR(INDEX(PERSONAL!$B$2:$B$80,MATCH($B124,PERSONAL!$A$2:$A$80,0)),"NO EXISTE"))</f>
        <v/>
      </c>
      <c r="F124" s="52">
        <f t="array" ref="F124">IF($B124="","",IFERROR(INDEX(PERSONAL!$C$2:$C$80,MATCH($B124,PERSONAL!$A$2:$A$80,0)),""))</f>
        <v/>
      </c>
      <c r="G124" s="52">
        <f>IF($A124="","",CHOOSE(WEEKDAY($A124,2),"LUNES","MARTES","MIÉRCOLES","JUEVES","VIERNES","SÁBADO","DOMINGO"))</f>
        <v/>
      </c>
      <c r="H124" s="34">
        <f>IF($A124="","",CHOOSE(MONTH($A124),"ENERO","FEBRERO","MARZO","ABRIL","MAYO","JUNIO","JULIO","AGOSTO","SEPTIEMBRE","OCTUBRE","NOVIEMBRE","DICIEMBRE"))</f>
        <v/>
      </c>
      <c r="I124" s="34">
        <f>IF($A124="","",IF(OR($G124="SÁBADO",$G124="DOMINGO"),"FIN","LV"))</f>
        <v/>
      </c>
      <c r="J124" s="34">
        <f>IF(OR($A124="",$B124=""),"",IF($L124&lt;&gt;"",UPPER($L124),IF($C124="","FALTA",IFERROR(IF($C124&gt;=$O124,"ROJO FUERTE",IF($C124&gt;=$N124,"ROJO",IF($C124&gt;=$M124,"AMARILLO","VERDE"))),"REVISAR"))))</f>
        <v/>
      </c>
      <c r="K124" s="36">
        <f>IF(OR($C124="",$D124=""),"",IF($D124&gt;=$C124,($D124-$C124)*24,(1-$C124+$D124)*24))</f>
        <v/>
      </c>
      <c r="L124" s="34" t="n"/>
      <c r="M124" s="53">
        <f t="array" ref="M124">IFERROR(INDEX(EXCEPCIONES_FECHA!$D$2:$D$201,MATCH(1,(EXCEPCIONES_FECHA!$A$2:$A$201=$A124)*(EXCEPCIONES_FECHA!$B$2:$B$201=$B124),0)),IFERROR(INDEX(EXCEPCIONES_FECHA!$D$2:$D$201,MATCH(1,(EXCEPCIONES_FECHA!$A$2:$A$201=$A124)*(EXCEPCIONES_FECHA!$B$2:$B$201=""),0)),IFERROR(INDEX(IF($I124="FIN",HISTORIAL_HORARIOS!$J$2:$J$201,HISTORIAL_HORARIOS!$F$2:$F$201),MATCH(1,(HISTORIAL_HORARIOS!$A$2:$A$201=$B124)*(HISTORIAL_HORARIOS!$C$2:$C$201&lt;=$A124)*(HISTORIAL_HORARIOS!$D$2:$D$201&gt;=$A124),0)),INDEX(IF($I124="FIN",PERSONAL!$J$2:$J$80,PERSONAL!$F$2:$F$80),MATCH($B124,PERSONAL!$A$2:$A$80,0)))))</f>
        <v/>
      </c>
      <c r="N124" s="53">
        <f t="array" ref="N124">IFERROR(INDEX(EXCEPCIONES_FECHA!$E$2:$E$201,MATCH(1,(EXCEPCIONES_FECHA!$A$2:$A$201=$A124)*(EXCEPCIONES_FECHA!$B$2:$B$201=$B124),0)),IFERROR(INDEX(EXCEPCIONES_FECHA!$E$2:$E$201,MATCH(1,(EXCEPCIONES_FECHA!$A$2:$A$201=$A124)*(EXCEPCIONES_FECHA!$B$2:$B$201=""),0)),IFERROR(INDEX(IF($I124="FIN",HISTORIAL_HORARIOS!$K$2:$K$201,HISTORIAL_HORARIOS!$G$2:$G$201),MATCH(1,(HISTORIAL_HORARIOS!$A$2:$A$201=$B124)*(HISTORIAL_HORARIOS!$C$2:$C$201&lt;=$A124)*(HISTORIAL_HORARIOS!$D$2:$D$201&gt;=$A124),0)),INDEX(IF($I124="FIN",PERSONAL!$K$2:$K$80,PERSONAL!$G$2:$G$80),MATCH($B124,PERSONAL!$A$2:$A$80,0)))))</f>
        <v/>
      </c>
      <c r="O124" s="53">
        <f t="array" ref="O124">IFERROR(INDEX(EXCEPCIONES_FECHA!$F$2:$F$201,MATCH(1,(EXCEPCIONES_FECHA!$A$2:$A$201=$A124)*(EXCEPCIONES_FECHA!$B$2:$B$201=$B124),0)),IFERROR(INDEX(EXCEPCIONES_FECHA!$F$2:$F$201,MATCH(1,(EXCEPCIONES_FECHA!$A$2:$A$201=$A124)*(EXCEPCIONES_FECHA!$B$2:$B$201=""),0)),IFERROR(INDEX(IF($I124="FIN",HISTORIAL_HORARIOS!$L$2:$L$201,HISTORIAL_HORARIOS!$H$2:$H$201),MATCH(1,(HISTORIAL_HORARIOS!$A$2:$A$201=$B124)*(HISTORIAL_HORARIOS!$C$2:$C$201&lt;=$A124)*(HISTORIAL_HORARIOS!$D$2:$D$201&gt;=$A124),0)),INDEX(IF($I124="FIN",PERSONAL!$L$2:$L$80,PERSONAL!$H$2:$H$80),MATCH($B124,PERSONAL!$A$2:$A$80,0)))))</f>
        <v/>
      </c>
    </row>
    <row r="125" ht="15" customHeight="1" s="58">
      <c r="A125" s="37" t="n"/>
      <c r="B125" s="38" t="n"/>
      <c r="C125" s="39" t="n"/>
      <c r="D125" s="39" t="n"/>
      <c r="E125" s="34">
        <f t="array" ref="E125">IF($B125="","",IFERROR(INDEX(PERSONAL!$B$2:$B$80,MATCH($B125,PERSONAL!$A$2:$A$80,0)),"NO EXISTE"))</f>
        <v/>
      </c>
      <c r="F125" s="52">
        <f t="array" ref="F125">IF($B125="","",IFERROR(INDEX(PERSONAL!$C$2:$C$80,MATCH($B125,PERSONAL!$A$2:$A$80,0)),""))</f>
        <v/>
      </c>
      <c r="G125" s="52">
        <f>IF($A125="","",CHOOSE(WEEKDAY($A125,2),"LUNES","MARTES","MIÉRCOLES","JUEVES","VIERNES","SÁBADO","DOMINGO"))</f>
        <v/>
      </c>
      <c r="H125" s="34">
        <f>IF($A125="","",CHOOSE(MONTH($A125),"ENERO","FEBRERO","MARZO","ABRIL","MAYO","JUNIO","JULIO","AGOSTO","SEPTIEMBRE","OCTUBRE","NOVIEMBRE","DICIEMBRE"))</f>
        <v/>
      </c>
      <c r="I125" s="34">
        <f>IF($A125="","",IF(OR($G125="SÁBADO",$G125="DOMINGO"),"FIN","LV"))</f>
        <v/>
      </c>
      <c r="J125" s="34">
        <f>IF(OR($A125="",$B125=""),"",IF($L125&lt;&gt;"",UPPER($L125),IF($C125="","FALTA",IFERROR(IF($C125&gt;=$O125,"ROJO FUERTE",IF($C125&gt;=$N125,"ROJO",IF($C125&gt;=$M125,"AMARILLO","VERDE"))),"REVISAR"))))</f>
        <v/>
      </c>
      <c r="K125" s="36">
        <f>IF(OR($C125="",$D125=""),"",IF($D125&gt;=$C125,($D125-$C125)*24,(1-$C125+$D125)*24))</f>
        <v/>
      </c>
      <c r="L125" s="34" t="n"/>
      <c r="M125" s="53">
        <f t="array" ref="M125">IFERROR(INDEX(EXCEPCIONES_FECHA!$D$2:$D$201,MATCH(1,(EXCEPCIONES_FECHA!$A$2:$A$201=$A125)*(EXCEPCIONES_FECHA!$B$2:$B$201=$B125),0)),IFERROR(INDEX(EXCEPCIONES_FECHA!$D$2:$D$201,MATCH(1,(EXCEPCIONES_FECHA!$A$2:$A$201=$A125)*(EXCEPCIONES_FECHA!$B$2:$B$201=""),0)),IFERROR(INDEX(IF($I125="FIN",HISTORIAL_HORARIOS!$J$2:$J$201,HISTORIAL_HORARIOS!$F$2:$F$201),MATCH(1,(HISTORIAL_HORARIOS!$A$2:$A$201=$B125)*(HISTORIAL_HORARIOS!$C$2:$C$201&lt;=$A125)*(HISTORIAL_HORARIOS!$D$2:$D$201&gt;=$A125),0)),INDEX(IF($I125="FIN",PERSONAL!$J$2:$J$80,PERSONAL!$F$2:$F$80),MATCH($B125,PERSONAL!$A$2:$A$80,0)))))</f>
        <v/>
      </c>
      <c r="N125" s="53">
        <f t="array" ref="N125">IFERROR(INDEX(EXCEPCIONES_FECHA!$E$2:$E$201,MATCH(1,(EXCEPCIONES_FECHA!$A$2:$A$201=$A125)*(EXCEPCIONES_FECHA!$B$2:$B$201=$B125),0)),IFERROR(INDEX(EXCEPCIONES_FECHA!$E$2:$E$201,MATCH(1,(EXCEPCIONES_FECHA!$A$2:$A$201=$A125)*(EXCEPCIONES_FECHA!$B$2:$B$201=""),0)),IFERROR(INDEX(IF($I125="FIN",HISTORIAL_HORARIOS!$K$2:$K$201,HISTORIAL_HORARIOS!$G$2:$G$201),MATCH(1,(HISTORIAL_HORARIOS!$A$2:$A$201=$B125)*(HISTORIAL_HORARIOS!$C$2:$C$201&lt;=$A125)*(HISTORIAL_HORARIOS!$D$2:$D$201&gt;=$A125),0)),INDEX(IF($I125="FIN",PERSONAL!$K$2:$K$80,PERSONAL!$G$2:$G$80),MATCH($B125,PERSONAL!$A$2:$A$80,0)))))</f>
        <v/>
      </c>
      <c r="O125" s="53">
        <f t="array" ref="O125">IFERROR(INDEX(EXCEPCIONES_FECHA!$F$2:$F$201,MATCH(1,(EXCEPCIONES_FECHA!$A$2:$A$201=$A125)*(EXCEPCIONES_FECHA!$B$2:$B$201=$B125),0)),IFERROR(INDEX(EXCEPCIONES_FECHA!$F$2:$F$201,MATCH(1,(EXCEPCIONES_FECHA!$A$2:$A$201=$A125)*(EXCEPCIONES_FECHA!$B$2:$B$201=""),0)),IFERROR(INDEX(IF($I125="FIN",HISTORIAL_HORARIOS!$L$2:$L$201,HISTORIAL_HORARIOS!$H$2:$H$201),MATCH(1,(HISTORIAL_HORARIOS!$A$2:$A$201=$B125)*(HISTORIAL_HORARIOS!$C$2:$C$201&lt;=$A125)*(HISTORIAL_HORARIOS!$D$2:$D$201&gt;=$A125),0)),INDEX(IF($I125="FIN",PERSONAL!$L$2:$L$80,PERSONAL!$H$2:$H$80),MATCH($B125,PERSONAL!$A$2:$A$80,0)))))</f>
        <v/>
      </c>
    </row>
    <row r="126" ht="15" customHeight="1" s="58">
      <c r="A126" s="37" t="n"/>
      <c r="B126" s="38" t="n"/>
      <c r="C126" s="39" t="n"/>
      <c r="D126" s="39" t="n"/>
      <c r="E126" s="34">
        <f t="array" ref="E126">IF($B126="","",IFERROR(INDEX(PERSONAL!$B$2:$B$80,MATCH($B126,PERSONAL!$A$2:$A$80,0)),"NO EXISTE"))</f>
        <v/>
      </c>
      <c r="F126" s="52">
        <f t="array" ref="F126">IF($B126="","",IFERROR(INDEX(PERSONAL!$C$2:$C$80,MATCH($B126,PERSONAL!$A$2:$A$80,0)),""))</f>
        <v/>
      </c>
      <c r="G126" s="52">
        <f>IF($A126="","",CHOOSE(WEEKDAY($A126,2),"LUNES","MARTES","MIÉRCOLES","JUEVES","VIERNES","SÁBADO","DOMINGO"))</f>
        <v/>
      </c>
      <c r="H126" s="34">
        <f>IF($A126="","",CHOOSE(MONTH($A126),"ENERO","FEBRERO","MARZO","ABRIL","MAYO","JUNIO","JULIO","AGOSTO","SEPTIEMBRE","OCTUBRE","NOVIEMBRE","DICIEMBRE"))</f>
        <v/>
      </c>
      <c r="I126" s="34">
        <f>IF($A126="","",IF(OR($G126="SÁBADO",$G126="DOMINGO"),"FIN","LV"))</f>
        <v/>
      </c>
      <c r="J126" s="34">
        <f>IF(OR($A126="",$B126=""),"",IF($L126&lt;&gt;"",UPPER($L126),IF($C126="","FALTA",IFERROR(IF($C126&gt;=$O126,"ROJO FUERTE",IF($C126&gt;=$N126,"ROJO",IF($C126&gt;=$M126,"AMARILLO","VERDE"))),"REVISAR"))))</f>
        <v/>
      </c>
      <c r="K126" s="36">
        <f>IF(OR($C126="",$D126=""),"",IF($D126&gt;=$C126,($D126-$C126)*24,(1-$C126+$D126)*24))</f>
        <v/>
      </c>
      <c r="L126" s="34" t="n"/>
      <c r="M126" s="53">
        <f t="array" ref="M126">IFERROR(INDEX(EXCEPCIONES_FECHA!$D$2:$D$201,MATCH(1,(EXCEPCIONES_FECHA!$A$2:$A$201=$A126)*(EXCEPCIONES_FECHA!$B$2:$B$201=$B126),0)),IFERROR(INDEX(EXCEPCIONES_FECHA!$D$2:$D$201,MATCH(1,(EXCEPCIONES_FECHA!$A$2:$A$201=$A126)*(EXCEPCIONES_FECHA!$B$2:$B$201=""),0)),IFERROR(INDEX(IF($I126="FIN",HISTORIAL_HORARIOS!$J$2:$J$201,HISTORIAL_HORARIOS!$F$2:$F$201),MATCH(1,(HISTORIAL_HORARIOS!$A$2:$A$201=$B126)*(HISTORIAL_HORARIOS!$C$2:$C$201&lt;=$A126)*(HISTORIAL_HORARIOS!$D$2:$D$201&gt;=$A126),0)),INDEX(IF($I126="FIN",PERSONAL!$J$2:$J$80,PERSONAL!$F$2:$F$80),MATCH($B126,PERSONAL!$A$2:$A$80,0)))))</f>
        <v/>
      </c>
      <c r="N126" s="53">
        <f t="array" ref="N126">IFERROR(INDEX(EXCEPCIONES_FECHA!$E$2:$E$201,MATCH(1,(EXCEPCIONES_FECHA!$A$2:$A$201=$A126)*(EXCEPCIONES_FECHA!$B$2:$B$201=$B126),0)),IFERROR(INDEX(EXCEPCIONES_FECHA!$E$2:$E$201,MATCH(1,(EXCEPCIONES_FECHA!$A$2:$A$201=$A126)*(EXCEPCIONES_FECHA!$B$2:$B$201=""),0)),IFERROR(INDEX(IF($I126="FIN",HISTORIAL_HORARIOS!$K$2:$K$201,HISTORIAL_HORARIOS!$G$2:$G$201),MATCH(1,(HISTORIAL_HORARIOS!$A$2:$A$201=$B126)*(HISTORIAL_HORARIOS!$C$2:$C$201&lt;=$A126)*(HISTORIAL_HORARIOS!$D$2:$D$201&gt;=$A126),0)),INDEX(IF($I126="FIN",PERSONAL!$K$2:$K$80,PERSONAL!$G$2:$G$80),MATCH($B126,PERSONAL!$A$2:$A$80,0)))))</f>
        <v/>
      </c>
      <c r="O126" s="53">
        <f t="array" ref="O126">IFERROR(INDEX(EXCEPCIONES_FECHA!$F$2:$F$201,MATCH(1,(EXCEPCIONES_FECHA!$A$2:$A$201=$A126)*(EXCEPCIONES_FECHA!$B$2:$B$201=$B126),0)),IFERROR(INDEX(EXCEPCIONES_FECHA!$F$2:$F$201,MATCH(1,(EXCEPCIONES_FECHA!$A$2:$A$201=$A126)*(EXCEPCIONES_FECHA!$B$2:$B$201=""),0)),IFERROR(INDEX(IF($I126="FIN",HISTORIAL_HORARIOS!$L$2:$L$201,HISTORIAL_HORARIOS!$H$2:$H$201),MATCH(1,(HISTORIAL_HORARIOS!$A$2:$A$201=$B126)*(HISTORIAL_HORARIOS!$C$2:$C$201&lt;=$A126)*(HISTORIAL_HORARIOS!$D$2:$D$201&gt;=$A126),0)),INDEX(IF($I126="FIN",PERSONAL!$L$2:$L$80,PERSONAL!$H$2:$H$80),MATCH($B126,PERSONAL!$A$2:$A$80,0)))))</f>
        <v/>
      </c>
    </row>
    <row r="127" ht="15" customHeight="1" s="58">
      <c r="A127" s="37" t="n"/>
      <c r="B127" s="38" t="n"/>
      <c r="C127" s="39" t="n"/>
      <c r="D127" s="39" t="n"/>
      <c r="E127" s="34">
        <f t="array" ref="E127">IF($B127="","",IFERROR(INDEX(PERSONAL!$B$2:$B$80,MATCH($B127,PERSONAL!$A$2:$A$80,0)),"NO EXISTE"))</f>
        <v/>
      </c>
      <c r="F127" s="52">
        <f t="array" ref="F127">IF($B127="","",IFERROR(INDEX(PERSONAL!$C$2:$C$80,MATCH($B127,PERSONAL!$A$2:$A$80,0)),""))</f>
        <v/>
      </c>
      <c r="G127" s="52">
        <f>IF($A127="","",CHOOSE(WEEKDAY($A127,2),"LUNES","MARTES","MIÉRCOLES","JUEVES","VIERNES","SÁBADO","DOMINGO"))</f>
        <v/>
      </c>
      <c r="H127" s="34">
        <f>IF($A127="","",CHOOSE(MONTH($A127),"ENERO","FEBRERO","MARZO","ABRIL","MAYO","JUNIO","JULIO","AGOSTO","SEPTIEMBRE","OCTUBRE","NOVIEMBRE","DICIEMBRE"))</f>
        <v/>
      </c>
      <c r="I127" s="34">
        <f>IF($A127="","",IF(OR($G127="SÁBADO",$G127="DOMINGO"),"FIN","LV"))</f>
        <v/>
      </c>
      <c r="J127" s="34">
        <f>IF(OR($A127="",$B127=""),"",IF($L127&lt;&gt;"",UPPER($L127),IF($C127="","FALTA",IFERROR(IF($C127&gt;=$O127,"ROJO FUERTE",IF($C127&gt;=$N127,"ROJO",IF($C127&gt;=$M127,"AMARILLO","VERDE"))),"REVISAR"))))</f>
        <v/>
      </c>
      <c r="K127" s="36">
        <f>IF(OR($C127="",$D127=""),"",IF($D127&gt;=$C127,($D127-$C127)*24,(1-$C127+$D127)*24))</f>
        <v/>
      </c>
      <c r="L127" s="34" t="n"/>
      <c r="M127" s="53">
        <f t="array" ref="M127">IFERROR(INDEX(EXCEPCIONES_FECHA!$D$2:$D$201,MATCH(1,(EXCEPCIONES_FECHA!$A$2:$A$201=$A127)*(EXCEPCIONES_FECHA!$B$2:$B$201=$B127),0)),IFERROR(INDEX(EXCEPCIONES_FECHA!$D$2:$D$201,MATCH(1,(EXCEPCIONES_FECHA!$A$2:$A$201=$A127)*(EXCEPCIONES_FECHA!$B$2:$B$201=""),0)),IFERROR(INDEX(IF($I127="FIN",HISTORIAL_HORARIOS!$J$2:$J$201,HISTORIAL_HORARIOS!$F$2:$F$201),MATCH(1,(HISTORIAL_HORARIOS!$A$2:$A$201=$B127)*(HISTORIAL_HORARIOS!$C$2:$C$201&lt;=$A127)*(HISTORIAL_HORARIOS!$D$2:$D$201&gt;=$A127),0)),INDEX(IF($I127="FIN",PERSONAL!$J$2:$J$80,PERSONAL!$F$2:$F$80),MATCH($B127,PERSONAL!$A$2:$A$80,0)))))</f>
        <v/>
      </c>
      <c r="N127" s="53">
        <f t="array" ref="N127">IFERROR(INDEX(EXCEPCIONES_FECHA!$E$2:$E$201,MATCH(1,(EXCEPCIONES_FECHA!$A$2:$A$201=$A127)*(EXCEPCIONES_FECHA!$B$2:$B$201=$B127),0)),IFERROR(INDEX(EXCEPCIONES_FECHA!$E$2:$E$201,MATCH(1,(EXCEPCIONES_FECHA!$A$2:$A$201=$A127)*(EXCEPCIONES_FECHA!$B$2:$B$201=""),0)),IFERROR(INDEX(IF($I127="FIN",HISTORIAL_HORARIOS!$K$2:$K$201,HISTORIAL_HORARIOS!$G$2:$G$201),MATCH(1,(HISTORIAL_HORARIOS!$A$2:$A$201=$B127)*(HISTORIAL_HORARIOS!$C$2:$C$201&lt;=$A127)*(HISTORIAL_HORARIOS!$D$2:$D$201&gt;=$A127),0)),INDEX(IF($I127="FIN",PERSONAL!$K$2:$K$80,PERSONAL!$G$2:$G$80),MATCH($B127,PERSONAL!$A$2:$A$80,0)))))</f>
        <v/>
      </c>
      <c r="O127" s="53">
        <f t="array" ref="O127">IFERROR(INDEX(EXCEPCIONES_FECHA!$F$2:$F$201,MATCH(1,(EXCEPCIONES_FECHA!$A$2:$A$201=$A127)*(EXCEPCIONES_FECHA!$B$2:$B$201=$B127),0)),IFERROR(INDEX(EXCEPCIONES_FECHA!$F$2:$F$201,MATCH(1,(EXCEPCIONES_FECHA!$A$2:$A$201=$A127)*(EXCEPCIONES_FECHA!$B$2:$B$201=""),0)),IFERROR(INDEX(IF($I127="FIN",HISTORIAL_HORARIOS!$L$2:$L$201,HISTORIAL_HORARIOS!$H$2:$H$201),MATCH(1,(HISTORIAL_HORARIOS!$A$2:$A$201=$B127)*(HISTORIAL_HORARIOS!$C$2:$C$201&lt;=$A127)*(HISTORIAL_HORARIOS!$D$2:$D$201&gt;=$A127),0)),INDEX(IF($I127="FIN",PERSONAL!$L$2:$L$80,PERSONAL!$H$2:$H$80),MATCH($B127,PERSONAL!$A$2:$A$80,0)))))</f>
        <v/>
      </c>
    </row>
    <row r="128" ht="15" customHeight="1" s="58">
      <c r="A128" s="37" t="n"/>
      <c r="B128" s="38" t="n"/>
      <c r="C128" s="39" t="n"/>
      <c r="D128" s="39" t="n"/>
      <c r="E128" s="34">
        <f t="array" ref="E128">IF($B128="","",IFERROR(INDEX(PERSONAL!$B$2:$B$80,MATCH($B128,PERSONAL!$A$2:$A$80,0)),"NO EXISTE"))</f>
        <v/>
      </c>
      <c r="F128" s="52">
        <f t="array" ref="F128">IF($B128="","",IFERROR(INDEX(PERSONAL!$C$2:$C$80,MATCH($B128,PERSONAL!$A$2:$A$80,0)),""))</f>
        <v/>
      </c>
      <c r="G128" s="52">
        <f>IF($A128="","",CHOOSE(WEEKDAY($A128,2),"LUNES","MARTES","MIÉRCOLES","JUEVES","VIERNES","SÁBADO","DOMINGO"))</f>
        <v/>
      </c>
      <c r="H128" s="34">
        <f>IF($A128="","",CHOOSE(MONTH($A128),"ENERO","FEBRERO","MARZO","ABRIL","MAYO","JUNIO","JULIO","AGOSTO","SEPTIEMBRE","OCTUBRE","NOVIEMBRE","DICIEMBRE"))</f>
        <v/>
      </c>
      <c r="I128" s="34">
        <f>IF($A128="","",IF(OR($G128="SÁBADO",$G128="DOMINGO"),"FIN","LV"))</f>
        <v/>
      </c>
      <c r="J128" s="34">
        <f>IF(OR($A128="",$B128=""),"",IF($L128&lt;&gt;"",UPPER($L128),IF($C128="","FALTA",IFERROR(IF($C128&gt;=$O128,"ROJO FUERTE",IF($C128&gt;=$N128,"ROJO",IF($C128&gt;=$M128,"AMARILLO","VERDE"))),"REVISAR"))))</f>
        <v/>
      </c>
      <c r="K128" s="36">
        <f>IF(OR($C128="",$D128=""),"",IF($D128&gt;=$C128,($D128-$C128)*24,(1-$C128+$D128)*24))</f>
        <v/>
      </c>
      <c r="L128" s="34" t="n"/>
      <c r="M128" s="53">
        <f t="array" ref="M128">IFERROR(INDEX(EXCEPCIONES_FECHA!$D$2:$D$201,MATCH(1,(EXCEPCIONES_FECHA!$A$2:$A$201=$A128)*(EXCEPCIONES_FECHA!$B$2:$B$201=$B128),0)),IFERROR(INDEX(EXCEPCIONES_FECHA!$D$2:$D$201,MATCH(1,(EXCEPCIONES_FECHA!$A$2:$A$201=$A128)*(EXCEPCIONES_FECHA!$B$2:$B$201=""),0)),IFERROR(INDEX(IF($I128="FIN",HISTORIAL_HORARIOS!$J$2:$J$201,HISTORIAL_HORARIOS!$F$2:$F$201),MATCH(1,(HISTORIAL_HORARIOS!$A$2:$A$201=$B128)*(HISTORIAL_HORARIOS!$C$2:$C$201&lt;=$A128)*(HISTORIAL_HORARIOS!$D$2:$D$201&gt;=$A128),0)),INDEX(IF($I128="FIN",PERSONAL!$J$2:$J$80,PERSONAL!$F$2:$F$80),MATCH($B128,PERSONAL!$A$2:$A$80,0)))))</f>
        <v/>
      </c>
      <c r="N128" s="53">
        <f t="array" ref="N128">IFERROR(INDEX(EXCEPCIONES_FECHA!$E$2:$E$201,MATCH(1,(EXCEPCIONES_FECHA!$A$2:$A$201=$A128)*(EXCEPCIONES_FECHA!$B$2:$B$201=$B128),0)),IFERROR(INDEX(EXCEPCIONES_FECHA!$E$2:$E$201,MATCH(1,(EXCEPCIONES_FECHA!$A$2:$A$201=$A128)*(EXCEPCIONES_FECHA!$B$2:$B$201=""),0)),IFERROR(INDEX(IF($I128="FIN",HISTORIAL_HORARIOS!$K$2:$K$201,HISTORIAL_HORARIOS!$G$2:$G$201),MATCH(1,(HISTORIAL_HORARIOS!$A$2:$A$201=$B128)*(HISTORIAL_HORARIOS!$C$2:$C$201&lt;=$A128)*(HISTORIAL_HORARIOS!$D$2:$D$201&gt;=$A128),0)),INDEX(IF($I128="FIN",PERSONAL!$K$2:$K$80,PERSONAL!$G$2:$G$80),MATCH($B128,PERSONAL!$A$2:$A$80,0)))))</f>
        <v/>
      </c>
      <c r="O128" s="53">
        <f t="array" ref="O128">IFERROR(INDEX(EXCEPCIONES_FECHA!$F$2:$F$201,MATCH(1,(EXCEPCIONES_FECHA!$A$2:$A$201=$A128)*(EXCEPCIONES_FECHA!$B$2:$B$201=$B128),0)),IFERROR(INDEX(EXCEPCIONES_FECHA!$F$2:$F$201,MATCH(1,(EXCEPCIONES_FECHA!$A$2:$A$201=$A128)*(EXCEPCIONES_FECHA!$B$2:$B$201=""),0)),IFERROR(INDEX(IF($I128="FIN",HISTORIAL_HORARIOS!$L$2:$L$201,HISTORIAL_HORARIOS!$H$2:$H$201),MATCH(1,(HISTORIAL_HORARIOS!$A$2:$A$201=$B128)*(HISTORIAL_HORARIOS!$C$2:$C$201&lt;=$A128)*(HISTORIAL_HORARIOS!$D$2:$D$201&gt;=$A128),0)),INDEX(IF($I128="FIN",PERSONAL!$L$2:$L$80,PERSONAL!$H$2:$H$80),MATCH($B128,PERSONAL!$A$2:$A$80,0)))))</f>
        <v/>
      </c>
    </row>
    <row r="129" ht="15" customHeight="1" s="58">
      <c r="A129" s="37" t="n"/>
      <c r="B129" s="38" t="n"/>
      <c r="C129" s="39" t="n"/>
      <c r="D129" s="39" t="n"/>
      <c r="E129" s="34">
        <f t="array" ref="E129">IF($B129="","",IFERROR(INDEX(PERSONAL!$B$2:$B$80,MATCH($B129,PERSONAL!$A$2:$A$80,0)),"NO EXISTE"))</f>
        <v/>
      </c>
      <c r="F129" s="52">
        <f t="array" ref="F129">IF($B129="","",IFERROR(INDEX(PERSONAL!$C$2:$C$80,MATCH($B129,PERSONAL!$A$2:$A$80,0)),""))</f>
        <v/>
      </c>
      <c r="G129" s="52">
        <f>IF($A129="","",CHOOSE(WEEKDAY($A129,2),"LUNES","MARTES","MIÉRCOLES","JUEVES","VIERNES","SÁBADO","DOMINGO"))</f>
        <v/>
      </c>
      <c r="H129" s="34">
        <f>IF($A129="","",CHOOSE(MONTH($A129),"ENERO","FEBRERO","MARZO","ABRIL","MAYO","JUNIO","JULIO","AGOSTO","SEPTIEMBRE","OCTUBRE","NOVIEMBRE","DICIEMBRE"))</f>
        <v/>
      </c>
      <c r="I129" s="34">
        <f>IF($A129="","",IF(OR($G129="SÁBADO",$G129="DOMINGO"),"FIN","LV"))</f>
        <v/>
      </c>
      <c r="J129" s="34">
        <f>IF(OR($A129="",$B129=""),"",IF($L129&lt;&gt;"",UPPER($L129),IF($C129="","FALTA",IFERROR(IF($C129&gt;=$O129,"ROJO FUERTE",IF($C129&gt;=$N129,"ROJO",IF($C129&gt;=$M129,"AMARILLO","VERDE"))),"REVISAR"))))</f>
        <v/>
      </c>
      <c r="K129" s="36">
        <f>IF(OR($C129="",$D129=""),"",IF($D129&gt;=$C129,($D129-$C129)*24,(1-$C129+$D129)*24))</f>
        <v/>
      </c>
      <c r="L129" s="34" t="n"/>
      <c r="M129" s="53">
        <f t="array" ref="M129">IFERROR(INDEX(EXCEPCIONES_FECHA!$D$2:$D$201,MATCH(1,(EXCEPCIONES_FECHA!$A$2:$A$201=$A129)*(EXCEPCIONES_FECHA!$B$2:$B$201=$B129),0)),IFERROR(INDEX(EXCEPCIONES_FECHA!$D$2:$D$201,MATCH(1,(EXCEPCIONES_FECHA!$A$2:$A$201=$A129)*(EXCEPCIONES_FECHA!$B$2:$B$201=""),0)),IFERROR(INDEX(IF($I129="FIN",HISTORIAL_HORARIOS!$J$2:$J$201,HISTORIAL_HORARIOS!$F$2:$F$201),MATCH(1,(HISTORIAL_HORARIOS!$A$2:$A$201=$B129)*(HISTORIAL_HORARIOS!$C$2:$C$201&lt;=$A129)*(HISTORIAL_HORARIOS!$D$2:$D$201&gt;=$A129),0)),INDEX(IF($I129="FIN",PERSONAL!$J$2:$J$80,PERSONAL!$F$2:$F$80),MATCH($B129,PERSONAL!$A$2:$A$80,0)))))</f>
        <v/>
      </c>
      <c r="N129" s="53">
        <f t="array" ref="N129">IFERROR(INDEX(EXCEPCIONES_FECHA!$E$2:$E$201,MATCH(1,(EXCEPCIONES_FECHA!$A$2:$A$201=$A129)*(EXCEPCIONES_FECHA!$B$2:$B$201=$B129),0)),IFERROR(INDEX(EXCEPCIONES_FECHA!$E$2:$E$201,MATCH(1,(EXCEPCIONES_FECHA!$A$2:$A$201=$A129)*(EXCEPCIONES_FECHA!$B$2:$B$201=""),0)),IFERROR(INDEX(IF($I129="FIN",HISTORIAL_HORARIOS!$K$2:$K$201,HISTORIAL_HORARIOS!$G$2:$G$201),MATCH(1,(HISTORIAL_HORARIOS!$A$2:$A$201=$B129)*(HISTORIAL_HORARIOS!$C$2:$C$201&lt;=$A129)*(HISTORIAL_HORARIOS!$D$2:$D$201&gt;=$A129),0)),INDEX(IF($I129="FIN",PERSONAL!$K$2:$K$80,PERSONAL!$G$2:$G$80),MATCH($B129,PERSONAL!$A$2:$A$80,0)))))</f>
        <v/>
      </c>
      <c r="O129" s="53">
        <f t="array" ref="O129">IFERROR(INDEX(EXCEPCIONES_FECHA!$F$2:$F$201,MATCH(1,(EXCEPCIONES_FECHA!$A$2:$A$201=$A129)*(EXCEPCIONES_FECHA!$B$2:$B$201=$B129),0)),IFERROR(INDEX(EXCEPCIONES_FECHA!$F$2:$F$201,MATCH(1,(EXCEPCIONES_FECHA!$A$2:$A$201=$A129)*(EXCEPCIONES_FECHA!$B$2:$B$201=""),0)),IFERROR(INDEX(IF($I129="FIN",HISTORIAL_HORARIOS!$L$2:$L$201,HISTORIAL_HORARIOS!$H$2:$H$201),MATCH(1,(HISTORIAL_HORARIOS!$A$2:$A$201=$B129)*(HISTORIAL_HORARIOS!$C$2:$C$201&lt;=$A129)*(HISTORIAL_HORARIOS!$D$2:$D$201&gt;=$A129),0)),INDEX(IF($I129="FIN",PERSONAL!$L$2:$L$80,PERSONAL!$H$2:$H$80),MATCH($B129,PERSONAL!$A$2:$A$80,0)))))</f>
        <v/>
      </c>
    </row>
    <row r="130" ht="15" customHeight="1" s="58">
      <c r="A130" s="37" t="n"/>
      <c r="B130" s="38" t="n"/>
      <c r="C130" s="39" t="n"/>
      <c r="D130" s="39" t="n"/>
      <c r="E130" s="34">
        <f t="array" ref="E130">IF($B130="","",IFERROR(INDEX(PERSONAL!$B$2:$B$80,MATCH($B130,PERSONAL!$A$2:$A$80,0)),"NO EXISTE"))</f>
        <v/>
      </c>
      <c r="F130" s="52">
        <f t="array" ref="F130">IF($B130="","",IFERROR(INDEX(PERSONAL!$C$2:$C$80,MATCH($B130,PERSONAL!$A$2:$A$80,0)),""))</f>
        <v/>
      </c>
      <c r="G130" s="52">
        <f>IF($A130="","",CHOOSE(WEEKDAY($A130,2),"LUNES","MARTES","MIÉRCOLES","JUEVES","VIERNES","SÁBADO","DOMINGO"))</f>
        <v/>
      </c>
      <c r="H130" s="34">
        <f>IF($A130="","",CHOOSE(MONTH($A130),"ENERO","FEBRERO","MARZO","ABRIL","MAYO","JUNIO","JULIO","AGOSTO","SEPTIEMBRE","OCTUBRE","NOVIEMBRE","DICIEMBRE"))</f>
        <v/>
      </c>
      <c r="I130" s="34">
        <f>IF($A130="","",IF(OR($G130="SÁBADO",$G130="DOMINGO"),"FIN","LV"))</f>
        <v/>
      </c>
      <c r="J130" s="34">
        <f>IF(OR($A130="",$B130=""),"",IF($L130&lt;&gt;"",UPPER($L130),IF($C130="","FALTA",IFERROR(IF($C130&gt;=$O130,"ROJO FUERTE",IF($C130&gt;=$N130,"ROJO",IF($C130&gt;=$M130,"AMARILLO","VERDE"))),"REVISAR"))))</f>
        <v/>
      </c>
      <c r="K130" s="36">
        <f>IF(OR($C130="",$D130=""),"",IF($D130&gt;=$C130,($D130-$C130)*24,(1-$C130+$D130)*24))</f>
        <v/>
      </c>
      <c r="L130" s="34" t="n"/>
      <c r="M130" s="53">
        <f t="array" ref="M130">IFERROR(INDEX(EXCEPCIONES_FECHA!$D$2:$D$201,MATCH(1,(EXCEPCIONES_FECHA!$A$2:$A$201=$A130)*(EXCEPCIONES_FECHA!$B$2:$B$201=$B130),0)),IFERROR(INDEX(EXCEPCIONES_FECHA!$D$2:$D$201,MATCH(1,(EXCEPCIONES_FECHA!$A$2:$A$201=$A130)*(EXCEPCIONES_FECHA!$B$2:$B$201=""),0)),IFERROR(INDEX(IF($I130="FIN",HISTORIAL_HORARIOS!$J$2:$J$201,HISTORIAL_HORARIOS!$F$2:$F$201),MATCH(1,(HISTORIAL_HORARIOS!$A$2:$A$201=$B130)*(HISTORIAL_HORARIOS!$C$2:$C$201&lt;=$A130)*(HISTORIAL_HORARIOS!$D$2:$D$201&gt;=$A130),0)),INDEX(IF($I130="FIN",PERSONAL!$J$2:$J$80,PERSONAL!$F$2:$F$80),MATCH($B130,PERSONAL!$A$2:$A$80,0)))))</f>
        <v/>
      </c>
      <c r="N130" s="53">
        <f t="array" ref="N130">IFERROR(INDEX(EXCEPCIONES_FECHA!$E$2:$E$201,MATCH(1,(EXCEPCIONES_FECHA!$A$2:$A$201=$A130)*(EXCEPCIONES_FECHA!$B$2:$B$201=$B130),0)),IFERROR(INDEX(EXCEPCIONES_FECHA!$E$2:$E$201,MATCH(1,(EXCEPCIONES_FECHA!$A$2:$A$201=$A130)*(EXCEPCIONES_FECHA!$B$2:$B$201=""),0)),IFERROR(INDEX(IF($I130="FIN",HISTORIAL_HORARIOS!$K$2:$K$201,HISTORIAL_HORARIOS!$G$2:$G$201),MATCH(1,(HISTORIAL_HORARIOS!$A$2:$A$201=$B130)*(HISTORIAL_HORARIOS!$C$2:$C$201&lt;=$A130)*(HISTORIAL_HORARIOS!$D$2:$D$201&gt;=$A130),0)),INDEX(IF($I130="FIN",PERSONAL!$K$2:$K$80,PERSONAL!$G$2:$G$80),MATCH($B130,PERSONAL!$A$2:$A$80,0)))))</f>
        <v/>
      </c>
      <c r="O130" s="53">
        <f t="array" ref="O130">IFERROR(INDEX(EXCEPCIONES_FECHA!$F$2:$F$201,MATCH(1,(EXCEPCIONES_FECHA!$A$2:$A$201=$A130)*(EXCEPCIONES_FECHA!$B$2:$B$201=$B130),0)),IFERROR(INDEX(EXCEPCIONES_FECHA!$F$2:$F$201,MATCH(1,(EXCEPCIONES_FECHA!$A$2:$A$201=$A130)*(EXCEPCIONES_FECHA!$B$2:$B$201=""),0)),IFERROR(INDEX(IF($I130="FIN",HISTORIAL_HORARIOS!$L$2:$L$201,HISTORIAL_HORARIOS!$H$2:$H$201),MATCH(1,(HISTORIAL_HORARIOS!$A$2:$A$201=$B130)*(HISTORIAL_HORARIOS!$C$2:$C$201&lt;=$A130)*(HISTORIAL_HORARIOS!$D$2:$D$201&gt;=$A130),0)),INDEX(IF($I130="FIN",PERSONAL!$L$2:$L$80,PERSONAL!$H$2:$H$80),MATCH($B130,PERSONAL!$A$2:$A$80,0)))))</f>
        <v/>
      </c>
    </row>
    <row r="131" ht="15" customHeight="1" s="58">
      <c r="A131" s="37" t="n"/>
      <c r="B131" s="38" t="n"/>
      <c r="C131" s="39" t="n"/>
      <c r="D131" s="39" t="n"/>
      <c r="E131" s="34">
        <f t="array" ref="E131">IF($B131="","",IFERROR(INDEX(PERSONAL!$B$2:$B$80,MATCH($B131,PERSONAL!$A$2:$A$80,0)),"NO EXISTE"))</f>
        <v/>
      </c>
      <c r="F131" s="52">
        <f t="array" ref="F131">IF($B131="","",IFERROR(INDEX(PERSONAL!$C$2:$C$80,MATCH($B131,PERSONAL!$A$2:$A$80,0)),""))</f>
        <v/>
      </c>
      <c r="G131" s="52">
        <f>IF($A131="","",CHOOSE(WEEKDAY($A131,2),"LUNES","MARTES","MIÉRCOLES","JUEVES","VIERNES","SÁBADO","DOMINGO"))</f>
        <v/>
      </c>
      <c r="H131" s="34">
        <f>IF($A131="","",CHOOSE(MONTH($A131),"ENERO","FEBRERO","MARZO","ABRIL","MAYO","JUNIO","JULIO","AGOSTO","SEPTIEMBRE","OCTUBRE","NOVIEMBRE","DICIEMBRE"))</f>
        <v/>
      </c>
      <c r="I131" s="34">
        <f>IF($A131="","",IF(OR($G131="SÁBADO",$G131="DOMINGO"),"FIN","LV"))</f>
        <v/>
      </c>
      <c r="J131" s="34">
        <f>IF(OR($A131="",$B131=""),"",IF($L131&lt;&gt;"",UPPER($L131),IF($C131="","FALTA",IFERROR(IF($C131&gt;=$O131,"ROJO FUERTE",IF($C131&gt;=$N131,"ROJO",IF($C131&gt;=$M131,"AMARILLO","VERDE"))),"REVISAR"))))</f>
        <v/>
      </c>
      <c r="K131" s="36">
        <f>IF(OR($C131="",$D131=""),"",IF($D131&gt;=$C131,($D131-$C131)*24,(1-$C131+$D131)*24))</f>
        <v/>
      </c>
      <c r="L131" s="34" t="n"/>
      <c r="M131" s="53">
        <f t="array" ref="M131">IFERROR(INDEX(EXCEPCIONES_FECHA!$D$2:$D$201,MATCH(1,(EXCEPCIONES_FECHA!$A$2:$A$201=$A131)*(EXCEPCIONES_FECHA!$B$2:$B$201=$B131),0)),IFERROR(INDEX(EXCEPCIONES_FECHA!$D$2:$D$201,MATCH(1,(EXCEPCIONES_FECHA!$A$2:$A$201=$A131)*(EXCEPCIONES_FECHA!$B$2:$B$201=""),0)),IFERROR(INDEX(IF($I131="FIN",HISTORIAL_HORARIOS!$J$2:$J$201,HISTORIAL_HORARIOS!$F$2:$F$201),MATCH(1,(HISTORIAL_HORARIOS!$A$2:$A$201=$B131)*(HISTORIAL_HORARIOS!$C$2:$C$201&lt;=$A131)*(HISTORIAL_HORARIOS!$D$2:$D$201&gt;=$A131),0)),INDEX(IF($I131="FIN",PERSONAL!$J$2:$J$80,PERSONAL!$F$2:$F$80),MATCH($B131,PERSONAL!$A$2:$A$80,0)))))</f>
        <v/>
      </c>
      <c r="N131" s="53">
        <f t="array" ref="N131">IFERROR(INDEX(EXCEPCIONES_FECHA!$E$2:$E$201,MATCH(1,(EXCEPCIONES_FECHA!$A$2:$A$201=$A131)*(EXCEPCIONES_FECHA!$B$2:$B$201=$B131),0)),IFERROR(INDEX(EXCEPCIONES_FECHA!$E$2:$E$201,MATCH(1,(EXCEPCIONES_FECHA!$A$2:$A$201=$A131)*(EXCEPCIONES_FECHA!$B$2:$B$201=""),0)),IFERROR(INDEX(IF($I131="FIN",HISTORIAL_HORARIOS!$K$2:$K$201,HISTORIAL_HORARIOS!$G$2:$G$201),MATCH(1,(HISTORIAL_HORARIOS!$A$2:$A$201=$B131)*(HISTORIAL_HORARIOS!$C$2:$C$201&lt;=$A131)*(HISTORIAL_HORARIOS!$D$2:$D$201&gt;=$A131),0)),INDEX(IF($I131="FIN",PERSONAL!$K$2:$K$80,PERSONAL!$G$2:$G$80),MATCH($B131,PERSONAL!$A$2:$A$80,0)))))</f>
        <v/>
      </c>
      <c r="O131" s="53">
        <f t="array" ref="O131">IFERROR(INDEX(EXCEPCIONES_FECHA!$F$2:$F$201,MATCH(1,(EXCEPCIONES_FECHA!$A$2:$A$201=$A131)*(EXCEPCIONES_FECHA!$B$2:$B$201=$B131),0)),IFERROR(INDEX(EXCEPCIONES_FECHA!$F$2:$F$201,MATCH(1,(EXCEPCIONES_FECHA!$A$2:$A$201=$A131)*(EXCEPCIONES_FECHA!$B$2:$B$201=""),0)),IFERROR(INDEX(IF($I131="FIN",HISTORIAL_HORARIOS!$L$2:$L$201,HISTORIAL_HORARIOS!$H$2:$H$201),MATCH(1,(HISTORIAL_HORARIOS!$A$2:$A$201=$B131)*(HISTORIAL_HORARIOS!$C$2:$C$201&lt;=$A131)*(HISTORIAL_HORARIOS!$D$2:$D$201&gt;=$A131),0)),INDEX(IF($I131="FIN",PERSONAL!$L$2:$L$80,PERSONAL!$H$2:$H$80),MATCH($B131,PERSONAL!$A$2:$A$80,0)))))</f>
        <v/>
      </c>
    </row>
    <row r="132" ht="15" customHeight="1" s="58">
      <c r="A132" s="37" t="n"/>
      <c r="B132" s="38" t="n"/>
      <c r="C132" s="39" t="n"/>
      <c r="D132" s="39" t="n"/>
      <c r="E132" s="34">
        <f t="array" ref="E132">IF($B132="","",IFERROR(INDEX(PERSONAL!$B$2:$B$80,MATCH($B132,PERSONAL!$A$2:$A$80,0)),"NO EXISTE"))</f>
        <v/>
      </c>
      <c r="F132" s="52">
        <f t="array" ref="F132">IF($B132="","",IFERROR(INDEX(PERSONAL!$C$2:$C$80,MATCH($B132,PERSONAL!$A$2:$A$80,0)),""))</f>
        <v/>
      </c>
      <c r="G132" s="52">
        <f>IF($A132="","",CHOOSE(WEEKDAY($A132,2),"LUNES","MARTES","MIÉRCOLES","JUEVES","VIERNES","SÁBADO","DOMINGO"))</f>
        <v/>
      </c>
      <c r="H132" s="34">
        <f>IF($A132="","",CHOOSE(MONTH($A132),"ENERO","FEBRERO","MARZO","ABRIL","MAYO","JUNIO","JULIO","AGOSTO","SEPTIEMBRE","OCTUBRE","NOVIEMBRE","DICIEMBRE"))</f>
        <v/>
      </c>
      <c r="I132" s="34">
        <f>IF($A132="","",IF(OR($G132="SÁBADO",$G132="DOMINGO"),"FIN","LV"))</f>
        <v/>
      </c>
      <c r="J132" s="34">
        <f>IF(OR($A132="",$B132=""),"",IF($L132&lt;&gt;"",UPPER($L132),IF($C132="","FALTA",IFERROR(IF($C132&gt;=$O132,"ROJO FUERTE",IF($C132&gt;=$N132,"ROJO",IF($C132&gt;=$M132,"AMARILLO","VERDE"))),"REVISAR"))))</f>
        <v/>
      </c>
      <c r="K132" s="36">
        <f>IF(OR($C132="",$D132=""),"",IF($D132&gt;=$C132,($D132-$C132)*24,(1-$C132+$D132)*24))</f>
        <v/>
      </c>
      <c r="L132" s="34" t="n"/>
      <c r="M132" s="53">
        <f t="array" ref="M132">IFERROR(INDEX(EXCEPCIONES_FECHA!$D$2:$D$201,MATCH(1,(EXCEPCIONES_FECHA!$A$2:$A$201=$A132)*(EXCEPCIONES_FECHA!$B$2:$B$201=$B132),0)),IFERROR(INDEX(EXCEPCIONES_FECHA!$D$2:$D$201,MATCH(1,(EXCEPCIONES_FECHA!$A$2:$A$201=$A132)*(EXCEPCIONES_FECHA!$B$2:$B$201=""),0)),IFERROR(INDEX(IF($I132="FIN",HISTORIAL_HORARIOS!$J$2:$J$201,HISTORIAL_HORARIOS!$F$2:$F$201),MATCH(1,(HISTORIAL_HORARIOS!$A$2:$A$201=$B132)*(HISTORIAL_HORARIOS!$C$2:$C$201&lt;=$A132)*(HISTORIAL_HORARIOS!$D$2:$D$201&gt;=$A132),0)),INDEX(IF($I132="FIN",PERSONAL!$J$2:$J$80,PERSONAL!$F$2:$F$80),MATCH($B132,PERSONAL!$A$2:$A$80,0)))))</f>
        <v/>
      </c>
      <c r="N132" s="53">
        <f t="array" ref="N132">IFERROR(INDEX(EXCEPCIONES_FECHA!$E$2:$E$201,MATCH(1,(EXCEPCIONES_FECHA!$A$2:$A$201=$A132)*(EXCEPCIONES_FECHA!$B$2:$B$201=$B132),0)),IFERROR(INDEX(EXCEPCIONES_FECHA!$E$2:$E$201,MATCH(1,(EXCEPCIONES_FECHA!$A$2:$A$201=$A132)*(EXCEPCIONES_FECHA!$B$2:$B$201=""),0)),IFERROR(INDEX(IF($I132="FIN",HISTORIAL_HORARIOS!$K$2:$K$201,HISTORIAL_HORARIOS!$G$2:$G$201),MATCH(1,(HISTORIAL_HORARIOS!$A$2:$A$201=$B132)*(HISTORIAL_HORARIOS!$C$2:$C$201&lt;=$A132)*(HISTORIAL_HORARIOS!$D$2:$D$201&gt;=$A132),0)),INDEX(IF($I132="FIN",PERSONAL!$K$2:$K$80,PERSONAL!$G$2:$G$80),MATCH($B132,PERSONAL!$A$2:$A$80,0)))))</f>
        <v/>
      </c>
      <c r="O132" s="53">
        <f t="array" ref="O132">IFERROR(INDEX(EXCEPCIONES_FECHA!$F$2:$F$201,MATCH(1,(EXCEPCIONES_FECHA!$A$2:$A$201=$A132)*(EXCEPCIONES_FECHA!$B$2:$B$201=$B132),0)),IFERROR(INDEX(EXCEPCIONES_FECHA!$F$2:$F$201,MATCH(1,(EXCEPCIONES_FECHA!$A$2:$A$201=$A132)*(EXCEPCIONES_FECHA!$B$2:$B$201=""),0)),IFERROR(INDEX(IF($I132="FIN",HISTORIAL_HORARIOS!$L$2:$L$201,HISTORIAL_HORARIOS!$H$2:$H$201),MATCH(1,(HISTORIAL_HORARIOS!$A$2:$A$201=$B132)*(HISTORIAL_HORARIOS!$C$2:$C$201&lt;=$A132)*(HISTORIAL_HORARIOS!$D$2:$D$201&gt;=$A132),0)),INDEX(IF($I132="FIN",PERSONAL!$L$2:$L$80,PERSONAL!$H$2:$H$80),MATCH($B132,PERSONAL!$A$2:$A$80,0)))))</f>
        <v/>
      </c>
    </row>
    <row r="133" ht="15" customHeight="1" s="58">
      <c r="A133" s="37" t="n"/>
      <c r="B133" s="38" t="n"/>
      <c r="C133" s="39" t="n"/>
      <c r="D133" s="39" t="n"/>
      <c r="E133" s="34">
        <f t="array" ref="E133">IF($B133="","",IFERROR(INDEX(PERSONAL!$B$2:$B$80,MATCH($B133,PERSONAL!$A$2:$A$80,0)),"NO EXISTE"))</f>
        <v/>
      </c>
      <c r="F133" s="52">
        <f t="array" ref="F133">IF($B133="","",IFERROR(INDEX(PERSONAL!$C$2:$C$80,MATCH($B133,PERSONAL!$A$2:$A$80,0)),""))</f>
        <v/>
      </c>
      <c r="G133" s="52">
        <f>IF($A133="","",CHOOSE(WEEKDAY($A133,2),"LUNES","MARTES","MIÉRCOLES","JUEVES","VIERNES","SÁBADO","DOMINGO"))</f>
        <v/>
      </c>
      <c r="H133" s="34">
        <f>IF($A133="","",CHOOSE(MONTH($A133),"ENERO","FEBRERO","MARZO","ABRIL","MAYO","JUNIO","JULIO","AGOSTO","SEPTIEMBRE","OCTUBRE","NOVIEMBRE","DICIEMBRE"))</f>
        <v/>
      </c>
      <c r="I133" s="34">
        <f>IF($A133="","",IF(OR($G133="SÁBADO",$G133="DOMINGO"),"FIN","LV"))</f>
        <v/>
      </c>
      <c r="J133" s="34">
        <f>IF(OR($A133="",$B133=""),"",IF($L133&lt;&gt;"",UPPER($L133),IF($C133="","FALTA",IFERROR(IF($C133&gt;=$O133,"ROJO FUERTE",IF($C133&gt;=$N133,"ROJO",IF($C133&gt;=$M133,"AMARILLO","VERDE"))),"REVISAR"))))</f>
        <v/>
      </c>
      <c r="K133" s="36">
        <f>IF(OR($C133="",$D133=""),"",IF($D133&gt;=$C133,($D133-$C133)*24,(1-$C133+$D133)*24))</f>
        <v/>
      </c>
      <c r="L133" s="34" t="n"/>
      <c r="M133" s="53">
        <f t="array" ref="M133">IFERROR(INDEX(EXCEPCIONES_FECHA!$D$2:$D$201,MATCH(1,(EXCEPCIONES_FECHA!$A$2:$A$201=$A133)*(EXCEPCIONES_FECHA!$B$2:$B$201=$B133),0)),IFERROR(INDEX(EXCEPCIONES_FECHA!$D$2:$D$201,MATCH(1,(EXCEPCIONES_FECHA!$A$2:$A$201=$A133)*(EXCEPCIONES_FECHA!$B$2:$B$201=""),0)),IFERROR(INDEX(IF($I133="FIN",HISTORIAL_HORARIOS!$J$2:$J$201,HISTORIAL_HORARIOS!$F$2:$F$201),MATCH(1,(HISTORIAL_HORARIOS!$A$2:$A$201=$B133)*(HISTORIAL_HORARIOS!$C$2:$C$201&lt;=$A133)*(HISTORIAL_HORARIOS!$D$2:$D$201&gt;=$A133),0)),INDEX(IF($I133="FIN",PERSONAL!$J$2:$J$80,PERSONAL!$F$2:$F$80),MATCH($B133,PERSONAL!$A$2:$A$80,0)))))</f>
        <v/>
      </c>
      <c r="N133" s="53">
        <f t="array" ref="N133">IFERROR(INDEX(EXCEPCIONES_FECHA!$E$2:$E$201,MATCH(1,(EXCEPCIONES_FECHA!$A$2:$A$201=$A133)*(EXCEPCIONES_FECHA!$B$2:$B$201=$B133),0)),IFERROR(INDEX(EXCEPCIONES_FECHA!$E$2:$E$201,MATCH(1,(EXCEPCIONES_FECHA!$A$2:$A$201=$A133)*(EXCEPCIONES_FECHA!$B$2:$B$201=""),0)),IFERROR(INDEX(IF($I133="FIN",HISTORIAL_HORARIOS!$K$2:$K$201,HISTORIAL_HORARIOS!$G$2:$G$201),MATCH(1,(HISTORIAL_HORARIOS!$A$2:$A$201=$B133)*(HISTORIAL_HORARIOS!$C$2:$C$201&lt;=$A133)*(HISTORIAL_HORARIOS!$D$2:$D$201&gt;=$A133),0)),INDEX(IF($I133="FIN",PERSONAL!$K$2:$K$80,PERSONAL!$G$2:$G$80),MATCH($B133,PERSONAL!$A$2:$A$80,0)))))</f>
        <v/>
      </c>
      <c r="O133" s="53">
        <f t="array" ref="O133">IFERROR(INDEX(EXCEPCIONES_FECHA!$F$2:$F$201,MATCH(1,(EXCEPCIONES_FECHA!$A$2:$A$201=$A133)*(EXCEPCIONES_FECHA!$B$2:$B$201=$B133),0)),IFERROR(INDEX(EXCEPCIONES_FECHA!$F$2:$F$201,MATCH(1,(EXCEPCIONES_FECHA!$A$2:$A$201=$A133)*(EXCEPCIONES_FECHA!$B$2:$B$201=""),0)),IFERROR(INDEX(IF($I133="FIN",HISTORIAL_HORARIOS!$L$2:$L$201,HISTORIAL_HORARIOS!$H$2:$H$201),MATCH(1,(HISTORIAL_HORARIOS!$A$2:$A$201=$B133)*(HISTORIAL_HORARIOS!$C$2:$C$201&lt;=$A133)*(HISTORIAL_HORARIOS!$D$2:$D$201&gt;=$A133),0)),INDEX(IF($I133="FIN",PERSONAL!$L$2:$L$80,PERSONAL!$H$2:$H$80),MATCH($B133,PERSONAL!$A$2:$A$80,0)))))</f>
        <v/>
      </c>
    </row>
    <row r="134" ht="15" customHeight="1" s="58">
      <c r="A134" s="37" t="n"/>
      <c r="B134" s="38" t="n"/>
      <c r="C134" s="39" t="n"/>
      <c r="D134" s="39" t="n"/>
      <c r="E134" s="34">
        <f t="array" ref="E134">IF($B134="","",IFERROR(INDEX(PERSONAL!$B$2:$B$80,MATCH($B134,PERSONAL!$A$2:$A$80,0)),"NO EXISTE"))</f>
        <v/>
      </c>
      <c r="F134" s="52">
        <f t="array" ref="F134">IF($B134="","",IFERROR(INDEX(PERSONAL!$C$2:$C$80,MATCH($B134,PERSONAL!$A$2:$A$80,0)),""))</f>
        <v/>
      </c>
      <c r="G134" s="52">
        <f>IF($A134="","",CHOOSE(WEEKDAY($A134,2),"LUNES","MARTES","MIÉRCOLES","JUEVES","VIERNES","SÁBADO","DOMINGO"))</f>
        <v/>
      </c>
      <c r="H134" s="34">
        <f>IF($A134="","",CHOOSE(MONTH($A134),"ENERO","FEBRERO","MARZO","ABRIL","MAYO","JUNIO","JULIO","AGOSTO","SEPTIEMBRE","OCTUBRE","NOVIEMBRE","DICIEMBRE"))</f>
        <v/>
      </c>
      <c r="I134" s="34">
        <f>IF($A134="","",IF(OR($G134="SÁBADO",$G134="DOMINGO"),"FIN","LV"))</f>
        <v/>
      </c>
      <c r="J134" s="34">
        <f>IF(OR($A134="",$B134=""),"",IF($L134&lt;&gt;"",UPPER($L134),IF($C134="","FALTA",IFERROR(IF($C134&gt;=$O134,"ROJO FUERTE",IF($C134&gt;=$N134,"ROJO",IF($C134&gt;=$M134,"AMARILLO","VERDE"))),"REVISAR"))))</f>
        <v/>
      </c>
      <c r="K134" s="36">
        <f>IF(OR($C134="",$D134=""),"",IF($D134&gt;=$C134,($D134-$C134)*24,(1-$C134+$D134)*24))</f>
        <v/>
      </c>
      <c r="L134" s="34" t="n"/>
      <c r="M134" s="53">
        <f t="array" ref="M134">IFERROR(INDEX(EXCEPCIONES_FECHA!$D$2:$D$201,MATCH(1,(EXCEPCIONES_FECHA!$A$2:$A$201=$A134)*(EXCEPCIONES_FECHA!$B$2:$B$201=$B134),0)),IFERROR(INDEX(EXCEPCIONES_FECHA!$D$2:$D$201,MATCH(1,(EXCEPCIONES_FECHA!$A$2:$A$201=$A134)*(EXCEPCIONES_FECHA!$B$2:$B$201=""),0)),IFERROR(INDEX(IF($I134="FIN",HISTORIAL_HORARIOS!$J$2:$J$201,HISTORIAL_HORARIOS!$F$2:$F$201),MATCH(1,(HISTORIAL_HORARIOS!$A$2:$A$201=$B134)*(HISTORIAL_HORARIOS!$C$2:$C$201&lt;=$A134)*(HISTORIAL_HORARIOS!$D$2:$D$201&gt;=$A134),0)),INDEX(IF($I134="FIN",PERSONAL!$J$2:$J$80,PERSONAL!$F$2:$F$80),MATCH($B134,PERSONAL!$A$2:$A$80,0)))))</f>
        <v/>
      </c>
      <c r="N134" s="53">
        <f t="array" ref="N134">IFERROR(INDEX(EXCEPCIONES_FECHA!$E$2:$E$201,MATCH(1,(EXCEPCIONES_FECHA!$A$2:$A$201=$A134)*(EXCEPCIONES_FECHA!$B$2:$B$201=$B134),0)),IFERROR(INDEX(EXCEPCIONES_FECHA!$E$2:$E$201,MATCH(1,(EXCEPCIONES_FECHA!$A$2:$A$201=$A134)*(EXCEPCIONES_FECHA!$B$2:$B$201=""),0)),IFERROR(INDEX(IF($I134="FIN",HISTORIAL_HORARIOS!$K$2:$K$201,HISTORIAL_HORARIOS!$G$2:$G$201),MATCH(1,(HISTORIAL_HORARIOS!$A$2:$A$201=$B134)*(HISTORIAL_HORARIOS!$C$2:$C$201&lt;=$A134)*(HISTORIAL_HORARIOS!$D$2:$D$201&gt;=$A134),0)),INDEX(IF($I134="FIN",PERSONAL!$K$2:$K$80,PERSONAL!$G$2:$G$80),MATCH($B134,PERSONAL!$A$2:$A$80,0)))))</f>
        <v/>
      </c>
      <c r="O134" s="53">
        <f t="array" ref="O134">IFERROR(INDEX(EXCEPCIONES_FECHA!$F$2:$F$201,MATCH(1,(EXCEPCIONES_FECHA!$A$2:$A$201=$A134)*(EXCEPCIONES_FECHA!$B$2:$B$201=$B134),0)),IFERROR(INDEX(EXCEPCIONES_FECHA!$F$2:$F$201,MATCH(1,(EXCEPCIONES_FECHA!$A$2:$A$201=$A134)*(EXCEPCIONES_FECHA!$B$2:$B$201=""),0)),IFERROR(INDEX(IF($I134="FIN",HISTORIAL_HORARIOS!$L$2:$L$201,HISTORIAL_HORARIOS!$H$2:$H$201),MATCH(1,(HISTORIAL_HORARIOS!$A$2:$A$201=$B134)*(HISTORIAL_HORARIOS!$C$2:$C$201&lt;=$A134)*(HISTORIAL_HORARIOS!$D$2:$D$201&gt;=$A134),0)),INDEX(IF($I134="FIN",PERSONAL!$L$2:$L$80,PERSONAL!$H$2:$H$80),MATCH($B134,PERSONAL!$A$2:$A$80,0)))))</f>
        <v/>
      </c>
    </row>
    <row r="135" ht="15" customHeight="1" s="58">
      <c r="A135" s="37" t="n"/>
      <c r="B135" s="38" t="n"/>
      <c r="C135" s="39" t="n"/>
      <c r="D135" s="39" t="n"/>
      <c r="E135" s="34">
        <f t="array" ref="E135">IF($B135="","",IFERROR(INDEX(PERSONAL!$B$2:$B$80,MATCH($B135,PERSONAL!$A$2:$A$80,0)),"NO EXISTE"))</f>
        <v/>
      </c>
      <c r="F135" s="52">
        <f t="array" ref="F135">IF($B135="","",IFERROR(INDEX(PERSONAL!$C$2:$C$80,MATCH($B135,PERSONAL!$A$2:$A$80,0)),""))</f>
        <v/>
      </c>
      <c r="G135" s="52">
        <f>IF($A135="","",CHOOSE(WEEKDAY($A135,2),"LUNES","MARTES","MIÉRCOLES","JUEVES","VIERNES","SÁBADO","DOMINGO"))</f>
        <v/>
      </c>
      <c r="H135" s="34">
        <f>IF($A135="","",CHOOSE(MONTH($A135),"ENERO","FEBRERO","MARZO","ABRIL","MAYO","JUNIO","JULIO","AGOSTO","SEPTIEMBRE","OCTUBRE","NOVIEMBRE","DICIEMBRE"))</f>
        <v/>
      </c>
      <c r="I135" s="34">
        <f>IF($A135="","",IF(OR($G135="SÁBADO",$G135="DOMINGO"),"FIN","LV"))</f>
        <v/>
      </c>
      <c r="J135" s="34">
        <f>IF(OR($A135="",$B135=""),"",IF($L135&lt;&gt;"",UPPER($L135),IF($C135="","FALTA",IFERROR(IF($C135&gt;=$O135,"ROJO FUERTE",IF($C135&gt;=$N135,"ROJO",IF($C135&gt;=$M135,"AMARILLO","VERDE"))),"REVISAR"))))</f>
        <v/>
      </c>
      <c r="K135" s="36">
        <f>IF(OR($C135="",$D135=""),"",IF($D135&gt;=$C135,($D135-$C135)*24,(1-$C135+$D135)*24))</f>
        <v/>
      </c>
      <c r="L135" s="34" t="n"/>
      <c r="M135" s="53">
        <f t="array" ref="M135">IFERROR(INDEX(EXCEPCIONES_FECHA!$D$2:$D$201,MATCH(1,(EXCEPCIONES_FECHA!$A$2:$A$201=$A135)*(EXCEPCIONES_FECHA!$B$2:$B$201=$B135),0)),IFERROR(INDEX(EXCEPCIONES_FECHA!$D$2:$D$201,MATCH(1,(EXCEPCIONES_FECHA!$A$2:$A$201=$A135)*(EXCEPCIONES_FECHA!$B$2:$B$201=""),0)),IFERROR(INDEX(IF($I135="FIN",HISTORIAL_HORARIOS!$J$2:$J$201,HISTORIAL_HORARIOS!$F$2:$F$201),MATCH(1,(HISTORIAL_HORARIOS!$A$2:$A$201=$B135)*(HISTORIAL_HORARIOS!$C$2:$C$201&lt;=$A135)*(HISTORIAL_HORARIOS!$D$2:$D$201&gt;=$A135),0)),INDEX(IF($I135="FIN",PERSONAL!$J$2:$J$80,PERSONAL!$F$2:$F$80),MATCH($B135,PERSONAL!$A$2:$A$80,0)))))</f>
        <v/>
      </c>
      <c r="N135" s="53">
        <f t="array" ref="N135">IFERROR(INDEX(EXCEPCIONES_FECHA!$E$2:$E$201,MATCH(1,(EXCEPCIONES_FECHA!$A$2:$A$201=$A135)*(EXCEPCIONES_FECHA!$B$2:$B$201=$B135),0)),IFERROR(INDEX(EXCEPCIONES_FECHA!$E$2:$E$201,MATCH(1,(EXCEPCIONES_FECHA!$A$2:$A$201=$A135)*(EXCEPCIONES_FECHA!$B$2:$B$201=""),0)),IFERROR(INDEX(IF($I135="FIN",HISTORIAL_HORARIOS!$K$2:$K$201,HISTORIAL_HORARIOS!$G$2:$G$201),MATCH(1,(HISTORIAL_HORARIOS!$A$2:$A$201=$B135)*(HISTORIAL_HORARIOS!$C$2:$C$201&lt;=$A135)*(HISTORIAL_HORARIOS!$D$2:$D$201&gt;=$A135),0)),INDEX(IF($I135="FIN",PERSONAL!$K$2:$K$80,PERSONAL!$G$2:$G$80),MATCH($B135,PERSONAL!$A$2:$A$80,0)))))</f>
        <v/>
      </c>
      <c r="O135" s="53">
        <f t="array" ref="O135">IFERROR(INDEX(EXCEPCIONES_FECHA!$F$2:$F$201,MATCH(1,(EXCEPCIONES_FECHA!$A$2:$A$201=$A135)*(EXCEPCIONES_FECHA!$B$2:$B$201=$B135),0)),IFERROR(INDEX(EXCEPCIONES_FECHA!$F$2:$F$201,MATCH(1,(EXCEPCIONES_FECHA!$A$2:$A$201=$A135)*(EXCEPCIONES_FECHA!$B$2:$B$201=""),0)),IFERROR(INDEX(IF($I135="FIN",HISTORIAL_HORARIOS!$L$2:$L$201,HISTORIAL_HORARIOS!$H$2:$H$201),MATCH(1,(HISTORIAL_HORARIOS!$A$2:$A$201=$B135)*(HISTORIAL_HORARIOS!$C$2:$C$201&lt;=$A135)*(HISTORIAL_HORARIOS!$D$2:$D$201&gt;=$A135),0)),INDEX(IF($I135="FIN",PERSONAL!$L$2:$L$80,PERSONAL!$H$2:$H$80),MATCH($B135,PERSONAL!$A$2:$A$80,0)))))</f>
        <v/>
      </c>
    </row>
    <row r="136" ht="15" customHeight="1" s="58">
      <c r="A136" s="37" t="n"/>
      <c r="B136" s="38" t="n"/>
      <c r="C136" s="39" t="n"/>
      <c r="D136" s="39" t="n"/>
      <c r="E136" s="34">
        <f t="array" ref="E136">IF($B136="","",IFERROR(INDEX(PERSONAL!$B$2:$B$80,MATCH($B136,PERSONAL!$A$2:$A$80,0)),"NO EXISTE"))</f>
        <v/>
      </c>
      <c r="F136" s="52">
        <f t="array" ref="F136">IF($B136="","",IFERROR(INDEX(PERSONAL!$C$2:$C$80,MATCH($B136,PERSONAL!$A$2:$A$80,0)),""))</f>
        <v/>
      </c>
      <c r="G136" s="52">
        <f>IF($A136="","",CHOOSE(WEEKDAY($A136,2),"LUNES","MARTES","MIÉRCOLES","JUEVES","VIERNES","SÁBADO","DOMINGO"))</f>
        <v/>
      </c>
      <c r="H136" s="34">
        <f>IF($A136="","",CHOOSE(MONTH($A136),"ENERO","FEBRERO","MARZO","ABRIL","MAYO","JUNIO","JULIO","AGOSTO","SEPTIEMBRE","OCTUBRE","NOVIEMBRE","DICIEMBRE"))</f>
        <v/>
      </c>
      <c r="I136" s="34">
        <f>IF($A136="","",IF(OR($G136="SÁBADO",$G136="DOMINGO"),"FIN","LV"))</f>
        <v/>
      </c>
      <c r="J136" s="34">
        <f>IF(OR($A136="",$B136=""),"",IF($L136&lt;&gt;"",UPPER($L136),IF($C136="","FALTA",IFERROR(IF($C136&gt;=$O136,"ROJO FUERTE",IF($C136&gt;=$N136,"ROJO",IF($C136&gt;=$M136,"AMARILLO","VERDE"))),"REVISAR"))))</f>
        <v/>
      </c>
      <c r="K136" s="36">
        <f>IF(OR($C136="",$D136=""),"",IF($D136&gt;=$C136,($D136-$C136)*24,(1-$C136+$D136)*24))</f>
        <v/>
      </c>
      <c r="L136" s="34" t="n"/>
      <c r="M136" s="53">
        <f t="array" ref="M136">IFERROR(INDEX(EXCEPCIONES_FECHA!$D$2:$D$201,MATCH(1,(EXCEPCIONES_FECHA!$A$2:$A$201=$A136)*(EXCEPCIONES_FECHA!$B$2:$B$201=$B136),0)),IFERROR(INDEX(EXCEPCIONES_FECHA!$D$2:$D$201,MATCH(1,(EXCEPCIONES_FECHA!$A$2:$A$201=$A136)*(EXCEPCIONES_FECHA!$B$2:$B$201=""),0)),IFERROR(INDEX(IF($I136="FIN",HISTORIAL_HORARIOS!$J$2:$J$201,HISTORIAL_HORARIOS!$F$2:$F$201),MATCH(1,(HISTORIAL_HORARIOS!$A$2:$A$201=$B136)*(HISTORIAL_HORARIOS!$C$2:$C$201&lt;=$A136)*(HISTORIAL_HORARIOS!$D$2:$D$201&gt;=$A136),0)),INDEX(IF($I136="FIN",PERSONAL!$J$2:$J$80,PERSONAL!$F$2:$F$80),MATCH($B136,PERSONAL!$A$2:$A$80,0)))))</f>
        <v/>
      </c>
      <c r="N136" s="53">
        <f t="array" ref="N136">IFERROR(INDEX(EXCEPCIONES_FECHA!$E$2:$E$201,MATCH(1,(EXCEPCIONES_FECHA!$A$2:$A$201=$A136)*(EXCEPCIONES_FECHA!$B$2:$B$201=$B136),0)),IFERROR(INDEX(EXCEPCIONES_FECHA!$E$2:$E$201,MATCH(1,(EXCEPCIONES_FECHA!$A$2:$A$201=$A136)*(EXCEPCIONES_FECHA!$B$2:$B$201=""),0)),IFERROR(INDEX(IF($I136="FIN",HISTORIAL_HORARIOS!$K$2:$K$201,HISTORIAL_HORARIOS!$G$2:$G$201),MATCH(1,(HISTORIAL_HORARIOS!$A$2:$A$201=$B136)*(HISTORIAL_HORARIOS!$C$2:$C$201&lt;=$A136)*(HISTORIAL_HORARIOS!$D$2:$D$201&gt;=$A136),0)),INDEX(IF($I136="FIN",PERSONAL!$K$2:$K$80,PERSONAL!$G$2:$G$80),MATCH($B136,PERSONAL!$A$2:$A$80,0)))))</f>
        <v/>
      </c>
      <c r="O136" s="53">
        <f t="array" ref="O136">IFERROR(INDEX(EXCEPCIONES_FECHA!$F$2:$F$201,MATCH(1,(EXCEPCIONES_FECHA!$A$2:$A$201=$A136)*(EXCEPCIONES_FECHA!$B$2:$B$201=$B136),0)),IFERROR(INDEX(EXCEPCIONES_FECHA!$F$2:$F$201,MATCH(1,(EXCEPCIONES_FECHA!$A$2:$A$201=$A136)*(EXCEPCIONES_FECHA!$B$2:$B$201=""),0)),IFERROR(INDEX(IF($I136="FIN",HISTORIAL_HORARIOS!$L$2:$L$201,HISTORIAL_HORARIOS!$H$2:$H$201),MATCH(1,(HISTORIAL_HORARIOS!$A$2:$A$201=$B136)*(HISTORIAL_HORARIOS!$C$2:$C$201&lt;=$A136)*(HISTORIAL_HORARIOS!$D$2:$D$201&gt;=$A136),0)),INDEX(IF($I136="FIN",PERSONAL!$L$2:$L$80,PERSONAL!$H$2:$H$80),MATCH($B136,PERSONAL!$A$2:$A$80,0)))))</f>
        <v/>
      </c>
    </row>
    <row r="137" ht="15" customHeight="1" s="58">
      <c r="A137" s="37" t="n"/>
      <c r="B137" s="38" t="n"/>
      <c r="C137" s="39" t="n"/>
      <c r="D137" s="39" t="n"/>
      <c r="E137" s="34">
        <f t="array" ref="E137">IF($B137="","",IFERROR(INDEX(PERSONAL!$B$2:$B$80,MATCH($B137,PERSONAL!$A$2:$A$80,0)),"NO EXISTE"))</f>
        <v/>
      </c>
      <c r="F137" s="52">
        <f t="array" ref="F137">IF($B137="","",IFERROR(INDEX(PERSONAL!$C$2:$C$80,MATCH($B137,PERSONAL!$A$2:$A$80,0)),""))</f>
        <v/>
      </c>
      <c r="G137" s="52">
        <f>IF($A137="","",CHOOSE(WEEKDAY($A137,2),"LUNES","MARTES","MIÉRCOLES","JUEVES","VIERNES","SÁBADO","DOMINGO"))</f>
        <v/>
      </c>
      <c r="H137" s="34">
        <f>IF($A137="","",CHOOSE(MONTH($A137),"ENERO","FEBRERO","MARZO","ABRIL","MAYO","JUNIO","JULIO","AGOSTO","SEPTIEMBRE","OCTUBRE","NOVIEMBRE","DICIEMBRE"))</f>
        <v/>
      </c>
      <c r="I137" s="34">
        <f>IF($A137="","",IF(OR($G137="SÁBADO",$G137="DOMINGO"),"FIN","LV"))</f>
        <v/>
      </c>
      <c r="J137" s="34">
        <f>IF(OR($A137="",$B137=""),"",IF($L137&lt;&gt;"",UPPER($L137),IF($C137="","FALTA",IFERROR(IF($C137&gt;=$O137,"ROJO FUERTE",IF($C137&gt;=$N137,"ROJO",IF($C137&gt;=$M137,"AMARILLO","VERDE"))),"REVISAR"))))</f>
        <v/>
      </c>
      <c r="K137" s="36">
        <f>IF(OR($C137="",$D137=""),"",IF($D137&gt;=$C137,($D137-$C137)*24,(1-$C137+$D137)*24))</f>
        <v/>
      </c>
      <c r="L137" s="34" t="n"/>
      <c r="M137" s="53">
        <f t="array" ref="M137">IFERROR(INDEX(EXCEPCIONES_FECHA!$D$2:$D$201,MATCH(1,(EXCEPCIONES_FECHA!$A$2:$A$201=$A137)*(EXCEPCIONES_FECHA!$B$2:$B$201=$B137),0)),IFERROR(INDEX(EXCEPCIONES_FECHA!$D$2:$D$201,MATCH(1,(EXCEPCIONES_FECHA!$A$2:$A$201=$A137)*(EXCEPCIONES_FECHA!$B$2:$B$201=""),0)),IFERROR(INDEX(IF($I137="FIN",HISTORIAL_HORARIOS!$J$2:$J$201,HISTORIAL_HORARIOS!$F$2:$F$201),MATCH(1,(HISTORIAL_HORARIOS!$A$2:$A$201=$B137)*(HISTORIAL_HORARIOS!$C$2:$C$201&lt;=$A137)*(HISTORIAL_HORARIOS!$D$2:$D$201&gt;=$A137),0)),INDEX(IF($I137="FIN",PERSONAL!$J$2:$J$80,PERSONAL!$F$2:$F$80),MATCH($B137,PERSONAL!$A$2:$A$80,0)))))</f>
        <v/>
      </c>
      <c r="N137" s="53">
        <f t="array" ref="N137">IFERROR(INDEX(EXCEPCIONES_FECHA!$E$2:$E$201,MATCH(1,(EXCEPCIONES_FECHA!$A$2:$A$201=$A137)*(EXCEPCIONES_FECHA!$B$2:$B$201=$B137),0)),IFERROR(INDEX(EXCEPCIONES_FECHA!$E$2:$E$201,MATCH(1,(EXCEPCIONES_FECHA!$A$2:$A$201=$A137)*(EXCEPCIONES_FECHA!$B$2:$B$201=""),0)),IFERROR(INDEX(IF($I137="FIN",HISTORIAL_HORARIOS!$K$2:$K$201,HISTORIAL_HORARIOS!$G$2:$G$201),MATCH(1,(HISTORIAL_HORARIOS!$A$2:$A$201=$B137)*(HISTORIAL_HORARIOS!$C$2:$C$201&lt;=$A137)*(HISTORIAL_HORARIOS!$D$2:$D$201&gt;=$A137),0)),INDEX(IF($I137="FIN",PERSONAL!$K$2:$K$80,PERSONAL!$G$2:$G$80),MATCH($B137,PERSONAL!$A$2:$A$80,0)))))</f>
        <v/>
      </c>
      <c r="O137" s="53">
        <f t="array" ref="O137">IFERROR(INDEX(EXCEPCIONES_FECHA!$F$2:$F$201,MATCH(1,(EXCEPCIONES_FECHA!$A$2:$A$201=$A137)*(EXCEPCIONES_FECHA!$B$2:$B$201=$B137),0)),IFERROR(INDEX(EXCEPCIONES_FECHA!$F$2:$F$201,MATCH(1,(EXCEPCIONES_FECHA!$A$2:$A$201=$A137)*(EXCEPCIONES_FECHA!$B$2:$B$201=""),0)),IFERROR(INDEX(IF($I137="FIN",HISTORIAL_HORARIOS!$L$2:$L$201,HISTORIAL_HORARIOS!$H$2:$H$201),MATCH(1,(HISTORIAL_HORARIOS!$A$2:$A$201=$B137)*(HISTORIAL_HORARIOS!$C$2:$C$201&lt;=$A137)*(HISTORIAL_HORARIOS!$D$2:$D$201&gt;=$A137),0)),INDEX(IF($I137="FIN",PERSONAL!$L$2:$L$80,PERSONAL!$H$2:$H$80),MATCH($B137,PERSONAL!$A$2:$A$80,0)))))</f>
        <v/>
      </c>
    </row>
    <row r="138" ht="15" customHeight="1" s="58">
      <c r="A138" s="37" t="n"/>
      <c r="B138" s="38" t="n"/>
      <c r="C138" s="39" t="n"/>
      <c r="D138" s="39" t="n"/>
      <c r="E138" s="34">
        <f t="array" ref="E138">IF($B138="","",IFERROR(INDEX(PERSONAL!$B$2:$B$80,MATCH($B138,PERSONAL!$A$2:$A$80,0)),"NO EXISTE"))</f>
        <v/>
      </c>
      <c r="F138" s="52">
        <f t="array" ref="F138">IF($B138="","",IFERROR(INDEX(PERSONAL!$C$2:$C$80,MATCH($B138,PERSONAL!$A$2:$A$80,0)),""))</f>
        <v/>
      </c>
      <c r="G138" s="52">
        <f>IF($A138="","",CHOOSE(WEEKDAY($A138,2),"LUNES","MARTES","MIÉRCOLES","JUEVES","VIERNES","SÁBADO","DOMINGO"))</f>
        <v/>
      </c>
      <c r="H138" s="34">
        <f>IF($A138="","",CHOOSE(MONTH($A138),"ENERO","FEBRERO","MARZO","ABRIL","MAYO","JUNIO","JULIO","AGOSTO","SEPTIEMBRE","OCTUBRE","NOVIEMBRE","DICIEMBRE"))</f>
        <v/>
      </c>
      <c r="I138" s="34">
        <f>IF($A138="","",IF(OR($G138="SÁBADO",$G138="DOMINGO"),"FIN","LV"))</f>
        <v/>
      </c>
      <c r="J138" s="34">
        <f>IF(OR($A138="",$B138=""),"",IF($L138&lt;&gt;"",UPPER($L138),IF($C138="","FALTA",IFERROR(IF($C138&gt;=$O138,"ROJO FUERTE",IF($C138&gt;=$N138,"ROJO",IF($C138&gt;=$M138,"AMARILLO","VERDE"))),"REVISAR"))))</f>
        <v/>
      </c>
      <c r="K138" s="36">
        <f>IF(OR($C138="",$D138=""),"",IF($D138&gt;=$C138,($D138-$C138)*24,(1-$C138+$D138)*24))</f>
        <v/>
      </c>
      <c r="L138" s="34" t="n"/>
      <c r="M138" s="53">
        <f t="array" ref="M138">IFERROR(INDEX(EXCEPCIONES_FECHA!$D$2:$D$201,MATCH(1,(EXCEPCIONES_FECHA!$A$2:$A$201=$A138)*(EXCEPCIONES_FECHA!$B$2:$B$201=$B138),0)),IFERROR(INDEX(EXCEPCIONES_FECHA!$D$2:$D$201,MATCH(1,(EXCEPCIONES_FECHA!$A$2:$A$201=$A138)*(EXCEPCIONES_FECHA!$B$2:$B$201=""),0)),IFERROR(INDEX(IF($I138="FIN",HISTORIAL_HORARIOS!$J$2:$J$201,HISTORIAL_HORARIOS!$F$2:$F$201),MATCH(1,(HISTORIAL_HORARIOS!$A$2:$A$201=$B138)*(HISTORIAL_HORARIOS!$C$2:$C$201&lt;=$A138)*(HISTORIAL_HORARIOS!$D$2:$D$201&gt;=$A138),0)),INDEX(IF($I138="FIN",PERSONAL!$J$2:$J$80,PERSONAL!$F$2:$F$80),MATCH($B138,PERSONAL!$A$2:$A$80,0)))))</f>
        <v/>
      </c>
      <c r="N138" s="53">
        <f t="array" ref="N138">IFERROR(INDEX(EXCEPCIONES_FECHA!$E$2:$E$201,MATCH(1,(EXCEPCIONES_FECHA!$A$2:$A$201=$A138)*(EXCEPCIONES_FECHA!$B$2:$B$201=$B138),0)),IFERROR(INDEX(EXCEPCIONES_FECHA!$E$2:$E$201,MATCH(1,(EXCEPCIONES_FECHA!$A$2:$A$201=$A138)*(EXCEPCIONES_FECHA!$B$2:$B$201=""),0)),IFERROR(INDEX(IF($I138="FIN",HISTORIAL_HORARIOS!$K$2:$K$201,HISTORIAL_HORARIOS!$G$2:$G$201),MATCH(1,(HISTORIAL_HORARIOS!$A$2:$A$201=$B138)*(HISTORIAL_HORARIOS!$C$2:$C$201&lt;=$A138)*(HISTORIAL_HORARIOS!$D$2:$D$201&gt;=$A138),0)),INDEX(IF($I138="FIN",PERSONAL!$K$2:$K$80,PERSONAL!$G$2:$G$80),MATCH($B138,PERSONAL!$A$2:$A$80,0)))))</f>
        <v/>
      </c>
      <c r="O138" s="53">
        <f t="array" ref="O138">IFERROR(INDEX(EXCEPCIONES_FECHA!$F$2:$F$201,MATCH(1,(EXCEPCIONES_FECHA!$A$2:$A$201=$A138)*(EXCEPCIONES_FECHA!$B$2:$B$201=$B138),0)),IFERROR(INDEX(EXCEPCIONES_FECHA!$F$2:$F$201,MATCH(1,(EXCEPCIONES_FECHA!$A$2:$A$201=$A138)*(EXCEPCIONES_FECHA!$B$2:$B$201=""),0)),IFERROR(INDEX(IF($I138="FIN",HISTORIAL_HORARIOS!$L$2:$L$201,HISTORIAL_HORARIOS!$H$2:$H$201),MATCH(1,(HISTORIAL_HORARIOS!$A$2:$A$201=$B138)*(HISTORIAL_HORARIOS!$C$2:$C$201&lt;=$A138)*(HISTORIAL_HORARIOS!$D$2:$D$201&gt;=$A138),0)),INDEX(IF($I138="FIN",PERSONAL!$L$2:$L$80,PERSONAL!$H$2:$H$80),MATCH($B138,PERSONAL!$A$2:$A$80,0)))))</f>
        <v/>
      </c>
    </row>
    <row r="139" ht="15" customHeight="1" s="58">
      <c r="A139" s="37" t="n"/>
      <c r="B139" s="38" t="n"/>
      <c r="C139" s="39" t="n"/>
      <c r="D139" s="39" t="n"/>
      <c r="E139" s="34">
        <f t="array" ref="E139">IF($B139="","",IFERROR(INDEX(PERSONAL!$B$2:$B$80,MATCH($B139,PERSONAL!$A$2:$A$80,0)),"NO EXISTE"))</f>
        <v/>
      </c>
      <c r="F139" s="52">
        <f t="array" ref="F139">IF($B139="","",IFERROR(INDEX(PERSONAL!$C$2:$C$80,MATCH($B139,PERSONAL!$A$2:$A$80,0)),""))</f>
        <v/>
      </c>
      <c r="G139" s="52">
        <f>IF($A139="","",CHOOSE(WEEKDAY($A139,2),"LUNES","MARTES","MIÉRCOLES","JUEVES","VIERNES","SÁBADO","DOMINGO"))</f>
        <v/>
      </c>
      <c r="H139" s="34">
        <f>IF($A139="","",CHOOSE(MONTH($A139),"ENERO","FEBRERO","MARZO","ABRIL","MAYO","JUNIO","JULIO","AGOSTO","SEPTIEMBRE","OCTUBRE","NOVIEMBRE","DICIEMBRE"))</f>
        <v/>
      </c>
      <c r="I139" s="34">
        <f>IF($A139="","",IF(OR($G139="SÁBADO",$G139="DOMINGO"),"FIN","LV"))</f>
        <v/>
      </c>
      <c r="J139" s="34">
        <f>IF(OR($A139="",$B139=""),"",IF($L139&lt;&gt;"",UPPER($L139),IF($C139="","FALTA",IFERROR(IF($C139&gt;=$O139,"ROJO FUERTE",IF($C139&gt;=$N139,"ROJO",IF($C139&gt;=$M139,"AMARILLO","VERDE"))),"REVISAR"))))</f>
        <v/>
      </c>
      <c r="K139" s="36">
        <f>IF(OR($C139="",$D139=""),"",IF($D139&gt;=$C139,($D139-$C139)*24,(1-$C139+$D139)*24))</f>
        <v/>
      </c>
      <c r="L139" s="34" t="n"/>
      <c r="M139" s="53">
        <f t="array" ref="M139">IFERROR(INDEX(EXCEPCIONES_FECHA!$D$2:$D$201,MATCH(1,(EXCEPCIONES_FECHA!$A$2:$A$201=$A139)*(EXCEPCIONES_FECHA!$B$2:$B$201=$B139),0)),IFERROR(INDEX(EXCEPCIONES_FECHA!$D$2:$D$201,MATCH(1,(EXCEPCIONES_FECHA!$A$2:$A$201=$A139)*(EXCEPCIONES_FECHA!$B$2:$B$201=""),0)),IFERROR(INDEX(IF($I139="FIN",HISTORIAL_HORARIOS!$J$2:$J$201,HISTORIAL_HORARIOS!$F$2:$F$201),MATCH(1,(HISTORIAL_HORARIOS!$A$2:$A$201=$B139)*(HISTORIAL_HORARIOS!$C$2:$C$201&lt;=$A139)*(HISTORIAL_HORARIOS!$D$2:$D$201&gt;=$A139),0)),INDEX(IF($I139="FIN",PERSONAL!$J$2:$J$80,PERSONAL!$F$2:$F$80),MATCH($B139,PERSONAL!$A$2:$A$80,0)))))</f>
        <v/>
      </c>
      <c r="N139" s="53">
        <f t="array" ref="N139">IFERROR(INDEX(EXCEPCIONES_FECHA!$E$2:$E$201,MATCH(1,(EXCEPCIONES_FECHA!$A$2:$A$201=$A139)*(EXCEPCIONES_FECHA!$B$2:$B$201=$B139),0)),IFERROR(INDEX(EXCEPCIONES_FECHA!$E$2:$E$201,MATCH(1,(EXCEPCIONES_FECHA!$A$2:$A$201=$A139)*(EXCEPCIONES_FECHA!$B$2:$B$201=""),0)),IFERROR(INDEX(IF($I139="FIN",HISTORIAL_HORARIOS!$K$2:$K$201,HISTORIAL_HORARIOS!$G$2:$G$201),MATCH(1,(HISTORIAL_HORARIOS!$A$2:$A$201=$B139)*(HISTORIAL_HORARIOS!$C$2:$C$201&lt;=$A139)*(HISTORIAL_HORARIOS!$D$2:$D$201&gt;=$A139),0)),INDEX(IF($I139="FIN",PERSONAL!$K$2:$K$80,PERSONAL!$G$2:$G$80),MATCH($B139,PERSONAL!$A$2:$A$80,0)))))</f>
        <v/>
      </c>
      <c r="O139" s="53">
        <f t="array" ref="O139">IFERROR(INDEX(EXCEPCIONES_FECHA!$F$2:$F$201,MATCH(1,(EXCEPCIONES_FECHA!$A$2:$A$201=$A139)*(EXCEPCIONES_FECHA!$B$2:$B$201=$B139),0)),IFERROR(INDEX(EXCEPCIONES_FECHA!$F$2:$F$201,MATCH(1,(EXCEPCIONES_FECHA!$A$2:$A$201=$A139)*(EXCEPCIONES_FECHA!$B$2:$B$201=""),0)),IFERROR(INDEX(IF($I139="FIN",HISTORIAL_HORARIOS!$L$2:$L$201,HISTORIAL_HORARIOS!$H$2:$H$201),MATCH(1,(HISTORIAL_HORARIOS!$A$2:$A$201=$B139)*(HISTORIAL_HORARIOS!$C$2:$C$201&lt;=$A139)*(HISTORIAL_HORARIOS!$D$2:$D$201&gt;=$A139),0)),INDEX(IF($I139="FIN",PERSONAL!$L$2:$L$80,PERSONAL!$H$2:$H$80),MATCH($B139,PERSONAL!$A$2:$A$80,0)))))</f>
        <v/>
      </c>
    </row>
    <row r="140" ht="15" customHeight="1" s="58">
      <c r="A140" s="37" t="n"/>
      <c r="B140" s="38" t="n"/>
      <c r="C140" s="39" t="n"/>
      <c r="D140" s="39" t="n"/>
      <c r="E140" s="34">
        <f t="array" ref="E140">IF($B140="","",IFERROR(INDEX(PERSONAL!$B$2:$B$80,MATCH($B140,PERSONAL!$A$2:$A$80,0)),"NO EXISTE"))</f>
        <v/>
      </c>
      <c r="F140" s="52">
        <f t="array" ref="F140">IF($B140="","",IFERROR(INDEX(PERSONAL!$C$2:$C$80,MATCH($B140,PERSONAL!$A$2:$A$80,0)),""))</f>
        <v/>
      </c>
      <c r="G140" s="52">
        <f>IF($A140="","",CHOOSE(WEEKDAY($A140,2),"LUNES","MARTES","MIÉRCOLES","JUEVES","VIERNES","SÁBADO","DOMINGO"))</f>
        <v/>
      </c>
      <c r="H140" s="34">
        <f>IF($A140="","",CHOOSE(MONTH($A140),"ENERO","FEBRERO","MARZO","ABRIL","MAYO","JUNIO","JULIO","AGOSTO","SEPTIEMBRE","OCTUBRE","NOVIEMBRE","DICIEMBRE"))</f>
        <v/>
      </c>
      <c r="I140" s="34">
        <f>IF($A140="","",IF(OR($G140="SÁBADO",$G140="DOMINGO"),"FIN","LV"))</f>
        <v/>
      </c>
      <c r="J140" s="34">
        <f>IF(OR($A140="",$B140=""),"",IF($L140&lt;&gt;"",UPPER($L140),IF($C140="","FALTA",IFERROR(IF($C140&gt;=$O140,"ROJO FUERTE",IF($C140&gt;=$N140,"ROJO",IF($C140&gt;=$M140,"AMARILLO","VERDE"))),"REVISAR"))))</f>
        <v/>
      </c>
      <c r="K140" s="36">
        <f>IF(OR($C140="",$D140=""),"",IF($D140&gt;=$C140,($D140-$C140)*24,(1-$C140+$D140)*24))</f>
        <v/>
      </c>
      <c r="L140" s="34" t="n"/>
      <c r="M140" s="53">
        <f t="array" ref="M140">IFERROR(INDEX(EXCEPCIONES_FECHA!$D$2:$D$201,MATCH(1,(EXCEPCIONES_FECHA!$A$2:$A$201=$A140)*(EXCEPCIONES_FECHA!$B$2:$B$201=$B140),0)),IFERROR(INDEX(EXCEPCIONES_FECHA!$D$2:$D$201,MATCH(1,(EXCEPCIONES_FECHA!$A$2:$A$201=$A140)*(EXCEPCIONES_FECHA!$B$2:$B$201=""),0)),IFERROR(INDEX(IF($I140="FIN",HISTORIAL_HORARIOS!$J$2:$J$201,HISTORIAL_HORARIOS!$F$2:$F$201),MATCH(1,(HISTORIAL_HORARIOS!$A$2:$A$201=$B140)*(HISTORIAL_HORARIOS!$C$2:$C$201&lt;=$A140)*(HISTORIAL_HORARIOS!$D$2:$D$201&gt;=$A140),0)),INDEX(IF($I140="FIN",PERSONAL!$J$2:$J$80,PERSONAL!$F$2:$F$80),MATCH($B140,PERSONAL!$A$2:$A$80,0)))))</f>
        <v/>
      </c>
      <c r="N140" s="53">
        <f t="array" ref="N140">IFERROR(INDEX(EXCEPCIONES_FECHA!$E$2:$E$201,MATCH(1,(EXCEPCIONES_FECHA!$A$2:$A$201=$A140)*(EXCEPCIONES_FECHA!$B$2:$B$201=$B140),0)),IFERROR(INDEX(EXCEPCIONES_FECHA!$E$2:$E$201,MATCH(1,(EXCEPCIONES_FECHA!$A$2:$A$201=$A140)*(EXCEPCIONES_FECHA!$B$2:$B$201=""),0)),IFERROR(INDEX(IF($I140="FIN",HISTORIAL_HORARIOS!$K$2:$K$201,HISTORIAL_HORARIOS!$G$2:$G$201),MATCH(1,(HISTORIAL_HORARIOS!$A$2:$A$201=$B140)*(HISTORIAL_HORARIOS!$C$2:$C$201&lt;=$A140)*(HISTORIAL_HORARIOS!$D$2:$D$201&gt;=$A140),0)),INDEX(IF($I140="FIN",PERSONAL!$K$2:$K$80,PERSONAL!$G$2:$G$80),MATCH($B140,PERSONAL!$A$2:$A$80,0)))))</f>
        <v/>
      </c>
      <c r="O140" s="53">
        <f t="array" ref="O140">IFERROR(INDEX(EXCEPCIONES_FECHA!$F$2:$F$201,MATCH(1,(EXCEPCIONES_FECHA!$A$2:$A$201=$A140)*(EXCEPCIONES_FECHA!$B$2:$B$201=$B140),0)),IFERROR(INDEX(EXCEPCIONES_FECHA!$F$2:$F$201,MATCH(1,(EXCEPCIONES_FECHA!$A$2:$A$201=$A140)*(EXCEPCIONES_FECHA!$B$2:$B$201=""),0)),IFERROR(INDEX(IF($I140="FIN",HISTORIAL_HORARIOS!$L$2:$L$201,HISTORIAL_HORARIOS!$H$2:$H$201),MATCH(1,(HISTORIAL_HORARIOS!$A$2:$A$201=$B140)*(HISTORIAL_HORARIOS!$C$2:$C$201&lt;=$A140)*(HISTORIAL_HORARIOS!$D$2:$D$201&gt;=$A140),0)),INDEX(IF($I140="FIN",PERSONAL!$L$2:$L$80,PERSONAL!$H$2:$H$80),MATCH($B140,PERSONAL!$A$2:$A$80,0)))))</f>
        <v/>
      </c>
    </row>
    <row r="141" ht="15" customHeight="1" s="58">
      <c r="A141" s="37" t="n"/>
      <c r="B141" s="38" t="n"/>
      <c r="C141" s="39" t="n"/>
      <c r="D141" s="39" t="n"/>
      <c r="E141" s="34">
        <f t="array" ref="E141">IF($B141="","",IFERROR(INDEX(PERSONAL!$B$2:$B$80,MATCH($B141,PERSONAL!$A$2:$A$80,0)),"NO EXISTE"))</f>
        <v/>
      </c>
      <c r="F141" s="52">
        <f t="array" ref="F141">IF($B141="","",IFERROR(INDEX(PERSONAL!$C$2:$C$80,MATCH($B141,PERSONAL!$A$2:$A$80,0)),""))</f>
        <v/>
      </c>
      <c r="G141" s="52">
        <f>IF($A141="","",CHOOSE(WEEKDAY($A141,2),"LUNES","MARTES","MIÉRCOLES","JUEVES","VIERNES","SÁBADO","DOMINGO"))</f>
        <v/>
      </c>
      <c r="H141" s="34">
        <f>IF($A141="","",CHOOSE(MONTH($A141),"ENERO","FEBRERO","MARZO","ABRIL","MAYO","JUNIO","JULIO","AGOSTO","SEPTIEMBRE","OCTUBRE","NOVIEMBRE","DICIEMBRE"))</f>
        <v/>
      </c>
      <c r="I141" s="34">
        <f>IF($A141="","",IF(OR($G141="SÁBADO",$G141="DOMINGO"),"FIN","LV"))</f>
        <v/>
      </c>
      <c r="J141" s="34">
        <f>IF(OR($A141="",$B141=""),"",IF($L141&lt;&gt;"",UPPER($L141),IF($C141="","FALTA",IFERROR(IF($C141&gt;=$O141,"ROJO FUERTE",IF($C141&gt;=$N141,"ROJO",IF($C141&gt;=$M141,"AMARILLO","VERDE"))),"REVISAR"))))</f>
        <v/>
      </c>
      <c r="K141" s="36">
        <f>IF(OR($C141="",$D141=""),"",IF($D141&gt;=$C141,($D141-$C141)*24,(1-$C141+$D141)*24))</f>
        <v/>
      </c>
      <c r="L141" s="34" t="n"/>
      <c r="M141" s="53">
        <f t="array" ref="M141">IFERROR(INDEX(EXCEPCIONES_FECHA!$D$2:$D$201,MATCH(1,(EXCEPCIONES_FECHA!$A$2:$A$201=$A141)*(EXCEPCIONES_FECHA!$B$2:$B$201=$B141),0)),IFERROR(INDEX(EXCEPCIONES_FECHA!$D$2:$D$201,MATCH(1,(EXCEPCIONES_FECHA!$A$2:$A$201=$A141)*(EXCEPCIONES_FECHA!$B$2:$B$201=""),0)),IFERROR(INDEX(IF($I141="FIN",HISTORIAL_HORARIOS!$J$2:$J$201,HISTORIAL_HORARIOS!$F$2:$F$201),MATCH(1,(HISTORIAL_HORARIOS!$A$2:$A$201=$B141)*(HISTORIAL_HORARIOS!$C$2:$C$201&lt;=$A141)*(HISTORIAL_HORARIOS!$D$2:$D$201&gt;=$A141),0)),INDEX(IF($I141="FIN",PERSONAL!$J$2:$J$80,PERSONAL!$F$2:$F$80),MATCH($B141,PERSONAL!$A$2:$A$80,0)))))</f>
        <v/>
      </c>
      <c r="N141" s="53">
        <f t="array" ref="N141">IFERROR(INDEX(EXCEPCIONES_FECHA!$E$2:$E$201,MATCH(1,(EXCEPCIONES_FECHA!$A$2:$A$201=$A141)*(EXCEPCIONES_FECHA!$B$2:$B$201=$B141),0)),IFERROR(INDEX(EXCEPCIONES_FECHA!$E$2:$E$201,MATCH(1,(EXCEPCIONES_FECHA!$A$2:$A$201=$A141)*(EXCEPCIONES_FECHA!$B$2:$B$201=""),0)),IFERROR(INDEX(IF($I141="FIN",HISTORIAL_HORARIOS!$K$2:$K$201,HISTORIAL_HORARIOS!$G$2:$G$201),MATCH(1,(HISTORIAL_HORARIOS!$A$2:$A$201=$B141)*(HISTORIAL_HORARIOS!$C$2:$C$201&lt;=$A141)*(HISTORIAL_HORARIOS!$D$2:$D$201&gt;=$A141),0)),INDEX(IF($I141="FIN",PERSONAL!$K$2:$K$80,PERSONAL!$G$2:$G$80),MATCH($B141,PERSONAL!$A$2:$A$80,0)))))</f>
        <v/>
      </c>
      <c r="O141" s="53">
        <f t="array" ref="O141">IFERROR(INDEX(EXCEPCIONES_FECHA!$F$2:$F$201,MATCH(1,(EXCEPCIONES_FECHA!$A$2:$A$201=$A141)*(EXCEPCIONES_FECHA!$B$2:$B$201=$B141),0)),IFERROR(INDEX(EXCEPCIONES_FECHA!$F$2:$F$201,MATCH(1,(EXCEPCIONES_FECHA!$A$2:$A$201=$A141)*(EXCEPCIONES_FECHA!$B$2:$B$201=""),0)),IFERROR(INDEX(IF($I141="FIN",HISTORIAL_HORARIOS!$L$2:$L$201,HISTORIAL_HORARIOS!$H$2:$H$201),MATCH(1,(HISTORIAL_HORARIOS!$A$2:$A$201=$B141)*(HISTORIAL_HORARIOS!$C$2:$C$201&lt;=$A141)*(HISTORIAL_HORARIOS!$D$2:$D$201&gt;=$A141),0)),INDEX(IF($I141="FIN",PERSONAL!$L$2:$L$80,PERSONAL!$H$2:$H$80),MATCH($B141,PERSONAL!$A$2:$A$80,0)))))</f>
        <v/>
      </c>
    </row>
    <row r="142" ht="15" customHeight="1" s="58">
      <c r="A142" s="37" t="n"/>
      <c r="B142" s="38" t="n"/>
      <c r="C142" s="39" t="n"/>
      <c r="D142" s="39" t="n"/>
      <c r="E142" s="34">
        <f t="array" ref="E142">IF($B142="","",IFERROR(INDEX(PERSONAL!$B$2:$B$80,MATCH($B142,PERSONAL!$A$2:$A$80,0)),"NO EXISTE"))</f>
        <v/>
      </c>
      <c r="F142" s="52">
        <f t="array" ref="F142">IF($B142="","",IFERROR(INDEX(PERSONAL!$C$2:$C$80,MATCH($B142,PERSONAL!$A$2:$A$80,0)),""))</f>
        <v/>
      </c>
      <c r="G142" s="52">
        <f>IF($A142="","",CHOOSE(WEEKDAY($A142,2),"LUNES","MARTES","MIÉRCOLES","JUEVES","VIERNES","SÁBADO","DOMINGO"))</f>
        <v/>
      </c>
      <c r="H142" s="34">
        <f>IF($A142="","",CHOOSE(MONTH($A142),"ENERO","FEBRERO","MARZO","ABRIL","MAYO","JUNIO","JULIO","AGOSTO","SEPTIEMBRE","OCTUBRE","NOVIEMBRE","DICIEMBRE"))</f>
        <v/>
      </c>
      <c r="I142" s="34">
        <f>IF($A142="","",IF(OR($G142="SÁBADO",$G142="DOMINGO"),"FIN","LV"))</f>
        <v/>
      </c>
      <c r="J142" s="34">
        <f>IF(OR($A142="",$B142=""),"",IF($L142&lt;&gt;"",UPPER($L142),IF($C142="","FALTA",IFERROR(IF($C142&gt;=$O142,"ROJO FUERTE",IF($C142&gt;=$N142,"ROJO",IF($C142&gt;=$M142,"AMARILLO","VERDE"))),"REVISAR"))))</f>
        <v/>
      </c>
      <c r="K142" s="36">
        <f>IF(OR($C142="",$D142=""),"",IF($D142&gt;=$C142,($D142-$C142)*24,(1-$C142+$D142)*24))</f>
        <v/>
      </c>
      <c r="L142" s="34" t="n"/>
      <c r="M142" s="53">
        <f t="array" ref="M142">IFERROR(INDEX(EXCEPCIONES_FECHA!$D$2:$D$201,MATCH(1,(EXCEPCIONES_FECHA!$A$2:$A$201=$A142)*(EXCEPCIONES_FECHA!$B$2:$B$201=$B142),0)),IFERROR(INDEX(EXCEPCIONES_FECHA!$D$2:$D$201,MATCH(1,(EXCEPCIONES_FECHA!$A$2:$A$201=$A142)*(EXCEPCIONES_FECHA!$B$2:$B$201=""),0)),IFERROR(INDEX(IF($I142="FIN",HISTORIAL_HORARIOS!$J$2:$J$201,HISTORIAL_HORARIOS!$F$2:$F$201),MATCH(1,(HISTORIAL_HORARIOS!$A$2:$A$201=$B142)*(HISTORIAL_HORARIOS!$C$2:$C$201&lt;=$A142)*(HISTORIAL_HORARIOS!$D$2:$D$201&gt;=$A142),0)),INDEX(IF($I142="FIN",PERSONAL!$J$2:$J$80,PERSONAL!$F$2:$F$80),MATCH($B142,PERSONAL!$A$2:$A$80,0)))))</f>
        <v/>
      </c>
      <c r="N142" s="53">
        <f t="array" ref="N142">IFERROR(INDEX(EXCEPCIONES_FECHA!$E$2:$E$201,MATCH(1,(EXCEPCIONES_FECHA!$A$2:$A$201=$A142)*(EXCEPCIONES_FECHA!$B$2:$B$201=$B142),0)),IFERROR(INDEX(EXCEPCIONES_FECHA!$E$2:$E$201,MATCH(1,(EXCEPCIONES_FECHA!$A$2:$A$201=$A142)*(EXCEPCIONES_FECHA!$B$2:$B$201=""),0)),IFERROR(INDEX(IF($I142="FIN",HISTORIAL_HORARIOS!$K$2:$K$201,HISTORIAL_HORARIOS!$G$2:$G$201),MATCH(1,(HISTORIAL_HORARIOS!$A$2:$A$201=$B142)*(HISTORIAL_HORARIOS!$C$2:$C$201&lt;=$A142)*(HISTORIAL_HORARIOS!$D$2:$D$201&gt;=$A142),0)),INDEX(IF($I142="FIN",PERSONAL!$K$2:$K$80,PERSONAL!$G$2:$G$80),MATCH($B142,PERSONAL!$A$2:$A$80,0)))))</f>
        <v/>
      </c>
      <c r="O142" s="53">
        <f t="array" ref="O142">IFERROR(INDEX(EXCEPCIONES_FECHA!$F$2:$F$201,MATCH(1,(EXCEPCIONES_FECHA!$A$2:$A$201=$A142)*(EXCEPCIONES_FECHA!$B$2:$B$201=$B142),0)),IFERROR(INDEX(EXCEPCIONES_FECHA!$F$2:$F$201,MATCH(1,(EXCEPCIONES_FECHA!$A$2:$A$201=$A142)*(EXCEPCIONES_FECHA!$B$2:$B$201=""),0)),IFERROR(INDEX(IF($I142="FIN",HISTORIAL_HORARIOS!$L$2:$L$201,HISTORIAL_HORARIOS!$H$2:$H$201),MATCH(1,(HISTORIAL_HORARIOS!$A$2:$A$201=$B142)*(HISTORIAL_HORARIOS!$C$2:$C$201&lt;=$A142)*(HISTORIAL_HORARIOS!$D$2:$D$201&gt;=$A142),0)),INDEX(IF($I142="FIN",PERSONAL!$L$2:$L$80,PERSONAL!$H$2:$H$80),MATCH($B142,PERSONAL!$A$2:$A$80,0)))))</f>
        <v/>
      </c>
    </row>
    <row r="143" ht="15" customHeight="1" s="58">
      <c r="A143" s="37" t="n"/>
      <c r="B143" s="38" t="n"/>
      <c r="C143" s="39" t="n"/>
      <c r="D143" s="39" t="n"/>
      <c r="E143" s="34">
        <f t="array" ref="E143">IF($B143="","",IFERROR(INDEX(PERSONAL!$B$2:$B$80,MATCH($B143,PERSONAL!$A$2:$A$80,0)),"NO EXISTE"))</f>
        <v/>
      </c>
      <c r="F143" s="52">
        <f t="array" ref="F143">IF($B143="","",IFERROR(INDEX(PERSONAL!$C$2:$C$80,MATCH($B143,PERSONAL!$A$2:$A$80,0)),""))</f>
        <v/>
      </c>
      <c r="G143" s="52">
        <f>IF($A143="","",CHOOSE(WEEKDAY($A143,2),"LUNES","MARTES","MIÉRCOLES","JUEVES","VIERNES","SÁBADO","DOMINGO"))</f>
        <v/>
      </c>
      <c r="H143" s="34">
        <f>IF($A143="","",CHOOSE(MONTH($A143),"ENERO","FEBRERO","MARZO","ABRIL","MAYO","JUNIO","JULIO","AGOSTO","SEPTIEMBRE","OCTUBRE","NOVIEMBRE","DICIEMBRE"))</f>
        <v/>
      </c>
      <c r="I143" s="34">
        <f>IF($A143="","",IF(OR($G143="SÁBADO",$G143="DOMINGO"),"FIN","LV"))</f>
        <v/>
      </c>
      <c r="J143" s="34">
        <f>IF(OR($A143="",$B143=""),"",IF($L143&lt;&gt;"",UPPER($L143),IF($C143="","FALTA",IFERROR(IF($C143&gt;=$O143,"ROJO FUERTE",IF($C143&gt;=$N143,"ROJO",IF($C143&gt;=$M143,"AMARILLO","VERDE"))),"REVISAR"))))</f>
        <v/>
      </c>
      <c r="K143" s="36">
        <f>IF(OR($C143="",$D143=""),"",IF($D143&gt;=$C143,($D143-$C143)*24,(1-$C143+$D143)*24))</f>
        <v/>
      </c>
      <c r="L143" s="34" t="n"/>
      <c r="M143" s="53">
        <f t="array" ref="M143">IFERROR(INDEX(EXCEPCIONES_FECHA!$D$2:$D$201,MATCH(1,(EXCEPCIONES_FECHA!$A$2:$A$201=$A143)*(EXCEPCIONES_FECHA!$B$2:$B$201=$B143),0)),IFERROR(INDEX(EXCEPCIONES_FECHA!$D$2:$D$201,MATCH(1,(EXCEPCIONES_FECHA!$A$2:$A$201=$A143)*(EXCEPCIONES_FECHA!$B$2:$B$201=""),0)),IFERROR(INDEX(IF($I143="FIN",HISTORIAL_HORARIOS!$J$2:$J$201,HISTORIAL_HORARIOS!$F$2:$F$201),MATCH(1,(HISTORIAL_HORARIOS!$A$2:$A$201=$B143)*(HISTORIAL_HORARIOS!$C$2:$C$201&lt;=$A143)*(HISTORIAL_HORARIOS!$D$2:$D$201&gt;=$A143),0)),INDEX(IF($I143="FIN",PERSONAL!$J$2:$J$80,PERSONAL!$F$2:$F$80),MATCH($B143,PERSONAL!$A$2:$A$80,0)))))</f>
        <v/>
      </c>
      <c r="N143" s="53">
        <f t="array" ref="N143">IFERROR(INDEX(EXCEPCIONES_FECHA!$E$2:$E$201,MATCH(1,(EXCEPCIONES_FECHA!$A$2:$A$201=$A143)*(EXCEPCIONES_FECHA!$B$2:$B$201=$B143),0)),IFERROR(INDEX(EXCEPCIONES_FECHA!$E$2:$E$201,MATCH(1,(EXCEPCIONES_FECHA!$A$2:$A$201=$A143)*(EXCEPCIONES_FECHA!$B$2:$B$201=""),0)),IFERROR(INDEX(IF($I143="FIN",HISTORIAL_HORARIOS!$K$2:$K$201,HISTORIAL_HORARIOS!$G$2:$G$201),MATCH(1,(HISTORIAL_HORARIOS!$A$2:$A$201=$B143)*(HISTORIAL_HORARIOS!$C$2:$C$201&lt;=$A143)*(HISTORIAL_HORARIOS!$D$2:$D$201&gt;=$A143),0)),INDEX(IF($I143="FIN",PERSONAL!$K$2:$K$80,PERSONAL!$G$2:$G$80),MATCH($B143,PERSONAL!$A$2:$A$80,0)))))</f>
        <v/>
      </c>
      <c r="O143" s="53">
        <f t="array" ref="O143">IFERROR(INDEX(EXCEPCIONES_FECHA!$F$2:$F$201,MATCH(1,(EXCEPCIONES_FECHA!$A$2:$A$201=$A143)*(EXCEPCIONES_FECHA!$B$2:$B$201=$B143),0)),IFERROR(INDEX(EXCEPCIONES_FECHA!$F$2:$F$201,MATCH(1,(EXCEPCIONES_FECHA!$A$2:$A$201=$A143)*(EXCEPCIONES_FECHA!$B$2:$B$201=""),0)),IFERROR(INDEX(IF($I143="FIN",HISTORIAL_HORARIOS!$L$2:$L$201,HISTORIAL_HORARIOS!$H$2:$H$201),MATCH(1,(HISTORIAL_HORARIOS!$A$2:$A$201=$B143)*(HISTORIAL_HORARIOS!$C$2:$C$201&lt;=$A143)*(HISTORIAL_HORARIOS!$D$2:$D$201&gt;=$A143),0)),INDEX(IF($I143="FIN",PERSONAL!$L$2:$L$80,PERSONAL!$H$2:$H$80),MATCH($B143,PERSONAL!$A$2:$A$80,0)))))</f>
        <v/>
      </c>
    </row>
    <row r="144" ht="15" customHeight="1" s="58">
      <c r="A144" s="37" t="n"/>
      <c r="B144" s="38" t="n"/>
      <c r="C144" s="39" t="n"/>
      <c r="D144" s="39" t="n"/>
      <c r="E144" s="34">
        <f t="array" ref="E144">IF($B144="","",IFERROR(INDEX(PERSONAL!$B$2:$B$80,MATCH($B144,PERSONAL!$A$2:$A$80,0)),"NO EXISTE"))</f>
        <v/>
      </c>
      <c r="F144" s="52">
        <f t="array" ref="F144">IF($B144="","",IFERROR(INDEX(PERSONAL!$C$2:$C$80,MATCH($B144,PERSONAL!$A$2:$A$80,0)),""))</f>
        <v/>
      </c>
      <c r="G144" s="52">
        <f>IF($A144="","",CHOOSE(WEEKDAY($A144,2),"LUNES","MARTES","MIÉRCOLES","JUEVES","VIERNES","SÁBADO","DOMINGO"))</f>
        <v/>
      </c>
      <c r="H144" s="34">
        <f>IF($A144="","",CHOOSE(MONTH($A144),"ENERO","FEBRERO","MARZO","ABRIL","MAYO","JUNIO","JULIO","AGOSTO","SEPTIEMBRE","OCTUBRE","NOVIEMBRE","DICIEMBRE"))</f>
        <v/>
      </c>
      <c r="I144" s="34">
        <f>IF($A144="","",IF(OR($G144="SÁBADO",$G144="DOMINGO"),"FIN","LV"))</f>
        <v/>
      </c>
      <c r="J144" s="34">
        <f>IF(OR($A144="",$B144=""),"",IF($L144&lt;&gt;"",UPPER($L144),IF($C144="","FALTA",IFERROR(IF($C144&gt;=$O144,"ROJO FUERTE",IF($C144&gt;=$N144,"ROJO",IF($C144&gt;=$M144,"AMARILLO","VERDE"))),"REVISAR"))))</f>
        <v/>
      </c>
      <c r="K144" s="36">
        <f>IF(OR($C144="",$D144=""),"",IF($D144&gt;=$C144,($D144-$C144)*24,(1-$C144+$D144)*24))</f>
        <v/>
      </c>
      <c r="L144" s="34" t="n"/>
      <c r="M144" s="53">
        <f t="array" ref="M144">IFERROR(INDEX(EXCEPCIONES_FECHA!$D$2:$D$201,MATCH(1,(EXCEPCIONES_FECHA!$A$2:$A$201=$A144)*(EXCEPCIONES_FECHA!$B$2:$B$201=$B144),0)),IFERROR(INDEX(EXCEPCIONES_FECHA!$D$2:$D$201,MATCH(1,(EXCEPCIONES_FECHA!$A$2:$A$201=$A144)*(EXCEPCIONES_FECHA!$B$2:$B$201=""),0)),IFERROR(INDEX(IF($I144="FIN",HISTORIAL_HORARIOS!$J$2:$J$201,HISTORIAL_HORARIOS!$F$2:$F$201),MATCH(1,(HISTORIAL_HORARIOS!$A$2:$A$201=$B144)*(HISTORIAL_HORARIOS!$C$2:$C$201&lt;=$A144)*(HISTORIAL_HORARIOS!$D$2:$D$201&gt;=$A144),0)),INDEX(IF($I144="FIN",PERSONAL!$J$2:$J$80,PERSONAL!$F$2:$F$80),MATCH($B144,PERSONAL!$A$2:$A$80,0)))))</f>
        <v/>
      </c>
      <c r="N144" s="53">
        <f t="array" ref="N144">IFERROR(INDEX(EXCEPCIONES_FECHA!$E$2:$E$201,MATCH(1,(EXCEPCIONES_FECHA!$A$2:$A$201=$A144)*(EXCEPCIONES_FECHA!$B$2:$B$201=$B144),0)),IFERROR(INDEX(EXCEPCIONES_FECHA!$E$2:$E$201,MATCH(1,(EXCEPCIONES_FECHA!$A$2:$A$201=$A144)*(EXCEPCIONES_FECHA!$B$2:$B$201=""),0)),IFERROR(INDEX(IF($I144="FIN",HISTORIAL_HORARIOS!$K$2:$K$201,HISTORIAL_HORARIOS!$G$2:$G$201),MATCH(1,(HISTORIAL_HORARIOS!$A$2:$A$201=$B144)*(HISTORIAL_HORARIOS!$C$2:$C$201&lt;=$A144)*(HISTORIAL_HORARIOS!$D$2:$D$201&gt;=$A144),0)),INDEX(IF($I144="FIN",PERSONAL!$K$2:$K$80,PERSONAL!$G$2:$G$80),MATCH($B144,PERSONAL!$A$2:$A$80,0)))))</f>
        <v/>
      </c>
      <c r="O144" s="53">
        <f t="array" ref="O144">IFERROR(INDEX(EXCEPCIONES_FECHA!$F$2:$F$201,MATCH(1,(EXCEPCIONES_FECHA!$A$2:$A$201=$A144)*(EXCEPCIONES_FECHA!$B$2:$B$201=$B144),0)),IFERROR(INDEX(EXCEPCIONES_FECHA!$F$2:$F$201,MATCH(1,(EXCEPCIONES_FECHA!$A$2:$A$201=$A144)*(EXCEPCIONES_FECHA!$B$2:$B$201=""),0)),IFERROR(INDEX(IF($I144="FIN",HISTORIAL_HORARIOS!$L$2:$L$201,HISTORIAL_HORARIOS!$H$2:$H$201),MATCH(1,(HISTORIAL_HORARIOS!$A$2:$A$201=$B144)*(HISTORIAL_HORARIOS!$C$2:$C$201&lt;=$A144)*(HISTORIAL_HORARIOS!$D$2:$D$201&gt;=$A144),0)),INDEX(IF($I144="FIN",PERSONAL!$L$2:$L$80,PERSONAL!$H$2:$H$80),MATCH($B144,PERSONAL!$A$2:$A$80,0)))))</f>
        <v/>
      </c>
    </row>
    <row r="145" ht="15" customHeight="1" s="58">
      <c r="A145" s="37" t="n"/>
      <c r="B145" s="38" t="n"/>
      <c r="C145" s="39" t="n"/>
      <c r="D145" s="39" t="n"/>
      <c r="E145" s="34">
        <f t="array" ref="E145">IF($B145="","",IFERROR(INDEX(PERSONAL!$B$2:$B$80,MATCH($B145,PERSONAL!$A$2:$A$80,0)),"NO EXISTE"))</f>
        <v/>
      </c>
      <c r="F145" s="52">
        <f t="array" ref="F145">IF($B145="","",IFERROR(INDEX(PERSONAL!$C$2:$C$80,MATCH($B145,PERSONAL!$A$2:$A$80,0)),""))</f>
        <v/>
      </c>
      <c r="G145" s="52">
        <f>IF($A145="","",CHOOSE(WEEKDAY($A145,2),"LUNES","MARTES","MIÉRCOLES","JUEVES","VIERNES","SÁBADO","DOMINGO"))</f>
        <v/>
      </c>
      <c r="H145" s="34">
        <f>IF($A145="","",CHOOSE(MONTH($A145),"ENERO","FEBRERO","MARZO","ABRIL","MAYO","JUNIO","JULIO","AGOSTO","SEPTIEMBRE","OCTUBRE","NOVIEMBRE","DICIEMBRE"))</f>
        <v/>
      </c>
      <c r="I145" s="34">
        <f>IF($A145="","",IF(OR($G145="SÁBADO",$G145="DOMINGO"),"FIN","LV"))</f>
        <v/>
      </c>
      <c r="J145" s="34">
        <f>IF(OR($A145="",$B145=""),"",IF($L145&lt;&gt;"",UPPER($L145),IF($C145="","FALTA",IFERROR(IF($C145&gt;=$O145,"ROJO FUERTE",IF($C145&gt;=$N145,"ROJO",IF($C145&gt;=$M145,"AMARILLO","VERDE"))),"REVISAR"))))</f>
        <v/>
      </c>
      <c r="K145" s="36">
        <f>IF(OR($C145="",$D145=""),"",IF($D145&gt;=$C145,($D145-$C145)*24,(1-$C145+$D145)*24))</f>
        <v/>
      </c>
      <c r="L145" s="34" t="n"/>
      <c r="M145" s="53">
        <f t="array" ref="M145">IFERROR(INDEX(EXCEPCIONES_FECHA!$D$2:$D$201,MATCH(1,(EXCEPCIONES_FECHA!$A$2:$A$201=$A145)*(EXCEPCIONES_FECHA!$B$2:$B$201=$B145),0)),IFERROR(INDEX(EXCEPCIONES_FECHA!$D$2:$D$201,MATCH(1,(EXCEPCIONES_FECHA!$A$2:$A$201=$A145)*(EXCEPCIONES_FECHA!$B$2:$B$201=""),0)),IFERROR(INDEX(IF($I145="FIN",HISTORIAL_HORARIOS!$J$2:$J$201,HISTORIAL_HORARIOS!$F$2:$F$201),MATCH(1,(HISTORIAL_HORARIOS!$A$2:$A$201=$B145)*(HISTORIAL_HORARIOS!$C$2:$C$201&lt;=$A145)*(HISTORIAL_HORARIOS!$D$2:$D$201&gt;=$A145),0)),INDEX(IF($I145="FIN",PERSONAL!$J$2:$J$80,PERSONAL!$F$2:$F$80),MATCH($B145,PERSONAL!$A$2:$A$80,0)))))</f>
        <v/>
      </c>
      <c r="N145" s="53">
        <f t="array" ref="N145">IFERROR(INDEX(EXCEPCIONES_FECHA!$E$2:$E$201,MATCH(1,(EXCEPCIONES_FECHA!$A$2:$A$201=$A145)*(EXCEPCIONES_FECHA!$B$2:$B$201=$B145),0)),IFERROR(INDEX(EXCEPCIONES_FECHA!$E$2:$E$201,MATCH(1,(EXCEPCIONES_FECHA!$A$2:$A$201=$A145)*(EXCEPCIONES_FECHA!$B$2:$B$201=""),0)),IFERROR(INDEX(IF($I145="FIN",HISTORIAL_HORARIOS!$K$2:$K$201,HISTORIAL_HORARIOS!$G$2:$G$201),MATCH(1,(HISTORIAL_HORARIOS!$A$2:$A$201=$B145)*(HISTORIAL_HORARIOS!$C$2:$C$201&lt;=$A145)*(HISTORIAL_HORARIOS!$D$2:$D$201&gt;=$A145),0)),INDEX(IF($I145="FIN",PERSONAL!$K$2:$K$80,PERSONAL!$G$2:$G$80),MATCH($B145,PERSONAL!$A$2:$A$80,0)))))</f>
        <v/>
      </c>
      <c r="O145" s="53">
        <f t="array" ref="O145">IFERROR(INDEX(EXCEPCIONES_FECHA!$F$2:$F$201,MATCH(1,(EXCEPCIONES_FECHA!$A$2:$A$201=$A145)*(EXCEPCIONES_FECHA!$B$2:$B$201=$B145),0)),IFERROR(INDEX(EXCEPCIONES_FECHA!$F$2:$F$201,MATCH(1,(EXCEPCIONES_FECHA!$A$2:$A$201=$A145)*(EXCEPCIONES_FECHA!$B$2:$B$201=""),0)),IFERROR(INDEX(IF($I145="FIN",HISTORIAL_HORARIOS!$L$2:$L$201,HISTORIAL_HORARIOS!$H$2:$H$201),MATCH(1,(HISTORIAL_HORARIOS!$A$2:$A$201=$B145)*(HISTORIAL_HORARIOS!$C$2:$C$201&lt;=$A145)*(HISTORIAL_HORARIOS!$D$2:$D$201&gt;=$A145),0)),INDEX(IF($I145="FIN",PERSONAL!$L$2:$L$80,PERSONAL!$H$2:$H$80),MATCH($B145,PERSONAL!$A$2:$A$80,0)))))</f>
        <v/>
      </c>
    </row>
    <row r="146" ht="15" customHeight="1" s="58">
      <c r="A146" s="37" t="n"/>
      <c r="B146" s="38" t="n"/>
      <c r="C146" s="39" t="n"/>
      <c r="D146" s="39" t="n"/>
      <c r="E146" s="34">
        <f t="array" ref="E146">IF($B146="","",IFERROR(INDEX(PERSONAL!$B$2:$B$80,MATCH($B146,PERSONAL!$A$2:$A$80,0)),"NO EXISTE"))</f>
        <v/>
      </c>
      <c r="F146" s="52">
        <f t="array" ref="F146">IF($B146="","",IFERROR(INDEX(PERSONAL!$C$2:$C$80,MATCH($B146,PERSONAL!$A$2:$A$80,0)),""))</f>
        <v/>
      </c>
      <c r="G146" s="52">
        <f>IF($A146="","",CHOOSE(WEEKDAY($A146,2),"LUNES","MARTES","MIÉRCOLES","JUEVES","VIERNES","SÁBADO","DOMINGO"))</f>
        <v/>
      </c>
      <c r="H146" s="34">
        <f>IF($A146="","",CHOOSE(MONTH($A146),"ENERO","FEBRERO","MARZO","ABRIL","MAYO","JUNIO","JULIO","AGOSTO","SEPTIEMBRE","OCTUBRE","NOVIEMBRE","DICIEMBRE"))</f>
        <v/>
      </c>
      <c r="I146" s="34">
        <f>IF($A146="","",IF(OR($G146="SÁBADO",$G146="DOMINGO"),"FIN","LV"))</f>
        <v/>
      </c>
      <c r="J146" s="34">
        <f>IF(OR($A146="",$B146=""),"",IF($L146&lt;&gt;"",UPPER($L146),IF($C146="","FALTA",IFERROR(IF($C146&gt;=$O146,"ROJO FUERTE",IF($C146&gt;=$N146,"ROJO",IF($C146&gt;=$M146,"AMARILLO","VERDE"))),"REVISAR"))))</f>
        <v/>
      </c>
      <c r="K146" s="36">
        <f>IF(OR($C146="",$D146=""),"",IF($D146&gt;=$C146,($D146-$C146)*24,(1-$C146+$D146)*24))</f>
        <v/>
      </c>
      <c r="L146" s="34" t="n"/>
      <c r="M146" s="53">
        <f t="array" ref="M146">IFERROR(INDEX(EXCEPCIONES_FECHA!$D$2:$D$201,MATCH(1,(EXCEPCIONES_FECHA!$A$2:$A$201=$A146)*(EXCEPCIONES_FECHA!$B$2:$B$201=$B146),0)),IFERROR(INDEX(EXCEPCIONES_FECHA!$D$2:$D$201,MATCH(1,(EXCEPCIONES_FECHA!$A$2:$A$201=$A146)*(EXCEPCIONES_FECHA!$B$2:$B$201=""),0)),IFERROR(INDEX(IF($I146="FIN",HISTORIAL_HORARIOS!$J$2:$J$201,HISTORIAL_HORARIOS!$F$2:$F$201),MATCH(1,(HISTORIAL_HORARIOS!$A$2:$A$201=$B146)*(HISTORIAL_HORARIOS!$C$2:$C$201&lt;=$A146)*(HISTORIAL_HORARIOS!$D$2:$D$201&gt;=$A146),0)),INDEX(IF($I146="FIN",PERSONAL!$J$2:$J$80,PERSONAL!$F$2:$F$80),MATCH($B146,PERSONAL!$A$2:$A$80,0)))))</f>
        <v/>
      </c>
      <c r="N146" s="53">
        <f t="array" ref="N146">IFERROR(INDEX(EXCEPCIONES_FECHA!$E$2:$E$201,MATCH(1,(EXCEPCIONES_FECHA!$A$2:$A$201=$A146)*(EXCEPCIONES_FECHA!$B$2:$B$201=$B146),0)),IFERROR(INDEX(EXCEPCIONES_FECHA!$E$2:$E$201,MATCH(1,(EXCEPCIONES_FECHA!$A$2:$A$201=$A146)*(EXCEPCIONES_FECHA!$B$2:$B$201=""),0)),IFERROR(INDEX(IF($I146="FIN",HISTORIAL_HORARIOS!$K$2:$K$201,HISTORIAL_HORARIOS!$G$2:$G$201),MATCH(1,(HISTORIAL_HORARIOS!$A$2:$A$201=$B146)*(HISTORIAL_HORARIOS!$C$2:$C$201&lt;=$A146)*(HISTORIAL_HORARIOS!$D$2:$D$201&gt;=$A146),0)),INDEX(IF($I146="FIN",PERSONAL!$K$2:$K$80,PERSONAL!$G$2:$G$80),MATCH($B146,PERSONAL!$A$2:$A$80,0)))))</f>
        <v/>
      </c>
      <c r="O146" s="53">
        <f t="array" ref="O146">IFERROR(INDEX(EXCEPCIONES_FECHA!$F$2:$F$201,MATCH(1,(EXCEPCIONES_FECHA!$A$2:$A$201=$A146)*(EXCEPCIONES_FECHA!$B$2:$B$201=$B146),0)),IFERROR(INDEX(EXCEPCIONES_FECHA!$F$2:$F$201,MATCH(1,(EXCEPCIONES_FECHA!$A$2:$A$201=$A146)*(EXCEPCIONES_FECHA!$B$2:$B$201=""),0)),IFERROR(INDEX(IF($I146="FIN",HISTORIAL_HORARIOS!$L$2:$L$201,HISTORIAL_HORARIOS!$H$2:$H$201),MATCH(1,(HISTORIAL_HORARIOS!$A$2:$A$201=$B146)*(HISTORIAL_HORARIOS!$C$2:$C$201&lt;=$A146)*(HISTORIAL_HORARIOS!$D$2:$D$201&gt;=$A146),0)),INDEX(IF($I146="FIN",PERSONAL!$L$2:$L$80,PERSONAL!$H$2:$H$80),MATCH($B146,PERSONAL!$A$2:$A$80,0)))))</f>
        <v/>
      </c>
    </row>
    <row r="147" ht="15" customHeight="1" s="58">
      <c r="A147" s="37" t="n"/>
      <c r="B147" s="38" t="n"/>
      <c r="C147" s="39" t="n"/>
      <c r="D147" s="39" t="n"/>
      <c r="E147" s="34">
        <f t="array" ref="E147">IF($B147="","",IFERROR(INDEX(PERSONAL!$B$2:$B$80,MATCH($B147,PERSONAL!$A$2:$A$80,0)),"NO EXISTE"))</f>
        <v/>
      </c>
      <c r="F147" s="52">
        <f t="array" ref="F147">IF($B147="","",IFERROR(INDEX(PERSONAL!$C$2:$C$80,MATCH($B147,PERSONAL!$A$2:$A$80,0)),""))</f>
        <v/>
      </c>
      <c r="G147" s="52">
        <f>IF($A147="","",CHOOSE(WEEKDAY($A147,2),"LUNES","MARTES","MIÉRCOLES","JUEVES","VIERNES","SÁBADO","DOMINGO"))</f>
        <v/>
      </c>
      <c r="H147" s="34">
        <f>IF($A147="","",CHOOSE(MONTH($A147),"ENERO","FEBRERO","MARZO","ABRIL","MAYO","JUNIO","JULIO","AGOSTO","SEPTIEMBRE","OCTUBRE","NOVIEMBRE","DICIEMBRE"))</f>
        <v/>
      </c>
      <c r="I147" s="34">
        <f>IF($A147="","",IF(OR($G147="SÁBADO",$G147="DOMINGO"),"FIN","LV"))</f>
        <v/>
      </c>
      <c r="J147" s="34">
        <f>IF(OR($A147="",$B147=""),"",IF($L147&lt;&gt;"",UPPER($L147),IF($C147="","FALTA",IFERROR(IF($C147&gt;=$O147,"ROJO FUERTE",IF($C147&gt;=$N147,"ROJO",IF($C147&gt;=$M147,"AMARILLO","VERDE"))),"REVISAR"))))</f>
        <v/>
      </c>
      <c r="K147" s="36">
        <f>IF(OR($C147="",$D147=""),"",IF($D147&gt;=$C147,($D147-$C147)*24,(1-$C147+$D147)*24))</f>
        <v/>
      </c>
      <c r="L147" s="34" t="n"/>
      <c r="M147" s="53">
        <f t="array" ref="M147">IFERROR(INDEX(EXCEPCIONES_FECHA!$D$2:$D$201,MATCH(1,(EXCEPCIONES_FECHA!$A$2:$A$201=$A147)*(EXCEPCIONES_FECHA!$B$2:$B$201=$B147),0)),IFERROR(INDEX(EXCEPCIONES_FECHA!$D$2:$D$201,MATCH(1,(EXCEPCIONES_FECHA!$A$2:$A$201=$A147)*(EXCEPCIONES_FECHA!$B$2:$B$201=""),0)),IFERROR(INDEX(IF($I147="FIN",HISTORIAL_HORARIOS!$J$2:$J$201,HISTORIAL_HORARIOS!$F$2:$F$201),MATCH(1,(HISTORIAL_HORARIOS!$A$2:$A$201=$B147)*(HISTORIAL_HORARIOS!$C$2:$C$201&lt;=$A147)*(HISTORIAL_HORARIOS!$D$2:$D$201&gt;=$A147),0)),INDEX(IF($I147="FIN",PERSONAL!$J$2:$J$80,PERSONAL!$F$2:$F$80),MATCH($B147,PERSONAL!$A$2:$A$80,0)))))</f>
        <v/>
      </c>
      <c r="N147" s="53">
        <f t="array" ref="N147">IFERROR(INDEX(EXCEPCIONES_FECHA!$E$2:$E$201,MATCH(1,(EXCEPCIONES_FECHA!$A$2:$A$201=$A147)*(EXCEPCIONES_FECHA!$B$2:$B$201=$B147),0)),IFERROR(INDEX(EXCEPCIONES_FECHA!$E$2:$E$201,MATCH(1,(EXCEPCIONES_FECHA!$A$2:$A$201=$A147)*(EXCEPCIONES_FECHA!$B$2:$B$201=""),0)),IFERROR(INDEX(IF($I147="FIN",HISTORIAL_HORARIOS!$K$2:$K$201,HISTORIAL_HORARIOS!$G$2:$G$201),MATCH(1,(HISTORIAL_HORARIOS!$A$2:$A$201=$B147)*(HISTORIAL_HORARIOS!$C$2:$C$201&lt;=$A147)*(HISTORIAL_HORARIOS!$D$2:$D$201&gt;=$A147),0)),INDEX(IF($I147="FIN",PERSONAL!$K$2:$K$80,PERSONAL!$G$2:$G$80),MATCH($B147,PERSONAL!$A$2:$A$80,0)))))</f>
        <v/>
      </c>
      <c r="O147" s="53">
        <f t="array" ref="O147">IFERROR(INDEX(EXCEPCIONES_FECHA!$F$2:$F$201,MATCH(1,(EXCEPCIONES_FECHA!$A$2:$A$201=$A147)*(EXCEPCIONES_FECHA!$B$2:$B$201=$B147),0)),IFERROR(INDEX(EXCEPCIONES_FECHA!$F$2:$F$201,MATCH(1,(EXCEPCIONES_FECHA!$A$2:$A$201=$A147)*(EXCEPCIONES_FECHA!$B$2:$B$201=""),0)),IFERROR(INDEX(IF($I147="FIN",HISTORIAL_HORARIOS!$L$2:$L$201,HISTORIAL_HORARIOS!$H$2:$H$201),MATCH(1,(HISTORIAL_HORARIOS!$A$2:$A$201=$B147)*(HISTORIAL_HORARIOS!$C$2:$C$201&lt;=$A147)*(HISTORIAL_HORARIOS!$D$2:$D$201&gt;=$A147),0)),INDEX(IF($I147="FIN",PERSONAL!$L$2:$L$80,PERSONAL!$H$2:$H$80),MATCH($B147,PERSONAL!$A$2:$A$80,0)))))</f>
        <v/>
      </c>
    </row>
    <row r="148" ht="15" customHeight="1" s="58">
      <c r="A148" s="37" t="n"/>
      <c r="B148" s="38" t="n"/>
      <c r="C148" s="39" t="n"/>
      <c r="D148" s="39" t="n"/>
      <c r="E148" s="34">
        <f t="array" ref="E148">IF($B148="","",IFERROR(INDEX(PERSONAL!$B$2:$B$80,MATCH($B148,PERSONAL!$A$2:$A$80,0)),"NO EXISTE"))</f>
        <v/>
      </c>
      <c r="F148" s="52">
        <f t="array" ref="F148">IF($B148="","",IFERROR(INDEX(PERSONAL!$C$2:$C$80,MATCH($B148,PERSONAL!$A$2:$A$80,0)),""))</f>
        <v/>
      </c>
      <c r="G148" s="52">
        <f>IF($A148="","",CHOOSE(WEEKDAY($A148,2),"LUNES","MARTES","MIÉRCOLES","JUEVES","VIERNES","SÁBADO","DOMINGO"))</f>
        <v/>
      </c>
      <c r="H148" s="34">
        <f>IF($A148="","",CHOOSE(MONTH($A148),"ENERO","FEBRERO","MARZO","ABRIL","MAYO","JUNIO","JULIO","AGOSTO","SEPTIEMBRE","OCTUBRE","NOVIEMBRE","DICIEMBRE"))</f>
        <v/>
      </c>
      <c r="I148" s="34">
        <f>IF($A148="","",IF(OR($G148="SÁBADO",$G148="DOMINGO"),"FIN","LV"))</f>
        <v/>
      </c>
      <c r="J148" s="34">
        <f>IF(OR($A148="",$B148=""),"",IF($L148&lt;&gt;"",UPPER($L148),IF($C148="","FALTA",IFERROR(IF($C148&gt;=$O148,"ROJO FUERTE",IF($C148&gt;=$N148,"ROJO",IF($C148&gt;=$M148,"AMARILLO","VERDE"))),"REVISAR"))))</f>
        <v/>
      </c>
      <c r="K148" s="36">
        <f>IF(OR($C148="",$D148=""),"",IF($D148&gt;=$C148,($D148-$C148)*24,(1-$C148+$D148)*24))</f>
        <v/>
      </c>
      <c r="L148" s="34" t="n"/>
      <c r="M148" s="53">
        <f t="array" ref="M148">IFERROR(INDEX(EXCEPCIONES_FECHA!$D$2:$D$201,MATCH(1,(EXCEPCIONES_FECHA!$A$2:$A$201=$A148)*(EXCEPCIONES_FECHA!$B$2:$B$201=$B148),0)),IFERROR(INDEX(EXCEPCIONES_FECHA!$D$2:$D$201,MATCH(1,(EXCEPCIONES_FECHA!$A$2:$A$201=$A148)*(EXCEPCIONES_FECHA!$B$2:$B$201=""),0)),IFERROR(INDEX(IF($I148="FIN",HISTORIAL_HORARIOS!$J$2:$J$201,HISTORIAL_HORARIOS!$F$2:$F$201),MATCH(1,(HISTORIAL_HORARIOS!$A$2:$A$201=$B148)*(HISTORIAL_HORARIOS!$C$2:$C$201&lt;=$A148)*(HISTORIAL_HORARIOS!$D$2:$D$201&gt;=$A148),0)),INDEX(IF($I148="FIN",PERSONAL!$J$2:$J$80,PERSONAL!$F$2:$F$80),MATCH($B148,PERSONAL!$A$2:$A$80,0)))))</f>
        <v/>
      </c>
      <c r="N148" s="53">
        <f t="array" ref="N148">IFERROR(INDEX(EXCEPCIONES_FECHA!$E$2:$E$201,MATCH(1,(EXCEPCIONES_FECHA!$A$2:$A$201=$A148)*(EXCEPCIONES_FECHA!$B$2:$B$201=$B148),0)),IFERROR(INDEX(EXCEPCIONES_FECHA!$E$2:$E$201,MATCH(1,(EXCEPCIONES_FECHA!$A$2:$A$201=$A148)*(EXCEPCIONES_FECHA!$B$2:$B$201=""),0)),IFERROR(INDEX(IF($I148="FIN",HISTORIAL_HORARIOS!$K$2:$K$201,HISTORIAL_HORARIOS!$G$2:$G$201),MATCH(1,(HISTORIAL_HORARIOS!$A$2:$A$201=$B148)*(HISTORIAL_HORARIOS!$C$2:$C$201&lt;=$A148)*(HISTORIAL_HORARIOS!$D$2:$D$201&gt;=$A148),0)),INDEX(IF($I148="FIN",PERSONAL!$K$2:$K$80,PERSONAL!$G$2:$G$80),MATCH($B148,PERSONAL!$A$2:$A$80,0)))))</f>
        <v/>
      </c>
      <c r="O148" s="53">
        <f t="array" ref="O148">IFERROR(INDEX(EXCEPCIONES_FECHA!$F$2:$F$201,MATCH(1,(EXCEPCIONES_FECHA!$A$2:$A$201=$A148)*(EXCEPCIONES_FECHA!$B$2:$B$201=$B148),0)),IFERROR(INDEX(EXCEPCIONES_FECHA!$F$2:$F$201,MATCH(1,(EXCEPCIONES_FECHA!$A$2:$A$201=$A148)*(EXCEPCIONES_FECHA!$B$2:$B$201=""),0)),IFERROR(INDEX(IF($I148="FIN",HISTORIAL_HORARIOS!$L$2:$L$201,HISTORIAL_HORARIOS!$H$2:$H$201),MATCH(1,(HISTORIAL_HORARIOS!$A$2:$A$201=$B148)*(HISTORIAL_HORARIOS!$C$2:$C$201&lt;=$A148)*(HISTORIAL_HORARIOS!$D$2:$D$201&gt;=$A148),0)),INDEX(IF($I148="FIN",PERSONAL!$L$2:$L$80,PERSONAL!$H$2:$H$80),MATCH($B148,PERSONAL!$A$2:$A$80,0)))))</f>
        <v/>
      </c>
    </row>
    <row r="149" ht="15" customHeight="1" s="58">
      <c r="A149" s="37" t="n"/>
      <c r="B149" s="38" t="n"/>
      <c r="C149" s="39" t="n"/>
      <c r="D149" s="39" t="n"/>
      <c r="E149" s="34">
        <f t="array" ref="E149">IF($B149="","",IFERROR(INDEX(PERSONAL!$B$2:$B$80,MATCH($B149,PERSONAL!$A$2:$A$80,0)),"NO EXISTE"))</f>
        <v/>
      </c>
      <c r="F149" s="52">
        <f t="array" ref="F149">IF($B149="","",IFERROR(INDEX(PERSONAL!$C$2:$C$80,MATCH($B149,PERSONAL!$A$2:$A$80,0)),""))</f>
        <v/>
      </c>
      <c r="G149" s="52">
        <f>IF($A149="","",CHOOSE(WEEKDAY($A149,2),"LUNES","MARTES","MIÉRCOLES","JUEVES","VIERNES","SÁBADO","DOMINGO"))</f>
        <v/>
      </c>
      <c r="H149" s="34">
        <f>IF($A149="","",CHOOSE(MONTH($A149),"ENERO","FEBRERO","MARZO","ABRIL","MAYO","JUNIO","JULIO","AGOSTO","SEPTIEMBRE","OCTUBRE","NOVIEMBRE","DICIEMBRE"))</f>
        <v/>
      </c>
      <c r="I149" s="34">
        <f>IF($A149="","",IF(OR($G149="SÁBADO",$G149="DOMINGO"),"FIN","LV"))</f>
        <v/>
      </c>
      <c r="J149" s="34">
        <f>IF(OR($A149="",$B149=""),"",IF($L149&lt;&gt;"",UPPER($L149),IF($C149="","FALTA",IFERROR(IF($C149&gt;=$O149,"ROJO FUERTE",IF($C149&gt;=$N149,"ROJO",IF($C149&gt;=$M149,"AMARILLO","VERDE"))),"REVISAR"))))</f>
        <v/>
      </c>
      <c r="K149" s="36">
        <f>IF(OR($C149="",$D149=""),"",IF($D149&gt;=$C149,($D149-$C149)*24,(1-$C149+$D149)*24))</f>
        <v/>
      </c>
      <c r="L149" s="34" t="n"/>
      <c r="M149" s="53">
        <f t="array" ref="M149">IFERROR(INDEX(EXCEPCIONES_FECHA!$D$2:$D$201,MATCH(1,(EXCEPCIONES_FECHA!$A$2:$A$201=$A149)*(EXCEPCIONES_FECHA!$B$2:$B$201=$B149),0)),IFERROR(INDEX(EXCEPCIONES_FECHA!$D$2:$D$201,MATCH(1,(EXCEPCIONES_FECHA!$A$2:$A$201=$A149)*(EXCEPCIONES_FECHA!$B$2:$B$201=""),0)),IFERROR(INDEX(IF($I149="FIN",HISTORIAL_HORARIOS!$J$2:$J$201,HISTORIAL_HORARIOS!$F$2:$F$201),MATCH(1,(HISTORIAL_HORARIOS!$A$2:$A$201=$B149)*(HISTORIAL_HORARIOS!$C$2:$C$201&lt;=$A149)*(HISTORIAL_HORARIOS!$D$2:$D$201&gt;=$A149),0)),INDEX(IF($I149="FIN",PERSONAL!$J$2:$J$80,PERSONAL!$F$2:$F$80),MATCH($B149,PERSONAL!$A$2:$A$80,0)))))</f>
        <v/>
      </c>
      <c r="N149" s="53">
        <f t="array" ref="N149">IFERROR(INDEX(EXCEPCIONES_FECHA!$E$2:$E$201,MATCH(1,(EXCEPCIONES_FECHA!$A$2:$A$201=$A149)*(EXCEPCIONES_FECHA!$B$2:$B$201=$B149),0)),IFERROR(INDEX(EXCEPCIONES_FECHA!$E$2:$E$201,MATCH(1,(EXCEPCIONES_FECHA!$A$2:$A$201=$A149)*(EXCEPCIONES_FECHA!$B$2:$B$201=""),0)),IFERROR(INDEX(IF($I149="FIN",HISTORIAL_HORARIOS!$K$2:$K$201,HISTORIAL_HORARIOS!$G$2:$G$201),MATCH(1,(HISTORIAL_HORARIOS!$A$2:$A$201=$B149)*(HISTORIAL_HORARIOS!$C$2:$C$201&lt;=$A149)*(HISTORIAL_HORARIOS!$D$2:$D$201&gt;=$A149),0)),INDEX(IF($I149="FIN",PERSONAL!$K$2:$K$80,PERSONAL!$G$2:$G$80),MATCH($B149,PERSONAL!$A$2:$A$80,0)))))</f>
        <v/>
      </c>
      <c r="O149" s="53">
        <f t="array" ref="O149">IFERROR(INDEX(EXCEPCIONES_FECHA!$F$2:$F$201,MATCH(1,(EXCEPCIONES_FECHA!$A$2:$A$201=$A149)*(EXCEPCIONES_FECHA!$B$2:$B$201=$B149),0)),IFERROR(INDEX(EXCEPCIONES_FECHA!$F$2:$F$201,MATCH(1,(EXCEPCIONES_FECHA!$A$2:$A$201=$A149)*(EXCEPCIONES_FECHA!$B$2:$B$201=""),0)),IFERROR(INDEX(IF($I149="FIN",HISTORIAL_HORARIOS!$L$2:$L$201,HISTORIAL_HORARIOS!$H$2:$H$201),MATCH(1,(HISTORIAL_HORARIOS!$A$2:$A$201=$B149)*(HISTORIAL_HORARIOS!$C$2:$C$201&lt;=$A149)*(HISTORIAL_HORARIOS!$D$2:$D$201&gt;=$A149),0)),INDEX(IF($I149="FIN",PERSONAL!$L$2:$L$80,PERSONAL!$H$2:$H$80),MATCH($B149,PERSONAL!$A$2:$A$80,0)))))</f>
        <v/>
      </c>
    </row>
    <row r="150" ht="15" customHeight="1" s="58">
      <c r="A150" s="37" t="n"/>
      <c r="B150" s="38" t="n"/>
      <c r="C150" s="39" t="n"/>
      <c r="D150" s="39" t="n"/>
      <c r="E150" s="34">
        <f t="array" ref="E150">IF($B150="","",IFERROR(INDEX(PERSONAL!$B$2:$B$80,MATCH($B150,PERSONAL!$A$2:$A$80,0)),"NO EXISTE"))</f>
        <v/>
      </c>
      <c r="F150" s="52">
        <f t="array" ref="F150">IF($B150="","",IFERROR(INDEX(PERSONAL!$C$2:$C$80,MATCH($B150,PERSONAL!$A$2:$A$80,0)),""))</f>
        <v/>
      </c>
      <c r="G150" s="52">
        <f>IF($A150="","",CHOOSE(WEEKDAY($A150,2),"LUNES","MARTES","MIÉRCOLES","JUEVES","VIERNES","SÁBADO","DOMINGO"))</f>
        <v/>
      </c>
      <c r="H150" s="34">
        <f>IF($A150="","",CHOOSE(MONTH($A150),"ENERO","FEBRERO","MARZO","ABRIL","MAYO","JUNIO","JULIO","AGOSTO","SEPTIEMBRE","OCTUBRE","NOVIEMBRE","DICIEMBRE"))</f>
        <v/>
      </c>
      <c r="I150" s="34">
        <f>IF($A150="","",IF(OR($G150="SÁBADO",$G150="DOMINGO"),"FIN","LV"))</f>
        <v/>
      </c>
      <c r="J150" s="34">
        <f>IF(OR($A150="",$B150=""),"",IF($L150&lt;&gt;"",UPPER($L150),IF($C150="","FALTA",IFERROR(IF($C150&gt;=$O150,"ROJO FUERTE",IF($C150&gt;=$N150,"ROJO",IF($C150&gt;=$M150,"AMARILLO","VERDE"))),"REVISAR"))))</f>
        <v/>
      </c>
      <c r="K150" s="36">
        <f>IF(OR($C150="",$D150=""),"",IF($D150&gt;=$C150,($D150-$C150)*24,(1-$C150+$D150)*24))</f>
        <v/>
      </c>
      <c r="L150" s="34" t="n"/>
      <c r="M150" s="53">
        <f t="array" ref="M150">IFERROR(INDEX(EXCEPCIONES_FECHA!$D$2:$D$201,MATCH(1,(EXCEPCIONES_FECHA!$A$2:$A$201=$A150)*(EXCEPCIONES_FECHA!$B$2:$B$201=$B150),0)),IFERROR(INDEX(EXCEPCIONES_FECHA!$D$2:$D$201,MATCH(1,(EXCEPCIONES_FECHA!$A$2:$A$201=$A150)*(EXCEPCIONES_FECHA!$B$2:$B$201=""),0)),IFERROR(INDEX(IF($I150="FIN",HISTORIAL_HORARIOS!$J$2:$J$201,HISTORIAL_HORARIOS!$F$2:$F$201),MATCH(1,(HISTORIAL_HORARIOS!$A$2:$A$201=$B150)*(HISTORIAL_HORARIOS!$C$2:$C$201&lt;=$A150)*(HISTORIAL_HORARIOS!$D$2:$D$201&gt;=$A150),0)),INDEX(IF($I150="FIN",PERSONAL!$J$2:$J$80,PERSONAL!$F$2:$F$80),MATCH($B150,PERSONAL!$A$2:$A$80,0)))))</f>
        <v/>
      </c>
      <c r="N150" s="53">
        <f t="array" ref="N150">IFERROR(INDEX(EXCEPCIONES_FECHA!$E$2:$E$201,MATCH(1,(EXCEPCIONES_FECHA!$A$2:$A$201=$A150)*(EXCEPCIONES_FECHA!$B$2:$B$201=$B150),0)),IFERROR(INDEX(EXCEPCIONES_FECHA!$E$2:$E$201,MATCH(1,(EXCEPCIONES_FECHA!$A$2:$A$201=$A150)*(EXCEPCIONES_FECHA!$B$2:$B$201=""),0)),IFERROR(INDEX(IF($I150="FIN",HISTORIAL_HORARIOS!$K$2:$K$201,HISTORIAL_HORARIOS!$G$2:$G$201),MATCH(1,(HISTORIAL_HORARIOS!$A$2:$A$201=$B150)*(HISTORIAL_HORARIOS!$C$2:$C$201&lt;=$A150)*(HISTORIAL_HORARIOS!$D$2:$D$201&gt;=$A150),0)),INDEX(IF($I150="FIN",PERSONAL!$K$2:$K$80,PERSONAL!$G$2:$G$80),MATCH($B150,PERSONAL!$A$2:$A$80,0)))))</f>
        <v/>
      </c>
      <c r="O150" s="53">
        <f t="array" ref="O150">IFERROR(INDEX(EXCEPCIONES_FECHA!$F$2:$F$201,MATCH(1,(EXCEPCIONES_FECHA!$A$2:$A$201=$A150)*(EXCEPCIONES_FECHA!$B$2:$B$201=$B150),0)),IFERROR(INDEX(EXCEPCIONES_FECHA!$F$2:$F$201,MATCH(1,(EXCEPCIONES_FECHA!$A$2:$A$201=$A150)*(EXCEPCIONES_FECHA!$B$2:$B$201=""),0)),IFERROR(INDEX(IF($I150="FIN",HISTORIAL_HORARIOS!$L$2:$L$201,HISTORIAL_HORARIOS!$H$2:$H$201),MATCH(1,(HISTORIAL_HORARIOS!$A$2:$A$201=$B150)*(HISTORIAL_HORARIOS!$C$2:$C$201&lt;=$A150)*(HISTORIAL_HORARIOS!$D$2:$D$201&gt;=$A150),0)),INDEX(IF($I150="FIN",PERSONAL!$L$2:$L$80,PERSONAL!$H$2:$H$80),MATCH($B150,PERSONAL!$A$2:$A$80,0)))))</f>
        <v/>
      </c>
    </row>
    <row r="151" ht="15" customHeight="1" s="58">
      <c r="A151" s="37" t="n"/>
      <c r="B151" s="38" t="n"/>
      <c r="C151" s="39" t="n"/>
      <c r="D151" s="39" t="n"/>
      <c r="E151" s="34">
        <f t="array" ref="E151">IF($B151="","",IFERROR(INDEX(PERSONAL!$B$2:$B$80,MATCH($B151,PERSONAL!$A$2:$A$80,0)),"NO EXISTE"))</f>
        <v/>
      </c>
      <c r="F151" s="52">
        <f t="array" ref="F151">IF($B151="","",IFERROR(INDEX(PERSONAL!$C$2:$C$80,MATCH($B151,PERSONAL!$A$2:$A$80,0)),""))</f>
        <v/>
      </c>
      <c r="G151" s="52">
        <f>IF($A151="","",CHOOSE(WEEKDAY($A151,2),"LUNES","MARTES","MIÉRCOLES","JUEVES","VIERNES","SÁBADO","DOMINGO"))</f>
        <v/>
      </c>
      <c r="H151" s="34">
        <f>IF($A151="","",CHOOSE(MONTH($A151),"ENERO","FEBRERO","MARZO","ABRIL","MAYO","JUNIO","JULIO","AGOSTO","SEPTIEMBRE","OCTUBRE","NOVIEMBRE","DICIEMBRE"))</f>
        <v/>
      </c>
      <c r="I151" s="34">
        <f>IF($A151="","",IF(OR($G151="SÁBADO",$G151="DOMINGO"),"FIN","LV"))</f>
        <v/>
      </c>
      <c r="J151" s="34">
        <f>IF(OR($A151="",$B151=""),"",IF($L151&lt;&gt;"",UPPER($L151),IF($C151="","FALTA",IFERROR(IF($C151&gt;=$O151,"ROJO FUERTE",IF($C151&gt;=$N151,"ROJO",IF($C151&gt;=$M151,"AMARILLO","VERDE"))),"REVISAR"))))</f>
        <v/>
      </c>
      <c r="K151" s="36">
        <f>IF(OR($C151="",$D151=""),"",IF($D151&gt;=$C151,($D151-$C151)*24,(1-$C151+$D151)*24))</f>
        <v/>
      </c>
      <c r="L151" s="34" t="n"/>
      <c r="M151" s="53">
        <f t="array" ref="M151">IFERROR(INDEX(EXCEPCIONES_FECHA!$D$2:$D$201,MATCH(1,(EXCEPCIONES_FECHA!$A$2:$A$201=$A151)*(EXCEPCIONES_FECHA!$B$2:$B$201=$B151),0)),IFERROR(INDEX(EXCEPCIONES_FECHA!$D$2:$D$201,MATCH(1,(EXCEPCIONES_FECHA!$A$2:$A$201=$A151)*(EXCEPCIONES_FECHA!$B$2:$B$201=""),0)),IFERROR(INDEX(IF($I151="FIN",HISTORIAL_HORARIOS!$J$2:$J$201,HISTORIAL_HORARIOS!$F$2:$F$201),MATCH(1,(HISTORIAL_HORARIOS!$A$2:$A$201=$B151)*(HISTORIAL_HORARIOS!$C$2:$C$201&lt;=$A151)*(HISTORIAL_HORARIOS!$D$2:$D$201&gt;=$A151),0)),INDEX(IF($I151="FIN",PERSONAL!$J$2:$J$80,PERSONAL!$F$2:$F$80),MATCH($B151,PERSONAL!$A$2:$A$80,0)))))</f>
        <v/>
      </c>
      <c r="N151" s="53">
        <f t="array" ref="N151">IFERROR(INDEX(EXCEPCIONES_FECHA!$E$2:$E$201,MATCH(1,(EXCEPCIONES_FECHA!$A$2:$A$201=$A151)*(EXCEPCIONES_FECHA!$B$2:$B$201=$B151),0)),IFERROR(INDEX(EXCEPCIONES_FECHA!$E$2:$E$201,MATCH(1,(EXCEPCIONES_FECHA!$A$2:$A$201=$A151)*(EXCEPCIONES_FECHA!$B$2:$B$201=""),0)),IFERROR(INDEX(IF($I151="FIN",HISTORIAL_HORARIOS!$K$2:$K$201,HISTORIAL_HORARIOS!$G$2:$G$201),MATCH(1,(HISTORIAL_HORARIOS!$A$2:$A$201=$B151)*(HISTORIAL_HORARIOS!$C$2:$C$201&lt;=$A151)*(HISTORIAL_HORARIOS!$D$2:$D$201&gt;=$A151),0)),INDEX(IF($I151="FIN",PERSONAL!$K$2:$K$80,PERSONAL!$G$2:$G$80),MATCH($B151,PERSONAL!$A$2:$A$80,0)))))</f>
        <v/>
      </c>
      <c r="O151" s="53">
        <f t="array" ref="O151">IFERROR(INDEX(EXCEPCIONES_FECHA!$F$2:$F$201,MATCH(1,(EXCEPCIONES_FECHA!$A$2:$A$201=$A151)*(EXCEPCIONES_FECHA!$B$2:$B$201=$B151),0)),IFERROR(INDEX(EXCEPCIONES_FECHA!$F$2:$F$201,MATCH(1,(EXCEPCIONES_FECHA!$A$2:$A$201=$A151)*(EXCEPCIONES_FECHA!$B$2:$B$201=""),0)),IFERROR(INDEX(IF($I151="FIN",HISTORIAL_HORARIOS!$L$2:$L$201,HISTORIAL_HORARIOS!$H$2:$H$201),MATCH(1,(HISTORIAL_HORARIOS!$A$2:$A$201=$B151)*(HISTORIAL_HORARIOS!$C$2:$C$201&lt;=$A151)*(HISTORIAL_HORARIOS!$D$2:$D$201&gt;=$A151),0)),INDEX(IF($I151="FIN",PERSONAL!$L$2:$L$80,PERSONAL!$H$2:$H$80),MATCH($B151,PERSONAL!$A$2:$A$80,0)))))</f>
        <v/>
      </c>
    </row>
    <row r="152" ht="15" customHeight="1" s="58">
      <c r="A152" s="37" t="n"/>
      <c r="B152" s="38" t="n"/>
      <c r="C152" s="39" t="n"/>
      <c r="D152" s="39" t="n"/>
      <c r="E152" s="34">
        <f t="array" ref="E152">IF($B152="","",IFERROR(INDEX(PERSONAL!$B$2:$B$80,MATCH($B152,PERSONAL!$A$2:$A$80,0)),"NO EXISTE"))</f>
        <v/>
      </c>
      <c r="F152" s="52">
        <f t="array" ref="F152">IF($B152="","",IFERROR(INDEX(PERSONAL!$C$2:$C$80,MATCH($B152,PERSONAL!$A$2:$A$80,0)),""))</f>
        <v/>
      </c>
      <c r="G152" s="52">
        <f>IF($A152="","",CHOOSE(WEEKDAY($A152,2),"LUNES","MARTES","MIÉRCOLES","JUEVES","VIERNES","SÁBADO","DOMINGO"))</f>
        <v/>
      </c>
      <c r="H152" s="34">
        <f>IF($A152="","",CHOOSE(MONTH($A152),"ENERO","FEBRERO","MARZO","ABRIL","MAYO","JUNIO","JULIO","AGOSTO","SEPTIEMBRE","OCTUBRE","NOVIEMBRE","DICIEMBRE"))</f>
        <v/>
      </c>
      <c r="I152" s="34">
        <f>IF($A152="","",IF(OR($G152="SÁBADO",$G152="DOMINGO"),"FIN","LV"))</f>
        <v/>
      </c>
      <c r="J152" s="34">
        <f>IF(OR($A152="",$B152=""),"",IF($L152&lt;&gt;"",UPPER($L152),IF($C152="","FALTA",IFERROR(IF($C152&gt;=$O152,"ROJO FUERTE",IF($C152&gt;=$N152,"ROJO",IF($C152&gt;=$M152,"AMARILLO","VERDE"))),"REVISAR"))))</f>
        <v/>
      </c>
      <c r="K152" s="36">
        <f>IF(OR($C152="",$D152=""),"",IF($D152&gt;=$C152,($D152-$C152)*24,(1-$C152+$D152)*24))</f>
        <v/>
      </c>
      <c r="L152" s="34" t="n"/>
      <c r="M152" s="53">
        <f t="array" ref="M152">IFERROR(INDEX(EXCEPCIONES_FECHA!$D$2:$D$201,MATCH(1,(EXCEPCIONES_FECHA!$A$2:$A$201=$A152)*(EXCEPCIONES_FECHA!$B$2:$B$201=$B152),0)),IFERROR(INDEX(EXCEPCIONES_FECHA!$D$2:$D$201,MATCH(1,(EXCEPCIONES_FECHA!$A$2:$A$201=$A152)*(EXCEPCIONES_FECHA!$B$2:$B$201=""),0)),IFERROR(INDEX(IF($I152="FIN",HISTORIAL_HORARIOS!$J$2:$J$201,HISTORIAL_HORARIOS!$F$2:$F$201),MATCH(1,(HISTORIAL_HORARIOS!$A$2:$A$201=$B152)*(HISTORIAL_HORARIOS!$C$2:$C$201&lt;=$A152)*(HISTORIAL_HORARIOS!$D$2:$D$201&gt;=$A152),0)),INDEX(IF($I152="FIN",PERSONAL!$J$2:$J$80,PERSONAL!$F$2:$F$80),MATCH($B152,PERSONAL!$A$2:$A$80,0)))))</f>
        <v/>
      </c>
      <c r="N152" s="53">
        <f t="array" ref="N152">IFERROR(INDEX(EXCEPCIONES_FECHA!$E$2:$E$201,MATCH(1,(EXCEPCIONES_FECHA!$A$2:$A$201=$A152)*(EXCEPCIONES_FECHA!$B$2:$B$201=$B152),0)),IFERROR(INDEX(EXCEPCIONES_FECHA!$E$2:$E$201,MATCH(1,(EXCEPCIONES_FECHA!$A$2:$A$201=$A152)*(EXCEPCIONES_FECHA!$B$2:$B$201=""),0)),IFERROR(INDEX(IF($I152="FIN",HISTORIAL_HORARIOS!$K$2:$K$201,HISTORIAL_HORARIOS!$G$2:$G$201),MATCH(1,(HISTORIAL_HORARIOS!$A$2:$A$201=$B152)*(HISTORIAL_HORARIOS!$C$2:$C$201&lt;=$A152)*(HISTORIAL_HORARIOS!$D$2:$D$201&gt;=$A152),0)),INDEX(IF($I152="FIN",PERSONAL!$K$2:$K$80,PERSONAL!$G$2:$G$80),MATCH($B152,PERSONAL!$A$2:$A$80,0)))))</f>
        <v/>
      </c>
      <c r="O152" s="53">
        <f t="array" ref="O152">IFERROR(INDEX(EXCEPCIONES_FECHA!$F$2:$F$201,MATCH(1,(EXCEPCIONES_FECHA!$A$2:$A$201=$A152)*(EXCEPCIONES_FECHA!$B$2:$B$201=$B152),0)),IFERROR(INDEX(EXCEPCIONES_FECHA!$F$2:$F$201,MATCH(1,(EXCEPCIONES_FECHA!$A$2:$A$201=$A152)*(EXCEPCIONES_FECHA!$B$2:$B$201=""),0)),IFERROR(INDEX(IF($I152="FIN",HISTORIAL_HORARIOS!$L$2:$L$201,HISTORIAL_HORARIOS!$H$2:$H$201),MATCH(1,(HISTORIAL_HORARIOS!$A$2:$A$201=$B152)*(HISTORIAL_HORARIOS!$C$2:$C$201&lt;=$A152)*(HISTORIAL_HORARIOS!$D$2:$D$201&gt;=$A152),0)),INDEX(IF($I152="FIN",PERSONAL!$L$2:$L$80,PERSONAL!$H$2:$H$80),MATCH($B152,PERSONAL!$A$2:$A$80,0)))))</f>
        <v/>
      </c>
    </row>
    <row r="153" ht="15" customHeight="1" s="58">
      <c r="A153" s="37" t="n"/>
      <c r="B153" s="38" t="n"/>
      <c r="C153" s="39" t="n"/>
      <c r="D153" s="39" t="n"/>
      <c r="E153" s="34">
        <f t="array" ref="E153">IF($B153="","",IFERROR(INDEX(PERSONAL!$B$2:$B$80,MATCH($B153,PERSONAL!$A$2:$A$80,0)),"NO EXISTE"))</f>
        <v/>
      </c>
      <c r="F153" s="52">
        <f t="array" ref="F153">IF($B153="","",IFERROR(INDEX(PERSONAL!$C$2:$C$80,MATCH($B153,PERSONAL!$A$2:$A$80,0)),""))</f>
        <v/>
      </c>
      <c r="G153" s="52">
        <f>IF($A153="","",CHOOSE(WEEKDAY($A153,2),"LUNES","MARTES","MIÉRCOLES","JUEVES","VIERNES","SÁBADO","DOMINGO"))</f>
        <v/>
      </c>
      <c r="H153" s="34">
        <f>IF($A153="","",CHOOSE(MONTH($A153),"ENERO","FEBRERO","MARZO","ABRIL","MAYO","JUNIO","JULIO","AGOSTO","SEPTIEMBRE","OCTUBRE","NOVIEMBRE","DICIEMBRE"))</f>
        <v/>
      </c>
      <c r="I153" s="34">
        <f>IF($A153="","",IF(OR($G153="SÁBADO",$G153="DOMINGO"),"FIN","LV"))</f>
        <v/>
      </c>
      <c r="J153" s="34">
        <f>IF(OR($A153="",$B153=""),"",IF($L153&lt;&gt;"",UPPER($L153),IF($C153="","FALTA",IFERROR(IF($C153&gt;=$O153,"ROJO FUERTE",IF($C153&gt;=$N153,"ROJO",IF($C153&gt;=$M153,"AMARILLO","VERDE"))),"REVISAR"))))</f>
        <v/>
      </c>
      <c r="K153" s="36">
        <f>IF(OR($C153="",$D153=""),"",IF($D153&gt;=$C153,($D153-$C153)*24,(1-$C153+$D153)*24))</f>
        <v/>
      </c>
      <c r="L153" s="34" t="n"/>
      <c r="M153" s="53">
        <f t="array" ref="M153">IFERROR(INDEX(EXCEPCIONES_FECHA!$D$2:$D$201,MATCH(1,(EXCEPCIONES_FECHA!$A$2:$A$201=$A153)*(EXCEPCIONES_FECHA!$B$2:$B$201=$B153),0)),IFERROR(INDEX(EXCEPCIONES_FECHA!$D$2:$D$201,MATCH(1,(EXCEPCIONES_FECHA!$A$2:$A$201=$A153)*(EXCEPCIONES_FECHA!$B$2:$B$201=""),0)),IFERROR(INDEX(IF($I153="FIN",HISTORIAL_HORARIOS!$J$2:$J$201,HISTORIAL_HORARIOS!$F$2:$F$201),MATCH(1,(HISTORIAL_HORARIOS!$A$2:$A$201=$B153)*(HISTORIAL_HORARIOS!$C$2:$C$201&lt;=$A153)*(HISTORIAL_HORARIOS!$D$2:$D$201&gt;=$A153),0)),INDEX(IF($I153="FIN",PERSONAL!$J$2:$J$80,PERSONAL!$F$2:$F$80),MATCH($B153,PERSONAL!$A$2:$A$80,0)))))</f>
        <v/>
      </c>
      <c r="N153" s="53">
        <f t="array" ref="N153">IFERROR(INDEX(EXCEPCIONES_FECHA!$E$2:$E$201,MATCH(1,(EXCEPCIONES_FECHA!$A$2:$A$201=$A153)*(EXCEPCIONES_FECHA!$B$2:$B$201=$B153),0)),IFERROR(INDEX(EXCEPCIONES_FECHA!$E$2:$E$201,MATCH(1,(EXCEPCIONES_FECHA!$A$2:$A$201=$A153)*(EXCEPCIONES_FECHA!$B$2:$B$201=""),0)),IFERROR(INDEX(IF($I153="FIN",HISTORIAL_HORARIOS!$K$2:$K$201,HISTORIAL_HORARIOS!$G$2:$G$201),MATCH(1,(HISTORIAL_HORARIOS!$A$2:$A$201=$B153)*(HISTORIAL_HORARIOS!$C$2:$C$201&lt;=$A153)*(HISTORIAL_HORARIOS!$D$2:$D$201&gt;=$A153),0)),INDEX(IF($I153="FIN",PERSONAL!$K$2:$K$80,PERSONAL!$G$2:$G$80),MATCH($B153,PERSONAL!$A$2:$A$80,0)))))</f>
        <v/>
      </c>
      <c r="O153" s="53">
        <f t="array" ref="O153">IFERROR(INDEX(EXCEPCIONES_FECHA!$F$2:$F$201,MATCH(1,(EXCEPCIONES_FECHA!$A$2:$A$201=$A153)*(EXCEPCIONES_FECHA!$B$2:$B$201=$B153),0)),IFERROR(INDEX(EXCEPCIONES_FECHA!$F$2:$F$201,MATCH(1,(EXCEPCIONES_FECHA!$A$2:$A$201=$A153)*(EXCEPCIONES_FECHA!$B$2:$B$201=""),0)),IFERROR(INDEX(IF($I153="FIN",HISTORIAL_HORARIOS!$L$2:$L$201,HISTORIAL_HORARIOS!$H$2:$H$201),MATCH(1,(HISTORIAL_HORARIOS!$A$2:$A$201=$B153)*(HISTORIAL_HORARIOS!$C$2:$C$201&lt;=$A153)*(HISTORIAL_HORARIOS!$D$2:$D$201&gt;=$A153),0)),INDEX(IF($I153="FIN",PERSONAL!$L$2:$L$80,PERSONAL!$H$2:$H$80),MATCH($B153,PERSONAL!$A$2:$A$80,0)))))</f>
        <v/>
      </c>
    </row>
    <row r="154" ht="15" customHeight="1" s="58">
      <c r="A154" s="37" t="n"/>
      <c r="B154" s="38" t="n"/>
      <c r="C154" s="39" t="n"/>
      <c r="D154" s="39" t="n"/>
      <c r="E154" s="34">
        <f t="array" ref="E154">IF($B154="","",IFERROR(INDEX(PERSONAL!$B$2:$B$80,MATCH($B154,PERSONAL!$A$2:$A$80,0)),"NO EXISTE"))</f>
        <v/>
      </c>
      <c r="F154" s="52">
        <f t="array" ref="F154">IF($B154="","",IFERROR(INDEX(PERSONAL!$C$2:$C$80,MATCH($B154,PERSONAL!$A$2:$A$80,0)),""))</f>
        <v/>
      </c>
      <c r="G154" s="52">
        <f>IF($A154="","",CHOOSE(WEEKDAY($A154,2),"LUNES","MARTES","MIÉRCOLES","JUEVES","VIERNES","SÁBADO","DOMINGO"))</f>
        <v/>
      </c>
      <c r="H154" s="34">
        <f>IF($A154="","",CHOOSE(MONTH($A154),"ENERO","FEBRERO","MARZO","ABRIL","MAYO","JUNIO","JULIO","AGOSTO","SEPTIEMBRE","OCTUBRE","NOVIEMBRE","DICIEMBRE"))</f>
        <v/>
      </c>
      <c r="I154" s="34">
        <f>IF($A154="","",IF(OR($G154="SÁBADO",$G154="DOMINGO"),"FIN","LV"))</f>
        <v/>
      </c>
      <c r="J154" s="34">
        <f>IF(OR($A154="",$B154=""),"",IF($L154&lt;&gt;"",UPPER($L154),IF($C154="","FALTA",IFERROR(IF($C154&gt;=$O154,"ROJO FUERTE",IF($C154&gt;=$N154,"ROJO",IF($C154&gt;=$M154,"AMARILLO","VERDE"))),"REVISAR"))))</f>
        <v/>
      </c>
      <c r="K154" s="36">
        <f>IF(OR($C154="",$D154=""),"",IF($D154&gt;=$C154,($D154-$C154)*24,(1-$C154+$D154)*24))</f>
        <v/>
      </c>
      <c r="L154" s="34" t="n"/>
      <c r="M154" s="53">
        <f t="array" ref="M154">IFERROR(INDEX(EXCEPCIONES_FECHA!$D$2:$D$201,MATCH(1,(EXCEPCIONES_FECHA!$A$2:$A$201=$A154)*(EXCEPCIONES_FECHA!$B$2:$B$201=$B154),0)),IFERROR(INDEX(EXCEPCIONES_FECHA!$D$2:$D$201,MATCH(1,(EXCEPCIONES_FECHA!$A$2:$A$201=$A154)*(EXCEPCIONES_FECHA!$B$2:$B$201=""),0)),IFERROR(INDEX(IF($I154="FIN",HISTORIAL_HORARIOS!$J$2:$J$201,HISTORIAL_HORARIOS!$F$2:$F$201),MATCH(1,(HISTORIAL_HORARIOS!$A$2:$A$201=$B154)*(HISTORIAL_HORARIOS!$C$2:$C$201&lt;=$A154)*(HISTORIAL_HORARIOS!$D$2:$D$201&gt;=$A154),0)),INDEX(IF($I154="FIN",PERSONAL!$J$2:$J$80,PERSONAL!$F$2:$F$80),MATCH($B154,PERSONAL!$A$2:$A$80,0)))))</f>
        <v/>
      </c>
      <c r="N154" s="53">
        <f t="array" ref="N154">IFERROR(INDEX(EXCEPCIONES_FECHA!$E$2:$E$201,MATCH(1,(EXCEPCIONES_FECHA!$A$2:$A$201=$A154)*(EXCEPCIONES_FECHA!$B$2:$B$201=$B154),0)),IFERROR(INDEX(EXCEPCIONES_FECHA!$E$2:$E$201,MATCH(1,(EXCEPCIONES_FECHA!$A$2:$A$201=$A154)*(EXCEPCIONES_FECHA!$B$2:$B$201=""),0)),IFERROR(INDEX(IF($I154="FIN",HISTORIAL_HORARIOS!$K$2:$K$201,HISTORIAL_HORARIOS!$G$2:$G$201),MATCH(1,(HISTORIAL_HORARIOS!$A$2:$A$201=$B154)*(HISTORIAL_HORARIOS!$C$2:$C$201&lt;=$A154)*(HISTORIAL_HORARIOS!$D$2:$D$201&gt;=$A154),0)),INDEX(IF($I154="FIN",PERSONAL!$K$2:$K$80,PERSONAL!$G$2:$G$80),MATCH($B154,PERSONAL!$A$2:$A$80,0)))))</f>
        <v/>
      </c>
      <c r="O154" s="53">
        <f t="array" ref="O154">IFERROR(INDEX(EXCEPCIONES_FECHA!$F$2:$F$201,MATCH(1,(EXCEPCIONES_FECHA!$A$2:$A$201=$A154)*(EXCEPCIONES_FECHA!$B$2:$B$201=$B154),0)),IFERROR(INDEX(EXCEPCIONES_FECHA!$F$2:$F$201,MATCH(1,(EXCEPCIONES_FECHA!$A$2:$A$201=$A154)*(EXCEPCIONES_FECHA!$B$2:$B$201=""),0)),IFERROR(INDEX(IF($I154="FIN",HISTORIAL_HORARIOS!$L$2:$L$201,HISTORIAL_HORARIOS!$H$2:$H$201),MATCH(1,(HISTORIAL_HORARIOS!$A$2:$A$201=$B154)*(HISTORIAL_HORARIOS!$C$2:$C$201&lt;=$A154)*(HISTORIAL_HORARIOS!$D$2:$D$201&gt;=$A154),0)),INDEX(IF($I154="FIN",PERSONAL!$L$2:$L$80,PERSONAL!$H$2:$H$80),MATCH($B154,PERSONAL!$A$2:$A$80,0)))))</f>
        <v/>
      </c>
    </row>
    <row r="155" ht="15" customHeight="1" s="58">
      <c r="A155" s="37" t="n"/>
      <c r="B155" s="38" t="n"/>
      <c r="C155" s="39" t="n"/>
      <c r="D155" s="39" t="n"/>
      <c r="E155" s="34">
        <f t="array" ref="E155">IF($B155="","",IFERROR(INDEX(PERSONAL!$B$2:$B$80,MATCH($B155,PERSONAL!$A$2:$A$80,0)),"NO EXISTE"))</f>
        <v/>
      </c>
      <c r="F155" s="52">
        <f t="array" ref="F155">IF($B155="","",IFERROR(INDEX(PERSONAL!$C$2:$C$80,MATCH($B155,PERSONAL!$A$2:$A$80,0)),""))</f>
        <v/>
      </c>
      <c r="G155" s="52">
        <f>IF($A155="","",CHOOSE(WEEKDAY($A155,2),"LUNES","MARTES","MIÉRCOLES","JUEVES","VIERNES","SÁBADO","DOMINGO"))</f>
        <v/>
      </c>
      <c r="H155" s="34">
        <f>IF($A155="","",CHOOSE(MONTH($A155),"ENERO","FEBRERO","MARZO","ABRIL","MAYO","JUNIO","JULIO","AGOSTO","SEPTIEMBRE","OCTUBRE","NOVIEMBRE","DICIEMBRE"))</f>
        <v/>
      </c>
      <c r="I155" s="34">
        <f>IF($A155="","",IF(OR($G155="SÁBADO",$G155="DOMINGO"),"FIN","LV"))</f>
        <v/>
      </c>
      <c r="J155" s="34">
        <f>IF(OR($A155="",$B155=""),"",IF($L155&lt;&gt;"",UPPER($L155),IF($C155="","FALTA",IFERROR(IF($C155&gt;=$O155,"ROJO FUERTE",IF($C155&gt;=$N155,"ROJO",IF($C155&gt;=$M155,"AMARILLO","VERDE"))),"REVISAR"))))</f>
        <v/>
      </c>
      <c r="K155" s="36">
        <f>IF(OR($C155="",$D155=""),"",IF($D155&gt;=$C155,($D155-$C155)*24,(1-$C155+$D155)*24))</f>
        <v/>
      </c>
      <c r="L155" s="34" t="n"/>
      <c r="M155" s="53">
        <f t="array" ref="M155">IFERROR(INDEX(EXCEPCIONES_FECHA!$D$2:$D$201,MATCH(1,(EXCEPCIONES_FECHA!$A$2:$A$201=$A155)*(EXCEPCIONES_FECHA!$B$2:$B$201=$B155),0)),IFERROR(INDEX(EXCEPCIONES_FECHA!$D$2:$D$201,MATCH(1,(EXCEPCIONES_FECHA!$A$2:$A$201=$A155)*(EXCEPCIONES_FECHA!$B$2:$B$201=""),0)),IFERROR(INDEX(IF($I155="FIN",HISTORIAL_HORARIOS!$J$2:$J$201,HISTORIAL_HORARIOS!$F$2:$F$201),MATCH(1,(HISTORIAL_HORARIOS!$A$2:$A$201=$B155)*(HISTORIAL_HORARIOS!$C$2:$C$201&lt;=$A155)*(HISTORIAL_HORARIOS!$D$2:$D$201&gt;=$A155),0)),INDEX(IF($I155="FIN",PERSONAL!$J$2:$J$80,PERSONAL!$F$2:$F$80),MATCH($B155,PERSONAL!$A$2:$A$80,0)))))</f>
        <v/>
      </c>
      <c r="N155" s="53">
        <f t="array" ref="N155">IFERROR(INDEX(EXCEPCIONES_FECHA!$E$2:$E$201,MATCH(1,(EXCEPCIONES_FECHA!$A$2:$A$201=$A155)*(EXCEPCIONES_FECHA!$B$2:$B$201=$B155),0)),IFERROR(INDEX(EXCEPCIONES_FECHA!$E$2:$E$201,MATCH(1,(EXCEPCIONES_FECHA!$A$2:$A$201=$A155)*(EXCEPCIONES_FECHA!$B$2:$B$201=""),0)),IFERROR(INDEX(IF($I155="FIN",HISTORIAL_HORARIOS!$K$2:$K$201,HISTORIAL_HORARIOS!$G$2:$G$201),MATCH(1,(HISTORIAL_HORARIOS!$A$2:$A$201=$B155)*(HISTORIAL_HORARIOS!$C$2:$C$201&lt;=$A155)*(HISTORIAL_HORARIOS!$D$2:$D$201&gt;=$A155),0)),INDEX(IF($I155="FIN",PERSONAL!$K$2:$K$80,PERSONAL!$G$2:$G$80),MATCH($B155,PERSONAL!$A$2:$A$80,0)))))</f>
        <v/>
      </c>
      <c r="O155" s="53">
        <f t="array" ref="O155">IFERROR(INDEX(EXCEPCIONES_FECHA!$F$2:$F$201,MATCH(1,(EXCEPCIONES_FECHA!$A$2:$A$201=$A155)*(EXCEPCIONES_FECHA!$B$2:$B$201=$B155),0)),IFERROR(INDEX(EXCEPCIONES_FECHA!$F$2:$F$201,MATCH(1,(EXCEPCIONES_FECHA!$A$2:$A$201=$A155)*(EXCEPCIONES_FECHA!$B$2:$B$201=""),0)),IFERROR(INDEX(IF($I155="FIN",HISTORIAL_HORARIOS!$L$2:$L$201,HISTORIAL_HORARIOS!$H$2:$H$201),MATCH(1,(HISTORIAL_HORARIOS!$A$2:$A$201=$B155)*(HISTORIAL_HORARIOS!$C$2:$C$201&lt;=$A155)*(HISTORIAL_HORARIOS!$D$2:$D$201&gt;=$A155),0)),INDEX(IF($I155="FIN",PERSONAL!$L$2:$L$80,PERSONAL!$H$2:$H$80),MATCH($B155,PERSONAL!$A$2:$A$80,0)))))</f>
        <v/>
      </c>
    </row>
    <row r="156" ht="15" customHeight="1" s="58">
      <c r="A156" s="37" t="n"/>
      <c r="B156" s="38" t="n"/>
      <c r="C156" s="39" t="n"/>
      <c r="D156" s="39" t="n"/>
      <c r="E156" s="34">
        <f t="array" ref="E156">IF($B156="","",IFERROR(INDEX(PERSONAL!$B$2:$B$80,MATCH($B156,PERSONAL!$A$2:$A$80,0)),"NO EXISTE"))</f>
        <v/>
      </c>
      <c r="F156" s="52">
        <f t="array" ref="F156">IF($B156="","",IFERROR(INDEX(PERSONAL!$C$2:$C$80,MATCH($B156,PERSONAL!$A$2:$A$80,0)),""))</f>
        <v/>
      </c>
      <c r="G156" s="52">
        <f>IF($A156="","",CHOOSE(WEEKDAY($A156,2),"LUNES","MARTES","MIÉRCOLES","JUEVES","VIERNES","SÁBADO","DOMINGO"))</f>
        <v/>
      </c>
      <c r="H156" s="34">
        <f>IF($A156="","",CHOOSE(MONTH($A156),"ENERO","FEBRERO","MARZO","ABRIL","MAYO","JUNIO","JULIO","AGOSTO","SEPTIEMBRE","OCTUBRE","NOVIEMBRE","DICIEMBRE"))</f>
        <v/>
      </c>
      <c r="I156" s="34">
        <f>IF($A156="","",IF(OR($G156="SÁBADO",$G156="DOMINGO"),"FIN","LV"))</f>
        <v/>
      </c>
      <c r="J156" s="34">
        <f>IF(OR($A156="",$B156=""),"",IF($L156&lt;&gt;"",UPPER($L156),IF($C156="","FALTA",IFERROR(IF($C156&gt;=$O156,"ROJO FUERTE",IF($C156&gt;=$N156,"ROJO",IF($C156&gt;=$M156,"AMARILLO","VERDE"))),"REVISAR"))))</f>
        <v/>
      </c>
      <c r="K156" s="36">
        <f>IF(OR($C156="",$D156=""),"",IF($D156&gt;=$C156,($D156-$C156)*24,(1-$C156+$D156)*24))</f>
        <v/>
      </c>
      <c r="L156" s="34" t="n"/>
      <c r="M156" s="53">
        <f t="array" ref="M156">IFERROR(INDEX(EXCEPCIONES_FECHA!$D$2:$D$201,MATCH(1,(EXCEPCIONES_FECHA!$A$2:$A$201=$A156)*(EXCEPCIONES_FECHA!$B$2:$B$201=$B156),0)),IFERROR(INDEX(EXCEPCIONES_FECHA!$D$2:$D$201,MATCH(1,(EXCEPCIONES_FECHA!$A$2:$A$201=$A156)*(EXCEPCIONES_FECHA!$B$2:$B$201=""),0)),IFERROR(INDEX(IF($I156="FIN",HISTORIAL_HORARIOS!$J$2:$J$201,HISTORIAL_HORARIOS!$F$2:$F$201),MATCH(1,(HISTORIAL_HORARIOS!$A$2:$A$201=$B156)*(HISTORIAL_HORARIOS!$C$2:$C$201&lt;=$A156)*(HISTORIAL_HORARIOS!$D$2:$D$201&gt;=$A156),0)),INDEX(IF($I156="FIN",PERSONAL!$J$2:$J$80,PERSONAL!$F$2:$F$80),MATCH($B156,PERSONAL!$A$2:$A$80,0)))))</f>
        <v/>
      </c>
      <c r="N156" s="53">
        <f t="array" ref="N156">IFERROR(INDEX(EXCEPCIONES_FECHA!$E$2:$E$201,MATCH(1,(EXCEPCIONES_FECHA!$A$2:$A$201=$A156)*(EXCEPCIONES_FECHA!$B$2:$B$201=$B156),0)),IFERROR(INDEX(EXCEPCIONES_FECHA!$E$2:$E$201,MATCH(1,(EXCEPCIONES_FECHA!$A$2:$A$201=$A156)*(EXCEPCIONES_FECHA!$B$2:$B$201=""),0)),IFERROR(INDEX(IF($I156="FIN",HISTORIAL_HORARIOS!$K$2:$K$201,HISTORIAL_HORARIOS!$G$2:$G$201),MATCH(1,(HISTORIAL_HORARIOS!$A$2:$A$201=$B156)*(HISTORIAL_HORARIOS!$C$2:$C$201&lt;=$A156)*(HISTORIAL_HORARIOS!$D$2:$D$201&gt;=$A156),0)),INDEX(IF($I156="FIN",PERSONAL!$K$2:$K$80,PERSONAL!$G$2:$G$80),MATCH($B156,PERSONAL!$A$2:$A$80,0)))))</f>
        <v/>
      </c>
      <c r="O156" s="53">
        <f t="array" ref="O156">IFERROR(INDEX(EXCEPCIONES_FECHA!$F$2:$F$201,MATCH(1,(EXCEPCIONES_FECHA!$A$2:$A$201=$A156)*(EXCEPCIONES_FECHA!$B$2:$B$201=$B156),0)),IFERROR(INDEX(EXCEPCIONES_FECHA!$F$2:$F$201,MATCH(1,(EXCEPCIONES_FECHA!$A$2:$A$201=$A156)*(EXCEPCIONES_FECHA!$B$2:$B$201=""),0)),IFERROR(INDEX(IF($I156="FIN",HISTORIAL_HORARIOS!$L$2:$L$201,HISTORIAL_HORARIOS!$H$2:$H$201),MATCH(1,(HISTORIAL_HORARIOS!$A$2:$A$201=$B156)*(HISTORIAL_HORARIOS!$C$2:$C$201&lt;=$A156)*(HISTORIAL_HORARIOS!$D$2:$D$201&gt;=$A156),0)),INDEX(IF($I156="FIN",PERSONAL!$L$2:$L$80,PERSONAL!$H$2:$H$80),MATCH($B156,PERSONAL!$A$2:$A$80,0)))))</f>
        <v/>
      </c>
    </row>
    <row r="157" ht="15" customHeight="1" s="58">
      <c r="A157" s="37" t="n"/>
      <c r="B157" s="38" t="n"/>
      <c r="C157" s="39" t="n"/>
      <c r="D157" s="39" t="n"/>
      <c r="E157" s="34">
        <f t="array" ref="E157">IF($B157="","",IFERROR(INDEX(PERSONAL!$B$2:$B$80,MATCH($B157,PERSONAL!$A$2:$A$80,0)),"NO EXISTE"))</f>
        <v/>
      </c>
      <c r="F157" s="52">
        <f t="array" ref="F157">IF($B157="","",IFERROR(INDEX(PERSONAL!$C$2:$C$80,MATCH($B157,PERSONAL!$A$2:$A$80,0)),""))</f>
        <v/>
      </c>
      <c r="G157" s="52">
        <f>IF($A157="","",CHOOSE(WEEKDAY($A157,2),"LUNES","MARTES","MIÉRCOLES","JUEVES","VIERNES","SÁBADO","DOMINGO"))</f>
        <v/>
      </c>
      <c r="H157" s="34">
        <f>IF($A157="","",CHOOSE(MONTH($A157),"ENERO","FEBRERO","MARZO","ABRIL","MAYO","JUNIO","JULIO","AGOSTO","SEPTIEMBRE","OCTUBRE","NOVIEMBRE","DICIEMBRE"))</f>
        <v/>
      </c>
      <c r="I157" s="34">
        <f>IF($A157="","",IF(OR($G157="SÁBADO",$G157="DOMINGO"),"FIN","LV"))</f>
        <v/>
      </c>
      <c r="J157" s="34">
        <f>IF(OR($A157="",$B157=""),"",IF($L157&lt;&gt;"",UPPER($L157),IF($C157="","FALTA",IFERROR(IF($C157&gt;=$O157,"ROJO FUERTE",IF($C157&gt;=$N157,"ROJO",IF($C157&gt;=$M157,"AMARILLO","VERDE"))),"REVISAR"))))</f>
        <v/>
      </c>
      <c r="K157" s="36">
        <f>IF(OR($C157="",$D157=""),"",IF($D157&gt;=$C157,($D157-$C157)*24,(1-$C157+$D157)*24))</f>
        <v/>
      </c>
      <c r="L157" s="34" t="n"/>
      <c r="M157" s="53">
        <f t="array" ref="M157">IFERROR(INDEX(EXCEPCIONES_FECHA!$D$2:$D$201,MATCH(1,(EXCEPCIONES_FECHA!$A$2:$A$201=$A157)*(EXCEPCIONES_FECHA!$B$2:$B$201=$B157),0)),IFERROR(INDEX(EXCEPCIONES_FECHA!$D$2:$D$201,MATCH(1,(EXCEPCIONES_FECHA!$A$2:$A$201=$A157)*(EXCEPCIONES_FECHA!$B$2:$B$201=""),0)),IFERROR(INDEX(IF($I157="FIN",HISTORIAL_HORARIOS!$J$2:$J$201,HISTORIAL_HORARIOS!$F$2:$F$201),MATCH(1,(HISTORIAL_HORARIOS!$A$2:$A$201=$B157)*(HISTORIAL_HORARIOS!$C$2:$C$201&lt;=$A157)*(HISTORIAL_HORARIOS!$D$2:$D$201&gt;=$A157),0)),INDEX(IF($I157="FIN",PERSONAL!$J$2:$J$80,PERSONAL!$F$2:$F$80),MATCH($B157,PERSONAL!$A$2:$A$80,0)))))</f>
        <v/>
      </c>
      <c r="N157" s="53">
        <f t="array" ref="N157">IFERROR(INDEX(EXCEPCIONES_FECHA!$E$2:$E$201,MATCH(1,(EXCEPCIONES_FECHA!$A$2:$A$201=$A157)*(EXCEPCIONES_FECHA!$B$2:$B$201=$B157),0)),IFERROR(INDEX(EXCEPCIONES_FECHA!$E$2:$E$201,MATCH(1,(EXCEPCIONES_FECHA!$A$2:$A$201=$A157)*(EXCEPCIONES_FECHA!$B$2:$B$201=""),0)),IFERROR(INDEX(IF($I157="FIN",HISTORIAL_HORARIOS!$K$2:$K$201,HISTORIAL_HORARIOS!$G$2:$G$201),MATCH(1,(HISTORIAL_HORARIOS!$A$2:$A$201=$B157)*(HISTORIAL_HORARIOS!$C$2:$C$201&lt;=$A157)*(HISTORIAL_HORARIOS!$D$2:$D$201&gt;=$A157),0)),INDEX(IF($I157="FIN",PERSONAL!$K$2:$K$80,PERSONAL!$G$2:$G$80),MATCH($B157,PERSONAL!$A$2:$A$80,0)))))</f>
        <v/>
      </c>
      <c r="O157" s="53">
        <f t="array" ref="O157">IFERROR(INDEX(EXCEPCIONES_FECHA!$F$2:$F$201,MATCH(1,(EXCEPCIONES_FECHA!$A$2:$A$201=$A157)*(EXCEPCIONES_FECHA!$B$2:$B$201=$B157),0)),IFERROR(INDEX(EXCEPCIONES_FECHA!$F$2:$F$201,MATCH(1,(EXCEPCIONES_FECHA!$A$2:$A$201=$A157)*(EXCEPCIONES_FECHA!$B$2:$B$201=""),0)),IFERROR(INDEX(IF($I157="FIN",HISTORIAL_HORARIOS!$L$2:$L$201,HISTORIAL_HORARIOS!$H$2:$H$201),MATCH(1,(HISTORIAL_HORARIOS!$A$2:$A$201=$B157)*(HISTORIAL_HORARIOS!$C$2:$C$201&lt;=$A157)*(HISTORIAL_HORARIOS!$D$2:$D$201&gt;=$A157),0)),INDEX(IF($I157="FIN",PERSONAL!$L$2:$L$80,PERSONAL!$H$2:$H$80),MATCH($B157,PERSONAL!$A$2:$A$80,0)))))</f>
        <v/>
      </c>
    </row>
    <row r="158" ht="15" customHeight="1" s="58">
      <c r="A158" s="37" t="n"/>
      <c r="B158" s="38" t="n"/>
      <c r="C158" s="39" t="n"/>
      <c r="D158" s="39" t="n"/>
      <c r="E158" s="34">
        <f t="array" ref="E158">IF($B158="","",IFERROR(INDEX(PERSONAL!$B$2:$B$80,MATCH($B158,PERSONAL!$A$2:$A$80,0)),"NO EXISTE"))</f>
        <v/>
      </c>
      <c r="F158" s="52">
        <f t="array" ref="F158">IF($B158="","",IFERROR(INDEX(PERSONAL!$C$2:$C$80,MATCH($B158,PERSONAL!$A$2:$A$80,0)),""))</f>
        <v/>
      </c>
      <c r="G158" s="52">
        <f>IF($A158="","",CHOOSE(WEEKDAY($A158,2),"LUNES","MARTES","MIÉRCOLES","JUEVES","VIERNES","SÁBADO","DOMINGO"))</f>
        <v/>
      </c>
      <c r="H158" s="34">
        <f>IF($A158="","",CHOOSE(MONTH($A158),"ENERO","FEBRERO","MARZO","ABRIL","MAYO","JUNIO","JULIO","AGOSTO","SEPTIEMBRE","OCTUBRE","NOVIEMBRE","DICIEMBRE"))</f>
        <v/>
      </c>
      <c r="I158" s="34">
        <f>IF($A158="","",IF(OR($G158="SÁBADO",$G158="DOMINGO"),"FIN","LV"))</f>
        <v/>
      </c>
      <c r="J158" s="34">
        <f>IF(OR($A158="",$B158=""),"",IF($L158&lt;&gt;"",UPPER($L158),IF($C158="","FALTA",IFERROR(IF($C158&gt;=$O158,"ROJO FUERTE",IF($C158&gt;=$N158,"ROJO",IF($C158&gt;=$M158,"AMARILLO","VERDE"))),"REVISAR"))))</f>
        <v/>
      </c>
      <c r="K158" s="36">
        <f>IF(OR($C158="",$D158=""),"",IF($D158&gt;=$C158,($D158-$C158)*24,(1-$C158+$D158)*24))</f>
        <v/>
      </c>
      <c r="L158" s="34" t="n"/>
      <c r="M158" s="53">
        <f t="array" ref="M158">IFERROR(INDEX(EXCEPCIONES_FECHA!$D$2:$D$201,MATCH(1,(EXCEPCIONES_FECHA!$A$2:$A$201=$A158)*(EXCEPCIONES_FECHA!$B$2:$B$201=$B158),0)),IFERROR(INDEX(EXCEPCIONES_FECHA!$D$2:$D$201,MATCH(1,(EXCEPCIONES_FECHA!$A$2:$A$201=$A158)*(EXCEPCIONES_FECHA!$B$2:$B$201=""),0)),IFERROR(INDEX(IF($I158="FIN",HISTORIAL_HORARIOS!$J$2:$J$201,HISTORIAL_HORARIOS!$F$2:$F$201),MATCH(1,(HISTORIAL_HORARIOS!$A$2:$A$201=$B158)*(HISTORIAL_HORARIOS!$C$2:$C$201&lt;=$A158)*(HISTORIAL_HORARIOS!$D$2:$D$201&gt;=$A158),0)),INDEX(IF($I158="FIN",PERSONAL!$J$2:$J$80,PERSONAL!$F$2:$F$80),MATCH($B158,PERSONAL!$A$2:$A$80,0)))))</f>
        <v/>
      </c>
      <c r="N158" s="53">
        <f t="array" ref="N158">IFERROR(INDEX(EXCEPCIONES_FECHA!$E$2:$E$201,MATCH(1,(EXCEPCIONES_FECHA!$A$2:$A$201=$A158)*(EXCEPCIONES_FECHA!$B$2:$B$201=$B158),0)),IFERROR(INDEX(EXCEPCIONES_FECHA!$E$2:$E$201,MATCH(1,(EXCEPCIONES_FECHA!$A$2:$A$201=$A158)*(EXCEPCIONES_FECHA!$B$2:$B$201=""),0)),IFERROR(INDEX(IF($I158="FIN",HISTORIAL_HORARIOS!$K$2:$K$201,HISTORIAL_HORARIOS!$G$2:$G$201),MATCH(1,(HISTORIAL_HORARIOS!$A$2:$A$201=$B158)*(HISTORIAL_HORARIOS!$C$2:$C$201&lt;=$A158)*(HISTORIAL_HORARIOS!$D$2:$D$201&gt;=$A158),0)),INDEX(IF($I158="FIN",PERSONAL!$K$2:$K$80,PERSONAL!$G$2:$G$80),MATCH($B158,PERSONAL!$A$2:$A$80,0)))))</f>
        <v/>
      </c>
      <c r="O158" s="53">
        <f t="array" ref="O158">IFERROR(INDEX(EXCEPCIONES_FECHA!$F$2:$F$201,MATCH(1,(EXCEPCIONES_FECHA!$A$2:$A$201=$A158)*(EXCEPCIONES_FECHA!$B$2:$B$201=$B158),0)),IFERROR(INDEX(EXCEPCIONES_FECHA!$F$2:$F$201,MATCH(1,(EXCEPCIONES_FECHA!$A$2:$A$201=$A158)*(EXCEPCIONES_FECHA!$B$2:$B$201=""),0)),IFERROR(INDEX(IF($I158="FIN",HISTORIAL_HORARIOS!$L$2:$L$201,HISTORIAL_HORARIOS!$H$2:$H$201),MATCH(1,(HISTORIAL_HORARIOS!$A$2:$A$201=$B158)*(HISTORIAL_HORARIOS!$C$2:$C$201&lt;=$A158)*(HISTORIAL_HORARIOS!$D$2:$D$201&gt;=$A158),0)),INDEX(IF($I158="FIN",PERSONAL!$L$2:$L$80,PERSONAL!$H$2:$H$80),MATCH($B158,PERSONAL!$A$2:$A$80,0)))))</f>
        <v/>
      </c>
    </row>
    <row r="159" ht="15" customHeight="1" s="58">
      <c r="A159" s="37" t="n"/>
      <c r="B159" s="38" t="n"/>
      <c r="C159" s="39" t="n"/>
      <c r="D159" s="39" t="n"/>
      <c r="E159" s="34">
        <f t="array" ref="E159">IF($B159="","",IFERROR(INDEX(PERSONAL!$B$2:$B$80,MATCH($B159,PERSONAL!$A$2:$A$80,0)),"NO EXISTE"))</f>
        <v/>
      </c>
      <c r="F159" s="52">
        <f t="array" ref="F159">IF($B159="","",IFERROR(INDEX(PERSONAL!$C$2:$C$80,MATCH($B159,PERSONAL!$A$2:$A$80,0)),""))</f>
        <v/>
      </c>
      <c r="G159" s="52">
        <f>IF($A159="","",CHOOSE(WEEKDAY($A159,2),"LUNES","MARTES","MIÉRCOLES","JUEVES","VIERNES","SÁBADO","DOMINGO"))</f>
        <v/>
      </c>
      <c r="H159" s="34">
        <f>IF($A159="","",CHOOSE(MONTH($A159),"ENERO","FEBRERO","MARZO","ABRIL","MAYO","JUNIO","JULIO","AGOSTO","SEPTIEMBRE","OCTUBRE","NOVIEMBRE","DICIEMBRE"))</f>
        <v/>
      </c>
      <c r="I159" s="34">
        <f>IF($A159="","",IF(OR($G159="SÁBADO",$G159="DOMINGO"),"FIN","LV"))</f>
        <v/>
      </c>
      <c r="J159" s="34">
        <f>IF(OR($A159="",$B159=""),"",IF($L159&lt;&gt;"",UPPER($L159),IF($C159="","FALTA",IFERROR(IF($C159&gt;=$O159,"ROJO FUERTE",IF($C159&gt;=$N159,"ROJO",IF($C159&gt;=$M159,"AMARILLO","VERDE"))),"REVISAR"))))</f>
        <v/>
      </c>
      <c r="K159" s="36">
        <f>IF(OR($C159="",$D159=""),"",IF($D159&gt;=$C159,($D159-$C159)*24,(1-$C159+$D159)*24))</f>
        <v/>
      </c>
      <c r="L159" s="34" t="n"/>
      <c r="M159" s="53">
        <f t="array" ref="M159">IFERROR(INDEX(EXCEPCIONES_FECHA!$D$2:$D$201,MATCH(1,(EXCEPCIONES_FECHA!$A$2:$A$201=$A159)*(EXCEPCIONES_FECHA!$B$2:$B$201=$B159),0)),IFERROR(INDEX(EXCEPCIONES_FECHA!$D$2:$D$201,MATCH(1,(EXCEPCIONES_FECHA!$A$2:$A$201=$A159)*(EXCEPCIONES_FECHA!$B$2:$B$201=""),0)),IFERROR(INDEX(IF($I159="FIN",HISTORIAL_HORARIOS!$J$2:$J$201,HISTORIAL_HORARIOS!$F$2:$F$201),MATCH(1,(HISTORIAL_HORARIOS!$A$2:$A$201=$B159)*(HISTORIAL_HORARIOS!$C$2:$C$201&lt;=$A159)*(HISTORIAL_HORARIOS!$D$2:$D$201&gt;=$A159),0)),INDEX(IF($I159="FIN",PERSONAL!$J$2:$J$80,PERSONAL!$F$2:$F$80),MATCH($B159,PERSONAL!$A$2:$A$80,0)))))</f>
        <v/>
      </c>
      <c r="N159" s="53">
        <f t="array" ref="N159">IFERROR(INDEX(EXCEPCIONES_FECHA!$E$2:$E$201,MATCH(1,(EXCEPCIONES_FECHA!$A$2:$A$201=$A159)*(EXCEPCIONES_FECHA!$B$2:$B$201=$B159),0)),IFERROR(INDEX(EXCEPCIONES_FECHA!$E$2:$E$201,MATCH(1,(EXCEPCIONES_FECHA!$A$2:$A$201=$A159)*(EXCEPCIONES_FECHA!$B$2:$B$201=""),0)),IFERROR(INDEX(IF($I159="FIN",HISTORIAL_HORARIOS!$K$2:$K$201,HISTORIAL_HORARIOS!$G$2:$G$201),MATCH(1,(HISTORIAL_HORARIOS!$A$2:$A$201=$B159)*(HISTORIAL_HORARIOS!$C$2:$C$201&lt;=$A159)*(HISTORIAL_HORARIOS!$D$2:$D$201&gt;=$A159),0)),INDEX(IF($I159="FIN",PERSONAL!$K$2:$K$80,PERSONAL!$G$2:$G$80),MATCH($B159,PERSONAL!$A$2:$A$80,0)))))</f>
        <v/>
      </c>
      <c r="O159" s="53">
        <f t="array" ref="O159">IFERROR(INDEX(EXCEPCIONES_FECHA!$F$2:$F$201,MATCH(1,(EXCEPCIONES_FECHA!$A$2:$A$201=$A159)*(EXCEPCIONES_FECHA!$B$2:$B$201=$B159),0)),IFERROR(INDEX(EXCEPCIONES_FECHA!$F$2:$F$201,MATCH(1,(EXCEPCIONES_FECHA!$A$2:$A$201=$A159)*(EXCEPCIONES_FECHA!$B$2:$B$201=""),0)),IFERROR(INDEX(IF($I159="FIN",HISTORIAL_HORARIOS!$L$2:$L$201,HISTORIAL_HORARIOS!$H$2:$H$201),MATCH(1,(HISTORIAL_HORARIOS!$A$2:$A$201=$B159)*(HISTORIAL_HORARIOS!$C$2:$C$201&lt;=$A159)*(HISTORIAL_HORARIOS!$D$2:$D$201&gt;=$A159),0)),INDEX(IF($I159="FIN",PERSONAL!$L$2:$L$80,PERSONAL!$H$2:$H$80),MATCH($B159,PERSONAL!$A$2:$A$80,0)))))</f>
        <v/>
      </c>
    </row>
    <row r="160" ht="15" customHeight="1" s="58">
      <c r="A160" s="37" t="n"/>
      <c r="B160" s="38" t="n"/>
      <c r="C160" s="39" t="n"/>
      <c r="D160" s="39" t="n"/>
      <c r="E160" s="34">
        <f t="array" ref="E160">IF($B160="","",IFERROR(INDEX(PERSONAL!$B$2:$B$80,MATCH($B160,PERSONAL!$A$2:$A$80,0)),"NO EXISTE"))</f>
        <v/>
      </c>
      <c r="F160" s="52">
        <f t="array" ref="F160">IF($B160="","",IFERROR(INDEX(PERSONAL!$C$2:$C$80,MATCH($B160,PERSONAL!$A$2:$A$80,0)),""))</f>
        <v/>
      </c>
      <c r="G160" s="52">
        <f>IF($A160="","",CHOOSE(WEEKDAY($A160,2),"LUNES","MARTES","MIÉRCOLES","JUEVES","VIERNES","SÁBADO","DOMINGO"))</f>
        <v/>
      </c>
      <c r="H160" s="34">
        <f>IF($A160="","",CHOOSE(MONTH($A160),"ENERO","FEBRERO","MARZO","ABRIL","MAYO","JUNIO","JULIO","AGOSTO","SEPTIEMBRE","OCTUBRE","NOVIEMBRE","DICIEMBRE"))</f>
        <v/>
      </c>
      <c r="I160" s="34">
        <f>IF($A160="","",IF(OR($G160="SÁBADO",$G160="DOMINGO"),"FIN","LV"))</f>
        <v/>
      </c>
      <c r="J160" s="34">
        <f>IF(OR($A160="",$B160=""),"",IF($L160&lt;&gt;"",UPPER($L160),IF($C160="","FALTA",IFERROR(IF($C160&gt;=$O160,"ROJO FUERTE",IF($C160&gt;=$N160,"ROJO",IF($C160&gt;=$M160,"AMARILLO","VERDE"))),"REVISAR"))))</f>
        <v/>
      </c>
      <c r="K160" s="36">
        <f>IF(OR($C160="",$D160=""),"",IF($D160&gt;=$C160,($D160-$C160)*24,(1-$C160+$D160)*24))</f>
        <v/>
      </c>
      <c r="L160" s="34" t="n"/>
      <c r="M160" s="53">
        <f t="array" ref="M160">IFERROR(INDEX(EXCEPCIONES_FECHA!$D$2:$D$201,MATCH(1,(EXCEPCIONES_FECHA!$A$2:$A$201=$A160)*(EXCEPCIONES_FECHA!$B$2:$B$201=$B160),0)),IFERROR(INDEX(EXCEPCIONES_FECHA!$D$2:$D$201,MATCH(1,(EXCEPCIONES_FECHA!$A$2:$A$201=$A160)*(EXCEPCIONES_FECHA!$B$2:$B$201=""),0)),IFERROR(INDEX(IF($I160="FIN",HISTORIAL_HORARIOS!$J$2:$J$201,HISTORIAL_HORARIOS!$F$2:$F$201),MATCH(1,(HISTORIAL_HORARIOS!$A$2:$A$201=$B160)*(HISTORIAL_HORARIOS!$C$2:$C$201&lt;=$A160)*(HISTORIAL_HORARIOS!$D$2:$D$201&gt;=$A160),0)),INDEX(IF($I160="FIN",PERSONAL!$J$2:$J$80,PERSONAL!$F$2:$F$80),MATCH($B160,PERSONAL!$A$2:$A$80,0)))))</f>
        <v/>
      </c>
      <c r="N160" s="53">
        <f t="array" ref="N160">IFERROR(INDEX(EXCEPCIONES_FECHA!$E$2:$E$201,MATCH(1,(EXCEPCIONES_FECHA!$A$2:$A$201=$A160)*(EXCEPCIONES_FECHA!$B$2:$B$201=$B160),0)),IFERROR(INDEX(EXCEPCIONES_FECHA!$E$2:$E$201,MATCH(1,(EXCEPCIONES_FECHA!$A$2:$A$201=$A160)*(EXCEPCIONES_FECHA!$B$2:$B$201=""),0)),IFERROR(INDEX(IF($I160="FIN",HISTORIAL_HORARIOS!$K$2:$K$201,HISTORIAL_HORARIOS!$G$2:$G$201),MATCH(1,(HISTORIAL_HORARIOS!$A$2:$A$201=$B160)*(HISTORIAL_HORARIOS!$C$2:$C$201&lt;=$A160)*(HISTORIAL_HORARIOS!$D$2:$D$201&gt;=$A160),0)),INDEX(IF($I160="FIN",PERSONAL!$K$2:$K$80,PERSONAL!$G$2:$G$80),MATCH($B160,PERSONAL!$A$2:$A$80,0)))))</f>
        <v/>
      </c>
      <c r="O160" s="53">
        <f t="array" ref="O160">IFERROR(INDEX(EXCEPCIONES_FECHA!$F$2:$F$201,MATCH(1,(EXCEPCIONES_FECHA!$A$2:$A$201=$A160)*(EXCEPCIONES_FECHA!$B$2:$B$201=$B160),0)),IFERROR(INDEX(EXCEPCIONES_FECHA!$F$2:$F$201,MATCH(1,(EXCEPCIONES_FECHA!$A$2:$A$201=$A160)*(EXCEPCIONES_FECHA!$B$2:$B$201=""),0)),IFERROR(INDEX(IF($I160="FIN",HISTORIAL_HORARIOS!$L$2:$L$201,HISTORIAL_HORARIOS!$H$2:$H$201),MATCH(1,(HISTORIAL_HORARIOS!$A$2:$A$201=$B160)*(HISTORIAL_HORARIOS!$C$2:$C$201&lt;=$A160)*(HISTORIAL_HORARIOS!$D$2:$D$201&gt;=$A160),0)),INDEX(IF($I160="FIN",PERSONAL!$L$2:$L$80,PERSONAL!$H$2:$H$80),MATCH($B160,PERSONAL!$A$2:$A$80,0)))))</f>
        <v/>
      </c>
    </row>
    <row r="161" ht="15" customHeight="1" s="58">
      <c r="A161" s="37" t="n"/>
      <c r="B161" s="38" t="n"/>
      <c r="C161" s="39" t="n"/>
      <c r="D161" s="39" t="n"/>
      <c r="E161" s="34">
        <f t="array" ref="E161">IF($B161="","",IFERROR(INDEX(PERSONAL!$B$2:$B$80,MATCH($B161,PERSONAL!$A$2:$A$80,0)),"NO EXISTE"))</f>
        <v/>
      </c>
      <c r="F161" s="52">
        <f t="array" ref="F161">IF($B161="","",IFERROR(INDEX(PERSONAL!$C$2:$C$80,MATCH($B161,PERSONAL!$A$2:$A$80,0)),""))</f>
        <v/>
      </c>
      <c r="G161" s="52">
        <f>IF($A161="","",CHOOSE(WEEKDAY($A161,2),"LUNES","MARTES","MIÉRCOLES","JUEVES","VIERNES","SÁBADO","DOMINGO"))</f>
        <v/>
      </c>
      <c r="H161" s="34">
        <f>IF($A161="","",CHOOSE(MONTH($A161),"ENERO","FEBRERO","MARZO","ABRIL","MAYO","JUNIO","JULIO","AGOSTO","SEPTIEMBRE","OCTUBRE","NOVIEMBRE","DICIEMBRE"))</f>
        <v/>
      </c>
      <c r="I161" s="34">
        <f>IF($A161="","",IF(OR($G161="SÁBADO",$G161="DOMINGO"),"FIN","LV"))</f>
        <v/>
      </c>
      <c r="J161" s="34">
        <f>IF(OR($A161="",$B161=""),"",IF($L161&lt;&gt;"",UPPER($L161),IF($C161="","FALTA",IFERROR(IF($C161&gt;=$O161,"ROJO FUERTE",IF($C161&gt;=$N161,"ROJO",IF($C161&gt;=$M161,"AMARILLO","VERDE"))),"REVISAR"))))</f>
        <v/>
      </c>
      <c r="K161" s="36">
        <f>IF(OR($C161="",$D161=""),"",IF($D161&gt;=$C161,($D161-$C161)*24,(1-$C161+$D161)*24))</f>
        <v/>
      </c>
      <c r="L161" s="34" t="n"/>
      <c r="M161" s="53">
        <f t="array" ref="M161">IFERROR(INDEX(EXCEPCIONES_FECHA!$D$2:$D$201,MATCH(1,(EXCEPCIONES_FECHA!$A$2:$A$201=$A161)*(EXCEPCIONES_FECHA!$B$2:$B$201=$B161),0)),IFERROR(INDEX(EXCEPCIONES_FECHA!$D$2:$D$201,MATCH(1,(EXCEPCIONES_FECHA!$A$2:$A$201=$A161)*(EXCEPCIONES_FECHA!$B$2:$B$201=""),0)),IFERROR(INDEX(IF($I161="FIN",HISTORIAL_HORARIOS!$J$2:$J$201,HISTORIAL_HORARIOS!$F$2:$F$201),MATCH(1,(HISTORIAL_HORARIOS!$A$2:$A$201=$B161)*(HISTORIAL_HORARIOS!$C$2:$C$201&lt;=$A161)*(HISTORIAL_HORARIOS!$D$2:$D$201&gt;=$A161),0)),INDEX(IF($I161="FIN",PERSONAL!$J$2:$J$80,PERSONAL!$F$2:$F$80),MATCH($B161,PERSONAL!$A$2:$A$80,0)))))</f>
        <v/>
      </c>
      <c r="N161" s="53">
        <f t="array" ref="N161">IFERROR(INDEX(EXCEPCIONES_FECHA!$E$2:$E$201,MATCH(1,(EXCEPCIONES_FECHA!$A$2:$A$201=$A161)*(EXCEPCIONES_FECHA!$B$2:$B$201=$B161),0)),IFERROR(INDEX(EXCEPCIONES_FECHA!$E$2:$E$201,MATCH(1,(EXCEPCIONES_FECHA!$A$2:$A$201=$A161)*(EXCEPCIONES_FECHA!$B$2:$B$201=""),0)),IFERROR(INDEX(IF($I161="FIN",HISTORIAL_HORARIOS!$K$2:$K$201,HISTORIAL_HORARIOS!$G$2:$G$201),MATCH(1,(HISTORIAL_HORARIOS!$A$2:$A$201=$B161)*(HISTORIAL_HORARIOS!$C$2:$C$201&lt;=$A161)*(HISTORIAL_HORARIOS!$D$2:$D$201&gt;=$A161),0)),INDEX(IF($I161="FIN",PERSONAL!$K$2:$K$80,PERSONAL!$G$2:$G$80),MATCH($B161,PERSONAL!$A$2:$A$80,0)))))</f>
        <v/>
      </c>
      <c r="O161" s="53">
        <f t="array" ref="O161">IFERROR(INDEX(EXCEPCIONES_FECHA!$F$2:$F$201,MATCH(1,(EXCEPCIONES_FECHA!$A$2:$A$201=$A161)*(EXCEPCIONES_FECHA!$B$2:$B$201=$B161),0)),IFERROR(INDEX(EXCEPCIONES_FECHA!$F$2:$F$201,MATCH(1,(EXCEPCIONES_FECHA!$A$2:$A$201=$A161)*(EXCEPCIONES_FECHA!$B$2:$B$201=""),0)),IFERROR(INDEX(IF($I161="FIN",HISTORIAL_HORARIOS!$L$2:$L$201,HISTORIAL_HORARIOS!$H$2:$H$201),MATCH(1,(HISTORIAL_HORARIOS!$A$2:$A$201=$B161)*(HISTORIAL_HORARIOS!$C$2:$C$201&lt;=$A161)*(HISTORIAL_HORARIOS!$D$2:$D$201&gt;=$A161),0)),INDEX(IF($I161="FIN",PERSONAL!$L$2:$L$80,PERSONAL!$H$2:$H$80),MATCH($B161,PERSONAL!$A$2:$A$80,0)))))</f>
        <v/>
      </c>
    </row>
    <row r="162" ht="15" customHeight="1" s="58">
      <c r="A162" s="37" t="n"/>
      <c r="B162" s="38" t="n"/>
      <c r="C162" s="39" t="n"/>
      <c r="D162" s="39" t="n"/>
      <c r="E162" s="34">
        <f t="array" ref="E162">IF($B162="","",IFERROR(INDEX(PERSONAL!$B$2:$B$80,MATCH($B162,PERSONAL!$A$2:$A$80,0)),"NO EXISTE"))</f>
        <v/>
      </c>
      <c r="F162" s="52">
        <f t="array" ref="F162">IF($B162="","",IFERROR(INDEX(PERSONAL!$C$2:$C$80,MATCH($B162,PERSONAL!$A$2:$A$80,0)),""))</f>
        <v/>
      </c>
      <c r="G162" s="52">
        <f>IF($A162="","",CHOOSE(WEEKDAY($A162,2),"LUNES","MARTES","MIÉRCOLES","JUEVES","VIERNES","SÁBADO","DOMINGO"))</f>
        <v/>
      </c>
      <c r="H162" s="34">
        <f>IF($A162="","",CHOOSE(MONTH($A162),"ENERO","FEBRERO","MARZO","ABRIL","MAYO","JUNIO","JULIO","AGOSTO","SEPTIEMBRE","OCTUBRE","NOVIEMBRE","DICIEMBRE"))</f>
        <v/>
      </c>
      <c r="I162" s="34">
        <f>IF($A162="","",IF(OR($G162="SÁBADO",$G162="DOMINGO"),"FIN","LV"))</f>
        <v/>
      </c>
      <c r="J162" s="34">
        <f>IF(OR($A162="",$B162=""),"",IF($L162&lt;&gt;"",UPPER($L162),IF($C162="","FALTA",IFERROR(IF($C162&gt;=$O162,"ROJO FUERTE",IF($C162&gt;=$N162,"ROJO",IF($C162&gt;=$M162,"AMARILLO","VERDE"))),"REVISAR"))))</f>
        <v/>
      </c>
      <c r="K162" s="36">
        <f>IF(OR($C162="",$D162=""),"",IF($D162&gt;=$C162,($D162-$C162)*24,(1-$C162+$D162)*24))</f>
        <v/>
      </c>
      <c r="L162" s="34" t="n"/>
      <c r="M162" s="53">
        <f t="array" ref="M162">IFERROR(INDEX(EXCEPCIONES_FECHA!$D$2:$D$201,MATCH(1,(EXCEPCIONES_FECHA!$A$2:$A$201=$A162)*(EXCEPCIONES_FECHA!$B$2:$B$201=$B162),0)),IFERROR(INDEX(EXCEPCIONES_FECHA!$D$2:$D$201,MATCH(1,(EXCEPCIONES_FECHA!$A$2:$A$201=$A162)*(EXCEPCIONES_FECHA!$B$2:$B$201=""),0)),IFERROR(INDEX(IF($I162="FIN",HISTORIAL_HORARIOS!$J$2:$J$201,HISTORIAL_HORARIOS!$F$2:$F$201),MATCH(1,(HISTORIAL_HORARIOS!$A$2:$A$201=$B162)*(HISTORIAL_HORARIOS!$C$2:$C$201&lt;=$A162)*(HISTORIAL_HORARIOS!$D$2:$D$201&gt;=$A162),0)),INDEX(IF($I162="FIN",PERSONAL!$J$2:$J$80,PERSONAL!$F$2:$F$80),MATCH($B162,PERSONAL!$A$2:$A$80,0)))))</f>
        <v/>
      </c>
      <c r="N162" s="53">
        <f t="array" ref="N162">IFERROR(INDEX(EXCEPCIONES_FECHA!$E$2:$E$201,MATCH(1,(EXCEPCIONES_FECHA!$A$2:$A$201=$A162)*(EXCEPCIONES_FECHA!$B$2:$B$201=$B162),0)),IFERROR(INDEX(EXCEPCIONES_FECHA!$E$2:$E$201,MATCH(1,(EXCEPCIONES_FECHA!$A$2:$A$201=$A162)*(EXCEPCIONES_FECHA!$B$2:$B$201=""),0)),IFERROR(INDEX(IF($I162="FIN",HISTORIAL_HORARIOS!$K$2:$K$201,HISTORIAL_HORARIOS!$G$2:$G$201),MATCH(1,(HISTORIAL_HORARIOS!$A$2:$A$201=$B162)*(HISTORIAL_HORARIOS!$C$2:$C$201&lt;=$A162)*(HISTORIAL_HORARIOS!$D$2:$D$201&gt;=$A162),0)),INDEX(IF($I162="FIN",PERSONAL!$K$2:$K$80,PERSONAL!$G$2:$G$80),MATCH($B162,PERSONAL!$A$2:$A$80,0)))))</f>
        <v/>
      </c>
      <c r="O162" s="53">
        <f t="array" ref="O162">IFERROR(INDEX(EXCEPCIONES_FECHA!$F$2:$F$201,MATCH(1,(EXCEPCIONES_FECHA!$A$2:$A$201=$A162)*(EXCEPCIONES_FECHA!$B$2:$B$201=$B162),0)),IFERROR(INDEX(EXCEPCIONES_FECHA!$F$2:$F$201,MATCH(1,(EXCEPCIONES_FECHA!$A$2:$A$201=$A162)*(EXCEPCIONES_FECHA!$B$2:$B$201=""),0)),IFERROR(INDEX(IF($I162="FIN",HISTORIAL_HORARIOS!$L$2:$L$201,HISTORIAL_HORARIOS!$H$2:$H$201),MATCH(1,(HISTORIAL_HORARIOS!$A$2:$A$201=$B162)*(HISTORIAL_HORARIOS!$C$2:$C$201&lt;=$A162)*(HISTORIAL_HORARIOS!$D$2:$D$201&gt;=$A162),0)),INDEX(IF($I162="FIN",PERSONAL!$L$2:$L$80,PERSONAL!$H$2:$H$80),MATCH($B162,PERSONAL!$A$2:$A$80,0)))))</f>
        <v/>
      </c>
    </row>
    <row r="163" ht="15" customHeight="1" s="58">
      <c r="A163" s="37" t="n"/>
      <c r="B163" s="38" t="n"/>
      <c r="C163" s="39" t="n"/>
      <c r="D163" s="39" t="n"/>
      <c r="E163" s="34">
        <f t="array" ref="E163">IF($B163="","",IFERROR(INDEX(PERSONAL!$B$2:$B$80,MATCH($B163,PERSONAL!$A$2:$A$80,0)),"NO EXISTE"))</f>
        <v/>
      </c>
      <c r="F163" s="52">
        <f t="array" ref="F163">IF($B163="","",IFERROR(INDEX(PERSONAL!$C$2:$C$80,MATCH($B163,PERSONAL!$A$2:$A$80,0)),""))</f>
        <v/>
      </c>
      <c r="G163" s="52">
        <f>IF($A163="","",CHOOSE(WEEKDAY($A163,2),"LUNES","MARTES","MIÉRCOLES","JUEVES","VIERNES","SÁBADO","DOMINGO"))</f>
        <v/>
      </c>
      <c r="H163" s="34">
        <f>IF($A163="","",CHOOSE(MONTH($A163),"ENERO","FEBRERO","MARZO","ABRIL","MAYO","JUNIO","JULIO","AGOSTO","SEPTIEMBRE","OCTUBRE","NOVIEMBRE","DICIEMBRE"))</f>
        <v/>
      </c>
      <c r="I163" s="34">
        <f>IF($A163="","",IF(OR($G163="SÁBADO",$G163="DOMINGO"),"FIN","LV"))</f>
        <v/>
      </c>
      <c r="J163" s="34">
        <f>IF(OR($A163="",$B163=""),"",IF($L163&lt;&gt;"",UPPER($L163),IF($C163="","FALTA",IFERROR(IF($C163&gt;=$O163,"ROJO FUERTE",IF($C163&gt;=$N163,"ROJO",IF($C163&gt;=$M163,"AMARILLO","VERDE"))),"REVISAR"))))</f>
        <v/>
      </c>
      <c r="K163" s="36">
        <f>IF(OR($C163="",$D163=""),"",IF($D163&gt;=$C163,($D163-$C163)*24,(1-$C163+$D163)*24))</f>
        <v/>
      </c>
      <c r="L163" s="34" t="n"/>
      <c r="M163" s="53">
        <f t="array" ref="M163">IFERROR(INDEX(EXCEPCIONES_FECHA!$D$2:$D$201,MATCH(1,(EXCEPCIONES_FECHA!$A$2:$A$201=$A163)*(EXCEPCIONES_FECHA!$B$2:$B$201=$B163),0)),IFERROR(INDEX(EXCEPCIONES_FECHA!$D$2:$D$201,MATCH(1,(EXCEPCIONES_FECHA!$A$2:$A$201=$A163)*(EXCEPCIONES_FECHA!$B$2:$B$201=""),0)),IFERROR(INDEX(IF($I163="FIN",HISTORIAL_HORARIOS!$J$2:$J$201,HISTORIAL_HORARIOS!$F$2:$F$201),MATCH(1,(HISTORIAL_HORARIOS!$A$2:$A$201=$B163)*(HISTORIAL_HORARIOS!$C$2:$C$201&lt;=$A163)*(HISTORIAL_HORARIOS!$D$2:$D$201&gt;=$A163),0)),INDEX(IF($I163="FIN",PERSONAL!$J$2:$J$80,PERSONAL!$F$2:$F$80),MATCH($B163,PERSONAL!$A$2:$A$80,0)))))</f>
        <v/>
      </c>
      <c r="N163" s="53">
        <f t="array" ref="N163">IFERROR(INDEX(EXCEPCIONES_FECHA!$E$2:$E$201,MATCH(1,(EXCEPCIONES_FECHA!$A$2:$A$201=$A163)*(EXCEPCIONES_FECHA!$B$2:$B$201=$B163),0)),IFERROR(INDEX(EXCEPCIONES_FECHA!$E$2:$E$201,MATCH(1,(EXCEPCIONES_FECHA!$A$2:$A$201=$A163)*(EXCEPCIONES_FECHA!$B$2:$B$201=""),0)),IFERROR(INDEX(IF($I163="FIN",HISTORIAL_HORARIOS!$K$2:$K$201,HISTORIAL_HORARIOS!$G$2:$G$201),MATCH(1,(HISTORIAL_HORARIOS!$A$2:$A$201=$B163)*(HISTORIAL_HORARIOS!$C$2:$C$201&lt;=$A163)*(HISTORIAL_HORARIOS!$D$2:$D$201&gt;=$A163),0)),INDEX(IF($I163="FIN",PERSONAL!$K$2:$K$80,PERSONAL!$G$2:$G$80),MATCH($B163,PERSONAL!$A$2:$A$80,0)))))</f>
        <v/>
      </c>
      <c r="O163" s="53">
        <f t="array" ref="O163">IFERROR(INDEX(EXCEPCIONES_FECHA!$F$2:$F$201,MATCH(1,(EXCEPCIONES_FECHA!$A$2:$A$201=$A163)*(EXCEPCIONES_FECHA!$B$2:$B$201=$B163),0)),IFERROR(INDEX(EXCEPCIONES_FECHA!$F$2:$F$201,MATCH(1,(EXCEPCIONES_FECHA!$A$2:$A$201=$A163)*(EXCEPCIONES_FECHA!$B$2:$B$201=""),0)),IFERROR(INDEX(IF($I163="FIN",HISTORIAL_HORARIOS!$L$2:$L$201,HISTORIAL_HORARIOS!$H$2:$H$201),MATCH(1,(HISTORIAL_HORARIOS!$A$2:$A$201=$B163)*(HISTORIAL_HORARIOS!$C$2:$C$201&lt;=$A163)*(HISTORIAL_HORARIOS!$D$2:$D$201&gt;=$A163),0)),INDEX(IF($I163="FIN",PERSONAL!$L$2:$L$80,PERSONAL!$H$2:$H$80),MATCH($B163,PERSONAL!$A$2:$A$80,0)))))</f>
        <v/>
      </c>
    </row>
    <row r="164" ht="15" customHeight="1" s="58">
      <c r="A164" s="37" t="n"/>
      <c r="B164" s="38" t="n"/>
      <c r="C164" s="39" t="n"/>
      <c r="D164" s="39" t="n"/>
      <c r="E164" s="34">
        <f t="array" ref="E164">IF($B164="","",IFERROR(INDEX(PERSONAL!$B$2:$B$80,MATCH($B164,PERSONAL!$A$2:$A$80,0)),"NO EXISTE"))</f>
        <v/>
      </c>
      <c r="F164" s="52">
        <f t="array" ref="F164">IF($B164="","",IFERROR(INDEX(PERSONAL!$C$2:$C$80,MATCH($B164,PERSONAL!$A$2:$A$80,0)),""))</f>
        <v/>
      </c>
      <c r="G164" s="52">
        <f>IF($A164="","",CHOOSE(WEEKDAY($A164,2),"LUNES","MARTES","MIÉRCOLES","JUEVES","VIERNES","SÁBADO","DOMINGO"))</f>
        <v/>
      </c>
      <c r="H164" s="34">
        <f>IF($A164="","",CHOOSE(MONTH($A164),"ENERO","FEBRERO","MARZO","ABRIL","MAYO","JUNIO","JULIO","AGOSTO","SEPTIEMBRE","OCTUBRE","NOVIEMBRE","DICIEMBRE"))</f>
        <v/>
      </c>
      <c r="I164" s="34">
        <f>IF($A164="","",IF(OR($G164="SÁBADO",$G164="DOMINGO"),"FIN","LV"))</f>
        <v/>
      </c>
      <c r="J164" s="34">
        <f>IF(OR($A164="",$B164=""),"",IF($L164&lt;&gt;"",UPPER($L164),IF($C164="","FALTA",IFERROR(IF($C164&gt;=$O164,"ROJO FUERTE",IF($C164&gt;=$N164,"ROJO",IF($C164&gt;=$M164,"AMARILLO","VERDE"))),"REVISAR"))))</f>
        <v/>
      </c>
      <c r="K164" s="36">
        <f>IF(OR($C164="",$D164=""),"",IF($D164&gt;=$C164,($D164-$C164)*24,(1-$C164+$D164)*24))</f>
        <v/>
      </c>
      <c r="L164" s="34" t="n"/>
      <c r="M164" s="53">
        <f t="array" ref="M164">IFERROR(INDEX(EXCEPCIONES_FECHA!$D$2:$D$201,MATCH(1,(EXCEPCIONES_FECHA!$A$2:$A$201=$A164)*(EXCEPCIONES_FECHA!$B$2:$B$201=$B164),0)),IFERROR(INDEX(EXCEPCIONES_FECHA!$D$2:$D$201,MATCH(1,(EXCEPCIONES_FECHA!$A$2:$A$201=$A164)*(EXCEPCIONES_FECHA!$B$2:$B$201=""),0)),IFERROR(INDEX(IF($I164="FIN",HISTORIAL_HORARIOS!$J$2:$J$201,HISTORIAL_HORARIOS!$F$2:$F$201),MATCH(1,(HISTORIAL_HORARIOS!$A$2:$A$201=$B164)*(HISTORIAL_HORARIOS!$C$2:$C$201&lt;=$A164)*(HISTORIAL_HORARIOS!$D$2:$D$201&gt;=$A164),0)),INDEX(IF($I164="FIN",PERSONAL!$J$2:$J$80,PERSONAL!$F$2:$F$80),MATCH($B164,PERSONAL!$A$2:$A$80,0)))))</f>
        <v/>
      </c>
      <c r="N164" s="53">
        <f t="array" ref="N164">IFERROR(INDEX(EXCEPCIONES_FECHA!$E$2:$E$201,MATCH(1,(EXCEPCIONES_FECHA!$A$2:$A$201=$A164)*(EXCEPCIONES_FECHA!$B$2:$B$201=$B164),0)),IFERROR(INDEX(EXCEPCIONES_FECHA!$E$2:$E$201,MATCH(1,(EXCEPCIONES_FECHA!$A$2:$A$201=$A164)*(EXCEPCIONES_FECHA!$B$2:$B$201=""),0)),IFERROR(INDEX(IF($I164="FIN",HISTORIAL_HORARIOS!$K$2:$K$201,HISTORIAL_HORARIOS!$G$2:$G$201),MATCH(1,(HISTORIAL_HORARIOS!$A$2:$A$201=$B164)*(HISTORIAL_HORARIOS!$C$2:$C$201&lt;=$A164)*(HISTORIAL_HORARIOS!$D$2:$D$201&gt;=$A164),0)),INDEX(IF($I164="FIN",PERSONAL!$K$2:$K$80,PERSONAL!$G$2:$G$80),MATCH($B164,PERSONAL!$A$2:$A$80,0)))))</f>
        <v/>
      </c>
      <c r="O164" s="53">
        <f t="array" ref="O164">IFERROR(INDEX(EXCEPCIONES_FECHA!$F$2:$F$201,MATCH(1,(EXCEPCIONES_FECHA!$A$2:$A$201=$A164)*(EXCEPCIONES_FECHA!$B$2:$B$201=$B164),0)),IFERROR(INDEX(EXCEPCIONES_FECHA!$F$2:$F$201,MATCH(1,(EXCEPCIONES_FECHA!$A$2:$A$201=$A164)*(EXCEPCIONES_FECHA!$B$2:$B$201=""),0)),IFERROR(INDEX(IF($I164="FIN",HISTORIAL_HORARIOS!$L$2:$L$201,HISTORIAL_HORARIOS!$H$2:$H$201),MATCH(1,(HISTORIAL_HORARIOS!$A$2:$A$201=$B164)*(HISTORIAL_HORARIOS!$C$2:$C$201&lt;=$A164)*(HISTORIAL_HORARIOS!$D$2:$D$201&gt;=$A164),0)),INDEX(IF($I164="FIN",PERSONAL!$L$2:$L$80,PERSONAL!$H$2:$H$80),MATCH($B164,PERSONAL!$A$2:$A$80,0)))))</f>
        <v/>
      </c>
    </row>
    <row r="165" ht="15" customHeight="1" s="58">
      <c r="A165" s="37" t="n"/>
      <c r="B165" s="38" t="n"/>
      <c r="C165" s="39" t="n"/>
      <c r="D165" s="39" t="n"/>
      <c r="E165" s="34">
        <f t="array" ref="E165">IF($B165="","",IFERROR(INDEX(PERSONAL!$B$2:$B$80,MATCH($B165,PERSONAL!$A$2:$A$80,0)),"NO EXISTE"))</f>
        <v/>
      </c>
      <c r="F165" s="52">
        <f t="array" ref="F165">IF($B165="","",IFERROR(INDEX(PERSONAL!$C$2:$C$80,MATCH($B165,PERSONAL!$A$2:$A$80,0)),""))</f>
        <v/>
      </c>
      <c r="G165" s="52">
        <f>IF($A165="","",CHOOSE(WEEKDAY($A165,2),"LUNES","MARTES","MIÉRCOLES","JUEVES","VIERNES","SÁBADO","DOMINGO"))</f>
        <v/>
      </c>
      <c r="H165" s="34">
        <f>IF($A165="","",CHOOSE(MONTH($A165),"ENERO","FEBRERO","MARZO","ABRIL","MAYO","JUNIO","JULIO","AGOSTO","SEPTIEMBRE","OCTUBRE","NOVIEMBRE","DICIEMBRE"))</f>
        <v/>
      </c>
      <c r="I165" s="34">
        <f>IF($A165="","",IF(OR($G165="SÁBADO",$G165="DOMINGO"),"FIN","LV"))</f>
        <v/>
      </c>
      <c r="J165" s="34">
        <f>IF(OR($A165="",$B165=""),"",IF($L165&lt;&gt;"",UPPER($L165),IF($C165="","FALTA",IFERROR(IF($C165&gt;=$O165,"ROJO FUERTE",IF($C165&gt;=$N165,"ROJO",IF($C165&gt;=$M165,"AMARILLO","VERDE"))),"REVISAR"))))</f>
        <v/>
      </c>
      <c r="K165" s="36">
        <f>IF(OR($C165="",$D165=""),"",IF($D165&gt;=$C165,($D165-$C165)*24,(1-$C165+$D165)*24))</f>
        <v/>
      </c>
      <c r="L165" s="34" t="n"/>
      <c r="M165" s="53">
        <f t="array" ref="M165">IFERROR(INDEX(EXCEPCIONES_FECHA!$D$2:$D$201,MATCH(1,(EXCEPCIONES_FECHA!$A$2:$A$201=$A165)*(EXCEPCIONES_FECHA!$B$2:$B$201=$B165),0)),IFERROR(INDEX(EXCEPCIONES_FECHA!$D$2:$D$201,MATCH(1,(EXCEPCIONES_FECHA!$A$2:$A$201=$A165)*(EXCEPCIONES_FECHA!$B$2:$B$201=""),0)),IFERROR(INDEX(IF($I165="FIN",HISTORIAL_HORARIOS!$J$2:$J$201,HISTORIAL_HORARIOS!$F$2:$F$201),MATCH(1,(HISTORIAL_HORARIOS!$A$2:$A$201=$B165)*(HISTORIAL_HORARIOS!$C$2:$C$201&lt;=$A165)*(HISTORIAL_HORARIOS!$D$2:$D$201&gt;=$A165),0)),INDEX(IF($I165="FIN",PERSONAL!$J$2:$J$80,PERSONAL!$F$2:$F$80),MATCH($B165,PERSONAL!$A$2:$A$80,0)))))</f>
        <v/>
      </c>
      <c r="N165" s="53">
        <f t="array" ref="N165">IFERROR(INDEX(EXCEPCIONES_FECHA!$E$2:$E$201,MATCH(1,(EXCEPCIONES_FECHA!$A$2:$A$201=$A165)*(EXCEPCIONES_FECHA!$B$2:$B$201=$B165),0)),IFERROR(INDEX(EXCEPCIONES_FECHA!$E$2:$E$201,MATCH(1,(EXCEPCIONES_FECHA!$A$2:$A$201=$A165)*(EXCEPCIONES_FECHA!$B$2:$B$201=""),0)),IFERROR(INDEX(IF($I165="FIN",HISTORIAL_HORARIOS!$K$2:$K$201,HISTORIAL_HORARIOS!$G$2:$G$201),MATCH(1,(HISTORIAL_HORARIOS!$A$2:$A$201=$B165)*(HISTORIAL_HORARIOS!$C$2:$C$201&lt;=$A165)*(HISTORIAL_HORARIOS!$D$2:$D$201&gt;=$A165),0)),INDEX(IF($I165="FIN",PERSONAL!$K$2:$K$80,PERSONAL!$G$2:$G$80),MATCH($B165,PERSONAL!$A$2:$A$80,0)))))</f>
        <v/>
      </c>
      <c r="O165" s="53">
        <f t="array" ref="O165">IFERROR(INDEX(EXCEPCIONES_FECHA!$F$2:$F$201,MATCH(1,(EXCEPCIONES_FECHA!$A$2:$A$201=$A165)*(EXCEPCIONES_FECHA!$B$2:$B$201=$B165),0)),IFERROR(INDEX(EXCEPCIONES_FECHA!$F$2:$F$201,MATCH(1,(EXCEPCIONES_FECHA!$A$2:$A$201=$A165)*(EXCEPCIONES_FECHA!$B$2:$B$201=""),0)),IFERROR(INDEX(IF($I165="FIN",HISTORIAL_HORARIOS!$L$2:$L$201,HISTORIAL_HORARIOS!$H$2:$H$201),MATCH(1,(HISTORIAL_HORARIOS!$A$2:$A$201=$B165)*(HISTORIAL_HORARIOS!$C$2:$C$201&lt;=$A165)*(HISTORIAL_HORARIOS!$D$2:$D$201&gt;=$A165),0)),INDEX(IF($I165="FIN",PERSONAL!$L$2:$L$80,PERSONAL!$H$2:$H$80),MATCH($B165,PERSONAL!$A$2:$A$80,0)))))</f>
        <v/>
      </c>
    </row>
    <row r="166" ht="15" customHeight="1" s="58">
      <c r="A166" s="37" t="n"/>
      <c r="B166" s="38" t="n"/>
      <c r="C166" s="39" t="n"/>
      <c r="D166" s="39" t="n"/>
      <c r="E166" s="34">
        <f t="array" ref="E166">IF($B166="","",IFERROR(INDEX(PERSONAL!$B$2:$B$80,MATCH($B166,PERSONAL!$A$2:$A$80,0)),"NO EXISTE"))</f>
        <v/>
      </c>
      <c r="F166" s="52">
        <f t="array" ref="F166">IF($B166="","",IFERROR(INDEX(PERSONAL!$C$2:$C$80,MATCH($B166,PERSONAL!$A$2:$A$80,0)),""))</f>
        <v/>
      </c>
      <c r="G166" s="52">
        <f>IF($A166="","",CHOOSE(WEEKDAY($A166,2),"LUNES","MARTES","MIÉRCOLES","JUEVES","VIERNES","SÁBADO","DOMINGO"))</f>
        <v/>
      </c>
      <c r="H166" s="34">
        <f>IF($A166="","",CHOOSE(MONTH($A166),"ENERO","FEBRERO","MARZO","ABRIL","MAYO","JUNIO","JULIO","AGOSTO","SEPTIEMBRE","OCTUBRE","NOVIEMBRE","DICIEMBRE"))</f>
        <v/>
      </c>
      <c r="I166" s="34">
        <f>IF($A166="","",IF(OR($G166="SÁBADO",$G166="DOMINGO"),"FIN","LV"))</f>
        <v/>
      </c>
      <c r="J166" s="34">
        <f>IF(OR($A166="",$B166=""),"",IF($L166&lt;&gt;"",UPPER($L166),IF($C166="","FALTA",IFERROR(IF($C166&gt;=$O166,"ROJO FUERTE",IF($C166&gt;=$N166,"ROJO",IF($C166&gt;=$M166,"AMARILLO","VERDE"))),"REVISAR"))))</f>
        <v/>
      </c>
      <c r="K166" s="36">
        <f>IF(OR($C166="",$D166=""),"",IF($D166&gt;=$C166,($D166-$C166)*24,(1-$C166+$D166)*24))</f>
        <v/>
      </c>
      <c r="L166" s="34" t="n"/>
      <c r="M166" s="53">
        <f t="array" ref="M166">IFERROR(INDEX(EXCEPCIONES_FECHA!$D$2:$D$201,MATCH(1,(EXCEPCIONES_FECHA!$A$2:$A$201=$A166)*(EXCEPCIONES_FECHA!$B$2:$B$201=$B166),0)),IFERROR(INDEX(EXCEPCIONES_FECHA!$D$2:$D$201,MATCH(1,(EXCEPCIONES_FECHA!$A$2:$A$201=$A166)*(EXCEPCIONES_FECHA!$B$2:$B$201=""),0)),IFERROR(INDEX(IF($I166="FIN",HISTORIAL_HORARIOS!$J$2:$J$201,HISTORIAL_HORARIOS!$F$2:$F$201),MATCH(1,(HISTORIAL_HORARIOS!$A$2:$A$201=$B166)*(HISTORIAL_HORARIOS!$C$2:$C$201&lt;=$A166)*(HISTORIAL_HORARIOS!$D$2:$D$201&gt;=$A166),0)),INDEX(IF($I166="FIN",PERSONAL!$J$2:$J$80,PERSONAL!$F$2:$F$80),MATCH($B166,PERSONAL!$A$2:$A$80,0)))))</f>
        <v/>
      </c>
      <c r="N166" s="53">
        <f t="array" ref="N166">IFERROR(INDEX(EXCEPCIONES_FECHA!$E$2:$E$201,MATCH(1,(EXCEPCIONES_FECHA!$A$2:$A$201=$A166)*(EXCEPCIONES_FECHA!$B$2:$B$201=$B166),0)),IFERROR(INDEX(EXCEPCIONES_FECHA!$E$2:$E$201,MATCH(1,(EXCEPCIONES_FECHA!$A$2:$A$201=$A166)*(EXCEPCIONES_FECHA!$B$2:$B$201=""),0)),IFERROR(INDEX(IF($I166="FIN",HISTORIAL_HORARIOS!$K$2:$K$201,HISTORIAL_HORARIOS!$G$2:$G$201),MATCH(1,(HISTORIAL_HORARIOS!$A$2:$A$201=$B166)*(HISTORIAL_HORARIOS!$C$2:$C$201&lt;=$A166)*(HISTORIAL_HORARIOS!$D$2:$D$201&gt;=$A166),0)),INDEX(IF($I166="FIN",PERSONAL!$K$2:$K$80,PERSONAL!$G$2:$G$80),MATCH($B166,PERSONAL!$A$2:$A$80,0)))))</f>
        <v/>
      </c>
      <c r="O166" s="53">
        <f t="array" ref="O166">IFERROR(INDEX(EXCEPCIONES_FECHA!$F$2:$F$201,MATCH(1,(EXCEPCIONES_FECHA!$A$2:$A$201=$A166)*(EXCEPCIONES_FECHA!$B$2:$B$201=$B166),0)),IFERROR(INDEX(EXCEPCIONES_FECHA!$F$2:$F$201,MATCH(1,(EXCEPCIONES_FECHA!$A$2:$A$201=$A166)*(EXCEPCIONES_FECHA!$B$2:$B$201=""),0)),IFERROR(INDEX(IF($I166="FIN",HISTORIAL_HORARIOS!$L$2:$L$201,HISTORIAL_HORARIOS!$H$2:$H$201),MATCH(1,(HISTORIAL_HORARIOS!$A$2:$A$201=$B166)*(HISTORIAL_HORARIOS!$C$2:$C$201&lt;=$A166)*(HISTORIAL_HORARIOS!$D$2:$D$201&gt;=$A166),0)),INDEX(IF($I166="FIN",PERSONAL!$L$2:$L$80,PERSONAL!$H$2:$H$80),MATCH($B166,PERSONAL!$A$2:$A$80,0)))))</f>
        <v/>
      </c>
    </row>
    <row r="167" ht="15" customHeight="1" s="58">
      <c r="A167" s="37" t="n"/>
      <c r="B167" s="38" t="n"/>
      <c r="C167" s="39" t="n"/>
      <c r="D167" s="39" t="n"/>
      <c r="E167" s="34">
        <f t="array" ref="E167">IF($B167="","",IFERROR(INDEX(PERSONAL!$B$2:$B$80,MATCH($B167,PERSONAL!$A$2:$A$80,0)),"NO EXISTE"))</f>
        <v/>
      </c>
      <c r="F167" s="52">
        <f t="array" ref="F167">IF($B167="","",IFERROR(INDEX(PERSONAL!$C$2:$C$80,MATCH($B167,PERSONAL!$A$2:$A$80,0)),""))</f>
        <v/>
      </c>
      <c r="G167" s="52">
        <f>IF($A167="","",CHOOSE(WEEKDAY($A167,2),"LUNES","MARTES","MIÉRCOLES","JUEVES","VIERNES","SÁBADO","DOMINGO"))</f>
        <v/>
      </c>
      <c r="H167" s="34">
        <f>IF($A167="","",CHOOSE(MONTH($A167),"ENERO","FEBRERO","MARZO","ABRIL","MAYO","JUNIO","JULIO","AGOSTO","SEPTIEMBRE","OCTUBRE","NOVIEMBRE","DICIEMBRE"))</f>
        <v/>
      </c>
      <c r="I167" s="34">
        <f>IF($A167="","",IF(OR($G167="SÁBADO",$G167="DOMINGO"),"FIN","LV"))</f>
        <v/>
      </c>
      <c r="J167" s="34">
        <f>IF(OR($A167="",$B167=""),"",IF($L167&lt;&gt;"",UPPER($L167),IF($C167="","FALTA",IFERROR(IF($C167&gt;=$O167,"ROJO FUERTE",IF($C167&gt;=$N167,"ROJO",IF($C167&gt;=$M167,"AMARILLO","VERDE"))),"REVISAR"))))</f>
        <v/>
      </c>
      <c r="K167" s="36">
        <f>IF(OR($C167="",$D167=""),"",IF($D167&gt;=$C167,($D167-$C167)*24,(1-$C167+$D167)*24))</f>
        <v/>
      </c>
      <c r="L167" s="34" t="n"/>
      <c r="M167" s="53">
        <f t="array" ref="M167">IFERROR(INDEX(EXCEPCIONES_FECHA!$D$2:$D$201,MATCH(1,(EXCEPCIONES_FECHA!$A$2:$A$201=$A167)*(EXCEPCIONES_FECHA!$B$2:$B$201=$B167),0)),IFERROR(INDEX(EXCEPCIONES_FECHA!$D$2:$D$201,MATCH(1,(EXCEPCIONES_FECHA!$A$2:$A$201=$A167)*(EXCEPCIONES_FECHA!$B$2:$B$201=""),0)),IFERROR(INDEX(IF($I167="FIN",HISTORIAL_HORARIOS!$J$2:$J$201,HISTORIAL_HORARIOS!$F$2:$F$201),MATCH(1,(HISTORIAL_HORARIOS!$A$2:$A$201=$B167)*(HISTORIAL_HORARIOS!$C$2:$C$201&lt;=$A167)*(HISTORIAL_HORARIOS!$D$2:$D$201&gt;=$A167),0)),INDEX(IF($I167="FIN",PERSONAL!$J$2:$J$80,PERSONAL!$F$2:$F$80),MATCH($B167,PERSONAL!$A$2:$A$80,0)))))</f>
        <v/>
      </c>
      <c r="N167" s="53">
        <f t="array" ref="N167">IFERROR(INDEX(EXCEPCIONES_FECHA!$E$2:$E$201,MATCH(1,(EXCEPCIONES_FECHA!$A$2:$A$201=$A167)*(EXCEPCIONES_FECHA!$B$2:$B$201=$B167),0)),IFERROR(INDEX(EXCEPCIONES_FECHA!$E$2:$E$201,MATCH(1,(EXCEPCIONES_FECHA!$A$2:$A$201=$A167)*(EXCEPCIONES_FECHA!$B$2:$B$201=""),0)),IFERROR(INDEX(IF($I167="FIN",HISTORIAL_HORARIOS!$K$2:$K$201,HISTORIAL_HORARIOS!$G$2:$G$201),MATCH(1,(HISTORIAL_HORARIOS!$A$2:$A$201=$B167)*(HISTORIAL_HORARIOS!$C$2:$C$201&lt;=$A167)*(HISTORIAL_HORARIOS!$D$2:$D$201&gt;=$A167),0)),INDEX(IF($I167="FIN",PERSONAL!$K$2:$K$80,PERSONAL!$G$2:$G$80),MATCH($B167,PERSONAL!$A$2:$A$80,0)))))</f>
        <v/>
      </c>
      <c r="O167" s="53">
        <f t="array" ref="O167">IFERROR(INDEX(EXCEPCIONES_FECHA!$F$2:$F$201,MATCH(1,(EXCEPCIONES_FECHA!$A$2:$A$201=$A167)*(EXCEPCIONES_FECHA!$B$2:$B$201=$B167),0)),IFERROR(INDEX(EXCEPCIONES_FECHA!$F$2:$F$201,MATCH(1,(EXCEPCIONES_FECHA!$A$2:$A$201=$A167)*(EXCEPCIONES_FECHA!$B$2:$B$201=""),0)),IFERROR(INDEX(IF($I167="FIN",HISTORIAL_HORARIOS!$L$2:$L$201,HISTORIAL_HORARIOS!$H$2:$H$201),MATCH(1,(HISTORIAL_HORARIOS!$A$2:$A$201=$B167)*(HISTORIAL_HORARIOS!$C$2:$C$201&lt;=$A167)*(HISTORIAL_HORARIOS!$D$2:$D$201&gt;=$A167),0)),INDEX(IF($I167="FIN",PERSONAL!$L$2:$L$80,PERSONAL!$H$2:$H$80),MATCH($B167,PERSONAL!$A$2:$A$80,0)))))</f>
        <v/>
      </c>
    </row>
    <row r="168" ht="15" customHeight="1" s="58">
      <c r="A168" s="37" t="n"/>
      <c r="B168" s="38" t="n"/>
      <c r="C168" s="39" t="n"/>
      <c r="D168" s="39" t="n"/>
      <c r="E168" s="34">
        <f t="array" ref="E168">IF($B168="","",IFERROR(INDEX(PERSONAL!$B$2:$B$80,MATCH($B168,PERSONAL!$A$2:$A$80,0)),"NO EXISTE"))</f>
        <v/>
      </c>
      <c r="F168" s="52">
        <f t="array" ref="F168">IF($B168="","",IFERROR(INDEX(PERSONAL!$C$2:$C$80,MATCH($B168,PERSONAL!$A$2:$A$80,0)),""))</f>
        <v/>
      </c>
      <c r="G168" s="52">
        <f>IF($A168="","",CHOOSE(WEEKDAY($A168,2),"LUNES","MARTES","MIÉRCOLES","JUEVES","VIERNES","SÁBADO","DOMINGO"))</f>
        <v/>
      </c>
      <c r="H168" s="34">
        <f>IF($A168="","",CHOOSE(MONTH($A168),"ENERO","FEBRERO","MARZO","ABRIL","MAYO","JUNIO","JULIO","AGOSTO","SEPTIEMBRE","OCTUBRE","NOVIEMBRE","DICIEMBRE"))</f>
        <v/>
      </c>
      <c r="I168" s="34">
        <f>IF($A168="","",IF(OR($G168="SÁBADO",$G168="DOMINGO"),"FIN","LV"))</f>
        <v/>
      </c>
      <c r="J168" s="34">
        <f>IF(OR($A168="",$B168=""),"",IF($L168&lt;&gt;"",UPPER($L168),IF($C168="","FALTA",IFERROR(IF($C168&gt;=$O168,"ROJO FUERTE",IF($C168&gt;=$N168,"ROJO",IF($C168&gt;=$M168,"AMARILLO","VERDE"))),"REVISAR"))))</f>
        <v/>
      </c>
      <c r="K168" s="36">
        <f>IF(OR($C168="",$D168=""),"",IF($D168&gt;=$C168,($D168-$C168)*24,(1-$C168+$D168)*24))</f>
        <v/>
      </c>
      <c r="L168" s="34" t="n"/>
      <c r="M168" s="53">
        <f t="array" ref="M168">IFERROR(INDEX(EXCEPCIONES_FECHA!$D$2:$D$201,MATCH(1,(EXCEPCIONES_FECHA!$A$2:$A$201=$A168)*(EXCEPCIONES_FECHA!$B$2:$B$201=$B168),0)),IFERROR(INDEX(EXCEPCIONES_FECHA!$D$2:$D$201,MATCH(1,(EXCEPCIONES_FECHA!$A$2:$A$201=$A168)*(EXCEPCIONES_FECHA!$B$2:$B$201=""),0)),IFERROR(INDEX(IF($I168="FIN",HISTORIAL_HORARIOS!$J$2:$J$201,HISTORIAL_HORARIOS!$F$2:$F$201),MATCH(1,(HISTORIAL_HORARIOS!$A$2:$A$201=$B168)*(HISTORIAL_HORARIOS!$C$2:$C$201&lt;=$A168)*(HISTORIAL_HORARIOS!$D$2:$D$201&gt;=$A168),0)),INDEX(IF($I168="FIN",PERSONAL!$J$2:$J$80,PERSONAL!$F$2:$F$80),MATCH($B168,PERSONAL!$A$2:$A$80,0)))))</f>
        <v/>
      </c>
      <c r="N168" s="53">
        <f t="array" ref="N168">IFERROR(INDEX(EXCEPCIONES_FECHA!$E$2:$E$201,MATCH(1,(EXCEPCIONES_FECHA!$A$2:$A$201=$A168)*(EXCEPCIONES_FECHA!$B$2:$B$201=$B168),0)),IFERROR(INDEX(EXCEPCIONES_FECHA!$E$2:$E$201,MATCH(1,(EXCEPCIONES_FECHA!$A$2:$A$201=$A168)*(EXCEPCIONES_FECHA!$B$2:$B$201=""),0)),IFERROR(INDEX(IF($I168="FIN",HISTORIAL_HORARIOS!$K$2:$K$201,HISTORIAL_HORARIOS!$G$2:$G$201),MATCH(1,(HISTORIAL_HORARIOS!$A$2:$A$201=$B168)*(HISTORIAL_HORARIOS!$C$2:$C$201&lt;=$A168)*(HISTORIAL_HORARIOS!$D$2:$D$201&gt;=$A168),0)),INDEX(IF($I168="FIN",PERSONAL!$K$2:$K$80,PERSONAL!$G$2:$G$80),MATCH($B168,PERSONAL!$A$2:$A$80,0)))))</f>
        <v/>
      </c>
      <c r="O168" s="53">
        <f t="array" ref="O168">IFERROR(INDEX(EXCEPCIONES_FECHA!$F$2:$F$201,MATCH(1,(EXCEPCIONES_FECHA!$A$2:$A$201=$A168)*(EXCEPCIONES_FECHA!$B$2:$B$201=$B168),0)),IFERROR(INDEX(EXCEPCIONES_FECHA!$F$2:$F$201,MATCH(1,(EXCEPCIONES_FECHA!$A$2:$A$201=$A168)*(EXCEPCIONES_FECHA!$B$2:$B$201=""),0)),IFERROR(INDEX(IF($I168="FIN",HISTORIAL_HORARIOS!$L$2:$L$201,HISTORIAL_HORARIOS!$H$2:$H$201),MATCH(1,(HISTORIAL_HORARIOS!$A$2:$A$201=$B168)*(HISTORIAL_HORARIOS!$C$2:$C$201&lt;=$A168)*(HISTORIAL_HORARIOS!$D$2:$D$201&gt;=$A168),0)),INDEX(IF($I168="FIN",PERSONAL!$L$2:$L$80,PERSONAL!$H$2:$H$80),MATCH($B168,PERSONAL!$A$2:$A$80,0)))))</f>
        <v/>
      </c>
    </row>
    <row r="169" ht="15" customHeight="1" s="58">
      <c r="A169" s="37" t="n"/>
      <c r="B169" s="38" t="n"/>
      <c r="C169" s="39" t="n"/>
      <c r="D169" s="39" t="n"/>
      <c r="E169" s="34">
        <f t="array" ref="E169">IF($B169="","",IFERROR(INDEX(PERSONAL!$B$2:$B$80,MATCH($B169,PERSONAL!$A$2:$A$80,0)),"NO EXISTE"))</f>
        <v/>
      </c>
      <c r="F169" s="52">
        <f t="array" ref="F169">IF($B169="","",IFERROR(INDEX(PERSONAL!$C$2:$C$80,MATCH($B169,PERSONAL!$A$2:$A$80,0)),""))</f>
        <v/>
      </c>
      <c r="G169" s="52">
        <f>IF($A169="","",CHOOSE(WEEKDAY($A169,2),"LUNES","MARTES","MIÉRCOLES","JUEVES","VIERNES","SÁBADO","DOMINGO"))</f>
        <v/>
      </c>
      <c r="H169" s="34">
        <f>IF($A169="","",CHOOSE(MONTH($A169),"ENERO","FEBRERO","MARZO","ABRIL","MAYO","JUNIO","JULIO","AGOSTO","SEPTIEMBRE","OCTUBRE","NOVIEMBRE","DICIEMBRE"))</f>
        <v/>
      </c>
      <c r="I169" s="34">
        <f>IF($A169="","",IF(OR($G169="SÁBADO",$G169="DOMINGO"),"FIN","LV"))</f>
        <v/>
      </c>
      <c r="J169" s="34">
        <f>IF(OR($A169="",$B169=""),"",IF($L169&lt;&gt;"",UPPER($L169),IF($C169="","FALTA",IFERROR(IF($C169&gt;=$O169,"ROJO FUERTE",IF($C169&gt;=$N169,"ROJO",IF($C169&gt;=$M169,"AMARILLO","VERDE"))),"REVISAR"))))</f>
        <v/>
      </c>
      <c r="K169" s="36">
        <f>IF(OR($C169="",$D169=""),"",IF($D169&gt;=$C169,($D169-$C169)*24,(1-$C169+$D169)*24))</f>
        <v/>
      </c>
      <c r="L169" s="34" t="n"/>
      <c r="M169" s="53">
        <f t="array" ref="M169">IFERROR(INDEX(EXCEPCIONES_FECHA!$D$2:$D$201,MATCH(1,(EXCEPCIONES_FECHA!$A$2:$A$201=$A169)*(EXCEPCIONES_FECHA!$B$2:$B$201=$B169),0)),IFERROR(INDEX(EXCEPCIONES_FECHA!$D$2:$D$201,MATCH(1,(EXCEPCIONES_FECHA!$A$2:$A$201=$A169)*(EXCEPCIONES_FECHA!$B$2:$B$201=""),0)),IFERROR(INDEX(IF($I169="FIN",HISTORIAL_HORARIOS!$J$2:$J$201,HISTORIAL_HORARIOS!$F$2:$F$201),MATCH(1,(HISTORIAL_HORARIOS!$A$2:$A$201=$B169)*(HISTORIAL_HORARIOS!$C$2:$C$201&lt;=$A169)*(HISTORIAL_HORARIOS!$D$2:$D$201&gt;=$A169),0)),INDEX(IF($I169="FIN",PERSONAL!$J$2:$J$80,PERSONAL!$F$2:$F$80),MATCH($B169,PERSONAL!$A$2:$A$80,0)))))</f>
        <v/>
      </c>
      <c r="N169" s="53">
        <f t="array" ref="N169">IFERROR(INDEX(EXCEPCIONES_FECHA!$E$2:$E$201,MATCH(1,(EXCEPCIONES_FECHA!$A$2:$A$201=$A169)*(EXCEPCIONES_FECHA!$B$2:$B$201=$B169),0)),IFERROR(INDEX(EXCEPCIONES_FECHA!$E$2:$E$201,MATCH(1,(EXCEPCIONES_FECHA!$A$2:$A$201=$A169)*(EXCEPCIONES_FECHA!$B$2:$B$201=""),0)),IFERROR(INDEX(IF($I169="FIN",HISTORIAL_HORARIOS!$K$2:$K$201,HISTORIAL_HORARIOS!$G$2:$G$201),MATCH(1,(HISTORIAL_HORARIOS!$A$2:$A$201=$B169)*(HISTORIAL_HORARIOS!$C$2:$C$201&lt;=$A169)*(HISTORIAL_HORARIOS!$D$2:$D$201&gt;=$A169),0)),INDEX(IF($I169="FIN",PERSONAL!$K$2:$K$80,PERSONAL!$G$2:$G$80),MATCH($B169,PERSONAL!$A$2:$A$80,0)))))</f>
        <v/>
      </c>
      <c r="O169" s="53">
        <f t="array" ref="O169">IFERROR(INDEX(EXCEPCIONES_FECHA!$F$2:$F$201,MATCH(1,(EXCEPCIONES_FECHA!$A$2:$A$201=$A169)*(EXCEPCIONES_FECHA!$B$2:$B$201=$B169),0)),IFERROR(INDEX(EXCEPCIONES_FECHA!$F$2:$F$201,MATCH(1,(EXCEPCIONES_FECHA!$A$2:$A$201=$A169)*(EXCEPCIONES_FECHA!$B$2:$B$201=""),0)),IFERROR(INDEX(IF($I169="FIN",HISTORIAL_HORARIOS!$L$2:$L$201,HISTORIAL_HORARIOS!$H$2:$H$201),MATCH(1,(HISTORIAL_HORARIOS!$A$2:$A$201=$B169)*(HISTORIAL_HORARIOS!$C$2:$C$201&lt;=$A169)*(HISTORIAL_HORARIOS!$D$2:$D$201&gt;=$A169),0)),INDEX(IF($I169="FIN",PERSONAL!$L$2:$L$80,PERSONAL!$H$2:$H$80),MATCH($B169,PERSONAL!$A$2:$A$80,0)))))</f>
        <v/>
      </c>
    </row>
    <row r="170" ht="15" customHeight="1" s="58">
      <c r="A170" s="37" t="n"/>
      <c r="B170" s="38" t="n"/>
      <c r="C170" s="39" t="n"/>
      <c r="D170" s="39" t="n"/>
      <c r="E170" s="34">
        <f t="array" ref="E170">IF($B170="","",IFERROR(INDEX(PERSONAL!$B$2:$B$80,MATCH($B170,PERSONAL!$A$2:$A$80,0)),"NO EXISTE"))</f>
        <v/>
      </c>
      <c r="F170" s="52">
        <f t="array" ref="F170">IF($B170="","",IFERROR(INDEX(PERSONAL!$C$2:$C$80,MATCH($B170,PERSONAL!$A$2:$A$80,0)),""))</f>
        <v/>
      </c>
      <c r="G170" s="52">
        <f>IF($A170="","",CHOOSE(WEEKDAY($A170,2),"LUNES","MARTES","MIÉRCOLES","JUEVES","VIERNES","SÁBADO","DOMINGO"))</f>
        <v/>
      </c>
      <c r="H170" s="34">
        <f>IF($A170="","",CHOOSE(MONTH($A170),"ENERO","FEBRERO","MARZO","ABRIL","MAYO","JUNIO","JULIO","AGOSTO","SEPTIEMBRE","OCTUBRE","NOVIEMBRE","DICIEMBRE"))</f>
        <v/>
      </c>
      <c r="I170" s="34">
        <f>IF($A170="","",IF(OR($G170="SÁBADO",$G170="DOMINGO"),"FIN","LV"))</f>
        <v/>
      </c>
      <c r="J170" s="34">
        <f>IF(OR($A170="",$B170=""),"",IF($L170&lt;&gt;"",UPPER($L170),IF($C170="","FALTA",IFERROR(IF($C170&gt;=$O170,"ROJO FUERTE",IF($C170&gt;=$N170,"ROJO",IF($C170&gt;=$M170,"AMARILLO","VERDE"))),"REVISAR"))))</f>
        <v/>
      </c>
      <c r="K170" s="36">
        <f>IF(OR($C170="",$D170=""),"",IF($D170&gt;=$C170,($D170-$C170)*24,(1-$C170+$D170)*24))</f>
        <v/>
      </c>
      <c r="L170" s="34" t="n"/>
      <c r="M170" s="53">
        <f t="array" ref="M170">IFERROR(INDEX(EXCEPCIONES_FECHA!$D$2:$D$201,MATCH(1,(EXCEPCIONES_FECHA!$A$2:$A$201=$A170)*(EXCEPCIONES_FECHA!$B$2:$B$201=$B170),0)),IFERROR(INDEX(EXCEPCIONES_FECHA!$D$2:$D$201,MATCH(1,(EXCEPCIONES_FECHA!$A$2:$A$201=$A170)*(EXCEPCIONES_FECHA!$B$2:$B$201=""),0)),IFERROR(INDEX(IF($I170="FIN",HISTORIAL_HORARIOS!$J$2:$J$201,HISTORIAL_HORARIOS!$F$2:$F$201),MATCH(1,(HISTORIAL_HORARIOS!$A$2:$A$201=$B170)*(HISTORIAL_HORARIOS!$C$2:$C$201&lt;=$A170)*(HISTORIAL_HORARIOS!$D$2:$D$201&gt;=$A170),0)),INDEX(IF($I170="FIN",PERSONAL!$J$2:$J$80,PERSONAL!$F$2:$F$80),MATCH($B170,PERSONAL!$A$2:$A$80,0)))))</f>
        <v/>
      </c>
      <c r="N170" s="53">
        <f t="array" ref="N170">IFERROR(INDEX(EXCEPCIONES_FECHA!$E$2:$E$201,MATCH(1,(EXCEPCIONES_FECHA!$A$2:$A$201=$A170)*(EXCEPCIONES_FECHA!$B$2:$B$201=$B170),0)),IFERROR(INDEX(EXCEPCIONES_FECHA!$E$2:$E$201,MATCH(1,(EXCEPCIONES_FECHA!$A$2:$A$201=$A170)*(EXCEPCIONES_FECHA!$B$2:$B$201=""),0)),IFERROR(INDEX(IF($I170="FIN",HISTORIAL_HORARIOS!$K$2:$K$201,HISTORIAL_HORARIOS!$G$2:$G$201),MATCH(1,(HISTORIAL_HORARIOS!$A$2:$A$201=$B170)*(HISTORIAL_HORARIOS!$C$2:$C$201&lt;=$A170)*(HISTORIAL_HORARIOS!$D$2:$D$201&gt;=$A170),0)),INDEX(IF($I170="FIN",PERSONAL!$K$2:$K$80,PERSONAL!$G$2:$G$80),MATCH($B170,PERSONAL!$A$2:$A$80,0)))))</f>
        <v/>
      </c>
      <c r="O170" s="53">
        <f t="array" ref="O170">IFERROR(INDEX(EXCEPCIONES_FECHA!$F$2:$F$201,MATCH(1,(EXCEPCIONES_FECHA!$A$2:$A$201=$A170)*(EXCEPCIONES_FECHA!$B$2:$B$201=$B170),0)),IFERROR(INDEX(EXCEPCIONES_FECHA!$F$2:$F$201,MATCH(1,(EXCEPCIONES_FECHA!$A$2:$A$201=$A170)*(EXCEPCIONES_FECHA!$B$2:$B$201=""),0)),IFERROR(INDEX(IF($I170="FIN",HISTORIAL_HORARIOS!$L$2:$L$201,HISTORIAL_HORARIOS!$H$2:$H$201),MATCH(1,(HISTORIAL_HORARIOS!$A$2:$A$201=$B170)*(HISTORIAL_HORARIOS!$C$2:$C$201&lt;=$A170)*(HISTORIAL_HORARIOS!$D$2:$D$201&gt;=$A170),0)),INDEX(IF($I170="FIN",PERSONAL!$L$2:$L$80,PERSONAL!$H$2:$H$80),MATCH($B170,PERSONAL!$A$2:$A$80,0)))))</f>
        <v/>
      </c>
    </row>
    <row r="171" ht="15" customHeight="1" s="58">
      <c r="A171" s="37" t="n"/>
      <c r="B171" s="38" t="n"/>
      <c r="C171" s="39" t="n"/>
      <c r="D171" s="39" t="n"/>
      <c r="E171" s="34">
        <f t="array" ref="E171">IF($B171="","",IFERROR(INDEX(PERSONAL!$B$2:$B$80,MATCH($B171,PERSONAL!$A$2:$A$80,0)),"NO EXISTE"))</f>
        <v/>
      </c>
      <c r="F171" s="52">
        <f t="array" ref="F171">IF($B171="","",IFERROR(INDEX(PERSONAL!$C$2:$C$80,MATCH($B171,PERSONAL!$A$2:$A$80,0)),""))</f>
        <v/>
      </c>
      <c r="G171" s="52">
        <f>IF($A171="","",CHOOSE(WEEKDAY($A171,2),"LUNES","MARTES","MIÉRCOLES","JUEVES","VIERNES","SÁBADO","DOMINGO"))</f>
        <v/>
      </c>
      <c r="H171" s="34">
        <f>IF($A171="","",CHOOSE(MONTH($A171),"ENERO","FEBRERO","MARZO","ABRIL","MAYO","JUNIO","JULIO","AGOSTO","SEPTIEMBRE","OCTUBRE","NOVIEMBRE","DICIEMBRE"))</f>
        <v/>
      </c>
      <c r="I171" s="34">
        <f>IF($A171="","",IF(OR($G171="SÁBADO",$G171="DOMINGO"),"FIN","LV"))</f>
        <v/>
      </c>
      <c r="J171" s="34">
        <f>IF(OR($A171="",$B171=""),"",IF($L171&lt;&gt;"",UPPER($L171),IF($C171="","FALTA",IFERROR(IF($C171&gt;=$O171,"ROJO FUERTE",IF($C171&gt;=$N171,"ROJO",IF($C171&gt;=$M171,"AMARILLO","VERDE"))),"REVISAR"))))</f>
        <v/>
      </c>
      <c r="K171" s="36">
        <f>IF(OR($C171="",$D171=""),"",IF($D171&gt;=$C171,($D171-$C171)*24,(1-$C171+$D171)*24))</f>
        <v/>
      </c>
      <c r="L171" s="34" t="n"/>
      <c r="M171" s="53">
        <f t="array" ref="M171">IFERROR(INDEX(EXCEPCIONES_FECHA!$D$2:$D$201,MATCH(1,(EXCEPCIONES_FECHA!$A$2:$A$201=$A171)*(EXCEPCIONES_FECHA!$B$2:$B$201=$B171),0)),IFERROR(INDEX(EXCEPCIONES_FECHA!$D$2:$D$201,MATCH(1,(EXCEPCIONES_FECHA!$A$2:$A$201=$A171)*(EXCEPCIONES_FECHA!$B$2:$B$201=""),0)),IFERROR(INDEX(IF($I171="FIN",HISTORIAL_HORARIOS!$J$2:$J$201,HISTORIAL_HORARIOS!$F$2:$F$201),MATCH(1,(HISTORIAL_HORARIOS!$A$2:$A$201=$B171)*(HISTORIAL_HORARIOS!$C$2:$C$201&lt;=$A171)*(HISTORIAL_HORARIOS!$D$2:$D$201&gt;=$A171),0)),INDEX(IF($I171="FIN",PERSONAL!$J$2:$J$80,PERSONAL!$F$2:$F$80),MATCH($B171,PERSONAL!$A$2:$A$80,0)))))</f>
        <v/>
      </c>
      <c r="N171" s="53">
        <f t="array" ref="N171">IFERROR(INDEX(EXCEPCIONES_FECHA!$E$2:$E$201,MATCH(1,(EXCEPCIONES_FECHA!$A$2:$A$201=$A171)*(EXCEPCIONES_FECHA!$B$2:$B$201=$B171),0)),IFERROR(INDEX(EXCEPCIONES_FECHA!$E$2:$E$201,MATCH(1,(EXCEPCIONES_FECHA!$A$2:$A$201=$A171)*(EXCEPCIONES_FECHA!$B$2:$B$201=""),0)),IFERROR(INDEX(IF($I171="FIN",HISTORIAL_HORARIOS!$K$2:$K$201,HISTORIAL_HORARIOS!$G$2:$G$201),MATCH(1,(HISTORIAL_HORARIOS!$A$2:$A$201=$B171)*(HISTORIAL_HORARIOS!$C$2:$C$201&lt;=$A171)*(HISTORIAL_HORARIOS!$D$2:$D$201&gt;=$A171),0)),INDEX(IF($I171="FIN",PERSONAL!$K$2:$K$80,PERSONAL!$G$2:$G$80),MATCH($B171,PERSONAL!$A$2:$A$80,0)))))</f>
        <v/>
      </c>
      <c r="O171" s="53">
        <f t="array" ref="O171">IFERROR(INDEX(EXCEPCIONES_FECHA!$F$2:$F$201,MATCH(1,(EXCEPCIONES_FECHA!$A$2:$A$201=$A171)*(EXCEPCIONES_FECHA!$B$2:$B$201=$B171),0)),IFERROR(INDEX(EXCEPCIONES_FECHA!$F$2:$F$201,MATCH(1,(EXCEPCIONES_FECHA!$A$2:$A$201=$A171)*(EXCEPCIONES_FECHA!$B$2:$B$201=""),0)),IFERROR(INDEX(IF($I171="FIN",HISTORIAL_HORARIOS!$L$2:$L$201,HISTORIAL_HORARIOS!$H$2:$H$201),MATCH(1,(HISTORIAL_HORARIOS!$A$2:$A$201=$B171)*(HISTORIAL_HORARIOS!$C$2:$C$201&lt;=$A171)*(HISTORIAL_HORARIOS!$D$2:$D$201&gt;=$A171),0)),INDEX(IF($I171="FIN",PERSONAL!$L$2:$L$80,PERSONAL!$H$2:$H$80),MATCH($B171,PERSONAL!$A$2:$A$80,0)))))</f>
        <v/>
      </c>
    </row>
    <row r="172" ht="15" customHeight="1" s="58">
      <c r="A172" s="37" t="n"/>
      <c r="B172" s="38" t="n"/>
      <c r="C172" s="39" t="n"/>
      <c r="D172" s="39" t="n"/>
      <c r="E172" s="34">
        <f t="array" ref="E172">IF($B172="","",IFERROR(INDEX(PERSONAL!$B$2:$B$80,MATCH($B172,PERSONAL!$A$2:$A$80,0)),"NO EXISTE"))</f>
        <v/>
      </c>
      <c r="F172" s="52">
        <f t="array" ref="F172">IF($B172="","",IFERROR(INDEX(PERSONAL!$C$2:$C$80,MATCH($B172,PERSONAL!$A$2:$A$80,0)),""))</f>
        <v/>
      </c>
      <c r="G172" s="52">
        <f>IF($A172="","",CHOOSE(WEEKDAY($A172,2),"LUNES","MARTES","MIÉRCOLES","JUEVES","VIERNES","SÁBADO","DOMINGO"))</f>
        <v/>
      </c>
      <c r="H172" s="34">
        <f>IF($A172="","",CHOOSE(MONTH($A172),"ENERO","FEBRERO","MARZO","ABRIL","MAYO","JUNIO","JULIO","AGOSTO","SEPTIEMBRE","OCTUBRE","NOVIEMBRE","DICIEMBRE"))</f>
        <v/>
      </c>
      <c r="I172" s="34">
        <f>IF($A172="","",IF(OR($G172="SÁBADO",$G172="DOMINGO"),"FIN","LV"))</f>
        <v/>
      </c>
      <c r="J172" s="34">
        <f>IF(OR($A172="",$B172=""),"",IF($L172&lt;&gt;"",UPPER($L172),IF($C172="","FALTA",IFERROR(IF($C172&gt;=$O172,"ROJO FUERTE",IF($C172&gt;=$N172,"ROJO",IF($C172&gt;=$M172,"AMARILLO","VERDE"))),"REVISAR"))))</f>
        <v/>
      </c>
      <c r="K172" s="36">
        <f>IF(OR($C172="",$D172=""),"",IF($D172&gt;=$C172,($D172-$C172)*24,(1-$C172+$D172)*24))</f>
        <v/>
      </c>
      <c r="L172" s="34" t="n"/>
      <c r="M172" s="53">
        <f t="array" ref="M172">IFERROR(INDEX(EXCEPCIONES_FECHA!$D$2:$D$201,MATCH(1,(EXCEPCIONES_FECHA!$A$2:$A$201=$A172)*(EXCEPCIONES_FECHA!$B$2:$B$201=$B172),0)),IFERROR(INDEX(EXCEPCIONES_FECHA!$D$2:$D$201,MATCH(1,(EXCEPCIONES_FECHA!$A$2:$A$201=$A172)*(EXCEPCIONES_FECHA!$B$2:$B$201=""),0)),IFERROR(INDEX(IF($I172="FIN",HISTORIAL_HORARIOS!$J$2:$J$201,HISTORIAL_HORARIOS!$F$2:$F$201),MATCH(1,(HISTORIAL_HORARIOS!$A$2:$A$201=$B172)*(HISTORIAL_HORARIOS!$C$2:$C$201&lt;=$A172)*(HISTORIAL_HORARIOS!$D$2:$D$201&gt;=$A172),0)),INDEX(IF($I172="FIN",PERSONAL!$J$2:$J$80,PERSONAL!$F$2:$F$80),MATCH($B172,PERSONAL!$A$2:$A$80,0)))))</f>
        <v/>
      </c>
      <c r="N172" s="53">
        <f t="array" ref="N172">IFERROR(INDEX(EXCEPCIONES_FECHA!$E$2:$E$201,MATCH(1,(EXCEPCIONES_FECHA!$A$2:$A$201=$A172)*(EXCEPCIONES_FECHA!$B$2:$B$201=$B172),0)),IFERROR(INDEX(EXCEPCIONES_FECHA!$E$2:$E$201,MATCH(1,(EXCEPCIONES_FECHA!$A$2:$A$201=$A172)*(EXCEPCIONES_FECHA!$B$2:$B$201=""),0)),IFERROR(INDEX(IF($I172="FIN",HISTORIAL_HORARIOS!$K$2:$K$201,HISTORIAL_HORARIOS!$G$2:$G$201),MATCH(1,(HISTORIAL_HORARIOS!$A$2:$A$201=$B172)*(HISTORIAL_HORARIOS!$C$2:$C$201&lt;=$A172)*(HISTORIAL_HORARIOS!$D$2:$D$201&gt;=$A172),0)),INDEX(IF($I172="FIN",PERSONAL!$K$2:$K$80,PERSONAL!$G$2:$G$80),MATCH($B172,PERSONAL!$A$2:$A$80,0)))))</f>
        <v/>
      </c>
      <c r="O172" s="53">
        <f t="array" ref="O172">IFERROR(INDEX(EXCEPCIONES_FECHA!$F$2:$F$201,MATCH(1,(EXCEPCIONES_FECHA!$A$2:$A$201=$A172)*(EXCEPCIONES_FECHA!$B$2:$B$201=$B172),0)),IFERROR(INDEX(EXCEPCIONES_FECHA!$F$2:$F$201,MATCH(1,(EXCEPCIONES_FECHA!$A$2:$A$201=$A172)*(EXCEPCIONES_FECHA!$B$2:$B$201=""),0)),IFERROR(INDEX(IF($I172="FIN",HISTORIAL_HORARIOS!$L$2:$L$201,HISTORIAL_HORARIOS!$H$2:$H$201),MATCH(1,(HISTORIAL_HORARIOS!$A$2:$A$201=$B172)*(HISTORIAL_HORARIOS!$C$2:$C$201&lt;=$A172)*(HISTORIAL_HORARIOS!$D$2:$D$201&gt;=$A172),0)),INDEX(IF($I172="FIN",PERSONAL!$L$2:$L$80,PERSONAL!$H$2:$H$80),MATCH($B172,PERSONAL!$A$2:$A$80,0)))))</f>
        <v/>
      </c>
    </row>
    <row r="173" ht="15" customHeight="1" s="58">
      <c r="A173" s="37" t="n"/>
      <c r="B173" s="38" t="n"/>
      <c r="C173" s="39" t="n"/>
      <c r="D173" s="39" t="n"/>
      <c r="E173" s="34">
        <f t="array" ref="E173">IF($B173="","",IFERROR(INDEX(PERSONAL!$B$2:$B$80,MATCH($B173,PERSONAL!$A$2:$A$80,0)),"NO EXISTE"))</f>
        <v/>
      </c>
      <c r="F173" s="52">
        <f t="array" ref="F173">IF($B173="","",IFERROR(INDEX(PERSONAL!$C$2:$C$80,MATCH($B173,PERSONAL!$A$2:$A$80,0)),""))</f>
        <v/>
      </c>
      <c r="G173" s="52">
        <f>IF($A173="","",CHOOSE(WEEKDAY($A173,2),"LUNES","MARTES","MIÉRCOLES","JUEVES","VIERNES","SÁBADO","DOMINGO"))</f>
        <v/>
      </c>
      <c r="H173" s="34">
        <f>IF($A173="","",CHOOSE(MONTH($A173),"ENERO","FEBRERO","MARZO","ABRIL","MAYO","JUNIO","JULIO","AGOSTO","SEPTIEMBRE","OCTUBRE","NOVIEMBRE","DICIEMBRE"))</f>
        <v/>
      </c>
      <c r="I173" s="34">
        <f>IF($A173="","",IF(OR($G173="SÁBADO",$G173="DOMINGO"),"FIN","LV"))</f>
        <v/>
      </c>
      <c r="J173" s="34">
        <f>IF(OR($A173="",$B173=""),"",IF($L173&lt;&gt;"",UPPER($L173),IF($C173="","FALTA",IFERROR(IF($C173&gt;=$O173,"ROJO FUERTE",IF($C173&gt;=$N173,"ROJO",IF($C173&gt;=$M173,"AMARILLO","VERDE"))),"REVISAR"))))</f>
        <v/>
      </c>
      <c r="K173" s="36">
        <f>IF(OR($C173="",$D173=""),"",IF($D173&gt;=$C173,($D173-$C173)*24,(1-$C173+$D173)*24))</f>
        <v/>
      </c>
      <c r="L173" s="34" t="n"/>
      <c r="M173" s="53">
        <f t="array" ref="M173">IFERROR(INDEX(EXCEPCIONES_FECHA!$D$2:$D$201,MATCH(1,(EXCEPCIONES_FECHA!$A$2:$A$201=$A173)*(EXCEPCIONES_FECHA!$B$2:$B$201=$B173),0)),IFERROR(INDEX(EXCEPCIONES_FECHA!$D$2:$D$201,MATCH(1,(EXCEPCIONES_FECHA!$A$2:$A$201=$A173)*(EXCEPCIONES_FECHA!$B$2:$B$201=""),0)),IFERROR(INDEX(IF($I173="FIN",HISTORIAL_HORARIOS!$J$2:$J$201,HISTORIAL_HORARIOS!$F$2:$F$201),MATCH(1,(HISTORIAL_HORARIOS!$A$2:$A$201=$B173)*(HISTORIAL_HORARIOS!$C$2:$C$201&lt;=$A173)*(HISTORIAL_HORARIOS!$D$2:$D$201&gt;=$A173),0)),INDEX(IF($I173="FIN",PERSONAL!$J$2:$J$80,PERSONAL!$F$2:$F$80),MATCH($B173,PERSONAL!$A$2:$A$80,0)))))</f>
        <v/>
      </c>
      <c r="N173" s="53">
        <f t="array" ref="N173">IFERROR(INDEX(EXCEPCIONES_FECHA!$E$2:$E$201,MATCH(1,(EXCEPCIONES_FECHA!$A$2:$A$201=$A173)*(EXCEPCIONES_FECHA!$B$2:$B$201=$B173),0)),IFERROR(INDEX(EXCEPCIONES_FECHA!$E$2:$E$201,MATCH(1,(EXCEPCIONES_FECHA!$A$2:$A$201=$A173)*(EXCEPCIONES_FECHA!$B$2:$B$201=""),0)),IFERROR(INDEX(IF($I173="FIN",HISTORIAL_HORARIOS!$K$2:$K$201,HISTORIAL_HORARIOS!$G$2:$G$201),MATCH(1,(HISTORIAL_HORARIOS!$A$2:$A$201=$B173)*(HISTORIAL_HORARIOS!$C$2:$C$201&lt;=$A173)*(HISTORIAL_HORARIOS!$D$2:$D$201&gt;=$A173),0)),INDEX(IF($I173="FIN",PERSONAL!$K$2:$K$80,PERSONAL!$G$2:$G$80),MATCH($B173,PERSONAL!$A$2:$A$80,0)))))</f>
        <v/>
      </c>
      <c r="O173" s="53">
        <f t="array" ref="O173">IFERROR(INDEX(EXCEPCIONES_FECHA!$F$2:$F$201,MATCH(1,(EXCEPCIONES_FECHA!$A$2:$A$201=$A173)*(EXCEPCIONES_FECHA!$B$2:$B$201=$B173),0)),IFERROR(INDEX(EXCEPCIONES_FECHA!$F$2:$F$201,MATCH(1,(EXCEPCIONES_FECHA!$A$2:$A$201=$A173)*(EXCEPCIONES_FECHA!$B$2:$B$201=""),0)),IFERROR(INDEX(IF($I173="FIN",HISTORIAL_HORARIOS!$L$2:$L$201,HISTORIAL_HORARIOS!$H$2:$H$201),MATCH(1,(HISTORIAL_HORARIOS!$A$2:$A$201=$B173)*(HISTORIAL_HORARIOS!$C$2:$C$201&lt;=$A173)*(HISTORIAL_HORARIOS!$D$2:$D$201&gt;=$A173),0)),INDEX(IF($I173="FIN",PERSONAL!$L$2:$L$80,PERSONAL!$H$2:$H$80),MATCH($B173,PERSONAL!$A$2:$A$80,0)))))</f>
        <v/>
      </c>
    </row>
    <row r="174" ht="15" customHeight="1" s="58">
      <c r="A174" s="37" t="n"/>
      <c r="B174" s="38" t="n"/>
      <c r="C174" s="39" t="n"/>
      <c r="D174" s="39" t="n"/>
      <c r="E174" s="34">
        <f t="array" ref="E174">IF($B174="","",IFERROR(INDEX(PERSONAL!$B$2:$B$80,MATCH($B174,PERSONAL!$A$2:$A$80,0)),"NO EXISTE"))</f>
        <v/>
      </c>
      <c r="F174" s="52">
        <f t="array" ref="F174">IF($B174="","",IFERROR(INDEX(PERSONAL!$C$2:$C$80,MATCH($B174,PERSONAL!$A$2:$A$80,0)),""))</f>
        <v/>
      </c>
      <c r="G174" s="52">
        <f>IF($A174="","",CHOOSE(WEEKDAY($A174,2),"LUNES","MARTES","MIÉRCOLES","JUEVES","VIERNES","SÁBADO","DOMINGO"))</f>
        <v/>
      </c>
      <c r="H174" s="34">
        <f>IF($A174="","",CHOOSE(MONTH($A174),"ENERO","FEBRERO","MARZO","ABRIL","MAYO","JUNIO","JULIO","AGOSTO","SEPTIEMBRE","OCTUBRE","NOVIEMBRE","DICIEMBRE"))</f>
        <v/>
      </c>
      <c r="I174" s="34">
        <f>IF($A174="","",IF(OR($G174="SÁBADO",$G174="DOMINGO"),"FIN","LV"))</f>
        <v/>
      </c>
      <c r="J174" s="34">
        <f>IF(OR($A174="",$B174=""),"",IF($L174&lt;&gt;"",UPPER($L174),IF($C174="","FALTA",IFERROR(IF($C174&gt;=$O174,"ROJO FUERTE",IF($C174&gt;=$N174,"ROJO",IF($C174&gt;=$M174,"AMARILLO","VERDE"))),"REVISAR"))))</f>
        <v/>
      </c>
      <c r="K174" s="36">
        <f>IF(OR($C174="",$D174=""),"",IF($D174&gt;=$C174,($D174-$C174)*24,(1-$C174+$D174)*24))</f>
        <v/>
      </c>
      <c r="L174" s="34" t="n"/>
      <c r="M174" s="53">
        <f t="array" ref="M174">IFERROR(INDEX(EXCEPCIONES_FECHA!$D$2:$D$201,MATCH(1,(EXCEPCIONES_FECHA!$A$2:$A$201=$A174)*(EXCEPCIONES_FECHA!$B$2:$B$201=$B174),0)),IFERROR(INDEX(EXCEPCIONES_FECHA!$D$2:$D$201,MATCH(1,(EXCEPCIONES_FECHA!$A$2:$A$201=$A174)*(EXCEPCIONES_FECHA!$B$2:$B$201=""),0)),IFERROR(INDEX(IF($I174="FIN",HISTORIAL_HORARIOS!$J$2:$J$201,HISTORIAL_HORARIOS!$F$2:$F$201),MATCH(1,(HISTORIAL_HORARIOS!$A$2:$A$201=$B174)*(HISTORIAL_HORARIOS!$C$2:$C$201&lt;=$A174)*(HISTORIAL_HORARIOS!$D$2:$D$201&gt;=$A174),0)),INDEX(IF($I174="FIN",PERSONAL!$J$2:$J$80,PERSONAL!$F$2:$F$80),MATCH($B174,PERSONAL!$A$2:$A$80,0)))))</f>
        <v/>
      </c>
      <c r="N174" s="53">
        <f t="array" ref="N174">IFERROR(INDEX(EXCEPCIONES_FECHA!$E$2:$E$201,MATCH(1,(EXCEPCIONES_FECHA!$A$2:$A$201=$A174)*(EXCEPCIONES_FECHA!$B$2:$B$201=$B174),0)),IFERROR(INDEX(EXCEPCIONES_FECHA!$E$2:$E$201,MATCH(1,(EXCEPCIONES_FECHA!$A$2:$A$201=$A174)*(EXCEPCIONES_FECHA!$B$2:$B$201=""),0)),IFERROR(INDEX(IF($I174="FIN",HISTORIAL_HORARIOS!$K$2:$K$201,HISTORIAL_HORARIOS!$G$2:$G$201),MATCH(1,(HISTORIAL_HORARIOS!$A$2:$A$201=$B174)*(HISTORIAL_HORARIOS!$C$2:$C$201&lt;=$A174)*(HISTORIAL_HORARIOS!$D$2:$D$201&gt;=$A174),0)),INDEX(IF($I174="FIN",PERSONAL!$K$2:$K$80,PERSONAL!$G$2:$G$80),MATCH($B174,PERSONAL!$A$2:$A$80,0)))))</f>
        <v/>
      </c>
      <c r="O174" s="53">
        <f t="array" ref="O174">IFERROR(INDEX(EXCEPCIONES_FECHA!$F$2:$F$201,MATCH(1,(EXCEPCIONES_FECHA!$A$2:$A$201=$A174)*(EXCEPCIONES_FECHA!$B$2:$B$201=$B174),0)),IFERROR(INDEX(EXCEPCIONES_FECHA!$F$2:$F$201,MATCH(1,(EXCEPCIONES_FECHA!$A$2:$A$201=$A174)*(EXCEPCIONES_FECHA!$B$2:$B$201=""),0)),IFERROR(INDEX(IF($I174="FIN",HISTORIAL_HORARIOS!$L$2:$L$201,HISTORIAL_HORARIOS!$H$2:$H$201),MATCH(1,(HISTORIAL_HORARIOS!$A$2:$A$201=$B174)*(HISTORIAL_HORARIOS!$C$2:$C$201&lt;=$A174)*(HISTORIAL_HORARIOS!$D$2:$D$201&gt;=$A174),0)),INDEX(IF($I174="FIN",PERSONAL!$L$2:$L$80,PERSONAL!$H$2:$H$80),MATCH($B174,PERSONAL!$A$2:$A$80,0)))))</f>
        <v/>
      </c>
    </row>
    <row r="175" ht="15" customHeight="1" s="58">
      <c r="A175" s="37" t="n"/>
      <c r="B175" s="38" t="n"/>
      <c r="C175" s="39" t="n"/>
      <c r="D175" s="39" t="n"/>
      <c r="E175" s="34">
        <f t="array" ref="E175">IF($B175="","",IFERROR(INDEX(PERSONAL!$B$2:$B$80,MATCH($B175,PERSONAL!$A$2:$A$80,0)),"NO EXISTE"))</f>
        <v/>
      </c>
      <c r="F175" s="52">
        <f t="array" ref="F175">IF($B175="","",IFERROR(INDEX(PERSONAL!$C$2:$C$80,MATCH($B175,PERSONAL!$A$2:$A$80,0)),""))</f>
        <v/>
      </c>
      <c r="G175" s="52">
        <f>IF($A175="","",CHOOSE(WEEKDAY($A175,2),"LUNES","MARTES","MIÉRCOLES","JUEVES","VIERNES","SÁBADO","DOMINGO"))</f>
        <v/>
      </c>
      <c r="H175" s="34">
        <f>IF($A175="","",CHOOSE(MONTH($A175),"ENERO","FEBRERO","MARZO","ABRIL","MAYO","JUNIO","JULIO","AGOSTO","SEPTIEMBRE","OCTUBRE","NOVIEMBRE","DICIEMBRE"))</f>
        <v/>
      </c>
      <c r="I175" s="34">
        <f>IF($A175="","",IF(OR($G175="SÁBADO",$G175="DOMINGO"),"FIN","LV"))</f>
        <v/>
      </c>
      <c r="J175" s="34">
        <f>IF(OR($A175="",$B175=""),"",IF($L175&lt;&gt;"",UPPER($L175),IF($C175="","FALTA",IFERROR(IF($C175&gt;=$O175,"ROJO FUERTE",IF($C175&gt;=$N175,"ROJO",IF($C175&gt;=$M175,"AMARILLO","VERDE"))),"REVISAR"))))</f>
        <v/>
      </c>
      <c r="K175" s="36">
        <f>IF(OR($C175="",$D175=""),"",IF($D175&gt;=$C175,($D175-$C175)*24,(1-$C175+$D175)*24))</f>
        <v/>
      </c>
      <c r="L175" s="34" t="n"/>
      <c r="M175" s="53">
        <f t="array" ref="M175">IFERROR(INDEX(EXCEPCIONES_FECHA!$D$2:$D$201,MATCH(1,(EXCEPCIONES_FECHA!$A$2:$A$201=$A175)*(EXCEPCIONES_FECHA!$B$2:$B$201=$B175),0)),IFERROR(INDEX(EXCEPCIONES_FECHA!$D$2:$D$201,MATCH(1,(EXCEPCIONES_FECHA!$A$2:$A$201=$A175)*(EXCEPCIONES_FECHA!$B$2:$B$201=""),0)),IFERROR(INDEX(IF($I175="FIN",HISTORIAL_HORARIOS!$J$2:$J$201,HISTORIAL_HORARIOS!$F$2:$F$201),MATCH(1,(HISTORIAL_HORARIOS!$A$2:$A$201=$B175)*(HISTORIAL_HORARIOS!$C$2:$C$201&lt;=$A175)*(HISTORIAL_HORARIOS!$D$2:$D$201&gt;=$A175),0)),INDEX(IF($I175="FIN",PERSONAL!$J$2:$J$80,PERSONAL!$F$2:$F$80),MATCH($B175,PERSONAL!$A$2:$A$80,0)))))</f>
        <v/>
      </c>
      <c r="N175" s="53">
        <f t="array" ref="N175">IFERROR(INDEX(EXCEPCIONES_FECHA!$E$2:$E$201,MATCH(1,(EXCEPCIONES_FECHA!$A$2:$A$201=$A175)*(EXCEPCIONES_FECHA!$B$2:$B$201=$B175),0)),IFERROR(INDEX(EXCEPCIONES_FECHA!$E$2:$E$201,MATCH(1,(EXCEPCIONES_FECHA!$A$2:$A$201=$A175)*(EXCEPCIONES_FECHA!$B$2:$B$201=""),0)),IFERROR(INDEX(IF($I175="FIN",HISTORIAL_HORARIOS!$K$2:$K$201,HISTORIAL_HORARIOS!$G$2:$G$201),MATCH(1,(HISTORIAL_HORARIOS!$A$2:$A$201=$B175)*(HISTORIAL_HORARIOS!$C$2:$C$201&lt;=$A175)*(HISTORIAL_HORARIOS!$D$2:$D$201&gt;=$A175),0)),INDEX(IF($I175="FIN",PERSONAL!$K$2:$K$80,PERSONAL!$G$2:$G$80),MATCH($B175,PERSONAL!$A$2:$A$80,0)))))</f>
        <v/>
      </c>
      <c r="O175" s="53">
        <f t="array" ref="O175">IFERROR(INDEX(EXCEPCIONES_FECHA!$F$2:$F$201,MATCH(1,(EXCEPCIONES_FECHA!$A$2:$A$201=$A175)*(EXCEPCIONES_FECHA!$B$2:$B$201=$B175),0)),IFERROR(INDEX(EXCEPCIONES_FECHA!$F$2:$F$201,MATCH(1,(EXCEPCIONES_FECHA!$A$2:$A$201=$A175)*(EXCEPCIONES_FECHA!$B$2:$B$201=""),0)),IFERROR(INDEX(IF($I175="FIN",HISTORIAL_HORARIOS!$L$2:$L$201,HISTORIAL_HORARIOS!$H$2:$H$201),MATCH(1,(HISTORIAL_HORARIOS!$A$2:$A$201=$B175)*(HISTORIAL_HORARIOS!$C$2:$C$201&lt;=$A175)*(HISTORIAL_HORARIOS!$D$2:$D$201&gt;=$A175),0)),INDEX(IF($I175="FIN",PERSONAL!$L$2:$L$80,PERSONAL!$H$2:$H$80),MATCH($B175,PERSONAL!$A$2:$A$80,0)))))</f>
        <v/>
      </c>
    </row>
    <row r="176" ht="15" customHeight="1" s="58">
      <c r="A176" s="37" t="n"/>
      <c r="B176" s="38" t="n"/>
      <c r="C176" s="39" t="n"/>
      <c r="D176" s="39" t="n"/>
      <c r="E176" s="34">
        <f t="array" ref="E176">IF($B176="","",IFERROR(INDEX(PERSONAL!$B$2:$B$80,MATCH($B176,PERSONAL!$A$2:$A$80,0)),"NO EXISTE"))</f>
        <v/>
      </c>
      <c r="F176" s="52">
        <f t="array" ref="F176">IF($B176="","",IFERROR(INDEX(PERSONAL!$C$2:$C$80,MATCH($B176,PERSONAL!$A$2:$A$80,0)),""))</f>
        <v/>
      </c>
      <c r="G176" s="52">
        <f>IF($A176="","",CHOOSE(WEEKDAY($A176,2),"LUNES","MARTES","MIÉRCOLES","JUEVES","VIERNES","SÁBADO","DOMINGO"))</f>
        <v/>
      </c>
      <c r="H176" s="34">
        <f>IF($A176="","",CHOOSE(MONTH($A176),"ENERO","FEBRERO","MARZO","ABRIL","MAYO","JUNIO","JULIO","AGOSTO","SEPTIEMBRE","OCTUBRE","NOVIEMBRE","DICIEMBRE"))</f>
        <v/>
      </c>
      <c r="I176" s="34">
        <f>IF($A176="","",IF(OR($G176="SÁBADO",$G176="DOMINGO"),"FIN","LV"))</f>
        <v/>
      </c>
      <c r="J176" s="34">
        <f>IF(OR($A176="",$B176=""),"",IF($L176&lt;&gt;"",UPPER($L176),IF($C176="","FALTA",IFERROR(IF($C176&gt;=$O176,"ROJO FUERTE",IF($C176&gt;=$N176,"ROJO",IF($C176&gt;=$M176,"AMARILLO","VERDE"))),"REVISAR"))))</f>
        <v/>
      </c>
      <c r="K176" s="36">
        <f>IF(OR($C176="",$D176=""),"",IF($D176&gt;=$C176,($D176-$C176)*24,(1-$C176+$D176)*24))</f>
        <v/>
      </c>
      <c r="L176" s="34" t="n"/>
      <c r="M176" s="53">
        <f t="array" ref="M176">IFERROR(INDEX(EXCEPCIONES_FECHA!$D$2:$D$201,MATCH(1,(EXCEPCIONES_FECHA!$A$2:$A$201=$A176)*(EXCEPCIONES_FECHA!$B$2:$B$201=$B176),0)),IFERROR(INDEX(EXCEPCIONES_FECHA!$D$2:$D$201,MATCH(1,(EXCEPCIONES_FECHA!$A$2:$A$201=$A176)*(EXCEPCIONES_FECHA!$B$2:$B$201=""),0)),IFERROR(INDEX(IF($I176="FIN",HISTORIAL_HORARIOS!$J$2:$J$201,HISTORIAL_HORARIOS!$F$2:$F$201),MATCH(1,(HISTORIAL_HORARIOS!$A$2:$A$201=$B176)*(HISTORIAL_HORARIOS!$C$2:$C$201&lt;=$A176)*(HISTORIAL_HORARIOS!$D$2:$D$201&gt;=$A176),0)),INDEX(IF($I176="FIN",PERSONAL!$J$2:$J$80,PERSONAL!$F$2:$F$80),MATCH($B176,PERSONAL!$A$2:$A$80,0)))))</f>
        <v/>
      </c>
      <c r="N176" s="53">
        <f t="array" ref="N176">IFERROR(INDEX(EXCEPCIONES_FECHA!$E$2:$E$201,MATCH(1,(EXCEPCIONES_FECHA!$A$2:$A$201=$A176)*(EXCEPCIONES_FECHA!$B$2:$B$201=$B176),0)),IFERROR(INDEX(EXCEPCIONES_FECHA!$E$2:$E$201,MATCH(1,(EXCEPCIONES_FECHA!$A$2:$A$201=$A176)*(EXCEPCIONES_FECHA!$B$2:$B$201=""),0)),IFERROR(INDEX(IF($I176="FIN",HISTORIAL_HORARIOS!$K$2:$K$201,HISTORIAL_HORARIOS!$G$2:$G$201),MATCH(1,(HISTORIAL_HORARIOS!$A$2:$A$201=$B176)*(HISTORIAL_HORARIOS!$C$2:$C$201&lt;=$A176)*(HISTORIAL_HORARIOS!$D$2:$D$201&gt;=$A176),0)),INDEX(IF($I176="FIN",PERSONAL!$K$2:$K$80,PERSONAL!$G$2:$G$80),MATCH($B176,PERSONAL!$A$2:$A$80,0)))))</f>
        <v/>
      </c>
      <c r="O176" s="53">
        <f t="array" ref="O176">IFERROR(INDEX(EXCEPCIONES_FECHA!$F$2:$F$201,MATCH(1,(EXCEPCIONES_FECHA!$A$2:$A$201=$A176)*(EXCEPCIONES_FECHA!$B$2:$B$201=$B176),0)),IFERROR(INDEX(EXCEPCIONES_FECHA!$F$2:$F$201,MATCH(1,(EXCEPCIONES_FECHA!$A$2:$A$201=$A176)*(EXCEPCIONES_FECHA!$B$2:$B$201=""),0)),IFERROR(INDEX(IF($I176="FIN",HISTORIAL_HORARIOS!$L$2:$L$201,HISTORIAL_HORARIOS!$H$2:$H$201),MATCH(1,(HISTORIAL_HORARIOS!$A$2:$A$201=$B176)*(HISTORIAL_HORARIOS!$C$2:$C$201&lt;=$A176)*(HISTORIAL_HORARIOS!$D$2:$D$201&gt;=$A176),0)),INDEX(IF($I176="FIN",PERSONAL!$L$2:$L$80,PERSONAL!$H$2:$H$80),MATCH($B176,PERSONAL!$A$2:$A$80,0)))))</f>
        <v/>
      </c>
    </row>
    <row r="177" ht="15" customHeight="1" s="58">
      <c r="A177" s="37" t="n"/>
      <c r="B177" s="38" t="n"/>
      <c r="C177" s="39" t="n"/>
      <c r="D177" s="39" t="n"/>
      <c r="E177" s="34">
        <f t="array" ref="E177">IF($B177="","",IFERROR(INDEX(PERSONAL!$B$2:$B$80,MATCH($B177,PERSONAL!$A$2:$A$80,0)),"NO EXISTE"))</f>
        <v/>
      </c>
      <c r="F177" s="52">
        <f t="array" ref="F177">IF($B177="","",IFERROR(INDEX(PERSONAL!$C$2:$C$80,MATCH($B177,PERSONAL!$A$2:$A$80,0)),""))</f>
        <v/>
      </c>
      <c r="G177" s="52">
        <f>IF($A177="","",CHOOSE(WEEKDAY($A177,2),"LUNES","MARTES","MIÉRCOLES","JUEVES","VIERNES","SÁBADO","DOMINGO"))</f>
        <v/>
      </c>
      <c r="H177" s="34">
        <f>IF($A177="","",CHOOSE(MONTH($A177),"ENERO","FEBRERO","MARZO","ABRIL","MAYO","JUNIO","JULIO","AGOSTO","SEPTIEMBRE","OCTUBRE","NOVIEMBRE","DICIEMBRE"))</f>
        <v/>
      </c>
      <c r="I177" s="34">
        <f>IF($A177="","",IF(OR($G177="SÁBADO",$G177="DOMINGO"),"FIN","LV"))</f>
        <v/>
      </c>
      <c r="J177" s="34">
        <f>IF(OR($A177="",$B177=""),"",IF($L177&lt;&gt;"",UPPER($L177),IF($C177="","FALTA",IFERROR(IF($C177&gt;=$O177,"ROJO FUERTE",IF($C177&gt;=$N177,"ROJO",IF($C177&gt;=$M177,"AMARILLO","VERDE"))),"REVISAR"))))</f>
        <v/>
      </c>
      <c r="K177" s="36">
        <f>IF(OR($C177="",$D177=""),"",IF($D177&gt;=$C177,($D177-$C177)*24,(1-$C177+$D177)*24))</f>
        <v/>
      </c>
      <c r="L177" s="34" t="n"/>
      <c r="M177" s="53">
        <f t="array" ref="M177">IFERROR(INDEX(EXCEPCIONES_FECHA!$D$2:$D$201,MATCH(1,(EXCEPCIONES_FECHA!$A$2:$A$201=$A177)*(EXCEPCIONES_FECHA!$B$2:$B$201=$B177),0)),IFERROR(INDEX(EXCEPCIONES_FECHA!$D$2:$D$201,MATCH(1,(EXCEPCIONES_FECHA!$A$2:$A$201=$A177)*(EXCEPCIONES_FECHA!$B$2:$B$201=""),0)),IFERROR(INDEX(IF($I177="FIN",HISTORIAL_HORARIOS!$J$2:$J$201,HISTORIAL_HORARIOS!$F$2:$F$201),MATCH(1,(HISTORIAL_HORARIOS!$A$2:$A$201=$B177)*(HISTORIAL_HORARIOS!$C$2:$C$201&lt;=$A177)*(HISTORIAL_HORARIOS!$D$2:$D$201&gt;=$A177),0)),INDEX(IF($I177="FIN",PERSONAL!$J$2:$J$80,PERSONAL!$F$2:$F$80),MATCH($B177,PERSONAL!$A$2:$A$80,0)))))</f>
        <v/>
      </c>
      <c r="N177" s="53">
        <f t="array" ref="N177">IFERROR(INDEX(EXCEPCIONES_FECHA!$E$2:$E$201,MATCH(1,(EXCEPCIONES_FECHA!$A$2:$A$201=$A177)*(EXCEPCIONES_FECHA!$B$2:$B$201=$B177),0)),IFERROR(INDEX(EXCEPCIONES_FECHA!$E$2:$E$201,MATCH(1,(EXCEPCIONES_FECHA!$A$2:$A$201=$A177)*(EXCEPCIONES_FECHA!$B$2:$B$201=""),0)),IFERROR(INDEX(IF($I177="FIN",HISTORIAL_HORARIOS!$K$2:$K$201,HISTORIAL_HORARIOS!$G$2:$G$201),MATCH(1,(HISTORIAL_HORARIOS!$A$2:$A$201=$B177)*(HISTORIAL_HORARIOS!$C$2:$C$201&lt;=$A177)*(HISTORIAL_HORARIOS!$D$2:$D$201&gt;=$A177),0)),INDEX(IF($I177="FIN",PERSONAL!$K$2:$K$80,PERSONAL!$G$2:$G$80),MATCH($B177,PERSONAL!$A$2:$A$80,0)))))</f>
        <v/>
      </c>
      <c r="O177" s="53">
        <f t="array" ref="O177">IFERROR(INDEX(EXCEPCIONES_FECHA!$F$2:$F$201,MATCH(1,(EXCEPCIONES_FECHA!$A$2:$A$201=$A177)*(EXCEPCIONES_FECHA!$B$2:$B$201=$B177),0)),IFERROR(INDEX(EXCEPCIONES_FECHA!$F$2:$F$201,MATCH(1,(EXCEPCIONES_FECHA!$A$2:$A$201=$A177)*(EXCEPCIONES_FECHA!$B$2:$B$201=""),0)),IFERROR(INDEX(IF($I177="FIN",HISTORIAL_HORARIOS!$L$2:$L$201,HISTORIAL_HORARIOS!$H$2:$H$201),MATCH(1,(HISTORIAL_HORARIOS!$A$2:$A$201=$B177)*(HISTORIAL_HORARIOS!$C$2:$C$201&lt;=$A177)*(HISTORIAL_HORARIOS!$D$2:$D$201&gt;=$A177),0)),INDEX(IF($I177="FIN",PERSONAL!$L$2:$L$80,PERSONAL!$H$2:$H$80),MATCH($B177,PERSONAL!$A$2:$A$80,0)))))</f>
        <v/>
      </c>
    </row>
    <row r="178" ht="15" customHeight="1" s="58">
      <c r="A178" s="37" t="n"/>
      <c r="B178" s="38" t="n"/>
      <c r="C178" s="39" t="n"/>
      <c r="D178" s="39" t="n"/>
      <c r="E178" s="34">
        <f t="array" ref="E178">IF($B178="","",IFERROR(INDEX(PERSONAL!$B$2:$B$80,MATCH($B178,PERSONAL!$A$2:$A$80,0)),"NO EXISTE"))</f>
        <v/>
      </c>
      <c r="F178" s="52">
        <f t="array" ref="F178">IF($B178="","",IFERROR(INDEX(PERSONAL!$C$2:$C$80,MATCH($B178,PERSONAL!$A$2:$A$80,0)),""))</f>
        <v/>
      </c>
      <c r="G178" s="52">
        <f>IF($A178="","",CHOOSE(WEEKDAY($A178,2),"LUNES","MARTES","MIÉRCOLES","JUEVES","VIERNES","SÁBADO","DOMINGO"))</f>
        <v/>
      </c>
      <c r="H178" s="34">
        <f>IF($A178="","",CHOOSE(MONTH($A178),"ENERO","FEBRERO","MARZO","ABRIL","MAYO","JUNIO","JULIO","AGOSTO","SEPTIEMBRE","OCTUBRE","NOVIEMBRE","DICIEMBRE"))</f>
        <v/>
      </c>
      <c r="I178" s="34">
        <f>IF($A178="","",IF(OR($G178="SÁBADO",$G178="DOMINGO"),"FIN","LV"))</f>
        <v/>
      </c>
      <c r="J178" s="34">
        <f>IF(OR($A178="",$B178=""),"",IF($L178&lt;&gt;"",UPPER($L178),IF($C178="","FALTA",IFERROR(IF($C178&gt;=$O178,"ROJO FUERTE",IF($C178&gt;=$N178,"ROJO",IF($C178&gt;=$M178,"AMARILLO","VERDE"))),"REVISAR"))))</f>
        <v/>
      </c>
      <c r="K178" s="36">
        <f>IF(OR($C178="",$D178=""),"",IF($D178&gt;=$C178,($D178-$C178)*24,(1-$C178+$D178)*24))</f>
        <v/>
      </c>
      <c r="L178" s="34" t="n"/>
      <c r="M178" s="53">
        <f t="array" ref="M178">IFERROR(INDEX(EXCEPCIONES_FECHA!$D$2:$D$201,MATCH(1,(EXCEPCIONES_FECHA!$A$2:$A$201=$A178)*(EXCEPCIONES_FECHA!$B$2:$B$201=$B178),0)),IFERROR(INDEX(EXCEPCIONES_FECHA!$D$2:$D$201,MATCH(1,(EXCEPCIONES_FECHA!$A$2:$A$201=$A178)*(EXCEPCIONES_FECHA!$B$2:$B$201=""),0)),IFERROR(INDEX(IF($I178="FIN",HISTORIAL_HORARIOS!$J$2:$J$201,HISTORIAL_HORARIOS!$F$2:$F$201),MATCH(1,(HISTORIAL_HORARIOS!$A$2:$A$201=$B178)*(HISTORIAL_HORARIOS!$C$2:$C$201&lt;=$A178)*(HISTORIAL_HORARIOS!$D$2:$D$201&gt;=$A178),0)),INDEX(IF($I178="FIN",PERSONAL!$J$2:$J$80,PERSONAL!$F$2:$F$80),MATCH($B178,PERSONAL!$A$2:$A$80,0)))))</f>
        <v/>
      </c>
      <c r="N178" s="53">
        <f t="array" ref="N178">IFERROR(INDEX(EXCEPCIONES_FECHA!$E$2:$E$201,MATCH(1,(EXCEPCIONES_FECHA!$A$2:$A$201=$A178)*(EXCEPCIONES_FECHA!$B$2:$B$201=$B178),0)),IFERROR(INDEX(EXCEPCIONES_FECHA!$E$2:$E$201,MATCH(1,(EXCEPCIONES_FECHA!$A$2:$A$201=$A178)*(EXCEPCIONES_FECHA!$B$2:$B$201=""),0)),IFERROR(INDEX(IF($I178="FIN",HISTORIAL_HORARIOS!$K$2:$K$201,HISTORIAL_HORARIOS!$G$2:$G$201),MATCH(1,(HISTORIAL_HORARIOS!$A$2:$A$201=$B178)*(HISTORIAL_HORARIOS!$C$2:$C$201&lt;=$A178)*(HISTORIAL_HORARIOS!$D$2:$D$201&gt;=$A178),0)),INDEX(IF($I178="FIN",PERSONAL!$K$2:$K$80,PERSONAL!$G$2:$G$80),MATCH($B178,PERSONAL!$A$2:$A$80,0)))))</f>
        <v/>
      </c>
      <c r="O178" s="53">
        <f t="array" ref="O178">IFERROR(INDEX(EXCEPCIONES_FECHA!$F$2:$F$201,MATCH(1,(EXCEPCIONES_FECHA!$A$2:$A$201=$A178)*(EXCEPCIONES_FECHA!$B$2:$B$201=$B178),0)),IFERROR(INDEX(EXCEPCIONES_FECHA!$F$2:$F$201,MATCH(1,(EXCEPCIONES_FECHA!$A$2:$A$201=$A178)*(EXCEPCIONES_FECHA!$B$2:$B$201=""),0)),IFERROR(INDEX(IF($I178="FIN",HISTORIAL_HORARIOS!$L$2:$L$201,HISTORIAL_HORARIOS!$H$2:$H$201),MATCH(1,(HISTORIAL_HORARIOS!$A$2:$A$201=$B178)*(HISTORIAL_HORARIOS!$C$2:$C$201&lt;=$A178)*(HISTORIAL_HORARIOS!$D$2:$D$201&gt;=$A178),0)),INDEX(IF($I178="FIN",PERSONAL!$L$2:$L$80,PERSONAL!$H$2:$H$80),MATCH($B178,PERSONAL!$A$2:$A$80,0)))))</f>
        <v/>
      </c>
    </row>
    <row r="179" ht="15" customHeight="1" s="58">
      <c r="A179" s="37" t="n"/>
      <c r="B179" s="38" t="n"/>
      <c r="C179" s="39" t="n"/>
      <c r="D179" s="39" t="n"/>
      <c r="E179" s="34">
        <f t="array" ref="E179">IF($B179="","",IFERROR(INDEX(PERSONAL!$B$2:$B$80,MATCH($B179,PERSONAL!$A$2:$A$80,0)),"NO EXISTE"))</f>
        <v/>
      </c>
      <c r="F179" s="52">
        <f t="array" ref="F179">IF($B179="","",IFERROR(INDEX(PERSONAL!$C$2:$C$80,MATCH($B179,PERSONAL!$A$2:$A$80,0)),""))</f>
        <v/>
      </c>
      <c r="G179" s="52">
        <f>IF($A179="","",CHOOSE(WEEKDAY($A179,2),"LUNES","MARTES","MIÉRCOLES","JUEVES","VIERNES","SÁBADO","DOMINGO"))</f>
        <v/>
      </c>
      <c r="H179" s="34">
        <f>IF($A179="","",CHOOSE(MONTH($A179),"ENERO","FEBRERO","MARZO","ABRIL","MAYO","JUNIO","JULIO","AGOSTO","SEPTIEMBRE","OCTUBRE","NOVIEMBRE","DICIEMBRE"))</f>
        <v/>
      </c>
      <c r="I179" s="34">
        <f>IF($A179="","",IF(OR($G179="SÁBADO",$G179="DOMINGO"),"FIN","LV"))</f>
        <v/>
      </c>
      <c r="J179" s="34">
        <f>IF(OR($A179="",$B179=""),"",IF($L179&lt;&gt;"",UPPER($L179),IF($C179="","FALTA",IFERROR(IF($C179&gt;=$O179,"ROJO FUERTE",IF($C179&gt;=$N179,"ROJO",IF($C179&gt;=$M179,"AMARILLO","VERDE"))),"REVISAR"))))</f>
        <v/>
      </c>
      <c r="K179" s="36">
        <f>IF(OR($C179="",$D179=""),"",IF($D179&gt;=$C179,($D179-$C179)*24,(1-$C179+$D179)*24))</f>
        <v/>
      </c>
      <c r="L179" s="34" t="n"/>
      <c r="M179" s="53">
        <f t="array" ref="M179">IFERROR(INDEX(EXCEPCIONES_FECHA!$D$2:$D$201,MATCH(1,(EXCEPCIONES_FECHA!$A$2:$A$201=$A179)*(EXCEPCIONES_FECHA!$B$2:$B$201=$B179),0)),IFERROR(INDEX(EXCEPCIONES_FECHA!$D$2:$D$201,MATCH(1,(EXCEPCIONES_FECHA!$A$2:$A$201=$A179)*(EXCEPCIONES_FECHA!$B$2:$B$201=""),0)),IFERROR(INDEX(IF($I179="FIN",HISTORIAL_HORARIOS!$J$2:$J$201,HISTORIAL_HORARIOS!$F$2:$F$201),MATCH(1,(HISTORIAL_HORARIOS!$A$2:$A$201=$B179)*(HISTORIAL_HORARIOS!$C$2:$C$201&lt;=$A179)*(HISTORIAL_HORARIOS!$D$2:$D$201&gt;=$A179),0)),INDEX(IF($I179="FIN",PERSONAL!$J$2:$J$80,PERSONAL!$F$2:$F$80),MATCH($B179,PERSONAL!$A$2:$A$80,0)))))</f>
        <v/>
      </c>
      <c r="N179" s="53">
        <f t="array" ref="N179">IFERROR(INDEX(EXCEPCIONES_FECHA!$E$2:$E$201,MATCH(1,(EXCEPCIONES_FECHA!$A$2:$A$201=$A179)*(EXCEPCIONES_FECHA!$B$2:$B$201=$B179),0)),IFERROR(INDEX(EXCEPCIONES_FECHA!$E$2:$E$201,MATCH(1,(EXCEPCIONES_FECHA!$A$2:$A$201=$A179)*(EXCEPCIONES_FECHA!$B$2:$B$201=""),0)),IFERROR(INDEX(IF($I179="FIN",HISTORIAL_HORARIOS!$K$2:$K$201,HISTORIAL_HORARIOS!$G$2:$G$201),MATCH(1,(HISTORIAL_HORARIOS!$A$2:$A$201=$B179)*(HISTORIAL_HORARIOS!$C$2:$C$201&lt;=$A179)*(HISTORIAL_HORARIOS!$D$2:$D$201&gt;=$A179),0)),INDEX(IF($I179="FIN",PERSONAL!$K$2:$K$80,PERSONAL!$G$2:$G$80),MATCH($B179,PERSONAL!$A$2:$A$80,0)))))</f>
        <v/>
      </c>
      <c r="O179" s="53">
        <f t="array" ref="O179">IFERROR(INDEX(EXCEPCIONES_FECHA!$F$2:$F$201,MATCH(1,(EXCEPCIONES_FECHA!$A$2:$A$201=$A179)*(EXCEPCIONES_FECHA!$B$2:$B$201=$B179),0)),IFERROR(INDEX(EXCEPCIONES_FECHA!$F$2:$F$201,MATCH(1,(EXCEPCIONES_FECHA!$A$2:$A$201=$A179)*(EXCEPCIONES_FECHA!$B$2:$B$201=""),0)),IFERROR(INDEX(IF($I179="FIN",HISTORIAL_HORARIOS!$L$2:$L$201,HISTORIAL_HORARIOS!$H$2:$H$201),MATCH(1,(HISTORIAL_HORARIOS!$A$2:$A$201=$B179)*(HISTORIAL_HORARIOS!$C$2:$C$201&lt;=$A179)*(HISTORIAL_HORARIOS!$D$2:$D$201&gt;=$A179),0)),INDEX(IF($I179="FIN",PERSONAL!$L$2:$L$80,PERSONAL!$H$2:$H$80),MATCH($B179,PERSONAL!$A$2:$A$80,0)))))</f>
        <v/>
      </c>
    </row>
    <row r="180" ht="15" customHeight="1" s="58">
      <c r="A180" s="37" t="n"/>
      <c r="B180" s="38" t="n"/>
      <c r="C180" s="39" t="n"/>
      <c r="D180" s="39" t="n"/>
      <c r="E180" s="34">
        <f t="array" ref="E180">IF($B180="","",IFERROR(INDEX(PERSONAL!$B$2:$B$80,MATCH($B180,PERSONAL!$A$2:$A$80,0)),"NO EXISTE"))</f>
        <v/>
      </c>
      <c r="F180" s="52">
        <f t="array" ref="F180">IF($B180="","",IFERROR(INDEX(PERSONAL!$C$2:$C$80,MATCH($B180,PERSONAL!$A$2:$A$80,0)),""))</f>
        <v/>
      </c>
      <c r="G180" s="52">
        <f>IF($A180="","",CHOOSE(WEEKDAY($A180,2),"LUNES","MARTES","MIÉRCOLES","JUEVES","VIERNES","SÁBADO","DOMINGO"))</f>
        <v/>
      </c>
      <c r="H180" s="34">
        <f>IF($A180="","",CHOOSE(MONTH($A180),"ENERO","FEBRERO","MARZO","ABRIL","MAYO","JUNIO","JULIO","AGOSTO","SEPTIEMBRE","OCTUBRE","NOVIEMBRE","DICIEMBRE"))</f>
        <v/>
      </c>
      <c r="I180" s="34">
        <f>IF($A180="","",IF(OR($G180="SÁBADO",$G180="DOMINGO"),"FIN","LV"))</f>
        <v/>
      </c>
      <c r="J180" s="34">
        <f>IF(OR($A180="",$B180=""),"",IF($L180&lt;&gt;"",UPPER($L180),IF($C180="","FALTA",IFERROR(IF($C180&gt;=$O180,"ROJO FUERTE",IF($C180&gt;=$N180,"ROJO",IF($C180&gt;=$M180,"AMARILLO","VERDE"))),"REVISAR"))))</f>
        <v/>
      </c>
      <c r="K180" s="36">
        <f>IF(OR($C180="",$D180=""),"",IF($D180&gt;=$C180,($D180-$C180)*24,(1-$C180+$D180)*24))</f>
        <v/>
      </c>
      <c r="L180" s="34" t="n"/>
      <c r="M180" s="53">
        <f t="array" ref="M180">IFERROR(INDEX(EXCEPCIONES_FECHA!$D$2:$D$201,MATCH(1,(EXCEPCIONES_FECHA!$A$2:$A$201=$A180)*(EXCEPCIONES_FECHA!$B$2:$B$201=$B180),0)),IFERROR(INDEX(EXCEPCIONES_FECHA!$D$2:$D$201,MATCH(1,(EXCEPCIONES_FECHA!$A$2:$A$201=$A180)*(EXCEPCIONES_FECHA!$B$2:$B$201=""),0)),IFERROR(INDEX(IF($I180="FIN",HISTORIAL_HORARIOS!$J$2:$J$201,HISTORIAL_HORARIOS!$F$2:$F$201),MATCH(1,(HISTORIAL_HORARIOS!$A$2:$A$201=$B180)*(HISTORIAL_HORARIOS!$C$2:$C$201&lt;=$A180)*(HISTORIAL_HORARIOS!$D$2:$D$201&gt;=$A180),0)),INDEX(IF($I180="FIN",PERSONAL!$J$2:$J$80,PERSONAL!$F$2:$F$80),MATCH($B180,PERSONAL!$A$2:$A$80,0)))))</f>
        <v/>
      </c>
      <c r="N180" s="53">
        <f t="array" ref="N180">IFERROR(INDEX(EXCEPCIONES_FECHA!$E$2:$E$201,MATCH(1,(EXCEPCIONES_FECHA!$A$2:$A$201=$A180)*(EXCEPCIONES_FECHA!$B$2:$B$201=$B180),0)),IFERROR(INDEX(EXCEPCIONES_FECHA!$E$2:$E$201,MATCH(1,(EXCEPCIONES_FECHA!$A$2:$A$201=$A180)*(EXCEPCIONES_FECHA!$B$2:$B$201=""),0)),IFERROR(INDEX(IF($I180="FIN",HISTORIAL_HORARIOS!$K$2:$K$201,HISTORIAL_HORARIOS!$G$2:$G$201),MATCH(1,(HISTORIAL_HORARIOS!$A$2:$A$201=$B180)*(HISTORIAL_HORARIOS!$C$2:$C$201&lt;=$A180)*(HISTORIAL_HORARIOS!$D$2:$D$201&gt;=$A180),0)),INDEX(IF($I180="FIN",PERSONAL!$K$2:$K$80,PERSONAL!$G$2:$G$80),MATCH($B180,PERSONAL!$A$2:$A$80,0)))))</f>
        <v/>
      </c>
      <c r="O180" s="53">
        <f t="array" ref="O180">IFERROR(INDEX(EXCEPCIONES_FECHA!$F$2:$F$201,MATCH(1,(EXCEPCIONES_FECHA!$A$2:$A$201=$A180)*(EXCEPCIONES_FECHA!$B$2:$B$201=$B180),0)),IFERROR(INDEX(EXCEPCIONES_FECHA!$F$2:$F$201,MATCH(1,(EXCEPCIONES_FECHA!$A$2:$A$201=$A180)*(EXCEPCIONES_FECHA!$B$2:$B$201=""),0)),IFERROR(INDEX(IF($I180="FIN",HISTORIAL_HORARIOS!$L$2:$L$201,HISTORIAL_HORARIOS!$H$2:$H$201),MATCH(1,(HISTORIAL_HORARIOS!$A$2:$A$201=$B180)*(HISTORIAL_HORARIOS!$C$2:$C$201&lt;=$A180)*(HISTORIAL_HORARIOS!$D$2:$D$201&gt;=$A180),0)),INDEX(IF($I180="FIN",PERSONAL!$L$2:$L$80,PERSONAL!$H$2:$H$80),MATCH($B180,PERSONAL!$A$2:$A$80,0)))))</f>
        <v/>
      </c>
    </row>
    <row r="181" ht="15" customHeight="1" s="58">
      <c r="A181" s="37" t="n"/>
      <c r="B181" s="38" t="n"/>
      <c r="C181" s="39" t="n"/>
      <c r="D181" s="39" t="n"/>
      <c r="E181" s="34">
        <f t="array" ref="E181">IF($B181="","",IFERROR(INDEX(PERSONAL!$B$2:$B$80,MATCH($B181,PERSONAL!$A$2:$A$80,0)),"NO EXISTE"))</f>
        <v/>
      </c>
      <c r="F181" s="52">
        <f t="array" ref="F181">IF($B181="","",IFERROR(INDEX(PERSONAL!$C$2:$C$80,MATCH($B181,PERSONAL!$A$2:$A$80,0)),""))</f>
        <v/>
      </c>
      <c r="G181" s="52">
        <f>IF($A181="","",CHOOSE(WEEKDAY($A181,2),"LUNES","MARTES","MIÉRCOLES","JUEVES","VIERNES","SÁBADO","DOMINGO"))</f>
        <v/>
      </c>
      <c r="H181" s="34">
        <f>IF($A181="","",CHOOSE(MONTH($A181),"ENERO","FEBRERO","MARZO","ABRIL","MAYO","JUNIO","JULIO","AGOSTO","SEPTIEMBRE","OCTUBRE","NOVIEMBRE","DICIEMBRE"))</f>
        <v/>
      </c>
      <c r="I181" s="34">
        <f>IF($A181="","",IF(OR($G181="SÁBADO",$G181="DOMINGO"),"FIN","LV"))</f>
        <v/>
      </c>
      <c r="J181" s="34">
        <f>IF(OR($A181="",$B181=""),"",IF($L181&lt;&gt;"",UPPER($L181),IF($C181="","FALTA",IFERROR(IF($C181&gt;=$O181,"ROJO FUERTE",IF($C181&gt;=$N181,"ROJO",IF($C181&gt;=$M181,"AMARILLO","VERDE"))),"REVISAR"))))</f>
        <v/>
      </c>
      <c r="K181" s="36">
        <f>IF(OR($C181="",$D181=""),"",IF($D181&gt;=$C181,($D181-$C181)*24,(1-$C181+$D181)*24))</f>
        <v/>
      </c>
      <c r="L181" s="34" t="n"/>
      <c r="M181" s="53">
        <f t="array" ref="M181">IFERROR(INDEX(EXCEPCIONES_FECHA!$D$2:$D$201,MATCH(1,(EXCEPCIONES_FECHA!$A$2:$A$201=$A181)*(EXCEPCIONES_FECHA!$B$2:$B$201=$B181),0)),IFERROR(INDEX(EXCEPCIONES_FECHA!$D$2:$D$201,MATCH(1,(EXCEPCIONES_FECHA!$A$2:$A$201=$A181)*(EXCEPCIONES_FECHA!$B$2:$B$201=""),0)),IFERROR(INDEX(IF($I181="FIN",HISTORIAL_HORARIOS!$J$2:$J$201,HISTORIAL_HORARIOS!$F$2:$F$201),MATCH(1,(HISTORIAL_HORARIOS!$A$2:$A$201=$B181)*(HISTORIAL_HORARIOS!$C$2:$C$201&lt;=$A181)*(HISTORIAL_HORARIOS!$D$2:$D$201&gt;=$A181),0)),INDEX(IF($I181="FIN",PERSONAL!$J$2:$J$80,PERSONAL!$F$2:$F$80),MATCH($B181,PERSONAL!$A$2:$A$80,0)))))</f>
        <v/>
      </c>
      <c r="N181" s="53">
        <f t="array" ref="N181">IFERROR(INDEX(EXCEPCIONES_FECHA!$E$2:$E$201,MATCH(1,(EXCEPCIONES_FECHA!$A$2:$A$201=$A181)*(EXCEPCIONES_FECHA!$B$2:$B$201=$B181),0)),IFERROR(INDEX(EXCEPCIONES_FECHA!$E$2:$E$201,MATCH(1,(EXCEPCIONES_FECHA!$A$2:$A$201=$A181)*(EXCEPCIONES_FECHA!$B$2:$B$201=""),0)),IFERROR(INDEX(IF($I181="FIN",HISTORIAL_HORARIOS!$K$2:$K$201,HISTORIAL_HORARIOS!$G$2:$G$201),MATCH(1,(HISTORIAL_HORARIOS!$A$2:$A$201=$B181)*(HISTORIAL_HORARIOS!$C$2:$C$201&lt;=$A181)*(HISTORIAL_HORARIOS!$D$2:$D$201&gt;=$A181),0)),INDEX(IF($I181="FIN",PERSONAL!$K$2:$K$80,PERSONAL!$G$2:$G$80),MATCH($B181,PERSONAL!$A$2:$A$80,0)))))</f>
        <v/>
      </c>
      <c r="O181" s="53">
        <f t="array" ref="O181">IFERROR(INDEX(EXCEPCIONES_FECHA!$F$2:$F$201,MATCH(1,(EXCEPCIONES_FECHA!$A$2:$A$201=$A181)*(EXCEPCIONES_FECHA!$B$2:$B$201=$B181),0)),IFERROR(INDEX(EXCEPCIONES_FECHA!$F$2:$F$201,MATCH(1,(EXCEPCIONES_FECHA!$A$2:$A$201=$A181)*(EXCEPCIONES_FECHA!$B$2:$B$201=""),0)),IFERROR(INDEX(IF($I181="FIN",HISTORIAL_HORARIOS!$L$2:$L$201,HISTORIAL_HORARIOS!$H$2:$H$201),MATCH(1,(HISTORIAL_HORARIOS!$A$2:$A$201=$B181)*(HISTORIAL_HORARIOS!$C$2:$C$201&lt;=$A181)*(HISTORIAL_HORARIOS!$D$2:$D$201&gt;=$A181),0)),INDEX(IF($I181="FIN",PERSONAL!$L$2:$L$80,PERSONAL!$H$2:$H$80),MATCH($B181,PERSONAL!$A$2:$A$80,0)))))</f>
        <v/>
      </c>
    </row>
    <row r="182" ht="15" customHeight="1" s="58">
      <c r="A182" s="37" t="n"/>
      <c r="B182" s="38" t="n"/>
      <c r="C182" s="39" t="n"/>
      <c r="D182" s="39" t="n"/>
      <c r="E182" s="34">
        <f t="array" ref="E182">IF($B182="","",IFERROR(INDEX(PERSONAL!$B$2:$B$80,MATCH($B182,PERSONAL!$A$2:$A$80,0)),"NO EXISTE"))</f>
        <v/>
      </c>
      <c r="F182" s="52">
        <f t="array" ref="F182">IF($B182="","",IFERROR(INDEX(PERSONAL!$C$2:$C$80,MATCH($B182,PERSONAL!$A$2:$A$80,0)),""))</f>
        <v/>
      </c>
      <c r="G182" s="52">
        <f>IF($A182="","",CHOOSE(WEEKDAY($A182,2),"LUNES","MARTES","MIÉRCOLES","JUEVES","VIERNES","SÁBADO","DOMINGO"))</f>
        <v/>
      </c>
      <c r="H182" s="34">
        <f>IF($A182="","",CHOOSE(MONTH($A182),"ENERO","FEBRERO","MARZO","ABRIL","MAYO","JUNIO","JULIO","AGOSTO","SEPTIEMBRE","OCTUBRE","NOVIEMBRE","DICIEMBRE"))</f>
        <v/>
      </c>
      <c r="I182" s="34">
        <f>IF($A182="","",IF(OR($G182="SÁBADO",$G182="DOMINGO"),"FIN","LV"))</f>
        <v/>
      </c>
      <c r="J182" s="34">
        <f>IF(OR($A182="",$B182=""),"",IF($L182&lt;&gt;"",UPPER($L182),IF($C182="","FALTA",IFERROR(IF($C182&gt;=$O182,"ROJO FUERTE",IF($C182&gt;=$N182,"ROJO",IF($C182&gt;=$M182,"AMARILLO","VERDE"))),"REVISAR"))))</f>
        <v/>
      </c>
      <c r="K182" s="36">
        <f>IF(OR($C182="",$D182=""),"",IF($D182&gt;=$C182,($D182-$C182)*24,(1-$C182+$D182)*24))</f>
        <v/>
      </c>
      <c r="L182" s="34" t="n"/>
      <c r="M182" s="53">
        <f t="array" ref="M182">IFERROR(INDEX(EXCEPCIONES_FECHA!$D$2:$D$201,MATCH(1,(EXCEPCIONES_FECHA!$A$2:$A$201=$A182)*(EXCEPCIONES_FECHA!$B$2:$B$201=$B182),0)),IFERROR(INDEX(EXCEPCIONES_FECHA!$D$2:$D$201,MATCH(1,(EXCEPCIONES_FECHA!$A$2:$A$201=$A182)*(EXCEPCIONES_FECHA!$B$2:$B$201=""),0)),IFERROR(INDEX(IF($I182="FIN",HISTORIAL_HORARIOS!$J$2:$J$201,HISTORIAL_HORARIOS!$F$2:$F$201),MATCH(1,(HISTORIAL_HORARIOS!$A$2:$A$201=$B182)*(HISTORIAL_HORARIOS!$C$2:$C$201&lt;=$A182)*(HISTORIAL_HORARIOS!$D$2:$D$201&gt;=$A182),0)),INDEX(IF($I182="FIN",PERSONAL!$J$2:$J$80,PERSONAL!$F$2:$F$80),MATCH($B182,PERSONAL!$A$2:$A$80,0)))))</f>
        <v/>
      </c>
      <c r="N182" s="53">
        <f t="array" ref="N182">IFERROR(INDEX(EXCEPCIONES_FECHA!$E$2:$E$201,MATCH(1,(EXCEPCIONES_FECHA!$A$2:$A$201=$A182)*(EXCEPCIONES_FECHA!$B$2:$B$201=$B182),0)),IFERROR(INDEX(EXCEPCIONES_FECHA!$E$2:$E$201,MATCH(1,(EXCEPCIONES_FECHA!$A$2:$A$201=$A182)*(EXCEPCIONES_FECHA!$B$2:$B$201=""),0)),IFERROR(INDEX(IF($I182="FIN",HISTORIAL_HORARIOS!$K$2:$K$201,HISTORIAL_HORARIOS!$G$2:$G$201),MATCH(1,(HISTORIAL_HORARIOS!$A$2:$A$201=$B182)*(HISTORIAL_HORARIOS!$C$2:$C$201&lt;=$A182)*(HISTORIAL_HORARIOS!$D$2:$D$201&gt;=$A182),0)),INDEX(IF($I182="FIN",PERSONAL!$K$2:$K$80,PERSONAL!$G$2:$G$80),MATCH($B182,PERSONAL!$A$2:$A$80,0)))))</f>
        <v/>
      </c>
      <c r="O182" s="53">
        <f t="array" ref="O182">IFERROR(INDEX(EXCEPCIONES_FECHA!$F$2:$F$201,MATCH(1,(EXCEPCIONES_FECHA!$A$2:$A$201=$A182)*(EXCEPCIONES_FECHA!$B$2:$B$201=$B182),0)),IFERROR(INDEX(EXCEPCIONES_FECHA!$F$2:$F$201,MATCH(1,(EXCEPCIONES_FECHA!$A$2:$A$201=$A182)*(EXCEPCIONES_FECHA!$B$2:$B$201=""),0)),IFERROR(INDEX(IF($I182="FIN",HISTORIAL_HORARIOS!$L$2:$L$201,HISTORIAL_HORARIOS!$H$2:$H$201),MATCH(1,(HISTORIAL_HORARIOS!$A$2:$A$201=$B182)*(HISTORIAL_HORARIOS!$C$2:$C$201&lt;=$A182)*(HISTORIAL_HORARIOS!$D$2:$D$201&gt;=$A182),0)),INDEX(IF($I182="FIN",PERSONAL!$L$2:$L$80,PERSONAL!$H$2:$H$80),MATCH($B182,PERSONAL!$A$2:$A$80,0)))))</f>
        <v/>
      </c>
    </row>
    <row r="183" ht="15" customHeight="1" s="58">
      <c r="A183" s="37" t="n"/>
      <c r="B183" s="38" t="n"/>
      <c r="C183" s="39" t="n"/>
      <c r="D183" s="39" t="n"/>
      <c r="E183" s="34">
        <f t="array" ref="E183">IF($B183="","",IFERROR(INDEX(PERSONAL!$B$2:$B$80,MATCH($B183,PERSONAL!$A$2:$A$80,0)),"NO EXISTE"))</f>
        <v/>
      </c>
      <c r="F183" s="52">
        <f t="array" ref="F183">IF($B183="","",IFERROR(INDEX(PERSONAL!$C$2:$C$80,MATCH($B183,PERSONAL!$A$2:$A$80,0)),""))</f>
        <v/>
      </c>
      <c r="G183" s="52">
        <f>IF($A183="","",CHOOSE(WEEKDAY($A183,2),"LUNES","MARTES","MIÉRCOLES","JUEVES","VIERNES","SÁBADO","DOMINGO"))</f>
        <v/>
      </c>
      <c r="H183" s="34">
        <f>IF($A183="","",CHOOSE(MONTH($A183),"ENERO","FEBRERO","MARZO","ABRIL","MAYO","JUNIO","JULIO","AGOSTO","SEPTIEMBRE","OCTUBRE","NOVIEMBRE","DICIEMBRE"))</f>
        <v/>
      </c>
      <c r="I183" s="34">
        <f>IF($A183="","",IF(OR($G183="SÁBADO",$G183="DOMINGO"),"FIN","LV"))</f>
        <v/>
      </c>
      <c r="J183" s="34">
        <f>IF(OR($A183="",$B183=""),"",IF($L183&lt;&gt;"",UPPER($L183),IF($C183="","FALTA",IFERROR(IF($C183&gt;=$O183,"ROJO FUERTE",IF($C183&gt;=$N183,"ROJO",IF($C183&gt;=$M183,"AMARILLO","VERDE"))),"REVISAR"))))</f>
        <v/>
      </c>
      <c r="K183" s="36">
        <f>IF(OR($C183="",$D183=""),"",IF($D183&gt;=$C183,($D183-$C183)*24,(1-$C183+$D183)*24))</f>
        <v/>
      </c>
      <c r="L183" s="34" t="n"/>
      <c r="M183" s="53">
        <f t="array" ref="M183">IFERROR(INDEX(EXCEPCIONES_FECHA!$D$2:$D$201,MATCH(1,(EXCEPCIONES_FECHA!$A$2:$A$201=$A183)*(EXCEPCIONES_FECHA!$B$2:$B$201=$B183),0)),IFERROR(INDEX(EXCEPCIONES_FECHA!$D$2:$D$201,MATCH(1,(EXCEPCIONES_FECHA!$A$2:$A$201=$A183)*(EXCEPCIONES_FECHA!$B$2:$B$201=""),0)),IFERROR(INDEX(IF($I183="FIN",HISTORIAL_HORARIOS!$J$2:$J$201,HISTORIAL_HORARIOS!$F$2:$F$201),MATCH(1,(HISTORIAL_HORARIOS!$A$2:$A$201=$B183)*(HISTORIAL_HORARIOS!$C$2:$C$201&lt;=$A183)*(HISTORIAL_HORARIOS!$D$2:$D$201&gt;=$A183),0)),INDEX(IF($I183="FIN",PERSONAL!$J$2:$J$80,PERSONAL!$F$2:$F$80),MATCH($B183,PERSONAL!$A$2:$A$80,0)))))</f>
        <v/>
      </c>
      <c r="N183" s="53">
        <f t="array" ref="N183">IFERROR(INDEX(EXCEPCIONES_FECHA!$E$2:$E$201,MATCH(1,(EXCEPCIONES_FECHA!$A$2:$A$201=$A183)*(EXCEPCIONES_FECHA!$B$2:$B$201=$B183),0)),IFERROR(INDEX(EXCEPCIONES_FECHA!$E$2:$E$201,MATCH(1,(EXCEPCIONES_FECHA!$A$2:$A$201=$A183)*(EXCEPCIONES_FECHA!$B$2:$B$201=""),0)),IFERROR(INDEX(IF($I183="FIN",HISTORIAL_HORARIOS!$K$2:$K$201,HISTORIAL_HORARIOS!$G$2:$G$201),MATCH(1,(HISTORIAL_HORARIOS!$A$2:$A$201=$B183)*(HISTORIAL_HORARIOS!$C$2:$C$201&lt;=$A183)*(HISTORIAL_HORARIOS!$D$2:$D$201&gt;=$A183),0)),INDEX(IF($I183="FIN",PERSONAL!$K$2:$K$80,PERSONAL!$G$2:$G$80),MATCH($B183,PERSONAL!$A$2:$A$80,0)))))</f>
        <v/>
      </c>
      <c r="O183" s="53">
        <f t="array" ref="O183">IFERROR(INDEX(EXCEPCIONES_FECHA!$F$2:$F$201,MATCH(1,(EXCEPCIONES_FECHA!$A$2:$A$201=$A183)*(EXCEPCIONES_FECHA!$B$2:$B$201=$B183),0)),IFERROR(INDEX(EXCEPCIONES_FECHA!$F$2:$F$201,MATCH(1,(EXCEPCIONES_FECHA!$A$2:$A$201=$A183)*(EXCEPCIONES_FECHA!$B$2:$B$201=""),0)),IFERROR(INDEX(IF($I183="FIN",HISTORIAL_HORARIOS!$L$2:$L$201,HISTORIAL_HORARIOS!$H$2:$H$201),MATCH(1,(HISTORIAL_HORARIOS!$A$2:$A$201=$B183)*(HISTORIAL_HORARIOS!$C$2:$C$201&lt;=$A183)*(HISTORIAL_HORARIOS!$D$2:$D$201&gt;=$A183),0)),INDEX(IF($I183="FIN",PERSONAL!$L$2:$L$80,PERSONAL!$H$2:$H$80),MATCH($B183,PERSONAL!$A$2:$A$80,0)))))</f>
        <v/>
      </c>
    </row>
    <row r="184" ht="15" customHeight="1" s="58">
      <c r="A184" s="37" t="n"/>
      <c r="B184" s="38" t="n"/>
      <c r="C184" s="39" t="n"/>
      <c r="D184" s="39" t="n"/>
      <c r="E184" s="34">
        <f t="array" ref="E184">IF($B184="","",IFERROR(INDEX(PERSONAL!$B$2:$B$80,MATCH($B184,PERSONAL!$A$2:$A$80,0)),"NO EXISTE"))</f>
        <v/>
      </c>
      <c r="F184" s="52">
        <f t="array" ref="F184">IF($B184="","",IFERROR(INDEX(PERSONAL!$C$2:$C$80,MATCH($B184,PERSONAL!$A$2:$A$80,0)),""))</f>
        <v/>
      </c>
      <c r="G184" s="52">
        <f>IF($A184="","",CHOOSE(WEEKDAY($A184,2),"LUNES","MARTES","MIÉRCOLES","JUEVES","VIERNES","SÁBADO","DOMINGO"))</f>
        <v/>
      </c>
      <c r="H184" s="34">
        <f>IF($A184="","",CHOOSE(MONTH($A184),"ENERO","FEBRERO","MARZO","ABRIL","MAYO","JUNIO","JULIO","AGOSTO","SEPTIEMBRE","OCTUBRE","NOVIEMBRE","DICIEMBRE"))</f>
        <v/>
      </c>
      <c r="I184" s="34">
        <f>IF($A184="","",IF(OR($G184="SÁBADO",$G184="DOMINGO"),"FIN","LV"))</f>
        <v/>
      </c>
      <c r="J184" s="34">
        <f>IF(OR($A184="",$B184=""),"",IF($L184&lt;&gt;"",UPPER($L184),IF($C184="","FALTA",IFERROR(IF($C184&gt;=$O184,"ROJO FUERTE",IF($C184&gt;=$N184,"ROJO",IF($C184&gt;=$M184,"AMARILLO","VERDE"))),"REVISAR"))))</f>
        <v/>
      </c>
      <c r="K184" s="36">
        <f>IF(OR($C184="",$D184=""),"",IF($D184&gt;=$C184,($D184-$C184)*24,(1-$C184+$D184)*24))</f>
        <v/>
      </c>
      <c r="L184" s="34" t="n"/>
      <c r="M184" s="53">
        <f t="array" ref="M184">IFERROR(INDEX(EXCEPCIONES_FECHA!$D$2:$D$201,MATCH(1,(EXCEPCIONES_FECHA!$A$2:$A$201=$A184)*(EXCEPCIONES_FECHA!$B$2:$B$201=$B184),0)),IFERROR(INDEX(EXCEPCIONES_FECHA!$D$2:$D$201,MATCH(1,(EXCEPCIONES_FECHA!$A$2:$A$201=$A184)*(EXCEPCIONES_FECHA!$B$2:$B$201=""),0)),IFERROR(INDEX(IF($I184="FIN",HISTORIAL_HORARIOS!$J$2:$J$201,HISTORIAL_HORARIOS!$F$2:$F$201),MATCH(1,(HISTORIAL_HORARIOS!$A$2:$A$201=$B184)*(HISTORIAL_HORARIOS!$C$2:$C$201&lt;=$A184)*(HISTORIAL_HORARIOS!$D$2:$D$201&gt;=$A184),0)),INDEX(IF($I184="FIN",PERSONAL!$J$2:$J$80,PERSONAL!$F$2:$F$80),MATCH($B184,PERSONAL!$A$2:$A$80,0)))))</f>
        <v/>
      </c>
      <c r="N184" s="53">
        <f t="array" ref="N184">IFERROR(INDEX(EXCEPCIONES_FECHA!$E$2:$E$201,MATCH(1,(EXCEPCIONES_FECHA!$A$2:$A$201=$A184)*(EXCEPCIONES_FECHA!$B$2:$B$201=$B184),0)),IFERROR(INDEX(EXCEPCIONES_FECHA!$E$2:$E$201,MATCH(1,(EXCEPCIONES_FECHA!$A$2:$A$201=$A184)*(EXCEPCIONES_FECHA!$B$2:$B$201=""),0)),IFERROR(INDEX(IF($I184="FIN",HISTORIAL_HORARIOS!$K$2:$K$201,HISTORIAL_HORARIOS!$G$2:$G$201),MATCH(1,(HISTORIAL_HORARIOS!$A$2:$A$201=$B184)*(HISTORIAL_HORARIOS!$C$2:$C$201&lt;=$A184)*(HISTORIAL_HORARIOS!$D$2:$D$201&gt;=$A184),0)),INDEX(IF($I184="FIN",PERSONAL!$K$2:$K$80,PERSONAL!$G$2:$G$80),MATCH($B184,PERSONAL!$A$2:$A$80,0)))))</f>
        <v/>
      </c>
      <c r="O184" s="53">
        <f t="array" ref="O184">IFERROR(INDEX(EXCEPCIONES_FECHA!$F$2:$F$201,MATCH(1,(EXCEPCIONES_FECHA!$A$2:$A$201=$A184)*(EXCEPCIONES_FECHA!$B$2:$B$201=$B184),0)),IFERROR(INDEX(EXCEPCIONES_FECHA!$F$2:$F$201,MATCH(1,(EXCEPCIONES_FECHA!$A$2:$A$201=$A184)*(EXCEPCIONES_FECHA!$B$2:$B$201=""),0)),IFERROR(INDEX(IF($I184="FIN",HISTORIAL_HORARIOS!$L$2:$L$201,HISTORIAL_HORARIOS!$H$2:$H$201),MATCH(1,(HISTORIAL_HORARIOS!$A$2:$A$201=$B184)*(HISTORIAL_HORARIOS!$C$2:$C$201&lt;=$A184)*(HISTORIAL_HORARIOS!$D$2:$D$201&gt;=$A184),0)),INDEX(IF($I184="FIN",PERSONAL!$L$2:$L$80,PERSONAL!$H$2:$H$80),MATCH($B184,PERSONAL!$A$2:$A$80,0)))))</f>
        <v/>
      </c>
    </row>
    <row r="185" ht="15" customHeight="1" s="58">
      <c r="A185" s="37" t="n"/>
      <c r="B185" s="38" t="n"/>
      <c r="C185" s="39" t="n"/>
      <c r="D185" s="39" t="n"/>
      <c r="E185" s="34">
        <f t="array" ref="E185">IF($B185="","",IFERROR(INDEX(PERSONAL!$B$2:$B$80,MATCH($B185,PERSONAL!$A$2:$A$80,0)),"NO EXISTE"))</f>
        <v/>
      </c>
      <c r="F185" s="52">
        <f t="array" ref="F185">IF($B185="","",IFERROR(INDEX(PERSONAL!$C$2:$C$80,MATCH($B185,PERSONAL!$A$2:$A$80,0)),""))</f>
        <v/>
      </c>
      <c r="G185" s="52">
        <f>IF($A185="","",CHOOSE(WEEKDAY($A185,2),"LUNES","MARTES","MIÉRCOLES","JUEVES","VIERNES","SÁBADO","DOMINGO"))</f>
        <v/>
      </c>
      <c r="H185" s="34">
        <f>IF($A185="","",CHOOSE(MONTH($A185),"ENERO","FEBRERO","MARZO","ABRIL","MAYO","JUNIO","JULIO","AGOSTO","SEPTIEMBRE","OCTUBRE","NOVIEMBRE","DICIEMBRE"))</f>
        <v/>
      </c>
      <c r="I185" s="34">
        <f>IF($A185="","",IF(OR($G185="SÁBADO",$G185="DOMINGO"),"FIN","LV"))</f>
        <v/>
      </c>
      <c r="J185" s="34">
        <f>IF(OR($A185="",$B185=""),"",IF($L185&lt;&gt;"",UPPER($L185),IF($C185="","FALTA",IFERROR(IF($C185&gt;=$O185,"ROJO FUERTE",IF($C185&gt;=$N185,"ROJO",IF($C185&gt;=$M185,"AMARILLO","VERDE"))),"REVISAR"))))</f>
        <v/>
      </c>
      <c r="K185" s="36">
        <f>IF(OR($C185="",$D185=""),"",IF($D185&gt;=$C185,($D185-$C185)*24,(1-$C185+$D185)*24))</f>
        <v/>
      </c>
      <c r="L185" s="34" t="n"/>
      <c r="M185" s="53">
        <f t="array" ref="M185">IFERROR(INDEX(EXCEPCIONES_FECHA!$D$2:$D$201,MATCH(1,(EXCEPCIONES_FECHA!$A$2:$A$201=$A185)*(EXCEPCIONES_FECHA!$B$2:$B$201=$B185),0)),IFERROR(INDEX(EXCEPCIONES_FECHA!$D$2:$D$201,MATCH(1,(EXCEPCIONES_FECHA!$A$2:$A$201=$A185)*(EXCEPCIONES_FECHA!$B$2:$B$201=""),0)),IFERROR(INDEX(IF($I185="FIN",HISTORIAL_HORARIOS!$J$2:$J$201,HISTORIAL_HORARIOS!$F$2:$F$201),MATCH(1,(HISTORIAL_HORARIOS!$A$2:$A$201=$B185)*(HISTORIAL_HORARIOS!$C$2:$C$201&lt;=$A185)*(HISTORIAL_HORARIOS!$D$2:$D$201&gt;=$A185),0)),INDEX(IF($I185="FIN",PERSONAL!$J$2:$J$80,PERSONAL!$F$2:$F$80),MATCH($B185,PERSONAL!$A$2:$A$80,0)))))</f>
        <v/>
      </c>
      <c r="N185" s="53">
        <f t="array" ref="N185">IFERROR(INDEX(EXCEPCIONES_FECHA!$E$2:$E$201,MATCH(1,(EXCEPCIONES_FECHA!$A$2:$A$201=$A185)*(EXCEPCIONES_FECHA!$B$2:$B$201=$B185),0)),IFERROR(INDEX(EXCEPCIONES_FECHA!$E$2:$E$201,MATCH(1,(EXCEPCIONES_FECHA!$A$2:$A$201=$A185)*(EXCEPCIONES_FECHA!$B$2:$B$201=""),0)),IFERROR(INDEX(IF($I185="FIN",HISTORIAL_HORARIOS!$K$2:$K$201,HISTORIAL_HORARIOS!$G$2:$G$201),MATCH(1,(HISTORIAL_HORARIOS!$A$2:$A$201=$B185)*(HISTORIAL_HORARIOS!$C$2:$C$201&lt;=$A185)*(HISTORIAL_HORARIOS!$D$2:$D$201&gt;=$A185),0)),INDEX(IF($I185="FIN",PERSONAL!$K$2:$K$80,PERSONAL!$G$2:$G$80),MATCH($B185,PERSONAL!$A$2:$A$80,0)))))</f>
        <v/>
      </c>
      <c r="O185" s="53">
        <f t="array" ref="O185">IFERROR(INDEX(EXCEPCIONES_FECHA!$F$2:$F$201,MATCH(1,(EXCEPCIONES_FECHA!$A$2:$A$201=$A185)*(EXCEPCIONES_FECHA!$B$2:$B$201=$B185),0)),IFERROR(INDEX(EXCEPCIONES_FECHA!$F$2:$F$201,MATCH(1,(EXCEPCIONES_FECHA!$A$2:$A$201=$A185)*(EXCEPCIONES_FECHA!$B$2:$B$201=""),0)),IFERROR(INDEX(IF($I185="FIN",HISTORIAL_HORARIOS!$L$2:$L$201,HISTORIAL_HORARIOS!$H$2:$H$201),MATCH(1,(HISTORIAL_HORARIOS!$A$2:$A$201=$B185)*(HISTORIAL_HORARIOS!$C$2:$C$201&lt;=$A185)*(HISTORIAL_HORARIOS!$D$2:$D$201&gt;=$A185),0)),INDEX(IF($I185="FIN",PERSONAL!$L$2:$L$80,PERSONAL!$H$2:$H$80),MATCH($B185,PERSONAL!$A$2:$A$80,0)))))</f>
        <v/>
      </c>
    </row>
    <row r="186" ht="15" customHeight="1" s="58">
      <c r="A186" s="37" t="n"/>
      <c r="B186" s="38" t="n"/>
      <c r="C186" s="39" t="n"/>
      <c r="D186" s="39" t="n"/>
      <c r="E186" s="34">
        <f t="array" ref="E186">IF($B186="","",IFERROR(INDEX(PERSONAL!$B$2:$B$80,MATCH($B186,PERSONAL!$A$2:$A$80,0)),"NO EXISTE"))</f>
        <v/>
      </c>
      <c r="F186" s="52">
        <f t="array" ref="F186">IF($B186="","",IFERROR(INDEX(PERSONAL!$C$2:$C$80,MATCH($B186,PERSONAL!$A$2:$A$80,0)),""))</f>
        <v/>
      </c>
      <c r="G186" s="52">
        <f>IF($A186="","",CHOOSE(WEEKDAY($A186,2),"LUNES","MARTES","MIÉRCOLES","JUEVES","VIERNES","SÁBADO","DOMINGO"))</f>
        <v/>
      </c>
      <c r="H186" s="34">
        <f>IF($A186="","",CHOOSE(MONTH($A186),"ENERO","FEBRERO","MARZO","ABRIL","MAYO","JUNIO","JULIO","AGOSTO","SEPTIEMBRE","OCTUBRE","NOVIEMBRE","DICIEMBRE"))</f>
        <v/>
      </c>
      <c r="I186" s="34">
        <f>IF($A186="","",IF(OR($G186="SÁBADO",$G186="DOMINGO"),"FIN","LV"))</f>
        <v/>
      </c>
      <c r="J186" s="34">
        <f>IF(OR($A186="",$B186=""),"",IF($L186&lt;&gt;"",UPPER($L186),IF($C186="","FALTA",IFERROR(IF($C186&gt;=$O186,"ROJO FUERTE",IF($C186&gt;=$N186,"ROJO",IF($C186&gt;=$M186,"AMARILLO","VERDE"))),"REVISAR"))))</f>
        <v/>
      </c>
      <c r="K186" s="36">
        <f>IF(OR($C186="",$D186=""),"",IF($D186&gt;=$C186,($D186-$C186)*24,(1-$C186+$D186)*24))</f>
        <v/>
      </c>
      <c r="L186" s="34" t="n"/>
      <c r="M186" s="53">
        <f t="array" ref="M186">IFERROR(INDEX(EXCEPCIONES_FECHA!$D$2:$D$201,MATCH(1,(EXCEPCIONES_FECHA!$A$2:$A$201=$A186)*(EXCEPCIONES_FECHA!$B$2:$B$201=$B186),0)),IFERROR(INDEX(EXCEPCIONES_FECHA!$D$2:$D$201,MATCH(1,(EXCEPCIONES_FECHA!$A$2:$A$201=$A186)*(EXCEPCIONES_FECHA!$B$2:$B$201=""),0)),IFERROR(INDEX(IF($I186="FIN",HISTORIAL_HORARIOS!$J$2:$J$201,HISTORIAL_HORARIOS!$F$2:$F$201),MATCH(1,(HISTORIAL_HORARIOS!$A$2:$A$201=$B186)*(HISTORIAL_HORARIOS!$C$2:$C$201&lt;=$A186)*(HISTORIAL_HORARIOS!$D$2:$D$201&gt;=$A186),0)),INDEX(IF($I186="FIN",PERSONAL!$J$2:$J$80,PERSONAL!$F$2:$F$80),MATCH($B186,PERSONAL!$A$2:$A$80,0)))))</f>
        <v/>
      </c>
      <c r="N186" s="53">
        <f t="array" ref="N186">IFERROR(INDEX(EXCEPCIONES_FECHA!$E$2:$E$201,MATCH(1,(EXCEPCIONES_FECHA!$A$2:$A$201=$A186)*(EXCEPCIONES_FECHA!$B$2:$B$201=$B186),0)),IFERROR(INDEX(EXCEPCIONES_FECHA!$E$2:$E$201,MATCH(1,(EXCEPCIONES_FECHA!$A$2:$A$201=$A186)*(EXCEPCIONES_FECHA!$B$2:$B$201=""),0)),IFERROR(INDEX(IF($I186="FIN",HISTORIAL_HORARIOS!$K$2:$K$201,HISTORIAL_HORARIOS!$G$2:$G$201),MATCH(1,(HISTORIAL_HORARIOS!$A$2:$A$201=$B186)*(HISTORIAL_HORARIOS!$C$2:$C$201&lt;=$A186)*(HISTORIAL_HORARIOS!$D$2:$D$201&gt;=$A186),0)),INDEX(IF($I186="FIN",PERSONAL!$K$2:$K$80,PERSONAL!$G$2:$G$80),MATCH($B186,PERSONAL!$A$2:$A$80,0)))))</f>
        <v/>
      </c>
      <c r="O186" s="53">
        <f t="array" ref="O186">IFERROR(INDEX(EXCEPCIONES_FECHA!$F$2:$F$201,MATCH(1,(EXCEPCIONES_FECHA!$A$2:$A$201=$A186)*(EXCEPCIONES_FECHA!$B$2:$B$201=$B186),0)),IFERROR(INDEX(EXCEPCIONES_FECHA!$F$2:$F$201,MATCH(1,(EXCEPCIONES_FECHA!$A$2:$A$201=$A186)*(EXCEPCIONES_FECHA!$B$2:$B$201=""),0)),IFERROR(INDEX(IF($I186="FIN",HISTORIAL_HORARIOS!$L$2:$L$201,HISTORIAL_HORARIOS!$H$2:$H$201),MATCH(1,(HISTORIAL_HORARIOS!$A$2:$A$201=$B186)*(HISTORIAL_HORARIOS!$C$2:$C$201&lt;=$A186)*(HISTORIAL_HORARIOS!$D$2:$D$201&gt;=$A186),0)),INDEX(IF($I186="FIN",PERSONAL!$L$2:$L$80,PERSONAL!$H$2:$H$80),MATCH($B186,PERSONAL!$A$2:$A$80,0)))))</f>
        <v/>
      </c>
    </row>
    <row r="187" ht="15" customHeight="1" s="58">
      <c r="A187" s="37" t="n"/>
      <c r="B187" s="38" t="n"/>
      <c r="C187" s="39" t="n"/>
      <c r="D187" s="39" t="n"/>
      <c r="E187" s="34">
        <f t="array" ref="E187">IF($B187="","",IFERROR(INDEX(PERSONAL!$B$2:$B$80,MATCH($B187,PERSONAL!$A$2:$A$80,0)),"NO EXISTE"))</f>
        <v/>
      </c>
      <c r="F187" s="52">
        <f t="array" ref="F187">IF($B187="","",IFERROR(INDEX(PERSONAL!$C$2:$C$80,MATCH($B187,PERSONAL!$A$2:$A$80,0)),""))</f>
        <v/>
      </c>
      <c r="G187" s="52">
        <f>IF($A187="","",CHOOSE(WEEKDAY($A187,2),"LUNES","MARTES","MIÉRCOLES","JUEVES","VIERNES","SÁBADO","DOMINGO"))</f>
        <v/>
      </c>
      <c r="H187" s="34">
        <f>IF($A187="","",CHOOSE(MONTH($A187),"ENERO","FEBRERO","MARZO","ABRIL","MAYO","JUNIO","JULIO","AGOSTO","SEPTIEMBRE","OCTUBRE","NOVIEMBRE","DICIEMBRE"))</f>
        <v/>
      </c>
      <c r="I187" s="34">
        <f>IF($A187="","",IF(OR($G187="SÁBADO",$G187="DOMINGO"),"FIN","LV"))</f>
        <v/>
      </c>
      <c r="J187" s="34">
        <f>IF(OR($A187="",$B187=""),"",IF($L187&lt;&gt;"",UPPER($L187),IF($C187="","FALTA",IFERROR(IF($C187&gt;=$O187,"ROJO FUERTE",IF($C187&gt;=$N187,"ROJO",IF($C187&gt;=$M187,"AMARILLO","VERDE"))),"REVISAR"))))</f>
        <v/>
      </c>
      <c r="K187" s="36">
        <f>IF(OR($C187="",$D187=""),"",IF($D187&gt;=$C187,($D187-$C187)*24,(1-$C187+$D187)*24))</f>
        <v/>
      </c>
      <c r="L187" s="34" t="n"/>
      <c r="M187" s="53">
        <f t="array" ref="M187">IFERROR(INDEX(EXCEPCIONES_FECHA!$D$2:$D$201,MATCH(1,(EXCEPCIONES_FECHA!$A$2:$A$201=$A187)*(EXCEPCIONES_FECHA!$B$2:$B$201=$B187),0)),IFERROR(INDEX(EXCEPCIONES_FECHA!$D$2:$D$201,MATCH(1,(EXCEPCIONES_FECHA!$A$2:$A$201=$A187)*(EXCEPCIONES_FECHA!$B$2:$B$201=""),0)),IFERROR(INDEX(IF($I187="FIN",HISTORIAL_HORARIOS!$J$2:$J$201,HISTORIAL_HORARIOS!$F$2:$F$201),MATCH(1,(HISTORIAL_HORARIOS!$A$2:$A$201=$B187)*(HISTORIAL_HORARIOS!$C$2:$C$201&lt;=$A187)*(HISTORIAL_HORARIOS!$D$2:$D$201&gt;=$A187),0)),INDEX(IF($I187="FIN",PERSONAL!$J$2:$J$80,PERSONAL!$F$2:$F$80),MATCH($B187,PERSONAL!$A$2:$A$80,0)))))</f>
        <v/>
      </c>
      <c r="N187" s="53">
        <f t="array" ref="N187">IFERROR(INDEX(EXCEPCIONES_FECHA!$E$2:$E$201,MATCH(1,(EXCEPCIONES_FECHA!$A$2:$A$201=$A187)*(EXCEPCIONES_FECHA!$B$2:$B$201=$B187),0)),IFERROR(INDEX(EXCEPCIONES_FECHA!$E$2:$E$201,MATCH(1,(EXCEPCIONES_FECHA!$A$2:$A$201=$A187)*(EXCEPCIONES_FECHA!$B$2:$B$201=""),0)),IFERROR(INDEX(IF($I187="FIN",HISTORIAL_HORARIOS!$K$2:$K$201,HISTORIAL_HORARIOS!$G$2:$G$201),MATCH(1,(HISTORIAL_HORARIOS!$A$2:$A$201=$B187)*(HISTORIAL_HORARIOS!$C$2:$C$201&lt;=$A187)*(HISTORIAL_HORARIOS!$D$2:$D$201&gt;=$A187),0)),INDEX(IF($I187="FIN",PERSONAL!$K$2:$K$80,PERSONAL!$G$2:$G$80),MATCH($B187,PERSONAL!$A$2:$A$80,0)))))</f>
        <v/>
      </c>
      <c r="O187" s="53">
        <f t="array" ref="O187">IFERROR(INDEX(EXCEPCIONES_FECHA!$F$2:$F$201,MATCH(1,(EXCEPCIONES_FECHA!$A$2:$A$201=$A187)*(EXCEPCIONES_FECHA!$B$2:$B$201=$B187),0)),IFERROR(INDEX(EXCEPCIONES_FECHA!$F$2:$F$201,MATCH(1,(EXCEPCIONES_FECHA!$A$2:$A$201=$A187)*(EXCEPCIONES_FECHA!$B$2:$B$201=""),0)),IFERROR(INDEX(IF($I187="FIN",HISTORIAL_HORARIOS!$L$2:$L$201,HISTORIAL_HORARIOS!$H$2:$H$201),MATCH(1,(HISTORIAL_HORARIOS!$A$2:$A$201=$B187)*(HISTORIAL_HORARIOS!$C$2:$C$201&lt;=$A187)*(HISTORIAL_HORARIOS!$D$2:$D$201&gt;=$A187),0)),INDEX(IF($I187="FIN",PERSONAL!$L$2:$L$80,PERSONAL!$H$2:$H$80),MATCH($B187,PERSONAL!$A$2:$A$80,0)))))</f>
        <v/>
      </c>
    </row>
    <row r="188" ht="15" customHeight="1" s="58">
      <c r="A188" s="37" t="n"/>
      <c r="B188" s="38" t="n"/>
      <c r="C188" s="39" t="n"/>
      <c r="D188" s="39" t="n"/>
      <c r="E188" s="34">
        <f t="array" ref="E188">IF($B188="","",IFERROR(INDEX(PERSONAL!$B$2:$B$80,MATCH($B188,PERSONAL!$A$2:$A$80,0)),"NO EXISTE"))</f>
        <v/>
      </c>
      <c r="F188" s="52">
        <f t="array" ref="F188">IF($B188="","",IFERROR(INDEX(PERSONAL!$C$2:$C$80,MATCH($B188,PERSONAL!$A$2:$A$80,0)),""))</f>
        <v/>
      </c>
      <c r="G188" s="52">
        <f>IF($A188="","",CHOOSE(WEEKDAY($A188,2),"LUNES","MARTES","MIÉRCOLES","JUEVES","VIERNES","SÁBADO","DOMINGO"))</f>
        <v/>
      </c>
      <c r="H188" s="34">
        <f>IF($A188="","",CHOOSE(MONTH($A188),"ENERO","FEBRERO","MARZO","ABRIL","MAYO","JUNIO","JULIO","AGOSTO","SEPTIEMBRE","OCTUBRE","NOVIEMBRE","DICIEMBRE"))</f>
        <v/>
      </c>
      <c r="I188" s="34">
        <f>IF($A188="","",IF(OR($G188="SÁBADO",$G188="DOMINGO"),"FIN","LV"))</f>
        <v/>
      </c>
      <c r="J188" s="34">
        <f>IF(OR($A188="",$B188=""),"",IF($L188&lt;&gt;"",UPPER($L188),IF($C188="","FALTA",IFERROR(IF($C188&gt;=$O188,"ROJO FUERTE",IF($C188&gt;=$N188,"ROJO",IF($C188&gt;=$M188,"AMARILLO","VERDE"))),"REVISAR"))))</f>
        <v/>
      </c>
      <c r="K188" s="36">
        <f>IF(OR($C188="",$D188=""),"",IF($D188&gt;=$C188,($D188-$C188)*24,(1-$C188+$D188)*24))</f>
        <v/>
      </c>
      <c r="L188" s="34" t="n"/>
      <c r="M188" s="53">
        <f t="array" ref="M188">IFERROR(INDEX(EXCEPCIONES_FECHA!$D$2:$D$201,MATCH(1,(EXCEPCIONES_FECHA!$A$2:$A$201=$A188)*(EXCEPCIONES_FECHA!$B$2:$B$201=$B188),0)),IFERROR(INDEX(EXCEPCIONES_FECHA!$D$2:$D$201,MATCH(1,(EXCEPCIONES_FECHA!$A$2:$A$201=$A188)*(EXCEPCIONES_FECHA!$B$2:$B$201=""),0)),IFERROR(INDEX(IF($I188="FIN",HISTORIAL_HORARIOS!$J$2:$J$201,HISTORIAL_HORARIOS!$F$2:$F$201),MATCH(1,(HISTORIAL_HORARIOS!$A$2:$A$201=$B188)*(HISTORIAL_HORARIOS!$C$2:$C$201&lt;=$A188)*(HISTORIAL_HORARIOS!$D$2:$D$201&gt;=$A188),0)),INDEX(IF($I188="FIN",PERSONAL!$J$2:$J$80,PERSONAL!$F$2:$F$80),MATCH($B188,PERSONAL!$A$2:$A$80,0)))))</f>
        <v/>
      </c>
      <c r="N188" s="53">
        <f t="array" ref="N188">IFERROR(INDEX(EXCEPCIONES_FECHA!$E$2:$E$201,MATCH(1,(EXCEPCIONES_FECHA!$A$2:$A$201=$A188)*(EXCEPCIONES_FECHA!$B$2:$B$201=$B188),0)),IFERROR(INDEX(EXCEPCIONES_FECHA!$E$2:$E$201,MATCH(1,(EXCEPCIONES_FECHA!$A$2:$A$201=$A188)*(EXCEPCIONES_FECHA!$B$2:$B$201=""),0)),IFERROR(INDEX(IF($I188="FIN",HISTORIAL_HORARIOS!$K$2:$K$201,HISTORIAL_HORARIOS!$G$2:$G$201),MATCH(1,(HISTORIAL_HORARIOS!$A$2:$A$201=$B188)*(HISTORIAL_HORARIOS!$C$2:$C$201&lt;=$A188)*(HISTORIAL_HORARIOS!$D$2:$D$201&gt;=$A188),0)),INDEX(IF($I188="FIN",PERSONAL!$K$2:$K$80,PERSONAL!$G$2:$G$80),MATCH($B188,PERSONAL!$A$2:$A$80,0)))))</f>
        <v/>
      </c>
      <c r="O188" s="53">
        <f t="array" ref="O188">IFERROR(INDEX(EXCEPCIONES_FECHA!$F$2:$F$201,MATCH(1,(EXCEPCIONES_FECHA!$A$2:$A$201=$A188)*(EXCEPCIONES_FECHA!$B$2:$B$201=$B188),0)),IFERROR(INDEX(EXCEPCIONES_FECHA!$F$2:$F$201,MATCH(1,(EXCEPCIONES_FECHA!$A$2:$A$201=$A188)*(EXCEPCIONES_FECHA!$B$2:$B$201=""),0)),IFERROR(INDEX(IF($I188="FIN",HISTORIAL_HORARIOS!$L$2:$L$201,HISTORIAL_HORARIOS!$H$2:$H$201),MATCH(1,(HISTORIAL_HORARIOS!$A$2:$A$201=$B188)*(HISTORIAL_HORARIOS!$C$2:$C$201&lt;=$A188)*(HISTORIAL_HORARIOS!$D$2:$D$201&gt;=$A188),0)),INDEX(IF($I188="FIN",PERSONAL!$L$2:$L$80,PERSONAL!$H$2:$H$80),MATCH($B188,PERSONAL!$A$2:$A$80,0)))))</f>
        <v/>
      </c>
    </row>
    <row r="189" ht="15" customHeight="1" s="58">
      <c r="A189" s="37" t="n"/>
      <c r="B189" s="38" t="n"/>
      <c r="C189" s="39" t="n"/>
      <c r="D189" s="39" t="n"/>
      <c r="E189" s="34">
        <f t="array" ref="E189">IF($B189="","",IFERROR(INDEX(PERSONAL!$B$2:$B$80,MATCH($B189,PERSONAL!$A$2:$A$80,0)),"NO EXISTE"))</f>
        <v/>
      </c>
      <c r="F189" s="52">
        <f t="array" ref="F189">IF($B189="","",IFERROR(INDEX(PERSONAL!$C$2:$C$80,MATCH($B189,PERSONAL!$A$2:$A$80,0)),""))</f>
        <v/>
      </c>
      <c r="G189" s="52">
        <f>IF($A189="","",CHOOSE(WEEKDAY($A189,2),"LUNES","MARTES","MIÉRCOLES","JUEVES","VIERNES","SÁBADO","DOMINGO"))</f>
        <v/>
      </c>
      <c r="H189" s="34">
        <f>IF($A189="","",CHOOSE(MONTH($A189),"ENERO","FEBRERO","MARZO","ABRIL","MAYO","JUNIO","JULIO","AGOSTO","SEPTIEMBRE","OCTUBRE","NOVIEMBRE","DICIEMBRE"))</f>
        <v/>
      </c>
      <c r="I189" s="34">
        <f>IF($A189="","",IF(OR($G189="SÁBADO",$G189="DOMINGO"),"FIN","LV"))</f>
        <v/>
      </c>
      <c r="J189" s="34">
        <f>IF(OR($A189="",$B189=""),"",IF($L189&lt;&gt;"",UPPER($L189),IF($C189="","FALTA",IFERROR(IF($C189&gt;=$O189,"ROJO FUERTE",IF($C189&gt;=$N189,"ROJO",IF($C189&gt;=$M189,"AMARILLO","VERDE"))),"REVISAR"))))</f>
        <v/>
      </c>
      <c r="K189" s="36">
        <f>IF(OR($C189="",$D189=""),"",IF($D189&gt;=$C189,($D189-$C189)*24,(1-$C189+$D189)*24))</f>
        <v/>
      </c>
      <c r="L189" s="34" t="n"/>
      <c r="M189" s="53">
        <f t="array" ref="M189">IFERROR(INDEX(EXCEPCIONES_FECHA!$D$2:$D$201,MATCH(1,(EXCEPCIONES_FECHA!$A$2:$A$201=$A189)*(EXCEPCIONES_FECHA!$B$2:$B$201=$B189),0)),IFERROR(INDEX(EXCEPCIONES_FECHA!$D$2:$D$201,MATCH(1,(EXCEPCIONES_FECHA!$A$2:$A$201=$A189)*(EXCEPCIONES_FECHA!$B$2:$B$201=""),0)),IFERROR(INDEX(IF($I189="FIN",HISTORIAL_HORARIOS!$J$2:$J$201,HISTORIAL_HORARIOS!$F$2:$F$201),MATCH(1,(HISTORIAL_HORARIOS!$A$2:$A$201=$B189)*(HISTORIAL_HORARIOS!$C$2:$C$201&lt;=$A189)*(HISTORIAL_HORARIOS!$D$2:$D$201&gt;=$A189),0)),INDEX(IF($I189="FIN",PERSONAL!$J$2:$J$80,PERSONAL!$F$2:$F$80),MATCH($B189,PERSONAL!$A$2:$A$80,0)))))</f>
        <v/>
      </c>
      <c r="N189" s="53">
        <f t="array" ref="N189">IFERROR(INDEX(EXCEPCIONES_FECHA!$E$2:$E$201,MATCH(1,(EXCEPCIONES_FECHA!$A$2:$A$201=$A189)*(EXCEPCIONES_FECHA!$B$2:$B$201=$B189),0)),IFERROR(INDEX(EXCEPCIONES_FECHA!$E$2:$E$201,MATCH(1,(EXCEPCIONES_FECHA!$A$2:$A$201=$A189)*(EXCEPCIONES_FECHA!$B$2:$B$201=""),0)),IFERROR(INDEX(IF($I189="FIN",HISTORIAL_HORARIOS!$K$2:$K$201,HISTORIAL_HORARIOS!$G$2:$G$201),MATCH(1,(HISTORIAL_HORARIOS!$A$2:$A$201=$B189)*(HISTORIAL_HORARIOS!$C$2:$C$201&lt;=$A189)*(HISTORIAL_HORARIOS!$D$2:$D$201&gt;=$A189),0)),INDEX(IF($I189="FIN",PERSONAL!$K$2:$K$80,PERSONAL!$G$2:$G$80),MATCH($B189,PERSONAL!$A$2:$A$80,0)))))</f>
        <v/>
      </c>
      <c r="O189" s="53">
        <f t="array" ref="O189">IFERROR(INDEX(EXCEPCIONES_FECHA!$F$2:$F$201,MATCH(1,(EXCEPCIONES_FECHA!$A$2:$A$201=$A189)*(EXCEPCIONES_FECHA!$B$2:$B$201=$B189),0)),IFERROR(INDEX(EXCEPCIONES_FECHA!$F$2:$F$201,MATCH(1,(EXCEPCIONES_FECHA!$A$2:$A$201=$A189)*(EXCEPCIONES_FECHA!$B$2:$B$201=""),0)),IFERROR(INDEX(IF($I189="FIN",HISTORIAL_HORARIOS!$L$2:$L$201,HISTORIAL_HORARIOS!$H$2:$H$201),MATCH(1,(HISTORIAL_HORARIOS!$A$2:$A$201=$B189)*(HISTORIAL_HORARIOS!$C$2:$C$201&lt;=$A189)*(HISTORIAL_HORARIOS!$D$2:$D$201&gt;=$A189),0)),INDEX(IF($I189="FIN",PERSONAL!$L$2:$L$80,PERSONAL!$H$2:$H$80),MATCH($B189,PERSONAL!$A$2:$A$80,0)))))</f>
        <v/>
      </c>
    </row>
    <row r="190" ht="15" customHeight="1" s="58">
      <c r="A190" s="37" t="n"/>
      <c r="B190" s="38" t="n"/>
      <c r="C190" s="39" t="n"/>
      <c r="D190" s="39" t="n"/>
      <c r="E190" s="34">
        <f t="array" ref="E190">IF($B190="","",IFERROR(INDEX(PERSONAL!$B$2:$B$80,MATCH($B190,PERSONAL!$A$2:$A$80,0)),"NO EXISTE"))</f>
        <v/>
      </c>
      <c r="F190" s="52">
        <f t="array" ref="F190">IF($B190="","",IFERROR(INDEX(PERSONAL!$C$2:$C$80,MATCH($B190,PERSONAL!$A$2:$A$80,0)),""))</f>
        <v/>
      </c>
      <c r="G190" s="52">
        <f>IF($A190="","",CHOOSE(WEEKDAY($A190,2),"LUNES","MARTES","MIÉRCOLES","JUEVES","VIERNES","SÁBADO","DOMINGO"))</f>
        <v/>
      </c>
      <c r="H190" s="34">
        <f>IF($A190="","",CHOOSE(MONTH($A190),"ENERO","FEBRERO","MARZO","ABRIL","MAYO","JUNIO","JULIO","AGOSTO","SEPTIEMBRE","OCTUBRE","NOVIEMBRE","DICIEMBRE"))</f>
        <v/>
      </c>
      <c r="I190" s="34">
        <f>IF($A190="","",IF(OR($G190="SÁBADO",$G190="DOMINGO"),"FIN","LV"))</f>
        <v/>
      </c>
      <c r="J190" s="34">
        <f>IF(OR($A190="",$B190=""),"",IF($L190&lt;&gt;"",UPPER($L190),IF($C190="","FALTA",IFERROR(IF($C190&gt;=$O190,"ROJO FUERTE",IF($C190&gt;=$N190,"ROJO",IF($C190&gt;=$M190,"AMARILLO","VERDE"))),"REVISAR"))))</f>
        <v/>
      </c>
      <c r="K190" s="36">
        <f>IF(OR($C190="",$D190=""),"",IF($D190&gt;=$C190,($D190-$C190)*24,(1-$C190+$D190)*24))</f>
        <v/>
      </c>
      <c r="L190" s="34" t="n"/>
      <c r="M190" s="53">
        <f t="array" ref="M190">IFERROR(INDEX(EXCEPCIONES_FECHA!$D$2:$D$201,MATCH(1,(EXCEPCIONES_FECHA!$A$2:$A$201=$A190)*(EXCEPCIONES_FECHA!$B$2:$B$201=$B190),0)),IFERROR(INDEX(EXCEPCIONES_FECHA!$D$2:$D$201,MATCH(1,(EXCEPCIONES_FECHA!$A$2:$A$201=$A190)*(EXCEPCIONES_FECHA!$B$2:$B$201=""),0)),IFERROR(INDEX(IF($I190="FIN",HISTORIAL_HORARIOS!$J$2:$J$201,HISTORIAL_HORARIOS!$F$2:$F$201),MATCH(1,(HISTORIAL_HORARIOS!$A$2:$A$201=$B190)*(HISTORIAL_HORARIOS!$C$2:$C$201&lt;=$A190)*(HISTORIAL_HORARIOS!$D$2:$D$201&gt;=$A190),0)),INDEX(IF($I190="FIN",PERSONAL!$J$2:$J$80,PERSONAL!$F$2:$F$80),MATCH($B190,PERSONAL!$A$2:$A$80,0)))))</f>
        <v/>
      </c>
      <c r="N190" s="53">
        <f t="array" ref="N190">IFERROR(INDEX(EXCEPCIONES_FECHA!$E$2:$E$201,MATCH(1,(EXCEPCIONES_FECHA!$A$2:$A$201=$A190)*(EXCEPCIONES_FECHA!$B$2:$B$201=$B190),0)),IFERROR(INDEX(EXCEPCIONES_FECHA!$E$2:$E$201,MATCH(1,(EXCEPCIONES_FECHA!$A$2:$A$201=$A190)*(EXCEPCIONES_FECHA!$B$2:$B$201=""),0)),IFERROR(INDEX(IF($I190="FIN",HISTORIAL_HORARIOS!$K$2:$K$201,HISTORIAL_HORARIOS!$G$2:$G$201),MATCH(1,(HISTORIAL_HORARIOS!$A$2:$A$201=$B190)*(HISTORIAL_HORARIOS!$C$2:$C$201&lt;=$A190)*(HISTORIAL_HORARIOS!$D$2:$D$201&gt;=$A190),0)),INDEX(IF($I190="FIN",PERSONAL!$K$2:$K$80,PERSONAL!$G$2:$G$80),MATCH($B190,PERSONAL!$A$2:$A$80,0)))))</f>
        <v/>
      </c>
      <c r="O190" s="53">
        <f t="array" ref="O190">IFERROR(INDEX(EXCEPCIONES_FECHA!$F$2:$F$201,MATCH(1,(EXCEPCIONES_FECHA!$A$2:$A$201=$A190)*(EXCEPCIONES_FECHA!$B$2:$B$201=$B190),0)),IFERROR(INDEX(EXCEPCIONES_FECHA!$F$2:$F$201,MATCH(1,(EXCEPCIONES_FECHA!$A$2:$A$201=$A190)*(EXCEPCIONES_FECHA!$B$2:$B$201=""),0)),IFERROR(INDEX(IF($I190="FIN",HISTORIAL_HORARIOS!$L$2:$L$201,HISTORIAL_HORARIOS!$H$2:$H$201),MATCH(1,(HISTORIAL_HORARIOS!$A$2:$A$201=$B190)*(HISTORIAL_HORARIOS!$C$2:$C$201&lt;=$A190)*(HISTORIAL_HORARIOS!$D$2:$D$201&gt;=$A190),0)),INDEX(IF($I190="FIN",PERSONAL!$L$2:$L$80,PERSONAL!$H$2:$H$80),MATCH($B190,PERSONAL!$A$2:$A$80,0)))))</f>
        <v/>
      </c>
    </row>
    <row r="191" ht="15" customHeight="1" s="58">
      <c r="A191" s="37" t="n"/>
      <c r="B191" s="38" t="n"/>
      <c r="C191" s="39" t="n"/>
      <c r="D191" s="39" t="n"/>
      <c r="E191" s="34">
        <f t="array" ref="E191">IF($B191="","",IFERROR(INDEX(PERSONAL!$B$2:$B$80,MATCH($B191,PERSONAL!$A$2:$A$80,0)),"NO EXISTE"))</f>
        <v/>
      </c>
      <c r="F191" s="52">
        <f t="array" ref="F191">IF($B191="","",IFERROR(INDEX(PERSONAL!$C$2:$C$80,MATCH($B191,PERSONAL!$A$2:$A$80,0)),""))</f>
        <v/>
      </c>
      <c r="G191" s="52">
        <f>IF($A191="","",CHOOSE(WEEKDAY($A191,2),"LUNES","MARTES","MIÉRCOLES","JUEVES","VIERNES","SÁBADO","DOMINGO"))</f>
        <v/>
      </c>
      <c r="H191" s="34">
        <f>IF($A191="","",CHOOSE(MONTH($A191),"ENERO","FEBRERO","MARZO","ABRIL","MAYO","JUNIO","JULIO","AGOSTO","SEPTIEMBRE","OCTUBRE","NOVIEMBRE","DICIEMBRE"))</f>
        <v/>
      </c>
      <c r="I191" s="34">
        <f>IF($A191="","",IF(OR($G191="SÁBADO",$G191="DOMINGO"),"FIN","LV"))</f>
        <v/>
      </c>
      <c r="J191" s="34">
        <f>IF(OR($A191="",$B191=""),"",IF($L191&lt;&gt;"",UPPER($L191),IF($C191="","FALTA",IFERROR(IF($C191&gt;=$O191,"ROJO FUERTE",IF($C191&gt;=$N191,"ROJO",IF($C191&gt;=$M191,"AMARILLO","VERDE"))),"REVISAR"))))</f>
        <v/>
      </c>
      <c r="K191" s="36">
        <f>IF(OR($C191="",$D191=""),"",IF($D191&gt;=$C191,($D191-$C191)*24,(1-$C191+$D191)*24))</f>
        <v/>
      </c>
      <c r="L191" s="34" t="n"/>
      <c r="M191" s="53">
        <f t="array" ref="M191">IFERROR(INDEX(EXCEPCIONES_FECHA!$D$2:$D$201,MATCH(1,(EXCEPCIONES_FECHA!$A$2:$A$201=$A191)*(EXCEPCIONES_FECHA!$B$2:$B$201=$B191),0)),IFERROR(INDEX(EXCEPCIONES_FECHA!$D$2:$D$201,MATCH(1,(EXCEPCIONES_FECHA!$A$2:$A$201=$A191)*(EXCEPCIONES_FECHA!$B$2:$B$201=""),0)),IFERROR(INDEX(IF($I191="FIN",HISTORIAL_HORARIOS!$J$2:$J$201,HISTORIAL_HORARIOS!$F$2:$F$201),MATCH(1,(HISTORIAL_HORARIOS!$A$2:$A$201=$B191)*(HISTORIAL_HORARIOS!$C$2:$C$201&lt;=$A191)*(HISTORIAL_HORARIOS!$D$2:$D$201&gt;=$A191),0)),INDEX(IF($I191="FIN",PERSONAL!$J$2:$J$80,PERSONAL!$F$2:$F$80),MATCH($B191,PERSONAL!$A$2:$A$80,0)))))</f>
        <v/>
      </c>
      <c r="N191" s="53">
        <f t="array" ref="N191">IFERROR(INDEX(EXCEPCIONES_FECHA!$E$2:$E$201,MATCH(1,(EXCEPCIONES_FECHA!$A$2:$A$201=$A191)*(EXCEPCIONES_FECHA!$B$2:$B$201=$B191),0)),IFERROR(INDEX(EXCEPCIONES_FECHA!$E$2:$E$201,MATCH(1,(EXCEPCIONES_FECHA!$A$2:$A$201=$A191)*(EXCEPCIONES_FECHA!$B$2:$B$201=""),0)),IFERROR(INDEX(IF($I191="FIN",HISTORIAL_HORARIOS!$K$2:$K$201,HISTORIAL_HORARIOS!$G$2:$G$201),MATCH(1,(HISTORIAL_HORARIOS!$A$2:$A$201=$B191)*(HISTORIAL_HORARIOS!$C$2:$C$201&lt;=$A191)*(HISTORIAL_HORARIOS!$D$2:$D$201&gt;=$A191),0)),INDEX(IF($I191="FIN",PERSONAL!$K$2:$K$80,PERSONAL!$G$2:$G$80),MATCH($B191,PERSONAL!$A$2:$A$80,0)))))</f>
        <v/>
      </c>
      <c r="O191" s="53">
        <f t="array" ref="O191">IFERROR(INDEX(EXCEPCIONES_FECHA!$F$2:$F$201,MATCH(1,(EXCEPCIONES_FECHA!$A$2:$A$201=$A191)*(EXCEPCIONES_FECHA!$B$2:$B$201=$B191),0)),IFERROR(INDEX(EXCEPCIONES_FECHA!$F$2:$F$201,MATCH(1,(EXCEPCIONES_FECHA!$A$2:$A$201=$A191)*(EXCEPCIONES_FECHA!$B$2:$B$201=""),0)),IFERROR(INDEX(IF($I191="FIN",HISTORIAL_HORARIOS!$L$2:$L$201,HISTORIAL_HORARIOS!$H$2:$H$201),MATCH(1,(HISTORIAL_HORARIOS!$A$2:$A$201=$B191)*(HISTORIAL_HORARIOS!$C$2:$C$201&lt;=$A191)*(HISTORIAL_HORARIOS!$D$2:$D$201&gt;=$A191),0)),INDEX(IF($I191="FIN",PERSONAL!$L$2:$L$80,PERSONAL!$H$2:$H$80),MATCH($B191,PERSONAL!$A$2:$A$80,0)))))</f>
        <v/>
      </c>
    </row>
    <row r="192" ht="15" customHeight="1" s="58">
      <c r="A192" s="37" t="n"/>
      <c r="B192" s="38" t="n"/>
      <c r="C192" s="39" t="n"/>
      <c r="D192" s="39" t="n"/>
      <c r="E192" s="34">
        <f t="array" ref="E192">IF($B192="","",IFERROR(INDEX(PERSONAL!$B$2:$B$80,MATCH($B192,PERSONAL!$A$2:$A$80,0)),"NO EXISTE"))</f>
        <v/>
      </c>
      <c r="F192" s="52">
        <f t="array" ref="F192">IF($B192="","",IFERROR(INDEX(PERSONAL!$C$2:$C$80,MATCH($B192,PERSONAL!$A$2:$A$80,0)),""))</f>
        <v/>
      </c>
      <c r="G192" s="52">
        <f>IF($A192="","",CHOOSE(WEEKDAY($A192,2),"LUNES","MARTES","MIÉRCOLES","JUEVES","VIERNES","SÁBADO","DOMINGO"))</f>
        <v/>
      </c>
      <c r="H192" s="34">
        <f>IF($A192="","",CHOOSE(MONTH($A192),"ENERO","FEBRERO","MARZO","ABRIL","MAYO","JUNIO","JULIO","AGOSTO","SEPTIEMBRE","OCTUBRE","NOVIEMBRE","DICIEMBRE"))</f>
        <v/>
      </c>
      <c r="I192" s="34">
        <f>IF($A192="","",IF(OR($G192="SÁBADO",$G192="DOMINGO"),"FIN","LV"))</f>
        <v/>
      </c>
      <c r="J192" s="34">
        <f>IF(OR($A192="",$B192=""),"",IF($L192&lt;&gt;"",UPPER($L192),IF($C192="","FALTA",IFERROR(IF($C192&gt;=$O192,"ROJO FUERTE",IF($C192&gt;=$N192,"ROJO",IF($C192&gt;=$M192,"AMARILLO","VERDE"))),"REVISAR"))))</f>
        <v/>
      </c>
      <c r="K192" s="36">
        <f>IF(OR($C192="",$D192=""),"",IF($D192&gt;=$C192,($D192-$C192)*24,(1-$C192+$D192)*24))</f>
        <v/>
      </c>
      <c r="L192" s="34" t="n"/>
      <c r="M192" s="53">
        <f t="array" ref="M192">IFERROR(INDEX(EXCEPCIONES_FECHA!$D$2:$D$201,MATCH(1,(EXCEPCIONES_FECHA!$A$2:$A$201=$A192)*(EXCEPCIONES_FECHA!$B$2:$B$201=$B192),0)),IFERROR(INDEX(EXCEPCIONES_FECHA!$D$2:$D$201,MATCH(1,(EXCEPCIONES_FECHA!$A$2:$A$201=$A192)*(EXCEPCIONES_FECHA!$B$2:$B$201=""),0)),IFERROR(INDEX(IF($I192="FIN",HISTORIAL_HORARIOS!$J$2:$J$201,HISTORIAL_HORARIOS!$F$2:$F$201),MATCH(1,(HISTORIAL_HORARIOS!$A$2:$A$201=$B192)*(HISTORIAL_HORARIOS!$C$2:$C$201&lt;=$A192)*(HISTORIAL_HORARIOS!$D$2:$D$201&gt;=$A192),0)),INDEX(IF($I192="FIN",PERSONAL!$J$2:$J$80,PERSONAL!$F$2:$F$80),MATCH($B192,PERSONAL!$A$2:$A$80,0)))))</f>
        <v/>
      </c>
      <c r="N192" s="53">
        <f t="array" ref="N192">IFERROR(INDEX(EXCEPCIONES_FECHA!$E$2:$E$201,MATCH(1,(EXCEPCIONES_FECHA!$A$2:$A$201=$A192)*(EXCEPCIONES_FECHA!$B$2:$B$201=$B192),0)),IFERROR(INDEX(EXCEPCIONES_FECHA!$E$2:$E$201,MATCH(1,(EXCEPCIONES_FECHA!$A$2:$A$201=$A192)*(EXCEPCIONES_FECHA!$B$2:$B$201=""),0)),IFERROR(INDEX(IF($I192="FIN",HISTORIAL_HORARIOS!$K$2:$K$201,HISTORIAL_HORARIOS!$G$2:$G$201),MATCH(1,(HISTORIAL_HORARIOS!$A$2:$A$201=$B192)*(HISTORIAL_HORARIOS!$C$2:$C$201&lt;=$A192)*(HISTORIAL_HORARIOS!$D$2:$D$201&gt;=$A192),0)),INDEX(IF($I192="FIN",PERSONAL!$K$2:$K$80,PERSONAL!$G$2:$G$80),MATCH($B192,PERSONAL!$A$2:$A$80,0)))))</f>
        <v/>
      </c>
      <c r="O192" s="53">
        <f t="array" ref="O192">IFERROR(INDEX(EXCEPCIONES_FECHA!$F$2:$F$201,MATCH(1,(EXCEPCIONES_FECHA!$A$2:$A$201=$A192)*(EXCEPCIONES_FECHA!$B$2:$B$201=$B192),0)),IFERROR(INDEX(EXCEPCIONES_FECHA!$F$2:$F$201,MATCH(1,(EXCEPCIONES_FECHA!$A$2:$A$201=$A192)*(EXCEPCIONES_FECHA!$B$2:$B$201=""),0)),IFERROR(INDEX(IF($I192="FIN",HISTORIAL_HORARIOS!$L$2:$L$201,HISTORIAL_HORARIOS!$H$2:$H$201),MATCH(1,(HISTORIAL_HORARIOS!$A$2:$A$201=$B192)*(HISTORIAL_HORARIOS!$C$2:$C$201&lt;=$A192)*(HISTORIAL_HORARIOS!$D$2:$D$201&gt;=$A192),0)),INDEX(IF($I192="FIN",PERSONAL!$L$2:$L$80,PERSONAL!$H$2:$H$80),MATCH($B192,PERSONAL!$A$2:$A$80,0)))))</f>
        <v/>
      </c>
    </row>
    <row r="193" ht="15" customHeight="1" s="58">
      <c r="A193" s="37" t="n"/>
      <c r="B193" s="38" t="n"/>
      <c r="C193" s="39" t="n"/>
      <c r="D193" s="39" t="n"/>
      <c r="E193" s="34">
        <f t="array" ref="E193">IF($B193="","",IFERROR(INDEX(PERSONAL!$B$2:$B$80,MATCH($B193,PERSONAL!$A$2:$A$80,0)),"NO EXISTE"))</f>
        <v/>
      </c>
      <c r="F193" s="52">
        <f t="array" ref="F193">IF($B193="","",IFERROR(INDEX(PERSONAL!$C$2:$C$80,MATCH($B193,PERSONAL!$A$2:$A$80,0)),""))</f>
        <v/>
      </c>
      <c r="G193" s="52">
        <f>IF($A193="","",CHOOSE(WEEKDAY($A193,2),"LUNES","MARTES","MIÉRCOLES","JUEVES","VIERNES","SÁBADO","DOMINGO"))</f>
        <v/>
      </c>
      <c r="H193" s="34">
        <f>IF($A193="","",CHOOSE(MONTH($A193),"ENERO","FEBRERO","MARZO","ABRIL","MAYO","JUNIO","JULIO","AGOSTO","SEPTIEMBRE","OCTUBRE","NOVIEMBRE","DICIEMBRE"))</f>
        <v/>
      </c>
      <c r="I193" s="34">
        <f>IF($A193="","",IF(OR($G193="SÁBADO",$G193="DOMINGO"),"FIN","LV"))</f>
        <v/>
      </c>
      <c r="J193" s="34">
        <f>IF(OR($A193="",$B193=""),"",IF($L193&lt;&gt;"",UPPER($L193),IF($C193="","FALTA",IFERROR(IF($C193&gt;=$O193,"ROJO FUERTE",IF($C193&gt;=$N193,"ROJO",IF($C193&gt;=$M193,"AMARILLO","VERDE"))),"REVISAR"))))</f>
        <v/>
      </c>
      <c r="K193" s="36">
        <f>IF(OR($C193="",$D193=""),"",IF($D193&gt;=$C193,($D193-$C193)*24,(1-$C193+$D193)*24))</f>
        <v/>
      </c>
      <c r="L193" s="34" t="n"/>
      <c r="M193" s="53">
        <f t="array" ref="M193">IFERROR(INDEX(EXCEPCIONES_FECHA!$D$2:$D$201,MATCH(1,(EXCEPCIONES_FECHA!$A$2:$A$201=$A193)*(EXCEPCIONES_FECHA!$B$2:$B$201=$B193),0)),IFERROR(INDEX(EXCEPCIONES_FECHA!$D$2:$D$201,MATCH(1,(EXCEPCIONES_FECHA!$A$2:$A$201=$A193)*(EXCEPCIONES_FECHA!$B$2:$B$201=""),0)),IFERROR(INDEX(IF($I193="FIN",HISTORIAL_HORARIOS!$J$2:$J$201,HISTORIAL_HORARIOS!$F$2:$F$201),MATCH(1,(HISTORIAL_HORARIOS!$A$2:$A$201=$B193)*(HISTORIAL_HORARIOS!$C$2:$C$201&lt;=$A193)*(HISTORIAL_HORARIOS!$D$2:$D$201&gt;=$A193),0)),INDEX(IF($I193="FIN",PERSONAL!$J$2:$J$80,PERSONAL!$F$2:$F$80),MATCH($B193,PERSONAL!$A$2:$A$80,0)))))</f>
        <v/>
      </c>
      <c r="N193" s="53">
        <f t="array" ref="N193">IFERROR(INDEX(EXCEPCIONES_FECHA!$E$2:$E$201,MATCH(1,(EXCEPCIONES_FECHA!$A$2:$A$201=$A193)*(EXCEPCIONES_FECHA!$B$2:$B$201=$B193),0)),IFERROR(INDEX(EXCEPCIONES_FECHA!$E$2:$E$201,MATCH(1,(EXCEPCIONES_FECHA!$A$2:$A$201=$A193)*(EXCEPCIONES_FECHA!$B$2:$B$201=""),0)),IFERROR(INDEX(IF($I193="FIN",HISTORIAL_HORARIOS!$K$2:$K$201,HISTORIAL_HORARIOS!$G$2:$G$201),MATCH(1,(HISTORIAL_HORARIOS!$A$2:$A$201=$B193)*(HISTORIAL_HORARIOS!$C$2:$C$201&lt;=$A193)*(HISTORIAL_HORARIOS!$D$2:$D$201&gt;=$A193),0)),INDEX(IF($I193="FIN",PERSONAL!$K$2:$K$80,PERSONAL!$G$2:$G$80),MATCH($B193,PERSONAL!$A$2:$A$80,0)))))</f>
        <v/>
      </c>
      <c r="O193" s="53">
        <f t="array" ref="O193">IFERROR(INDEX(EXCEPCIONES_FECHA!$F$2:$F$201,MATCH(1,(EXCEPCIONES_FECHA!$A$2:$A$201=$A193)*(EXCEPCIONES_FECHA!$B$2:$B$201=$B193),0)),IFERROR(INDEX(EXCEPCIONES_FECHA!$F$2:$F$201,MATCH(1,(EXCEPCIONES_FECHA!$A$2:$A$201=$A193)*(EXCEPCIONES_FECHA!$B$2:$B$201=""),0)),IFERROR(INDEX(IF($I193="FIN",HISTORIAL_HORARIOS!$L$2:$L$201,HISTORIAL_HORARIOS!$H$2:$H$201),MATCH(1,(HISTORIAL_HORARIOS!$A$2:$A$201=$B193)*(HISTORIAL_HORARIOS!$C$2:$C$201&lt;=$A193)*(HISTORIAL_HORARIOS!$D$2:$D$201&gt;=$A193),0)),INDEX(IF($I193="FIN",PERSONAL!$L$2:$L$80,PERSONAL!$H$2:$H$80),MATCH($B193,PERSONAL!$A$2:$A$80,0)))))</f>
        <v/>
      </c>
    </row>
    <row r="194" ht="15" customHeight="1" s="58">
      <c r="A194" s="37" t="n"/>
      <c r="B194" s="38" t="n"/>
      <c r="C194" s="39" t="n"/>
      <c r="D194" s="39" t="n"/>
      <c r="E194" s="34">
        <f t="array" ref="E194">IF($B194="","",IFERROR(INDEX(PERSONAL!$B$2:$B$80,MATCH($B194,PERSONAL!$A$2:$A$80,0)),"NO EXISTE"))</f>
        <v/>
      </c>
      <c r="F194" s="52">
        <f t="array" ref="F194">IF($B194="","",IFERROR(INDEX(PERSONAL!$C$2:$C$80,MATCH($B194,PERSONAL!$A$2:$A$80,0)),""))</f>
        <v/>
      </c>
      <c r="G194" s="52">
        <f>IF($A194="","",CHOOSE(WEEKDAY($A194,2),"LUNES","MARTES","MIÉRCOLES","JUEVES","VIERNES","SÁBADO","DOMINGO"))</f>
        <v/>
      </c>
      <c r="H194" s="34">
        <f>IF($A194="","",CHOOSE(MONTH($A194),"ENERO","FEBRERO","MARZO","ABRIL","MAYO","JUNIO","JULIO","AGOSTO","SEPTIEMBRE","OCTUBRE","NOVIEMBRE","DICIEMBRE"))</f>
        <v/>
      </c>
      <c r="I194" s="34">
        <f>IF($A194="","",IF(OR($G194="SÁBADO",$G194="DOMINGO"),"FIN","LV"))</f>
        <v/>
      </c>
      <c r="J194" s="34">
        <f>IF(OR($A194="",$B194=""),"",IF($L194&lt;&gt;"",UPPER($L194),IF($C194="","FALTA",IFERROR(IF($C194&gt;=$O194,"ROJO FUERTE",IF($C194&gt;=$N194,"ROJO",IF($C194&gt;=$M194,"AMARILLO","VERDE"))),"REVISAR"))))</f>
        <v/>
      </c>
      <c r="K194" s="36">
        <f>IF(OR($C194="",$D194=""),"",IF($D194&gt;=$C194,($D194-$C194)*24,(1-$C194+$D194)*24))</f>
        <v/>
      </c>
      <c r="L194" s="34" t="n"/>
      <c r="M194" s="53">
        <f t="array" ref="M194">IFERROR(INDEX(EXCEPCIONES_FECHA!$D$2:$D$201,MATCH(1,(EXCEPCIONES_FECHA!$A$2:$A$201=$A194)*(EXCEPCIONES_FECHA!$B$2:$B$201=$B194),0)),IFERROR(INDEX(EXCEPCIONES_FECHA!$D$2:$D$201,MATCH(1,(EXCEPCIONES_FECHA!$A$2:$A$201=$A194)*(EXCEPCIONES_FECHA!$B$2:$B$201=""),0)),IFERROR(INDEX(IF($I194="FIN",HISTORIAL_HORARIOS!$J$2:$J$201,HISTORIAL_HORARIOS!$F$2:$F$201),MATCH(1,(HISTORIAL_HORARIOS!$A$2:$A$201=$B194)*(HISTORIAL_HORARIOS!$C$2:$C$201&lt;=$A194)*(HISTORIAL_HORARIOS!$D$2:$D$201&gt;=$A194),0)),INDEX(IF($I194="FIN",PERSONAL!$J$2:$J$80,PERSONAL!$F$2:$F$80),MATCH($B194,PERSONAL!$A$2:$A$80,0)))))</f>
        <v/>
      </c>
      <c r="N194" s="53">
        <f t="array" ref="N194">IFERROR(INDEX(EXCEPCIONES_FECHA!$E$2:$E$201,MATCH(1,(EXCEPCIONES_FECHA!$A$2:$A$201=$A194)*(EXCEPCIONES_FECHA!$B$2:$B$201=$B194),0)),IFERROR(INDEX(EXCEPCIONES_FECHA!$E$2:$E$201,MATCH(1,(EXCEPCIONES_FECHA!$A$2:$A$201=$A194)*(EXCEPCIONES_FECHA!$B$2:$B$201=""),0)),IFERROR(INDEX(IF($I194="FIN",HISTORIAL_HORARIOS!$K$2:$K$201,HISTORIAL_HORARIOS!$G$2:$G$201),MATCH(1,(HISTORIAL_HORARIOS!$A$2:$A$201=$B194)*(HISTORIAL_HORARIOS!$C$2:$C$201&lt;=$A194)*(HISTORIAL_HORARIOS!$D$2:$D$201&gt;=$A194),0)),INDEX(IF($I194="FIN",PERSONAL!$K$2:$K$80,PERSONAL!$G$2:$G$80),MATCH($B194,PERSONAL!$A$2:$A$80,0)))))</f>
        <v/>
      </c>
      <c r="O194" s="53">
        <f t="array" ref="O194">IFERROR(INDEX(EXCEPCIONES_FECHA!$F$2:$F$201,MATCH(1,(EXCEPCIONES_FECHA!$A$2:$A$201=$A194)*(EXCEPCIONES_FECHA!$B$2:$B$201=$B194),0)),IFERROR(INDEX(EXCEPCIONES_FECHA!$F$2:$F$201,MATCH(1,(EXCEPCIONES_FECHA!$A$2:$A$201=$A194)*(EXCEPCIONES_FECHA!$B$2:$B$201=""),0)),IFERROR(INDEX(IF($I194="FIN",HISTORIAL_HORARIOS!$L$2:$L$201,HISTORIAL_HORARIOS!$H$2:$H$201),MATCH(1,(HISTORIAL_HORARIOS!$A$2:$A$201=$B194)*(HISTORIAL_HORARIOS!$C$2:$C$201&lt;=$A194)*(HISTORIAL_HORARIOS!$D$2:$D$201&gt;=$A194),0)),INDEX(IF($I194="FIN",PERSONAL!$L$2:$L$80,PERSONAL!$H$2:$H$80),MATCH($B194,PERSONAL!$A$2:$A$80,0)))))</f>
        <v/>
      </c>
    </row>
    <row r="195" ht="15" customHeight="1" s="58">
      <c r="A195" s="37" t="n"/>
      <c r="B195" s="38" t="n"/>
      <c r="C195" s="39" t="n"/>
      <c r="D195" s="39" t="n"/>
      <c r="E195" s="34">
        <f t="array" ref="E195">IF($B195="","",IFERROR(INDEX(PERSONAL!$B$2:$B$80,MATCH($B195,PERSONAL!$A$2:$A$80,0)),"NO EXISTE"))</f>
        <v/>
      </c>
      <c r="F195" s="52">
        <f t="array" ref="F195">IF($B195="","",IFERROR(INDEX(PERSONAL!$C$2:$C$80,MATCH($B195,PERSONAL!$A$2:$A$80,0)),""))</f>
        <v/>
      </c>
      <c r="G195" s="52">
        <f>IF($A195="","",CHOOSE(WEEKDAY($A195,2),"LUNES","MARTES","MIÉRCOLES","JUEVES","VIERNES","SÁBADO","DOMINGO"))</f>
        <v/>
      </c>
      <c r="H195" s="34">
        <f>IF($A195="","",CHOOSE(MONTH($A195),"ENERO","FEBRERO","MARZO","ABRIL","MAYO","JUNIO","JULIO","AGOSTO","SEPTIEMBRE","OCTUBRE","NOVIEMBRE","DICIEMBRE"))</f>
        <v/>
      </c>
      <c r="I195" s="34">
        <f>IF($A195="","",IF(OR($G195="SÁBADO",$G195="DOMINGO"),"FIN","LV"))</f>
        <v/>
      </c>
      <c r="J195" s="34">
        <f>IF(OR($A195="",$B195=""),"",IF($L195&lt;&gt;"",UPPER($L195),IF($C195="","FALTA",IFERROR(IF($C195&gt;=$O195,"ROJO FUERTE",IF($C195&gt;=$N195,"ROJO",IF($C195&gt;=$M195,"AMARILLO","VERDE"))),"REVISAR"))))</f>
        <v/>
      </c>
      <c r="K195" s="36">
        <f>IF(OR($C195="",$D195=""),"",IF($D195&gt;=$C195,($D195-$C195)*24,(1-$C195+$D195)*24))</f>
        <v/>
      </c>
      <c r="L195" s="34" t="n"/>
      <c r="M195" s="53">
        <f t="array" ref="M195">IFERROR(INDEX(EXCEPCIONES_FECHA!$D$2:$D$201,MATCH(1,(EXCEPCIONES_FECHA!$A$2:$A$201=$A195)*(EXCEPCIONES_FECHA!$B$2:$B$201=$B195),0)),IFERROR(INDEX(EXCEPCIONES_FECHA!$D$2:$D$201,MATCH(1,(EXCEPCIONES_FECHA!$A$2:$A$201=$A195)*(EXCEPCIONES_FECHA!$B$2:$B$201=""),0)),IFERROR(INDEX(IF($I195="FIN",HISTORIAL_HORARIOS!$J$2:$J$201,HISTORIAL_HORARIOS!$F$2:$F$201),MATCH(1,(HISTORIAL_HORARIOS!$A$2:$A$201=$B195)*(HISTORIAL_HORARIOS!$C$2:$C$201&lt;=$A195)*(HISTORIAL_HORARIOS!$D$2:$D$201&gt;=$A195),0)),INDEX(IF($I195="FIN",PERSONAL!$J$2:$J$80,PERSONAL!$F$2:$F$80),MATCH($B195,PERSONAL!$A$2:$A$80,0)))))</f>
        <v/>
      </c>
      <c r="N195" s="53">
        <f t="array" ref="N195">IFERROR(INDEX(EXCEPCIONES_FECHA!$E$2:$E$201,MATCH(1,(EXCEPCIONES_FECHA!$A$2:$A$201=$A195)*(EXCEPCIONES_FECHA!$B$2:$B$201=$B195),0)),IFERROR(INDEX(EXCEPCIONES_FECHA!$E$2:$E$201,MATCH(1,(EXCEPCIONES_FECHA!$A$2:$A$201=$A195)*(EXCEPCIONES_FECHA!$B$2:$B$201=""),0)),IFERROR(INDEX(IF($I195="FIN",HISTORIAL_HORARIOS!$K$2:$K$201,HISTORIAL_HORARIOS!$G$2:$G$201),MATCH(1,(HISTORIAL_HORARIOS!$A$2:$A$201=$B195)*(HISTORIAL_HORARIOS!$C$2:$C$201&lt;=$A195)*(HISTORIAL_HORARIOS!$D$2:$D$201&gt;=$A195),0)),INDEX(IF($I195="FIN",PERSONAL!$K$2:$K$80,PERSONAL!$G$2:$G$80),MATCH($B195,PERSONAL!$A$2:$A$80,0)))))</f>
        <v/>
      </c>
      <c r="O195" s="53">
        <f t="array" ref="O195">IFERROR(INDEX(EXCEPCIONES_FECHA!$F$2:$F$201,MATCH(1,(EXCEPCIONES_FECHA!$A$2:$A$201=$A195)*(EXCEPCIONES_FECHA!$B$2:$B$201=$B195),0)),IFERROR(INDEX(EXCEPCIONES_FECHA!$F$2:$F$201,MATCH(1,(EXCEPCIONES_FECHA!$A$2:$A$201=$A195)*(EXCEPCIONES_FECHA!$B$2:$B$201=""),0)),IFERROR(INDEX(IF($I195="FIN",HISTORIAL_HORARIOS!$L$2:$L$201,HISTORIAL_HORARIOS!$H$2:$H$201),MATCH(1,(HISTORIAL_HORARIOS!$A$2:$A$201=$B195)*(HISTORIAL_HORARIOS!$C$2:$C$201&lt;=$A195)*(HISTORIAL_HORARIOS!$D$2:$D$201&gt;=$A195),0)),INDEX(IF($I195="FIN",PERSONAL!$L$2:$L$80,PERSONAL!$H$2:$H$80),MATCH($B195,PERSONAL!$A$2:$A$80,0)))))</f>
        <v/>
      </c>
    </row>
    <row r="196" ht="15" customHeight="1" s="58">
      <c r="A196" s="37" t="n"/>
      <c r="B196" s="38" t="n"/>
      <c r="C196" s="39" t="n"/>
      <c r="D196" s="39" t="n"/>
      <c r="E196" s="34">
        <f t="array" ref="E196">IF($B196="","",IFERROR(INDEX(PERSONAL!$B$2:$B$80,MATCH($B196,PERSONAL!$A$2:$A$80,0)),"NO EXISTE"))</f>
        <v/>
      </c>
      <c r="F196" s="52">
        <f t="array" ref="F196">IF($B196="","",IFERROR(INDEX(PERSONAL!$C$2:$C$80,MATCH($B196,PERSONAL!$A$2:$A$80,0)),""))</f>
        <v/>
      </c>
      <c r="G196" s="52">
        <f>IF($A196="","",CHOOSE(WEEKDAY($A196,2),"LUNES","MARTES","MIÉRCOLES","JUEVES","VIERNES","SÁBADO","DOMINGO"))</f>
        <v/>
      </c>
      <c r="H196" s="34">
        <f>IF($A196="","",CHOOSE(MONTH($A196),"ENERO","FEBRERO","MARZO","ABRIL","MAYO","JUNIO","JULIO","AGOSTO","SEPTIEMBRE","OCTUBRE","NOVIEMBRE","DICIEMBRE"))</f>
        <v/>
      </c>
      <c r="I196" s="34">
        <f>IF($A196="","",IF(OR($G196="SÁBADO",$G196="DOMINGO"),"FIN","LV"))</f>
        <v/>
      </c>
      <c r="J196" s="34">
        <f>IF(OR($A196="",$B196=""),"",IF($L196&lt;&gt;"",UPPER($L196),IF($C196="","FALTA",IFERROR(IF($C196&gt;=$O196,"ROJO FUERTE",IF($C196&gt;=$N196,"ROJO",IF($C196&gt;=$M196,"AMARILLO","VERDE"))),"REVISAR"))))</f>
        <v/>
      </c>
      <c r="K196" s="36">
        <f>IF(OR($C196="",$D196=""),"",IF($D196&gt;=$C196,($D196-$C196)*24,(1-$C196+$D196)*24))</f>
        <v/>
      </c>
      <c r="L196" s="34" t="n"/>
      <c r="M196" s="53">
        <f t="array" ref="M196">IFERROR(INDEX(EXCEPCIONES_FECHA!$D$2:$D$201,MATCH(1,(EXCEPCIONES_FECHA!$A$2:$A$201=$A196)*(EXCEPCIONES_FECHA!$B$2:$B$201=$B196),0)),IFERROR(INDEX(EXCEPCIONES_FECHA!$D$2:$D$201,MATCH(1,(EXCEPCIONES_FECHA!$A$2:$A$201=$A196)*(EXCEPCIONES_FECHA!$B$2:$B$201=""),0)),IFERROR(INDEX(IF($I196="FIN",HISTORIAL_HORARIOS!$J$2:$J$201,HISTORIAL_HORARIOS!$F$2:$F$201),MATCH(1,(HISTORIAL_HORARIOS!$A$2:$A$201=$B196)*(HISTORIAL_HORARIOS!$C$2:$C$201&lt;=$A196)*(HISTORIAL_HORARIOS!$D$2:$D$201&gt;=$A196),0)),INDEX(IF($I196="FIN",PERSONAL!$J$2:$J$80,PERSONAL!$F$2:$F$80),MATCH($B196,PERSONAL!$A$2:$A$80,0)))))</f>
        <v/>
      </c>
      <c r="N196" s="53">
        <f t="array" ref="N196">IFERROR(INDEX(EXCEPCIONES_FECHA!$E$2:$E$201,MATCH(1,(EXCEPCIONES_FECHA!$A$2:$A$201=$A196)*(EXCEPCIONES_FECHA!$B$2:$B$201=$B196),0)),IFERROR(INDEX(EXCEPCIONES_FECHA!$E$2:$E$201,MATCH(1,(EXCEPCIONES_FECHA!$A$2:$A$201=$A196)*(EXCEPCIONES_FECHA!$B$2:$B$201=""),0)),IFERROR(INDEX(IF($I196="FIN",HISTORIAL_HORARIOS!$K$2:$K$201,HISTORIAL_HORARIOS!$G$2:$G$201),MATCH(1,(HISTORIAL_HORARIOS!$A$2:$A$201=$B196)*(HISTORIAL_HORARIOS!$C$2:$C$201&lt;=$A196)*(HISTORIAL_HORARIOS!$D$2:$D$201&gt;=$A196),0)),INDEX(IF($I196="FIN",PERSONAL!$K$2:$K$80,PERSONAL!$G$2:$G$80),MATCH($B196,PERSONAL!$A$2:$A$80,0)))))</f>
        <v/>
      </c>
      <c r="O196" s="53">
        <f t="array" ref="O196">IFERROR(INDEX(EXCEPCIONES_FECHA!$F$2:$F$201,MATCH(1,(EXCEPCIONES_FECHA!$A$2:$A$201=$A196)*(EXCEPCIONES_FECHA!$B$2:$B$201=$B196),0)),IFERROR(INDEX(EXCEPCIONES_FECHA!$F$2:$F$201,MATCH(1,(EXCEPCIONES_FECHA!$A$2:$A$201=$A196)*(EXCEPCIONES_FECHA!$B$2:$B$201=""),0)),IFERROR(INDEX(IF($I196="FIN",HISTORIAL_HORARIOS!$L$2:$L$201,HISTORIAL_HORARIOS!$H$2:$H$201),MATCH(1,(HISTORIAL_HORARIOS!$A$2:$A$201=$B196)*(HISTORIAL_HORARIOS!$C$2:$C$201&lt;=$A196)*(HISTORIAL_HORARIOS!$D$2:$D$201&gt;=$A196),0)),INDEX(IF($I196="FIN",PERSONAL!$L$2:$L$80,PERSONAL!$H$2:$H$80),MATCH($B196,PERSONAL!$A$2:$A$80,0)))))</f>
        <v/>
      </c>
    </row>
    <row r="197" ht="15" customHeight="1" s="58">
      <c r="A197" s="37" t="n"/>
      <c r="B197" s="38" t="n"/>
      <c r="C197" s="39" t="n"/>
      <c r="D197" s="39" t="n"/>
      <c r="E197" s="34">
        <f t="array" ref="E197">IF($B197="","",IFERROR(INDEX(PERSONAL!$B$2:$B$80,MATCH($B197,PERSONAL!$A$2:$A$80,0)),"NO EXISTE"))</f>
        <v/>
      </c>
      <c r="F197" s="52">
        <f t="array" ref="F197">IF($B197="","",IFERROR(INDEX(PERSONAL!$C$2:$C$80,MATCH($B197,PERSONAL!$A$2:$A$80,0)),""))</f>
        <v/>
      </c>
      <c r="G197" s="52">
        <f>IF($A197="","",CHOOSE(WEEKDAY($A197,2),"LUNES","MARTES","MIÉRCOLES","JUEVES","VIERNES","SÁBADO","DOMINGO"))</f>
        <v/>
      </c>
      <c r="H197" s="34">
        <f>IF($A197="","",CHOOSE(MONTH($A197),"ENERO","FEBRERO","MARZO","ABRIL","MAYO","JUNIO","JULIO","AGOSTO","SEPTIEMBRE","OCTUBRE","NOVIEMBRE","DICIEMBRE"))</f>
        <v/>
      </c>
      <c r="I197" s="34">
        <f>IF($A197="","",IF(OR($G197="SÁBADO",$G197="DOMINGO"),"FIN","LV"))</f>
        <v/>
      </c>
      <c r="J197" s="34">
        <f>IF(OR($A197="",$B197=""),"",IF($L197&lt;&gt;"",UPPER($L197),IF($C197="","FALTA",IFERROR(IF($C197&gt;=$O197,"ROJO FUERTE",IF($C197&gt;=$N197,"ROJO",IF($C197&gt;=$M197,"AMARILLO","VERDE"))),"REVISAR"))))</f>
        <v/>
      </c>
      <c r="K197" s="36">
        <f>IF(OR($C197="",$D197=""),"",IF($D197&gt;=$C197,($D197-$C197)*24,(1-$C197+$D197)*24))</f>
        <v/>
      </c>
      <c r="L197" s="34" t="n"/>
      <c r="M197" s="53">
        <f t="array" ref="M197">IFERROR(INDEX(EXCEPCIONES_FECHA!$D$2:$D$201,MATCH(1,(EXCEPCIONES_FECHA!$A$2:$A$201=$A197)*(EXCEPCIONES_FECHA!$B$2:$B$201=$B197),0)),IFERROR(INDEX(EXCEPCIONES_FECHA!$D$2:$D$201,MATCH(1,(EXCEPCIONES_FECHA!$A$2:$A$201=$A197)*(EXCEPCIONES_FECHA!$B$2:$B$201=""),0)),IFERROR(INDEX(IF($I197="FIN",HISTORIAL_HORARIOS!$J$2:$J$201,HISTORIAL_HORARIOS!$F$2:$F$201),MATCH(1,(HISTORIAL_HORARIOS!$A$2:$A$201=$B197)*(HISTORIAL_HORARIOS!$C$2:$C$201&lt;=$A197)*(HISTORIAL_HORARIOS!$D$2:$D$201&gt;=$A197),0)),INDEX(IF($I197="FIN",PERSONAL!$J$2:$J$80,PERSONAL!$F$2:$F$80),MATCH($B197,PERSONAL!$A$2:$A$80,0)))))</f>
        <v/>
      </c>
      <c r="N197" s="53">
        <f t="array" ref="N197">IFERROR(INDEX(EXCEPCIONES_FECHA!$E$2:$E$201,MATCH(1,(EXCEPCIONES_FECHA!$A$2:$A$201=$A197)*(EXCEPCIONES_FECHA!$B$2:$B$201=$B197),0)),IFERROR(INDEX(EXCEPCIONES_FECHA!$E$2:$E$201,MATCH(1,(EXCEPCIONES_FECHA!$A$2:$A$201=$A197)*(EXCEPCIONES_FECHA!$B$2:$B$201=""),0)),IFERROR(INDEX(IF($I197="FIN",HISTORIAL_HORARIOS!$K$2:$K$201,HISTORIAL_HORARIOS!$G$2:$G$201),MATCH(1,(HISTORIAL_HORARIOS!$A$2:$A$201=$B197)*(HISTORIAL_HORARIOS!$C$2:$C$201&lt;=$A197)*(HISTORIAL_HORARIOS!$D$2:$D$201&gt;=$A197),0)),INDEX(IF($I197="FIN",PERSONAL!$K$2:$K$80,PERSONAL!$G$2:$G$80),MATCH($B197,PERSONAL!$A$2:$A$80,0)))))</f>
        <v/>
      </c>
      <c r="O197" s="53">
        <f t="array" ref="O197">IFERROR(INDEX(EXCEPCIONES_FECHA!$F$2:$F$201,MATCH(1,(EXCEPCIONES_FECHA!$A$2:$A$201=$A197)*(EXCEPCIONES_FECHA!$B$2:$B$201=$B197),0)),IFERROR(INDEX(EXCEPCIONES_FECHA!$F$2:$F$201,MATCH(1,(EXCEPCIONES_FECHA!$A$2:$A$201=$A197)*(EXCEPCIONES_FECHA!$B$2:$B$201=""),0)),IFERROR(INDEX(IF($I197="FIN",HISTORIAL_HORARIOS!$L$2:$L$201,HISTORIAL_HORARIOS!$H$2:$H$201),MATCH(1,(HISTORIAL_HORARIOS!$A$2:$A$201=$B197)*(HISTORIAL_HORARIOS!$C$2:$C$201&lt;=$A197)*(HISTORIAL_HORARIOS!$D$2:$D$201&gt;=$A197),0)),INDEX(IF($I197="FIN",PERSONAL!$L$2:$L$80,PERSONAL!$H$2:$H$80),MATCH($B197,PERSONAL!$A$2:$A$80,0)))))</f>
        <v/>
      </c>
    </row>
    <row r="198" ht="15" customHeight="1" s="58">
      <c r="A198" s="37" t="n"/>
      <c r="B198" s="38" t="n"/>
      <c r="C198" s="39" t="n"/>
      <c r="D198" s="39" t="n"/>
      <c r="E198" s="34">
        <f t="array" ref="E198">IF($B198="","",IFERROR(INDEX(PERSONAL!$B$2:$B$80,MATCH($B198,PERSONAL!$A$2:$A$80,0)),"NO EXISTE"))</f>
        <v/>
      </c>
      <c r="F198" s="52">
        <f t="array" ref="F198">IF($B198="","",IFERROR(INDEX(PERSONAL!$C$2:$C$80,MATCH($B198,PERSONAL!$A$2:$A$80,0)),""))</f>
        <v/>
      </c>
      <c r="G198" s="52">
        <f>IF($A198="","",CHOOSE(WEEKDAY($A198,2),"LUNES","MARTES","MIÉRCOLES","JUEVES","VIERNES","SÁBADO","DOMINGO"))</f>
        <v/>
      </c>
      <c r="H198" s="34">
        <f>IF($A198="","",CHOOSE(MONTH($A198),"ENERO","FEBRERO","MARZO","ABRIL","MAYO","JUNIO","JULIO","AGOSTO","SEPTIEMBRE","OCTUBRE","NOVIEMBRE","DICIEMBRE"))</f>
        <v/>
      </c>
      <c r="I198" s="34">
        <f>IF($A198="","",IF(OR($G198="SÁBADO",$G198="DOMINGO"),"FIN","LV"))</f>
        <v/>
      </c>
      <c r="J198" s="34">
        <f>IF(OR($A198="",$B198=""),"",IF($L198&lt;&gt;"",UPPER($L198),IF($C198="","FALTA",IFERROR(IF($C198&gt;=$O198,"ROJO FUERTE",IF($C198&gt;=$N198,"ROJO",IF($C198&gt;=$M198,"AMARILLO","VERDE"))),"REVISAR"))))</f>
        <v/>
      </c>
      <c r="K198" s="36">
        <f>IF(OR($C198="",$D198=""),"",IF($D198&gt;=$C198,($D198-$C198)*24,(1-$C198+$D198)*24))</f>
        <v/>
      </c>
      <c r="L198" s="34" t="n"/>
      <c r="M198" s="53">
        <f t="array" ref="M198">IFERROR(INDEX(EXCEPCIONES_FECHA!$D$2:$D$201,MATCH(1,(EXCEPCIONES_FECHA!$A$2:$A$201=$A198)*(EXCEPCIONES_FECHA!$B$2:$B$201=$B198),0)),IFERROR(INDEX(EXCEPCIONES_FECHA!$D$2:$D$201,MATCH(1,(EXCEPCIONES_FECHA!$A$2:$A$201=$A198)*(EXCEPCIONES_FECHA!$B$2:$B$201=""),0)),IFERROR(INDEX(IF($I198="FIN",HISTORIAL_HORARIOS!$J$2:$J$201,HISTORIAL_HORARIOS!$F$2:$F$201),MATCH(1,(HISTORIAL_HORARIOS!$A$2:$A$201=$B198)*(HISTORIAL_HORARIOS!$C$2:$C$201&lt;=$A198)*(HISTORIAL_HORARIOS!$D$2:$D$201&gt;=$A198),0)),INDEX(IF($I198="FIN",PERSONAL!$J$2:$J$80,PERSONAL!$F$2:$F$80),MATCH($B198,PERSONAL!$A$2:$A$80,0)))))</f>
        <v/>
      </c>
      <c r="N198" s="53">
        <f t="array" ref="N198">IFERROR(INDEX(EXCEPCIONES_FECHA!$E$2:$E$201,MATCH(1,(EXCEPCIONES_FECHA!$A$2:$A$201=$A198)*(EXCEPCIONES_FECHA!$B$2:$B$201=$B198),0)),IFERROR(INDEX(EXCEPCIONES_FECHA!$E$2:$E$201,MATCH(1,(EXCEPCIONES_FECHA!$A$2:$A$201=$A198)*(EXCEPCIONES_FECHA!$B$2:$B$201=""),0)),IFERROR(INDEX(IF($I198="FIN",HISTORIAL_HORARIOS!$K$2:$K$201,HISTORIAL_HORARIOS!$G$2:$G$201),MATCH(1,(HISTORIAL_HORARIOS!$A$2:$A$201=$B198)*(HISTORIAL_HORARIOS!$C$2:$C$201&lt;=$A198)*(HISTORIAL_HORARIOS!$D$2:$D$201&gt;=$A198),0)),INDEX(IF($I198="FIN",PERSONAL!$K$2:$K$80,PERSONAL!$G$2:$G$80),MATCH($B198,PERSONAL!$A$2:$A$80,0)))))</f>
        <v/>
      </c>
      <c r="O198" s="53">
        <f t="array" ref="O198">IFERROR(INDEX(EXCEPCIONES_FECHA!$F$2:$F$201,MATCH(1,(EXCEPCIONES_FECHA!$A$2:$A$201=$A198)*(EXCEPCIONES_FECHA!$B$2:$B$201=$B198),0)),IFERROR(INDEX(EXCEPCIONES_FECHA!$F$2:$F$201,MATCH(1,(EXCEPCIONES_FECHA!$A$2:$A$201=$A198)*(EXCEPCIONES_FECHA!$B$2:$B$201=""),0)),IFERROR(INDEX(IF($I198="FIN",HISTORIAL_HORARIOS!$L$2:$L$201,HISTORIAL_HORARIOS!$H$2:$H$201),MATCH(1,(HISTORIAL_HORARIOS!$A$2:$A$201=$B198)*(HISTORIAL_HORARIOS!$C$2:$C$201&lt;=$A198)*(HISTORIAL_HORARIOS!$D$2:$D$201&gt;=$A198),0)),INDEX(IF($I198="FIN",PERSONAL!$L$2:$L$80,PERSONAL!$H$2:$H$80),MATCH($B198,PERSONAL!$A$2:$A$80,0)))))</f>
        <v/>
      </c>
    </row>
    <row r="199" ht="15" customHeight="1" s="58">
      <c r="A199" s="37" t="n"/>
      <c r="B199" s="38" t="n"/>
      <c r="C199" s="39" t="n"/>
      <c r="D199" s="39" t="n"/>
      <c r="E199" s="34">
        <f t="array" ref="E199">IF($B199="","",IFERROR(INDEX(PERSONAL!$B$2:$B$80,MATCH($B199,PERSONAL!$A$2:$A$80,0)),"NO EXISTE"))</f>
        <v/>
      </c>
      <c r="F199" s="52">
        <f t="array" ref="F199">IF($B199="","",IFERROR(INDEX(PERSONAL!$C$2:$C$80,MATCH($B199,PERSONAL!$A$2:$A$80,0)),""))</f>
        <v/>
      </c>
      <c r="G199" s="52">
        <f>IF($A199="","",CHOOSE(WEEKDAY($A199,2),"LUNES","MARTES","MIÉRCOLES","JUEVES","VIERNES","SÁBADO","DOMINGO"))</f>
        <v/>
      </c>
      <c r="H199" s="34">
        <f>IF($A199="","",CHOOSE(MONTH($A199),"ENERO","FEBRERO","MARZO","ABRIL","MAYO","JUNIO","JULIO","AGOSTO","SEPTIEMBRE","OCTUBRE","NOVIEMBRE","DICIEMBRE"))</f>
        <v/>
      </c>
      <c r="I199" s="34">
        <f>IF($A199="","",IF(OR($G199="SÁBADO",$G199="DOMINGO"),"FIN","LV"))</f>
        <v/>
      </c>
      <c r="J199" s="34">
        <f>IF(OR($A199="",$B199=""),"",IF($L199&lt;&gt;"",UPPER($L199),IF($C199="","FALTA",IFERROR(IF($C199&gt;=$O199,"ROJO FUERTE",IF($C199&gt;=$N199,"ROJO",IF($C199&gt;=$M199,"AMARILLO","VERDE"))),"REVISAR"))))</f>
        <v/>
      </c>
      <c r="K199" s="36">
        <f>IF(OR($C199="",$D199=""),"",IF($D199&gt;=$C199,($D199-$C199)*24,(1-$C199+$D199)*24))</f>
        <v/>
      </c>
      <c r="L199" s="34" t="n"/>
      <c r="M199" s="53">
        <f t="array" ref="M199">IFERROR(INDEX(EXCEPCIONES_FECHA!$D$2:$D$201,MATCH(1,(EXCEPCIONES_FECHA!$A$2:$A$201=$A199)*(EXCEPCIONES_FECHA!$B$2:$B$201=$B199),0)),IFERROR(INDEX(EXCEPCIONES_FECHA!$D$2:$D$201,MATCH(1,(EXCEPCIONES_FECHA!$A$2:$A$201=$A199)*(EXCEPCIONES_FECHA!$B$2:$B$201=""),0)),IFERROR(INDEX(IF($I199="FIN",HISTORIAL_HORARIOS!$J$2:$J$201,HISTORIAL_HORARIOS!$F$2:$F$201),MATCH(1,(HISTORIAL_HORARIOS!$A$2:$A$201=$B199)*(HISTORIAL_HORARIOS!$C$2:$C$201&lt;=$A199)*(HISTORIAL_HORARIOS!$D$2:$D$201&gt;=$A199),0)),INDEX(IF($I199="FIN",PERSONAL!$J$2:$J$80,PERSONAL!$F$2:$F$80),MATCH($B199,PERSONAL!$A$2:$A$80,0)))))</f>
        <v/>
      </c>
      <c r="N199" s="53">
        <f t="array" ref="N199">IFERROR(INDEX(EXCEPCIONES_FECHA!$E$2:$E$201,MATCH(1,(EXCEPCIONES_FECHA!$A$2:$A$201=$A199)*(EXCEPCIONES_FECHA!$B$2:$B$201=$B199),0)),IFERROR(INDEX(EXCEPCIONES_FECHA!$E$2:$E$201,MATCH(1,(EXCEPCIONES_FECHA!$A$2:$A$201=$A199)*(EXCEPCIONES_FECHA!$B$2:$B$201=""),0)),IFERROR(INDEX(IF($I199="FIN",HISTORIAL_HORARIOS!$K$2:$K$201,HISTORIAL_HORARIOS!$G$2:$G$201),MATCH(1,(HISTORIAL_HORARIOS!$A$2:$A$201=$B199)*(HISTORIAL_HORARIOS!$C$2:$C$201&lt;=$A199)*(HISTORIAL_HORARIOS!$D$2:$D$201&gt;=$A199),0)),INDEX(IF($I199="FIN",PERSONAL!$K$2:$K$80,PERSONAL!$G$2:$G$80),MATCH($B199,PERSONAL!$A$2:$A$80,0)))))</f>
        <v/>
      </c>
      <c r="O199" s="53">
        <f t="array" ref="O199">IFERROR(INDEX(EXCEPCIONES_FECHA!$F$2:$F$201,MATCH(1,(EXCEPCIONES_FECHA!$A$2:$A$201=$A199)*(EXCEPCIONES_FECHA!$B$2:$B$201=$B199),0)),IFERROR(INDEX(EXCEPCIONES_FECHA!$F$2:$F$201,MATCH(1,(EXCEPCIONES_FECHA!$A$2:$A$201=$A199)*(EXCEPCIONES_FECHA!$B$2:$B$201=""),0)),IFERROR(INDEX(IF($I199="FIN",HISTORIAL_HORARIOS!$L$2:$L$201,HISTORIAL_HORARIOS!$H$2:$H$201),MATCH(1,(HISTORIAL_HORARIOS!$A$2:$A$201=$B199)*(HISTORIAL_HORARIOS!$C$2:$C$201&lt;=$A199)*(HISTORIAL_HORARIOS!$D$2:$D$201&gt;=$A199),0)),INDEX(IF($I199="FIN",PERSONAL!$L$2:$L$80,PERSONAL!$H$2:$H$80),MATCH($B199,PERSONAL!$A$2:$A$80,0)))))</f>
        <v/>
      </c>
    </row>
    <row r="200" ht="15" customHeight="1" s="58">
      <c r="A200" s="37" t="n"/>
      <c r="B200" s="38" t="n"/>
      <c r="C200" s="39" t="n"/>
      <c r="D200" s="39" t="n"/>
      <c r="E200" s="34">
        <f t="array" ref="E200">IF($B200="","",IFERROR(INDEX(PERSONAL!$B$2:$B$80,MATCH($B200,PERSONAL!$A$2:$A$80,0)),"NO EXISTE"))</f>
        <v/>
      </c>
      <c r="F200" s="52">
        <f t="array" ref="F200">IF($B200="","",IFERROR(INDEX(PERSONAL!$C$2:$C$80,MATCH($B200,PERSONAL!$A$2:$A$80,0)),""))</f>
        <v/>
      </c>
      <c r="G200" s="52">
        <f>IF($A200="","",CHOOSE(WEEKDAY($A200,2),"LUNES","MARTES","MIÉRCOLES","JUEVES","VIERNES","SÁBADO","DOMINGO"))</f>
        <v/>
      </c>
      <c r="H200" s="34">
        <f>IF($A200="","",CHOOSE(MONTH($A200),"ENERO","FEBRERO","MARZO","ABRIL","MAYO","JUNIO","JULIO","AGOSTO","SEPTIEMBRE","OCTUBRE","NOVIEMBRE","DICIEMBRE"))</f>
        <v/>
      </c>
      <c r="I200" s="34">
        <f>IF($A200="","",IF(OR($G200="SÁBADO",$G200="DOMINGO"),"FIN","LV"))</f>
        <v/>
      </c>
      <c r="J200" s="34">
        <f>IF(OR($A200="",$B200=""),"",IF($L200&lt;&gt;"",UPPER($L200),IF($C200="","FALTA",IFERROR(IF($C200&gt;=$O200,"ROJO FUERTE",IF($C200&gt;=$N200,"ROJO",IF($C200&gt;=$M200,"AMARILLO","VERDE"))),"REVISAR"))))</f>
        <v/>
      </c>
      <c r="K200" s="36">
        <f>IF(OR($C200="",$D200=""),"",IF($D200&gt;=$C200,($D200-$C200)*24,(1-$C200+$D200)*24))</f>
        <v/>
      </c>
      <c r="L200" s="34" t="n"/>
      <c r="M200" s="53">
        <f t="array" ref="M200">IFERROR(INDEX(EXCEPCIONES_FECHA!$D$2:$D$201,MATCH(1,(EXCEPCIONES_FECHA!$A$2:$A$201=$A200)*(EXCEPCIONES_FECHA!$B$2:$B$201=$B200),0)),IFERROR(INDEX(EXCEPCIONES_FECHA!$D$2:$D$201,MATCH(1,(EXCEPCIONES_FECHA!$A$2:$A$201=$A200)*(EXCEPCIONES_FECHA!$B$2:$B$201=""),0)),IFERROR(INDEX(IF($I200="FIN",HISTORIAL_HORARIOS!$J$2:$J$201,HISTORIAL_HORARIOS!$F$2:$F$201),MATCH(1,(HISTORIAL_HORARIOS!$A$2:$A$201=$B200)*(HISTORIAL_HORARIOS!$C$2:$C$201&lt;=$A200)*(HISTORIAL_HORARIOS!$D$2:$D$201&gt;=$A200),0)),INDEX(IF($I200="FIN",PERSONAL!$J$2:$J$80,PERSONAL!$F$2:$F$80),MATCH($B200,PERSONAL!$A$2:$A$80,0)))))</f>
        <v/>
      </c>
      <c r="N200" s="53">
        <f t="array" ref="N200">IFERROR(INDEX(EXCEPCIONES_FECHA!$E$2:$E$201,MATCH(1,(EXCEPCIONES_FECHA!$A$2:$A$201=$A200)*(EXCEPCIONES_FECHA!$B$2:$B$201=$B200),0)),IFERROR(INDEX(EXCEPCIONES_FECHA!$E$2:$E$201,MATCH(1,(EXCEPCIONES_FECHA!$A$2:$A$201=$A200)*(EXCEPCIONES_FECHA!$B$2:$B$201=""),0)),IFERROR(INDEX(IF($I200="FIN",HISTORIAL_HORARIOS!$K$2:$K$201,HISTORIAL_HORARIOS!$G$2:$G$201),MATCH(1,(HISTORIAL_HORARIOS!$A$2:$A$201=$B200)*(HISTORIAL_HORARIOS!$C$2:$C$201&lt;=$A200)*(HISTORIAL_HORARIOS!$D$2:$D$201&gt;=$A200),0)),INDEX(IF($I200="FIN",PERSONAL!$K$2:$K$80,PERSONAL!$G$2:$G$80),MATCH($B200,PERSONAL!$A$2:$A$80,0)))))</f>
        <v/>
      </c>
      <c r="O200" s="53">
        <f t="array" ref="O200">IFERROR(INDEX(EXCEPCIONES_FECHA!$F$2:$F$201,MATCH(1,(EXCEPCIONES_FECHA!$A$2:$A$201=$A200)*(EXCEPCIONES_FECHA!$B$2:$B$201=$B200),0)),IFERROR(INDEX(EXCEPCIONES_FECHA!$F$2:$F$201,MATCH(1,(EXCEPCIONES_FECHA!$A$2:$A$201=$A200)*(EXCEPCIONES_FECHA!$B$2:$B$201=""),0)),IFERROR(INDEX(IF($I200="FIN",HISTORIAL_HORARIOS!$L$2:$L$201,HISTORIAL_HORARIOS!$H$2:$H$201),MATCH(1,(HISTORIAL_HORARIOS!$A$2:$A$201=$B200)*(HISTORIAL_HORARIOS!$C$2:$C$201&lt;=$A200)*(HISTORIAL_HORARIOS!$D$2:$D$201&gt;=$A200),0)),INDEX(IF($I200="FIN",PERSONAL!$L$2:$L$80,PERSONAL!$H$2:$H$80),MATCH($B200,PERSONAL!$A$2:$A$80,0)))))</f>
        <v/>
      </c>
    </row>
    <row r="201" ht="15" customHeight="1" s="58">
      <c r="A201" s="37" t="n"/>
      <c r="B201" s="38" t="n"/>
      <c r="C201" s="39" t="n"/>
      <c r="D201" s="39" t="n"/>
      <c r="E201" s="34">
        <f t="array" ref="E201">IF($B201="","",IFERROR(INDEX(PERSONAL!$B$2:$B$80,MATCH($B201,PERSONAL!$A$2:$A$80,0)),"NO EXISTE"))</f>
        <v/>
      </c>
      <c r="F201" s="52">
        <f t="array" ref="F201">IF($B201="","",IFERROR(INDEX(PERSONAL!$C$2:$C$80,MATCH($B201,PERSONAL!$A$2:$A$80,0)),""))</f>
        <v/>
      </c>
      <c r="G201" s="52">
        <f>IF($A201="","",CHOOSE(WEEKDAY($A201,2),"LUNES","MARTES","MIÉRCOLES","JUEVES","VIERNES","SÁBADO","DOMINGO"))</f>
        <v/>
      </c>
      <c r="H201" s="34">
        <f>IF($A201="","",CHOOSE(MONTH($A201),"ENERO","FEBRERO","MARZO","ABRIL","MAYO","JUNIO","JULIO","AGOSTO","SEPTIEMBRE","OCTUBRE","NOVIEMBRE","DICIEMBRE"))</f>
        <v/>
      </c>
      <c r="I201" s="34">
        <f>IF($A201="","",IF(OR($G201="SÁBADO",$G201="DOMINGO"),"FIN","LV"))</f>
        <v/>
      </c>
      <c r="J201" s="34">
        <f>IF(OR($A201="",$B201=""),"",IF($L201&lt;&gt;"",UPPER($L201),IF($C201="","FALTA",IFERROR(IF($C201&gt;=$O201,"ROJO FUERTE",IF($C201&gt;=$N201,"ROJO",IF($C201&gt;=$M201,"AMARILLO","VERDE"))),"REVISAR"))))</f>
        <v/>
      </c>
      <c r="K201" s="36">
        <f>IF(OR($C201="",$D201=""),"",IF($D201&gt;=$C201,($D201-$C201)*24,(1-$C201+$D201)*24))</f>
        <v/>
      </c>
      <c r="L201" s="34" t="n"/>
      <c r="M201" s="53">
        <f t="array" ref="M201">IFERROR(INDEX(EXCEPCIONES_FECHA!$D$2:$D$201,MATCH(1,(EXCEPCIONES_FECHA!$A$2:$A$201=$A201)*(EXCEPCIONES_FECHA!$B$2:$B$201=$B201),0)),IFERROR(INDEX(EXCEPCIONES_FECHA!$D$2:$D$201,MATCH(1,(EXCEPCIONES_FECHA!$A$2:$A$201=$A201)*(EXCEPCIONES_FECHA!$B$2:$B$201=""),0)),IFERROR(INDEX(IF($I201="FIN",HISTORIAL_HORARIOS!$J$2:$J$201,HISTORIAL_HORARIOS!$F$2:$F$201),MATCH(1,(HISTORIAL_HORARIOS!$A$2:$A$201=$B201)*(HISTORIAL_HORARIOS!$C$2:$C$201&lt;=$A201)*(HISTORIAL_HORARIOS!$D$2:$D$201&gt;=$A201),0)),INDEX(IF($I201="FIN",PERSONAL!$J$2:$J$80,PERSONAL!$F$2:$F$80),MATCH($B201,PERSONAL!$A$2:$A$80,0)))))</f>
        <v/>
      </c>
      <c r="N201" s="53">
        <f t="array" ref="N201">IFERROR(INDEX(EXCEPCIONES_FECHA!$E$2:$E$201,MATCH(1,(EXCEPCIONES_FECHA!$A$2:$A$201=$A201)*(EXCEPCIONES_FECHA!$B$2:$B$201=$B201),0)),IFERROR(INDEX(EXCEPCIONES_FECHA!$E$2:$E$201,MATCH(1,(EXCEPCIONES_FECHA!$A$2:$A$201=$A201)*(EXCEPCIONES_FECHA!$B$2:$B$201=""),0)),IFERROR(INDEX(IF($I201="FIN",HISTORIAL_HORARIOS!$K$2:$K$201,HISTORIAL_HORARIOS!$G$2:$G$201),MATCH(1,(HISTORIAL_HORARIOS!$A$2:$A$201=$B201)*(HISTORIAL_HORARIOS!$C$2:$C$201&lt;=$A201)*(HISTORIAL_HORARIOS!$D$2:$D$201&gt;=$A201),0)),INDEX(IF($I201="FIN",PERSONAL!$K$2:$K$80,PERSONAL!$G$2:$G$80),MATCH($B201,PERSONAL!$A$2:$A$80,0)))))</f>
        <v/>
      </c>
      <c r="O201" s="53">
        <f t="array" ref="O201">IFERROR(INDEX(EXCEPCIONES_FECHA!$F$2:$F$201,MATCH(1,(EXCEPCIONES_FECHA!$A$2:$A$201=$A201)*(EXCEPCIONES_FECHA!$B$2:$B$201=$B201),0)),IFERROR(INDEX(EXCEPCIONES_FECHA!$F$2:$F$201,MATCH(1,(EXCEPCIONES_FECHA!$A$2:$A$201=$A201)*(EXCEPCIONES_FECHA!$B$2:$B$201=""),0)),IFERROR(INDEX(IF($I201="FIN",HISTORIAL_HORARIOS!$L$2:$L$201,HISTORIAL_HORARIOS!$H$2:$H$201),MATCH(1,(HISTORIAL_HORARIOS!$A$2:$A$201=$B201)*(HISTORIAL_HORARIOS!$C$2:$C$201&lt;=$A201)*(HISTORIAL_HORARIOS!$D$2:$D$201&gt;=$A201),0)),INDEX(IF($I201="FIN",PERSONAL!$L$2:$L$80,PERSONAL!$H$2:$H$80),MATCH($B201,PERSONAL!$A$2:$A$80,0)))))</f>
        <v/>
      </c>
    </row>
    <row r="202" ht="15" customHeight="1" s="58">
      <c r="A202" s="37" t="n"/>
      <c r="B202" s="38" t="n"/>
      <c r="C202" s="39" t="n"/>
      <c r="D202" s="39" t="n"/>
      <c r="E202" s="34">
        <f t="array" ref="E202">IF($B202="","",IFERROR(INDEX(PERSONAL!$B$2:$B$80,MATCH($B202,PERSONAL!$A$2:$A$80,0)),"NO EXISTE"))</f>
        <v/>
      </c>
      <c r="F202" s="52">
        <f t="array" ref="F202">IF($B202="","",IFERROR(INDEX(PERSONAL!$C$2:$C$80,MATCH($B202,PERSONAL!$A$2:$A$80,0)),""))</f>
        <v/>
      </c>
      <c r="G202" s="52">
        <f>IF($A202="","",CHOOSE(WEEKDAY($A202,2),"LUNES","MARTES","MIÉRCOLES","JUEVES","VIERNES","SÁBADO","DOMINGO"))</f>
        <v/>
      </c>
      <c r="H202" s="34">
        <f>IF($A202="","",CHOOSE(MONTH($A202),"ENERO","FEBRERO","MARZO","ABRIL","MAYO","JUNIO","JULIO","AGOSTO","SEPTIEMBRE","OCTUBRE","NOVIEMBRE","DICIEMBRE"))</f>
        <v/>
      </c>
      <c r="I202" s="34">
        <f>IF($A202="","",IF(OR($G202="SÁBADO",$G202="DOMINGO"),"FIN","LV"))</f>
        <v/>
      </c>
      <c r="J202" s="34">
        <f>IF(OR($A202="",$B202=""),"",IF($L202&lt;&gt;"",UPPER($L202),IF($C202="","FALTA",IFERROR(IF($C202&gt;=$O202,"ROJO FUERTE",IF($C202&gt;=$N202,"ROJO",IF($C202&gt;=$M202,"AMARILLO","VERDE"))),"REVISAR"))))</f>
        <v/>
      </c>
      <c r="K202" s="36">
        <f>IF(OR($C202="",$D202=""),"",IF($D202&gt;=$C202,($D202-$C202)*24,(1-$C202+$D202)*24))</f>
        <v/>
      </c>
      <c r="L202" s="34" t="n"/>
      <c r="M202" s="53">
        <f t="array" ref="M202">IFERROR(INDEX(EXCEPCIONES_FECHA!$D$2:$D$201,MATCH(1,(EXCEPCIONES_FECHA!$A$2:$A$201=$A202)*(EXCEPCIONES_FECHA!$B$2:$B$201=$B202),0)),IFERROR(INDEX(EXCEPCIONES_FECHA!$D$2:$D$201,MATCH(1,(EXCEPCIONES_FECHA!$A$2:$A$201=$A202)*(EXCEPCIONES_FECHA!$B$2:$B$201=""),0)),IFERROR(INDEX(IF($I202="FIN",HISTORIAL_HORARIOS!$J$2:$J$201,HISTORIAL_HORARIOS!$F$2:$F$201),MATCH(1,(HISTORIAL_HORARIOS!$A$2:$A$201=$B202)*(HISTORIAL_HORARIOS!$C$2:$C$201&lt;=$A202)*(HISTORIAL_HORARIOS!$D$2:$D$201&gt;=$A202),0)),INDEX(IF($I202="FIN",PERSONAL!$J$2:$J$80,PERSONAL!$F$2:$F$80),MATCH($B202,PERSONAL!$A$2:$A$80,0)))))</f>
        <v/>
      </c>
      <c r="N202" s="53">
        <f t="array" ref="N202">IFERROR(INDEX(EXCEPCIONES_FECHA!$E$2:$E$201,MATCH(1,(EXCEPCIONES_FECHA!$A$2:$A$201=$A202)*(EXCEPCIONES_FECHA!$B$2:$B$201=$B202),0)),IFERROR(INDEX(EXCEPCIONES_FECHA!$E$2:$E$201,MATCH(1,(EXCEPCIONES_FECHA!$A$2:$A$201=$A202)*(EXCEPCIONES_FECHA!$B$2:$B$201=""),0)),IFERROR(INDEX(IF($I202="FIN",HISTORIAL_HORARIOS!$K$2:$K$201,HISTORIAL_HORARIOS!$G$2:$G$201),MATCH(1,(HISTORIAL_HORARIOS!$A$2:$A$201=$B202)*(HISTORIAL_HORARIOS!$C$2:$C$201&lt;=$A202)*(HISTORIAL_HORARIOS!$D$2:$D$201&gt;=$A202),0)),INDEX(IF($I202="FIN",PERSONAL!$K$2:$K$80,PERSONAL!$G$2:$G$80),MATCH($B202,PERSONAL!$A$2:$A$80,0)))))</f>
        <v/>
      </c>
      <c r="O202" s="53">
        <f t="array" ref="O202">IFERROR(INDEX(EXCEPCIONES_FECHA!$F$2:$F$201,MATCH(1,(EXCEPCIONES_FECHA!$A$2:$A$201=$A202)*(EXCEPCIONES_FECHA!$B$2:$B$201=$B202),0)),IFERROR(INDEX(EXCEPCIONES_FECHA!$F$2:$F$201,MATCH(1,(EXCEPCIONES_FECHA!$A$2:$A$201=$A202)*(EXCEPCIONES_FECHA!$B$2:$B$201=""),0)),IFERROR(INDEX(IF($I202="FIN",HISTORIAL_HORARIOS!$L$2:$L$201,HISTORIAL_HORARIOS!$H$2:$H$201),MATCH(1,(HISTORIAL_HORARIOS!$A$2:$A$201=$B202)*(HISTORIAL_HORARIOS!$C$2:$C$201&lt;=$A202)*(HISTORIAL_HORARIOS!$D$2:$D$201&gt;=$A202),0)),INDEX(IF($I202="FIN",PERSONAL!$L$2:$L$80,PERSONAL!$H$2:$H$80),MATCH($B202,PERSONAL!$A$2:$A$80,0)))))</f>
        <v/>
      </c>
    </row>
    <row r="203" ht="15" customHeight="1" s="58">
      <c r="A203" s="37" t="n"/>
      <c r="B203" s="38" t="n"/>
      <c r="C203" s="39" t="n"/>
      <c r="D203" s="39" t="n"/>
      <c r="E203" s="34">
        <f t="array" ref="E203">IF($B203="","",IFERROR(INDEX(PERSONAL!$B$2:$B$80,MATCH($B203,PERSONAL!$A$2:$A$80,0)),"NO EXISTE"))</f>
        <v/>
      </c>
      <c r="F203" s="52">
        <f t="array" ref="F203">IF($B203="","",IFERROR(INDEX(PERSONAL!$C$2:$C$80,MATCH($B203,PERSONAL!$A$2:$A$80,0)),""))</f>
        <v/>
      </c>
      <c r="G203" s="52">
        <f>IF($A203="","",CHOOSE(WEEKDAY($A203,2),"LUNES","MARTES","MIÉRCOLES","JUEVES","VIERNES","SÁBADO","DOMINGO"))</f>
        <v/>
      </c>
      <c r="H203" s="34">
        <f>IF($A203="","",CHOOSE(MONTH($A203),"ENERO","FEBRERO","MARZO","ABRIL","MAYO","JUNIO","JULIO","AGOSTO","SEPTIEMBRE","OCTUBRE","NOVIEMBRE","DICIEMBRE"))</f>
        <v/>
      </c>
      <c r="I203" s="34">
        <f>IF($A203="","",IF(OR($G203="SÁBADO",$G203="DOMINGO"),"FIN","LV"))</f>
        <v/>
      </c>
      <c r="J203" s="34">
        <f>IF(OR($A203="",$B203=""),"",IF($L203&lt;&gt;"",UPPER($L203),IF($C203="","FALTA",IFERROR(IF($C203&gt;=$O203,"ROJO FUERTE",IF($C203&gt;=$N203,"ROJO",IF($C203&gt;=$M203,"AMARILLO","VERDE"))),"REVISAR"))))</f>
        <v/>
      </c>
      <c r="K203" s="36">
        <f>IF(OR($C203="",$D203=""),"",IF($D203&gt;=$C203,($D203-$C203)*24,(1-$C203+$D203)*24))</f>
        <v/>
      </c>
      <c r="L203" s="34" t="n"/>
      <c r="M203" s="53">
        <f t="array" ref="M203">IFERROR(INDEX(EXCEPCIONES_FECHA!$D$2:$D$201,MATCH(1,(EXCEPCIONES_FECHA!$A$2:$A$201=$A203)*(EXCEPCIONES_FECHA!$B$2:$B$201=$B203),0)),IFERROR(INDEX(EXCEPCIONES_FECHA!$D$2:$D$201,MATCH(1,(EXCEPCIONES_FECHA!$A$2:$A$201=$A203)*(EXCEPCIONES_FECHA!$B$2:$B$201=""),0)),IFERROR(INDEX(IF($I203="FIN",HISTORIAL_HORARIOS!$J$2:$J$201,HISTORIAL_HORARIOS!$F$2:$F$201),MATCH(1,(HISTORIAL_HORARIOS!$A$2:$A$201=$B203)*(HISTORIAL_HORARIOS!$C$2:$C$201&lt;=$A203)*(HISTORIAL_HORARIOS!$D$2:$D$201&gt;=$A203),0)),INDEX(IF($I203="FIN",PERSONAL!$J$2:$J$80,PERSONAL!$F$2:$F$80),MATCH($B203,PERSONAL!$A$2:$A$80,0)))))</f>
        <v/>
      </c>
      <c r="N203" s="53">
        <f t="array" ref="N203">IFERROR(INDEX(EXCEPCIONES_FECHA!$E$2:$E$201,MATCH(1,(EXCEPCIONES_FECHA!$A$2:$A$201=$A203)*(EXCEPCIONES_FECHA!$B$2:$B$201=$B203),0)),IFERROR(INDEX(EXCEPCIONES_FECHA!$E$2:$E$201,MATCH(1,(EXCEPCIONES_FECHA!$A$2:$A$201=$A203)*(EXCEPCIONES_FECHA!$B$2:$B$201=""),0)),IFERROR(INDEX(IF($I203="FIN",HISTORIAL_HORARIOS!$K$2:$K$201,HISTORIAL_HORARIOS!$G$2:$G$201),MATCH(1,(HISTORIAL_HORARIOS!$A$2:$A$201=$B203)*(HISTORIAL_HORARIOS!$C$2:$C$201&lt;=$A203)*(HISTORIAL_HORARIOS!$D$2:$D$201&gt;=$A203),0)),INDEX(IF($I203="FIN",PERSONAL!$K$2:$K$80,PERSONAL!$G$2:$G$80),MATCH($B203,PERSONAL!$A$2:$A$80,0)))))</f>
        <v/>
      </c>
      <c r="O203" s="53">
        <f t="array" ref="O203">IFERROR(INDEX(EXCEPCIONES_FECHA!$F$2:$F$201,MATCH(1,(EXCEPCIONES_FECHA!$A$2:$A$201=$A203)*(EXCEPCIONES_FECHA!$B$2:$B$201=$B203),0)),IFERROR(INDEX(EXCEPCIONES_FECHA!$F$2:$F$201,MATCH(1,(EXCEPCIONES_FECHA!$A$2:$A$201=$A203)*(EXCEPCIONES_FECHA!$B$2:$B$201=""),0)),IFERROR(INDEX(IF($I203="FIN",HISTORIAL_HORARIOS!$L$2:$L$201,HISTORIAL_HORARIOS!$H$2:$H$201),MATCH(1,(HISTORIAL_HORARIOS!$A$2:$A$201=$B203)*(HISTORIAL_HORARIOS!$C$2:$C$201&lt;=$A203)*(HISTORIAL_HORARIOS!$D$2:$D$201&gt;=$A203),0)),INDEX(IF($I203="FIN",PERSONAL!$L$2:$L$80,PERSONAL!$H$2:$H$80),MATCH($B203,PERSONAL!$A$2:$A$80,0)))))</f>
        <v/>
      </c>
    </row>
    <row r="204" ht="15" customHeight="1" s="58">
      <c r="A204" s="37" t="n"/>
      <c r="B204" s="38" t="n"/>
      <c r="C204" s="39" t="n"/>
      <c r="D204" s="39" t="n"/>
      <c r="E204" s="34">
        <f t="array" ref="E204">IF($B204="","",IFERROR(INDEX(PERSONAL!$B$2:$B$80,MATCH($B204,PERSONAL!$A$2:$A$80,0)),"NO EXISTE"))</f>
        <v/>
      </c>
      <c r="F204" s="52">
        <f t="array" ref="F204">IF($B204="","",IFERROR(INDEX(PERSONAL!$C$2:$C$80,MATCH($B204,PERSONAL!$A$2:$A$80,0)),""))</f>
        <v/>
      </c>
      <c r="G204" s="52">
        <f>IF($A204="","",CHOOSE(WEEKDAY($A204,2),"LUNES","MARTES","MIÉRCOLES","JUEVES","VIERNES","SÁBADO","DOMINGO"))</f>
        <v/>
      </c>
      <c r="H204" s="34">
        <f>IF($A204="","",CHOOSE(MONTH($A204),"ENERO","FEBRERO","MARZO","ABRIL","MAYO","JUNIO","JULIO","AGOSTO","SEPTIEMBRE","OCTUBRE","NOVIEMBRE","DICIEMBRE"))</f>
        <v/>
      </c>
      <c r="I204" s="34">
        <f>IF($A204="","",IF(OR($G204="SÁBADO",$G204="DOMINGO"),"FIN","LV"))</f>
        <v/>
      </c>
      <c r="J204" s="34">
        <f>IF(OR($A204="",$B204=""),"",IF($L204&lt;&gt;"",UPPER($L204),IF($C204="","FALTA",IFERROR(IF($C204&gt;=$O204,"ROJO FUERTE",IF($C204&gt;=$N204,"ROJO",IF($C204&gt;=$M204,"AMARILLO","VERDE"))),"REVISAR"))))</f>
        <v/>
      </c>
      <c r="K204" s="36">
        <f>IF(OR($C204="",$D204=""),"",IF($D204&gt;=$C204,($D204-$C204)*24,(1-$C204+$D204)*24))</f>
        <v/>
      </c>
      <c r="L204" s="34" t="n"/>
      <c r="M204" s="53">
        <f t="array" ref="M204">IFERROR(INDEX(EXCEPCIONES_FECHA!$D$2:$D$201,MATCH(1,(EXCEPCIONES_FECHA!$A$2:$A$201=$A204)*(EXCEPCIONES_FECHA!$B$2:$B$201=$B204),0)),IFERROR(INDEX(EXCEPCIONES_FECHA!$D$2:$D$201,MATCH(1,(EXCEPCIONES_FECHA!$A$2:$A$201=$A204)*(EXCEPCIONES_FECHA!$B$2:$B$201=""),0)),IFERROR(INDEX(IF($I204="FIN",HISTORIAL_HORARIOS!$J$2:$J$201,HISTORIAL_HORARIOS!$F$2:$F$201),MATCH(1,(HISTORIAL_HORARIOS!$A$2:$A$201=$B204)*(HISTORIAL_HORARIOS!$C$2:$C$201&lt;=$A204)*(HISTORIAL_HORARIOS!$D$2:$D$201&gt;=$A204),0)),INDEX(IF($I204="FIN",PERSONAL!$J$2:$J$80,PERSONAL!$F$2:$F$80),MATCH($B204,PERSONAL!$A$2:$A$80,0)))))</f>
        <v/>
      </c>
      <c r="N204" s="53">
        <f t="array" ref="N204">IFERROR(INDEX(EXCEPCIONES_FECHA!$E$2:$E$201,MATCH(1,(EXCEPCIONES_FECHA!$A$2:$A$201=$A204)*(EXCEPCIONES_FECHA!$B$2:$B$201=$B204),0)),IFERROR(INDEX(EXCEPCIONES_FECHA!$E$2:$E$201,MATCH(1,(EXCEPCIONES_FECHA!$A$2:$A$201=$A204)*(EXCEPCIONES_FECHA!$B$2:$B$201=""),0)),IFERROR(INDEX(IF($I204="FIN",HISTORIAL_HORARIOS!$K$2:$K$201,HISTORIAL_HORARIOS!$G$2:$G$201),MATCH(1,(HISTORIAL_HORARIOS!$A$2:$A$201=$B204)*(HISTORIAL_HORARIOS!$C$2:$C$201&lt;=$A204)*(HISTORIAL_HORARIOS!$D$2:$D$201&gt;=$A204),0)),INDEX(IF($I204="FIN",PERSONAL!$K$2:$K$80,PERSONAL!$G$2:$G$80),MATCH($B204,PERSONAL!$A$2:$A$80,0)))))</f>
        <v/>
      </c>
      <c r="O204" s="53">
        <f t="array" ref="O204">IFERROR(INDEX(EXCEPCIONES_FECHA!$F$2:$F$201,MATCH(1,(EXCEPCIONES_FECHA!$A$2:$A$201=$A204)*(EXCEPCIONES_FECHA!$B$2:$B$201=$B204),0)),IFERROR(INDEX(EXCEPCIONES_FECHA!$F$2:$F$201,MATCH(1,(EXCEPCIONES_FECHA!$A$2:$A$201=$A204)*(EXCEPCIONES_FECHA!$B$2:$B$201=""),0)),IFERROR(INDEX(IF($I204="FIN",HISTORIAL_HORARIOS!$L$2:$L$201,HISTORIAL_HORARIOS!$H$2:$H$201),MATCH(1,(HISTORIAL_HORARIOS!$A$2:$A$201=$B204)*(HISTORIAL_HORARIOS!$C$2:$C$201&lt;=$A204)*(HISTORIAL_HORARIOS!$D$2:$D$201&gt;=$A204),0)),INDEX(IF($I204="FIN",PERSONAL!$L$2:$L$80,PERSONAL!$H$2:$H$80),MATCH($B204,PERSONAL!$A$2:$A$80,0)))))</f>
        <v/>
      </c>
    </row>
    <row r="205" ht="15" customHeight="1" s="58">
      <c r="A205" s="37" t="n"/>
      <c r="B205" s="38" t="n"/>
      <c r="C205" s="39" t="n"/>
      <c r="D205" s="39" t="n"/>
      <c r="E205" s="34">
        <f t="array" ref="E205">IF($B205="","",IFERROR(INDEX(PERSONAL!$B$2:$B$80,MATCH($B205,PERSONAL!$A$2:$A$80,0)),"NO EXISTE"))</f>
        <v/>
      </c>
      <c r="F205" s="52">
        <f t="array" ref="F205">IF($B205="","",IFERROR(INDEX(PERSONAL!$C$2:$C$80,MATCH($B205,PERSONAL!$A$2:$A$80,0)),""))</f>
        <v/>
      </c>
      <c r="G205" s="52">
        <f>IF($A205="","",CHOOSE(WEEKDAY($A205,2),"LUNES","MARTES","MIÉRCOLES","JUEVES","VIERNES","SÁBADO","DOMINGO"))</f>
        <v/>
      </c>
      <c r="H205" s="34">
        <f>IF($A205="","",CHOOSE(MONTH($A205),"ENERO","FEBRERO","MARZO","ABRIL","MAYO","JUNIO","JULIO","AGOSTO","SEPTIEMBRE","OCTUBRE","NOVIEMBRE","DICIEMBRE"))</f>
        <v/>
      </c>
      <c r="I205" s="34">
        <f>IF($A205="","",IF(OR($G205="SÁBADO",$G205="DOMINGO"),"FIN","LV"))</f>
        <v/>
      </c>
      <c r="J205" s="34">
        <f>IF(OR($A205="",$B205=""),"",IF($L205&lt;&gt;"",UPPER($L205),IF($C205="","FALTA",IFERROR(IF($C205&gt;=$O205,"ROJO FUERTE",IF($C205&gt;=$N205,"ROJO",IF($C205&gt;=$M205,"AMARILLO","VERDE"))),"REVISAR"))))</f>
        <v/>
      </c>
      <c r="K205" s="36">
        <f>IF(OR($C205="",$D205=""),"",IF($D205&gt;=$C205,($D205-$C205)*24,(1-$C205+$D205)*24))</f>
        <v/>
      </c>
      <c r="L205" s="34" t="n"/>
      <c r="M205" s="53">
        <f t="array" ref="M205">IFERROR(INDEX(EXCEPCIONES_FECHA!$D$2:$D$201,MATCH(1,(EXCEPCIONES_FECHA!$A$2:$A$201=$A205)*(EXCEPCIONES_FECHA!$B$2:$B$201=$B205),0)),IFERROR(INDEX(EXCEPCIONES_FECHA!$D$2:$D$201,MATCH(1,(EXCEPCIONES_FECHA!$A$2:$A$201=$A205)*(EXCEPCIONES_FECHA!$B$2:$B$201=""),0)),IFERROR(INDEX(IF($I205="FIN",HISTORIAL_HORARIOS!$J$2:$J$201,HISTORIAL_HORARIOS!$F$2:$F$201),MATCH(1,(HISTORIAL_HORARIOS!$A$2:$A$201=$B205)*(HISTORIAL_HORARIOS!$C$2:$C$201&lt;=$A205)*(HISTORIAL_HORARIOS!$D$2:$D$201&gt;=$A205),0)),INDEX(IF($I205="FIN",PERSONAL!$J$2:$J$80,PERSONAL!$F$2:$F$80),MATCH($B205,PERSONAL!$A$2:$A$80,0)))))</f>
        <v/>
      </c>
      <c r="N205" s="53">
        <f t="array" ref="N205">IFERROR(INDEX(EXCEPCIONES_FECHA!$E$2:$E$201,MATCH(1,(EXCEPCIONES_FECHA!$A$2:$A$201=$A205)*(EXCEPCIONES_FECHA!$B$2:$B$201=$B205),0)),IFERROR(INDEX(EXCEPCIONES_FECHA!$E$2:$E$201,MATCH(1,(EXCEPCIONES_FECHA!$A$2:$A$201=$A205)*(EXCEPCIONES_FECHA!$B$2:$B$201=""),0)),IFERROR(INDEX(IF($I205="FIN",HISTORIAL_HORARIOS!$K$2:$K$201,HISTORIAL_HORARIOS!$G$2:$G$201),MATCH(1,(HISTORIAL_HORARIOS!$A$2:$A$201=$B205)*(HISTORIAL_HORARIOS!$C$2:$C$201&lt;=$A205)*(HISTORIAL_HORARIOS!$D$2:$D$201&gt;=$A205),0)),INDEX(IF($I205="FIN",PERSONAL!$K$2:$K$80,PERSONAL!$G$2:$G$80),MATCH($B205,PERSONAL!$A$2:$A$80,0)))))</f>
        <v/>
      </c>
      <c r="O205" s="53">
        <f t="array" ref="O205">IFERROR(INDEX(EXCEPCIONES_FECHA!$F$2:$F$201,MATCH(1,(EXCEPCIONES_FECHA!$A$2:$A$201=$A205)*(EXCEPCIONES_FECHA!$B$2:$B$201=$B205),0)),IFERROR(INDEX(EXCEPCIONES_FECHA!$F$2:$F$201,MATCH(1,(EXCEPCIONES_FECHA!$A$2:$A$201=$A205)*(EXCEPCIONES_FECHA!$B$2:$B$201=""),0)),IFERROR(INDEX(IF($I205="FIN",HISTORIAL_HORARIOS!$L$2:$L$201,HISTORIAL_HORARIOS!$H$2:$H$201),MATCH(1,(HISTORIAL_HORARIOS!$A$2:$A$201=$B205)*(HISTORIAL_HORARIOS!$C$2:$C$201&lt;=$A205)*(HISTORIAL_HORARIOS!$D$2:$D$201&gt;=$A205),0)),INDEX(IF($I205="FIN",PERSONAL!$L$2:$L$80,PERSONAL!$H$2:$H$80),MATCH($B205,PERSONAL!$A$2:$A$80,0)))))</f>
        <v/>
      </c>
    </row>
    <row r="206" ht="15" customHeight="1" s="58">
      <c r="A206" s="37" t="n"/>
      <c r="B206" s="38" t="n"/>
      <c r="C206" s="39" t="n"/>
      <c r="D206" s="39" t="n"/>
      <c r="E206" s="34">
        <f t="array" ref="E206">IF($B206="","",IFERROR(INDEX(PERSONAL!$B$2:$B$80,MATCH($B206,PERSONAL!$A$2:$A$80,0)),"NO EXISTE"))</f>
        <v/>
      </c>
      <c r="F206" s="52">
        <f t="array" ref="F206">IF($B206="","",IFERROR(INDEX(PERSONAL!$C$2:$C$80,MATCH($B206,PERSONAL!$A$2:$A$80,0)),""))</f>
        <v/>
      </c>
      <c r="G206" s="52">
        <f>IF($A206="","",CHOOSE(WEEKDAY($A206,2),"LUNES","MARTES","MIÉRCOLES","JUEVES","VIERNES","SÁBADO","DOMINGO"))</f>
        <v/>
      </c>
      <c r="H206" s="34">
        <f>IF($A206="","",CHOOSE(MONTH($A206),"ENERO","FEBRERO","MARZO","ABRIL","MAYO","JUNIO","JULIO","AGOSTO","SEPTIEMBRE","OCTUBRE","NOVIEMBRE","DICIEMBRE"))</f>
        <v/>
      </c>
      <c r="I206" s="34">
        <f>IF($A206="","",IF(OR($G206="SÁBADO",$G206="DOMINGO"),"FIN","LV"))</f>
        <v/>
      </c>
      <c r="J206" s="34">
        <f>IF(OR($A206="",$B206=""),"",IF($L206&lt;&gt;"",UPPER($L206),IF($C206="","FALTA",IFERROR(IF($C206&gt;=$O206,"ROJO FUERTE",IF($C206&gt;=$N206,"ROJO",IF($C206&gt;=$M206,"AMARILLO","VERDE"))),"REVISAR"))))</f>
        <v/>
      </c>
      <c r="K206" s="36">
        <f>IF(OR($C206="",$D206=""),"",IF($D206&gt;=$C206,($D206-$C206)*24,(1-$C206+$D206)*24))</f>
        <v/>
      </c>
      <c r="L206" s="34" t="n"/>
      <c r="M206" s="53">
        <f t="array" ref="M206">IFERROR(INDEX(EXCEPCIONES_FECHA!$D$2:$D$201,MATCH(1,(EXCEPCIONES_FECHA!$A$2:$A$201=$A206)*(EXCEPCIONES_FECHA!$B$2:$B$201=$B206),0)),IFERROR(INDEX(EXCEPCIONES_FECHA!$D$2:$D$201,MATCH(1,(EXCEPCIONES_FECHA!$A$2:$A$201=$A206)*(EXCEPCIONES_FECHA!$B$2:$B$201=""),0)),IFERROR(INDEX(IF($I206="FIN",HISTORIAL_HORARIOS!$J$2:$J$201,HISTORIAL_HORARIOS!$F$2:$F$201),MATCH(1,(HISTORIAL_HORARIOS!$A$2:$A$201=$B206)*(HISTORIAL_HORARIOS!$C$2:$C$201&lt;=$A206)*(HISTORIAL_HORARIOS!$D$2:$D$201&gt;=$A206),0)),INDEX(IF($I206="FIN",PERSONAL!$J$2:$J$80,PERSONAL!$F$2:$F$80),MATCH($B206,PERSONAL!$A$2:$A$80,0)))))</f>
        <v/>
      </c>
      <c r="N206" s="53">
        <f t="array" ref="N206">IFERROR(INDEX(EXCEPCIONES_FECHA!$E$2:$E$201,MATCH(1,(EXCEPCIONES_FECHA!$A$2:$A$201=$A206)*(EXCEPCIONES_FECHA!$B$2:$B$201=$B206),0)),IFERROR(INDEX(EXCEPCIONES_FECHA!$E$2:$E$201,MATCH(1,(EXCEPCIONES_FECHA!$A$2:$A$201=$A206)*(EXCEPCIONES_FECHA!$B$2:$B$201=""),0)),IFERROR(INDEX(IF($I206="FIN",HISTORIAL_HORARIOS!$K$2:$K$201,HISTORIAL_HORARIOS!$G$2:$G$201),MATCH(1,(HISTORIAL_HORARIOS!$A$2:$A$201=$B206)*(HISTORIAL_HORARIOS!$C$2:$C$201&lt;=$A206)*(HISTORIAL_HORARIOS!$D$2:$D$201&gt;=$A206),0)),INDEX(IF($I206="FIN",PERSONAL!$K$2:$K$80,PERSONAL!$G$2:$G$80),MATCH($B206,PERSONAL!$A$2:$A$80,0)))))</f>
        <v/>
      </c>
      <c r="O206" s="53">
        <f t="array" ref="O206">IFERROR(INDEX(EXCEPCIONES_FECHA!$F$2:$F$201,MATCH(1,(EXCEPCIONES_FECHA!$A$2:$A$201=$A206)*(EXCEPCIONES_FECHA!$B$2:$B$201=$B206),0)),IFERROR(INDEX(EXCEPCIONES_FECHA!$F$2:$F$201,MATCH(1,(EXCEPCIONES_FECHA!$A$2:$A$201=$A206)*(EXCEPCIONES_FECHA!$B$2:$B$201=""),0)),IFERROR(INDEX(IF($I206="FIN",HISTORIAL_HORARIOS!$L$2:$L$201,HISTORIAL_HORARIOS!$H$2:$H$201),MATCH(1,(HISTORIAL_HORARIOS!$A$2:$A$201=$B206)*(HISTORIAL_HORARIOS!$C$2:$C$201&lt;=$A206)*(HISTORIAL_HORARIOS!$D$2:$D$201&gt;=$A206),0)),INDEX(IF($I206="FIN",PERSONAL!$L$2:$L$80,PERSONAL!$H$2:$H$80),MATCH($B206,PERSONAL!$A$2:$A$80,0)))))</f>
        <v/>
      </c>
    </row>
    <row r="207" ht="15" customHeight="1" s="58">
      <c r="A207" s="37" t="n"/>
      <c r="B207" s="38" t="n"/>
      <c r="C207" s="39" t="n"/>
      <c r="D207" s="39" t="n"/>
      <c r="E207" s="34">
        <f t="array" ref="E207">IF($B207="","",IFERROR(INDEX(PERSONAL!$B$2:$B$80,MATCH($B207,PERSONAL!$A$2:$A$80,0)),"NO EXISTE"))</f>
        <v/>
      </c>
      <c r="F207" s="52">
        <f t="array" ref="F207">IF($B207="","",IFERROR(INDEX(PERSONAL!$C$2:$C$80,MATCH($B207,PERSONAL!$A$2:$A$80,0)),""))</f>
        <v/>
      </c>
      <c r="G207" s="52">
        <f>IF($A207="","",CHOOSE(WEEKDAY($A207,2),"LUNES","MARTES","MIÉRCOLES","JUEVES","VIERNES","SÁBADO","DOMINGO"))</f>
        <v/>
      </c>
      <c r="H207" s="34">
        <f>IF($A207="","",CHOOSE(MONTH($A207),"ENERO","FEBRERO","MARZO","ABRIL","MAYO","JUNIO","JULIO","AGOSTO","SEPTIEMBRE","OCTUBRE","NOVIEMBRE","DICIEMBRE"))</f>
        <v/>
      </c>
      <c r="I207" s="34">
        <f>IF($A207="","",IF(OR($G207="SÁBADO",$G207="DOMINGO"),"FIN","LV"))</f>
        <v/>
      </c>
      <c r="J207" s="34">
        <f>IF(OR($A207="",$B207=""),"",IF($L207&lt;&gt;"",UPPER($L207),IF($C207="","FALTA",IFERROR(IF($C207&gt;=$O207,"ROJO FUERTE",IF($C207&gt;=$N207,"ROJO",IF($C207&gt;=$M207,"AMARILLO","VERDE"))),"REVISAR"))))</f>
        <v/>
      </c>
      <c r="K207" s="36">
        <f>IF(OR($C207="",$D207=""),"",IF($D207&gt;=$C207,($D207-$C207)*24,(1-$C207+$D207)*24))</f>
        <v/>
      </c>
      <c r="L207" s="34" t="n"/>
      <c r="M207" s="53">
        <f t="array" ref="M207">IFERROR(INDEX(EXCEPCIONES_FECHA!$D$2:$D$201,MATCH(1,(EXCEPCIONES_FECHA!$A$2:$A$201=$A207)*(EXCEPCIONES_FECHA!$B$2:$B$201=$B207),0)),IFERROR(INDEX(EXCEPCIONES_FECHA!$D$2:$D$201,MATCH(1,(EXCEPCIONES_FECHA!$A$2:$A$201=$A207)*(EXCEPCIONES_FECHA!$B$2:$B$201=""),0)),IFERROR(INDEX(IF($I207="FIN",HISTORIAL_HORARIOS!$J$2:$J$201,HISTORIAL_HORARIOS!$F$2:$F$201),MATCH(1,(HISTORIAL_HORARIOS!$A$2:$A$201=$B207)*(HISTORIAL_HORARIOS!$C$2:$C$201&lt;=$A207)*(HISTORIAL_HORARIOS!$D$2:$D$201&gt;=$A207),0)),INDEX(IF($I207="FIN",PERSONAL!$J$2:$J$80,PERSONAL!$F$2:$F$80),MATCH($B207,PERSONAL!$A$2:$A$80,0)))))</f>
        <v/>
      </c>
      <c r="N207" s="53">
        <f t="array" ref="N207">IFERROR(INDEX(EXCEPCIONES_FECHA!$E$2:$E$201,MATCH(1,(EXCEPCIONES_FECHA!$A$2:$A$201=$A207)*(EXCEPCIONES_FECHA!$B$2:$B$201=$B207),0)),IFERROR(INDEX(EXCEPCIONES_FECHA!$E$2:$E$201,MATCH(1,(EXCEPCIONES_FECHA!$A$2:$A$201=$A207)*(EXCEPCIONES_FECHA!$B$2:$B$201=""),0)),IFERROR(INDEX(IF($I207="FIN",HISTORIAL_HORARIOS!$K$2:$K$201,HISTORIAL_HORARIOS!$G$2:$G$201),MATCH(1,(HISTORIAL_HORARIOS!$A$2:$A$201=$B207)*(HISTORIAL_HORARIOS!$C$2:$C$201&lt;=$A207)*(HISTORIAL_HORARIOS!$D$2:$D$201&gt;=$A207),0)),INDEX(IF($I207="FIN",PERSONAL!$K$2:$K$80,PERSONAL!$G$2:$G$80),MATCH($B207,PERSONAL!$A$2:$A$80,0)))))</f>
        <v/>
      </c>
      <c r="O207" s="53">
        <f t="array" ref="O207">IFERROR(INDEX(EXCEPCIONES_FECHA!$F$2:$F$201,MATCH(1,(EXCEPCIONES_FECHA!$A$2:$A$201=$A207)*(EXCEPCIONES_FECHA!$B$2:$B$201=$B207),0)),IFERROR(INDEX(EXCEPCIONES_FECHA!$F$2:$F$201,MATCH(1,(EXCEPCIONES_FECHA!$A$2:$A$201=$A207)*(EXCEPCIONES_FECHA!$B$2:$B$201=""),0)),IFERROR(INDEX(IF($I207="FIN",HISTORIAL_HORARIOS!$L$2:$L$201,HISTORIAL_HORARIOS!$H$2:$H$201),MATCH(1,(HISTORIAL_HORARIOS!$A$2:$A$201=$B207)*(HISTORIAL_HORARIOS!$C$2:$C$201&lt;=$A207)*(HISTORIAL_HORARIOS!$D$2:$D$201&gt;=$A207),0)),INDEX(IF($I207="FIN",PERSONAL!$L$2:$L$80,PERSONAL!$H$2:$H$80),MATCH($B207,PERSONAL!$A$2:$A$80,0)))))</f>
        <v/>
      </c>
    </row>
    <row r="208" ht="15" customHeight="1" s="58">
      <c r="A208" s="37" t="n"/>
      <c r="B208" s="38" t="n"/>
      <c r="C208" s="39" t="n"/>
      <c r="D208" s="39" t="n"/>
      <c r="E208" s="34">
        <f t="array" ref="E208">IF($B208="","",IFERROR(INDEX(PERSONAL!$B$2:$B$80,MATCH($B208,PERSONAL!$A$2:$A$80,0)),"NO EXISTE"))</f>
        <v/>
      </c>
      <c r="F208" s="52">
        <f t="array" ref="F208">IF($B208="","",IFERROR(INDEX(PERSONAL!$C$2:$C$80,MATCH($B208,PERSONAL!$A$2:$A$80,0)),""))</f>
        <v/>
      </c>
      <c r="G208" s="52">
        <f>IF($A208="","",CHOOSE(WEEKDAY($A208,2),"LUNES","MARTES","MIÉRCOLES","JUEVES","VIERNES","SÁBADO","DOMINGO"))</f>
        <v/>
      </c>
      <c r="H208" s="34">
        <f>IF($A208="","",CHOOSE(MONTH($A208),"ENERO","FEBRERO","MARZO","ABRIL","MAYO","JUNIO","JULIO","AGOSTO","SEPTIEMBRE","OCTUBRE","NOVIEMBRE","DICIEMBRE"))</f>
        <v/>
      </c>
      <c r="I208" s="34">
        <f>IF($A208="","",IF(OR($G208="SÁBADO",$G208="DOMINGO"),"FIN","LV"))</f>
        <v/>
      </c>
      <c r="J208" s="34">
        <f>IF(OR($A208="",$B208=""),"",IF($L208&lt;&gt;"",UPPER($L208),IF($C208="","FALTA",IFERROR(IF($C208&gt;=$O208,"ROJO FUERTE",IF($C208&gt;=$N208,"ROJO",IF($C208&gt;=$M208,"AMARILLO","VERDE"))),"REVISAR"))))</f>
        <v/>
      </c>
      <c r="K208" s="36">
        <f>IF(OR($C208="",$D208=""),"",IF($D208&gt;=$C208,($D208-$C208)*24,(1-$C208+$D208)*24))</f>
        <v/>
      </c>
      <c r="L208" s="34" t="n"/>
      <c r="M208" s="53">
        <f t="array" ref="M208">IFERROR(INDEX(EXCEPCIONES_FECHA!$D$2:$D$201,MATCH(1,(EXCEPCIONES_FECHA!$A$2:$A$201=$A208)*(EXCEPCIONES_FECHA!$B$2:$B$201=$B208),0)),IFERROR(INDEX(EXCEPCIONES_FECHA!$D$2:$D$201,MATCH(1,(EXCEPCIONES_FECHA!$A$2:$A$201=$A208)*(EXCEPCIONES_FECHA!$B$2:$B$201=""),0)),IFERROR(INDEX(IF($I208="FIN",HISTORIAL_HORARIOS!$J$2:$J$201,HISTORIAL_HORARIOS!$F$2:$F$201),MATCH(1,(HISTORIAL_HORARIOS!$A$2:$A$201=$B208)*(HISTORIAL_HORARIOS!$C$2:$C$201&lt;=$A208)*(HISTORIAL_HORARIOS!$D$2:$D$201&gt;=$A208),0)),INDEX(IF($I208="FIN",PERSONAL!$J$2:$J$80,PERSONAL!$F$2:$F$80),MATCH($B208,PERSONAL!$A$2:$A$80,0)))))</f>
        <v/>
      </c>
      <c r="N208" s="53">
        <f t="array" ref="N208">IFERROR(INDEX(EXCEPCIONES_FECHA!$E$2:$E$201,MATCH(1,(EXCEPCIONES_FECHA!$A$2:$A$201=$A208)*(EXCEPCIONES_FECHA!$B$2:$B$201=$B208),0)),IFERROR(INDEX(EXCEPCIONES_FECHA!$E$2:$E$201,MATCH(1,(EXCEPCIONES_FECHA!$A$2:$A$201=$A208)*(EXCEPCIONES_FECHA!$B$2:$B$201=""),0)),IFERROR(INDEX(IF($I208="FIN",HISTORIAL_HORARIOS!$K$2:$K$201,HISTORIAL_HORARIOS!$G$2:$G$201),MATCH(1,(HISTORIAL_HORARIOS!$A$2:$A$201=$B208)*(HISTORIAL_HORARIOS!$C$2:$C$201&lt;=$A208)*(HISTORIAL_HORARIOS!$D$2:$D$201&gt;=$A208),0)),INDEX(IF($I208="FIN",PERSONAL!$K$2:$K$80,PERSONAL!$G$2:$G$80),MATCH($B208,PERSONAL!$A$2:$A$80,0)))))</f>
        <v/>
      </c>
      <c r="O208" s="53">
        <f t="array" ref="O208">IFERROR(INDEX(EXCEPCIONES_FECHA!$F$2:$F$201,MATCH(1,(EXCEPCIONES_FECHA!$A$2:$A$201=$A208)*(EXCEPCIONES_FECHA!$B$2:$B$201=$B208),0)),IFERROR(INDEX(EXCEPCIONES_FECHA!$F$2:$F$201,MATCH(1,(EXCEPCIONES_FECHA!$A$2:$A$201=$A208)*(EXCEPCIONES_FECHA!$B$2:$B$201=""),0)),IFERROR(INDEX(IF($I208="FIN",HISTORIAL_HORARIOS!$L$2:$L$201,HISTORIAL_HORARIOS!$H$2:$H$201),MATCH(1,(HISTORIAL_HORARIOS!$A$2:$A$201=$B208)*(HISTORIAL_HORARIOS!$C$2:$C$201&lt;=$A208)*(HISTORIAL_HORARIOS!$D$2:$D$201&gt;=$A208),0)),INDEX(IF($I208="FIN",PERSONAL!$L$2:$L$80,PERSONAL!$H$2:$H$80),MATCH($B208,PERSONAL!$A$2:$A$80,0)))))</f>
        <v/>
      </c>
    </row>
    <row r="209" ht="15" customHeight="1" s="58">
      <c r="A209" s="37" t="n"/>
      <c r="B209" s="38" t="n"/>
      <c r="C209" s="39" t="n"/>
      <c r="D209" s="39" t="n"/>
      <c r="E209" s="34">
        <f t="array" ref="E209">IF($B209="","",IFERROR(INDEX(PERSONAL!$B$2:$B$80,MATCH($B209,PERSONAL!$A$2:$A$80,0)),"NO EXISTE"))</f>
        <v/>
      </c>
      <c r="F209" s="52">
        <f t="array" ref="F209">IF($B209="","",IFERROR(INDEX(PERSONAL!$C$2:$C$80,MATCH($B209,PERSONAL!$A$2:$A$80,0)),""))</f>
        <v/>
      </c>
      <c r="G209" s="52">
        <f>IF($A209="","",CHOOSE(WEEKDAY($A209,2),"LUNES","MARTES","MIÉRCOLES","JUEVES","VIERNES","SÁBADO","DOMINGO"))</f>
        <v/>
      </c>
      <c r="H209" s="34">
        <f>IF($A209="","",CHOOSE(MONTH($A209),"ENERO","FEBRERO","MARZO","ABRIL","MAYO","JUNIO","JULIO","AGOSTO","SEPTIEMBRE","OCTUBRE","NOVIEMBRE","DICIEMBRE"))</f>
        <v/>
      </c>
      <c r="I209" s="34">
        <f>IF($A209="","",IF(OR($G209="SÁBADO",$G209="DOMINGO"),"FIN","LV"))</f>
        <v/>
      </c>
      <c r="J209" s="34">
        <f>IF(OR($A209="",$B209=""),"",IF($L209&lt;&gt;"",UPPER($L209),IF($C209="","FALTA",IFERROR(IF($C209&gt;=$O209,"ROJO FUERTE",IF($C209&gt;=$N209,"ROJO",IF($C209&gt;=$M209,"AMARILLO","VERDE"))),"REVISAR"))))</f>
        <v/>
      </c>
      <c r="K209" s="36">
        <f>IF(OR($C209="",$D209=""),"",IF($D209&gt;=$C209,($D209-$C209)*24,(1-$C209+$D209)*24))</f>
        <v/>
      </c>
      <c r="L209" s="34" t="n"/>
      <c r="M209" s="53">
        <f t="array" ref="M209">IFERROR(INDEX(EXCEPCIONES_FECHA!$D$2:$D$201,MATCH(1,(EXCEPCIONES_FECHA!$A$2:$A$201=$A209)*(EXCEPCIONES_FECHA!$B$2:$B$201=$B209),0)),IFERROR(INDEX(EXCEPCIONES_FECHA!$D$2:$D$201,MATCH(1,(EXCEPCIONES_FECHA!$A$2:$A$201=$A209)*(EXCEPCIONES_FECHA!$B$2:$B$201=""),0)),IFERROR(INDEX(IF($I209="FIN",HISTORIAL_HORARIOS!$J$2:$J$201,HISTORIAL_HORARIOS!$F$2:$F$201),MATCH(1,(HISTORIAL_HORARIOS!$A$2:$A$201=$B209)*(HISTORIAL_HORARIOS!$C$2:$C$201&lt;=$A209)*(HISTORIAL_HORARIOS!$D$2:$D$201&gt;=$A209),0)),INDEX(IF($I209="FIN",PERSONAL!$J$2:$J$80,PERSONAL!$F$2:$F$80),MATCH($B209,PERSONAL!$A$2:$A$80,0)))))</f>
        <v/>
      </c>
      <c r="N209" s="53">
        <f t="array" ref="N209">IFERROR(INDEX(EXCEPCIONES_FECHA!$E$2:$E$201,MATCH(1,(EXCEPCIONES_FECHA!$A$2:$A$201=$A209)*(EXCEPCIONES_FECHA!$B$2:$B$201=$B209),0)),IFERROR(INDEX(EXCEPCIONES_FECHA!$E$2:$E$201,MATCH(1,(EXCEPCIONES_FECHA!$A$2:$A$201=$A209)*(EXCEPCIONES_FECHA!$B$2:$B$201=""),0)),IFERROR(INDEX(IF($I209="FIN",HISTORIAL_HORARIOS!$K$2:$K$201,HISTORIAL_HORARIOS!$G$2:$G$201),MATCH(1,(HISTORIAL_HORARIOS!$A$2:$A$201=$B209)*(HISTORIAL_HORARIOS!$C$2:$C$201&lt;=$A209)*(HISTORIAL_HORARIOS!$D$2:$D$201&gt;=$A209),0)),INDEX(IF($I209="FIN",PERSONAL!$K$2:$K$80,PERSONAL!$G$2:$G$80),MATCH($B209,PERSONAL!$A$2:$A$80,0)))))</f>
        <v/>
      </c>
      <c r="O209" s="53">
        <f t="array" ref="O209">IFERROR(INDEX(EXCEPCIONES_FECHA!$F$2:$F$201,MATCH(1,(EXCEPCIONES_FECHA!$A$2:$A$201=$A209)*(EXCEPCIONES_FECHA!$B$2:$B$201=$B209),0)),IFERROR(INDEX(EXCEPCIONES_FECHA!$F$2:$F$201,MATCH(1,(EXCEPCIONES_FECHA!$A$2:$A$201=$A209)*(EXCEPCIONES_FECHA!$B$2:$B$201=""),0)),IFERROR(INDEX(IF($I209="FIN",HISTORIAL_HORARIOS!$L$2:$L$201,HISTORIAL_HORARIOS!$H$2:$H$201),MATCH(1,(HISTORIAL_HORARIOS!$A$2:$A$201=$B209)*(HISTORIAL_HORARIOS!$C$2:$C$201&lt;=$A209)*(HISTORIAL_HORARIOS!$D$2:$D$201&gt;=$A209),0)),INDEX(IF($I209="FIN",PERSONAL!$L$2:$L$80,PERSONAL!$H$2:$H$80),MATCH($B209,PERSONAL!$A$2:$A$80,0)))))</f>
        <v/>
      </c>
    </row>
    <row r="210" ht="15" customHeight="1" s="58">
      <c r="A210" s="37" t="n"/>
      <c r="B210" s="38" t="n"/>
      <c r="C210" s="39" t="n"/>
      <c r="D210" s="39" t="n"/>
      <c r="E210" s="34">
        <f t="array" ref="E210">IF($B210="","",IFERROR(INDEX(PERSONAL!$B$2:$B$80,MATCH($B210,PERSONAL!$A$2:$A$80,0)),"NO EXISTE"))</f>
        <v/>
      </c>
      <c r="F210" s="52">
        <f t="array" ref="F210">IF($B210="","",IFERROR(INDEX(PERSONAL!$C$2:$C$80,MATCH($B210,PERSONAL!$A$2:$A$80,0)),""))</f>
        <v/>
      </c>
      <c r="G210" s="52">
        <f>IF($A210="","",CHOOSE(WEEKDAY($A210,2),"LUNES","MARTES","MIÉRCOLES","JUEVES","VIERNES","SÁBADO","DOMINGO"))</f>
        <v/>
      </c>
      <c r="H210" s="34">
        <f>IF($A210="","",CHOOSE(MONTH($A210),"ENERO","FEBRERO","MARZO","ABRIL","MAYO","JUNIO","JULIO","AGOSTO","SEPTIEMBRE","OCTUBRE","NOVIEMBRE","DICIEMBRE"))</f>
        <v/>
      </c>
      <c r="I210" s="34">
        <f>IF($A210="","",IF(OR($G210="SÁBADO",$G210="DOMINGO"),"FIN","LV"))</f>
        <v/>
      </c>
      <c r="J210" s="34">
        <f>IF(OR($A210="",$B210=""),"",IF($L210&lt;&gt;"",UPPER($L210),IF($C210="","FALTA",IFERROR(IF($C210&gt;=$O210,"ROJO FUERTE",IF($C210&gt;=$N210,"ROJO",IF($C210&gt;=$M210,"AMARILLO","VERDE"))),"REVISAR"))))</f>
        <v/>
      </c>
      <c r="K210" s="36">
        <f>IF(OR($C210="",$D210=""),"",IF($D210&gt;=$C210,($D210-$C210)*24,(1-$C210+$D210)*24))</f>
        <v/>
      </c>
      <c r="L210" s="34" t="n"/>
      <c r="M210" s="53">
        <f t="array" ref="M210">IFERROR(INDEX(EXCEPCIONES_FECHA!$D$2:$D$201,MATCH(1,(EXCEPCIONES_FECHA!$A$2:$A$201=$A210)*(EXCEPCIONES_FECHA!$B$2:$B$201=$B210),0)),IFERROR(INDEX(EXCEPCIONES_FECHA!$D$2:$D$201,MATCH(1,(EXCEPCIONES_FECHA!$A$2:$A$201=$A210)*(EXCEPCIONES_FECHA!$B$2:$B$201=""),0)),IFERROR(INDEX(IF($I210="FIN",HISTORIAL_HORARIOS!$J$2:$J$201,HISTORIAL_HORARIOS!$F$2:$F$201),MATCH(1,(HISTORIAL_HORARIOS!$A$2:$A$201=$B210)*(HISTORIAL_HORARIOS!$C$2:$C$201&lt;=$A210)*(HISTORIAL_HORARIOS!$D$2:$D$201&gt;=$A210),0)),INDEX(IF($I210="FIN",PERSONAL!$J$2:$J$80,PERSONAL!$F$2:$F$80),MATCH($B210,PERSONAL!$A$2:$A$80,0)))))</f>
        <v/>
      </c>
      <c r="N210" s="53">
        <f t="array" ref="N210">IFERROR(INDEX(EXCEPCIONES_FECHA!$E$2:$E$201,MATCH(1,(EXCEPCIONES_FECHA!$A$2:$A$201=$A210)*(EXCEPCIONES_FECHA!$B$2:$B$201=$B210),0)),IFERROR(INDEX(EXCEPCIONES_FECHA!$E$2:$E$201,MATCH(1,(EXCEPCIONES_FECHA!$A$2:$A$201=$A210)*(EXCEPCIONES_FECHA!$B$2:$B$201=""),0)),IFERROR(INDEX(IF($I210="FIN",HISTORIAL_HORARIOS!$K$2:$K$201,HISTORIAL_HORARIOS!$G$2:$G$201),MATCH(1,(HISTORIAL_HORARIOS!$A$2:$A$201=$B210)*(HISTORIAL_HORARIOS!$C$2:$C$201&lt;=$A210)*(HISTORIAL_HORARIOS!$D$2:$D$201&gt;=$A210),0)),INDEX(IF($I210="FIN",PERSONAL!$K$2:$K$80,PERSONAL!$G$2:$G$80),MATCH($B210,PERSONAL!$A$2:$A$80,0)))))</f>
        <v/>
      </c>
      <c r="O210" s="53">
        <f t="array" ref="O210">IFERROR(INDEX(EXCEPCIONES_FECHA!$F$2:$F$201,MATCH(1,(EXCEPCIONES_FECHA!$A$2:$A$201=$A210)*(EXCEPCIONES_FECHA!$B$2:$B$201=$B210),0)),IFERROR(INDEX(EXCEPCIONES_FECHA!$F$2:$F$201,MATCH(1,(EXCEPCIONES_FECHA!$A$2:$A$201=$A210)*(EXCEPCIONES_FECHA!$B$2:$B$201=""),0)),IFERROR(INDEX(IF($I210="FIN",HISTORIAL_HORARIOS!$L$2:$L$201,HISTORIAL_HORARIOS!$H$2:$H$201),MATCH(1,(HISTORIAL_HORARIOS!$A$2:$A$201=$B210)*(HISTORIAL_HORARIOS!$C$2:$C$201&lt;=$A210)*(HISTORIAL_HORARIOS!$D$2:$D$201&gt;=$A210),0)),INDEX(IF($I210="FIN",PERSONAL!$L$2:$L$80,PERSONAL!$H$2:$H$80),MATCH($B210,PERSONAL!$A$2:$A$80,0)))))</f>
        <v/>
      </c>
    </row>
    <row r="211" ht="15" customHeight="1" s="58">
      <c r="A211" s="37" t="n"/>
      <c r="B211" s="38" t="n"/>
      <c r="C211" s="39" t="n"/>
      <c r="D211" s="39" t="n"/>
      <c r="E211" s="34">
        <f t="array" ref="E211">IF($B211="","",IFERROR(INDEX(PERSONAL!$B$2:$B$80,MATCH($B211,PERSONAL!$A$2:$A$80,0)),"NO EXISTE"))</f>
        <v/>
      </c>
      <c r="F211" s="52">
        <f t="array" ref="F211">IF($B211="","",IFERROR(INDEX(PERSONAL!$C$2:$C$80,MATCH($B211,PERSONAL!$A$2:$A$80,0)),""))</f>
        <v/>
      </c>
      <c r="G211" s="52">
        <f>IF($A211="","",CHOOSE(WEEKDAY($A211,2),"LUNES","MARTES","MIÉRCOLES","JUEVES","VIERNES","SÁBADO","DOMINGO"))</f>
        <v/>
      </c>
      <c r="H211" s="34">
        <f>IF($A211="","",CHOOSE(MONTH($A211),"ENERO","FEBRERO","MARZO","ABRIL","MAYO","JUNIO","JULIO","AGOSTO","SEPTIEMBRE","OCTUBRE","NOVIEMBRE","DICIEMBRE"))</f>
        <v/>
      </c>
      <c r="I211" s="34">
        <f>IF($A211="","",IF(OR($G211="SÁBADO",$G211="DOMINGO"),"FIN","LV"))</f>
        <v/>
      </c>
      <c r="J211" s="34">
        <f>IF(OR($A211="",$B211=""),"",IF($L211&lt;&gt;"",UPPER($L211),IF($C211="","FALTA",IFERROR(IF($C211&gt;=$O211,"ROJO FUERTE",IF($C211&gt;=$N211,"ROJO",IF($C211&gt;=$M211,"AMARILLO","VERDE"))),"REVISAR"))))</f>
        <v/>
      </c>
      <c r="K211" s="36">
        <f>IF(OR($C211="",$D211=""),"",IF($D211&gt;=$C211,($D211-$C211)*24,(1-$C211+$D211)*24))</f>
        <v/>
      </c>
      <c r="L211" s="34" t="n"/>
      <c r="M211" s="53">
        <f t="array" ref="M211">IFERROR(INDEX(EXCEPCIONES_FECHA!$D$2:$D$201,MATCH(1,(EXCEPCIONES_FECHA!$A$2:$A$201=$A211)*(EXCEPCIONES_FECHA!$B$2:$B$201=$B211),0)),IFERROR(INDEX(EXCEPCIONES_FECHA!$D$2:$D$201,MATCH(1,(EXCEPCIONES_FECHA!$A$2:$A$201=$A211)*(EXCEPCIONES_FECHA!$B$2:$B$201=""),0)),IFERROR(INDEX(IF($I211="FIN",HISTORIAL_HORARIOS!$J$2:$J$201,HISTORIAL_HORARIOS!$F$2:$F$201),MATCH(1,(HISTORIAL_HORARIOS!$A$2:$A$201=$B211)*(HISTORIAL_HORARIOS!$C$2:$C$201&lt;=$A211)*(HISTORIAL_HORARIOS!$D$2:$D$201&gt;=$A211),0)),INDEX(IF($I211="FIN",PERSONAL!$J$2:$J$80,PERSONAL!$F$2:$F$80),MATCH($B211,PERSONAL!$A$2:$A$80,0)))))</f>
        <v/>
      </c>
      <c r="N211" s="53">
        <f t="array" ref="N211">IFERROR(INDEX(EXCEPCIONES_FECHA!$E$2:$E$201,MATCH(1,(EXCEPCIONES_FECHA!$A$2:$A$201=$A211)*(EXCEPCIONES_FECHA!$B$2:$B$201=$B211),0)),IFERROR(INDEX(EXCEPCIONES_FECHA!$E$2:$E$201,MATCH(1,(EXCEPCIONES_FECHA!$A$2:$A$201=$A211)*(EXCEPCIONES_FECHA!$B$2:$B$201=""),0)),IFERROR(INDEX(IF($I211="FIN",HISTORIAL_HORARIOS!$K$2:$K$201,HISTORIAL_HORARIOS!$G$2:$G$201),MATCH(1,(HISTORIAL_HORARIOS!$A$2:$A$201=$B211)*(HISTORIAL_HORARIOS!$C$2:$C$201&lt;=$A211)*(HISTORIAL_HORARIOS!$D$2:$D$201&gt;=$A211),0)),INDEX(IF($I211="FIN",PERSONAL!$K$2:$K$80,PERSONAL!$G$2:$G$80),MATCH($B211,PERSONAL!$A$2:$A$80,0)))))</f>
        <v/>
      </c>
      <c r="O211" s="53">
        <f t="array" ref="O211">IFERROR(INDEX(EXCEPCIONES_FECHA!$F$2:$F$201,MATCH(1,(EXCEPCIONES_FECHA!$A$2:$A$201=$A211)*(EXCEPCIONES_FECHA!$B$2:$B$201=$B211),0)),IFERROR(INDEX(EXCEPCIONES_FECHA!$F$2:$F$201,MATCH(1,(EXCEPCIONES_FECHA!$A$2:$A$201=$A211)*(EXCEPCIONES_FECHA!$B$2:$B$201=""),0)),IFERROR(INDEX(IF($I211="FIN",HISTORIAL_HORARIOS!$L$2:$L$201,HISTORIAL_HORARIOS!$H$2:$H$201),MATCH(1,(HISTORIAL_HORARIOS!$A$2:$A$201=$B211)*(HISTORIAL_HORARIOS!$C$2:$C$201&lt;=$A211)*(HISTORIAL_HORARIOS!$D$2:$D$201&gt;=$A211),0)),INDEX(IF($I211="FIN",PERSONAL!$L$2:$L$80,PERSONAL!$H$2:$H$80),MATCH($B211,PERSONAL!$A$2:$A$80,0)))))</f>
        <v/>
      </c>
    </row>
    <row r="212" ht="15" customHeight="1" s="58">
      <c r="A212" s="37" t="n"/>
      <c r="B212" s="38" t="n"/>
      <c r="C212" s="39" t="n"/>
      <c r="D212" s="39" t="n"/>
      <c r="E212" s="34">
        <f t="array" ref="E212">IF($B212="","",IFERROR(INDEX(PERSONAL!$B$2:$B$80,MATCH($B212,PERSONAL!$A$2:$A$80,0)),"NO EXISTE"))</f>
        <v/>
      </c>
      <c r="F212" s="52">
        <f t="array" ref="F212">IF($B212="","",IFERROR(INDEX(PERSONAL!$C$2:$C$80,MATCH($B212,PERSONAL!$A$2:$A$80,0)),""))</f>
        <v/>
      </c>
      <c r="G212" s="52">
        <f>IF($A212="","",CHOOSE(WEEKDAY($A212,2),"LUNES","MARTES","MIÉRCOLES","JUEVES","VIERNES","SÁBADO","DOMINGO"))</f>
        <v/>
      </c>
      <c r="H212" s="34">
        <f>IF($A212="","",CHOOSE(MONTH($A212),"ENERO","FEBRERO","MARZO","ABRIL","MAYO","JUNIO","JULIO","AGOSTO","SEPTIEMBRE","OCTUBRE","NOVIEMBRE","DICIEMBRE"))</f>
        <v/>
      </c>
      <c r="I212" s="34">
        <f>IF($A212="","",IF(OR($G212="SÁBADO",$G212="DOMINGO"),"FIN","LV"))</f>
        <v/>
      </c>
      <c r="J212" s="34">
        <f>IF(OR($A212="",$B212=""),"",IF($L212&lt;&gt;"",UPPER($L212),IF($C212="","FALTA",IFERROR(IF($C212&gt;=$O212,"ROJO FUERTE",IF($C212&gt;=$N212,"ROJO",IF($C212&gt;=$M212,"AMARILLO","VERDE"))),"REVISAR"))))</f>
        <v/>
      </c>
      <c r="K212" s="36">
        <f>IF(OR($C212="",$D212=""),"",IF($D212&gt;=$C212,($D212-$C212)*24,(1-$C212+$D212)*24))</f>
        <v/>
      </c>
      <c r="L212" s="34" t="n"/>
      <c r="M212" s="53">
        <f t="array" ref="M212">IFERROR(INDEX(EXCEPCIONES_FECHA!$D$2:$D$201,MATCH(1,(EXCEPCIONES_FECHA!$A$2:$A$201=$A212)*(EXCEPCIONES_FECHA!$B$2:$B$201=$B212),0)),IFERROR(INDEX(EXCEPCIONES_FECHA!$D$2:$D$201,MATCH(1,(EXCEPCIONES_FECHA!$A$2:$A$201=$A212)*(EXCEPCIONES_FECHA!$B$2:$B$201=""),0)),IFERROR(INDEX(IF($I212="FIN",HISTORIAL_HORARIOS!$J$2:$J$201,HISTORIAL_HORARIOS!$F$2:$F$201),MATCH(1,(HISTORIAL_HORARIOS!$A$2:$A$201=$B212)*(HISTORIAL_HORARIOS!$C$2:$C$201&lt;=$A212)*(HISTORIAL_HORARIOS!$D$2:$D$201&gt;=$A212),0)),INDEX(IF($I212="FIN",PERSONAL!$J$2:$J$80,PERSONAL!$F$2:$F$80),MATCH($B212,PERSONAL!$A$2:$A$80,0)))))</f>
        <v/>
      </c>
      <c r="N212" s="53">
        <f t="array" ref="N212">IFERROR(INDEX(EXCEPCIONES_FECHA!$E$2:$E$201,MATCH(1,(EXCEPCIONES_FECHA!$A$2:$A$201=$A212)*(EXCEPCIONES_FECHA!$B$2:$B$201=$B212),0)),IFERROR(INDEX(EXCEPCIONES_FECHA!$E$2:$E$201,MATCH(1,(EXCEPCIONES_FECHA!$A$2:$A$201=$A212)*(EXCEPCIONES_FECHA!$B$2:$B$201=""),0)),IFERROR(INDEX(IF($I212="FIN",HISTORIAL_HORARIOS!$K$2:$K$201,HISTORIAL_HORARIOS!$G$2:$G$201),MATCH(1,(HISTORIAL_HORARIOS!$A$2:$A$201=$B212)*(HISTORIAL_HORARIOS!$C$2:$C$201&lt;=$A212)*(HISTORIAL_HORARIOS!$D$2:$D$201&gt;=$A212),0)),INDEX(IF($I212="FIN",PERSONAL!$K$2:$K$80,PERSONAL!$G$2:$G$80),MATCH($B212,PERSONAL!$A$2:$A$80,0)))))</f>
        <v/>
      </c>
      <c r="O212" s="53">
        <f t="array" ref="O212">IFERROR(INDEX(EXCEPCIONES_FECHA!$F$2:$F$201,MATCH(1,(EXCEPCIONES_FECHA!$A$2:$A$201=$A212)*(EXCEPCIONES_FECHA!$B$2:$B$201=$B212),0)),IFERROR(INDEX(EXCEPCIONES_FECHA!$F$2:$F$201,MATCH(1,(EXCEPCIONES_FECHA!$A$2:$A$201=$A212)*(EXCEPCIONES_FECHA!$B$2:$B$201=""),0)),IFERROR(INDEX(IF($I212="FIN",HISTORIAL_HORARIOS!$L$2:$L$201,HISTORIAL_HORARIOS!$H$2:$H$201),MATCH(1,(HISTORIAL_HORARIOS!$A$2:$A$201=$B212)*(HISTORIAL_HORARIOS!$C$2:$C$201&lt;=$A212)*(HISTORIAL_HORARIOS!$D$2:$D$201&gt;=$A212),0)),INDEX(IF($I212="FIN",PERSONAL!$L$2:$L$80,PERSONAL!$H$2:$H$80),MATCH($B212,PERSONAL!$A$2:$A$80,0)))))</f>
        <v/>
      </c>
    </row>
    <row r="213" ht="15" customHeight="1" s="58">
      <c r="A213" s="37" t="n"/>
      <c r="B213" s="38" t="n"/>
      <c r="C213" s="39" t="n"/>
      <c r="D213" s="39" t="n"/>
      <c r="E213" s="34">
        <f t="array" ref="E213">IF($B213="","",IFERROR(INDEX(PERSONAL!$B$2:$B$80,MATCH($B213,PERSONAL!$A$2:$A$80,0)),"NO EXISTE"))</f>
        <v/>
      </c>
      <c r="F213" s="52">
        <f t="array" ref="F213">IF($B213="","",IFERROR(INDEX(PERSONAL!$C$2:$C$80,MATCH($B213,PERSONAL!$A$2:$A$80,0)),""))</f>
        <v/>
      </c>
      <c r="G213" s="52">
        <f>IF($A213="","",CHOOSE(WEEKDAY($A213,2),"LUNES","MARTES","MIÉRCOLES","JUEVES","VIERNES","SÁBADO","DOMINGO"))</f>
        <v/>
      </c>
      <c r="H213" s="34">
        <f>IF($A213="","",CHOOSE(MONTH($A213),"ENERO","FEBRERO","MARZO","ABRIL","MAYO","JUNIO","JULIO","AGOSTO","SEPTIEMBRE","OCTUBRE","NOVIEMBRE","DICIEMBRE"))</f>
        <v/>
      </c>
      <c r="I213" s="34">
        <f>IF($A213="","",IF(OR($G213="SÁBADO",$G213="DOMINGO"),"FIN","LV"))</f>
        <v/>
      </c>
      <c r="J213" s="34">
        <f>IF(OR($A213="",$B213=""),"",IF($L213&lt;&gt;"",UPPER($L213),IF($C213="","FALTA",IFERROR(IF($C213&gt;=$O213,"ROJO FUERTE",IF($C213&gt;=$N213,"ROJO",IF($C213&gt;=$M213,"AMARILLO","VERDE"))),"REVISAR"))))</f>
        <v/>
      </c>
      <c r="K213" s="36">
        <f>IF(OR($C213="",$D213=""),"",IF($D213&gt;=$C213,($D213-$C213)*24,(1-$C213+$D213)*24))</f>
        <v/>
      </c>
      <c r="L213" s="34" t="n"/>
      <c r="M213" s="53">
        <f t="array" ref="M213">IFERROR(INDEX(EXCEPCIONES_FECHA!$D$2:$D$201,MATCH(1,(EXCEPCIONES_FECHA!$A$2:$A$201=$A213)*(EXCEPCIONES_FECHA!$B$2:$B$201=$B213),0)),IFERROR(INDEX(EXCEPCIONES_FECHA!$D$2:$D$201,MATCH(1,(EXCEPCIONES_FECHA!$A$2:$A$201=$A213)*(EXCEPCIONES_FECHA!$B$2:$B$201=""),0)),IFERROR(INDEX(IF($I213="FIN",HISTORIAL_HORARIOS!$J$2:$J$201,HISTORIAL_HORARIOS!$F$2:$F$201),MATCH(1,(HISTORIAL_HORARIOS!$A$2:$A$201=$B213)*(HISTORIAL_HORARIOS!$C$2:$C$201&lt;=$A213)*(HISTORIAL_HORARIOS!$D$2:$D$201&gt;=$A213),0)),INDEX(IF($I213="FIN",PERSONAL!$J$2:$J$80,PERSONAL!$F$2:$F$80),MATCH($B213,PERSONAL!$A$2:$A$80,0)))))</f>
        <v/>
      </c>
      <c r="N213" s="53">
        <f t="array" ref="N213">IFERROR(INDEX(EXCEPCIONES_FECHA!$E$2:$E$201,MATCH(1,(EXCEPCIONES_FECHA!$A$2:$A$201=$A213)*(EXCEPCIONES_FECHA!$B$2:$B$201=$B213),0)),IFERROR(INDEX(EXCEPCIONES_FECHA!$E$2:$E$201,MATCH(1,(EXCEPCIONES_FECHA!$A$2:$A$201=$A213)*(EXCEPCIONES_FECHA!$B$2:$B$201=""),0)),IFERROR(INDEX(IF($I213="FIN",HISTORIAL_HORARIOS!$K$2:$K$201,HISTORIAL_HORARIOS!$G$2:$G$201),MATCH(1,(HISTORIAL_HORARIOS!$A$2:$A$201=$B213)*(HISTORIAL_HORARIOS!$C$2:$C$201&lt;=$A213)*(HISTORIAL_HORARIOS!$D$2:$D$201&gt;=$A213),0)),INDEX(IF($I213="FIN",PERSONAL!$K$2:$K$80,PERSONAL!$G$2:$G$80),MATCH($B213,PERSONAL!$A$2:$A$80,0)))))</f>
        <v/>
      </c>
      <c r="O213" s="53">
        <f t="array" ref="O213">IFERROR(INDEX(EXCEPCIONES_FECHA!$F$2:$F$201,MATCH(1,(EXCEPCIONES_FECHA!$A$2:$A$201=$A213)*(EXCEPCIONES_FECHA!$B$2:$B$201=$B213),0)),IFERROR(INDEX(EXCEPCIONES_FECHA!$F$2:$F$201,MATCH(1,(EXCEPCIONES_FECHA!$A$2:$A$201=$A213)*(EXCEPCIONES_FECHA!$B$2:$B$201=""),0)),IFERROR(INDEX(IF($I213="FIN",HISTORIAL_HORARIOS!$L$2:$L$201,HISTORIAL_HORARIOS!$H$2:$H$201),MATCH(1,(HISTORIAL_HORARIOS!$A$2:$A$201=$B213)*(HISTORIAL_HORARIOS!$C$2:$C$201&lt;=$A213)*(HISTORIAL_HORARIOS!$D$2:$D$201&gt;=$A213),0)),INDEX(IF($I213="FIN",PERSONAL!$L$2:$L$80,PERSONAL!$H$2:$H$80),MATCH($B213,PERSONAL!$A$2:$A$80,0)))))</f>
        <v/>
      </c>
    </row>
    <row r="214" ht="15" customHeight="1" s="58">
      <c r="A214" s="37" t="n"/>
      <c r="B214" s="38" t="n"/>
      <c r="C214" s="39" t="n"/>
      <c r="D214" s="39" t="n"/>
      <c r="E214" s="34">
        <f t="array" ref="E214">IF($B214="","",IFERROR(INDEX(PERSONAL!$B$2:$B$80,MATCH($B214,PERSONAL!$A$2:$A$80,0)),"NO EXISTE"))</f>
        <v/>
      </c>
      <c r="F214" s="52">
        <f t="array" ref="F214">IF($B214="","",IFERROR(INDEX(PERSONAL!$C$2:$C$80,MATCH($B214,PERSONAL!$A$2:$A$80,0)),""))</f>
        <v/>
      </c>
      <c r="G214" s="52">
        <f>IF($A214="","",CHOOSE(WEEKDAY($A214,2),"LUNES","MARTES","MIÉRCOLES","JUEVES","VIERNES","SÁBADO","DOMINGO"))</f>
        <v/>
      </c>
      <c r="H214" s="34">
        <f>IF($A214="","",CHOOSE(MONTH($A214),"ENERO","FEBRERO","MARZO","ABRIL","MAYO","JUNIO","JULIO","AGOSTO","SEPTIEMBRE","OCTUBRE","NOVIEMBRE","DICIEMBRE"))</f>
        <v/>
      </c>
      <c r="I214" s="34">
        <f>IF($A214="","",IF(OR($G214="SÁBADO",$G214="DOMINGO"),"FIN","LV"))</f>
        <v/>
      </c>
      <c r="J214" s="34">
        <f>IF(OR($A214="",$B214=""),"",IF($L214&lt;&gt;"",UPPER($L214),IF($C214="","FALTA",IFERROR(IF($C214&gt;=$O214,"ROJO FUERTE",IF($C214&gt;=$N214,"ROJO",IF($C214&gt;=$M214,"AMARILLO","VERDE"))),"REVISAR"))))</f>
        <v/>
      </c>
      <c r="K214" s="36">
        <f>IF(OR($C214="",$D214=""),"",IF($D214&gt;=$C214,($D214-$C214)*24,(1-$C214+$D214)*24))</f>
        <v/>
      </c>
      <c r="L214" s="34" t="n"/>
      <c r="M214" s="53">
        <f t="array" ref="M214">IFERROR(INDEX(EXCEPCIONES_FECHA!$D$2:$D$201,MATCH(1,(EXCEPCIONES_FECHA!$A$2:$A$201=$A214)*(EXCEPCIONES_FECHA!$B$2:$B$201=$B214),0)),IFERROR(INDEX(EXCEPCIONES_FECHA!$D$2:$D$201,MATCH(1,(EXCEPCIONES_FECHA!$A$2:$A$201=$A214)*(EXCEPCIONES_FECHA!$B$2:$B$201=""),0)),IFERROR(INDEX(IF($I214="FIN",HISTORIAL_HORARIOS!$J$2:$J$201,HISTORIAL_HORARIOS!$F$2:$F$201),MATCH(1,(HISTORIAL_HORARIOS!$A$2:$A$201=$B214)*(HISTORIAL_HORARIOS!$C$2:$C$201&lt;=$A214)*(HISTORIAL_HORARIOS!$D$2:$D$201&gt;=$A214),0)),INDEX(IF($I214="FIN",PERSONAL!$J$2:$J$80,PERSONAL!$F$2:$F$80),MATCH($B214,PERSONAL!$A$2:$A$80,0)))))</f>
        <v/>
      </c>
      <c r="N214" s="53">
        <f t="array" ref="N214">IFERROR(INDEX(EXCEPCIONES_FECHA!$E$2:$E$201,MATCH(1,(EXCEPCIONES_FECHA!$A$2:$A$201=$A214)*(EXCEPCIONES_FECHA!$B$2:$B$201=$B214),0)),IFERROR(INDEX(EXCEPCIONES_FECHA!$E$2:$E$201,MATCH(1,(EXCEPCIONES_FECHA!$A$2:$A$201=$A214)*(EXCEPCIONES_FECHA!$B$2:$B$201=""),0)),IFERROR(INDEX(IF($I214="FIN",HISTORIAL_HORARIOS!$K$2:$K$201,HISTORIAL_HORARIOS!$G$2:$G$201),MATCH(1,(HISTORIAL_HORARIOS!$A$2:$A$201=$B214)*(HISTORIAL_HORARIOS!$C$2:$C$201&lt;=$A214)*(HISTORIAL_HORARIOS!$D$2:$D$201&gt;=$A214),0)),INDEX(IF($I214="FIN",PERSONAL!$K$2:$K$80,PERSONAL!$G$2:$G$80),MATCH($B214,PERSONAL!$A$2:$A$80,0)))))</f>
        <v/>
      </c>
      <c r="O214" s="53">
        <f t="array" ref="O214">IFERROR(INDEX(EXCEPCIONES_FECHA!$F$2:$F$201,MATCH(1,(EXCEPCIONES_FECHA!$A$2:$A$201=$A214)*(EXCEPCIONES_FECHA!$B$2:$B$201=$B214),0)),IFERROR(INDEX(EXCEPCIONES_FECHA!$F$2:$F$201,MATCH(1,(EXCEPCIONES_FECHA!$A$2:$A$201=$A214)*(EXCEPCIONES_FECHA!$B$2:$B$201=""),0)),IFERROR(INDEX(IF($I214="FIN",HISTORIAL_HORARIOS!$L$2:$L$201,HISTORIAL_HORARIOS!$H$2:$H$201),MATCH(1,(HISTORIAL_HORARIOS!$A$2:$A$201=$B214)*(HISTORIAL_HORARIOS!$C$2:$C$201&lt;=$A214)*(HISTORIAL_HORARIOS!$D$2:$D$201&gt;=$A214),0)),INDEX(IF($I214="FIN",PERSONAL!$L$2:$L$80,PERSONAL!$H$2:$H$80),MATCH($B214,PERSONAL!$A$2:$A$80,0)))))</f>
        <v/>
      </c>
    </row>
    <row r="215" ht="15" customHeight="1" s="58">
      <c r="A215" s="37" t="n"/>
      <c r="B215" s="38" t="n"/>
      <c r="C215" s="39" t="n"/>
      <c r="D215" s="39" t="n"/>
      <c r="E215" s="34">
        <f t="array" ref="E215">IF($B215="","",IFERROR(INDEX(PERSONAL!$B$2:$B$80,MATCH($B215,PERSONAL!$A$2:$A$80,0)),"NO EXISTE"))</f>
        <v/>
      </c>
      <c r="F215" s="52">
        <f t="array" ref="F215">IF($B215="","",IFERROR(INDEX(PERSONAL!$C$2:$C$80,MATCH($B215,PERSONAL!$A$2:$A$80,0)),""))</f>
        <v/>
      </c>
      <c r="G215" s="52">
        <f>IF($A215="","",CHOOSE(WEEKDAY($A215,2),"LUNES","MARTES","MIÉRCOLES","JUEVES","VIERNES","SÁBADO","DOMINGO"))</f>
        <v/>
      </c>
      <c r="H215" s="34">
        <f>IF($A215="","",CHOOSE(MONTH($A215),"ENERO","FEBRERO","MARZO","ABRIL","MAYO","JUNIO","JULIO","AGOSTO","SEPTIEMBRE","OCTUBRE","NOVIEMBRE","DICIEMBRE"))</f>
        <v/>
      </c>
      <c r="I215" s="34">
        <f>IF($A215="","",IF(OR($G215="SÁBADO",$G215="DOMINGO"),"FIN","LV"))</f>
        <v/>
      </c>
      <c r="J215" s="34">
        <f>IF(OR($A215="",$B215=""),"",IF($L215&lt;&gt;"",UPPER($L215),IF($C215="","FALTA",IFERROR(IF($C215&gt;=$O215,"ROJO FUERTE",IF($C215&gt;=$N215,"ROJO",IF($C215&gt;=$M215,"AMARILLO","VERDE"))),"REVISAR"))))</f>
        <v/>
      </c>
      <c r="K215" s="36">
        <f>IF(OR($C215="",$D215=""),"",IF($D215&gt;=$C215,($D215-$C215)*24,(1-$C215+$D215)*24))</f>
        <v/>
      </c>
      <c r="L215" s="34" t="n"/>
      <c r="M215" s="53">
        <f t="array" ref="M215">IFERROR(INDEX(EXCEPCIONES_FECHA!$D$2:$D$201,MATCH(1,(EXCEPCIONES_FECHA!$A$2:$A$201=$A215)*(EXCEPCIONES_FECHA!$B$2:$B$201=$B215),0)),IFERROR(INDEX(EXCEPCIONES_FECHA!$D$2:$D$201,MATCH(1,(EXCEPCIONES_FECHA!$A$2:$A$201=$A215)*(EXCEPCIONES_FECHA!$B$2:$B$201=""),0)),IFERROR(INDEX(IF($I215="FIN",HISTORIAL_HORARIOS!$J$2:$J$201,HISTORIAL_HORARIOS!$F$2:$F$201),MATCH(1,(HISTORIAL_HORARIOS!$A$2:$A$201=$B215)*(HISTORIAL_HORARIOS!$C$2:$C$201&lt;=$A215)*(HISTORIAL_HORARIOS!$D$2:$D$201&gt;=$A215),0)),INDEX(IF($I215="FIN",PERSONAL!$J$2:$J$80,PERSONAL!$F$2:$F$80),MATCH($B215,PERSONAL!$A$2:$A$80,0)))))</f>
        <v/>
      </c>
      <c r="N215" s="53">
        <f t="array" ref="N215">IFERROR(INDEX(EXCEPCIONES_FECHA!$E$2:$E$201,MATCH(1,(EXCEPCIONES_FECHA!$A$2:$A$201=$A215)*(EXCEPCIONES_FECHA!$B$2:$B$201=$B215),0)),IFERROR(INDEX(EXCEPCIONES_FECHA!$E$2:$E$201,MATCH(1,(EXCEPCIONES_FECHA!$A$2:$A$201=$A215)*(EXCEPCIONES_FECHA!$B$2:$B$201=""),0)),IFERROR(INDEX(IF($I215="FIN",HISTORIAL_HORARIOS!$K$2:$K$201,HISTORIAL_HORARIOS!$G$2:$G$201),MATCH(1,(HISTORIAL_HORARIOS!$A$2:$A$201=$B215)*(HISTORIAL_HORARIOS!$C$2:$C$201&lt;=$A215)*(HISTORIAL_HORARIOS!$D$2:$D$201&gt;=$A215),0)),INDEX(IF($I215="FIN",PERSONAL!$K$2:$K$80,PERSONAL!$G$2:$G$80),MATCH($B215,PERSONAL!$A$2:$A$80,0)))))</f>
        <v/>
      </c>
      <c r="O215" s="53">
        <f t="array" ref="O215">IFERROR(INDEX(EXCEPCIONES_FECHA!$F$2:$F$201,MATCH(1,(EXCEPCIONES_FECHA!$A$2:$A$201=$A215)*(EXCEPCIONES_FECHA!$B$2:$B$201=$B215),0)),IFERROR(INDEX(EXCEPCIONES_FECHA!$F$2:$F$201,MATCH(1,(EXCEPCIONES_FECHA!$A$2:$A$201=$A215)*(EXCEPCIONES_FECHA!$B$2:$B$201=""),0)),IFERROR(INDEX(IF($I215="FIN",HISTORIAL_HORARIOS!$L$2:$L$201,HISTORIAL_HORARIOS!$H$2:$H$201),MATCH(1,(HISTORIAL_HORARIOS!$A$2:$A$201=$B215)*(HISTORIAL_HORARIOS!$C$2:$C$201&lt;=$A215)*(HISTORIAL_HORARIOS!$D$2:$D$201&gt;=$A215),0)),INDEX(IF($I215="FIN",PERSONAL!$L$2:$L$80,PERSONAL!$H$2:$H$80),MATCH($B215,PERSONAL!$A$2:$A$80,0)))))</f>
        <v/>
      </c>
    </row>
    <row r="216" ht="15" customHeight="1" s="58">
      <c r="A216" s="37" t="n"/>
      <c r="B216" s="38" t="n"/>
      <c r="C216" s="39" t="n"/>
      <c r="D216" s="39" t="n"/>
      <c r="E216" s="34">
        <f t="array" ref="E216">IF($B216="","",IFERROR(INDEX(PERSONAL!$B$2:$B$80,MATCH($B216,PERSONAL!$A$2:$A$80,0)),"NO EXISTE"))</f>
        <v/>
      </c>
      <c r="F216" s="52">
        <f t="array" ref="F216">IF($B216="","",IFERROR(INDEX(PERSONAL!$C$2:$C$80,MATCH($B216,PERSONAL!$A$2:$A$80,0)),""))</f>
        <v/>
      </c>
      <c r="G216" s="52">
        <f>IF($A216="","",CHOOSE(WEEKDAY($A216,2),"LUNES","MARTES","MIÉRCOLES","JUEVES","VIERNES","SÁBADO","DOMINGO"))</f>
        <v/>
      </c>
      <c r="H216" s="34">
        <f>IF($A216="","",CHOOSE(MONTH($A216),"ENERO","FEBRERO","MARZO","ABRIL","MAYO","JUNIO","JULIO","AGOSTO","SEPTIEMBRE","OCTUBRE","NOVIEMBRE","DICIEMBRE"))</f>
        <v/>
      </c>
      <c r="I216" s="34">
        <f>IF($A216="","",IF(OR($G216="SÁBADO",$G216="DOMINGO"),"FIN","LV"))</f>
        <v/>
      </c>
      <c r="J216" s="34">
        <f>IF(OR($A216="",$B216=""),"",IF($L216&lt;&gt;"",UPPER($L216),IF($C216="","FALTA",IFERROR(IF($C216&gt;=$O216,"ROJO FUERTE",IF($C216&gt;=$N216,"ROJO",IF($C216&gt;=$M216,"AMARILLO","VERDE"))),"REVISAR"))))</f>
        <v/>
      </c>
      <c r="K216" s="36">
        <f>IF(OR($C216="",$D216=""),"",IF($D216&gt;=$C216,($D216-$C216)*24,(1-$C216+$D216)*24))</f>
        <v/>
      </c>
      <c r="L216" s="34" t="n"/>
      <c r="M216" s="53">
        <f t="array" ref="M216">IFERROR(INDEX(EXCEPCIONES_FECHA!$D$2:$D$201,MATCH(1,(EXCEPCIONES_FECHA!$A$2:$A$201=$A216)*(EXCEPCIONES_FECHA!$B$2:$B$201=$B216),0)),IFERROR(INDEX(EXCEPCIONES_FECHA!$D$2:$D$201,MATCH(1,(EXCEPCIONES_FECHA!$A$2:$A$201=$A216)*(EXCEPCIONES_FECHA!$B$2:$B$201=""),0)),IFERROR(INDEX(IF($I216="FIN",HISTORIAL_HORARIOS!$J$2:$J$201,HISTORIAL_HORARIOS!$F$2:$F$201),MATCH(1,(HISTORIAL_HORARIOS!$A$2:$A$201=$B216)*(HISTORIAL_HORARIOS!$C$2:$C$201&lt;=$A216)*(HISTORIAL_HORARIOS!$D$2:$D$201&gt;=$A216),0)),INDEX(IF($I216="FIN",PERSONAL!$J$2:$J$80,PERSONAL!$F$2:$F$80),MATCH($B216,PERSONAL!$A$2:$A$80,0)))))</f>
        <v/>
      </c>
      <c r="N216" s="53">
        <f t="array" ref="N216">IFERROR(INDEX(EXCEPCIONES_FECHA!$E$2:$E$201,MATCH(1,(EXCEPCIONES_FECHA!$A$2:$A$201=$A216)*(EXCEPCIONES_FECHA!$B$2:$B$201=$B216),0)),IFERROR(INDEX(EXCEPCIONES_FECHA!$E$2:$E$201,MATCH(1,(EXCEPCIONES_FECHA!$A$2:$A$201=$A216)*(EXCEPCIONES_FECHA!$B$2:$B$201=""),0)),IFERROR(INDEX(IF($I216="FIN",HISTORIAL_HORARIOS!$K$2:$K$201,HISTORIAL_HORARIOS!$G$2:$G$201),MATCH(1,(HISTORIAL_HORARIOS!$A$2:$A$201=$B216)*(HISTORIAL_HORARIOS!$C$2:$C$201&lt;=$A216)*(HISTORIAL_HORARIOS!$D$2:$D$201&gt;=$A216),0)),INDEX(IF($I216="FIN",PERSONAL!$K$2:$K$80,PERSONAL!$G$2:$G$80),MATCH($B216,PERSONAL!$A$2:$A$80,0)))))</f>
        <v/>
      </c>
      <c r="O216" s="53">
        <f t="array" ref="O216">IFERROR(INDEX(EXCEPCIONES_FECHA!$F$2:$F$201,MATCH(1,(EXCEPCIONES_FECHA!$A$2:$A$201=$A216)*(EXCEPCIONES_FECHA!$B$2:$B$201=$B216),0)),IFERROR(INDEX(EXCEPCIONES_FECHA!$F$2:$F$201,MATCH(1,(EXCEPCIONES_FECHA!$A$2:$A$201=$A216)*(EXCEPCIONES_FECHA!$B$2:$B$201=""),0)),IFERROR(INDEX(IF($I216="FIN",HISTORIAL_HORARIOS!$L$2:$L$201,HISTORIAL_HORARIOS!$H$2:$H$201),MATCH(1,(HISTORIAL_HORARIOS!$A$2:$A$201=$B216)*(HISTORIAL_HORARIOS!$C$2:$C$201&lt;=$A216)*(HISTORIAL_HORARIOS!$D$2:$D$201&gt;=$A216),0)),INDEX(IF($I216="FIN",PERSONAL!$L$2:$L$80,PERSONAL!$H$2:$H$80),MATCH($B216,PERSONAL!$A$2:$A$80,0)))))</f>
        <v/>
      </c>
    </row>
    <row r="217" ht="15" customHeight="1" s="58">
      <c r="A217" s="37" t="n"/>
      <c r="B217" s="38" t="n"/>
      <c r="C217" s="39" t="n"/>
      <c r="D217" s="39" t="n"/>
      <c r="E217" s="34">
        <f t="array" ref="E217">IF($B217="","",IFERROR(INDEX(PERSONAL!$B$2:$B$80,MATCH($B217,PERSONAL!$A$2:$A$80,0)),"NO EXISTE"))</f>
        <v/>
      </c>
      <c r="F217" s="52">
        <f t="array" ref="F217">IF($B217="","",IFERROR(INDEX(PERSONAL!$C$2:$C$80,MATCH($B217,PERSONAL!$A$2:$A$80,0)),""))</f>
        <v/>
      </c>
      <c r="G217" s="52">
        <f>IF($A217="","",CHOOSE(WEEKDAY($A217,2),"LUNES","MARTES","MIÉRCOLES","JUEVES","VIERNES","SÁBADO","DOMINGO"))</f>
        <v/>
      </c>
      <c r="H217" s="34">
        <f>IF($A217="","",CHOOSE(MONTH($A217),"ENERO","FEBRERO","MARZO","ABRIL","MAYO","JUNIO","JULIO","AGOSTO","SEPTIEMBRE","OCTUBRE","NOVIEMBRE","DICIEMBRE"))</f>
        <v/>
      </c>
      <c r="I217" s="34">
        <f>IF($A217="","",IF(OR($G217="SÁBADO",$G217="DOMINGO"),"FIN","LV"))</f>
        <v/>
      </c>
      <c r="J217" s="34">
        <f>IF(OR($A217="",$B217=""),"",IF($L217&lt;&gt;"",UPPER($L217),IF($C217="","FALTA",IFERROR(IF($C217&gt;=$O217,"ROJO FUERTE",IF($C217&gt;=$N217,"ROJO",IF($C217&gt;=$M217,"AMARILLO","VERDE"))),"REVISAR"))))</f>
        <v/>
      </c>
      <c r="K217" s="36">
        <f>IF(OR($C217="",$D217=""),"",IF($D217&gt;=$C217,($D217-$C217)*24,(1-$C217+$D217)*24))</f>
        <v/>
      </c>
      <c r="L217" s="34" t="n"/>
      <c r="M217" s="53">
        <f t="array" ref="M217">IFERROR(INDEX(EXCEPCIONES_FECHA!$D$2:$D$201,MATCH(1,(EXCEPCIONES_FECHA!$A$2:$A$201=$A217)*(EXCEPCIONES_FECHA!$B$2:$B$201=$B217),0)),IFERROR(INDEX(EXCEPCIONES_FECHA!$D$2:$D$201,MATCH(1,(EXCEPCIONES_FECHA!$A$2:$A$201=$A217)*(EXCEPCIONES_FECHA!$B$2:$B$201=""),0)),IFERROR(INDEX(IF($I217="FIN",HISTORIAL_HORARIOS!$J$2:$J$201,HISTORIAL_HORARIOS!$F$2:$F$201),MATCH(1,(HISTORIAL_HORARIOS!$A$2:$A$201=$B217)*(HISTORIAL_HORARIOS!$C$2:$C$201&lt;=$A217)*(HISTORIAL_HORARIOS!$D$2:$D$201&gt;=$A217),0)),INDEX(IF($I217="FIN",PERSONAL!$J$2:$J$80,PERSONAL!$F$2:$F$80),MATCH($B217,PERSONAL!$A$2:$A$80,0)))))</f>
        <v/>
      </c>
      <c r="N217" s="53">
        <f t="array" ref="N217">IFERROR(INDEX(EXCEPCIONES_FECHA!$E$2:$E$201,MATCH(1,(EXCEPCIONES_FECHA!$A$2:$A$201=$A217)*(EXCEPCIONES_FECHA!$B$2:$B$201=$B217),0)),IFERROR(INDEX(EXCEPCIONES_FECHA!$E$2:$E$201,MATCH(1,(EXCEPCIONES_FECHA!$A$2:$A$201=$A217)*(EXCEPCIONES_FECHA!$B$2:$B$201=""),0)),IFERROR(INDEX(IF($I217="FIN",HISTORIAL_HORARIOS!$K$2:$K$201,HISTORIAL_HORARIOS!$G$2:$G$201),MATCH(1,(HISTORIAL_HORARIOS!$A$2:$A$201=$B217)*(HISTORIAL_HORARIOS!$C$2:$C$201&lt;=$A217)*(HISTORIAL_HORARIOS!$D$2:$D$201&gt;=$A217),0)),INDEX(IF($I217="FIN",PERSONAL!$K$2:$K$80,PERSONAL!$G$2:$G$80),MATCH($B217,PERSONAL!$A$2:$A$80,0)))))</f>
        <v/>
      </c>
      <c r="O217" s="53">
        <f t="array" ref="O217">IFERROR(INDEX(EXCEPCIONES_FECHA!$F$2:$F$201,MATCH(1,(EXCEPCIONES_FECHA!$A$2:$A$201=$A217)*(EXCEPCIONES_FECHA!$B$2:$B$201=$B217),0)),IFERROR(INDEX(EXCEPCIONES_FECHA!$F$2:$F$201,MATCH(1,(EXCEPCIONES_FECHA!$A$2:$A$201=$A217)*(EXCEPCIONES_FECHA!$B$2:$B$201=""),0)),IFERROR(INDEX(IF($I217="FIN",HISTORIAL_HORARIOS!$L$2:$L$201,HISTORIAL_HORARIOS!$H$2:$H$201),MATCH(1,(HISTORIAL_HORARIOS!$A$2:$A$201=$B217)*(HISTORIAL_HORARIOS!$C$2:$C$201&lt;=$A217)*(HISTORIAL_HORARIOS!$D$2:$D$201&gt;=$A217),0)),INDEX(IF($I217="FIN",PERSONAL!$L$2:$L$80,PERSONAL!$H$2:$H$80),MATCH($B217,PERSONAL!$A$2:$A$80,0)))))</f>
        <v/>
      </c>
    </row>
    <row r="218" ht="15" customHeight="1" s="58">
      <c r="A218" s="37" t="n"/>
      <c r="B218" s="38" t="n"/>
      <c r="C218" s="39" t="n"/>
      <c r="D218" s="39" t="n"/>
      <c r="E218" s="34">
        <f t="array" ref="E218">IF($B218="","",IFERROR(INDEX(PERSONAL!$B$2:$B$80,MATCH($B218,PERSONAL!$A$2:$A$80,0)),"NO EXISTE"))</f>
        <v/>
      </c>
      <c r="F218" s="52">
        <f t="array" ref="F218">IF($B218="","",IFERROR(INDEX(PERSONAL!$C$2:$C$80,MATCH($B218,PERSONAL!$A$2:$A$80,0)),""))</f>
        <v/>
      </c>
      <c r="G218" s="52">
        <f>IF($A218="","",CHOOSE(WEEKDAY($A218,2),"LUNES","MARTES","MIÉRCOLES","JUEVES","VIERNES","SÁBADO","DOMINGO"))</f>
        <v/>
      </c>
      <c r="H218" s="34">
        <f>IF($A218="","",CHOOSE(MONTH($A218),"ENERO","FEBRERO","MARZO","ABRIL","MAYO","JUNIO","JULIO","AGOSTO","SEPTIEMBRE","OCTUBRE","NOVIEMBRE","DICIEMBRE"))</f>
        <v/>
      </c>
      <c r="I218" s="34">
        <f>IF($A218="","",IF(OR($G218="SÁBADO",$G218="DOMINGO"),"FIN","LV"))</f>
        <v/>
      </c>
      <c r="J218" s="34">
        <f>IF(OR($A218="",$B218=""),"",IF($L218&lt;&gt;"",UPPER($L218),IF($C218="","FALTA",IFERROR(IF($C218&gt;=$O218,"ROJO FUERTE",IF($C218&gt;=$N218,"ROJO",IF($C218&gt;=$M218,"AMARILLO","VERDE"))),"REVISAR"))))</f>
        <v/>
      </c>
      <c r="K218" s="36">
        <f>IF(OR($C218="",$D218=""),"",IF($D218&gt;=$C218,($D218-$C218)*24,(1-$C218+$D218)*24))</f>
        <v/>
      </c>
      <c r="L218" s="34" t="n"/>
      <c r="M218" s="53">
        <f t="array" ref="M218">IFERROR(INDEX(EXCEPCIONES_FECHA!$D$2:$D$201,MATCH(1,(EXCEPCIONES_FECHA!$A$2:$A$201=$A218)*(EXCEPCIONES_FECHA!$B$2:$B$201=$B218),0)),IFERROR(INDEX(EXCEPCIONES_FECHA!$D$2:$D$201,MATCH(1,(EXCEPCIONES_FECHA!$A$2:$A$201=$A218)*(EXCEPCIONES_FECHA!$B$2:$B$201=""),0)),IFERROR(INDEX(IF($I218="FIN",HISTORIAL_HORARIOS!$J$2:$J$201,HISTORIAL_HORARIOS!$F$2:$F$201),MATCH(1,(HISTORIAL_HORARIOS!$A$2:$A$201=$B218)*(HISTORIAL_HORARIOS!$C$2:$C$201&lt;=$A218)*(HISTORIAL_HORARIOS!$D$2:$D$201&gt;=$A218),0)),INDEX(IF($I218="FIN",PERSONAL!$J$2:$J$80,PERSONAL!$F$2:$F$80),MATCH($B218,PERSONAL!$A$2:$A$80,0)))))</f>
        <v/>
      </c>
      <c r="N218" s="53">
        <f t="array" ref="N218">IFERROR(INDEX(EXCEPCIONES_FECHA!$E$2:$E$201,MATCH(1,(EXCEPCIONES_FECHA!$A$2:$A$201=$A218)*(EXCEPCIONES_FECHA!$B$2:$B$201=$B218),0)),IFERROR(INDEX(EXCEPCIONES_FECHA!$E$2:$E$201,MATCH(1,(EXCEPCIONES_FECHA!$A$2:$A$201=$A218)*(EXCEPCIONES_FECHA!$B$2:$B$201=""),0)),IFERROR(INDEX(IF($I218="FIN",HISTORIAL_HORARIOS!$K$2:$K$201,HISTORIAL_HORARIOS!$G$2:$G$201),MATCH(1,(HISTORIAL_HORARIOS!$A$2:$A$201=$B218)*(HISTORIAL_HORARIOS!$C$2:$C$201&lt;=$A218)*(HISTORIAL_HORARIOS!$D$2:$D$201&gt;=$A218),0)),INDEX(IF($I218="FIN",PERSONAL!$K$2:$K$80,PERSONAL!$G$2:$G$80),MATCH($B218,PERSONAL!$A$2:$A$80,0)))))</f>
        <v/>
      </c>
      <c r="O218" s="53">
        <f t="array" ref="O218">IFERROR(INDEX(EXCEPCIONES_FECHA!$F$2:$F$201,MATCH(1,(EXCEPCIONES_FECHA!$A$2:$A$201=$A218)*(EXCEPCIONES_FECHA!$B$2:$B$201=$B218),0)),IFERROR(INDEX(EXCEPCIONES_FECHA!$F$2:$F$201,MATCH(1,(EXCEPCIONES_FECHA!$A$2:$A$201=$A218)*(EXCEPCIONES_FECHA!$B$2:$B$201=""),0)),IFERROR(INDEX(IF($I218="FIN",HISTORIAL_HORARIOS!$L$2:$L$201,HISTORIAL_HORARIOS!$H$2:$H$201),MATCH(1,(HISTORIAL_HORARIOS!$A$2:$A$201=$B218)*(HISTORIAL_HORARIOS!$C$2:$C$201&lt;=$A218)*(HISTORIAL_HORARIOS!$D$2:$D$201&gt;=$A218),0)),INDEX(IF($I218="FIN",PERSONAL!$L$2:$L$80,PERSONAL!$H$2:$H$80),MATCH($B218,PERSONAL!$A$2:$A$80,0)))))</f>
        <v/>
      </c>
    </row>
    <row r="219" ht="15" customHeight="1" s="58">
      <c r="A219" s="37" t="n"/>
      <c r="B219" s="38" t="n"/>
      <c r="C219" s="39" t="n"/>
      <c r="D219" s="39" t="n"/>
      <c r="E219" s="34">
        <f t="array" ref="E219">IF($B219="","",IFERROR(INDEX(PERSONAL!$B$2:$B$80,MATCH($B219,PERSONAL!$A$2:$A$80,0)),"NO EXISTE"))</f>
        <v/>
      </c>
      <c r="F219" s="52">
        <f t="array" ref="F219">IF($B219="","",IFERROR(INDEX(PERSONAL!$C$2:$C$80,MATCH($B219,PERSONAL!$A$2:$A$80,0)),""))</f>
        <v/>
      </c>
      <c r="G219" s="52">
        <f>IF($A219="","",CHOOSE(WEEKDAY($A219,2),"LUNES","MARTES","MIÉRCOLES","JUEVES","VIERNES","SÁBADO","DOMINGO"))</f>
        <v/>
      </c>
      <c r="H219" s="34">
        <f>IF($A219="","",CHOOSE(MONTH($A219),"ENERO","FEBRERO","MARZO","ABRIL","MAYO","JUNIO","JULIO","AGOSTO","SEPTIEMBRE","OCTUBRE","NOVIEMBRE","DICIEMBRE"))</f>
        <v/>
      </c>
      <c r="I219" s="34">
        <f>IF($A219="","",IF(OR($G219="SÁBADO",$G219="DOMINGO"),"FIN","LV"))</f>
        <v/>
      </c>
      <c r="J219" s="34">
        <f>IF(OR($A219="",$B219=""),"",IF($L219&lt;&gt;"",UPPER($L219),IF($C219="","FALTA",IFERROR(IF($C219&gt;=$O219,"ROJO FUERTE",IF($C219&gt;=$N219,"ROJO",IF($C219&gt;=$M219,"AMARILLO","VERDE"))),"REVISAR"))))</f>
        <v/>
      </c>
      <c r="K219" s="36">
        <f>IF(OR($C219="",$D219=""),"",IF($D219&gt;=$C219,($D219-$C219)*24,(1-$C219+$D219)*24))</f>
        <v/>
      </c>
      <c r="L219" s="34" t="n"/>
      <c r="M219" s="53">
        <f t="array" ref="M219">IFERROR(INDEX(EXCEPCIONES_FECHA!$D$2:$D$201,MATCH(1,(EXCEPCIONES_FECHA!$A$2:$A$201=$A219)*(EXCEPCIONES_FECHA!$B$2:$B$201=$B219),0)),IFERROR(INDEX(EXCEPCIONES_FECHA!$D$2:$D$201,MATCH(1,(EXCEPCIONES_FECHA!$A$2:$A$201=$A219)*(EXCEPCIONES_FECHA!$B$2:$B$201=""),0)),IFERROR(INDEX(IF($I219="FIN",HISTORIAL_HORARIOS!$J$2:$J$201,HISTORIAL_HORARIOS!$F$2:$F$201),MATCH(1,(HISTORIAL_HORARIOS!$A$2:$A$201=$B219)*(HISTORIAL_HORARIOS!$C$2:$C$201&lt;=$A219)*(HISTORIAL_HORARIOS!$D$2:$D$201&gt;=$A219),0)),INDEX(IF($I219="FIN",PERSONAL!$J$2:$J$80,PERSONAL!$F$2:$F$80),MATCH($B219,PERSONAL!$A$2:$A$80,0)))))</f>
        <v/>
      </c>
      <c r="N219" s="53">
        <f t="array" ref="N219">IFERROR(INDEX(EXCEPCIONES_FECHA!$E$2:$E$201,MATCH(1,(EXCEPCIONES_FECHA!$A$2:$A$201=$A219)*(EXCEPCIONES_FECHA!$B$2:$B$201=$B219),0)),IFERROR(INDEX(EXCEPCIONES_FECHA!$E$2:$E$201,MATCH(1,(EXCEPCIONES_FECHA!$A$2:$A$201=$A219)*(EXCEPCIONES_FECHA!$B$2:$B$201=""),0)),IFERROR(INDEX(IF($I219="FIN",HISTORIAL_HORARIOS!$K$2:$K$201,HISTORIAL_HORARIOS!$G$2:$G$201),MATCH(1,(HISTORIAL_HORARIOS!$A$2:$A$201=$B219)*(HISTORIAL_HORARIOS!$C$2:$C$201&lt;=$A219)*(HISTORIAL_HORARIOS!$D$2:$D$201&gt;=$A219),0)),INDEX(IF($I219="FIN",PERSONAL!$K$2:$K$80,PERSONAL!$G$2:$G$80),MATCH($B219,PERSONAL!$A$2:$A$80,0)))))</f>
        <v/>
      </c>
      <c r="O219" s="53">
        <f t="array" ref="O219">IFERROR(INDEX(EXCEPCIONES_FECHA!$F$2:$F$201,MATCH(1,(EXCEPCIONES_FECHA!$A$2:$A$201=$A219)*(EXCEPCIONES_FECHA!$B$2:$B$201=$B219),0)),IFERROR(INDEX(EXCEPCIONES_FECHA!$F$2:$F$201,MATCH(1,(EXCEPCIONES_FECHA!$A$2:$A$201=$A219)*(EXCEPCIONES_FECHA!$B$2:$B$201=""),0)),IFERROR(INDEX(IF($I219="FIN",HISTORIAL_HORARIOS!$L$2:$L$201,HISTORIAL_HORARIOS!$H$2:$H$201),MATCH(1,(HISTORIAL_HORARIOS!$A$2:$A$201=$B219)*(HISTORIAL_HORARIOS!$C$2:$C$201&lt;=$A219)*(HISTORIAL_HORARIOS!$D$2:$D$201&gt;=$A219),0)),INDEX(IF($I219="FIN",PERSONAL!$L$2:$L$80,PERSONAL!$H$2:$H$80),MATCH($B219,PERSONAL!$A$2:$A$80,0)))))</f>
        <v/>
      </c>
    </row>
    <row r="220" ht="15" customHeight="1" s="58">
      <c r="A220" s="37" t="n"/>
      <c r="B220" s="38" t="n"/>
      <c r="C220" s="39" t="n"/>
      <c r="D220" s="39" t="n"/>
      <c r="E220" s="34">
        <f t="array" ref="E220">IF($B220="","",IFERROR(INDEX(PERSONAL!$B$2:$B$80,MATCH($B220,PERSONAL!$A$2:$A$80,0)),"NO EXISTE"))</f>
        <v/>
      </c>
      <c r="F220" s="52">
        <f t="array" ref="F220">IF($B220="","",IFERROR(INDEX(PERSONAL!$C$2:$C$80,MATCH($B220,PERSONAL!$A$2:$A$80,0)),""))</f>
        <v/>
      </c>
      <c r="G220" s="52">
        <f>IF($A220="","",CHOOSE(WEEKDAY($A220,2),"LUNES","MARTES","MIÉRCOLES","JUEVES","VIERNES","SÁBADO","DOMINGO"))</f>
        <v/>
      </c>
      <c r="H220" s="34">
        <f>IF($A220="","",CHOOSE(MONTH($A220),"ENERO","FEBRERO","MARZO","ABRIL","MAYO","JUNIO","JULIO","AGOSTO","SEPTIEMBRE","OCTUBRE","NOVIEMBRE","DICIEMBRE"))</f>
        <v/>
      </c>
      <c r="I220" s="34">
        <f>IF($A220="","",IF(OR($G220="SÁBADO",$G220="DOMINGO"),"FIN","LV"))</f>
        <v/>
      </c>
      <c r="J220" s="34">
        <f>IF(OR($A220="",$B220=""),"",IF($L220&lt;&gt;"",UPPER($L220),IF($C220="","FALTA",IFERROR(IF($C220&gt;=$O220,"ROJO FUERTE",IF($C220&gt;=$N220,"ROJO",IF($C220&gt;=$M220,"AMARILLO","VERDE"))),"REVISAR"))))</f>
        <v/>
      </c>
      <c r="K220" s="36">
        <f>IF(OR($C220="",$D220=""),"",IF($D220&gt;=$C220,($D220-$C220)*24,(1-$C220+$D220)*24))</f>
        <v/>
      </c>
      <c r="L220" s="34" t="n"/>
      <c r="M220" s="53">
        <f t="array" ref="M220">IFERROR(INDEX(EXCEPCIONES_FECHA!$D$2:$D$201,MATCH(1,(EXCEPCIONES_FECHA!$A$2:$A$201=$A220)*(EXCEPCIONES_FECHA!$B$2:$B$201=$B220),0)),IFERROR(INDEX(EXCEPCIONES_FECHA!$D$2:$D$201,MATCH(1,(EXCEPCIONES_FECHA!$A$2:$A$201=$A220)*(EXCEPCIONES_FECHA!$B$2:$B$201=""),0)),IFERROR(INDEX(IF($I220="FIN",HISTORIAL_HORARIOS!$J$2:$J$201,HISTORIAL_HORARIOS!$F$2:$F$201),MATCH(1,(HISTORIAL_HORARIOS!$A$2:$A$201=$B220)*(HISTORIAL_HORARIOS!$C$2:$C$201&lt;=$A220)*(HISTORIAL_HORARIOS!$D$2:$D$201&gt;=$A220),0)),INDEX(IF($I220="FIN",PERSONAL!$J$2:$J$80,PERSONAL!$F$2:$F$80),MATCH($B220,PERSONAL!$A$2:$A$80,0)))))</f>
        <v/>
      </c>
      <c r="N220" s="53">
        <f t="array" ref="N220">IFERROR(INDEX(EXCEPCIONES_FECHA!$E$2:$E$201,MATCH(1,(EXCEPCIONES_FECHA!$A$2:$A$201=$A220)*(EXCEPCIONES_FECHA!$B$2:$B$201=$B220),0)),IFERROR(INDEX(EXCEPCIONES_FECHA!$E$2:$E$201,MATCH(1,(EXCEPCIONES_FECHA!$A$2:$A$201=$A220)*(EXCEPCIONES_FECHA!$B$2:$B$201=""),0)),IFERROR(INDEX(IF($I220="FIN",HISTORIAL_HORARIOS!$K$2:$K$201,HISTORIAL_HORARIOS!$G$2:$G$201),MATCH(1,(HISTORIAL_HORARIOS!$A$2:$A$201=$B220)*(HISTORIAL_HORARIOS!$C$2:$C$201&lt;=$A220)*(HISTORIAL_HORARIOS!$D$2:$D$201&gt;=$A220),0)),INDEX(IF($I220="FIN",PERSONAL!$K$2:$K$80,PERSONAL!$G$2:$G$80),MATCH($B220,PERSONAL!$A$2:$A$80,0)))))</f>
        <v/>
      </c>
      <c r="O220" s="53">
        <f t="array" ref="O220">IFERROR(INDEX(EXCEPCIONES_FECHA!$F$2:$F$201,MATCH(1,(EXCEPCIONES_FECHA!$A$2:$A$201=$A220)*(EXCEPCIONES_FECHA!$B$2:$B$201=$B220),0)),IFERROR(INDEX(EXCEPCIONES_FECHA!$F$2:$F$201,MATCH(1,(EXCEPCIONES_FECHA!$A$2:$A$201=$A220)*(EXCEPCIONES_FECHA!$B$2:$B$201=""),0)),IFERROR(INDEX(IF($I220="FIN",HISTORIAL_HORARIOS!$L$2:$L$201,HISTORIAL_HORARIOS!$H$2:$H$201),MATCH(1,(HISTORIAL_HORARIOS!$A$2:$A$201=$B220)*(HISTORIAL_HORARIOS!$C$2:$C$201&lt;=$A220)*(HISTORIAL_HORARIOS!$D$2:$D$201&gt;=$A220),0)),INDEX(IF($I220="FIN",PERSONAL!$L$2:$L$80,PERSONAL!$H$2:$H$80),MATCH($B220,PERSONAL!$A$2:$A$80,0)))))</f>
        <v/>
      </c>
    </row>
    <row r="221" ht="15" customHeight="1" s="58">
      <c r="A221" s="37" t="n"/>
      <c r="B221" s="38" t="n"/>
      <c r="C221" s="39" t="n"/>
      <c r="D221" s="39" t="n"/>
      <c r="E221" s="34">
        <f t="array" ref="E221">IF($B221="","",IFERROR(INDEX(PERSONAL!$B$2:$B$80,MATCH($B221,PERSONAL!$A$2:$A$80,0)),"NO EXISTE"))</f>
        <v/>
      </c>
      <c r="F221" s="52">
        <f t="array" ref="F221">IF($B221="","",IFERROR(INDEX(PERSONAL!$C$2:$C$80,MATCH($B221,PERSONAL!$A$2:$A$80,0)),""))</f>
        <v/>
      </c>
      <c r="G221" s="52">
        <f>IF($A221="","",CHOOSE(WEEKDAY($A221,2),"LUNES","MARTES","MIÉRCOLES","JUEVES","VIERNES","SÁBADO","DOMINGO"))</f>
        <v/>
      </c>
      <c r="H221" s="34">
        <f>IF($A221="","",CHOOSE(MONTH($A221),"ENERO","FEBRERO","MARZO","ABRIL","MAYO","JUNIO","JULIO","AGOSTO","SEPTIEMBRE","OCTUBRE","NOVIEMBRE","DICIEMBRE"))</f>
        <v/>
      </c>
      <c r="I221" s="34">
        <f>IF($A221="","",IF(OR($G221="SÁBADO",$G221="DOMINGO"),"FIN","LV"))</f>
        <v/>
      </c>
      <c r="J221" s="34">
        <f>IF(OR($A221="",$B221=""),"",IF($L221&lt;&gt;"",UPPER($L221),IF($C221="","FALTA",IFERROR(IF($C221&gt;=$O221,"ROJO FUERTE",IF($C221&gt;=$N221,"ROJO",IF($C221&gt;=$M221,"AMARILLO","VERDE"))),"REVISAR"))))</f>
        <v/>
      </c>
      <c r="K221" s="36">
        <f>IF(OR($C221="",$D221=""),"",IF($D221&gt;=$C221,($D221-$C221)*24,(1-$C221+$D221)*24))</f>
        <v/>
      </c>
      <c r="L221" s="34" t="n"/>
      <c r="M221" s="53">
        <f t="array" ref="M221">IFERROR(INDEX(EXCEPCIONES_FECHA!$D$2:$D$201,MATCH(1,(EXCEPCIONES_FECHA!$A$2:$A$201=$A221)*(EXCEPCIONES_FECHA!$B$2:$B$201=$B221),0)),IFERROR(INDEX(EXCEPCIONES_FECHA!$D$2:$D$201,MATCH(1,(EXCEPCIONES_FECHA!$A$2:$A$201=$A221)*(EXCEPCIONES_FECHA!$B$2:$B$201=""),0)),IFERROR(INDEX(IF($I221="FIN",HISTORIAL_HORARIOS!$J$2:$J$201,HISTORIAL_HORARIOS!$F$2:$F$201),MATCH(1,(HISTORIAL_HORARIOS!$A$2:$A$201=$B221)*(HISTORIAL_HORARIOS!$C$2:$C$201&lt;=$A221)*(HISTORIAL_HORARIOS!$D$2:$D$201&gt;=$A221),0)),INDEX(IF($I221="FIN",PERSONAL!$J$2:$J$80,PERSONAL!$F$2:$F$80),MATCH($B221,PERSONAL!$A$2:$A$80,0)))))</f>
        <v/>
      </c>
      <c r="N221" s="53">
        <f t="array" ref="N221">IFERROR(INDEX(EXCEPCIONES_FECHA!$E$2:$E$201,MATCH(1,(EXCEPCIONES_FECHA!$A$2:$A$201=$A221)*(EXCEPCIONES_FECHA!$B$2:$B$201=$B221),0)),IFERROR(INDEX(EXCEPCIONES_FECHA!$E$2:$E$201,MATCH(1,(EXCEPCIONES_FECHA!$A$2:$A$201=$A221)*(EXCEPCIONES_FECHA!$B$2:$B$201=""),0)),IFERROR(INDEX(IF($I221="FIN",HISTORIAL_HORARIOS!$K$2:$K$201,HISTORIAL_HORARIOS!$G$2:$G$201),MATCH(1,(HISTORIAL_HORARIOS!$A$2:$A$201=$B221)*(HISTORIAL_HORARIOS!$C$2:$C$201&lt;=$A221)*(HISTORIAL_HORARIOS!$D$2:$D$201&gt;=$A221),0)),INDEX(IF($I221="FIN",PERSONAL!$K$2:$K$80,PERSONAL!$G$2:$G$80),MATCH($B221,PERSONAL!$A$2:$A$80,0)))))</f>
        <v/>
      </c>
      <c r="O221" s="53">
        <f t="array" ref="O221">IFERROR(INDEX(EXCEPCIONES_FECHA!$F$2:$F$201,MATCH(1,(EXCEPCIONES_FECHA!$A$2:$A$201=$A221)*(EXCEPCIONES_FECHA!$B$2:$B$201=$B221),0)),IFERROR(INDEX(EXCEPCIONES_FECHA!$F$2:$F$201,MATCH(1,(EXCEPCIONES_FECHA!$A$2:$A$201=$A221)*(EXCEPCIONES_FECHA!$B$2:$B$201=""),0)),IFERROR(INDEX(IF($I221="FIN",HISTORIAL_HORARIOS!$L$2:$L$201,HISTORIAL_HORARIOS!$H$2:$H$201),MATCH(1,(HISTORIAL_HORARIOS!$A$2:$A$201=$B221)*(HISTORIAL_HORARIOS!$C$2:$C$201&lt;=$A221)*(HISTORIAL_HORARIOS!$D$2:$D$201&gt;=$A221),0)),INDEX(IF($I221="FIN",PERSONAL!$L$2:$L$80,PERSONAL!$H$2:$H$80),MATCH($B221,PERSONAL!$A$2:$A$80,0)))))</f>
        <v/>
      </c>
    </row>
    <row r="222" ht="15" customHeight="1" s="58">
      <c r="A222" s="37" t="n"/>
      <c r="B222" s="38" t="n"/>
      <c r="C222" s="39" t="n"/>
      <c r="D222" s="39" t="n"/>
      <c r="E222" s="34">
        <f t="array" ref="E222">IF($B222="","",IFERROR(INDEX(PERSONAL!$B$2:$B$80,MATCH($B222,PERSONAL!$A$2:$A$80,0)),"NO EXISTE"))</f>
        <v/>
      </c>
      <c r="F222" s="52">
        <f t="array" ref="F222">IF($B222="","",IFERROR(INDEX(PERSONAL!$C$2:$C$80,MATCH($B222,PERSONAL!$A$2:$A$80,0)),""))</f>
        <v/>
      </c>
      <c r="G222" s="52">
        <f>IF($A222="","",CHOOSE(WEEKDAY($A222,2),"LUNES","MARTES","MIÉRCOLES","JUEVES","VIERNES","SÁBADO","DOMINGO"))</f>
        <v/>
      </c>
      <c r="H222" s="34">
        <f>IF($A222="","",CHOOSE(MONTH($A222),"ENERO","FEBRERO","MARZO","ABRIL","MAYO","JUNIO","JULIO","AGOSTO","SEPTIEMBRE","OCTUBRE","NOVIEMBRE","DICIEMBRE"))</f>
        <v/>
      </c>
      <c r="I222" s="34">
        <f>IF($A222="","",IF(OR($G222="SÁBADO",$G222="DOMINGO"),"FIN","LV"))</f>
        <v/>
      </c>
      <c r="J222" s="34">
        <f>IF(OR($A222="",$B222=""),"",IF($L222&lt;&gt;"",UPPER($L222),IF($C222="","FALTA",IFERROR(IF($C222&gt;=$O222,"ROJO FUERTE",IF($C222&gt;=$N222,"ROJO",IF($C222&gt;=$M222,"AMARILLO","VERDE"))),"REVISAR"))))</f>
        <v/>
      </c>
      <c r="K222" s="36">
        <f>IF(OR($C222="",$D222=""),"",IF($D222&gt;=$C222,($D222-$C222)*24,(1-$C222+$D222)*24))</f>
        <v/>
      </c>
      <c r="L222" s="34" t="n"/>
      <c r="M222" s="53">
        <f t="array" ref="M222">IFERROR(INDEX(EXCEPCIONES_FECHA!$D$2:$D$201,MATCH(1,(EXCEPCIONES_FECHA!$A$2:$A$201=$A222)*(EXCEPCIONES_FECHA!$B$2:$B$201=$B222),0)),IFERROR(INDEX(EXCEPCIONES_FECHA!$D$2:$D$201,MATCH(1,(EXCEPCIONES_FECHA!$A$2:$A$201=$A222)*(EXCEPCIONES_FECHA!$B$2:$B$201=""),0)),IFERROR(INDEX(IF($I222="FIN",HISTORIAL_HORARIOS!$J$2:$J$201,HISTORIAL_HORARIOS!$F$2:$F$201),MATCH(1,(HISTORIAL_HORARIOS!$A$2:$A$201=$B222)*(HISTORIAL_HORARIOS!$C$2:$C$201&lt;=$A222)*(HISTORIAL_HORARIOS!$D$2:$D$201&gt;=$A222),0)),INDEX(IF($I222="FIN",PERSONAL!$J$2:$J$80,PERSONAL!$F$2:$F$80),MATCH($B222,PERSONAL!$A$2:$A$80,0)))))</f>
        <v/>
      </c>
      <c r="N222" s="53">
        <f t="array" ref="N222">IFERROR(INDEX(EXCEPCIONES_FECHA!$E$2:$E$201,MATCH(1,(EXCEPCIONES_FECHA!$A$2:$A$201=$A222)*(EXCEPCIONES_FECHA!$B$2:$B$201=$B222),0)),IFERROR(INDEX(EXCEPCIONES_FECHA!$E$2:$E$201,MATCH(1,(EXCEPCIONES_FECHA!$A$2:$A$201=$A222)*(EXCEPCIONES_FECHA!$B$2:$B$201=""),0)),IFERROR(INDEX(IF($I222="FIN",HISTORIAL_HORARIOS!$K$2:$K$201,HISTORIAL_HORARIOS!$G$2:$G$201),MATCH(1,(HISTORIAL_HORARIOS!$A$2:$A$201=$B222)*(HISTORIAL_HORARIOS!$C$2:$C$201&lt;=$A222)*(HISTORIAL_HORARIOS!$D$2:$D$201&gt;=$A222),0)),INDEX(IF($I222="FIN",PERSONAL!$K$2:$K$80,PERSONAL!$G$2:$G$80),MATCH($B222,PERSONAL!$A$2:$A$80,0)))))</f>
        <v/>
      </c>
      <c r="O222" s="53">
        <f t="array" ref="O222">IFERROR(INDEX(EXCEPCIONES_FECHA!$F$2:$F$201,MATCH(1,(EXCEPCIONES_FECHA!$A$2:$A$201=$A222)*(EXCEPCIONES_FECHA!$B$2:$B$201=$B222),0)),IFERROR(INDEX(EXCEPCIONES_FECHA!$F$2:$F$201,MATCH(1,(EXCEPCIONES_FECHA!$A$2:$A$201=$A222)*(EXCEPCIONES_FECHA!$B$2:$B$201=""),0)),IFERROR(INDEX(IF($I222="FIN",HISTORIAL_HORARIOS!$L$2:$L$201,HISTORIAL_HORARIOS!$H$2:$H$201),MATCH(1,(HISTORIAL_HORARIOS!$A$2:$A$201=$B222)*(HISTORIAL_HORARIOS!$C$2:$C$201&lt;=$A222)*(HISTORIAL_HORARIOS!$D$2:$D$201&gt;=$A222),0)),INDEX(IF($I222="FIN",PERSONAL!$L$2:$L$80,PERSONAL!$H$2:$H$80),MATCH($B222,PERSONAL!$A$2:$A$80,0)))))</f>
        <v/>
      </c>
    </row>
    <row r="223" ht="15" customHeight="1" s="58">
      <c r="A223" s="37" t="n"/>
      <c r="B223" s="38" t="n"/>
      <c r="C223" s="39" t="n"/>
      <c r="D223" s="39" t="n"/>
      <c r="E223" s="34">
        <f t="array" ref="E223">IF($B223="","",IFERROR(INDEX(PERSONAL!$B$2:$B$80,MATCH($B223,PERSONAL!$A$2:$A$80,0)),"NO EXISTE"))</f>
        <v/>
      </c>
      <c r="F223" s="52">
        <f t="array" ref="F223">IF($B223="","",IFERROR(INDEX(PERSONAL!$C$2:$C$80,MATCH($B223,PERSONAL!$A$2:$A$80,0)),""))</f>
        <v/>
      </c>
      <c r="G223" s="52">
        <f>IF($A223="","",CHOOSE(WEEKDAY($A223,2),"LUNES","MARTES","MIÉRCOLES","JUEVES","VIERNES","SÁBADO","DOMINGO"))</f>
        <v/>
      </c>
      <c r="H223" s="34">
        <f>IF($A223="","",CHOOSE(MONTH($A223),"ENERO","FEBRERO","MARZO","ABRIL","MAYO","JUNIO","JULIO","AGOSTO","SEPTIEMBRE","OCTUBRE","NOVIEMBRE","DICIEMBRE"))</f>
        <v/>
      </c>
      <c r="I223" s="34">
        <f>IF($A223="","",IF(OR($G223="SÁBADO",$G223="DOMINGO"),"FIN","LV"))</f>
        <v/>
      </c>
      <c r="J223" s="34">
        <f>IF(OR($A223="",$B223=""),"",IF($L223&lt;&gt;"",UPPER($L223),IF($C223="","FALTA",IFERROR(IF($C223&gt;=$O223,"ROJO FUERTE",IF($C223&gt;=$N223,"ROJO",IF($C223&gt;=$M223,"AMARILLO","VERDE"))),"REVISAR"))))</f>
        <v/>
      </c>
      <c r="K223" s="36">
        <f>IF(OR($C223="",$D223=""),"",IF($D223&gt;=$C223,($D223-$C223)*24,(1-$C223+$D223)*24))</f>
        <v/>
      </c>
      <c r="L223" s="34" t="n"/>
      <c r="M223" s="53">
        <f t="array" ref="M223">IFERROR(INDEX(EXCEPCIONES_FECHA!$D$2:$D$201,MATCH(1,(EXCEPCIONES_FECHA!$A$2:$A$201=$A223)*(EXCEPCIONES_FECHA!$B$2:$B$201=$B223),0)),IFERROR(INDEX(EXCEPCIONES_FECHA!$D$2:$D$201,MATCH(1,(EXCEPCIONES_FECHA!$A$2:$A$201=$A223)*(EXCEPCIONES_FECHA!$B$2:$B$201=""),0)),IFERROR(INDEX(IF($I223="FIN",HISTORIAL_HORARIOS!$J$2:$J$201,HISTORIAL_HORARIOS!$F$2:$F$201),MATCH(1,(HISTORIAL_HORARIOS!$A$2:$A$201=$B223)*(HISTORIAL_HORARIOS!$C$2:$C$201&lt;=$A223)*(HISTORIAL_HORARIOS!$D$2:$D$201&gt;=$A223),0)),INDEX(IF($I223="FIN",PERSONAL!$J$2:$J$80,PERSONAL!$F$2:$F$80),MATCH($B223,PERSONAL!$A$2:$A$80,0)))))</f>
        <v/>
      </c>
      <c r="N223" s="53">
        <f t="array" ref="N223">IFERROR(INDEX(EXCEPCIONES_FECHA!$E$2:$E$201,MATCH(1,(EXCEPCIONES_FECHA!$A$2:$A$201=$A223)*(EXCEPCIONES_FECHA!$B$2:$B$201=$B223),0)),IFERROR(INDEX(EXCEPCIONES_FECHA!$E$2:$E$201,MATCH(1,(EXCEPCIONES_FECHA!$A$2:$A$201=$A223)*(EXCEPCIONES_FECHA!$B$2:$B$201=""),0)),IFERROR(INDEX(IF($I223="FIN",HISTORIAL_HORARIOS!$K$2:$K$201,HISTORIAL_HORARIOS!$G$2:$G$201),MATCH(1,(HISTORIAL_HORARIOS!$A$2:$A$201=$B223)*(HISTORIAL_HORARIOS!$C$2:$C$201&lt;=$A223)*(HISTORIAL_HORARIOS!$D$2:$D$201&gt;=$A223),0)),INDEX(IF($I223="FIN",PERSONAL!$K$2:$K$80,PERSONAL!$G$2:$G$80),MATCH($B223,PERSONAL!$A$2:$A$80,0)))))</f>
        <v/>
      </c>
      <c r="O223" s="53">
        <f t="array" ref="O223">IFERROR(INDEX(EXCEPCIONES_FECHA!$F$2:$F$201,MATCH(1,(EXCEPCIONES_FECHA!$A$2:$A$201=$A223)*(EXCEPCIONES_FECHA!$B$2:$B$201=$B223),0)),IFERROR(INDEX(EXCEPCIONES_FECHA!$F$2:$F$201,MATCH(1,(EXCEPCIONES_FECHA!$A$2:$A$201=$A223)*(EXCEPCIONES_FECHA!$B$2:$B$201=""),0)),IFERROR(INDEX(IF($I223="FIN",HISTORIAL_HORARIOS!$L$2:$L$201,HISTORIAL_HORARIOS!$H$2:$H$201),MATCH(1,(HISTORIAL_HORARIOS!$A$2:$A$201=$B223)*(HISTORIAL_HORARIOS!$C$2:$C$201&lt;=$A223)*(HISTORIAL_HORARIOS!$D$2:$D$201&gt;=$A223),0)),INDEX(IF($I223="FIN",PERSONAL!$L$2:$L$80,PERSONAL!$H$2:$H$80),MATCH($B223,PERSONAL!$A$2:$A$80,0)))))</f>
        <v/>
      </c>
    </row>
    <row r="224" ht="15" customHeight="1" s="58">
      <c r="A224" s="37" t="n"/>
      <c r="B224" s="38" t="n"/>
      <c r="C224" s="39" t="n"/>
      <c r="D224" s="39" t="n"/>
      <c r="E224" s="34">
        <f t="array" ref="E224">IF($B224="","",IFERROR(INDEX(PERSONAL!$B$2:$B$80,MATCH($B224,PERSONAL!$A$2:$A$80,0)),"NO EXISTE"))</f>
        <v/>
      </c>
      <c r="F224" s="52">
        <f t="array" ref="F224">IF($B224="","",IFERROR(INDEX(PERSONAL!$C$2:$C$80,MATCH($B224,PERSONAL!$A$2:$A$80,0)),""))</f>
        <v/>
      </c>
      <c r="G224" s="52">
        <f>IF($A224="","",CHOOSE(WEEKDAY($A224,2),"LUNES","MARTES","MIÉRCOLES","JUEVES","VIERNES","SÁBADO","DOMINGO"))</f>
        <v/>
      </c>
      <c r="H224" s="34">
        <f>IF($A224="","",CHOOSE(MONTH($A224),"ENERO","FEBRERO","MARZO","ABRIL","MAYO","JUNIO","JULIO","AGOSTO","SEPTIEMBRE","OCTUBRE","NOVIEMBRE","DICIEMBRE"))</f>
        <v/>
      </c>
      <c r="I224" s="34">
        <f>IF($A224="","",IF(OR($G224="SÁBADO",$G224="DOMINGO"),"FIN","LV"))</f>
        <v/>
      </c>
      <c r="J224" s="34">
        <f>IF(OR($A224="",$B224=""),"",IF($L224&lt;&gt;"",UPPER($L224),IF($C224="","FALTA",IFERROR(IF($C224&gt;=$O224,"ROJO FUERTE",IF($C224&gt;=$N224,"ROJO",IF($C224&gt;=$M224,"AMARILLO","VERDE"))),"REVISAR"))))</f>
        <v/>
      </c>
      <c r="K224" s="36">
        <f>IF(OR($C224="",$D224=""),"",IF($D224&gt;=$C224,($D224-$C224)*24,(1-$C224+$D224)*24))</f>
        <v/>
      </c>
      <c r="L224" s="34" t="n"/>
      <c r="M224" s="53">
        <f t="array" ref="M224">IFERROR(INDEX(EXCEPCIONES_FECHA!$D$2:$D$201,MATCH(1,(EXCEPCIONES_FECHA!$A$2:$A$201=$A224)*(EXCEPCIONES_FECHA!$B$2:$B$201=$B224),0)),IFERROR(INDEX(EXCEPCIONES_FECHA!$D$2:$D$201,MATCH(1,(EXCEPCIONES_FECHA!$A$2:$A$201=$A224)*(EXCEPCIONES_FECHA!$B$2:$B$201=""),0)),IFERROR(INDEX(IF($I224="FIN",HISTORIAL_HORARIOS!$J$2:$J$201,HISTORIAL_HORARIOS!$F$2:$F$201),MATCH(1,(HISTORIAL_HORARIOS!$A$2:$A$201=$B224)*(HISTORIAL_HORARIOS!$C$2:$C$201&lt;=$A224)*(HISTORIAL_HORARIOS!$D$2:$D$201&gt;=$A224),0)),INDEX(IF($I224="FIN",PERSONAL!$J$2:$J$80,PERSONAL!$F$2:$F$80),MATCH($B224,PERSONAL!$A$2:$A$80,0)))))</f>
        <v/>
      </c>
      <c r="N224" s="53">
        <f t="array" ref="N224">IFERROR(INDEX(EXCEPCIONES_FECHA!$E$2:$E$201,MATCH(1,(EXCEPCIONES_FECHA!$A$2:$A$201=$A224)*(EXCEPCIONES_FECHA!$B$2:$B$201=$B224),0)),IFERROR(INDEX(EXCEPCIONES_FECHA!$E$2:$E$201,MATCH(1,(EXCEPCIONES_FECHA!$A$2:$A$201=$A224)*(EXCEPCIONES_FECHA!$B$2:$B$201=""),0)),IFERROR(INDEX(IF($I224="FIN",HISTORIAL_HORARIOS!$K$2:$K$201,HISTORIAL_HORARIOS!$G$2:$G$201),MATCH(1,(HISTORIAL_HORARIOS!$A$2:$A$201=$B224)*(HISTORIAL_HORARIOS!$C$2:$C$201&lt;=$A224)*(HISTORIAL_HORARIOS!$D$2:$D$201&gt;=$A224),0)),INDEX(IF($I224="FIN",PERSONAL!$K$2:$K$80,PERSONAL!$G$2:$G$80),MATCH($B224,PERSONAL!$A$2:$A$80,0)))))</f>
        <v/>
      </c>
      <c r="O224" s="53">
        <f t="array" ref="O224">IFERROR(INDEX(EXCEPCIONES_FECHA!$F$2:$F$201,MATCH(1,(EXCEPCIONES_FECHA!$A$2:$A$201=$A224)*(EXCEPCIONES_FECHA!$B$2:$B$201=$B224),0)),IFERROR(INDEX(EXCEPCIONES_FECHA!$F$2:$F$201,MATCH(1,(EXCEPCIONES_FECHA!$A$2:$A$201=$A224)*(EXCEPCIONES_FECHA!$B$2:$B$201=""),0)),IFERROR(INDEX(IF($I224="FIN",HISTORIAL_HORARIOS!$L$2:$L$201,HISTORIAL_HORARIOS!$H$2:$H$201),MATCH(1,(HISTORIAL_HORARIOS!$A$2:$A$201=$B224)*(HISTORIAL_HORARIOS!$C$2:$C$201&lt;=$A224)*(HISTORIAL_HORARIOS!$D$2:$D$201&gt;=$A224),0)),INDEX(IF($I224="FIN",PERSONAL!$L$2:$L$80,PERSONAL!$H$2:$H$80),MATCH($B224,PERSONAL!$A$2:$A$80,0)))))</f>
        <v/>
      </c>
    </row>
    <row r="225" ht="15" customHeight="1" s="58">
      <c r="A225" s="37" t="n"/>
      <c r="B225" s="38" t="n"/>
      <c r="C225" s="39" t="n"/>
      <c r="D225" s="39" t="n"/>
      <c r="E225" s="34">
        <f t="array" ref="E225">IF($B225="","",IFERROR(INDEX(PERSONAL!$B$2:$B$80,MATCH($B225,PERSONAL!$A$2:$A$80,0)),"NO EXISTE"))</f>
        <v/>
      </c>
      <c r="F225" s="52">
        <f t="array" ref="F225">IF($B225="","",IFERROR(INDEX(PERSONAL!$C$2:$C$80,MATCH($B225,PERSONAL!$A$2:$A$80,0)),""))</f>
        <v/>
      </c>
      <c r="G225" s="52">
        <f>IF($A225="","",CHOOSE(WEEKDAY($A225,2),"LUNES","MARTES","MIÉRCOLES","JUEVES","VIERNES","SÁBADO","DOMINGO"))</f>
        <v/>
      </c>
      <c r="H225" s="34">
        <f>IF($A225="","",CHOOSE(MONTH($A225),"ENERO","FEBRERO","MARZO","ABRIL","MAYO","JUNIO","JULIO","AGOSTO","SEPTIEMBRE","OCTUBRE","NOVIEMBRE","DICIEMBRE"))</f>
        <v/>
      </c>
      <c r="I225" s="34">
        <f>IF($A225="","",IF(OR($G225="SÁBADO",$G225="DOMINGO"),"FIN","LV"))</f>
        <v/>
      </c>
      <c r="J225" s="34">
        <f>IF(OR($A225="",$B225=""),"",IF($L225&lt;&gt;"",UPPER($L225),IF($C225="","FALTA",IFERROR(IF($C225&gt;=$O225,"ROJO FUERTE",IF($C225&gt;=$N225,"ROJO",IF($C225&gt;=$M225,"AMARILLO","VERDE"))),"REVISAR"))))</f>
        <v/>
      </c>
      <c r="K225" s="36">
        <f>IF(OR($C225="",$D225=""),"",IF($D225&gt;=$C225,($D225-$C225)*24,(1-$C225+$D225)*24))</f>
        <v/>
      </c>
      <c r="L225" s="34" t="n"/>
      <c r="M225" s="53">
        <f t="array" ref="M225">IFERROR(INDEX(EXCEPCIONES_FECHA!$D$2:$D$201,MATCH(1,(EXCEPCIONES_FECHA!$A$2:$A$201=$A225)*(EXCEPCIONES_FECHA!$B$2:$B$201=$B225),0)),IFERROR(INDEX(EXCEPCIONES_FECHA!$D$2:$D$201,MATCH(1,(EXCEPCIONES_FECHA!$A$2:$A$201=$A225)*(EXCEPCIONES_FECHA!$B$2:$B$201=""),0)),IFERROR(INDEX(IF($I225="FIN",HISTORIAL_HORARIOS!$J$2:$J$201,HISTORIAL_HORARIOS!$F$2:$F$201),MATCH(1,(HISTORIAL_HORARIOS!$A$2:$A$201=$B225)*(HISTORIAL_HORARIOS!$C$2:$C$201&lt;=$A225)*(HISTORIAL_HORARIOS!$D$2:$D$201&gt;=$A225),0)),INDEX(IF($I225="FIN",PERSONAL!$J$2:$J$80,PERSONAL!$F$2:$F$80),MATCH($B225,PERSONAL!$A$2:$A$80,0)))))</f>
        <v/>
      </c>
      <c r="N225" s="53">
        <f t="array" ref="N225">IFERROR(INDEX(EXCEPCIONES_FECHA!$E$2:$E$201,MATCH(1,(EXCEPCIONES_FECHA!$A$2:$A$201=$A225)*(EXCEPCIONES_FECHA!$B$2:$B$201=$B225),0)),IFERROR(INDEX(EXCEPCIONES_FECHA!$E$2:$E$201,MATCH(1,(EXCEPCIONES_FECHA!$A$2:$A$201=$A225)*(EXCEPCIONES_FECHA!$B$2:$B$201=""),0)),IFERROR(INDEX(IF($I225="FIN",HISTORIAL_HORARIOS!$K$2:$K$201,HISTORIAL_HORARIOS!$G$2:$G$201),MATCH(1,(HISTORIAL_HORARIOS!$A$2:$A$201=$B225)*(HISTORIAL_HORARIOS!$C$2:$C$201&lt;=$A225)*(HISTORIAL_HORARIOS!$D$2:$D$201&gt;=$A225),0)),INDEX(IF($I225="FIN",PERSONAL!$K$2:$K$80,PERSONAL!$G$2:$G$80),MATCH($B225,PERSONAL!$A$2:$A$80,0)))))</f>
        <v/>
      </c>
      <c r="O225" s="53">
        <f t="array" ref="O225">IFERROR(INDEX(EXCEPCIONES_FECHA!$F$2:$F$201,MATCH(1,(EXCEPCIONES_FECHA!$A$2:$A$201=$A225)*(EXCEPCIONES_FECHA!$B$2:$B$201=$B225),0)),IFERROR(INDEX(EXCEPCIONES_FECHA!$F$2:$F$201,MATCH(1,(EXCEPCIONES_FECHA!$A$2:$A$201=$A225)*(EXCEPCIONES_FECHA!$B$2:$B$201=""),0)),IFERROR(INDEX(IF($I225="FIN",HISTORIAL_HORARIOS!$L$2:$L$201,HISTORIAL_HORARIOS!$H$2:$H$201),MATCH(1,(HISTORIAL_HORARIOS!$A$2:$A$201=$B225)*(HISTORIAL_HORARIOS!$C$2:$C$201&lt;=$A225)*(HISTORIAL_HORARIOS!$D$2:$D$201&gt;=$A225),0)),INDEX(IF($I225="FIN",PERSONAL!$L$2:$L$80,PERSONAL!$H$2:$H$80),MATCH($B225,PERSONAL!$A$2:$A$80,0)))))</f>
        <v/>
      </c>
    </row>
    <row r="226" ht="15" customHeight="1" s="58">
      <c r="A226" s="37" t="n"/>
      <c r="B226" s="38" t="n"/>
      <c r="C226" s="39" t="n"/>
      <c r="D226" s="39" t="n"/>
      <c r="E226" s="34">
        <f t="array" ref="E226">IF($B226="","",IFERROR(INDEX(PERSONAL!$B$2:$B$80,MATCH($B226,PERSONAL!$A$2:$A$80,0)),"NO EXISTE"))</f>
        <v/>
      </c>
      <c r="F226" s="52">
        <f t="array" ref="F226">IF($B226="","",IFERROR(INDEX(PERSONAL!$C$2:$C$80,MATCH($B226,PERSONAL!$A$2:$A$80,0)),""))</f>
        <v/>
      </c>
      <c r="G226" s="52">
        <f>IF($A226="","",CHOOSE(WEEKDAY($A226,2),"LUNES","MARTES","MIÉRCOLES","JUEVES","VIERNES","SÁBADO","DOMINGO"))</f>
        <v/>
      </c>
      <c r="H226" s="34">
        <f>IF($A226="","",CHOOSE(MONTH($A226),"ENERO","FEBRERO","MARZO","ABRIL","MAYO","JUNIO","JULIO","AGOSTO","SEPTIEMBRE","OCTUBRE","NOVIEMBRE","DICIEMBRE"))</f>
        <v/>
      </c>
      <c r="I226" s="34">
        <f>IF($A226="","",IF(OR($G226="SÁBADO",$G226="DOMINGO"),"FIN","LV"))</f>
        <v/>
      </c>
      <c r="J226" s="34">
        <f>IF(OR($A226="",$B226=""),"",IF($L226&lt;&gt;"",UPPER($L226),IF($C226="","FALTA",IFERROR(IF($C226&gt;=$O226,"ROJO FUERTE",IF($C226&gt;=$N226,"ROJO",IF($C226&gt;=$M226,"AMARILLO","VERDE"))),"REVISAR"))))</f>
        <v/>
      </c>
      <c r="K226" s="36">
        <f>IF(OR($C226="",$D226=""),"",IF($D226&gt;=$C226,($D226-$C226)*24,(1-$C226+$D226)*24))</f>
        <v/>
      </c>
      <c r="L226" s="34" t="n"/>
      <c r="M226" s="53">
        <f t="array" ref="M226">IFERROR(INDEX(EXCEPCIONES_FECHA!$D$2:$D$201,MATCH(1,(EXCEPCIONES_FECHA!$A$2:$A$201=$A226)*(EXCEPCIONES_FECHA!$B$2:$B$201=$B226),0)),IFERROR(INDEX(EXCEPCIONES_FECHA!$D$2:$D$201,MATCH(1,(EXCEPCIONES_FECHA!$A$2:$A$201=$A226)*(EXCEPCIONES_FECHA!$B$2:$B$201=""),0)),IFERROR(INDEX(IF($I226="FIN",HISTORIAL_HORARIOS!$J$2:$J$201,HISTORIAL_HORARIOS!$F$2:$F$201),MATCH(1,(HISTORIAL_HORARIOS!$A$2:$A$201=$B226)*(HISTORIAL_HORARIOS!$C$2:$C$201&lt;=$A226)*(HISTORIAL_HORARIOS!$D$2:$D$201&gt;=$A226),0)),INDEX(IF($I226="FIN",PERSONAL!$J$2:$J$80,PERSONAL!$F$2:$F$80),MATCH($B226,PERSONAL!$A$2:$A$80,0)))))</f>
        <v/>
      </c>
      <c r="N226" s="53">
        <f t="array" ref="N226">IFERROR(INDEX(EXCEPCIONES_FECHA!$E$2:$E$201,MATCH(1,(EXCEPCIONES_FECHA!$A$2:$A$201=$A226)*(EXCEPCIONES_FECHA!$B$2:$B$201=$B226),0)),IFERROR(INDEX(EXCEPCIONES_FECHA!$E$2:$E$201,MATCH(1,(EXCEPCIONES_FECHA!$A$2:$A$201=$A226)*(EXCEPCIONES_FECHA!$B$2:$B$201=""),0)),IFERROR(INDEX(IF($I226="FIN",HISTORIAL_HORARIOS!$K$2:$K$201,HISTORIAL_HORARIOS!$G$2:$G$201),MATCH(1,(HISTORIAL_HORARIOS!$A$2:$A$201=$B226)*(HISTORIAL_HORARIOS!$C$2:$C$201&lt;=$A226)*(HISTORIAL_HORARIOS!$D$2:$D$201&gt;=$A226),0)),INDEX(IF($I226="FIN",PERSONAL!$K$2:$K$80,PERSONAL!$G$2:$G$80),MATCH($B226,PERSONAL!$A$2:$A$80,0)))))</f>
        <v/>
      </c>
      <c r="O226" s="53">
        <f t="array" ref="O226">IFERROR(INDEX(EXCEPCIONES_FECHA!$F$2:$F$201,MATCH(1,(EXCEPCIONES_FECHA!$A$2:$A$201=$A226)*(EXCEPCIONES_FECHA!$B$2:$B$201=$B226),0)),IFERROR(INDEX(EXCEPCIONES_FECHA!$F$2:$F$201,MATCH(1,(EXCEPCIONES_FECHA!$A$2:$A$201=$A226)*(EXCEPCIONES_FECHA!$B$2:$B$201=""),0)),IFERROR(INDEX(IF($I226="FIN",HISTORIAL_HORARIOS!$L$2:$L$201,HISTORIAL_HORARIOS!$H$2:$H$201),MATCH(1,(HISTORIAL_HORARIOS!$A$2:$A$201=$B226)*(HISTORIAL_HORARIOS!$C$2:$C$201&lt;=$A226)*(HISTORIAL_HORARIOS!$D$2:$D$201&gt;=$A226),0)),INDEX(IF($I226="FIN",PERSONAL!$L$2:$L$80,PERSONAL!$H$2:$H$80),MATCH($B226,PERSONAL!$A$2:$A$80,0)))))</f>
        <v/>
      </c>
    </row>
    <row r="227" ht="15" customHeight="1" s="58">
      <c r="A227" s="37" t="n"/>
      <c r="B227" s="38" t="n"/>
      <c r="C227" s="39" t="n"/>
      <c r="D227" s="39" t="n"/>
      <c r="E227" s="34">
        <f t="array" ref="E227">IF($B227="","",IFERROR(INDEX(PERSONAL!$B$2:$B$80,MATCH($B227,PERSONAL!$A$2:$A$80,0)),"NO EXISTE"))</f>
        <v/>
      </c>
      <c r="F227" s="52">
        <f t="array" ref="F227">IF($B227="","",IFERROR(INDEX(PERSONAL!$C$2:$C$80,MATCH($B227,PERSONAL!$A$2:$A$80,0)),""))</f>
        <v/>
      </c>
      <c r="G227" s="52">
        <f>IF($A227="","",CHOOSE(WEEKDAY($A227,2),"LUNES","MARTES","MIÉRCOLES","JUEVES","VIERNES","SÁBADO","DOMINGO"))</f>
        <v/>
      </c>
      <c r="H227" s="34">
        <f>IF($A227="","",CHOOSE(MONTH($A227),"ENERO","FEBRERO","MARZO","ABRIL","MAYO","JUNIO","JULIO","AGOSTO","SEPTIEMBRE","OCTUBRE","NOVIEMBRE","DICIEMBRE"))</f>
        <v/>
      </c>
      <c r="I227" s="34">
        <f>IF($A227="","",IF(OR($G227="SÁBADO",$G227="DOMINGO"),"FIN","LV"))</f>
        <v/>
      </c>
      <c r="J227" s="34">
        <f>IF(OR($A227="",$B227=""),"",IF($L227&lt;&gt;"",UPPER($L227),IF($C227="","FALTA",IFERROR(IF($C227&gt;=$O227,"ROJO FUERTE",IF($C227&gt;=$N227,"ROJO",IF($C227&gt;=$M227,"AMARILLO","VERDE"))),"REVISAR"))))</f>
        <v/>
      </c>
      <c r="K227" s="36">
        <f>IF(OR($C227="",$D227=""),"",IF($D227&gt;=$C227,($D227-$C227)*24,(1-$C227+$D227)*24))</f>
        <v/>
      </c>
      <c r="L227" s="34" t="n"/>
      <c r="M227" s="53">
        <f t="array" ref="M227">IFERROR(INDEX(EXCEPCIONES_FECHA!$D$2:$D$201,MATCH(1,(EXCEPCIONES_FECHA!$A$2:$A$201=$A227)*(EXCEPCIONES_FECHA!$B$2:$B$201=$B227),0)),IFERROR(INDEX(EXCEPCIONES_FECHA!$D$2:$D$201,MATCH(1,(EXCEPCIONES_FECHA!$A$2:$A$201=$A227)*(EXCEPCIONES_FECHA!$B$2:$B$201=""),0)),IFERROR(INDEX(IF($I227="FIN",HISTORIAL_HORARIOS!$J$2:$J$201,HISTORIAL_HORARIOS!$F$2:$F$201),MATCH(1,(HISTORIAL_HORARIOS!$A$2:$A$201=$B227)*(HISTORIAL_HORARIOS!$C$2:$C$201&lt;=$A227)*(HISTORIAL_HORARIOS!$D$2:$D$201&gt;=$A227),0)),INDEX(IF($I227="FIN",PERSONAL!$J$2:$J$80,PERSONAL!$F$2:$F$80),MATCH($B227,PERSONAL!$A$2:$A$80,0)))))</f>
        <v/>
      </c>
      <c r="N227" s="53">
        <f t="array" ref="N227">IFERROR(INDEX(EXCEPCIONES_FECHA!$E$2:$E$201,MATCH(1,(EXCEPCIONES_FECHA!$A$2:$A$201=$A227)*(EXCEPCIONES_FECHA!$B$2:$B$201=$B227),0)),IFERROR(INDEX(EXCEPCIONES_FECHA!$E$2:$E$201,MATCH(1,(EXCEPCIONES_FECHA!$A$2:$A$201=$A227)*(EXCEPCIONES_FECHA!$B$2:$B$201=""),0)),IFERROR(INDEX(IF($I227="FIN",HISTORIAL_HORARIOS!$K$2:$K$201,HISTORIAL_HORARIOS!$G$2:$G$201),MATCH(1,(HISTORIAL_HORARIOS!$A$2:$A$201=$B227)*(HISTORIAL_HORARIOS!$C$2:$C$201&lt;=$A227)*(HISTORIAL_HORARIOS!$D$2:$D$201&gt;=$A227),0)),INDEX(IF($I227="FIN",PERSONAL!$K$2:$K$80,PERSONAL!$G$2:$G$80),MATCH($B227,PERSONAL!$A$2:$A$80,0)))))</f>
        <v/>
      </c>
      <c r="O227" s="53">
        <f t="array" ref="O227">IFERROR(INDEX(EXCEPCIONES_FECHA!$F$2:$F$201,MATCH(1,(EXCEPCIONES_FECHA!$A$2:$A$201=$A227)*(EXCEPCIONES_FECHA!$B$2:$B$201=$B227),0)),IFERROR(INDEX(EXCEPCIONES_FECHA!$F$2:$F$201,MATCH(1,(EXCEPCIONES_FECHA!$A$2:$A$201=$A227)*(EXCEPCIONES_FECHA!$B$2:$B$201=""),0)),IFERROR(INDEX(IF($I227="FIN",HISTORIAL_HORARIOS!$L$2:$L$201,HISTORIAL_HORARIOS!$H$2:$H$201),MATCH(1,(HISTORIAL_HORARIOS!$A$2:$A$201=$B227)*(HISTORIAL_HORARIOS!$C$2:$C$201&lt;=$A227)*(HISTORIAL_HORARIOS!$D$2:$D$201&gt;=$A227),0)),INDEX(IF($I227="FIN",PERSONAL!$L$2:$L$80,PERSONAL!$H$2:$H$80),MATCH($B227,PERSONAL!$A$2:$A$80,0)))))</f>
        <v/>
      </c>
    </row>
    <row r="228" ht="15" customHeight="1" s="58">
      <c r="A228" s="37" t="n"/>
      <c r="B228" s="38" t="n"/>
      <c r="C228" s="39" t="n"/>
      <c r="D228" s="39" t="n"/>
      <c r="E228" s="34">
        <f t="array" ref="E228">IF($B228="","",IFERROR(INDEX(PERSONAL!$B$2:$B$80,MATCH($B228,PERSONAL!$A$2:$A$80,0)),"NO EXISTE"))</f>
        <v/>
      </c>
      <c r="F228" s="52">
        <f t="array" ref="F228">IF($B228="","",IFERROR(INDEX(PERSONAL!$C$2:$C$80,MATCH($B228,PERSONAL!$A$2:$A$80,0)),""))</f>
        <v/>
      </c>
      <c r="G228" s="52">
        <f>IF($A228="","",CHOOSE(WEEKDAY($A228,2),"LUNES","MARTES","MIÉRCOLES","JUEVES","VIERNES","SÁBADO","DOMINGO"))</f>
        <v/>
      </c>
      <c r="H228" s="34">
        <f>IF($A228="","",CHOOSE(MONTH($A228),"ENERO","FEBRERO","MARZO","ABRIL","MAYO","JUNIO","JULIO","AGOSTO","SEPTIEMBRE","OCTUBRE","NOVIEMBRE","DICIEMBRE"))</f>
        <v/>
      </c>
      <c r="I228" s="34">
        <f>IF($A228="","",IF(OR($G228="SÁBADO",$G228="DOMINGO"),"FIN","LV"))</f>
        <v/>
      </c>
      <c r="J228" s="34">
        <f>IF(OR($A228="",$B228=""),"",IF($L228&lt;&gt;"",UPPER($L228),IF($C228="","FALTA",IFERROR(IF($C228&gt;=$O228,"ROJO FUERTE",IF($C228&gt;=$N228,"ROJO",IF($C228&gt;=$M228,"AMARILLO","VERDE"))),"REVISAR"))))</f>
        <v/>
      </c>
      <c r="K228" s="36">
        <f>IF(OR($C228="",$D228=""),"",IF($D228&gt;=$C228,($D228-$C228)*24,(1-$C228+$D228)*24))</f>
        <v/>
      </c>
      <c r="L228" s="34" t="n"/>
      <c r="M228" s="53">
        <f t="array" ref="M228">IFERROR(INDEX(EXCEPCIONES_FECHA!$D$2:$D$201,MATCH(1,(EXCEPCIONES_FECHA!$A$2:$A$201=$A228)*(EXCEPCIONES_FECHA!$B$2:$B$201=$B228),0)),IFERROR(INDEX(EXCEPCIONES_FECHA!$D$2:$D$201,MATCH(1,(EXCEPCIONES_FECHA!$A$2:$A$201=$A228)*(EXCEPCIONES_FECHA!$B$2:$B$201=""),0)),IFERROR(INDEX(IF($I228="FIN",HISTORIAL_HORARIOS!$J$2:$J$201,HISTORIAL_HORARIOS!$F$2:$F$201),MATCH(1,(HISTORIAL_HORARIOS!$A$2:$A$201=$B228)*(HISTORIAL_HORARIOS!$C$2:$C$201&lt;=$A228)*(HISTORIAL_HORARIOS!$D$2:$D$201&gt;=$A228),0)),INDEX(IF($I228="FIN",PERSONAL!$J$2:$J$80,PERSONAL!$F$2:$F$80),MATCH($B228,PERSONAL!$A$2:$A$80,0)))))</f>
        <v/>
      </c>
      <c r="N228" s="53">
        <f t="array" ref="N228">IFERROR(INDEX(EXCEPCIONES_FECHA!$E$2:$E$201,MATCH(1,(EXCEPCIONES_FECHA!$A$2:$A$201=$A228)*(EXCEPCIONES_FECHA!$B$2:$B$201=$B228),0)),IFERROR(INDEX(EXCEPCIONES_FECHA!$E$2:$E$201,MATCH(1,(EXCEPCIONES_FECHA!$A$2:$A$201=$A228)*(EXCEPCIONES_FECHA!$B$2:$B$201=""),0)),IFERROR(INDEX(IF($I228="FIN",HISTORIAL_HORARIOS!$K$2:$K$201,HISTORIAL_HORARIOS!$G$2:$G$201),MATCH(1,(HISTORIAL_HORARIOS!$A$2:$A$201=$B228)*(HISTORIAL_HORARIOS!$C$2:$C$201&lt;=$A228)*(HISTORIAL_HORARIOS!$D$2:$D$201&gt;=$A228),0)),INDEX(IF($I228="FIN",PERSONAL!$K$2:$K$80,PERSONAL!$G$2:$G$80),MATCH($B228,PERSONAL!$A$2:$A$80,0)))))</f>
        <v/>
      </c>
      <c r="O228" s="53">
        <f t="array" ref="O228">IFERROR(INDEX(EXCEPCIONES_FECHA!$F$2:$F$201,MATCH(1,(EXCEPCIONES_FECHA!$A$2:$A$201=$A228)*(EXCEPCIONES_FECHA!$B$2:$B$201=$B228),0)),IFERROR(INDEX(EXCEPCIONES_FECHA!$F$2:$F$201,MATCH(1,(EXCEPCIONES_FECHA!$A$2:$A$201=$A228)*(EXCEPCIONES_FECHA!$B$2:$B$201=""),0)),IFERROR(INDEX(IF($I228="FIN",HISTORIAL_HORARIOS!$L$2:$L$201,HISTORIAL_HORARIOS!$H$2:$H$201),MATCH(1,(HISTORIAL_HORARIOS!$A$2:$A$201=$B228)*(HISTORIAL_HORARIOS!$C$2:$C$201&lt;=$A228)*(HISTORIAL_HORARIOS!$D$2:$D$201&gt;=$A228),0)),INDEX(IF($I228="FIN",PERSONAL!$L$2:$L$80,PERSONAL!$H$2:$H$80),MATCH($B228,PERSONAL!$A$2:$A$80,0)))))</f>
        <v/>
      </c>
    </row>
    <row r="229" ht="15" customHeight="1" s="58">
      <c r="A229" s="37" t="n"/>
      <c r="B229" s="38" t="n"/>
      <c r="C229" s="39" t="n"/>
      <c r="D229" s="39" t="n"/>
      <c r="E229" s="34">
        <f t="array" ref="E229">IF($B229="","",IFERROR(INDEX(PERSONAL!$B$2:$B$80,MATCH($B229,PERSONAL!$A$2:$A$80,0)),"NO EXISTE"))</f>
        <v/>
      </c>
      <c r="F229" s="52">
        <f t="array" ref="F229">IF($B229="","",IFERROR(INDEX(PERSONAL!$C$2:$C$80,MATCH($B229,PERSONAL!$A$2:$A$80,0)),""))</f>
        <v/>
      </c>
      <c r="G229" s="52">
        <f>IF($A229="","",CHOOSE(WEEKDAY($A229,2),"LUNES","MARTES","MIÉRCOLES","JUEVES","VIERNES","SÁBADO","DOMINGO"))</f>
        <v/>
      </c>
      <c r="H229" s="34">
        <f>IF($A229="","",CHOOSE(MONTH($A229),"ENERO","FEBRERO","MARZO","ABRIL","MAYO","JUNIO","JULIO","AGOSTO","SEPTIEMBRE","OCTUBRE","NOVIEMBRE","DICIEMBRE"))</f>
        <v/>
      </c>
      <c r="I229" s="34">
        <f>IF($A229="","",IF(OR($G229="SÁBADO",$G229="DOMINGO"),"FIN","LV"))</f>
        <v/>
      </c>
      <c r="J229" s="34">
        <f>IF(OR($A229="",$B229=""),"",IF($L229&lt;&gt;"",UPPER($L229),IF($C229="","FALTA",IFERROR(IF($C229&gt;=$O229,"ROJO FUERTE",IF($C229&gt;=$N229,"ROJO",IF($C229&gt;=$M229,"AMARILLO","VERDE"))),"REVISAR"))))</f>
        <v/>
      </c>
      <c r="K229" s="36">
        <f>IF(OR($C229="",$D229=""),"",IF($D229&gt;=$C229,($D229-$C229)*24,(1-$C229+$D229)*24))</f>
        <v/>
      </c>
      <c r="L229" s="34" t="n"/>
      <c r="M229" s="53">
        <f t="array" ref="M229">IFERROR(INDEX(EXCEPCIONES_FECHA!$D$2:$D$201,MATCH(1,(EXCEPCIONES_FECHA!$A$2:$A$201=$A229)*(EXCEPCIONES_FECHA!$B$2:$B$201=$B229),0)),IFERROR(INDEX(EXCEPCIONES_FECHA!$D$2:$D$201,MATCH(1,(EXCEPCIONES_FECHA!$A$2:$A$201=$A229)*(EXCEPCIONES_FECHA!$B$2:$B$201=""),0)),IFERROR(INDEX(IF($I229="FIN",HISTORIAL_HORARIOS!$J$2:$J$201,HISTORIAL_HORARIOS!$F$2:$F$201),MATCH(1,(HISTORIAL_HORARIOS!$A$2:$A$201=$B229)*(HISTORIAL_HORARIOS!$C$2:$C$201&lt;=$A229)*(HISTORIAL_HORARIOS!$D$2:$D$201&gt;=$A229),0)),INDEX(IF($I229="FIN",PERSONAL!$J$2:$J$80,PERSONAL!$F$2:$F$80),MATCH($B229,PERSONAL!$A$2:$A$80,0)))))</f>
        <v/>
      </c>
      <c r="N229" s="53">
        <f t="array" ref="N229">IFERROR(INDEX(EXCEPCIONES_FECHA!$E$2:$E$201,MATCH(1,(EXCEPCIONES_FECHA!$A$2:$A$201=$A229)*(EXCEPCIONES_FECHA!$B$2:$B$201=$B229),0)),IFERROR(INDEX(EXCEPCIONES_FECHA!$E$2:$E$201,MATCH(1,(EXCEPCIONES_FECHA!$A$2:$A$201=$A229)*(EXCEPCIONES_FECHA!$B$2:$B$201=""),0)),IFERROR(INDEX(IF($I229="FIN",HISTORIAL_HORARIOS!$K$2:$K$201,HISTORIAL_HORARIOS!$G$2:$G$201),MATCH(1,(HISTORIAL_HORARIOS!$A$2:$A$201=$B229)*(HISTORIAL_HORARIOS!$C$2:$C$201&lt;=$A229)*(HISTORIAL_HORARIOS!$D$2:$D$201&gt;=$A229),0)),INDEX(IF($I229="FIN",PERSONAL!$K$2:$K$80,PERSONAL!$G$2:$G$80),MATCH($B229,PERSONAL!$A$2:$A$80,0)))))</f>
        <v/>
      </c>
      <c r="O229" s="53">
        <f t="array" ref="O229">IFERROR(INDEX(EXCEPCIONES_FECHA!$F$2:$F$201,MATCH(1,(EXCEPCIONES_FECHA!$A$2:$A$201=$A229)*(EXCEPCIONES_FECHA!$B$2:$B$201=$B229),0)),IFERROR(INDEX(EXCEPCIONES_FECHA!$F$2:$F$201,MATCH(1,(EXCEPCIONES_FECHA!$A$2:$A$201=$A229)*(EXCEPCIONES_FECHA!$B$2:$B$201=""),0)),IFERROR(INDEX(IF($I229="FIN",HISTORIAL_HORARIOS!$L$2:$L$201,HISTORIAL_HORARIOS!$H$2:$H$201),MATCH(1,(HISTORIAL_HORARIOS!$A$2:$A$201=$B229)*(HISTORIAL_HORARIOS!$C$2:$C$201&lt;=$A229)*(HISTORIAL_HORARIOS!$D$2:$D$201&gt;=$A229),0)),INDEX(IF($I229="FIN",PERSONAL!$L$2:$L$80,PERSONAL!$H$2:$H$80),MATCH($B229,PERSONAL!$A$2:$A$80,0)))))</f>
        <v/>
      </c>
    </row>
    <row r="230" ht="15" customHeight="1" s="58">
      <c r="A230" s="37" t="n"/>
      <c r="B230" s="38" t="n"/>
      <c r="C230" s="39" t="n"/>
      <c r="D230" s="39" t="n"/>
      <c r="E230" s="34">
        <f t="array" ref="E230">IF($B230="","",IFERROR(INDEX(PERSONAL!$B$2:$B$80,MATCH($B230,PERSONAL!$A$2:$A$80,0)),"NO EXISTE"))</f>
        <v/>
      </c>
      <c r="F230" s="52">
        <f t="array" ref="F230">IF($B230="","",IFERROR(INDEX(PERSONAL!$C$2:$C$80,MATCH($B230,PERSONAL!$A$2:$A$80,0)),""))</f>
        <v/>
      </c>
      <c r="G230" s="52">
        <f>IF($A230="","",CHOOSE(WEEKDAY($A230,2),"LUNES","MARTES","MIÉRCOLES","JUEVES","VIERNES","SÁBADO","DOMINGO"))</f>
        <v/>
      </c>
      <c r="H230" s="34">
        <f>IF($A230="","",CHOOSE(MONTH($A230),"ENERO","FEBRERO","MARZO","ABRIL","MAYO","JUNIO","JULIO","AGOSTO","SEPTIEMBRE","OCTUBRE","NOVIEMBRE","DICIEMBRE"))</f>
        <v/>
      </c>
      <c r="I230" s="34">
        <f>IF($A230="","",IF(OR($G230="SÁBADO",$G230="DOMINGO"),"FIN","LV"))</f>
        <v/>
      </c>
      <c r="J230" s="34">
        <f>IF(OR($A230="",$B230=""),"",IF($L230&lt;&gt;"",UPPER($L230),IF($C230="","FALTA",IFERROR(IF($C230&gt;=$O230,"ROJO FUERTE",IF($C230&gt;=$N230,"ROJO",IF($C230&gt;=$M230,"AMARILLO","VERDE"))),"REVISAR"))))</f>
        <v/>
      </c>
      <c r="K230" s="36">
        <f>IF(OR($C230="",$D230=""),"",IF($D230&gt;=$C230,($D230-$C230)*24,(1-$C230+$D230)*24))</f>
        <v/>
      </c>
      <c r="L230" s="34" t="n"/>
      <c r="M230" s="53">
        <f t="array" ref="M230">IFERROR(INDEX(EXCEPCIONES_FECHA!$D$2:$D$201,MATCH(1,(EXCEPCIONES_FECHA!$A$2:$A$201=$A230)*(EXCEPCIONES_FECHA!$B$2:$B$201=$B230),0)),IFERROR(INDEX(EXCEPCIONES_FECHA!$D$2:$D$201,MATCH(1,(EXCEPCIONES_FECHA!$A$2:$A$201=$A230)*(EXCEPCIONES_FECHA!$B$2:$B$201=""),0)),IFERROR(INDEX(IF($I230="FIN",HISTORIAL_HORARIOS!$J$2:$J$201,HISTORIAL_HORARIOS!$F$2:$F$201),MATCH(1,(HISTORIAL_HORARIOS!$A$2:$A$201=$B230)*(HISTORIAL_HORARIOS!$C$2:$C$201&lt;=$A230)*(HISTORIAL_HORARIOS!$D$2:$D$201&gt;=$A230),0)),INDEX(IF($I230="FIN",PERSONAL!$J$2:$J$80,PERSONAL!$F$2:$F$80),MATCH($B230,PERSONAL!$A$2:$A$80,0)))))</f>
        <v/>
      </c>
      <c r="N230" s="53">
        <f t="array" ref="N230">IFERROR(INDEX(EXCEPCIONES_FECHA!$E$2:$E$201,MATCH(1,(EXCEPCIONES_FECHA!$A$2:$A$201=$A230)*(EXCEPCIONES_FECHA!$B$2:$B$201=$B230),0)),IFERROR(INDEX(EXCEPCIONES_FECHA!$E$2:$E$201,MATCH(1,(EXCEPCIONES_FECHA!$A$2:$A$201=$A230)*(EXCEPCIONES_FECHA!$B$2:$B$201=""),0)),IFERROR(INDEX(IF($I230="FIN",HISTORIAL_HORARIOS!$K$2:$K$201,HISTORIAL_HORARIOS!$G$2:$G$201),MATCH(1,(HISTORIAL_HORARIOS!$A$2:$A$201=$B230)*(HISTORIAL_HORARIOS!$C$2:$C$201&lt;=$A230)*(HISTORIAL_HORARIOS!$D$2:$D$201&gt;=$A230),0)),INDEX(IF($I230="FIN",PERSONAL!$K$2:$K$80,PERSONAL!$G$2:$G$80),MATCH($B230,PERSONAL!$A$2:$A$80,0)))))</f>
        <v/>
      </c>
      <c r="O230" s="53">
        <f t="array" ref="O230">IFERROR(INDEX(EXCEPCIONES_FECHA!$F$2:$F$201,MATCH(1,(EXCEPCIONES_FECHA!$A$2:$A$201=$A230)*(EXCEPCIONES_FECHA!$B$2:$B$201=$B230),0)),IFERROR(INDEX(EXCEPCIONES_FECHA!$F$2:$F$201,MATCH(1,(EXCEPCIONES_FECHA!$A$2:$A$201=$A230)*(EXCEPCIONES_FECHA!$B$2:$B$201=""),0)),IFERROR(INDEX(IF($I230="FIN",HISTORIAL_HORARIOS!$L$2:$L$201,HISTORIAL_HORARIOS!$H$2:$H$201),MATCH(1,(HISTORIAL_HORARIOS!$A$2:$A$201=$B230)*(HISTORIAL_HORARIOS!$C$2:$C$201&lt;=$A230)*(HISTORIAL_HORARIOS!$D$2:$D$201&gt;=$A230),0)),INDEX(IF($I230="FIN",PERSONAL!$L$2:$L$80,PERSONAL!$H$2:$H$80),MATCH($B230,PERSONAL!$A$2:$A$80,0)))))</f>
        <v/>
      </c>
    </row>
    <row r="231" ht="15" customHeight="1" s="58">
      <c r="A231" s="37" t="n"/>
      <c r="B231" s="38" t="n"/>
      <c r="C231" s="39" t="n"/>
      <c r="D231" s="39" t="n"/>
      <c r="E231" s="34">
        <f t="array" ref="E231">IF($B231="","",IFERROR(INDEX(PERSONAL!$B$2:$B$80,MATCH($B231,PERSONAL!$A$2:$A$80,0)),"NO EXISTE"))</f>
        <v/>
      </c>
      <c r="F231" s="52">
        <f t="array" ref="F231">IF($B231="","",IFERROR(INDEX(PERSONAL!$C$2:$C$80,MATCH($B231,PERSONAL!$A$2:$A$80,0)),""))</f>
        <v/>
      </c>
      <c r="G231" s="52">
        <f>IF($A231="","",CHOOSE(WEEKDAY($A231,2),"LUNES","MARTES","MIÉRCOLES","JUEVES","VIERNES","SÁBADO","DOMINGO"))</f>
        <v/>
      </c>
      <c r="H231" s="34">
        <f>IF($A231="","",CHOOSE(MONTH($A231),"ENERO","FEBRERO","MARZO","ABRIL","MAYO","JUNIO","JULIO","AGOSTO","SEPTIEMBRE","OCTUBRE","NOVIEMBRE","DICIEMBRE"))</f>
        <v/>
      </c>
      <c r="I231" s="34">
        <f>IF($A231="","",IF(OR($G231="SÁBADO",$G231="DOMINGO"),"FIN","LV"))</f>
        <v/>
      </c>
      <c r="J231" s="34">
        <f>IF(OR($A231="",$B231=""),"",IF($L231&lt;&gt;"",UPPER($L231),IF($C231="","FALTA",IFERROR(IF($C231&gt;=$O231,"ROJO FUERTE",IF($C231&gt;=$N231,"ROJO",IF($C231&gt;=$M231,"AMARILLO","VERDE"))),"REVISAR"))))</f>
        <v/>
      </c>
      <c r="K231" s="36">
        <f>IF(OR($C231="",$D231=""),"",IF($D231&gt;=$C231,($D231-$C231)*24,(1-$C231+$D231)*24))</f>
        <v/>
      </c>
      <c r="L231" s="34" t="n"/>
      <c r="M231" s="53">
        <f t="array" ref="M231">IFERROR(INDEX(EXCEPCIONES_FECHA!$D$2:$D$201,MATCH(1,(EXCEPCIONES_FECHA!$A$2:$A$201=$A231)*(EXCEPCIONES_FECHA!$B$2:$B$201=$B231),0)),IFERROR(INDEX(EXCEPCIONES_FECHA!$D$2:$D$201,MATCH(1,(EXCEPCIONES_FECHA!$A$2:$A$201=$A231)*(EXCEPCIONES_FECHA!$B$2:$B$201=""),0)),IFERROR(INDEX(IF($I231="FIN",HISTORIAL_HORARIOS!$J$2:$J$201,HISTORIAL_HORARIOS!$F$2:$F$201),MATCH(1,(HISTORIAL_HORARIOS!$A$2:$A$201=$B231)*(HISTORIAL_HORARIOS!$C$2:$C$201&lt;=$A231)*(HISTORIAL_HORARIOS!$D$2:$D$201&gt;=$A231),0)),INDEX(IF($I231="FIN",PERSONAL!$J$2:$J$80,PERSONAL!$F$2:$F$80),MATCH($B231,PERSONAL!$A$2:$A$80,0)))))</f>
        <v/>
      </c>
      <c r="N231" s="53">
        <f t="array" ref="N231">IFERROR(INDEX(EXCEPCIONES_FECHA!$E$2:$E$201,MATCH(1,(EXCEPCIONES_FECHA!$A$2:$A$201=$A231)*(EXCEPCIONES_FECHA!$B$2:$B$201=$B231),0)),IFERROR(INDEX(EXCEPCIONES_FECHA!$E$2:$E$201,MATCH(1,(EXCEPCIONES_FECHA!$A$2:$A$201=$A231)*(EXCEPCIONES_FECHA!$B$2:$B$201=""),0)),IFERROR(INDEX(IF($I231="FIN",HISTORIAL_HORARIOS!$K$2:$K$201,HISTORIAL_HORARIOS!$G$2:$G$201),MATCH(1,(HISTORIAL_HORARIOS!$A$2:$A$201=$B231)*(HISTORIAL_HORARIOS!$C$2:$C$201&lt;=$A231)*(HISTORIAL_HORARIOS!$D$2:$D$201&gt;=$A231),0)),INDEX(IF($I231="FIN",PERSONAL!$K$2:$K$80,PERSONAL!$G$2:$G$80),MATCH($B231,PERSONAL!$A$2:$A$80,0)))))</f>
        <v/>
      </c>
      <c r="O231" s="53">
        <f t="array" ref="O231">IFERROR(INDEX(EXCEPCIONES_FECHA!$F$2:$F$201,MATCH(1,(EXCEPCIONES_FECHA!$A$2:$A$201=$A231)*(EXCEPCIONES_FECHA!$B$2:$B$201=$B231),0)),IFERROR(INDEX(EXCEPCIONES_FECHA!$F$2:$F$201,MATCH(1,(EXCEPCIONES_FECHA!$A$2:$A$201=$A231)*(EXCEPCIONES_FECHA!$B$2:$B$201=""),0)),IFERROR(INDEX(IF($I231="FIN",HISTORIAL_HORARIOS!$L$2:$L$201,HISTORIAL_HORARIOS!$H$2:$H$201),MATCH(1,(HISTORIAL_HORARIOS!$A$2:$A$201=$B231)*(HISTORIAL_HORARIOS!$C$2:$C$201&lt;=$A231)*(HISTORIAL_HORARIOS!$D$2:$D$201&gt;=$A231),0)),INDEX(IF($I231="FIN",PERSONAL!$L$2:$L$80,PERSONAL!$H$2:$H$80),MATCH($B231,PERSONAL!$A$2:$A$80,0)))))</f>
        <v/>
      </c>
    </row>
    <row r="232" ht="15" customHeight="1" s="58">
      <c r="A232" s="37" t="n"/>
      <c r="B232" s="38" t="n"/>
      <c r="C232" s="39" t="n"/>
      <c r="D232" s="39" t="n"/>
      <c r="E232" s="34">
        <f t="array" ref="E232">IF($B232="","",IFERROR(INDEX(PERSONAL!$B$2:$B$80,MATCH($B232,PERSONAL!$A$2:$A$80,0)),"NO EXISTE"))</f>
        <v/>
      </c>
      <c r="F232" s="52">
        <f t="array" ref="F232">IF($B232="","",IFERROR(INDEX(PERSONAL!$C$2:$C$80,MATCH($B232,PERSONAL!$A$2:$A$80,0)),""))</f>
        <v/>
      </c>
      <c r="G232" s="52">
        <f>IF($A232="","",CHOOSE(WEEKDAY($A232,2),"LUNES","MARTES","MIÉRCOLES","JUEVES","VIERNES","SÁBADO","DOMINGO"))</f>
        <v/>
      </c>
      <c r="H232" s="34">
        <f>IF($A232="","",CHOOSE(MONTH($A232),"ENERO","FEBRERO","MARZO","ABRIL","MAYO","JUNIO","JULIO","AGOSTO","SEPTIEMBRE","OCTUBRE","NOVIEMBRE","DICIEMBRE"))</f>
        <v/>
      </c>
      <c r="I232" s="34">
        <f>IF($A232="","",IF(OR($G232="SÁBADO",$G232="DOMINGO"),"FIN","LV"))</f>
        <v/>
      </c>
      <c r="J232" s="34">
        <f>IF(OR($A232="",$B232=""),"",IF($L232&lt;&gt;"",UPPER($L232),IF($C232="","FALTA",IFERROR(IF($C232&gt;=$O232,"ROJO FUERTE",IF($C232&gt;=$N232,"ROJO",IF($C232&gt;=$M232,"AMARILLO","VERDE"))),"REVISAR"))))</f>
        <v/>
      </c>
      <c r="K232" s="36">
        <f>IF(OR($C232="",$D232=""),"",IF($D232&gt;=$C232,($D232-$C232)*24,(1-$C232+$D232)*24))</f>
        <v/>
      </c>
      <c r="L232" s="34" t="n"/>
      <c r="M232" s="53">
        <f t="array" ref="M232">IFERROR(INDEX(EXCEPCIONES_FECHA!$D$2:$D$201,MATCH(1,(EXCEPCIONES_FECHA!$A$2:$A$201=$A232)*(EXCEPCIONES_FECHA!$B$2:$B$201=$B232),0)),IFERROR(INDEX(EXCEPCIONES_FECHA!$D$2:$D$201,MATCH(1,(EXCEPCIONES_FECHA!$A$2:$A$201=$A232)*(EXCEPCIONES_FECHA!$B$2:$B$201=""),0)),IFERROR(INDEX(IF($I232="FIN",HISTORIAL_HORARIOS!$J$2:$J$201,HISTORIAL_HORARIOS!$F$2:$F$201),MATCH(1,(HISTORIAL_HORARIOS!$A$2:$A$201=$B232)*(HISTORIAL_HORARIOS!$C$2:$C$201&lt;=$A232)*(HISTORIAL_HORARIOS!$D$2:$D$201&gt;=$A232),0)),INDEX(IF($I232="FIN",PERSONAL!$J$2:$J$80,PERSONAL!$F$2:$F$80),MATCH($B232,PERSONAL!$A$2:$A$80,0)))))</f>
        <v/>
      </c>
      <c r="N232" s="53">
        <f t="array" ref="N232">IFERROR(INDEX(EXCEPCIONES_FECHA!$E$2:$E$201,MATCH(1,(EXCEPCIONES_FECHA!$A$2:$A$201=$A232)*(EXCEPCIONES_FECHA!$B$2:$B$201=$B232),0)),IFERROR(INDEX(EXCEPCIONES_FECHA!$E$2:$E$201,MATCH(1,(EXCEPCIONES_FECHA!$A$2:$A$201=$A232)*(EXCEPCIONES_FECHA!$B$2:$B$201=""),0)),IFERROR(INDEX(IF($I232="FIN",HISTORIAL_HORARIOS!$K$2:$K$201,HISTORIAL_HORARIOS!$G$2:$G$201),MATCH(1,(HISTORIAL_HORARIOS!$A$2:$A$201=$B232)*(HISTORIAL_HORARIOS!$C$2:$C$201&lt;=$A232)*(HISTORIAL_HORARIOS!$D$2:$D$201&gt;=$A232),0)),INDEX(IF($I232="FIN",PERSONAL!$K$2:$K$80,PERSONAL!$G$2:$G$80),MATCH($B232,PERSONAL!$A$2:$A$80,0)))))</f>
        <v/>
      </c>
      <c r="O232" s="53">
        <f t="array" ref="O232">IFERROR(INDEX(EXCEPCIONES_FECHA!$F$2:$F$201,MATCH(1,(EXCEPCIONES_FECHA!$A$2:$A$201=$A232)*(EXCEPCIONES_FECHA!$B$2:$B$201=$B232),0)),IFERROR(INDEX(EXCEPCIONES_FECHA!$F$2:$F$201,MATCH(1,(EXCEPCIONES_FECHA!$A$2:$A$201=$A232)*(EXCEPCIONES_FECHA!$B$2:$B$201=""),0)),IFERROR(INDEX(IF($I232="FIN",HISTORIAL_HORARIOS!$L$2:$L$201,HISTORIAL_HORARIOS!$H$2:$H$201),MATCH(1,(HISTORIAL_HORARIOS!$A$2:$A$201=$B232)*(HISTORIAL_HORARIOS!$C$2:$C$201&lt;=$A232)*(HISTORIAL_HORARIOS!$D$2:$D$201&gt;=$A232),0)),INDEX(IF($I232="FIN",PERSONAL!$L$2:$L$80,PERSONAL!$H$2:$H$80),MATCH($B232,PERSONAL!$A$2:$A$80,0)))))</f>
        <v/>
      </c>
    </row>
    <row r="233" ht="15" customHeight="1" s="58">
      <c r="A233" s="37" t="n"/>
      <c r="B233" s="38" t="n"/>
      <c r="C233" s="39" t="n"/>
      <c r="D233" s="39" t="n"/>
      <c r="E233" s="34">
        <f t="array" ref="E233">IF($B233="","",IFERROR(INDEX(PERSONAL!$B$2:$B$80,MATCH($B233,PERSONAL!$A$2:$A$80,0)),"NO EXISTE"))</f>
        <v/>
      </c>
      <c r="F233" s="52">
        <f t="array" ref="F233">IF($B233="","",IFERROR(INDEX(PERSONAL!$C$2:$C$80,MATCH($B233,PERSONAL!$A$2:$A$80,0)),""))</f>
        <v/>
      </c>
      <c r="G233" s="52">
        <f>IF($A233="","",CHOOSE(WEEKDAY($A233,2),"LUNES","MARTES","MIÉRCOLES","JUEVES","VIERNES","SÁBADO","DOMINGO"))</f>
        <v/>
      </c>
      <c r="H233" s="34">
        <f>IF($A233="","",CHOOSE(MONTH($A233),"ENERO","FEBRERO","MARZO","ABRIL","MAYO","JUNIO","JULIO","AGOSTO","SEPTIEMBRE","OCTUBRE","NOVIEMBRE","DICIEMBRE"))</f>
        <v/>
      </c>
      <c r="I233" s="34">
        <f>IF($A233="","",IF(OR($G233="SÁBADO",$G233="DOMINGO"),"FIN","LV"))</f>
        <v/>
      </c>
      <c r="J233" s="34">
        <f>IF(OR($A233="",$B233=""),"",IF($L233&lt;&gt;"",UPPER($L233),IF($C233="","FALTA",IFERROR(IF($C233&gt;=$O233,"ROJO FUERTE",IF($C233&gt;=$N233,"ROJO",IF($C233&gt;=$M233,"AMARILLO","VERDE"))),"REVISAR"))))</f>
        <v/>
      </c>
      <c r="K233" s="36">
        <f>IF(OR($C233="",$D233=""),"",IF($D233&gt;=$C233,($D233-$C233)*24,(1-$C233+$D233)*24))</f>
        <v/>
      </c>
      <c r="L233" s="34" t="n"/>
      <c r="M233" s="53">
        <f t="array" ref="M233">IFERROR(INDEX(EXCEPCIONES_FECHA!$D$2:$D$201,MATCH(1,(EXCEPCIONES_FECHA!$A$2:$A$201=$A233)*(EXCEPCIONES_FECHA!$B$2:$B$201=$B233),0)),IFERROR(INDEX(EXCEPCIONES_FECHA!$D$2:$D$201,MATCH(1,(EXCEPCIONES_FECHA!$A$2:$A$201=$A233)*(EXCEPCIONES_FECHA!$B$2:$B$201=""),0)),IFERROR(INDEX(IF($I233="FIN",HISTORIAL_HORARIOS!$J$2:$J$201,HISTORIAL_HORARIOS!$F$2:$F$201),MATCH(1,(HISTORIAL_HORARIOS!$A$2:$A$201=$B233)*(HISTORIAL_HORARIOS!$C$2:$C$201&lt;=$A233)*(HISTORIAL_HORARIOS!$D$2:$D$201&gt;=$A233),0)),INDEX(IF($I233="FIN",PERSONAL!$J$2:$J$80,PERSONAL!$F$2:$F$80),MATCH($B233,PERSONAL!$A$2:$A$80,0)))))</f>
        <v/>
      </c>
      <c r="N233" s="53">
        <f t="array" ref="N233">IFERROR(INDEX(EXCEPCIONES_FECHA!$E$2:$E$201,MATCH(1,(EXCEPCIONES_FECHA!$A$2:$A$201=$A233)*(EXCEPCIONES_FECHA!$B$2:$B$201=$B233),0)),IFERROR(INDEX(EXCEPCIONES_FECHA!$E$2:$E$201,MATCH(1,(EXCEPCIONES_FECHA!$A$2:$A$201=$A233)*(EXCEPCIONES_FECHA!$B$2:$B$201=""),0)),IFERROR(INDEX(IF($I233="FIN",HISTORIAL_HORARIOS!$K$2:$K$201,HISTORIAL_HORARIOS!$G$2:$G$201),MATCH(1,(HISTORIAL_HORARIOS!$A$2:$A$201=$B233)*(HISTORIAL_HORARIOS!$C$2:$C$201&lt;=$A233)*(HISTORIAL_HORARIOS!$D$2:$D$201&gt;=$A233),0)),INDEX(IF($I233="FIN",PERSONAL!$K$2:$K$80,PERSONAL!$G$2:$G$80),MATCH($B233,PERSONAL!$A$2:$A$80,0)))))</f>
        <v/>
      </c>
      <c r="O233" s="53">
        <f t="array" ref="O233">IFERROR(INDEX(EXCEPCIONES_FECHA!$F$2:$F$201,MATCH(1,(EXCEPCIONES_FECHA!$A$2:$A$201=$A233)*(EXCEPCIONES_FECHA!$B$2:$B$201=$B233),0)),IFERROR(INDEX(EXCEPCIONES_FECHA!$F$2:$F$201,MATCH(1,(EXCEPCIONES_FECHA!$A$2:$A$201=$A233)*(EXCEPCIONES_FECHA!$B$2:$B$201=""),0)),IFERROR(INDEX(IF($I233="FIN",HISTORIAL_HORARIOS!$L$2:$L$201,HISTORIAL_HORARIOS!$H$2:$H$201),MATCH(1,(HISTORIAL_HORARIOS!$A$2:$A$201=$B233)*(HISTORIAL_HORARIOS!$C$2:$C$201&lt;=$A233)*(HISTORIAL_HORARIOS!$D$2:$D$201&gt;=$A233),0)),INDEX(IF($I233="FIN",PERSONAL!$L$2:$L$80,PERSONAL!$H$2:$H$80),MATCH($B233,PERSONAL!$A$2:$A$80,0)))))</f>
        <v/>
      </c>
    </row>
    <row r="234" ht="15" customHeight="1" s="58">
      <c r="A234" s="37" t="n"/>
      <c r="B234" s="38" t="n"/>
      <c r="C234" s="39" t="n"/>
      <c r="D234" s="39" t="n"/>
      <c r="E234" s="34">
        <f t="array" ref="E234">IF($B234="","",IFERROR(INDEX(PERSONAL!$B$2:$B$80,MATCH($B234,PERSONAL!$A$2:$A$80,0)),"NO EXISTE"))</f>
        <v/>
      </c>
      <c r="F234" s="52">
        <f t="array" ref="F234">IF($B234="","",IFERROR(INDEX(PERSONAL!$C$2:$C$80,MATCH($B234,PERSONAL!$A$2:$A$80,0)),""))</f>
        <v/>
      </c>
      <c r="G234" s="52">
        <f>IF($A234="","",CHOOSE(WEEKDAY($A234,2),"LUNES","MARTES","MIÉRCOLES","JUEVES","VIERNES","SÁBADO","DOMINGO"))</f>
        <v/>
      </c>
      <c r="H234" s="34">
        <f>IF($A234="","",CHOOSE(MONTH($A234),"ENERO","FEBRERO","MARZO","ABRIL","MAYO","JUNIO","JULIO","AGOSTO","SEPTIEMBRE","OCTUBRE","NOVIEMBRE","DICIEMBRE"))</f>
        <v/>
      </c>
      <c r="I234" s="34">
        <f>IF($A234="","",IF(OR($G234="SÁBADO",$G234="DOMINGO"),"FIN","LV"))</f>
        <v/>
      </c>
      <c r="J234" s="34">
        <f>IF(OR($A234="",$B234=""),"",IF($L234&lt;&gt;"",UPPER($L234),IF($C234="","FALTA",IFERROR(IF($C234&gt;=$O234,"ROJO FUERTE",IF($C234&gt;=$N234,"ROJO",IF($C234&gt;=$M234,"AMARILLO","VERDE"))),"REVISAR"))))</f>
        <v/>
      </c>
      <c r="K234" s="36">
        <f>IF(OR($C234="",$D234=""),"",IF($D234&gt;=$C234,($D234-$C234)*24,(1-$C234+$D234)*24))</f>
        <v/>
      </c>
      <c r="L234" s="34" t="n"/>
      <c r="M234" s="53">
        <f t="array" ref="M234">IFERROR(INDEX(EXCEPCIONES_FECHA!$D$2:$D$201,MATCH(1,(EXCEPCIONES_FECHA!$A$2:$A$201=$A234)*(EXCEPCIONES_FECHA!$B$2:$B$201=$B234),0)),IFERROR(INDEX(EXCEPCIONES_FECHA!$D$2:$D$201,MATCH(1,(EXCEPCIONES_FECHA!$A$2:$A$201=$A234)*(EXCEPCIONES_FECHA!$B$2:$B$201=""),0)),IFERROR(INDEX(IF($I234="FIN",HISTORIAL_HORARIOS!$J$2:$J$201,HISTORIAL_HORARIOS!$F$2:$F$201),MATCH(1,(HISTORIAL_HORARIOS!$A$2:$A$201=$B234)*(HISTORIAL_HORARIOS!$C$2:$C$201&lt;=$A234)*(HISTORIAL_HORARIOS!$D$2:$D$201&gt;=$A234),0)),INDEX(IF($I234="FIN",PERSONAL!$J$2:$J$80,PERSONAL!$F$2:$F$80),MATCH($B234,PERSONAL!$A$2:$A$80,0)))))</f>
        <v/>
      </c>
      <c r="N234" s="53">
        <f t="array" ref="N234">IFERROR(INDEX(EXCEPCIONES_FECHA!$E$2:$E$201,MATCH(1,(EXCEPCIONES_FECHA!$A$2:$A$201=$A234)*(EXCEPCIONES_FECHA!$B$2:$B$201=$B234),0)),IFERROR(INDEX(EXCEPCIONES_FECHA!$E$2:$E$201,MATCH(1,(EXCEPCIONES_FECHA!$A$2:$A$201=$A234)*(EXCEPCIONES_FECHA!$B$2:$B$201=""),0)),IFERROR(INDEX(IF($I234="FIN",HISTORIAL_HORARIOS!$K$2:$K$201,HISTORIAL_HORARIOS!$G$2:$G$201),MATCH(1,(HISTORIAL_HORARIOS!$A$2:$A$201=$B234)*(HISTORIAL_HORARIOS!$C$2:$C$201&lt;=$A234)*(HISTORIAL_HORARIOS!$D$2:$D$201&gt;=$A234),0)),INDEX(IF($I234="FIN",PERSONAL!$K$2:$K$80,PERSONAL!$G$2:$G$80),MATCH($B234,PERSONAL!$A$2:$A$80,0)))))</f>
        <v/>
      </c>
      <c r="O234" s="53">
        <f t="array" ref="O234">IFERROR(INDEX(EXCEPCIONES_FECHA!$F$2:$F$201,MATCH(1,(EXCEPCIONES_FECHA!$A$2:$A$201=$A234)*(EXCEPCIONES_FECHA!$B$2:$B$201=$B234),0)),IFERROR(INDEX(EXCEPCIONES_FECHA!$F$2:$F$201,MATCH(1,(EXCEPCIONES_FECHA!$A$2:$A$201=$A234)*(EXCEPCIONES_FECHA!$B$2:$B$201=""),0)),IFERROR(INDEX(IF($I234="FIN",HISTORIAL_HORARIOS!$L$2:$L$201,HISTORIAL_HORARIOS!$H$2:$H$201),MATCH(1,(HISTORIAL_HORARIOS!$A$2:$A$201=$B234)*(HISTORIAL_HORARIOS!$C$2:$C$201&lt;=$A234)*(HISTORIAL_HORARIOS!$D$2:$D$201&gt;=$A234),0)),INDEX(IF($I234="FIN",PERSONAL!$L$2:$L$80,PERSONAL!$H$2:$H$80),MATCH($B234,PERSONAL!$A$2:$A$80,0)))))</f>
        <v/>
      </c>
    </row>
    <row r="235" ht="15" customHeight="1" s="58">
      <c r="A235" s="37" t="n"/>
      <c r="B235" s="38" t="n"/>
      <c r="C235" s="39" t="n"/>
      <c r="D235" s="39" t="n"/>
      <c r="E235" s="34">
        <f t="array" ref="E235">IF($B235="","",IFERROR(INDEX(PERSONAL!$B$2:$B$80,MATCH($B235,PERSONAL!$A$2:$A$80,0)),"NO EXISTE"))</f>
        <v/>
      </c>
      <c r="F235" s="52">
        <f t="array" ref="F235">IF($B235="","",IFERROR(INDEX(PERSONAL!$C$2:$C$80,MATCH($B235,PERSONAL!$A$2:$A$80,0)),""))</f>
        <v/>
      </c>
      <c r="G235" s="52">
        <f>IF($A235="","",CHOOSE(WEEKDAY($A235,2),"LUNES","MARTES","MIÉRCOLES","JUEVES","VIERNES","SÁBADO","DOMINGO"))</f>
        <v/>
      </c>
      <c r="H235" s="34">
        <f>IF($A235="","",CHOOSE(MONTH($A235),"ENERO","FEBRERO","MARZO","ABRIL","MAYO","JUNIO","JULIO","AGOSTO","SEPTIEMBRE","OCTUBRE","NOVIEMBRE","DICIEMBRE"))</f>
        <v/>
      </c>
      <c r="I235" s="34">
        <f>IF($A235="","",IF(OR($G235="SÁBADO",$G235="DOMINGO"),"FIN","LV"))</f>
        <v/>
      </c>
      <c r="J235" s="34">
        <f>IF(OR($A235="",$B235=""),"",IF($L235&lt;&gt;"",UPPER($L235),IF($C235="","FALTA",IFERROR(IF($C235&gt;=$O235,"ROJO FUERTE",IF($C235&gt;=$N235,"ROJO",IF($C235&gt;=$M235,"AMARILLO","VERDE"))),"REVISAR"))))</f>
        <v/>
      </c>
      <c r="K235" s="36">
        <f>IF(OR($C235="",$D235=""),"",IF($D235&gt;=$C235,($D235-$C235)*24,(1-$C235+$D235)*24))</f>
        <v/>
      </c>
      <c r="L235" s="34" t="n"/>
      <c r="M235" s="53">
        <f t="array" ref="M235">IFERROR(INDEX(EXCEPCIONES_FECHA!$D$2:$D$201,MATCH(1,(EXCEPCIONES_FECHA!$A$2:$A$201=$A235)*(EXCEPCIONES_FECHA!$B$2:$B$201=$B235),0)),IFERROR(INDEX(EXCEPCIONES_FECHA!$D$2:$D$201,MATCH(1,(EXCEPCIONES_FECHA!$A$2:$A$201=$A235)*(EXCEPCIONES_FECHA!$B$2:$B$201=""),0)),IFERROR(INDEX(IF($I235="FIN",HISTORIAL_HORARIOS!$J$2:$J$201,HISTORIAL_HORARIOS!$F$2:$F$201),MATCH(1,(HISTORIAL_HORARIOS!$A$2:$A$201=$B235)*(HISTORIAL_HORARIOS!$C$2:$C$201&lt;=$A235)*(HISTORIAL_HORARIOS!$D$2:$D$201&gt;=$A235),0)),INDEX(IF($I235="FIN",PERSONAL!$J$2:$J$80,PERSONAL!$F$2:$F$80),MATCH($B235,PERSONAL!$A$2:$A$80,0)))))</f>
        <v/>
      </c>
      <c r="N235" s="53">
        <f t="array" ref="N235">IFERROR(INDEX(EXCEPCIONES_FECHA!$E$2:$E$201,MATCH(1,(EXCEPCIONES_FECHA!$A$2:$A$201=$A235)*(EXCEPCIONES_FECHA!$B$2:$B$201=$B235),0)),IFERROR(INDEX(EXCEPCIONES_FECHA!$E$2:$E$201,MATCH(1,(EXCEPCIONES_FECHA!$A$2:$A$201=$A235)*(EXCEPCIONES_FECHA!$B$2:$B$201=""),0)),IFERROR(INDEX(IF($I235="FIN",HISTORIAL_HORARIOS!$K$2:$K$201,HISTORIAL_HORARIOS!$G$2:$G$201),MATCH(1,(HISTORIAL_HORARIOS!$A$2:$A$201=$B235)*(HISTORIAL_HORARIOS!$C$2:$C$201&lt;=$A235)*(HISTORIAL_HORARIOS!$D$2:$D$201&gt;=$A235),0)),INDEX(IF($I235="FIN",PERSONAL!$K$2:$K$80,PERSONAL!$G$2:$G$80),MATCH($B235,PERSONAL!$A$2:$A$80,0)))))</f>
        <v/>
      </c>
      <c r="O235" s="53">
        <f t="array" ref="O235">IFERROR(INDEX(EXCEPCIONES_FECHA!$F$2:$F$201,MATCH(1,(EXCEPCIONES_FECHA!$A$2:$A$201=$A235)*(EXCEPCIONES_FECHA!$B$2:$B$201=$B235),0)),IFERROR(INDEX(EXCEPCIONES_FECHA!$F$2:$F$201,MATCH(1,(EXCEPCIONES_FECHA!$A$2:$A$201=$A235)*(EXCEPCIONES_FECHA!$B$2:$B$201=""),0)),IFERROR(INDEX(IF($I235="FIN",HISTORIAL_HORARIOS!$L$2:$L$201,HISTORIAL_HORARIOS!$H$2:$H$201),MATCH(1,(HISTORIAL_HORARIOS!$A$2:$A$201=$B235)*(HISTORIAL_HORARIOS!$C$2:$C$201&lt;=$A235)*(HISTORIAL_HORARIOS!$D$2:$D$201&gt;=$A235),0)),INDEX(IF($I235="FIN",PERSONAL!$L$2:$L$80,PERSONAL!$H$2:$H$80),MATCH($B235,PERSONAL!$A$2:$A$80,0)))))</f>
        <v/>
      </c>
    </row>
    <row r="236" ht="15" customHeight="1" s="58">
      <c r="A236" s="37" t="n"/>
      <c r="B236" s="38" t="n"/>
      <c r="C236" s="39" t="n"/>
      <c r="D236" s="39" t="n"/>
      <c r="E236" s="34">
        <f t="array" ref="E236">IF($B236="","",IFERROR(INDEX(PERSONAL!$B$2:$B$80,MATCH($B236,PERSONAL!$A$2:$A$80,0)),"NO EXISTE"))</f>
        <v/>
      </c>
      <c r="F236" s="52">
        <f t="array" ref="F236">IF($B236="","",IFERROR(INDEX(PERSONAL!$C$2:$C$80,MATCH($B236,PERSONAL!$A$2:$A$80,0)),""))</f>
        <v/>
      </c>
      <c r="G236" s="52">
        <f>IF($A236="","",CHOOSE(WEEKDAY($A236,2),"LUNES","MARTES","MIÉRCOLES","JUEVES","VIERNES","SÁBADO","DOMINGO"))</f>
        <v/>
      </c>
      <c r="H236" s="34">
        <f>IF($A236="","",CHOOSE(MONTH($A236),"ENERO","FEBRERO","MARZO","ABRIL","MAYO","JUNIO","JULIO","AGOSTO","SEPTIEMBRE","OCTUBRE","NOVIEMBRE","DICIEMBRE"))</f>
        <v/>
      </c>
      <c r="I236" s="34">
        <f>IF($A236="","",IF(OR($G236="SÁBADO",$G236="DOMINGO"),"FIN","LV"))</f>
        <v/>
      </c>
      <c r="J236" s="34">
        <f>IF(OR($A236="",$B236=""),"",IF($L236&lt;&gt;"",UPPER($L236),IF($C236="","FALTA",IFERROR(IF($C236&gt;=$O236,"ROJO FUERTE",IF($C236&gt;=$N236,"ROJO",IF($C236&gt;=$M236,"AMARILLO","VERDE"))),"REVISAR"))))</f>
        <v/>
      </c>
      <c r="K236" s="36">
        <f>IF(OR($C236="",$D236=""),"",IF($D236&gt;=$C236,($D236-$C236)*24,(1-$C236+$D236)*24))</f>
        <v/>
      </c>
      <c r="L236" s="34" t="n"/>
      <c r="M236" s="53">
        <f t="array" ref="M236">IFERROR(INDEX(EXCEPCIONES_FECHA!$D$2:$D$201,MATCH(1,(EXCEPCIONES_FECHA!$A$2:$A$201=$A236)*(EXCEPCIONES_FECHA!$B$2:$B$201=$B236),0)),IFERROR(INDEX(EXCEPCIONES_FECHA!$D$2:$D$201,MATCH(1,(EXCEPCIONES_FECHA!$A$2:$A$201=$A236)*(EXCEPCIONES_FECHA!$B$2:$B$201=""),0)),IFERROR(INDEX(IF($I236="FIN",HISTORIAL_HORARIOS!$J$2:$J$201,HISTORIAL_HORARIOS!$F$2:$F$201),MATCH(1,(HISTORIAL_HORARIOS!$A$2:$A$201=$B236)*(HISTORIAL_HORARIOS!$C$2:$C$201&lt;=$A236)*(HISTORIAL_HORARIOS!$D$2:$D$201&gt;=$A236),0)),INDEX(IF($I236="FIN",PERSONAL!$J$2:$J$80,PERSONAL!$F$2:$F$80),MATCH($B236,PERSONAL!$A$2:$A$80,0)))))</f>
        <v/>
      </c>
      <c r="N236" s="53">
        <f t="array" ref="N236">IFERROR(INDEX(EXCEPCIONES_FECHA!$E$2:$E$201,MATCH(1,(EXCEPCIONES_FECHA!$A$2:$A$201=$A236)*(EXCEPCIONES_FECHA!$B$2:$B$201=$B236),0)),IFERROR(INDEX(EXCEPCIONES_FECHA!$E$2:$E$201,MATCH(1,(EXCEPCIONES_FECHA!$A$2:$A$201=$A236)*(EXCEPCIONES_FECHA!$B$2:$B$201=""),0)),IFERROR(INDEX(IF($I236="FIN",HISTORIAL_HORARIOS!$K$2:$K$201,HISTORIAL_HORARIOS!$G$2:$G$201),MATCH(1,(HISTORIAL_HORARIOS!$A$2:$A$201=$B236)*(HISTORIAL_HORARIOS!$C$2:$C$201&lt;=$A236)*(HISTORIAL_HORARIOS!$D$2:$D$201&gt;=$A236),0)),INDEX(IF($I236="FIN",PERSONAL!$K$2:$K$80,PERSONAL!$G$2:$G$80),MATCH($B236,PERSONAL!$A$2:$A$80,0)))))</f>
        <v/>
      </c>
      <c r="O236" s="53">
        <f t="array" ref="O236">IFERROR(INDEX(EXCEPCIONES_FECHA!$F$2:$F$201,MATCH(1,(EXCEPCIONES_FECHA!$A$2:$A$201=$A236)*(EXCEPCIONES_FECHA!$B$2:$B$201=$B236),0)),IFERROR(INDEX(EXCEPCIONES_FECHA!$F$2:$F$201,MATCH(1,(EXCEPCIONES_FECHA!$A$2:$A$201=$A236)*(EXCEPCIONES_FECHA!$B$2:$B$201=""),0)),IFERROR(INDEX(IF($I236="FIN",HISTORIAL_HORARIOS!$L$2:$L$201,HISTORIAL_HORARIOS!$H$2:$H$201),MATCH(1,(HISTORIAL_HORARIOS!$A$2:$A$201=$B236)*(HISTORIAL_HORARIOS!$C$2:$C$201&lt;=$A236)*(HISTORIAL_HORARIOS!$D$2:$D$201&gt;=$A236),0)),INDEX(IF($I236="FIN",PERSONAL!$L$2:$L$80,PERSONAL!$H$2:$H$80),MATCH($B236,PERSONAL!$A$2:$A$80,0)))))</f>
        <v/>
      </c>
    </row>
    <row r="237" ht="15" customHeight="1" s="58">
      <c r="A237" s="37" t="n"/>
      <c r="B237" s="38" t="n"/>
      <c r="C237" s="39" t="n"/>
      <c r="D237" s="39" t="n"/>
      <c r="E237" s="34">
        <f t="array" ref="E237">IF($B237="","",IFERROR(INDEX(PERSONAL!$B$2:$B$80,MATCH($B237,PERSONAL!$A$2:$A$80,0)),"NO EXISTE"))</f>
        <v/>
      </c>
      <c r="F237" s="52">
        <f t="array" ref="F237">IF($B237="","",IFERROR(INDEX(PERSONAL!$C$2:$C$80,MATCH($B237,PERSONAL!$A$2:$A$80,0)),""))</f>
        <v/>
      </c>
      <c r="G237" s="52">
        <f>IF($A237="","",CHOOSE(WEEKDAY($A237,2),"LUNES","MARTES","MIÉRCOLES","JUEVES","VIERNES","SÁBADO","DOMINGO"))</f>
        <v/>
      </c>
      <c r="H237" s="34">
        <f>IF($A237="","",CHOOSE(MONTH($A237),"ENERO","FEBRERO","MARZO","ABRIL","MAYO","JUNIO","JULIO","AGOSTO","SEPTIEMBRE","OCTUBRE","NOVIEMBRE","DICIEMBRE"))</f>
        <v/>
      </c>
      <c r="I237" s="34">
        <f>IF($A237="","",IF(OR($G237="SÁBADO",$G237="DOMINGO"),"FIN","LV"))</f>
        <v/>
      </c>
      <c r="J237" s="34">
        <f>IF(OR($A237="",$B237=""),"",IF($L237&lt;&gt;"",UPPER($L237),IF($C237="","FALTA",IFERROR(IF($C237&gt;=$O237,"ROJO FUERTE",IF($C237&gt;=$N237,"ROJO",IF($C237&gt;=$M237,"AMARILLO","VERDE"))),"REVISAR"))))</f>
        <v/>
      </c>
      <c r="K237" s="36">
        <f>IF(OR($C237="",$D237=""),"",IF($D237&gt;=$C237,($D237-$C237)*24,(1-$C237+$D237)*24))</f>
        <v/>
      </c>
      <c r="L237" s="34" t="n"/>
      <c r="M237" s="53">
        <f t="array" ref="M237">IFERROR(INDEX(EXCEPCIONES_FECHA!$D$2:$D$201,MATCH(1,(EXCEPCIONES_FECHA!$A$2:$A$201=$A237)*(EXCEPCIONES_FECHA!$B$2:$B$201=$B237),0)),IFERROR(INDEX(EXCEPCIONES_FECHA!$D$2:$D$201,MATCH(1,(EXCEPCIONES_FECHA!$A$2:$A$201=$A237)*(EXCEPCIONES_FECHA!$B$2:$B$201=""),0)),IFERROR(INDEX(IF($I237="FIN",HISTORIAL_HORARIOS!$J$2:$J$201,HISTORIAL_HORARIOS!$F$2:$F$201),MATCH(1,(HISTORIAL_HORARIOS!$A$2:$A$201=$B237)*(HISTORIAL_HORARIOS!$C$2:$C$201&lt;=$A237)*(HISTORIAL_HORARIOS!$D$2:$D$201&gt;=$A237),0)),INDEX(IF($I237="FIN",PERSONAL!$J$2:$J$80,PERSONAL!$F$2:$F$80),MATCH($B237,PERSONAL!$A$2:$A$80,0)))))</f>
        <v/>
      </c>
      <c r="N237" s="53">
        <f t="array" ref="N237">IFERROR(INDEX(EXCEPCIONES_FECHA!$E$2:$E$201,MATCH(1,(EXCEPCIONES_FECHA!$A$2:$A$201=$A237)*(EXCEPCIONES_FECHA!$B$2:$B$201=$B237),0)),IFERROR(INDEX(EXCEPCIONES_FECHA!$E$2:$E$201,MATCH(1,(EXCEPCIONES_FECHA!$A$2:$A$201=$A237)*(EXCEPCIONES_FECHA!$B$2:$B$201=""),0)),IFERROR(INDEX(IF($I237="FIN",HISTORIAL_HORARIOS!$K$2:$K$201,HISTORIAL_HORARIOS!$G$2:$G$201),MATCH(1,(HISTORIAL_HORARIOS!$A$2:$A$201=$B237)*(HISTORIAL_HORARIOS!$C$2:$C$201&lt;=$A237)*(HISTORIAL_HORARIOS!$D$2:$D$201&gt;=$A237),0)),INDEX(IF($I237="FIN",PERSONAL!$K$2:$K$80,PERSONAL!$G$2:$G$80),MATCH($B237,PERSONAL!$A$2:$A$80,0)))))</f>
        <v/>
      </c>
      <c r="O237" s="53">
        <f t="array" ref="O237">IFERROR(INDEX(EXCEPCIONES_FECHA!$F$2:$F$201,MATCH(1,(EXCEPCIONES_FECHA!$A$2:$A$201=$A237)*(EXCEPCIONES_FECHA!$B$2:$B$201=$B237),0)),IFERROR(INDEX(EXCEPCIONES_FECHA!$F$2:$F$201,MATCH(1,(EXCEPCIONES_FECHA!$A$2:$A$201=$A237)*(EXCEPCIONES_FECHA!$B$2:$B$201=""),0)),IFERROR(INDEX(IF($I237="FIN",HISTORIAL_HORARIOS!$L$2:$L$201,HISTORIAL_HORARIOS!$H$2:$H$201),MATCH(1,(HISTORIAL_HORARIOS!$A$2:$A$201=$B237)*(HISTORIAL_HORARIOS!$C$2:$C$201&lt;=$A237)*(HISTORIAL_HORARIOS!$D$2:$D$201&gt;=$A237),0)),INDEX(IF($I237="FIN",PERSONAL!$L$2:$L$80,PERSONAL!$H$2:$H$80),MATCH($B237,PERSONAL!$A$2:$A$80,0)))))</f>
        <v/>
      </c>
    </row>
    <row r="238" ht="15" customHeight="1" s="58">
      <c r="A238" s="37" t="n"/>
      <c r="B238" s="38" t="n"/>
      <c r="C238" s="39" t="n"/>
      <c r="D238" s="39" t="n"/>
      <c r="E238" s="34">
        <f t="array" ref="E238">IF($B238="","",IFERROR(INDEX(PERSONAL!$B$2:$B$80,MATCH($B238,PERSONAL!$A$2:$A$80,0)),"NO EXISTE"))</f>
        <v/>
      </c>
      <c r="F238" s="52">
        <f t="array" ref="F238">IF($B238="","",IFERROR(INDEX(PERSONAL!$C$2:$C$80,MATCH($B238,PERSONAL!$A$2:$A$80,0)),""))</f>
        <v/>
      </c>
      <c r="G238" s="52">
        <f>IF($A238="","",CHOOSE(WEEKDAY($A238,2),"LUNES","MARTES","MIÉRCOLES","JUEVES","VIERNES","SÁBADO","DOMINGO"))</f>
        <v/>
      </c>
      <c r="H238" s="34">
        <f>IF($A238="","",CHOOSE(MONTH($A238),"ENERO","FEBRERO","MARZO","ABRIL","MAYO","JUNIO","JULIO","AGOSTO","SEPTIEMBRE","OCTUBRE","NOVIEMBRE","DICIEMBRE"))</f>
        <v/>
      </c>
      <c r="I238" s="34">
        <f>IF($A238="","",IF(OR($G238="SÁBADO",$G238="DOMINGO"),"FIN","LV"))</f>
        <v/>
      </c>
      <c r="J238" s="34">
        <f>IF(OR($A238="",$B238=""),"",IF($L238&lt;&gt;"",UPPER($L238),IF($C238="","FALTA",IFERROR(IF($C238&gt;=$O238,"ROJO FUERTE",IF($C238&gt;=$N238,"ROJO",IF($C238&gt;=$M238,"AMARILLO","VERDE"))),"REVISAR"))))</f>
        <v/>
      </c>
      <c r="K238" s="36">
        <f>IF(OR($C238="",$D238=""),"",IF($D238&gt;=$C238,($D238-$C238)*24,(1-$C238+$D238)*24))</f>
        <v/>
      </c>
      <c r="L238" s="34" t="n"/>
      <c r="M238" s="53">
        <f t="array" ref="M238">IFERROR(INDEX(EXCEPCIONES_FECHA!$D$2:$D$201,MATCH(1,(EXCEPCIONES_FECHA!$A$2:$A$201=$A238)*(EXCEPCIONES_FECHA!$B$2:$B$201=$B238),0)),IFERROR(INDEX(EXCEPCIONES_FECHA!$D$2:$D$201,MATCH(1,(EXCEPCIONES_FECHA!$A$2:$A$201=$A238)*(EXCEPCIONES_FECHA!$B$2:$B$201=""),0)),IFERROR(INDEX(IF($I238="FIN",HISTORIAL_HORARIOS!$J$2:$J$201,HISTORIAL_HORARIOS!$F$2:$F$201),MATCH(1,(HISTORIAL_HORARIOS!$A$2:$A$201=$B238)*(HISTORIAL_HORARIOS!$C$2:$C$201&lt;=$A238)*(HISTORIAL_HORARIOS!$D$2:$D$201&gt;=$A238),0)),INDEX(IF($I238="FIN",PERSONAL!$J$2:$J$80,PERSONAL!$F$2:$F$80),MATCH($B238,PERSONAL!$A$2:$A$80,0)))))</f>
        <v/>
      </c>
      <c r="N238" s="53">
        <f t="array" ref="N238">IFERROR(INDEX(EXCEPCIONES_FECHA!$E$2:$E$201,MATCH(1,(EXCEPCIONES_FECHA!$A$2:$A$201=$A238)*(EXCEPCIONES_FECHA!$B$2:$B$201=$B238),0)),IFERROR(INDEX(EXCEPCIONES_FECHA!$E$2:$E$201,MATCH(1,(EXCEPCIONES_FECHA!$A$2:$A$201=$A238)*(EXCEPCIONES_FECHA!$B$2:$B$201=""),0)),IFERROR(INDEX(IF($I238="FIN",HISTORIAL_HORARIOS!$K$2:$K$201,HISTORIAL_HORARIOS!$G$2:$G$201),MATCH(1,(HISTORIAL_HORARIOS!$A$2:$A$201=$B238)*(HISTORIAL_HORARIOS!$C$2:$C$201&lt;=$A238)*(HISTORIAL_HORARIOS!$D$2:$D$201&gt;=$A238),0)),INDEX(IF($I238="FIN",PERSONAL!$K$2:$K$80,PERSONAL!$G$2:$G$80),MATCH($B238,PERSONAL!$A$2:$A$80,0)))))</f>
        <v/>
      </c>
      <c r="O238" s="53">
        <f t="array" ref="O238">IFERROR(INDEX(EXCEPCIONES_FECHA!$F$2:$F$201,MATCH(1,(EXCEPCIONES_FECHA!$A$2:$A$201=$A238)*(EXCEPCIONES_FECHA!$B$2:$B$201=$B238),0)),IFERROR(INDEX(EXCEPCIONES_FECHA!$F$2:$F$201,MATCH(1,(EXCEPCIONES_FECHA!$A$2:$A$201=$A238)*(EXCEPCIONES_FECHA!$B$2:$B$201=""),0)),IFERROR(INDEX(IF($I238="FIN",HISTORIAL_HORARIOS!$L$2:$L$201,HISTORIAL_HORARIOS!$H$2:$H$201),MATCH(1,(HISTORIAL_HORARIOS!$A$2:$A$201=$B238)*(HISTORIAL_HORARIOS!$C$2:$C$201&lt;=$A238)*(HISTORIAL_HORARIOS!$D$2:$D$201&gt;=$A238),0)),INDEX(IF($I238="FIN",PERSONAL!$L$2:$L$80,PERSONAL!$H$2:$H$80),MATCH($B238,PERSONAL!$A$2:$A$80,0)))))</f>
        <v/>
      </c>
    </row>
    <row r="239" ht="15" customHeight="1" s="58">
      <c r="A239" s="37" t="n"/>
      <c r="B239" s="38" t="n"/>
      <c r="C239" s="39" t="n"/>
      <c r="D239" s="39" t="n"/>
      <c r="E239" s="34">
        <f t="array" ref="E239">IF($B239="","",IFERROR(INDEX(PERSONAL!$B$2:$B$80,MATCH($B239,PERSONAL!$A$2:$A$80,0)),"NO EXISTE"))</f>
        <v/>
      </c>
      <c r="F239" s="52">
        <f t="array" ref="F239">IF($B239="","",IFERROR(INDEX(PERSONAL!$C$2:$C$80,MATCH($B239,PERSONAL!$A$2:$A$80,0)),""))</f>
        <v/>
      </c>
      <c r="G239" s="52">
        <f>IF($A239="","",CHOOSE(WEEKDAY($A239,2),"LUNES","MARTES","MIÉRCOLES","JUEVES","VIERNES","SÁBADO","DOMINGO"))</f>
        <v/>
      </c>
      <c r="H239" s="34">
        <f>IF($A239="","",CHOOSE(MONTH($A239),"ENERO","FEBRERO","MARZO","ABRIL","MAYO","JUNIO","JULIO","AGOSTO","SEPTIEMBRE","OCTUBRE","NOVIEMBRE","DICIEMBRE"))</f>
        <v/>
      </c>
      <c r="I239" s="34">
        <f>IF($A239="","",IF(OR($G239="SÁBADO",$G239="DOMINGO"),"FIN","LV"))</f>
        <v/>
      </c>
      <c r="J239" s="34">
        <f>IF(OR($A239="",$B239=""),"",IF($L239&lt;&gt;"",UPPER($L239),IF($C239="","FALTA",IFERROR(IF($C239&gt;=$O239,"ROJO FUERTE",IF($C239&gt;=$N239,"ROJO",IF($C239&gt;=$M239,"AMARILLO","VERDE"))),"REVISAR"))))</f>
        <v/>
      </c>
      <c r="K239" s="36">
        <f>IF(OR($C239="",$D239=""),"",IF($D239&gt;=$C239,($D239-$C239)*24,(1-$C239+$D239)*24))</f>
        <v/>
      </c>
      <c r="L239" s="34" t="n"/>
      <c r="M239" s="53">
        <f t="array" ref="M239">IFERROR(INDEX(EXCEPCIONES_FECHA!$D$2:$D$201,MATCH(1,(EXCEPCIONES_FECHA!$A$2:$A$201=$A239)*(EXCEPCIONES_FECHA!$B$2:$B$201=$B239),0)),IFERROR(INDEX(EXCEPCIONES_FECHA!$D$2:$D$201,MATCH(1,(EXCEPCIONES_FECHA!$A$2:$A$201=$A239)*(EXCEPCIONES_FECHA!$B$2:$B$201=""),0)),IFERROR(INDEX(IF($I239="FIN",HISTORIAL_HORARIOS!$J$2:$J$201,HISTORIAL_HORARIOS!$F$2:$F$201),MATCH(1,(HISTORIAL_HORARIOS!$A$2:$A$201=$B239)*(HISTORIAL_HORARIOS!$C$2:$C$201&lt;=$A239)*(HISTORIAL_HORARIOS!$D$2:$D$201&gt;=$A239),0)),INDEX(IF($I239="FIN",PERSONAL!$J$2:$J$80,PERSONAL!$F$2:$F$80),MATCH($B239,PERSONAL!$A$2:$A$80,0)))))</f>
        <v/>
      </c>
      <c r="N239" s="53">
        <f t="array" ref="N239">IFERROR(INDEX(EXCEPCIONES_FECHA!$E$2:$E$201,MATCH(1,(EXCEPCIONES_FECHA!$A$2:$A$201=$A239)*(EXCEPCIONES_FECHA!$B$2:$B$201=$B239),0)),IFERROR(INDEX(EXCEPCIONES_FECHA!$E$2:$E$201,MATCH(1,(EXCEPCIONES_FECHA!$A$2:$A$201=$A239)*(EXCEPCIONES_FECHA!$B$2:$B$201=""),0)),IFERROR(INDEX(IF($I239="FIN",HISTORIAL_HORARIOS!$K$2:$K$201,HISTORIAL_HORARIOS!$G$2:$G$201),MATCH(1,(HISTORIAL_HORARIOS!$A$2:$A$201=$B239)*(HISTORIAL_HORARIOS!$C$2:$C$201&lt;=$A239)*(HISTORIAL_HORARIOS!$D$2:$D$201&gt;=$A239),0)),INDEX(IF($I239="FIN",PERSONAL!$K$2:$K$80,PERSONAL!$G$2:$G$80),MATCH($B239,PERSONAL!$A$2:$A$80,0)))))</f>
        <v/>
      </c>
      <c r="O239" s="53">
        <f t="array" ref="O239">IFERROR(INDEX(EXCEPCIONES_FECHA!$F$2:$F$201,MATCH(1,(EXCEPCIONES_FECHA!$A$2:$A$201=$A239)*(EXCEPCIONES_FECHA!$B$2:$B$201=$B239),0)),IFERROR(INDEX(EXCEPCIONES_FECHA!$F$2:$F$201,MATCH(1,(EXCEPCIONES_FECHA!$A$2:$A$201=$A239)*(EXCEPCIONES_FECHA!$B$2:$B$201=""),0)),IFERROR(INDEX(IF($I239="FIN",HISTORIAL_HORARIOS!$L$2:$L$201,HISTORIAL_HORARIOS!$H$2:$H$201),MATCH(1,(HISTORIAL_HORARIOS!$A$2:$A$201=$B239)*(HISTORIAL_HORARIOS!$C$2:$C$201&lt;=$A239)*(HISTORIAL_HORARIOS!$D$2:$D$201&gt;=$A239),0)),INDEX(IF($I239="FIN",PERSONAL!$L$2:$L$80,PERSONAL!$H$2:$H$80),MATCH($B239,PERSONAL!$A$2:$A$80,0)))))</f>
        <v/>
      </c>
    </row>
    <row r="240" ht="15" customHeight="1" s="58">
      <c r="A240" s="37" t="n"/>
      <c r="B240" s="38" t="n"/>
      <c r="C240" s="39" t="n"/>
      <c r="D240" s="39" t="n"/>
      <c r="E240" s="34">
        <f t="array" ref="E240">IF($B240="","",IFERROR(INDEX(PERSONAL!$B$2:$B$80,MATCH($B240,PERSONAL!$A$2:$A$80,0)),"NO EXISTE"))</f>
        <v/>
      </c>
      <c r="F240" s="52">
        <f t="array" ref="F240">IF($B240="","",IFERROR(INDEX(PERSONAL!$C$2:$C$80,MATCH($B240,PERSONAL!$A$2:$A$80,0)),""))</f>
        <v/>
      </c>
      <c r="G240" s="52">
        <f>IF($A240="","",CHOOSE(WEEKDAY($A240,2),"LUNES","MARTES","MIÉRCOLES","JUEVES","VIERNES","SÁBADO","DOMINGO"))</f>
        <v/>
      </c>
      <c r="H240" s="34">
        <f>IF($A240="","",CHOOSE(MONTH($A240),"ENERO","FEBRERO","MARZO","ABRIL","MAYO","JUNIO","JULIO","AGOSTO","SEPTIEMBRE","OCTUBRE","NOVIEMBRE","DICIEMBRE"))</f>
        <v/>
      </c>
      <c r="I240" s="34">
        <f>IF($A240="","",IF(OR($G240="SÁBADO",$G240="DOMINGO"),"FIN","LV"))</f>
        <v/>
      </c>
      <c r="J240" s="34">
        <f>IF(OR($A240="",$B240=""),"",IF($L240&lt;&gt;"",UPPER($L240),IF($C240="","FALTA",IFERROR(IF($C240&gt;=$O240,"ROJO FUERTE",IF($C240&gt;=$N240,"ROJO",IF($C240&gt;=$M240,"AMARILLO","VERDE"))),"REVISAR"))))</f>
        <v/>
      </c>
      <c r="K240" s="36">
        <f>IF(OR($C240="",$D240=""),"",IF($D240&gt;=$C240,($D240-$C240)*24,(1-$C240+$D240)*24))</f>
        <v/>
      </c>
      <c r="L240" s="34" t="n"/>
      <c r="M240" s="53">
        <f t="array" ref="M240">IFERROR(INDEX(EXCEPCIONES_FECHA!$D$2:$D$201,MATCH(1,(EXCEPCIONES_FECHA!$A$2:$A$201=$A240)*(EXCEPCIONES_FECHA!$B$2:$B$201=$B240),0)),IFERROR(INDEX(EXCEPCIONES_FECHA!$D$2:$D$201,MATCH(1,(EXCEPCIONES_FECHA!$A$2:$A$201=$A240)*(EXCEPCIONES_FECHA!$B$2:$B$201=""),0)),IFERROR(INDEX(IF($I240="FIN",HISTORIAL_HORARIOS!$J$2:$J$201,HISTORIAL_HORARIOS!$F$2:$F$201),MATCH(1,(HISTORIAL_HORARIOS!$A$2:$A$201=$B240)*(HISTORIAL_HORARIOS!$C$2:$C$201&lt;=$A240)*(HISTORIAL_HORARIOS!$D$2:$D$201&gt;=$A240),0)),INDEX(IF($I240="FIN",PERSONAL!$J$2:$J$80,PERSONAL!$F$2:$F$80),MATCH($B240,PERSONAL!$A$2:$A$80,0)))))</f>
        <v/>
      </c>
      <c r="N240" s="53">
        <f t="array" ref="N240">IFERROR(INDEX(EXCEPCIONES_FECHA!$E$2:$E$201,MATCH(1,(EXCEPCIONES_FECHA!$A$2:$A$201=$A240)*(EXCEPCIONES_FECHA!$B$2:$B$201=$B240),0)),IFERROR(INDEX(EXCEPCIONES_FECHA!$E$2:$E$201,MATCH(1,(EXCEPCIONES_FECHA!$A$2:$A$201=$A240)*(EXCEPCIONES_FECHA!$B$2:$B$201=""),0)),IFERROR(INDEX(IF($I240="FIN",HISTORIAL_HORARIOS!$K$2:$K$201,HISTORIAL_HORARIOS!$G$2:$G$201),MATCH(1,(HISTORIAL_HORARIOS!$A$2:$A$201=$B240)*(HISTORIAL_HORARIOS!$C$2:$C$201&lt;=$A240)*(HISTORIAL_HORARIOS!$D$2:$D$201&gt;=$A240),0)),INDEX(IF($I240="FIN",PERSONAL!$K$2:$K$80,PERSONAL!$G$2:$G$80),MATCH($B240,PERSONAL!$A$2:$A$80,0)))))</f>
        <v/>
      </c>
      <c r="O240" s="53">
        <f t="array" ref="O240">IFERROR(INDEX(EXCEPCIONES_FECHA!$F$2:$F$201,MATCH(1,(EXCEPCIONES_FECHA!$A$2:$A$201=$A240)*(EXCEPCIONES_FECHA!$B$2:$B$201=$B240),0)),IFERROR(INDEX(EXCEPCIONES_FECHA!$F$2:$F$201,MATCH(1,(EXCEPCIONES_FECHA!$A$2:$A$201=$A240)*(EXCEPCIONES_FECHA!$B$2:$B$201=""),0)),IFERROR(INDEX(IF($I240="FIN",HISTORIAL_HORARIOS!$L$2:$L$201,HISTORIAL_HORARIOS!$H$2:$H$201),MATCH(1,(HISTORIAL_HORARIOS!$A$2:$A$201=$B240)*(HISTORIAL_HORARIOS!$C$2:$C$201&lt;=$A240)*(HISTORIAL_HORARIOS!$D$2:$D$201&gt;=$A240),0)),INDEX(IF($I240="FIN",PERSONAL!$L$2:$L$80,PERSONAL!$H$2:$H$80),MATCH($B240,PERSONAL!$A$2:$A$80,0)))))</f>
        <v/>
      </c>
    </row>
    <row r="241" ht="15" customHeight="1" s="58">
      <c r="A241" s="37" t="n"/>
      <c r="B241" s="38" t="n"/>
      <c r="C241" s="39" t="n"/>
      <c r="D241" s="39" t="n"/>
      <c r="E241" s="34">
        <f t="array" ref="E241">IF($B241="","",IFERROR(INDEX(PERSONAL!$B$2:$B$80,MATCH($B241,PERSONAL!$A$2:$A$80,0)),"NO EXISTE"))</f>
        <v/>
      </c>
      <c r="F241" s="52">
        <f t="array" ref="F241">IF($B241="","",IFERROR(INDEX(PERSONAL!$C$2:$C$80,MATCH($B241,PERSONAL!$A$2:$A$80,0)),""))</f>
        <v/>
      </c>
      <c r="G241" s="52">
        <f>IF($A241="","",CHOOSE(WEEKDAY($A241,2),"LUNES","MARTES","MIÉRCOLES","JUEVES","VIERNES","SÁBADO","DOMINGO"))</f>
        <v/>
      </c>
      <c r="H241" s="34">
        <f>IF($A241="","",CHOOSE(MONTH($A241),"ENERO","FEBRERO","MARZO","ABRIL","MAYO","JUNIO","JULIO","AGOSTO","SEPTIEMBRE","OCTUBRE","NOVIEMBRE","DICIEMBRE"))</f>
        <v/>
      </c>
      <c r="I241" s="34">
        <f>IF($A241="","",IF(OR($G241="SÁBADO",$G241="DOMINGO"),"FIN","LV"))</f>
        <v/>
      </c>
      <c r="J241" s="34">
        <f>IF(OR($A241="",$B241=""),"",IF($L241&lt;&gt;"",UPPER($L241),IF($C241="","FALTA",IFERROR(IF($C241&gt;=$O241,"ROJO FUERTE",IF($C241&gt;=$N241,"ROJO",IF($C241&gt;=$M241,"AMARILLO","VERDE"))),"REVISAR"))))</f>
        <v/>
      </c>
      <c r="K241" s="36">
        <f>IF(OR($C241="",$D241=""),"",IF($D241&gt;=$C241,($D241-$C241)*24,(1-$C241+$D241)*24))</f>
        <v/>
      </c>
      <c r="L241" s="34" t="n"/>
      <c r="M241" s="53">
        <f t="array" ref="M241">IFERROR(INDEX(EXCEPCIONES_FECHA!$D$2:$D$201,MATCH(1,(EXCEPCIONES_FECHA!$A$2:$A$201=$A241)*(EXCEPCIONES_FECHA!$B$2:$B$201=$B241),0)),IFERROR(INDEX(EXCEPCIONES_FECHA!$D$2:$D$201,MATCH(1,(EXCEPCIONES_FECHA!$A$2:$A$201=$A241)*(EXCEPCIONES_FECHA!$B$2:$B$201=""),0)),IFERROR(INDEX(IF($I241="FIN",HISTORIAL_HORARIOS!$J$2:$J$201,HISTORIAL_HORARIOS!$F$2:$F$201),MATCH(1,(HISTORIAL_HORARIOS!$A$2:$A$201=$B241)*(HISTORIAL_HORARIOS!$C$2:$C$201&lt;=$A241)*(HISTORIAL_HORARIOS!$D$2:$D$201&gt;=$A241),0)),INDEX(IF($I241="FIN",PERSONAL!$J$2:$J$80,PERSONAL!$F$2:$F$80),MATCH($B241,PERSONAL!$A$2:$A$80,0)))))</f>
        <v/>
      </c>
      <c r="N241" s="53">
        <f t="array" ref="N241">IFERROR(INDEX(EXCEPCIONES_FECHA!$E$2:$E$201,MATCH(1,(EXCEPCIONES_FECHA!$A$2:$A$201=$A241)*(EXCEPCIONES_FECHA!$B$2:$B$201=$B241),0)),IFERROR(INDEX(EXCEPCIONES_FECHA!$E$2:$E$201,MATCH(1,(EXCEPCIONES_FECHA!$A$2:$A$201=$A241)*(EXCEPCIONES_FECHA!$B$2:$B$201=""),0)),IFERROR(INDEX(IF($I241="FIN",HISTORIAL_HORARIOS!$K$2:$K$201,HISTORIAL_HORARIOS!$G$2:$G$201),MATCH(1,(HISTORIAL_HORARIOS!$A$2:$A$201=$B241)*(HISTORIAL_HORARIOS!$C$2:$C$201&lt;=$A241)*(HISTORIAL_HORARIOS!$D$2:$D$201&gt;=$A241),0)),INDEX(IF($I241="FIN",PERSONAL!$K$2:$K$80,PERSONAL!$G$2:$G$80),MATCH($B241,PERSONAL!$A$2:$A$80,0)))))</f>
        <v/>
      </c>
      <c r="O241" s="53">
        <f t="array" ref="O241">IFERROR(INDEX(EXCEPCIONES_FECHA!$F$2:$F$201,MATCH(1,(EXCEPCIONES_FECHA!$A$2:$A$201=$A241)*(EXCEPCIONES_FECHA!$B$2:$B$201=$B241),0)),IFERROR(INDEX(EXCEPCIONES_FECHA!$F$2:$F$201,MATCH(1,(EXCEPCIONES_FECHA!$A$2:$A$201=$A241)*(EXCEPCIONES_FECHA!$B$2:$B$201=""),0)),IFERROR(INDEX(IF($I241="FIN",HISTORIAL_HORARIOS!$L$2:$L$201,HISTORIAL_HORARIOS!$H$2:$H$201),MATCH(1,(HISTORIAL_HORARIOS!$A$2:$A$201=$B241)*(HISTORIAL_HORARIOS!$C$2:$C$201&lt;=$A241)*(HISTORIAL_HORARIOS!$D$2:$D$201&gt;=$A241),0)),INDEX(IF($I241="FIN",PERSONAL!$L$2:$L$80,PERSONAL!$H$2:$H$80),MATCH($B241,PERSONAL!$A$2:$A$80,0)))))</f>
        <v/>
      </c>
    </row>
    <row r="242" ht="15" customHeight="1" s="58">
      <c r="A242" s="37" t="n"/>
      <c r="B242" s="38" t="n"/>
      <c r="C242" s="39" t="n"/>
      <c r="D242" s="39" t="n"/>
      <c r="E242" s="34">
        <f t="array" ref="E242">IF($B242="","",IFERROR(INDEX(PERSONAL!$B$2:$B$80,MATCH($B242,PERSONAL!$A$2:$A$80,0)),"NO EXISTE"))</f>
        <v/>
      </c>
      <c r="F242" s="52">
        <f t="array" ref="F242">IF($B242="","",IFERROR(INDEX(PERSONAL!$C$2:$C$80,MATCH($B242,PERSONAL!$A$2:$A$80,0)),""))</f>
        <v/>
      </c>
      <c r="G242" s="52">
        <f>IF($A242="","",CHOOSE(WEEKDAY($A242,2),"LUNES","MARTES","MIÉRCOLES","JUEVES","VIERNES","SÁBADO","DOMINGO"))</f>
        <v/>
      </c>
      <c r="H242" s="34">
        <f>IF($A242="","",CHOOSE(MONTH($A242),"ENERO","FEBRERO","MARZO","ABRIL","MAYO","JUNIO","JULIO","AGOSTO","SEPTIEMBRE","OCTUBRE","NOVIEMBRE","DICIEMBRE"))</f>
        <v/>
      </c>
      <c r="I242" s="34">
        <f>IF($A242="","",IF(OR($G242="SÁBADO",$G242="DOMINGO"),"FIN","LV"))</f>
        <v/>
      </c>
      <c r="J242" s="34">
        <f>IF(OR($A242="",$B242=""),"",IF($L242&lt;&gt;"",UPPER($L242),IF($C242="","FALTA",IFERROR(IF($C242&gt;=$O242,"ROJO FUERTE",IF($C242&gt;=$N242,"ROJO",IF($C242&gt;=$M242,"AMARILLO","VERDE"))),"REVISAR"))))</f>
        <v/>
      </c>
      <c r="K242" s="36">
        <f>IF(OR($C242="",$D242=""),"",IF($D242&gt;=$C242,($D242-$C242)*24,(1-$C242+$D242)*24))</f>
        <v/>
      </c>
      <c r="L242" s="34" t="n"/>
      <c r="M242" s="53">
        <f t="array" ref="M242">IFERROR(INDEX(EXCEPCIONES_FECHA!$D$2:$D$201,MATCH(1,(EXCEPCIONES_FECHA!$A$2:$A$201=$A242)*(EXCEPCIONES_FECHA!$B$2:$B$201=$B242),0)),IFERROR(INDEX(EXCEPCIONES_FECHA!$D$2:$D$201,MATCH(1,(EXCEPCIONES_FECHA!$A$2:$A$201=$A242)*(EXCEPCIONES_FECHA!$B$2:$B$201=""),0)),IFERROR(INDEX(IF($I242="FIN",HISTORIAL_HORARIOS!$J$2:$J$201,HISTORIAL_HORARIOS!$F$2:$F$201),MATCH(1,(HISTORIAL_HORARIOS!$A$2:$A$201=$B242)*(HISTORIAL_HORARIOS!$C$2:$C$201&lt;=$A242)*(HISTORIAL_HORARIOS!$D$2:$D$201&gt;=$A242),0)),INDEX(IF($I242="FIN",PERSONAL!$J$2:$J$80,PERSONAL!$F$2:$F$80),MATCH($B242,PERSONAL!$A$2:$A$80,0)))))</f>
        <v/>
      </c>
      <c r="N242" s="53">
        <f t="array" ref="N242">IFERROR(INDEX(EXCEPCIONES_FECHA!$E$2:$E$201,MATCH(1,(EXCEPCIONES_FECHA!$A$2:$A$201=$A242)*(EXCEPCIONES_FECHA!$B$2:$B$201=$B242),0)),IFERROR(INDEX(EXCEPCIONES_FECHA!$E$2:$E$201,MATCH(1,(EXCEPCIONES_FECHA!$A$2:$A$201=$A242)*(EXCEPCIONES_FECHA!$B$2:$B$201=""),0)),IFERROR(INDEX(IF($I242="FIN",HISTORIAL_HORARIOS!$K$2:$K$201,HISTORIAL_HORARIOS!$G$2:$G$201),MATCH(1,(HISTORIAL_HORARIOS!$A$2:$A$201=$B242)*(HISTORIAL_HORARIOS!$C$2:$C$201&lt;=$A242)*(HISTORIAL_HORARIOS!$D$2:$D$201&gt;=$A242),0)),INDEX(IF($I242="FIN",PERSONAL!$K$2:$K$80,PERSONAL!$G$2:$G$80),MATCH($B242,PERSONAL!$A$2:$A$80,0)))))</f>
        <v/>
      </c>
      <c r="O242" s="53">
        <f t="array" ref="O242">IFERROR(INDEX(EXCEPCIONES_FECHA!$F$2:$F$201,MATCH(1,(EXCEPCIONES_FECHA!$A$2:$A$201=$A242)*(EXCEPCIONES_FECHA!$B$2:$B$201=$B242),0)),IFERROR(INDEX(EXCEPCIONES_FECHA!$F$2:$F$201,MATCH(1,(EXCEPCIONES_FECHA!$A$2:$A$201=$A242)*(EXCEPCIONES_FECHA!$B$2:$B$201=""),0)),IFERROR(INDEX(IF($I242="FIN",HISTORIAL_HORARIOS!$L$2:$L$201,HISTORIAL_HORARIOS!$H$2:$H$201),MATCH(1,(HISTORIAL_HORARIOS!$A$2:$A$201=$B242)*(HISTORIAL_HORARIOS!$C$2:$C$201&lt;=$A242)*(HISTORIAL_HORARIOS!$D$2:$D$201&gt;=$A242),0)),INDEX(IF($I242="FIN",PERSONAL!$L$2:$L$80,PERSONAL!$H$2:$H$80),MATCH($B242,PERSONAL!$A$2:$A$80,0)))))</f>
        <v/>
      </c>
    </row>
    <row r="243" ht="15" customHeight="1" s="58">
      <c r="A243" s="37" t="n"/>
      <c r="B243" s="38" t="n"/>
      <c r="C243" s="39" t="n"/>
      <c r="D243" s="39" t="n"/>
      <c r="E243" s="34">
        <f t="array" ref="E243">IF($B243="","",IFERROR(INDEX(PERSONAL!$B$2:$B$80,MATCH($B243,PERSONAL!$A$2:$A$80,0)),"NO EXISTE"))</f>
        <v/>
      </c>
      <c r="F243" s="52">
        <f t="array" ref="F243">IF($B243="","",IFERROR(INDEX(PERSONAL!$C$2:$C$80,MATCH($B243,PERSONAL!$A$2:$A$80,0)),""))</f>
        <v/>
      </c>
      <c r="G243" s="52">
        <f>IF($A243="","",CHOOSE(WEEKDAY($A243,2),"LUNES","MARTES","MIÉRCOLES","JUEVES","VIERNES","SÁBADO","DOMINGO"))</f>
        <v/>
      </c>
      <c r="H243" s="34">
        <f>IF($A243="","",CHOOSE(MONTH($A243),"ENERO","FEBRERO","MARZO","ABRIL","MAYO","JUNIO","JULIO","AGOSTO","SEPTIEMBRE","OCTUBRE","NOVIEMBRE","DICIEMBRE"))</f>
        <v/>
      </c>
      <c r="I243" s="34">
        <f>IF($A243="","",IF(OR($G243="SÁBADO",$G243="DOMINGO"),"FIN","LV"))</f>
        <v/>
      </c>
      <c r="J243" s="34">
        <f>IF(OR($A243="",$B243=""),"",IF($L243&lt;&gt;"",UPPER($L243),IF($C243="","FALTA",IFERROR(IF($C243&gt;=$O243,"ROJO FUERTE",IF($C243&gt;=$N243,"ROJO",IF($C243&gt;=$M243,"AMARILLO","VERDE"))),"REVISAR"))))</f>
        <v/>
      </c>
      <c r="K243" s="36">
        <f>IF(OR($C243="",$D243=""),"",IF($D243&gt;=$C243,($D243-$C243)*24,(1-$C243+$D243)*24))</f>
        <v/>
      </c>
      <c r="L243" s="34" t="n"/>
      <c r="M243" s="53">
        <f t="array" ref="M243">IFERROR(INDEX(EXCEPCIONES_FECHA!$D$2:$D$201,MATCH(1,(EXCEPCIONES_FECHA!$A$2:$A$201=$A243)*(EXCEPCIONES_FECHA!$B$2:$B$201=$B243),0)),IFERROR(INDEX(EXCEPCIONES_FECHA!$D$2:$D$201,MATCH(1,(EXCEPCIONES_FECHA!$A$2:$A$201=$A243)*(EXCEPCIONES_FECHA!$B$2:$B$201=""),0)),IFERROR(INDEX(IF($I243="FIN",HISTORIAL_HORARIOS!$J$2:$J$201,HISTORIAL_HORARIOS!$F$2:$F$201),MATCH(1,(HISTORIAL_HORARIOS!$A$2:$A$201=$B243)*(HISTORIAL_HORARIOS!$C$2:$C$201&lt;=$A243)*(HISTORIAL_HORARIOS!$D$2:$D$201&gt;=$A243),0)),INDEX(IF($I243="FIN",PERSONAL!$J$2:$J$80,PERSONAL!$F$2:$F$80),MATCH($B243,PERSONAL!$A$2:$A$80,0)))))</f>
        <v/>
      </c>
      <c r="N243" s="53">
        <f t="array" ref="N243">IFERROR(INDEX(EXCEPCIONES_FECHA!$E$2:$E$201,MATCH(1,(EXCEPCIONES_FECHA!$A$2:$A$201=$A243)*(EXCEPCIONES_FECHA!$B$2:$B$201=$B243),0)),IFERROR(INDEX(EXCEPCIONES_FECHA!$E$2:$E$201,MATCH(1,(EXCEPCIONES_FECHA!$A$2:$A$201=$A243)*(EXCEPCIONES_FECHA!$B$2:$B$201=""),0)),IFERROR(INDEX(IF($I243="FIN",HISTORIAL_HORARIOS!$K$2:$K$201,HISTORIAL_HORARIOS!$G$2:$G$201),MATCH(1,(HISTORIAL_HORARIOS!$A$2:$A$201=$B243)*(HISTORIAL_HORARIOS!$C$2:$C$201&lt;=$A243)*(HISTORIAL_HORARIOS!$D$2:$D$201&gt;=$A243),0)),INDEX(IF($I243="FIN",PERSONAL!$K$2:$K$80,PERSONAL!$G$2:$G$80),MATCH($B243,PERSONAL!$A$2:$A$80,0)))))</f>
        <v/>
      </c>
      <c r="O243" s="53">
        <f t="array" ref="O243">IFERROR(INDEX(EXCEPCIONES_FECHA!$F$2:$F$201,MATCH(1,(EXCEPCIONES_FECHA!$A$2:$A$201=$A243)*(EXCEPCIONES_FECHA!$B$2:$B$201=$B243),0)),IFERROR(INDEX(EXCEPCIONES_FECHA!$F$2:$F$201,MATCH(1,(EXCEPCIONES_FECHA!$A$2:$A$201=$A243)*(EXCEPCIONES_FECHA!$B$2:$B$201=""),0)),IFERROR(INDEX(IF($I243="FIN",HISTORIAL_HORARIOS!$L$2:$L$201,HISTORIAL_HORARIOS!$H$2:$H$201),MATCH(1,(HISTORIAL_HORARIOS!$A$2:$A$201=$B243)*(HISTORIAL_HORARIOS!$C$2:$C$201&lt;=$A243)*(HISTORIAL_HORARIOS!$D$2:$D$201&gt;=$A243),0)),INDEX(IF($I243="FIN",PERSONAL!$L$2:$L$80,PERSONAL!$H$2:$H$80),MATCH($B243,PERSONAL!$A$2:$A$80,0)))))</f>
        <v/>
      </c>
    </row>
    <row r="244" ht="15" customHeight="1" s="58">
      <c r="A244" s="37" t="n"/>
      <c r="B244" s="38" t="n"/>
      <c r="C244" s="39" t="n"/>
      <c r="D244" s="39" t="n"/>
      <c r="E244" s="34">
        <f t="array" ref="E244">IF($B244="","",IFERROR(INDEX(PERSONAL!$B$2:$B$80,MATCH($B244,PERSONAL!$A$2:$A$80,0)),"NO EXISTE"))</f>
        <v/>
      </c>
      <c r="F244" s="52">
        <f t="array" ref="F244">IF($B244="","",IFERROR(INDEX(PERSONAL!$C$2:$C$80,MATCH($B244,PERSONAL!$A$2:$A$80,0)),""))</f>
        <v/>
      </c>
      <c r="G244" s="52">
        <f>IF($A244="","",CHOOSE(WEEKDAY($A244,2),"LUNES","MARTES","MIÉRCOLES","JUEVES","VIERNES","SÁBADO","DOMINGO"))</f>
        <v/>
      </c>
      <c r="H244" s="34">
        <f>IF($A244="","",CHOOSE(MONTH($A244),"ENERO","FEBRERO","MARZO","ABRIL","MAYO","JUNIO","JULIO","AGOSTO","SEPTIEMBRE","OCTUBRE","NOVIEMBRE","DICIEMBRE"))</f>
        <v/>
      </c>
      <c r="I244" s="34">
        <f>IF($A244="","",IF(OR($G244="SÁBADO",$G244="DOMINGO"),"FIN","LV"))</f>
        <v/>
      </c>
      <c r="J244" s="34">
        <f>IF(OR($A244="",$B244=""),"",IF($L244&lt;&gt;"",UPPER($L244),IF($C244="","FALTA",IFERROR(IF($C244&gt;=$O244,"ROJO FUERTE",IF($C244&gt;=$N244,"ROJO",IF($C244&gt;=$M244,"AMARILLO","VERDE"))),"REVISAR"))))</f>
        <v/>
      </c>
      <c r="K244" s="36">
        <f>IF(OR($C244="",$D244=""),"",IF($D244&gt;=$C244,($D244-$C244)*24,(1-$C244+$D244)*24))</f>
        <v/>
      </c>
      <c r="L244" s="34" t="n"/>
      <c r="M244" s="53">
        <f t="array" ref="M244">IFERROR(INDEX(EXCEPCIONES_FECHA!$D$2:$D$201,MATCH(1,(EXCEPCIONES_FECHA!$A$2:$A$201=$A244)*(EXCEPCIONES_FECHA!$B$2:$B$201=$B244),0)),IFERROR(INDEX(EXCEPCIONES_FECHA!$D$2:$D$201,MATCH(1,(EXCEPCIONES_FECHA!$A$2:$A$201=$A244)*(EXCEPCIONES_FECHA!$B$2:$B$201=""),0)),IFERROR(INDEX(IF($I244="FIN",HISTORIAL_HORARIOS!$J$2:$J$201,HISTORIAL_HORARIOS!$F$2:$F$201),MATCH(1,(HISTORIAL_HORARIOS!$A$2:$A$201=$B244)*(HISTORIAL_HORARIOS!$C$2:$C$201&lt;=$A244)*(HISTORIAL_HORARIOS!$D$2:$D$201&gt;=$A244),0)),INDEX(IF($I244="FIN",PERSONAL!$J$2:$J$80,PERSONAL!$F$2:$F$80),MATCH($B244,PERSONAL!$A$2:$A$80,0)))))</f>
        <v/>
      </c>
      <c r="N244" s="53">
        <f t="array" ref="N244">IFERROR(INDEX(EXCEPCIONES_FECHA!$E$2:$E$201,MATCH(1,(EXCEPCIONES_FECHA!$A$2:$A$201=$A244)*(EXCEPCIONES_FECHA!$B$2:$B$201=$B244),0)),IFERROR(INDEX(EXCEPCIONES_FECHA!$E$2:$E$201,MATCH(1,(EXCEPCIONES_FECHA!$A$2:$A$201=$A244)*(EXCEPCIONES_FECHA!$B$2:$B$201=""),0)),IFERROR(INDEX(IF($I244="FIN",HISTORIAL_HORARIOS!$K$2:$K$201,HISTORIAL_HORARIOS!$G$2:$G$201),MATCH(1,(HISTORIAL_HORARIOS!$A$2:$A$201=$B244)*(HISTORIAL_HORARIOS!$C$2:$C$201&lt;=$A244)*(HISTORIAL_HORARIOS!$D$2:$D$201&gt;=$A244),0)),INDEX(IF($I244="FIN",PERSONAL!$K$2:$K$80,PERSONAL!$G$2:$G$80),MATCH($B244,PERSONAL!$A$2:$A$80,0)))))</f>
        <v/>
      </c>
      <c r="O244" s="53">
        <f t="array" ref="O244">IFERROR(INDEX(EXCEPCIONES_FECHA!$F$2:$F$201,MATCH(1,(EXCEPCIONES_FECHA!$A$2:$A$201=$A244)*(EXCEPCIONES_FECHA!$B$2:$B$201=$B244),0)),IFERROR(INDEX(EXCEPCIONES_FECHA!$F$2:$F$201,MATCH(1,(EXCEPCIONES_FECHA!$A$2:$A$201=$A244)*(EXCEPCIONES_FECHA!$B$2:$B$201=""),0)),IFERROR(INDEX(IF($I244="FIN",HISTORIAL_HORARIOS!$L$2:$L$201,HISTORIAL_HORARIOS!$H$2:$H$201),MATCH(1,(HISTORIAL_HORARIOS!$A$2:$A$201=$B244)*(HISTORIAL_HORARIOS!$C$2:$C$201&lt;=$A244)*(HISTORIAL_HORARIOS!$D$2:$D$201&gt;=$A244),0)),INDEX(IF($I244="FIN",PERSONAL!$L$2:$L$80,PERSONAL!$H$2:$H$80),MATCH($B244,PERSONAL!$A$2:$A$80,0)))))</f>
        <v/>
      </c>
    </row>
    <row r="245" ht="15" customHeight="1" s="58">
      <c r="A245" s="37" t="n"/>
      <c r="B245" s="38" t="n"/>
      <c r="C245" s="39" t="n"/>
      <c r="D245" s="39" t="n"/>
      <c r="E245" s="34">
        <f t="array" ref="E245">IF($B245="","",IFERROR(INDEX(PERSONAL!$B$2:$B$80,MATCH($B245,PERSONAL!$A$2:$A$80,0)),"NO EXISTE"))</f>
        <v/>
      </c>
      <c r="F245" s="52">
        <f t="array" ref="F245">IF($B245="","",IFERROR(INDEX(PERSONAL!$C$2:$C$80,MATCH($B245,PERSONAL!$A$2:$A$80,0)),""))</f>
        <v/>
      </c>
      <c r="G245" s="52">
        <f>IF($A245="","",CHOOSE(WEEKDAY($A245,2),"LUNES","MARTES","MIÉRCOLES","JUEVES","VIERNES","SÁBADO","DOMINGO"))</f>
        <v/>
      </c>
      <c r="H245" s="34">
        <f>IF($A245="","",CHOOSE(MONTH($A245),"ENERO","FEBRERO","MARZO","ABRIL","MAYO","JUNIO","JULIO","AGOSTO","SEPTIEMBRE","OCTUBRE","NOVIEMBRE","DICIEMBRE"))</f>
        <v/>
      </c>
      <c r="I245" s="34">
        <f>IF($A245="","",IF(OR($G245="SÁBADO",$G245="DOMINGO"),"FIN","LV"))</f>
        <v/>
      </c>
      <c r="J245" s="34">
        <f>IF(OR($A245="",$B245=""),"",IF($L245&lt;&gt;"",UPPER($L245),IF($C245="","FALTA",IFERROR(IF($C245&gt;=$O245,"ROJO FUERTE",IF($C245&gt;=$N245,"ROJO",IF($C245&gt;=$M245,"AMARILLO","VERDE"))),"REVISAR"))))</f>
        <v/>
      </c>
      <c r="K245" s="36">
        <f>IF(OR($C245="",$D245=""),"",IF($D245&gt;=$C245,($D245-$C245)*24,(1-$C245+$D245)*24))</f>
        <v/>
      </c>
      <c r="L245" s="34" t="n"/>
      <c r="M245" s="53">
        <f t="array" ref="M245">IFERROR(INDEX(EXCEPCIONES_FECHA!$D$2:$D$201,MATCH(1,(EXCEPCIONES_FECHA!$A$2:$A$201=$A245)*(EXCEPCIONES_FECHA!$B$2:$B$201=$B245),0)),IFERROR(INDEX(EXCEPCIONES_FECHA!$D$2:$D$201,MATCH(1,(EXCEPCIONES_FECHA!$A$2:$A$201=$A245)*(EXCEPCIONES_FECHA!$B$2:$B$201=""),0)),IFERROR(INDEX(IF($I245="FIN",HISTORIAL_HORARIOS!$J$2:$J$201,HISTORIAL_HORARIOS!$F$2:$F$201),MATCH(1,(HISTORIAL_HORARIOS!$A$2:$A$201=$B245)*(HISTORIAL_HORARIOS!$C$2:$C$201&lt;=$A245)*(HISTORIAL_HORARIOS!$D$2:$D$201&gt;=$A245),0)),INDEX(IF($I245="FIN",PERSONAL!$J$2:$J$80,PERSONAL!$F$2:$F$80),MATCH($B245,PERSONAL!$A$2:$A$80,0)))))</f>
        <v/>
      </c>
      <c r="N245" s="53">
        <f t="array" ref="N245">IFERROR(INDEX(EXCEPCIONES_FECHA!$E$2:$E$201,MATCH(1,(EXCEPCIONES_FECHA!$A$2:$A$201=$A245)*(EXCEPCIONES_FECHA!$B$2:$B$201=$B245),0)),IFERROR(INDEX(EXCEPCIONES_FECHA!$E$2:$E$201,MATCH(1,(EXCEPCIONES_FECHA!$A$2:$A$201=$A245)*(EXCEPCIONES_FECHA!$B$2:$B$201=""),0)),IFERROR(INDEX(IF($I245="FIN",HISTORIAL_HORARIOS!$K$2:$K$201,HISTORIAL_HORARIOS!$G$2:$G$201),MATCH(1,(HISTORIAL_HORARIOS!$A$2:$A$201=$B245)*(HISTORIAL_HORARIOS!$C$2:$C$201&lt;=$A245)*(HISTORIAL_HORARIOS!$D$2:$D$201&gt;=$A245),0)),INDEX(IF($I245="FIN",PERSONAL!$K$2:$K$80,PERSONAL!$G$2:$G$80),MATCH($B245,PERSONAL!$A$2:$A$80,0)))))</f>
        <v/>
      </c>
      <c r="O245" s="53">
        <f t="array" ref="O245">IFERROR(INDEX(EXCEPCIONES_FECHA!$F$2:$F$201,MATCH(1,(EXCEPCIONES_FECHA!$A$2:$A$201=$A245)*(EXCEPCIONES_FECHA!$B$2:$B$201=$B245),0)),IFERROR(INDEX(EXCEPCIONES_FECHA!$F$2:$F$201,MATCH(1,(EXCEPCIONES_FECHA!$A$2:$A$201=$A245)*(EXCEPCIONES_FECHA!$B$2:$B$201=""),0)),IFERROR(INDEX(IF($I245="FIN",HISTORIAL_HORARIOS!$L$2:$L$201,HISTORIAL_HORARIOS!$H$2:$H$201),MATCH(1,(HISTORIAL_HORARIOS!$A$2:$A$201=$B245)*(HISTORIAL_HORARIOS!$C$2:$C$201&lt;=$A245)*(HISTORIAL_HORARIOS!$D$2:$D$201&gt;=$A245),0)),INDEX(IF($I245="FIN",PERSONAL!$L$2:$L$80,PERSONAL!$H$2:$H$80),MATCH($B245,PERSONAL!$A$2:$A$80,0)))))</f>
        <v/>
      </c>
    </row>
    <row r="246" ht="15" customHeight="1" s="58">
      <c r="A246" s="37" t="n"/>
      <c r="B246" s="38" t="n"/>
      <c r="C246" s="39" t="n"/>
      <c r="D246" s="39" t="n"/>
      <c r="E246" s="34">
        <f t="array" ref="E246">IF($B246="","",IFERROR(INDEX(PERSONAL!$B$2:$B$80,MATCH($B246,PERSONAL!$A$2:$A$80,0)),"NO EXISTE"))</f>
        <v/>
      </c>
      <c r="F246" s="52">
        <f t="array" ref="F246">IF($B246="","",IFERROR(INDEX(PERSONAL!$C$2:$C$80,MATCH($B246,PERSONAL!$A$2:$A$80,0)),""))</f>
        <v/>
      </c>
      <c r="G246" s="52">
        <f>IF($A246="","",CHOOSE(WEEKDAY($A246,2),"LUNES","MARTES","MIÉRCOLES","JUEVES","VIERNES","SÁBADO","DOMINGO"))</f>
        <v/>
      </c>
      <c r="H246" s="34">
        <f>IF($A246="","",CHOOSE(MONTH($A246),"ENERO","FEBRERO","MARZO","ABRIL","MAYO","JUNIO","JULIO","AGOSTO","SEPTIEMBRE","OCTUBRE","NOVIEMBRE","DICIEMBRE"))</f>
        <v/>
      </c>
      <c r="I246" s="34">
        <f>IF($A246="","",IF(OR($G246="SÁBADO",$G246="DOMINGO"),"FIN","LV"))</f>
        <v/>
      </c>
      <c r="J246" s="34">
        <f>IF(OR($A246="",$B246=""),"",IF($L246&lt;&gt;"",UPPER($L246),IF($C246="","FALTA",IFERROR(IF($C246&gt;=$O246,"ROJO FUERTE",IF($C246&gt;=$N246,"ROJO",IF($C246&gt;=$M246,"AMARILLO","VERDE"))),"REVISAR"))))</f>
        <v/>
      </c>
      <c r="K246" s="36">
        <f>IF(OR($C246="",$D246=""),"",IF($D246&gt;=$C246,($D246-$C246)*24,(1-$C246+$D246)*24))</f>
        <v/>
      </c>
      <c r="L246" s="34" t="n"/>
      <c r="M246" s="53">
        <f t="array" ref="M246">IFERROR(INDEX(EXCEPCIONES_FECHA!$D$2:$D$201,MATCH(1,(EXCEPCIONES_FECHA!$A$2:$A$201=$A246)*(EXCEPCIONES_FECHA!$B$2:$B$201=$B246),0)),IFERROR(INDEX(EXCEPCIONES_FECHA!$D$2:$D$201,MATCH(1,(EXCEPCIONES_FECHA!$A$2:$A$201=$A246)*(EXCEPCIONES_FECHA!$B$2:$B$201=""),0)),IFERROR(INDEX(IF($I246="FIN",HISTORIAL_HORARIOS!$J$2:$J$201,HISTORIAL_HORARIOS!$F$2:$F$201),MATCH(1,(HISTORIAL_HORARIOS!$A$2:$A$201=$B246)*(HISTORIAL_HORARIOS!$C$2:$C$201&lt;=$A246)*(HISTORIAL_HORARIOS!$D$2:$D$201&gt;=$A246),0)),INDEX(IF($I246="FIN",PERSONAL!$J$2:$J$80,PERSONAL!$F$2:$F$80),MATCH($B246,PERSONAL!$A$2:$A$80,0)))))</f>
        <v/>
      </c>
      <c r="N246" s="53">
        <f t="array" ref="N246">IFERROR(INDEX(EXCEPCIONES_FECHA!$E$2:$E$201,MATCH(1,(EXCEPCIONES_FECHA!$A$2:$A$201=$A246)*(EXCEPCIONES_FECHA!$B$2:$B$201=$B246),0)),IFERROR(INDEX(EXCEPCIONES_FECHA!$E$2:$E$201,MATCH(1,(EXCEPCIONES_FECHA!$A$2:$A$201=$A246)*(EXCEPCIONES_FECHA!$B$2:$B$201=""),0)),IFERROR(INDEX(IF($I246="FIN",HISTORIAL_HORARIOS!$K$2:$K$201,HISTORIAL_HORARIOS!$G$2:$G$201),MATCH(1,(HISTORIAL_HORARIOS!$A$2:$A$201=$B246)*(HISTORIAL_HORARIOS!$C$2:$C$201&lt;=$A246)*(HISTORIAL_HORARIOS!$D$2:$D$201&gt;=$A246),0)),INDEX(IF($I246="FIN",PERSONAL!$K$2:$K$80,PERSONAL!$G$2:$G$80),MATCH($B246,PERSONAL!$A$2:$A$80,0)))))</f>
        <v/>
      </c>
      <c r="O246" s="53">
        <f t="array" ref="O246">IFERROR(INDEX(EXCEPCIONES_FECHA!$F$2:$F$201,MATCH(1,(EXCEPCIONES_FECHA!$A$2:$A$201=$A246)*(EXCEPCIONES_FECHA!$B$2:$B$201=$B246),0)),IFERROR(INDEX(EXCEPCIONES_FECHA!$F$2:$F$201,MATCH(1,(EXCEPCIONES_FECHA!$A$2:$A$201=$A246)*(EXCEPCIONES_FECHA!$B$2:$B$201=""),0)),IFERROR(INDEX(IF($I246="FIN",HISTORIAL_HORARIOS!$L$2:$L$201,HISTORIAL_HORARIOS!$H$2:$H$201),MATCH(1,(HISTORIAL_HORARIOS!$A$2:$A$201=$B246)*(HISTORIAL_HORARIOS!$C$2:$C$201&lt;=$A246)*(HISTORIAL_HORARIOS!$D$2:$D$201&gt;=$A246),0)),INDEX(IF($I246="FIN",PERSONAL!$L$2:$L$80,PERSONAL!$H$2:$H$80),MATCH($B246,PERSONAL!$A$2:$A$80,0)))))</f>
        <v/>
      </c>
    </row>
    <row r="247" ht="15" customHeight="1" s="58">
      <c r="A247" s="37" t="n"/>
      <c r="B247" s="38" t="n"/>
      <c r="C247" s="39" t="n"/>
      <c r="D247" s="39" t="n"/>
      <c r="E247" s="34">
        <f t="array" ref="E247">IF($B247="","",IFERROR(INDEX(PERSONAL!$B$2:$B$80,MATCH($B247,PERSONAL!$A$2:$A$80,0)),"NO EXISTE"))</f>
        <v/>
      </c>
      <c r="F247" s="52">
        <f t="array" ref="F247">IF($B247="","",IFERROR(INDEX(PERSONAL!$C$2:$C$80,MATCH($B247,PERSONAL!$A$2:$A$80,0)),""))</f>
        <v/>
      </c>
      <c r="G247" s="52">
        <f>IF($A247="","",CHOOSE(WEEKDAY($A247,2),"LUNES","MARTES","MIÉRCOLES","JUEVES","VIERNES","SÁBADO","DOMINGO"))</f>
        <v/>
      </c>
      <c r="H247" s="34">
        <f>IF($A247="","",CHOOSE(MONTH($A247),"ENERO","FEBRERO","MARZO","ABRIL","MAYO","JUNIO","JULIO","AGOSTO","SEPTIEMBRE","OCTUBRE","NOVIEMBRE","DICIEMBRE"))</f>
        <v/>
      </c>
      <c r="I247" s="34">
        <f>IF($A247="","",IF(OR($G247="SÁBADO",$G247="DOMINGO"),"FIN","LV"))</f>
        <v/>
      </c>
      <c r="J247" s="34">
        <f>IF(OR($A247="",$B247=""),"",IF($L247&lt;&gt;"",UPPER($L247),IF($C247="","FALTA",IFERROR(IF($C247&gt;=$O247,"ROJO FUERTE",IF($C247&gt;=$N247,"ROJO",IF($C247&gt;=$M247,"AMARILLO","VERDE"))),"REVISAR"))))</f>
        <v/>
      </c>
      <c r="K247" s="36">
        <f>IF(OR($C247="",$D247=""),"",IF($D247&gt;=$C247,($D247-$C247)*24,(1-$C247+$D247)*24))</f>
        <v/>
      </c>
      <c r="L247" s="34" t="n"/>
      <c r="M247" s="53">
        <f t="array" ref="M247">IFERROR(INDEX(EXCEPCIONES_FECHA!$D$2:$D$201,MATCH(1,(EXCEPCIONES_FECHA!$A$2:$A$201=$A247)*(EXCEPCIONES_FECHA!$B$2:$B$201=$B247),0)),IFERROR(INDEX(EXCEPCIONES_FECHA!$D$2:$D$201,MATCH(1,(EXCEPCIONES_FECHA!$A$2:$A$201=$A247)*(EXCEPCIONES_FECHA!$B$2:$B$201=""),0)),IFERROR(INDEX(IF($I247="FIN",HISTORIAL_HORARIOS!$J$2:$J$201,HISTORIAL_HORARIOS!$F$2:$F$201),MATCH(1,(HISTORIAL_HORARIOS!$A$2:$A$201=$B247)*(HISTORIAL_HORARIOS!$C$2:$C$201&lt;=$A247)*(HISTORIAL_HORARIOS!$D$2:$D$201&gt;=$A247),0)),INDEX(IF($I247="FIN",PERSONAL!$J$2:$J$80,PERSONAL!$F$2:$F$80),MATCH($B247,PERSONAL!$A$2:$A$80,0)))))</f>
        <v/>
      </c>
      <c r="N247" s="53">
        <f t="array" ref="N247">IFERROR(INDEX(EXCEPCIONES_FECHA!$E$2:$E$201,MATCH(1,(EXCEPCIONES_FECHA!$A$2:$A$201=$A247)*(EXCEPCIONES_FECHA!$B$2:$B$201=$B247),0)),IFERROR(INDEX(EXCEPCIONES_FECHA!$E$2:$E$201,MATCH(1,(EXCEPCIONES_FECHA!$A$2:$A$201=$A247)*(EXCEPCIONES_FECHA!$B$2:$B$201=""),0)),IFERROR(INDEX(IF($I247="FIN",HISTORIAL_HORARIOS!$K$2:$K$201,HISTORIAL_HORARIOS!$G$2:$G$201),MATCH(1,(HISTORIAL_HORARIOS!$A$2:$A$201=$B247)*(HISTORIAL_HORARIOS!$C$2:$C$201&lt;=$A247)*(HISTORIAL_HORARIOS!$D$2:$D$201&gt;=$A247),0)),INDEX(IF($I247="FIN",PERSONAL!$K$2:$K$80,PERSONAL!$G$2:$G$80),MATCH($B247,PERSONAL!$A$2:$A$80,0)))))</f>
        <v/>
      </c>
      <c r="O247" s="53">
        <f t="array" ref="O247">IFERROR(INDEX(EXCEPCIONES_FECHA!$F$2:$F$201,MATCH(1,(EXCEPCIONES_FECHA!$A$2:$A$201=$A247)*(EXCEPCIONES_FECHA!$B$2:$B$201=$B247),0)),IFERROR(INDEX(EXCEPCIONES_FECHA!$F$2:$F$201,MATCH(1,(EXCEPCIONES_FECHA!$A$2:$A$201=$A247)*(EXCEPCIONES_FECHA!$B$2:$B$201=""),0)),IFERROR(INDEX(IF($I247="FIN",HISTORIAL_HORARIOS!$L$2:$L$201,HISTORIAL_HORARIOS!$H$2:$H$201),MATCH(1,(HISTORIAL_HORARIOS!$A$2:$A$201=$B247)*(HISTORIAL_HORARIOS!$C$2:$C$201&lt;=$A247)*(HISTORIAL_HORARIOS!$D$2:$D$201&gt;=$A247),0)),INDEX(IF($I247="FIN",PERSONAL!$L$2:$L$80,PERSONAL!$H$2:$H$80),MATCH($B247,PERSONAL!$A$2:$A$80,0)))))</f>
        <v/>
      </c>
    </row>
    <row r="248" ht="15" customHeight="1" s="58">
      <c r="A248" s="37" t="n"/>
      <c r="B248" s="38" t="n"/>
      <c r="C248" s="39" t="n"/>
      <c r="D248" s="39" t="n"/>
      <c r="E248" s="34">
        <f t="array" ref="E248">IF($B248="","",IFERROR(INDEX(PERSONAL!$B$2:$B$80,MATCH($B248,PERSONAL!$A$2:$A$80,0)),"NO EXISTE"))</f>
        <v/>
      </c>
      <c r="F248" s="52">
        <f t="array" ref="F248">IF($B248="","",IFERROR(INDEX(PERSONAL!$C$2:$C$80,MATCH($B248,PERSONAL!$A$2:$A$80,0)),""))</f>
        <v/>
      </c>
      <c r="G248" s="52">
        <f>IF($A248="","",CHOOSE(WEEKDAY($A248,2),"LUNES","MARTES","MIÉRCOLES","JUEVES","VIERNES","SÁBADO","DOMINGO"))</f>
        <v/>
      </c>
      <c r="H248" s="34">
        <f>IF($A248="","",CHOOSE(MONTH($A248),"ENERO","FEBRERO","MARZO","ABRIL","MAYO","JUNIO","JULIO","AGOSTO","SEPTIEMBRE","OCTUBRE","NOVIEMBRE","DICIEMBRE"))</f>
        <v/>
      </c>
      <c r="I248" s="34">
        <f>IF($A248="","",IF(OR($G248="SÁBADO",$G248="DOMINGO"),"FIN","LV"))</f>
        <v/>
      </c>
      <c r="J248" s="34">
        <f>IF(OR($A248="",$B248=""),"",IF($L248&lt;&gt;"",UPPER($L248),IF($C248="","FALTA",IFERROR(IF($C248&gt;=$O248,"ROJO FUERTE",IF($C248&gt;=$N248,"ROJO",IF($C248&gt;=$M248,"AMARILLO","VERDE"))),"REVISAR"))))</f>
        <v/>
      </c>
      <c r="K248" s="36">
        <f>IF(OR($C248="",$D248=""),"",IF($D248&gt;=$C248,($D248-$C248)*24,(1-$C248+$D248)*24))</f>
        <v/>
      </c>
      <c r="L248" s="34" t="n"/>
      <c r="M248" s="53">
        <f t="array" ref="M248">IFERROR(INDEX(EXCEPCIONES_FECHA!$D$2:$D$201,MATCH(1,(EXCEPCIONES_FECHA!$A$2:$A$201=$A248)*(EXCEPCIONES_FECHA!$B$2:$B$201=$B248),0)),IFERROR(INDEX(EXCEPCIONES_FECHA!$D$2:$D$201,MATCH(1,(EXCEPCIONES_FECHA!$A$2:$A$201=$A248)*(EXCEPCIONES_FECHA!$B$2:$B$201=""),0)),IFERROR(INDEX(IF($I248="FIN",HISTORIAL_HORARIOS!$J$2:$J$201,HISTORIAL_HORARIOS!$F$2:$F$201),MATCH(1,(HISTORIAL_HORARIOS!$A$2:$A$201=$B248)*(HISTORIAL_HORARIOS!$C$2:$C$201&lt;=$A248)*(HISTORIAL_HORARIOS!$D$2:$D$201&gt;=$A248),0)),INDEX(IF($I248="FIN",PERSONAL!$J$2:$J$80,PERSONAL!$F$2:$F$80),MATCH($B248,PERSONAL!$A$2:$A$80,0)))))</f>
        <v/>
      </c>
      <c r="N248" s="53">
        <f t="array" ref="N248">IFERROR(INDEX(EXCEPCIONES_FECHA!$E$2:$E$201,MATCH(1,(EXCEPCIONES_FECHA!$A$2:$A$201=$A248)*(EXCEPCIONES_FECHA!$B$2:$B$201=$B248),0)),IFERROR(INDEX(EXCEPCIONES_FECHA!$E$2:$E$201,MATCH(1,(EXCEPCIONES_FECHA!$A$2:$A$201=$A248)*(EXCEPCIONES_FECHA!$B$2:$B$201=""),0)),IFERROR(INDEX(IF($I248="FIN",HISTORIAL_HORARIOS!$K$2:$K$201,HISTORIAL_HORARIOS!$G$2:$G$201),MATCH(1,(HISTORIAL_HORARIOS!$A$2:$A$201=$B248)*(HISTORIAL_HORARIOS!$C$2:$C$201&lt;=$A248)*(HISTORIAL_HORARIOS!$D$2:$D$201&gt;=$A248),0)),INDEX(IF($I248="FIN",PERSONAL!$K$2:$K$80,PERSONAL!$G$2:$G$80),MATCH($B248,PERSONAL!$A$2:$A$80,0)))))</f>
        <v/>
      </c>
      <c r="O248" s="53">
        <f t="array" ref="O248">IFERROR(INDEX(EXCEPCIONES_FECHA!$F$2:$F$201,MATCH(1,(EXCEPCIONES_FECHA!$A$2:$A$201=$A248)*(EXCEPCIONES_FECHA!$B$2:$B$201=$B248),0)),IFERROR(INDEX(EXCEPCIONES_FECHA!$F$2:$F$201,MATCH(1,(EXCEPCIONES_FECHA!$A$2:$A$201=$A248)*(EXCEPCIONES_FECHA!$B$2:$B$201=""),0)),IFERROR(INDEX(IF($I248="FIN",HISTORIAL_HORARIOS!$L$2:$L$201,HISTORIAL_HORARIOS!$H$2:$H$201),MATCH(1,(HISTORIAL_HORARIOS!$A$2:$A$201=$B248)*(HISTORIAL_HORARIOS!$C$2:$C$201&lt;=$A248)*(HISTORIAL_HORARIOS!$D$2:$D$201&gt;=$A248),0)),INDEX(IF($I248="FIN",PERSONAL!$L$2:$L$80,PERSONAL!$H$2:$H$80),MATCH($B248,PERSONAL!$A$2:$A$80,0)))))</f>
        <v/>
      </c>
    </row>
    <row r="249" ht="15" customHeight="1" s="58">
      <c r="A249" s="37" t="n"/>
      <c r="B249" s="38" t="n"/>
      <c r="C249" s="39" t="n"/>
      <c r="D249" s="39" t="n"/>
      <c r="E249" s="34">
        <f t="array" ref="E249">IF($B249="","",IFERROR(INDEX(PERSONAL!$B$2:$B$80,MATCH($B249,PERSONAL!$A$2:$A$80,0)),"NO EXISTE"))</f>
        <v/>
      </c>
      <c r="F249" s="52">
        <f t="array" ref="F249">IF($B249="","",IFERROR(INDEX(PERSONAL!$C$2:$C$80,MATCH($B249,PERSONAL!$A$2:$A$80,0)),""))</f>
        <v/>
      </c>
      <c r="G249" s="52">
        <f>IF($A249="","",CHOOSE(WEEKDAY($A249,2),"LUNES","MARTES","MIÉRCOLES","JUEVES","VIERNES","SÁBADO","DOMINGO"))</f>
        <v/>
      </c>
      <c r="H249" s="34">
        <f>IF($A249="","",CHOOSE(MONTH($A249),"ENERO","FEBRERO","MARZO","ABRIL","MAYO","JUNIO","JULIO","AGOSTO","SEPTIEMBRE","OCTUBRE","NOVIEMBRE","DICIEMBRE"))</f>
        <v/>
      </c>
      <c r="I249" s="34">
        <f>IF($A249="","",IF(OR($G249="SÁBADO",$G249="DOMINGO"),"FIN","LV"))</f>
        <v/>
      </c>
      <c r="J249" s="34">
        <f>IF(OR($A249="",$B249=""),"",IF($L249&lt;&gt;"",UPPER($L249),IF($C249="","FALTA",IFERROR(IF($C249&gt;=$O249,"ROJO FUERTE",IF($C249&gt;=$N249,"ROJO",IF($C249&gt;=$M249,"AMARILLO","VERDE"))),"REVISAR"))))</f>
        <v/>
      </c>
      <c r="K249" s="36">
        <f>IF(OR($C249="",$D249=""),"",IF($D249&gt;=$C249,($D249-$C249)*24,(1-$C249+$D249)*24))</f>
        <v/>
      </c>
      <c r="L249" s="34" t="n"/>
      <c r="M249" s="53">
        <f t="array" ref="M249">IFERROR(INDEX(EXCEPCIONES_FECHA!$D$2:$D$201,MATCH(1,(EXCEPCIONES_FECHA!$A$2:$A$201=$A249)*(EXCEPCIONES_FECHA!$B$2:$B$201=$B249),0)),IFERROR(INDEX(EXCEPCIONES_FECHA!$D$2:$D$201,MATCH(1,(EXCEPCIONES_FECHA!$A$2:$A$201=$A249)*(EXCEPCIONES_FECHA!$B$2:$B$201=""),0)),IFERROR(INDEX(IF($I249="FIN",HISTORIAL_HORARIOS!$J$2:$J$201,HISTORIAL_HORARIOS!$F$2:$F$201),MATCH(1,(HISTORIAL_HORARIOS!$A$2:$A$201=$B249)*(HISTORIAL_HORARIOS!$C$2:$C$201&lt;=$A249)*(HISTORIAL_HORARIOS!$D$2:$D$201&gt;=$A249),0)),INDEX(IF($I249="FIN",PERSONAL!$J$2:$J$80,PERSONAL!$F$2:$F$80),MATCH($B249,PERSONAL!$A$2:$A$80,0)))))</f>
        <v/>
      </c>
      <c r="N249" s="53">
        <f t="array" ref="N249">IFERROR(INDEX(EXCEPCIONES_FECHA!$E$2:$E$201,MATCH(1,(EXCEPCIONES_FECHA!$A$2:$A$201=$A249)*(EXCEPCIONES_FECHA!$B$2:$B$201=$B249),0)),IFERROR(INDEX(EXCEPCIONES_FECHA!$E$2:$E$201,MATCH(1,(EXCEPCIONES_FECHA!$A$2:$A$201=$A249)*(EXCEPCIONES_FECHA!$B$2:$B$201=""),0)),IFERROR(INDEX(IF($I249="FIN",HISTORIAL_HORARIOS!$K$2:$K$201,HISTORIAL_HORARIOS!$G$2:$G$201),MATCH(1,(HISTORIAL_HORARIOS!$A$2:$A$201=$B249)*(HISTORIAL_HORARIOS!$C$2:$C$201&lt;=$A249)*(HISTORIAL_HORARIOS!$D$2:$D$201&gt;=$A249),0)),INDEX(IF($I249="FIN",PERSONAL!$K$2:$K$80,PERSONAL!$G$2:$G$80),MATCH($B249,PERSONAL!$A$2:$A$80,0)))))</f>
        <v/>
      </c>
      <c r="O249" s="53">
        <f t="array" ref="O249">IFERROR(INDEX(EXCEPCIONES_FECHA!$F$2:$F$201,MATCH(1,(EXCEPCIONES_FECHA!$A$2:$A$201=$A249)*(EXCEPCIONES_FECHA!$B$2:$B$201=$B249),0)),IFERROR(INDEX(EXCEPCIONES_FECHA!$F$2:$F$201,MATCH(1,(EXCEPCIONES_FECHA!$A$2:$A$201=$A249)*(EXCEPCIONES_FECHA!$B$2:$B$201=""),0)),IFERROR(INDEX(IF($I249="FIN",HISTORIAL_HORARIOS!$L$2:$L$201,HISTORIAL_HORARIOS!$H$2:$H$201),MATCH(1,(HISTORIAL_HORARIOS!$A$2:$A$201=$B249)*(HISTORIAL_HORARIOS!$C$2:$C$201&lt;=$A249)*(HISTORIAL_HORARIOS!$D$2:$D$201&gt;=$A249),0)),INDEX(IF($I249="FIN",PERSONAL!$L$2:$L$80,PERSONAL!$H$2:$H$80),MATCH($B249,PERSONAL!$A$2:$A$80,0)))))</f>
        <v/>
      </c>
    </row>
    <row r="250" ht="15" customHeight="1" s="58">
      <c r="A250" s="37" t="n"/>
      <c r="B250" s="38" t="n"/>
      <c r="C250" s="39" t="n"/>
      <c r="D250" s="39" t="n"/>
      <c r="E250" s="34">
        <f t="array" ref="E250">IF($B250="","",IFERROR(INDEX(PERSONAL!$B$2:$B$80,MATCH($B250,PERSONAL!$A$2:$A$80,0)),"NO EXISTE"))</f>
        <v/>
      </c>
      <c r="F250" s="52">
        <f t="array" ref="F250">IF($B250="","",IFERROR(INDEX(PERSONAL!$C$2:$C$80,MATCH($B250,PERSONAL!$A$2:$A$80,0)),""))</f>
        <v/>
      </c>
      <c r="G250" s="52">
        <f>IF($A250="","",CHOOSE(WEEKDAY($A250,2),"LUNES","MARTES","MIÉRCOLES","JUEVES","VIERNES","SÁBADO","DOMINGO"))</f>
        <v/>
      </c>
      <c r="H250" s="34">
        <f>IF($A250="","",CHOOSE(MONTH($A250),"ENERO","FEBRERO","MARZO","ABRIL","MAYO","JUNIO","JULIO","AGOSTO","SEPTIEMBRE","OCTUBRE","NOVIEMBRE","DICIEMBRE"))</f>
        <v/>
      </c>
      <c r="I250" s="34">
        <f>IF($A250="","",IF(OR($G250="SÁBADO",$G250="DOMINGO"),"FIN","LV"))</f>
        <v/>
      </c>
      <c r="J250" s="34">
        <f>IF(OR($A250="",$B250=""),"",IF($L250&lt;&gt;"",UPPER($L250),IF($C250="","FALTA",IFERROR(IF($C250&gt;=$O250,"ROJO FUERTE",IF($C250&gt;=$N250,"ROJO",IF($C250&gt;=$M250,"AMARILLO","VERDE"))),"REVISAR"))))</f>
        <v/>
      </c>
      <c r="K250" s="36">
        <f>IF(OR($C250="",$D250=""),"",IF($D250&gt;=$C250,($D250-$C250)*24,(1-$C250+$D250)*24))</f>
        <v/>
      </c>
      <c r="L250" s="34" t="n"/>
      <c r="M250" s="53">
        <f t="array" ref="M250">IFERROR(INDEX(EXCEPCIONES_FECHA!$D$2:$D$201,MATCH(1,(EXCEPCIONES_FECHA!$A$2:$A$201=$A250)*(EXCEPCIONES_FECHA!$B$2:$B$201=$B250),0)),IFERROR(INDEX(EXCEPCIONES_FECHA!$D$2:$D$201,MATCH(1,(EXCEPCIONES_FECHA!$A$2:$A$201=$A250)*(EXCEPCIONES_FECHA!$B$2:$B$201=""),0)),IFERROR(INDEX(IF($I250="FIN",HISTORIAL_HORARIOS!$J$2:$J$201,HISTORIAL_HORARIOS!$F$2:$F$201),MATCH(1,(HISTORIAL_HORARIOS!$A$2:$A$201=$B250)*(HISTORIAL_HORARIOS!$C$2:$C$201&lt;=$A250)*(HISTORIAL_HORARIOS!$D$2:$D$201&gt;=$A250),0)),INDEX(IF($I250="FIN",PERSONAL!$J$2:$J$80,PERSONAL!$F$2:$F$80),MATCH($B250,PERSONAL!$A$2:$A$80,0)))))</f>
        <v/>
      </c>
      <c r="N250" s="53">
        <f t="array" ref="N250">IFERROR(INDEX(EXCEPCIONES_FECHA!$E$2:$E$201,MATCH(1,(EXCEPCIONES_FECHA!$A$2:$A$201=$A250)*(EXCEPCIONES_FECHA!$B$2:$B$201=$B250),0)),IFERROR(INDEX(EXCEPCIONES_FECHA!$E$2:$E$201,MATCH(1,(EXCEPCIONES_FECHA!$A$2:$A$201=$A250)*(EXCEPCIONES_FECHA!$B$2:$B$201=""),0)),IFERROR(INDEX(IF($I250="FIN",HISTORIAL_HORARIOS!$K$2:$K$201,HISTORIAL_HORARIOS!$G$2:$G$201),MATCH(1,(HISTORIAL_HORARIOS!$A$2:$A$201=$B250)*(HISTORIAL_HORARIOS!$C$2:$C$201&lt;=$A250)*(HISTORIAL_HORARIOS!$D$2:$D$201&gt;=$A250),0)),INDEX(IF($I250="FIN",PERSONAL!$K$2:$K$80,PERSONAL!$G$2:$G$80),MATCH($B250,PERSONAL!$A$2:$A$80,0)))))</f>
        <v/>
      </c>
      <c r="O250" s="53">
        <f t="array" ref="O250">IFERROR(INDEX(EXCEPCIONES_FECHA!$F$2:$F$201,MATCH(1,(EXCEPCIONES_FECHA!$A$2:$A$201=$A250)*(EXCEPCIONES_FECHA!$B$2:$B$201=$B250),0)),IFERROR(INDEX(EXCEPCIONES_FECHA!$F$2:$F$201,MATCH(1,(EXCEPCIONES_FECHA!$A$2:$A$201=$A250)*(EXCEPCIONES_FECHA!$B$2:$B$201=""),0)),IFERROR(INDEX(IF($I250="FIN",HISTORIAL_HORARIOS!$L$2:$L$201,HISTORIAL_HORARIOS!$H$2:$H$201),MATCH(1,(HISTORIAL_HORARIOS!$A$2:$A$201=$B250)*(HISTORIAL_HORARIOS!$C$2:$C$201&lt;=$A250)*(HISTORIAL_HORARIOS!$D$2:$D$201&gt;=$A250),0)),INDEX(IF($I250="FIN",PERSONAL!$L$2:$L$80,PERSONAL!$H$2:$H$80),MATCH($B250,PERSONAL!$A$2:$A$80,0)))))</f>
        <v/>
      </c>
    </row>
    <row r="251" ht="15" customHeight="1" s="58">
      <c r="A251" s="37" t="n"/>
      <c r="B251" s="38" t="n"/>
      <c r="C251" s="39" t="n"/>
      <c r="D251" s="39" t="n"/>
      <c r="E251" s="34">
        <f t="array" ref="E251">IF($B251="","",IFERROR(INDEX(PERSONAL!$B$2:$B$80,MATCH($B251,PERSONAL!$A$2:$A$80,0)),"NO EXISTE"))</f>
        <v/>
      </c>
      <c r="F251" s="52">
        <f t="array" ref="F251">IF($B251="","",IFERROR(INDEX(PERSONAL!$C$2:$C$80,MATCH($B251,PERSONAL!$A$2:$A$80,0)),""))</f>
        <v/>
      </c>
      <c r="G251" s="52">
        <f>IF($A251="","",CHOOSE(WEEKDAY($A251,2),"LUNES","MARTES","MIÉRCOLES","JUEVES","VIERNES","SÁBADO","DOMINGO"))</f>
        <v/>
      </c>
      <c r="H251" s="34">
        <f>IF($A251="","",CHOOSE(MONTH($A251),"ENERO","FEBRERO","MARZO","ABRIL","MAYO","JUNIO","JULIO","AGOSTO","SEPTIEMBRE","OCTUBRE","NOVIEMBRE","DICIEMBRE"))</f>
        <v/>
      </c>
      <c r="I251" s="34">
        <f>IF($A251="","",IF(OR($G251="SÁBADO",$G251="DOMINGO"),"FIN","LV"))</f>
        <v/>
      </c>
      <c r="J251" s="34">
        <f>IF(OR($A251="",$B251=""),"",IF($L251&lt;&gt;"",UPPER($L251),IF($C251="","FALTA",IFERROR(IF($C251&gt;=$O251,"ROJO FUERTE",IF($C251&gt;=$N251,"ROJO",IF($C251&gt;=$M251,"AMARILLO","VERDE"))),"REVISAR"))))</f>
        <v/>
      </c>
      <c r="K251" s="36">
        <f>IF(OR($C251="",$D251=""),"",IF($D251&gt;=$C251,($D251-$C251)*24,(1-$C251+$D251)*24))</f>
        <v/>
      </c>
      <c r="L251" s="34" t="n"/>
      <c r="M251" s="53">
        <f t="array" ref="M251">IFERROR(INDEX(EXCEPCIONES_FECHA!$D$2:$D$201,MATCH(1,(EXCEPCIONES_FECHA!$A$2:$A$201=$A251)*(EXCEPCIONES_FECHA!$B$2:$B$201=$B251),0)),IFERROR(INDEX(EXCEPCIONES_FECHA!$D$2:$D$201,MATCH(1,(EXCEPCIONES_FECHA!$A$2:$A$201=$A251)*(EXCEPCIONES_FECHA!$B$2:$B$201=""),0)),IFERROR(INDEX(IF($I251="FIN",HISTORIAL_HORARIOS!$J$2:$J$201,HISTORIAL_HORARIOS!$F$2:$F$201),MATCH(1,(HISTORIAL_HORARIOS!$A$2:$A$201=$B251)*(HISTORIAL_HORARIOS!$C$2:$C$201&lt;=$A251)*(HISTORIAL_HORARIOS!$D$2:$D$201&gt;=$A251),0)),INDEX(IF($I251="FIN",PERSONAL!$J$2:$J$80,PERSONAL!$F$2:$F$80),MATCH($B251,PERSONAL!$A$2:$A$80,0)))))</f>
        <v/>
      </c>
      <c r="N251" s="53">
        <f t="array" ref="N251">IFERROR(INDEX(EXCEPCIONES_FECHA!$E$2:$E$201,MATCH(1,(EXCEPCIONES_FECHA!$A$2:$A$201=$A251)*(EXCEPCIONES_FECHA!$B$2:$B$201=$B251),0)),IFERROR(INDEX(EXCEPCIONES_FECHA!$E$2:$E$201,MATCH(1,(EXCEPCIONES_FECHA!$A$2:$A$201=$A251)*(EXCEPCIONES_FECHA!$B$2:$B$201=""),0)),IFERROR(INDEX(IF($I251="FIN",HISTORIAL_HORARIOS!$K$2:$K$201,HISTORIAL_HORARIOS!$G$2:$G$201),MATCH(1,(HISTORIAL_HORARIOS!$A$2:$A$201=$B251)*(HISTORIAL_HORARIOS!$C$2:$C$201&lt;=$A251)*(HISTORIAL_HORARIOS!$D$2:$D$201&gt;=$A251),0)),INDEX(IF($I251="FIN",PERSONAL!$K$2:$K$80,PERSONAL!$G$2:$G$80),MATCH($B251,PERSONAL!$A$2:$A$80,0)))))</f>
        <v/>
      </c>
      <c r="O251" s="53">
        <f t="array" ref="O251">IFERROR(INDEX(EXCEPCIONES_FECHA!$F$2:$F$201,MATCH(1,(EXCEPCIONES_FECHA!$A$2:$A$201=$A251)*(EXCEPCIONES_FECHA!$B$2:$B$201=$B251),0)),IFERROR(INDEX(EXCEPCIONES_FECHA!$F$2:$F$201,MATCH(1,(EXCEPCIONES_FECHA!$A$2:$A$201=$A251)*(EXCEPCIONES_FECHA!$B$2:$B$201=""),0)),IFERROR(INDEX(IF($I251="FIN",HISTORIAL_HORARIOS!$L$2:$L$201,HISTORIAL_HORARIOS!$H$2:$H$201),MATCH(1,(HISTORIAL_HORARIOS!$A$2:$A$201=$B251)*(HISTORIAL_HORARIOS!$C$2:$C$201&lt;=$A251)*(HISTORIAL_HORARIOS!$D$2:$D$201&gt;=$A251),0)),INDEX(IF($I251="FIN",PERSONAL!$L$2:$L$80,PERSONAL!$H$2:$H$80),MATCH($B251,PERSONAL!$A$2:$A$80,0)))))</f>
        <v/>
      </c>
    </row>
    <row r="252" ht="15" customHeight="1" s="58">
      <c r="A252" s="37" t="n"/>
      <c r="B252" s="38" t="n"/>
      <c r="C252" s="39" t="n"/>
      <c r="D252" s="39" t="n"/>
      <c r="E252" s="34">
        <f t="array" ref="E252">IF($B252="","",IFERROR(INDEX(PERSONAL!$B$2:$B$80,MATCH($B252,PERSONAL!$A$2:$A$80,0)),"NO EXISTE"))</f>
        <v/>
      </c>
      <c r="F252" s="52">
        <f t="array" ref="F252">IF($B252="","",IFERROR(INDEX(PERSONAL!$C$2:$C$80,MATCH($B252,PERSONAL!$A$2:$A$80,0)),""))</f>
        <v/>
      </c>
      <c r="G252" s="52">
        <f>IF($A252="","",CHOOSE(WEEKDAY($A252,2),"LUNES","MARTES","MIÉRCOLES","JUEVES","VIERNES","SÁBADO","DOMINGO"))</f>
        <v/>
      </c>
      <c r="H252" s="34">
        <f>IF($A252="","",CHOOSE(MONTH($A252),"ENERO","FEBRERO","MARZO","ABRIL","MAYO","JUNIO","JULIO","AGOSTO","SEPTIEMBRE","OCTUBRE","NOVIEMBRE","DICIEMBRE"))</f>
        <v/>
      </c>
      <c r="I252" s="34">
        <f>IF($A252="","",IF(OR($G252="SÁBADO",$G252="DOMINGO"),"FIN","LV"))</f>
        <v/>
      </c>
      <c r="J252" s="34">
        <f>IF(OR($A252="",$B252=""),"",IF($L252&lt;&gt;"",UPPER($L252),IF($C252="","FALTA",IFERROR(IF($C252&gt;=$O252,"ROJO FUERTE",IF($C252&gt;=$N252,"ROJO",IF($C252&gt;=$M252,"AMARILLO","VERDE"))),"REVISAR"))))</f>
        <v/>
      </c>
      <c r="K252" s="36">
        <f>IF(OR($C252="",$D252=""),"",IF($D252&gt;=$C252,($D252-$C252)*24,(1-$C252+$D252)*24))</f>
        <v/>
      </c>
      <c r="L252" s="34" t="n"/>
      <c r="M252" s="53">
        <f t="array" ref="M252">IFERROR(INDEX(EXCEPCIONES_FECHA!$D$2:$D$201,MATCH(1,(EXCEPCIONES_FECHA!$A$2:$A$201=$A252)*(EXCEPCIONES_FECHA!$B$2:$B$201=$B252),0)),IFERROR(INDEX(EXCEPCIONES_FECHA!$D$2:$D$201,MATCH(1,(EXCEPCIONES_FECHA!$A$2:$A$201=$A252)*(EXCEPCIONES_FECHA!$B$2:$B$201=""),0)),IFERROR(INDEX(IF($I252="FIN",HISTORIAL_HORARIOS!$J$2:$J$201,HISTORIAL_HORARIOS!$F$2:$F$201),MATCH(1,(HISTORIAL_HORARIOS!$A$2:$A$201=$B252)*(HISTORIAL_HORARIOS!$C$2:$C$201&lt;=$A252)*(HISTORIAL_HORARIOS!$D$2:$D$201&gt;=$A252),0)),INDEX(IF($I252="FIN",PERSONAL!$J$2:$J$80,PERSONAL!$F$2:$F$80),MATCH($B252,PERSONAL!$A$2:$A$80,0)))))</f>
        <v/>
      </c>
      <c r="N252" s="53">
        <f t="array" ref="N252">IFERROR(INDEX(EXCEPCIONES_FECHA!$E$2:$E$201,MATCH(1,(EXCEPCIONES_FECHA!$A$2:$A$201=$A252)*(EXCEPCIONES_FECHA!$B$2:$B$201=$B252),0)),IFERROR(INDEX(EXCEPCIONES_FECHA!$E$2:$E$201,MATCH(1,(EXCEPCIONES_FECHA!$A$2:$A$201=$A252)*(EXCEPCIONES_FECHA!$B$2:$B$201=""),0)),IFERROR(INDEX(IF($I252="FIN",HISTORIAL_HORARIOS!$K$2:$K$201,HISTORIAL_HORARIOS!$G$2:$G$201),MATCH(1,(HISTORIAL_HORARIOS!$A$2:$A$201=$B252)*(HISTORIAL_HORARIOS!$C$2:$C$201&lt;=$A252)*(HISTORIAL_HORARIOS!$D$2:$D$201&gt;=$A252),0)),INDEX(IF($I252="FIN",PERSONAL!$K$2:$K$80,PERSONAL!$G$2:$G$80),MATCH($B252,PERSONAL!$A$2:$A$80,0)))))</f>
        <v/>
      </c>
      <c r="O252" s="53">
        <f t="array" ref="O252">IFERROR(INDEX(EXCEPCIONES_FECHA!$F$2:$F$201,MATCH(1,(EXCEPCIONES_FECHA!$A$2:$A$201=$A252)*(EXCEPCIONES_FECHA!$B$2:$B$201=$B252),0)),IFERROR(INDEX(EXCEPCIONES_FECHA!$F$2:$F$201,MATCH(1,(EXCEPCIONES_FECHA!$A$2:$A$201=$A252)*(EXCEPCIONES_FECHA!$B$2:$B$201=""),0)),IFERROR(INDEX(IF($I252="FIN",HISTORIAL_HORARIOS!$L$2:$L$201,HISTORIAL_HORARIOS!$H$2:$H$201),MATCH(1,(HISTORIAL_HORARIOS!$A$2:$A$201=$B252)*(HISTORIAL_HORARIOS!$C$2:$C$201&lt;=$A252)*(HISTORIAL_HORARIOS!$D$2:$D$201&gt;=$A252),0)),INDEX(IF($I252="FIN",PERSONAL!$L$2:$L$80,PERSONAL!$H$2:$H$80),MATCH($B252,PERSONAL!$A$2:$A$80,0)))))</f>
        <v/>
      </c>
    </row>
    <row r="253" ht="15" customHeight="1" s="58">
      <c r="A253" s="37" t="n"/>
      <c r="B253" s="38" t="n"/>
      <c r="C253" s="39" t="n"/>
      <c r="D253" s="39" t="n"/>
      <c r="E253" s="34">
        <f t="array" ref="E253">IF($B253="","",IFERROR(INDEX(PERSONAL!$B$2:$B$80,MATCH($B253,PERSONAL!$A$2:$A$80,0)),"NO EXISTE"))</f>
        <v/>
      </c>
      <c r="F253" s="52">
        <f t="array" ref="F253">IF($B253="","",IFERROR(INDEX(PERSONAL!$C$2:$C$80,MATCH($B253,PERSONAL!$A$2:$A$80,0)),""))</f>
        <v/>
      </c>
      <c r="G253" s="52">
        <f>IF($A253="","",CHOOSE(WEEKDAY($A253,2),"LUNES","MARTES","MIÉRCOLES","JUEVES","VIERNES","SÁBADO","DOMINGO"))</f>
        <v/>
      </c>
      <c r="H253" s="34">
        <f>IF($A253="","",CHOOSE(MONTH($A253),"ENERO","FEBRERO","MARZO","ABRIL","MAYO","JUNIO","JULIO","AGOSTO","SEPTIEMBRE","OCTUBRE","NOVIEMBRE","DICIEMBRE"))</f>
        <v/>
      </c>
      <c r="I253" s="34">
        <f>IF($A253="","",IF(OR($G253="SÁBADO",$G253="DOMINGO"),"FIN","LV"))</f>
        <v/>
      </c>
      <c r="J253" s="34">
        <f>IF(OR($A253="",$B253=""),"",IF($L253&lt;&gt;"",UPPER($L253),IF($C253="","FALTA",IFERROR(IF($C253&gt;=$O253,"ROJO FUERTE",IF($C253&gt;=$N253,"ROJO",IF($C253&gt;=$M253,"AMARILLO","VERDE"))),"REVISAR"))))</f>
        <v/>
      </c>
      <c r="K253" s="36">
        <f>IF(OR($C253="",$D253=""),"",IF($D253&gt;=$C253,($D253-$C253)*24,(1-$C253+$D253)*24))</f>
        <v/>
      </c>
      <c r="L253" s="34" t="n"/>
      <c r="M253" s="53">
        <f t="array" ref="M253">IFERROR(INDEX(EXCEPCIONES_FECHA!$D$2:$D$201,MATCH(1,(EXCEPCIONES_FECHA!$A$2:$A$201=$A253)*(EXCEPCIONES_FECHA!$B$2:$B$201=$B253),0)),IFERROR(INDEX(EXCEPCIONES_FECHA!$D$2:$D$201,MATCH(1,(EXCEPCIONES_FECHA!$A$2:$A$201=$A253)*(EXCEPCIONES_FECHA!$B$2:$B$201=""),0)),IFERROR(INDEX(IF($I253="FIN",HISTORIAL_HORARIOS!$J$2:$J$201,HISTORIAL_HORARIOS!$F$2:$F$201),MATCH(1,(HISTORIAL_HORARIOS!$A$2:$A$201=$B253)*(HISTORIAL_HORARIOS!$C$2:$C$201&lt;=$A253)*(HISTORIAL_HORARIOS!$D$2:$D$201&gt;=$A253),0)),INDEX(IF($I253="FIN",PERSONAL!$J$2:$J$80,PERSONAL!$F$2:$F$80),MATCH($B253,PERSONAL!$A$2:$A$80,0)))))</f>
        <v/>
      </c>
      <c r="N253" s="53">
        <f t="array" ref="N253">IFERROR(INDEX(EXCEPCIONES_FECHA!$E$2:$E$201,MATCH(1,(EXCEPCIONES_FECHA!$A$2:$A$201=$A253)*(EXCEPCIONES_FECHA!$B$2:$B$201=$B253),0)),IFERROR(INDEX(EXCEPCIONES_FECHA!$E$2:$E$201,MATCH(1,(EXCEPCIONES_FECHA!$A$2:$A$201=$A253)*(EXCEPCIONES_FECHA!$B$2:$B$201=""),0)),IFERROR(INDEX(IF($I253="FIN",HISTORIAL_HORARIOS!$K$2:$K$201,HISTORIAL_HORARIOS!$G$2:$G$201),MATCH(1,(HISTORIAL_HORARIOS!$A$2:$A$201=$B253)*(HISTORIAL_HORARIOS!$C$2:$C$201&lt;=$A253)*(HISTORIAL_HORARIOS!$D$2:$D$201&gt;=$A253),0)),INDEX(IF($I253="FIN",PERSONAL!$K$2:$K$80,PERSONAL!$G$2:$G$80),MATCH($B253,PERSONAL!$A$2:$A$80,0)))))</f>
        <v/>
      </c>
      <c r="O253" s="53">
        <f t="array" ref="O253">IFERROR(INDEX(EXCEPCIONES_FECHA!$F$2:$F$201,MATCH(1,(EXCEPCIONES_FECHA!$A$2:$A$201=$A253)*(EXCEPCIONES_FECHA!$B$2:$B$201=$B253),0)),IFERROR(INDEX(EXCEPCIONES_FECHA!$F$2:$F$201,MATCH(1,(EXCEPCIONES_FECHA!$A$2:$A$201=$A253)*(EXCEPCIONES_FECHA!$B$2:$B$201=""),0)),IFERROR(INDEX(IF($I253="FIN",HISTORIAL_HORARIOS!$L$2:$L$201,HISTORIAL_HORARIOS!$H$2:$H$201),MATCH(1,(HISTORIAL_HORARIOS!$A$2:$A$201=$B253)*(HISTORIAL_HORARIOS!$C$2:$C$201&lt;=$A253)*(HISTORIAL_HORARIOS!$D$2:$D$201&gt;=$A253),0)),INDEX(IF($I253="FIN",PERSONAL!$L$2:$L$80,PERSONAL!$H$2:$H$80),MATCH($B253,PERSONAL!$A$2:$A$80,0)))))</f>
        <v/>
      </c>
    </row>
    <row r="254" ht="15" customHeight="1" s="58">
      <c r="A254" s="37" t="n"/>
      <c r="B254" s="38" t="n"/>
      <c r="C254" s="39" t="n"/>
      <c r="D254" s="39" t="n"/>
      <c r="E254" s="34">
        <f t="array" ref="E254">IF($B254="","",IFERROR(INDEX(PERSONAL!$B$2:$B$80,MATCH($B254,PERSONAL!$A$2:$A$80,0)),"NO EXISTE"))</f>
        <v/>
      </c>
      <c r="F254" s="52">
        <f t="array" ref="F254">IF($B254="","",IFERROR(INDEX(PERSONAL!$C$2:$C$80,MATCH($B254,PERSONAL!$A$2:$A$80,0)),""))</f>
        <v/>
      </c>
      <c r="G254" s="52">
        <f>IF($A254="","",CHOOSE(WEEKDAY($A254,2),"LUNES","MARTES","MIÉRCOLES","JUEVES","VIERNES","SÁBADO","DOMINGO"))</f>
        <v/>
      </c>
      <c r="H254" s="34">
        <f>IF($A254="","",CHOOSE(MONTH($A254),"ENERO","FEBRERO","MARZO","ABRIL","MAYO","JUNIO","JULIO","AGOSTO","SEPTIEMBRE","OCTUBRE","NOVIEMBRE","DICIEMBRE"))</f>
        <v/>
      </c>
      <c r="I254" s="34">
        <f>IF($A254="","",IF(OR($G254="SÁBADO",$G254="DOMINGO"),"FIN","LV"))</f>
        <v/>
      </c>
      <c r="J254" s="34">
        <f>IF(OR($A254="",$B254=""),"",IF($L254&lt;&gt;"",UPPER($L254),IF($C254="","FALTA",IFERROR(IF($C254&gt;=$O254,"ROJO FUERTE",IF($C254&gt;=$N254,"ROJO",IF($C254&gt;=$M254,"AMARILLO","VERDE"))),"REVISAR"))))</f>
        <v/>
      </c>
      <c r="K254" s="36">
        <f>IF(OR($C254="",$D254=""),"",IF($D254&gt;=$C254,($D254-$C254)*24,(1-$C254+$D254)*24))</f>
        <v/>
      </c>
      <c r="L254" s="34" t="n"/>
      <c r="M254" s="53">
        <f t="array" ref="M254">IFERROR(INDEX(EXCEPCIONES_FECHA!$D$2:$D$201,MATCH(1,(EXCEPCIONES_FECHA!$A$2:$A$201=$A254)*(EXCEPCIONES_FECHA!$B$2:$B$201=$B254),0)),IFERROR(INDEX(EXCEPCIONES_FECHA!$D$2:$D$201,MATCH(1,(EXCEPCIONES_FECHA!$A$2:$A$201=$A254)*(EXCEPCIONES_FECHA!$B$2:$B$201=""),0)),IFERROR(INDEX(IF($I254="FIN",HISTORIAL_HORARIOS!$J$2:$J$201,HISTORIAL_HORARIOS!$F$2:$F$201),MATCH(1,(HISTORIAL_HORARIOS!$A$2:$A$201=$B254)*(HISTORIAL_HORARIOS!$C$2:$C$201&lt;=$A254)*(HISTORIAL_HORARIOS!$D$2:$D$201&gt;=$A254),0)),INDEX(IF($I254="FIN",PERSONAL!$J$2:$J$80,PERSONAL!$F$2:$F$80),MATCH($B254,PERSONAL!$A$2:$A$80,0)))))</f>
        <v/>
      </c>
      <c r="N254" s="53">
        <f t="array" ref="N254">IFERROR(INDEX(EXCEPCIONES_FECHA!$E$2:$E$201,MATCH(1,(EXCEPCIONES_FECHA!$A$2:$A$201=$A254)*(EXCEPCIONES_FECHA!$B$2:$B$201=$B254),0)),IFERROR(INDEX(EXCEPCIONES_FECHA!$E$2:$E$201,MATCH(1,(EXCEPCIONES_FECHA!$A$2:$A$201=$A254)*(EXCEPCIONES_FECHA!$B$2:$B$201=""),0)),IFERROR(INDEX(IF($I254="FIN",HISTORIAL_HORARIOS!$K$2:$K$201,HISTORIAL_HORARIOS!$G$2:$G$201),MATCH(1,(HISTORIAL_HORARIOS!$A$2:$A$201=$B254)*(HISTORIAL_HORARIOS!$C$2:$C$201&lt;=$A254)*(HISTORIAL_HORARIOS!$D$2:$D$201&gt;=$A254),0)),INDEX(IF($I254="FIN",PERSONAL!$K$2:$K$80,PERSONAL!$G$2:$G$80),MATCH($B254,PERSONAL!$A$2:$A$80,0)))))</f>
        <v/>
      </c>
      <c r="O254" s="53">
        <f t="array" ref="O254">IFERROR(INDEX(EXCEPCIONES_FECHA!$F$2:$F$201,MATCH(1,(EXCEPCIONES_FECHA!$A$2:$A$201=$A254)*(EXCEPCIONES_FECHA!$B$2:$B$201=$B254),0)),IFERROR(INDEX(EXCEPCIONES_FECHA!$F$2:$F$201,MATCH(1,(EXCEPCIONES_FECHA!$A$2:$A$201=$A254)*(EXCEPCIONES_FECHA!$B$2:$B$201=""),0)),IFERROR(INDEX(IF($I254="FIN",HISTORIAL_HORARIOS!$L$2:$L$201,HISTORIAL_HORARIOS!$H$2:$H$201),MATCH(1,(HISTORIAL_HORARIOS!$A$2:$A$201=$B254)*(HISTORIAL_HORARIOS!$C$2:$C$201&lt;=$A254)*(HISTORIAL_HORARIOS!$D$2:$D$201&gt;=$A254),0)),INDEX(IF($I254="FIN",PERSONAL!$L$2:$L$80,PERSONAL!$H$2:$H$80),MATCH($B254,PERSONAL!$A$2:$A$80,0)))))</f>
        <v/>
      </c>
    </row>
    <row r="255" ht="15" customHeight="1" s="58">
      <c r="A255" s="37" t="n"/>
      <c r="B255" s="38" t="n"/>
      <c r="C255" s="39" t="n"/>
      <c r="D255" s="39" t="n"/>
      <c r="E255" s="34">
        <f t="array" ref="E255">IF($B255="","",IFERROR(INDEX(PERSONAL!$B$2:$B$80,MATCH($B255,PERSONAL!$A$2:$A$80,0)),"NO EXISTE"))</f>
        <v/>
      </c>
      <c r="F255" s="52">
        <f t="array" ref="F255">IF($B255="","",IFERROR(INDEX(PERSONAL!$C$2:$C$80,MATCH($B255,PERSONAL!$A$2:$A$80,0)),""))</f>
        <v/>
      </c>
      <c r="G255" s="52">
        <f>IF($A255="","",CHOOSE(WEEKDAY($A255,2),"LUNES","MARTES","MIÉRCOLES","JUEVES","VIERNES","SÁBADO","DOMINGO"))</f>
        <v/>
      </c>
      <c r="H255" s="34">
        <f>IF($A255="","",CHOOSE(MONTH($A255),"ENERO","FEBRERO","MARZO","ABRIL","MAYO","JUNIO","JULIO","AGOSTO","SEPTIEMBRE","OCTUBRE","NOVIEMBRE","DICIEMBRE"))</f>
        <v/>
      </c>
      <c r="I255" s="34">
        <f>IF($A255="","",IF(OR($G255="SÁBADO",$G255="DOMINGO"),"FIN","LV"))</f>
        <v/>
      </c>
      <c r="J255" s="34">
        <f>IF(OR($A255="",$B255=""),"",IF($L255&lt;&gt;"",UPPER($L255),IF($C255="","FALTA",IFERROR(IF($C255&gt;=$O255,"ROJO FUERTE",IF($C255&gt;=$N255,"ROJO",IF($C255&gt;=$M255,"AMARILLO","VERDE"))),"REVISAR"))))</f>
        <v/>
      </c>
      <c r="K255" s="36">
        <f>IF(OR($C255="",$D255=""),"",IF($D255&gt;=$C255,($D255-$C255)*24,(1-$C255+$D255)*24))</f>
        <v/>
      </c>
      <c r="L255" s="34" t="n"/>
      <c r="M255" s="53">
        <f t="array" ref="M255">IFERROR(INDEX(EXCEPCIONES_FECHA!$D$2:$D$201,MATCH(1,(EXCEPCIONES_FECHA!$A$2:$A$201=$A255)*(EXCEPCIONES_FECHA!$B$2:$B$201=$B255),0)),IFERROR(INDEX(EXCEPCIONES_FECHA!$D$2:$D$201,MATCH(1,(EXCEPCIONES_FECHA!$A$2:$A$201=$A255)*(EXCEPCIONES_FECHA!$B$2:$B$201=""),0)),IFERROR(INDEX(IF($I255="FIN",HISTORIAL_HORARIOS!$J$2:$J$201,HISTORIAL_HORARIOS!$F$2:$F$201),MATCH(1,(HISTORIAL_HORARIOS!$A$2:$A$201=$B255)*(HISTORIAL_HORARIOS!$C$2:$C$201&lt;=$A255)*(HISTORIAL_HORARIOS!$D$2:$D$201&gt;=$A255),0)),INDEX(IF($I255="FIN",PERSONAL!$J$2:$J$80,PERSONAL!$F$2:$F$80),MATCH($B255,PERSONAL!$A$2:$A$80,0)))))</f>
        <v/>
      </c>
      <c r="N255" s="53">
        <f t="array" ref="N255">IFERROR(INDEX(EXCEPCIONES_FECHA!$E$2:$E$201,MATCH(1,(EXCEPCIONES_FECHA!$A$2:$A$201=$A255)*(EXCEPCIONES_FECHA!$B$2:$B$201=$B255),0)),IFERROR(INDEX(EXCEPCIONES_FECHA!$E$2:$E$201,MATCH(1,(EXCEPCIONES_FECHA!$A$2:$A$201=$A255)*(EXCEPCIONES_FECHA!$B$2:$B$201=""),0)),IFERROR(INDEX(IF($I255="FIN",HISTORIAL_HORARIOS!$K$2:$K$201,HISTORIAL_HORARIOS!$G$2:$G$201),MATCH(1,(HISTORIAL_HORARIOS!$A$2:$A$201=$B255)*(HISTORIAL_HORARIOS!$C$2:$C$201&lt;=$A255)*(HISTORIAL_HORARIOS!$D$2:$D$201&gt;=$A255),0)),INDEX(IF($I255="FIN",PERSONAL!$K$2:$K$80,PERSONAL!$G$2:$G$80),MATCH($B255,PERSONAL!$A$2:$A$80,0)))))</f>
        <v/>
      </c>
      <c r="O255" s="53">
        <f t="array" ref="O255">IFERROR(INDEX(EXCEPCIONES_FECHA!$F$2:$F$201,MATCH(1,(EXCEPCIONES_FECHA!$A$2:$A$201=$A255)*(EXCEPCIONES_FECHA!$B$2:$B$201=$B255),0)),IFERROR(INDEX(EXCEPCIONES_FECHA!$F$2:$F$201,MATCH(1,(EXCEPCIONES_FECHA!$A$2:$A$201=$A255)*(EXCEPCIONES_FECHA!$B$2:$B$201=""),0)),IFERROR(INDEX(IF($I255="FIN",HISTORIAL_HORARIOS!$L$2:$L$201,HISTORIAL_HORARIOS!$H$2:$H$201),MATCH(1,(HISTORIAL_HORARIOS!$A$2:$A$201=$B255)*(HISTORIAL_HORARIOS!$C$2:$C$201&lt;=$A255)*(HISTORIAL_HORARIOS!$D$2:$D$201&gt;=$A255),0)),INDEX(IF($I255="FIN",PERSONAL!$L$2:$L$80,PERSONAL!$H$2:$H$80),MATCH($B255,PERSONAL!$A$2:$A$80,0)))))</f>
        <v/>
      </c>
    </row>
    <row r="256" ht="15" customHeight="1" s="58">
      <c r="A256" s="37" t="n"/>
      <c r="B256" s="38" t="n"/>
      <c r="C256" s="39" t="n"/>
      <c r="D256" s="39" t="n"/>
      <c r="E256" s="34">
        <f t="array" ref="E256">IF($B256="","",IFERROR(INDEX(PERSONAL!$B$2:$B$80,MATCH($B256,PERSONAL!$A$2:$A$80,0)),"NO EXISTE"))</f>
        <v/>
      </c>
      <c r="F256" s="52">
        <f t="array" ref="F256">IF($B256="","",IFERROR(INDEX(PERSONAL!$C$2:$C$80,MATCH($B256,PERSONAL!$A$2:$A$80,0)),""))</f>
        <v/>
      </c>
      <c r="G256" s="52">
        <f>IF($A256="","",CHOOSE(WEEKDAY($A256,2),"LUNES","MARTES","MIÉRCOLES","JUEVES","VIERNES","SÁBADO","DOMINGO"))</f>
        <v/>
      </c>
      <c r="H256" s="34">
        <f>IF($A256="","",CHOOSE(MONTH($A256),"ENERO","FEBRERO","MARZO","ABRIL","MAYO","JUNIO","JULIO","AGOSTO","SEPTIEMBRE","OCTUBRE","NOVIEMBRE","DICIEMBRE"))</f>
        <v/>
      </c>
      <c r="I256" s="34">
        <f>IF($A256="","",IF(OR($G256="SÁBADO",$G256="DOMINGO"),"FIN","LV"))</f>
        <v/>
      </c>
      <c r="J256" s="34">
        <f>IF(OR($A256="",$B256=""),"",IF($L256&lt;&gt;"",UPPER($L256),IF($C256="","FALTA",IFERROR(IF($C256&gt;=$O256,"ROJO FUERTE",IF($C256&gt;=$N256,"ROJO",IF($C256&gt;=$M256,"AMARILLO","VERDE"))),"REVISAR"))))</f>
        <v/>
      </c>
      <c r="K256" s="36">
        <f>IF(OR($C256="",$D256=""),"",IF($D256&gt;=$C256,($D256-$C256)*24,(1-$C256+$D256)*24))</f>
        <v/>
      </c>
      <c r="L256" s="34" t="n"/>
      <c r="M256" s="53">
        <f t="array" ref="M256">IFERROR(INDEX(EXCEPCIONES_FECHA!$D$2:$D$201,MATCH(1,(EXCEPCIONES_FECHA!$A$2:$A$201=$A256)*(EXCEPCIONES_FECHA!$B$2:$B$201=$B256),0)),IFERROR(INDEX(EXCEPCIONES_FECHA!$D$2:$D$201,MATCH(1,(EXCEPCIONES_FECHA!$A$2:$A$201=$A256)*(EXCEPCIONES_FECHA!$B$2:$B$201=""),0)),IFERROR(INDEX(IF($I256="FIN",HISTORIAL_HORARIOS!$J$2:$J$201,HISTORIAL_HORARIOS!$F$2:$F$201),MATCH(1,(HISTORIAL_HORARIOS!$A$2:$A$201=$B256)*(HISTORIAL_HORARIOS!$C$2:$C$201&lt;=$A256)*(HISTORIAL_HORARIOS!$D$2:$D$201&gt;=$A256),0)),INDEX(IF($I256="FIN",PERSONAL!$J$2:$J$80,PERSONAL!$F$2:$F$80),MATCH($B256,PERSONAL!$A$2:$A$80,0)))))</f>
        <v/>
      </c>
      <c r="N256" s="53">
        <f t="array" ref="N256">IFERROR(INDEX(EXCEPCIONES_FECHA!$E$2:$E$201,MATCH(1,(EXCEPCIONES_FECHA!$A$2:$A$201=$A256)*(EXCEPCIONES_FECHA!$B$2:$B$201=$B256),0)),IFERROR(INDEX(EXCEPCIONES_FECHA!$E$2:$E$201,MATCH(1,(EXCEPCIONES_FECHA!$A$2:$A$201=$A256)*(EXCEPCIONES_FECHA!$B$2:$B$201=""),0)),IFERROR(INDEX(IF($I256="FIN",HISTORIAL_HORARIOS!$K$2:$K$201,HISTORIAL_HORARIOS!$G$2:$G$201),MATCH(1,(HISTORIAL_HORARIOS!$A$2:$A$201=$B256)*(HISTORIAL_HORARIOS!$C$2:$C$201&lt;=$A256)*(HISTORIAL_HORARIOS!$D$2:$D$201&gt;=$A256),0)),INDEX(IF($I256="FIN",PERSONAL!$K$2:$K$80,PERSONAL!$G$2:$G$80),MATCH($B256,PERSONAL!$A$2:$A$80,0)))))</f>
        <v/>
      </c>
      <c r="O256" s="53">
        <f t="array" ref="O256">IFERROR(INDEX(EXCEPCIONES_FECHA!$F$2:$F$201,MATCH(1,(EXCEPCIONES_FECHA!$A$2:$A$201=$A256)*(EXCEPCIONES_FECHA!$B$2:$B$201=$B256),0)),IFERROR(INDEX(EXCEPCIONES_FECHA!$F$2:$F$201,MATCH(1,(EXCEPCIONES_FECHA!$A$2:$A$201=$A256)*(EXCEPCIONES_FECHA!$B$2:$B$201=""),0)),IFERROR(INDEX(IF($I256="FIN",HISTORIAL_HORARIOS!$L$2:$L$201,HISTORIAL_HORARIOS!$H$2:$H$201),MATCH(1,(HISTORIAL_HORARIOS!$A$2:$A$201=$B256)*(HISTORIAL_HORARIOS!$C$2:$C$201&lt;=$A256)*(HISTORIAL_HORARIOS!$D$2:$D$201&gt;=$A256),0)),INDEX(IF($I256="FIN",PERSONAL!$L$2:$L$80,PERSONAL!$H$2:$H$80),MATCH($B256,PERSONAL!$A$2:$A$80,0)))))</f>
        <v/>
      </c>
    </row>
    <row r="257" ht="15" customHeight="1" s="58">
      <c r="A257" s="37" t="n"/>
      <c r="B257" s="38" t="n"/>
      <c r="C257" s="39" t="n"/>
      <c r="D257" s="39" t="n"/>
      <c r="E257" s="34">
        <f t="array" ref="E257">IF($B257="","",IFERROR(INDEX(PERSONAL!$B$2:$B$80,MATCH($B257,PERSONAL!$A$2:$A$80,0)),"NO EXISTE"))</f>
        <v/>
      </c>
      <c r="F257" s="52">
        <f t="array" ref="F257">IF($B257="","",IFERROR(INDEX(PERSONAL!$C$2:$C$80,MATCH($B257,PERSONAL!$A$2:$A$80,0)),""))</f>
        <v/>
      </c>
      <c r="G257" s="52">
        <f>IF($A257="","",CHOOSE(WEEKDAY($A257,2),"LUNES","MARTES","MIÉRCOLES","JUEVES","VIERNES","SÁBADO","DOMINGO"))</f>
        <v/>
      </c>
      <c r="H257" s="34">
        <f>IF($A257="","",CHOOSE(MONTH($A257),"ENERO","FEBRERO","MARZO","ABRIL","MAYO","JUNIO","JULIO","AGOSTO","SEPTIEMBRE","OCTUBRE","NOVIEMBRE","DICIEMBRE"))</f>
        <v/>
      </c>
      <c r="I257" s="34">
        <f>IF($A257="","",IF(OR($G257="SÁBADO",$G257="DOMINGO"),"FIN","LV"))</f>
        <v/>
      </c>
      <c r="J257" s="34">
        <f>IF(OR($A257="",$B257=""),"",IF($L257&lt;&gt;"",UPPER($L257),IF($C257="","FALTA",IFERROR(IF($C257&gt;=$O257,"ROJO FUERTE",IF($C257&gt;=$N257,"ROJO",IF($C257&gt;=$M257,"AMARILLO","VERDE"))),"REVISAR"))))</f>
        <v/>
      </c>
      <c r="K257" s="36">
        <f>IF(OR($C257="",$D257=""),"",IF($D257&gt;=$C257,($D257-$C257)*24,(1-$C257+$D257)*24))</f>
        <v/>
      </c>
      <c r="L257" s="34" t="n"/>
      <c r="M257" s="53">
        <f t="array" ref="M257">IFERROR(INDEX(EXCEPCIONES_FECHA!$D$2:$D$201,MATCH(1,(EXCEPCIONES_FECHA!$A$2:$A$201=$A257)*(EXCEPCIONES_FECHA!$B$2:$B$201=$B257),0)),IFERROR(INDEX(EXCEPCIONES_FECHA!$D$2:$D$201,MATCH(1,(EXCEPCIONES_FECHA!$A$2:$A$201=$A257)*(EXCEPCIONES_FECHA!$B$2:$B$201=""),0)),IFERROR(INDEX(IF($I257="FIN",HISTORIAL_HORARIOS!$J$2:$J$201,HISTORIAL_HORARIOS!$F$2:$F$201),MATCH(1,(HISTORIAL_HORARIOS!$A$2:$A$201=$B257)*(HISTORIAL_HORARIOS!$C$2:$C$201&lt;=$A257)*(HISTORIAL_HORARIOS!$D$2:$D$201&gt;=$A257),0)),INDEX(IF($I257="FIN",PERSONAL!$J$2:$J$80,PERSONAL!$F$2:$F$80),MATCH($B257,PERSONAL!$A$2:$A$80,0)))))</f>
        <v/>
      </c>
      <c r="N257" s="53">
        <f t="array" ref="N257">IFERROR(INDEX(EXCEPCIONES_FECHA!$E$2:$E$201,MATCH(1,(EXCEPCIONES_FECHA!$A$2:$A$201=$A257)*(EXCEPCIONES_FECHA!$B$2:$B$201=$B257),0)),IFERROR(INDEX(EXCEPCIONES_FECHA!$E$2:$E$201,MATCH(1,(EXCEPCIONES_FECHA!$A$2:$A$201=$A257)*(EXCEPCIONES_FECHA!$B$2:$B$201=""),0)),IFERROR(INDEX(IF($I257="FIN",HISTORIAL_HORARIOS!$K$2:$K$201,HISTORIAL_HORARIOS!$G$2:$G$201),MATCH(1,(HISTORIAL_HORARIOS!$A$2:$A$201=$B257)*(HISTORIAL_HORARIOS!$C$2:$C$201&lt;=$A257)*(HISTORIAL_HORARIOS!$D$2:$D$201&gt;=$A257),0)),INDEX(IF($I257="FIN",PERSONAL!$K$2:$K$80,PERSONAL!$G$2:$G$80),MATCH($B257,PERSONAL!$A$2:$A$80,0)))))</f>
        <v/>
      </c>
      <c r="O257" s="53">
        <f t="array" ref="O257">IFERROR(INDEX(EXCEPCIONES_FECHA!$F$2:$F$201,MATCH(1,(EXCEPCIONES_FECHA!$A$2:$A$201=$A257)*(EXCEPCIONES_FECHA!$B$2:$B$201=$B257),0)),IFERROR(INDEX(EXCEPCIONES_FECHA!$F$2:$F$201,MATCH(1,(EXCEPCIONES_FECHA!$A$2:$A$201=$A257)*(EXCEPCIONES_FECHA!$B$2:$B$201=""),0)),IFERROR(INDEX(IF($I257="FIN",HISTORIAL_HORARIOS!$L$2:$L$201,HISTORIAL_HORARIOS!$H$2:$H$201),MATCH(1,(HISTORIAL_HORARIOS!$A$2:$A$201=$B257)*(HISTORIAL_HORARIOS!$C$2:$C$201&lt;=$A257)*(HISTORIAL_HORARIOS!$D$2:$D$201&gt;=$A257),0)),INDEX(IF($I257="FIN",PERSONAL!$L$2:$L$80,PERSONAL!$H$2:$H$80),MATCH($B257,PERSONAL!$A$2:$A$80,0)))))</f>
        <v/>
      </c>
    </row>
    <row r="258" ht="15" customHeight="1" s="58">
      <c r="A258" s="37" t="n"/>
      <c r="B258" s="38" t="n"/>
      <c r="C258" s="39" t="n"/>
      <c r="D258" s="39" t="n"/>
      <c r="E258" s="34">
        <f t="array" ref="E258">IF($B258="","",IFERROR(INDEX(PERSONAL!$B$2:$B$80,MATCH($B258,PERSONAL!$A$2:$A$80,0)),"NO EXISTE"))</f>
        <v/>
      </c>
      <c r="F258" s="52">
        <f t="array" ref="F258">IF($B258="","",IFERROR(INDEX(PERSONAL!$C$2:$C$80,MATCH($B258,PERSONAL!$A$2:$A$80,0)),""))</f>
        <v/>
      </c>
      <c r="G258" s="52">
        <f>IF($A258="","",CHOOSE(WEEKDAY($A258,2),"LUNES","MARTES","MIÉRCOLES","JUEVES","VIERNES","SÁBADO","DOMINGO"))</f>
        <v/>
      </c>
      <c r="H258" s="34">
        <f>IF($A258="","",CHOOSE(MONTH($A258),"ENERO","FEBRERO","MARZO","ABRIL","MAYO","JUNIO","JULIO","AGOSTO","SEPTIEMBRE","OCTUBRE","NOVIEMBRE","DICIEMBRE"))</f>
        <v/>
      </c>
      <c r="I258" s="34">
        <f>IF($A258="","",IF(OR($G258="SÁBADO",$G258="DOMINGO"),"FIN","LV"))</f>
        <v/>
      </c>
      <c r="J258" s="34">
        <f>IF(OR($A258="",$B258=""),"",IF($L258&lt;&gt;"",UPPER($L258),IF($C258="","FALTA",IFERROR(IF($C258&gt;=$O258,"ROJO FUERTE",IF($C258&gt;=$N258,"ROJO",IF($C258&gt;=$M258,"AMARILLO","VERDE"))),"REVISAR"))))</f>
        <v/>
      </c>
      <c r="K258" s="36">
        <f>IF(OR($C258="",$D258=""),"",IF($D258&gt;=$C258,($D258-$C258)*24,(1-$C258+$D258)*24))</f>
        <v/>
      </c>
      <c r="L258" s="34" t="n"/>
      <c r="M258" s="53">
        <f t="array" ref="M258">IFERROR(INDEX(EXCEPCIONES_FECHA!$D$2:$D$201,MATCH(1,(EXCEPCIONES_FECHA!$A$2:$A$201=$A258)*(EXCEPCIONES_FECHA!$B$2:$B$201=$B258),0)),IFERROR(INDEX(EXCEPCIONES_FECHA!$D$2:$D$201,MATCH(1,(EXCEPCIONES_FECHA!$A$2:$A$201=$A258)*(EXCEPCIONES_FECHA!$B$2:$B$201=""),0)),IFERROR(INDEX(IF($I258="FIN",HISTORIAL_HORARIOS!$J$2:$J$201,HISTORIAL_HORARIOS!$F$2:$F$201),MATCH(1,(HISTORIAL_HORARIOS!$A$2:$A$201=$B258)*(HISTORIAL_HORARIOS!$C$2:$C$201&lt;=$A258)*(HISTORIAL_HORARIOS!$D$2:$D$201&gt;=$A258),0)),INDEX(IF($I258="FIN",PERSONAL!$J$2:$J$80,PERSONAL!$F$2:$F$80),MATCH($B258,PERSONAL!$A$2:$A$80,0)))))</f>
        <v/>
      </c>
      <c r="N258" s="53">
        <f t="array" ref="N258">IFERROR(INDEX(EXCEPCIONES_FECHA!$E$2:$E$201,MATCH(1,(EXCEPCIONES_FECHA!$A$2:$A$201=$A258)*(EXCEPCIONES_FECHA!$B$2:$B$201=$B258),0)),IFERROR(INDEX(EXCEPCIONES_FECHA!$E$2:$E$201,MATCH(1,(EXCEPCIONES_FECHA!$A$2:$A$201=$A258)*(EXCEPCIONES_FECHA!$B$2:$B$201=""),0)),IFERROR(INDEX(IF($I258="FIN",HISTORIAL_HORARIOS!$K$2:$K$201,HISTORIAL_HORARIOS!$G$2:$G$201),MATCH(1,(HISTORIAL_HORARIOS!$A$2:$A$201=$B258)*(HISTORIAL_HORARIOS!$C$2:$C$201&lt;=$A258)*(HISTORIAL_HORARIOS!$D$2:$D$201&gt;=$A258),0)),INDEX(IF($I258="FIN",PERSONAL!$K$2:$K$80,PERSONAL!$G$2:$G$80),MATCH($B258,PERSONAL!$A$2:$A$80,0)))))</f>
        <v/>
      </c>
      <c r="O258" s="53">
        <f t="array" ref="O258">IFERROR(INDEX(EXCEPCIONES_FECHA!$F$2:$F$201,MATCH(1,(EXCEPCIONES_FECHA!$A$2:$A$201=$A258)*(EXCEPCIONES_FECHA!$B$2:$B$201=$B258),0)),IFERROR(INDEX(EXCEPCIONES_FECHA!$F$2:$F$201,MATCH(1,(EXCEPCIONES_FECHA!$A$2:$A$201=$A258)*(EXCEPCIONES_FECHA!$B$2:$B$201=""),0)),IFERROR(INDEX(IF($I258="FIN",HISTORIAL_HORARIOS!$L$2:$L$201,HISTORIAL_HORARIOS!$H$2:$H$201),MATCH(1,(HISTORIAL_HORARIOS!$A$2:$A$201=$B258)*(HISTORIAL_HORARIOS!$C$2:$C$201&lt;=$A258)*(HISTORIAL_HORARIOS!$D$2:$D$201&gt;=$A258),0)),INDEX(IF($I258="FIN",PERSONAL!$L$2:$L$80,PERSONAL!$H$2:$H$80),MATCH($B258,PERSONAL!$A$2:$A$80,0)))))</f>
        <v/>
      </c>
    </row>
    <row r="259" ht="15" customHeight="1" s="58">
      <c r="A259" s="37" t="n"/>
      <c r="B259" s="38" t="n"/>
      <c r="C259" s="39" t="n"/>
      <c r="D259" s="39" t="n"/>
      <c r="E259" s="34">
        <f t="array" ref="E259">IF($B259="","",IFERROR(INDEX(PERSONAL!$B$2:$B$80,MATCH($B259,PERSONAL!$A$2:$A$80,0)),"NO EXISTE"))</f>
        <v/>
      </c>
      <c r="F259" s="52">
        <f t="array" ref="F259">IF($B259="","",IFERROR(INDEX(PERSONAL!$C$2:$C$80,MATCH($B259,PERSONAL!$A$2:$A$80,0)),""))</f>
        <v/>
      </c>
      <c r="G259" s="52">
        <f>IF($A259="","",CHOOSE(WEEKDAY($A259,2),"LUNES","MARTES","MIÉRCOLES","JUEVES","VIERNES","SÁBADO","DOMINGO"))</f>
        <v/>
      </c>
      <c r="H259" s="34">
        <f>IF($A259="","",CHOOSE(MONTH($A259),"ENERO","FEBRERO","MARZO","ABRIL","MAYO","JUNIO","JULIO","AGOSTO","SEPTIEMBRE","OCTUBRE","NOVIEMBRE","DICIEMBRE"))</f>
        <v/>
      </c>
      <c r="I259" s="34">
        <f>IF($A259="","",IF(OR($G259="SÁBADO",$G259="DOMINGO"),"FIN","LV"))</f>
        <v/>
      </c>
      <c r="J259" s="34">
        <f>IF(OR($A259="",$B259=""),"",IF($L259&lt;&gt;"",UPPER($L259),IF($C259="","FALTA",IFERROR(IF($C259&gt;=$O259,"ROJO FUERTE",IF($C259&gt;=$N259,"ROJO",IF($C259&gt;=$M259,"AMARILLO","VERDE"))),"REVISAR"))))</f>
        <v/>
      </c>
      <c r="K259" s="36">
        <f>IF(OR($C259="",$D259=""),"",IF($D259&gt;=$C259,($D259-$C259)*24,(1-$C259+$D259)*24))</f>
        <v/>
      </c>
      <c r="L259" s="34" t="n"/>
      <c r="M259" s="53">
        <f t="array" ref="M259">IFERROR(INDEX(EXCEPCIONES_FECHA!$D$2:$D$201,MATCH(1,(EXCEPCIONES_FECHA!$A$2:$A$201=$A259)*(EXCEPCIONES_FECHA!$B$2:$B$201=$B259),0)),IFERROR(INDEX(EXCEPCIONES_FECHA!$D$2:$D$201,MATCH(1,(EXCEPCIONES_FECHA!$A$2:$A$201=$A259)*(EXCEPCIONES_FECHA!$B$2:$B$201=""),0)),IFERROR(INDEX(IF($I259="FIN",HISTORIAL_HORARIOS!$J$2:$J$201,HISTORIAL_HORARIOS!$F$2:$F$201),MATCH(1,(HISTORIAL_HORARIOS!$A$2:$A$201=$B259)*(HISTORIAL_HORARIOS!$C$2:$C$201&lt;=$A259)*(HISTORIAL_HORARIOS!$D$2:$D$201&gt;=$A259),0)),INDEX(IF($I259="FIN",PERSONAL!$J$2:$J$80,PERSONAL!$F$2:$F$80),MATCH($B259,PERSONAL!$A$2:$A$80,0)))))</f>
        <v/>
      </c>
      <c r="N259" s="53">
        <f t="array" ref="N259">IFERROR(INDEX(EXCEPCIONES_FECHA!$E$2:$E$201,MATCH(1,(EXCEPCIONES_FECHA!$A$2:$A$201=$A259)*(EXCEPCIONES_FECHA!$B$2:$B$201=$B259),0)),IFERROR(INDEX(EXCEPCIONES_FECHA!$E$2:$E$201,MATCH(1,(EXCEPCIONES_FECHA!$A$2:$A$201=$A259)*(EXCEPCIONES_FECHA!$B$2:$B$201=""),0)),IFERROR(INDEX(IF($I259="FIN",HISTORIAL_HORARIOS!$K$2:$K$201,HISTORIAL_HORARIOS!$G$2:$G$201),MATCH(1,(HISTORIAL_HORARIOS!$A$2:$A$201=$B259)*(HISTORIAL_HORARIOS!$C$2:$C$201&lt;=$A259)*(HISTORIAL_HORARIOS!$D$2:$D$201&gt;=$A259),0)),INDEX(IF($I259="FIN",PERSONAL!$K$2:$K$80,PERSONAL!$G$2:$G$80),MATCH($B259,PERSONAL!$A$2:$A$80,0)))))</f>
        <v/>
      </c>
      <c r="O259" s="53">
        <f t="array" ref="O259">IFERROR(INDEX(EXCEPCIONES_FECHA!$F$2:$F$201,MATCH(1,(EXCEPCIONES_FECHA!$A$2:$A$201=$A259)*(EXCEPCIONES_FECHA!$B$2:$B$201=$B259),0)),IFERROR(INDEX(EXCEPCIONES_FECHA!$F$2:$F$201,MATCH(1,(EXCEPCIONES_FECHA!$A$2:$A$201=$A259)*(EXCEPCIONES_FECHA!$B$2:$B$201=""),0)),IFERROR(INDEX(IF($I259="FIN",HISTORIAL_HORARIOS!$L$2:$L$201,HISTORIAL_HORARIOS!$H$2:$H$201),MATCH(1,(HISTORIAL_HORARIOS!$A$2:$A$201=$B259)*(HISTORIAL_HORARIOS!$C$2:$C$201&lt;=$A259)*(HISTORIAL_HORARIOS!$D$2:$D$201&gt;=$A259),0)),INDEX(IF($I259="FIN",PERSONAL!$L$2:$L$80,PERSONAL!$H$2:$H$80),MATCH($B259,PERSONAL!$A$2:$A$80,0)))))</f>
        <v/>
      </c>
    </row>
    <row r="260" ht="15" customHeight="1" s="58">
      <c r="A260" s="37" t="n"/>
      <c r="B260" s="38" t="n"/>
      <c r="C260" s="39" t="n"/>
      <c r="D260" s="39" t="n"/>
      <c r="E260" s="34">
        <f t="array" ref="E260">IF($B260="","",IFERROR(INDEX(PERSONAL!$B$2:$B$80,MATCH($B260,PERSONAL!$A$2:$A$80,0)),"NO EXISTE"))</f>
        <v/>
      </c>
      <c r="F260" s="52">
        <f t="array" ref="F260">IF($B260="","",IFERROR(INDEX(PERSONAL!$C$2:$C$80,MATCH($B260,PERSONAL!$A$2:$A$80,0)),""))</f>
        <v/>
      </c>
      <c r="G260" s="52">
        <f>IF($A260="","",CHOOSE(WEEKDAY($A260,2),"LUNES","MARTES","MIÉRCOLES","JUEVES","VIERNES","SÁBADO","DOMINGO"))</f>
        <v/>
      </c>
      <c r="H260" s="34">
        <f>IF($A260="","",CHOOSE(MONTH($A260),"ENERO","FEBRERO","MARZO","ABRIL","MAYO","JUNIO","JULIO","AGOSTO","SEPTIEMBRE","OCTUBRE","NOVIEMBRE","DICIEMBRE"))</f>
        <v/>
      </c>
      <c r="I260" s="34">
        <f>IF($A260="","",IF(OR($G260="SÁBADO",$G260="DOMINGO"),"FIN","LV"))</f>
        <v/>
      </c>
      <c r="J260" s="34">
        <f>IF(OR($A260="",$B260=""),"",IF($L260&lt;&gt;"",UPPER($L260),IF($C260="","FALTA",IFERROR(IF($C260&gt;=$O260,"ROJO FUERTE",IF($C260&gt;=$N260,"ROJO",IF($C260&gt;=$M260,"AMARILLO","VERDE"))),"REVISAR"))))</f>
        <v/>
      </c>
      <c r="K260" s="36">
        <f>IF(OR($C260="",$D260=""),"",IF($D260&gt;=$C260,($D260-$C260)*24,(1-$C260+$D260)*24))</f>
        <v/>
      </c>
      <c r="L260" s="34" t="n"/>
      <c r="M260" s="53">
        <f t="array" ref="M260">IFERROR(INDEX(EXCEPCIONES_FECHA!$D$2:$D$201,MATCH(1,(EXCEPCIONES_FECHA!$A$2:$A$201=$A260)*(EXCEPCIONES_FECHA!$B$2:$B$201=$B260),0)),IFERROR(INDEX(EXCEPCIONES_FECHA!$D$2:$D$201,MATCH(1,(EXCEPCIONES_FECHA!$A$2:$A$201=$A260)*(EXCEPCIONES_FECHA!$B$2:$B$201=""),0)),IFERROR(INDEX(IF($I260="FIN",HISTORIAL_HORARIOS!$J$2:$J$201,HISTORIAL_HORARIOS!$F$2:$F$201),MATCH(1,(HISTORIAL_HORARIOS!$A$2:$A$201=$B260)*(HISTORIAL_HORARIOS!$C$2:$C$201&lt;=$A260)*(HISTORIAL_HORARIOS!$D$2:$D$201&gt;=$A260),0)),INDEX(IF($I260="FIN",PERSONAL!$J$2:$J$80,PERSONAL!$F$2:$F$80),MATCH($B260,PERSONAL!$A$2:$A$80,0)))))</f>
        <v/>
      </c>
      <c r="N260" s="53">
        <f t="array" ref="N260">IFERROR(INDEX(EXCEPCIONES_FECHA!$E$2:$E$201,MATCH(1,(EXCEPCIONES_FECHA!$A$2:$A$201=$A260)*(EXCEPCIONES_FECHA!$B$2:$B$201=$B260),0)),IFERROR(INDEX(EXCEPCIONES_FECHA!$E$2:$E$201,MATCH(1,(EXCEPCIONES_FECHA!$A$2:$A$201=$A260)*(EXCEPCIONES_FECHA!$B$2:$B$201=""),0)),IFERROR(INDEX(IF($I260="FIN",HISTORIAL_HORARIOS!$K$2:$K$201,HISTORIAL_HORARIOS!$G$2:$G$201),MATCH(1,(HISTORIAL_HORARIOS!$A$2:$A$201=$B260)*(HISTORIAL_HORARIOS!$C$2:$C$201&lt;=$A260)*(HISTORIAL_HORARIOS!$D$2:$D$201&gt;=$A260),0)),INDEX(IF($I260="FIN",PERSONAL!$K$2:$K$80,PERSONAL!$G$2:$G$80),MATCH($B260,PERSONAL!$A$2:$A$80,0)))))</f>
        <v/>
      </c>
      <c r="O260" s="53">
        <f t="array" ref="O260">IFERROR(INDEX(EXCEPCIONES_FECHA!$F$2:$F$201,MATCH(1,(EXCEPCIONES_FECHA!$A$2:$A$201=$A260)*(EXCEPCIONES_FECHA!$B$2:$B$201=$B260),0)),IFERROR(INDEX(EXCEPCIONES_FECHA!$F$2:$F$201,MATCH(1,(EXCEPCIONES_FECHA!$A$2:$A$201=$A260)*(EXCEPCIONES_FECHA!$B$2:$B$201=""),0)),IFERROR(INDEX(IF($I260="FIN",HISTORIAL_HORARIOS!$L$2:$L$201,HISTORIAL_HORARIOS!$H$2:$H$201),MATCH(1,(HISTORIAL_HORARIOS!$A$2:$A$201=$B260)*(HISTORIAL_HORARIOS!$C$2:$C$201&lt;=$A260)*(HISTORIAL_HORARIOS!$D$2:$D$201&gt;=$A260),0)),INDEX(IF($I260="FIN",PERSONAL!$L$2:$L$80,PERSONAL!$H$2:$H$80),MATCH($B260,PERSONAL!$A$2:$A$80,0)))))</f>
        <v/>
      </c>
    </row>
    <row r="261" ht="15" customHeight="1" s="58">
      <c r="A261" s="37" t="n"/>
      <c r="B261" s="38" t="n"/>
      <c r="C261" s="39" t="n"/>
      <c r="D261" s="39" t="n"/>
      <c r="E261" s="34">
        <f t="array" ref="E261">IF($B261="","",IFERROR(INDEX(PERSONAL!$B$2:$B$80,MATCH($B261,PERSONAL!$A$2:$A$80,0)),"NO EXISTE"))</f>
        <v/>
      </c>
      <c r="F261" s="52">
        <f t="array" ref="F261">IF($B261="","",IFERROR(INDEX(PERSONAL!$C$2:$C$80,MATCH($B261,PERSONAL!$A$2:$A$80,0)),""))</f>
        <v/>
      </c>
      <c r="G261" s="52">
        <f>IF($A261="","",CHOOSE(WEEKDAY($A261,2),"LUNES","MARTES","MIÉRCOLES","JUEVES","VIERNES","SÁBADO","DOMINGO"))</f>
        <v/>
      </c>
      <c r="H261" s="34">
        <f>IF($A261="","",CHOOSE(MONTH($A261),"ENERO","FEBRERO","MARZO","ABRIL","MAYO","JUNIO","JULIO","AGOSTO","SEPTIEMBRE","OCTUBRE","NOVIEMBRE","DICIEMBRE"))</f>
        <v/>
      </c>
      <c r="I261" s="34">
        <f>IF($A261="","",IF(OR($G261="SÁBADO",$G261="DOMINGO"),"FIN","LV"))</f>
        <v/>
      </c>
      <c r="J261" s="34">
        <f>IF(OR($A261="",$B261=""),"",IF($L261&lt;&gt;"",UPPER($L261),IF($C261="","FALTA",IFERROR(IF($C261&gt;=$O261,"ROJO FUERTE",IF($C261&gt;=$N261,"ROJO",IF($C261&gt;=$M261,"AMARILLO","VERDE"))),"REVISAR"))))</f>
        <v/>
      </c>
      <c r="K261" s="36">
        <f>IF(OR($C261="",$D261=""),"",IF($D261&gt;=$C261,($D261-$C261)*24,(1-$C261+$D261)*24))</f>
        <v/>
      </c>
      <c r="L261" s="34" t="n"/>
      <c r="M261" s="53">
        <f t="array" ref="M261">IFERROR(INDEX(EXCEPCIONES_FECHA!$D$2:$D$201,MATCH(1,(EXCEPCIONES_FECHA!$A$2:$A$201=$A261)*(EXCEPCIONES_FECHA!$B$2:$B$201=$B261),0)),IFERROR(INDEX(EXCEPCIONES_FECHA!$D$2:$D$201,MATCH(1,(EXCEPCIONES_FECHA!$A$2:$A$201=$A261)*(EXCEPCIONES_FECHA!$B$2:$B$201=""),0)),IFERROR(INDEX(IF($I261="FIN",HISTORIAL_HORARIOS!$J$2:$J$201,HISTORIAL_HORARIOS!$F$2:$F$201),MATCH(1,(HISTORIAL_HORARIOS!$A$2:$A$201=$B261)*(HISTORIAL_HORARIOS!$C$2:$C$201&lt;=$A261)*(HISTORIAL_HORARIOS!$D$2:$D$201&gt;=$A261),0)),INDEX(IF($I261="FIN",PERSONAL!$J$2:$J$80,PERSONAL!$F$2:$F$80),MATCH($B261,PERSONAL!$A$2:$A$80,0)))))</f>
        <v/>
      </c>
      <c r="N261" s="53">
        <f t="array" ref="N261">IFERROR(INDEX(EXCEPCIONES_FECHA!$E$2:$E$201,MATCH(1,(EXCEPCIONES_FECHA!$A$2:$A$201=$A261)*(EXCEPCIONES_FECHA!$B$2:$B$201=$B261),0)),IFERROR(INDEX(EXCEPCIONES_FECHA!$E$2:$E$201,MATCH(1,(EXCEPCIONES_FECHA!$A$2:$A$201=$A261)*(EXCEPCIONES_FECHA!$B$2:$B$201=""),0)),IFERROR(INDEX(IF($I261="FIN",HISTORIAL_HORARIOS!$K$2:$K$201,HISTORIAL_HORARIOS!$G$2:$G$201),MATCH(1,(HISTORIAL_HORARIOS!$A$2:$A$201=$B261)*(HISTORIAL_HORARIOS!$C$2:$C$201&lt;=$A261)*(HISTORIAL_HORARIOS!$D$2:$D$201&gt;=$A261),0)),INDEX(IF($I261="FIN",PERSONAL!$K$2:$K$80,PERSONAL!$G$2:$G$80),MATCH($B261,PERSONAL!$A$2:$A$80,0)))))</f>
        <v/>
      </c>
      <c r="O261" s="53">
        <f t="array" ref="O261">IFERROR(INDEX(EXCEPCIONES_FECHA!$F$2:$F$201,MATCH(1,(EXCEPCIONES_FECHA!$A$2:$A$201=$A261)*(EXCEPCIONES_FECHA!$B$2:$B$201=$B261),0)),IFERROR(INDEX(EXCEPCIONES_FECHA!$F$2:$F$201,MATCH(1,(EXCEPCIONES_FECHA!$A$2:$A$201=$A261)*(EXCEPCIONES_FECHA!$B$2:$B$201=""),0)),IFERROR(INDEX(IF($I261="FIN",HISTORIAL_HORARIOS!$L$2:$L$201,HISTORIAL_HORARIOS!$H$2:$H$201),MATCH(1,(HISTORIAL_HORARIOS!$A$2:$A$201=$B261)*(HISTORIAL_HORARIOS!$C$2:$C$201&lt;=$A261)*(HISTORIAL_HORARIOS!$D$2:$D$201&gt;=$A261),0)),INDEX(IF($I261="FIN",PERSONAL!$L$2:$L$80,PERSONAL!$H$2:$H$80),MATCH($B261,PERSONAL!$A$2:$A$80,0)))))</f>
        <v/>
      </c>
    </row>
    <row r="262" ht="15" customHeight="1" s="58">
      <c r="A262" s="37" t="n"/>
      <c r="B262" s="38" t="n"/>
      <c r="C262" s="39" t="n"/>
      <c r="D262" s="39" t="n"/>
      <c r="E262" s="34">
        <f t="array" ref="E262">IF($B262="","",IFERROR(INDEX(PERSONAL!$B$2:$B$80,MATCH($B262,PERSONAL!$A$2:$A$80,0)),"NO EXISTE"))</f>
        <v/>
      </c>
      <c r="F262" s="52">
        <f t="array" ref="F262">IF($B262="","",IFERROR(INDEX(PERSONAL!$C$2:$C$80,MATCH($B262,PERSONAL!$A$2:$A$80,0)),""))</f>
        <v/>
      </c>
      <c r="G262" s="52">
        <f>IF($A262="","",CHOOSE(WEEKDAY($A262,2),"LUNES","MARTES","MIÉRCOLES","JUEVES","VIERNES","SÁBADO","DOMINGO"))</f>
        <v/>
      </c>
      <c r="H262" s="34">
        <f>IF($A262="","",CHOOSE(MONTH($A262),"ENERO","FEBRERO","MARZO","ABRIL","MAYO","JUNIO","JULIO","AGOSTO","SEPTIEMBRE","OCTUBRE","NOVIEMBRE","DICIEMBRE"))</f>
        <v/>
      </c>
      <c r="I262" s="34">
        <f>IF($A262="","",IF(OR($G262="SÁBADO",$G262="DOMINGO"),"FIN","LV"))</f>
        <v/>
      </c>
      <c r="J262" s="34">
        <f>IF(OR($A262="",$B262=""),"",IF($L262&lt;&gt;"",UPPER($L262),IF($C262="","FALTA",IFERROR(IF($C262&gt;=$O262,"ROJO FUERTE",IF($C262&gt;=$N262,"ROJO",IF($C262&gt;=$M262,"AMARILLO","VERDE"))),"REVISAR"))))</f>
        <v/>
      </c>
      <c r="K262" s="36">
        <f>IF(OR($C262="",$D262=""),"",IF($D262&gt;=$C262,($D262-$C262)*24,(1-$C262+$D262)*24))</f>
        <v/>
      </c>
      <c r="L262" s="34" t="n"/>
      <c r="M262" s="53">
        <f t="array" ref="M262">IFERROR(INDEX(EXCEPCIONES_FECHA!$D$2:$D$201,MATCH(1,(EXCEPCIONES_FECHA!$A$2:$A$201=$A262)*(EXCEPCIONES_FECHA!$B$2:$B$201=$B262),0)),IFERROR(INDEX(EXCEPCIONES_FECHA!$D$2:$D$201,MATCH(1,(EXCEPCIONES_FECHA!$A$2:$A$201=$A262)*(EXCEPCIONES_FECHA!$B$2:$B$201=""),0)),IFERROR(INDEX(IF($I262="FIN",HISTORIAL_HORARIOS!$J$2:$J$201,HISTORIAL_HORARIOS!$F$2:$F$201),MATCH(1,(HISTORIAL_HORARIOS!$A$2:$A$201=$B262)*(HISTORIAL_HORARIOS!$C$2:$C$201&lt;=$A262)*(HISTORIAL_HORARIOS!$D$2:$D$201&gt;=$A262),0)),INDEX(IF($I262="FIN",PERSONAL!$J$2:$J$80,PERSONAL!$F$2:$F$80),MATCH($B262,PERSONAL!$A$2:$A$80,0)))))</f>
        <v/>
      </c>
      <c r="N262" s="53">
        <f t="array" ref="N262">IFERROR(INDEX(EXCEPCIONES_FECHA!$E$2:$E$201,MATCH(1,(EXCEPCIONES_FECHA!$A$2:$A$201=$A262)*(EXCEPCIONES_FECHA!$B$2:$B$201=$B262),0)),IFERROR(INDEX(EXCEPCIONES_FECHA!$E$2:$E$201,MATCH(1,(EXCEPCIONES_FECHA!$A$2:$A$201=$A262)*(EXCEPCIONES_FECHA!$B$2:$B$201=""),0)),IFERROR(INDEX(IF($I262="FIN",HISTORIAL_HORARIOS!$K$2:$K$201,HISTORIAL_HORARIOS!$G$2:$G$201),MATCH(1,(HISTORIAL_HORARIOS!$A$2:$A$201=$B262)*(HISTORIAL_HORARIOS!$C$2:$C$201&lt;=$A262)*(HISTORIAL_HORARIOS!$D$2:$D$201&gt;=$A262),0)),INDEX(IF($I262="FIN",PERSONAL!$K$2:$K$80,PERSONAL!$G$2:$G$80),MATCH($B262,PERSONAL!$A$2:$A$80,0)))))</f>
        <v/>
      </c>
      <c r="O262" s="53">
        <f t="array" ref="O262">IFERROR(INDEX(EXCEPCIONES_FECHA!$F$2:$F$201,MATCH(1,(EXCEPCIONES_FECHA!$A$2:$A$201=$A262)*(EXCEPCIONES_FECHA!$B$2:$B$201=$B262),0)),IFERROR(INDEX(EXCEPCIONES_FECHA!$F$2:$F$201,MATCH(1,(EXCEPCIONES_FECHA!$A$2:$A$201=$A262)*(EXCEPCIONES_FECHA!$B$2:$B$201=""),0)),IFERROR(INDEX(IF($I262="FIN",HISTORIAL_HORARIOS!$L$2:$L$201,HISTORIAL_HORARIOS!$H$2:$H$201),MATCH(1,(HISTORIAL_HORARIOS!$A$2:$A$201=$B262)*(HISTORIAL_HORARIOS!$C$2:$C$201&lt;=$A262)*(HISTORIAL_HORARIOS!$D$2:$D$201&gt;=$A262),0)),INDEX(IF($I262="FIN",PERSONAL!$L$2:$L$80,PERSONAL!$H$2:$H$80),MATCH($B262,PERSONAL!$A$2:$A$80,0)))))</f>
        <v/>
      </c>
    </row>
    <row r="263" ht="15" customHeight="1" s="58">
      <c r="A263" s="37" t="n"/>
      <c r="B263" s="38" t="n"/>
      <c r="C263" s="39" t="n"/>
      <c r="D263" s="39" t="n"/>
      <c r="E263" s="34">
        <f t="array" ref="E263">IF($B263="","",IFERROR(INDEX(PERSONAL!$B$2:$B$80,MATCH($B263,PERSONAL!$A$2:$A$80,0)),"NO EXISTE"))</f>
        <v/>
      </c>
      <c r="F263" s="52">
        <f t="array" ref="F263">IF($B263="","",IFERROR(INDEX(PERSONAL!$C$2:$C$80,MATCH($B263,PERSONAL!$A$2:$A$80,0)),""))</f>
        <v/>
      </c>
      <c r="G263" s="52">
        <f>IF($A263="","",CHOOSE(WEEKDAY($A263,2),"LUNES","MARTES","MIÉRCOLES","JUEVES","VIERNES","SÁBADO","DOMINGO"))</f>
        <v/>
      </c>
      <c r="H263" s="34">
        <f>IF($A263="","",CHOOSE(MONTH($A263),"ENERO","FEBRERO","MARZO","ABRIL","MAYO","JUNIO","JULIO","AGOSTO","SEPTIEMBRE","OCTUBRE","NOVIEMBRE","DICIEMBRE"))</f>
        <v/>
      </c>
      <c r="I263" s="34">
        <f>IF($A263="","",IF(OR($G263="SÁBADO",$G263="DOMINGO"),"FIN","LV"))</f>
        <v/>
      </c>
      <c r="J263" s="34">
        <f>IF(OR($A263="",$B263=""),"",IF($L263&lt;&gt;"",UPPER($L263),IF($C263="","FALTA",IFERROR(IF($C263&gt;=$O263,"ROJO FUERTE",IF($C263&gt;=$N263,"ROJO",IF($C263&gt;=$M263,"AMARILLO","VERDE"))),"REVISAR"))))</f>
        <v/>
      </c>
      <c r="K263" s="36">
        <f>IF(OR($C263="",$D263=""),"",IF($D263&gt;=$C263,($D263-$C263)*24,(1-$C263+$D263)*24))</f>
        <v/>
      </c>
      <c r="L263" s="34" t="n"/>
      <c r="M263" s="53">
        <f t="array" ref="M263">IFERROR(INDEX(EXCEPCIONES_FECHA!$D$2:$D$201,MATCH(1,(EXCEPCIONES_FECHA!$A$2:$A$201=$A263)*(EXCEPCIONES_FECHA!$B$2:$B$201=$B263),0)),IFERROR(INDEX(EXCEPCIONES_FECHA!$D$2:$D$201,MATCH(1,(EXCEPCIONES_FECHA!$A$2:$A$201=$A263)*(EXCEPCIONES_FECHA!$B$2:$B$201=""),0)),IFERROR(INDEX(IF($I263="FIN",HISTORIAL_HORARIOS!$J$2:$J$201,HISTORIAL_HORARIOS!$F$2:$F$201),MATCH(1,(HISTORIAL_HORARIOS!$A$2:$A$201=$B263)*(HISTORIAL_HORARIOS!$C$2:$C$201&lt;=$A263)*(HISTORIAL_HORARIOS!$D$2:$D$201&gt;=$A263),0)),INDEX(IF($I263="FIN",PERSONAL!$J$2:$J$80,PERSONAL!$F$2:$F$80),MATCH($B263,PERSONAL!$A$2:$A$80,0)))))</f>
        <v/>
      </c>
      <c r="N263" s="53">
        <f t="array" ref="N263">IFERROR(INDEX(EXCEPCIONES_FECHA!$E$2:$E$201,MATCH(1,(EXCEPCIONES_FECHA!$A$2:$A$201=$A263)*(EXCEPCIONES_FECHA!$B$2:$B$201=$B263),0)),IFERROR(INDEX(EXCEPCIONES_FECHA!$E$2:$E$201,MATCH(1,(EXCEPCIONES_FECHA!$A$2:$A$201=$A263)*(EXCEPCIONES_FECHA!$B$2:$B$201=""),0)),IFERROR(INDEX(IF($I263="FIN",HISTORIAL_HORARIOS!$K$2:$K$201,HISTORIAL_HORARIOS!$G$2:$G$201),MATCH(1,(HISTORIAL_HORARIOS!$A$2:$A$201=$B263)*(HISTORIAL_HORARIOS!$C$2:$C$201&lt;=$A263)*(HISTORIAL_HORARIOS!$D$2:$D$201&gt;=$A263),0)),INDEX(IF($I263="FIN",PERSONAL!$K$2:$K$80,PERSONAL!$G$2:$G$80),MATCH($B263,PERSONAL!$A$2:$A$80,0)))))</f>
        <v/>
      </c>
      <c r="O263" s="53">
        <f t="array" ref="O263">IFERROR(INDEX(EXCEPCIONES_FECHA!$F$2:$F$201,MATCH(1,(EXCEPCIONES_FECHA!$A$2:$A$201=$A263)*(EXCEPCIONES_FECHA!$B$2:$B$201=$B263),0)),IFERROR(INDEX(EXCEPCIONES_FECHA!$F$2:$F$201,MATCH(1,(EXCEPCIONES_FECHA!$A$2:$A$201=$A263)*(EXCEPCIONES_FECHA!$B$2:$B$201=""),0)),IFERROR(INDEX(IF($I263="FIN",HISTORIAL_HORARIOS!$L$2:$L$201,HISTORIAL_HORARIOS!$H$2:$H$201),MATCH(1,(HISTORIAL_HORARIOS!$A$2:$A$201=$B263)*(HISTORIAL_HORARIOS!$C$2:$C$201&lt;=$A263)*(HISTORIAL_HORARIOS!$D$2:$D$201&gt;=$A263),0)),INDEX(IF($I263="FIN",PERSONAL!$L$2:$L$80,PERSONAL!$H$2:$H$80),MATCH($B263,PERSONAL!$A$2:$A$80,0)))))</f>
        <v/>
      </c>
    </row>
    <row r="264" ht="15" customHeight="1" s="58">
      <c r="A264" s="37" t="n"/>
      <c r="B264" s="38" t="n"/>
      <c r="C264" s="39" t="n"/>
      <c r="D264" s="39" t="n"/>
      <c r="E264" s="34">
        <f t="array" ref="E264">IF($B264="","",IFERROR(INDEX(PERSONAL!$B$2:$B$80,MATCH($B264,PERSONAL!$A$2:$A$80,0)),"NO EXISTE"))</f>
        <v/>
      </c>
      <c r="F264" s="52">
        <f t="array" ref="F264">IF($B264="","",IFERROR(INDEX(PERSONAL!$C$2:$C$80,MATCH($B264,PERSONAL!$A$2:$A$80,0)),""))</f>
        <v/>
      </c>
      <c r="G264" s="52">
        <f>IF($A264="","",CHOOSE(WEEKDAY($A264,2),"LUNES","MARTES","MIÉRCOLES","JUEVES","VIERNES","SÁBADO","DOMINGO"))</f>
        <v/>
      </c>
      <c r="H264" s="34">
        <f>IF($A264="","",CHOOSE(MONTH($A264),"ENERO","FEBRERO","MARZO","ABRIL","MAYO","JUNIO","JULIO","AGOSTO","SEPTIEMBRE","OCTUBRE","NOVIEMBRE","DICIEMBRE"))</f>
        <v/>
      </c>
      <c r="I264" s="34">
        <f>IF($A264="","",IF(OR($G264="SÁBADO",$G264="DOMINGO"),"FIN","LV"))</f>
        <v/>
      </c>
      <c r="J264" s="34">
        <f>IF(OR($A264="",$B264=""),"",IF($L264&lt;&gt;"",UPPER($L264),IF($C264="","FALTA",IFERROR(IF($C264&gt;=$O264,"ROJO FUERTE",IF($C264&gt;=$N264,"ROJO",IF($C264&gt;=$M264,"AMARILLO","VERDE"))),"REVISAR"))))</f>
        <v/>
      </c>
      <c r="K264" s="36">
        <f>IF(OR($C264="",$D264=""),"",IF($D264&gt;=$C264,($D264-$C264)*24,(1-$C264+$D264)*24))</f>
        <v/>
      </c>
      <c r="L264" s="34" t="n"/>
      <c r="M264" s="53">
        <f t="array" ref="M264">IFERROR(INDEX(EXCEPCIONES_FECHA!$D$2:$D$201,MATCH(1,(EXCEPCIONES_FECHA!$A$2:$A$201=$A264)*(EXCEPCIONES_FECHA!$B$2:$B$201=$B264),0)),IFERROR(INDEX(EXCEPCIONES_FECHA!$D$2:$D$201,MATCH(1,(EXCEPCIONES_FECHA!$A$2:$A$201=$A264)*(EXCEPCIONES_FECHA!$B$2:$B$201=""),0)),IFERROR(INDEX(IF($I264="FIN",HISTORIAL_HORARIOS!$J$2:$J$201,HISTORIAL_HORARIOS!$F$2:$F$201),MATCH(1,(HISTORIAL_HORARIOS!$A$2:$A$201=$B264)*(HISTORIAL_HORARIOS!$C$2:$C$201&lt;=$A264)*(HISTORIAL_HORARIOS!$D$2:$D$201&gt;=$A264),0)),INDEX(IF($I264="FIN",PERSONAL!$J$2:$J$80,PERSONAL!$F$2:$F$80),MATCH($B264,PERSONAL!$A$2:$A$80,0)))))</f>
        <v/>
      </c>
      <c r="N264" s="53">
        <f t="array" ref="N264">IFERROR(INDEX(EXCEPCIONES_FECHA!$E$2:$E$201,MATCH(1,(EXCEPCIONES_FECHA!$A$2:$A$201=$A264)*(EXCEPCIONES_FECHA!$B$2:$B$201=$B264),0)),IFERROR(INDEX(EXCEPCIONES_FECHA!$E$2:$E$201,MATCH(1,(EXCEPCIONES_FECHA!$A$2:$A$201=$A264)*(EXCEPCIONES_FECHA!$B$2:$B$201=""),0)),IFERROR(INDEX(IF($I264="FIN",HISTORIAL_HORARIOS!$K$2:$K$201,HISTORIAL_HORARIOS!$G$2:$G$201),MATCH(1,(HISTORIAL_HORARIOS!$A$2:$A$201=$B264)*(HISTORIAL_HORARIOS!$C$2:$C$201&lt;=$A264)*(HISTORIAL_HORARIOS!$D$2:$D$201&gt;=$A264),0)),INDEX(IF($I264="FIN",PERSONAL!$K$2:$K$80,PERSONAL!$G$2:$G$80),MATCH($B264,PERSONAL!$A$2:$A$80,0)))))</f>
        <v/>
      </c>
      <c r="O264" s="53">
        <f t="array" ref="O264">IFERROR(INDEX(EXCEPCIONES_FECHA!$F$2:$F$201,MATCH(1,(EXCEPCIONES_FECHA!$A$2:$A$201=$A264)*(EXCEPCIONES_FECHA!$B$2:$B$201=$B264),0)),IFERROR(INDEX(EXCEPCIONES_FECHA!$F$2:$F$201,MATCH(1,(EXCEPCIONES_FECHA!$A$2:$A$201=$A264)*(EXCEPCIONES_FECHA!$B$2:$B$201=""),0)),IFERROR(INDEX(IF($I264="FIN",HISTORIAL_HORARIOS!$L$2:$L$201,HISTORIAL_HORARIOS!$H$2:$H$201),MATCH(1,(HISTORIAL_HORARIOS!$A$2:$A$201=$B264)*(HISTORIAL_HORARIOS!$C$2:$C$201&lt;=$A264)*(HISTORIAL_HORARIOS!$D$2:$D$201&gt;=$A264),0)),INDEX(IF($I264="FIN",PERSONAL!$L$2:$L$80,PERSONAL!$H$2:$H$80),MATCH($B264,PERSONAL!$A$2:$A$80,0)))))</f>
        <v/>
      </c>
    </row>
    <row r="265" ht="15" customHeight="1" s="58">
      <c r="A265" s="37" t="n"/>
      <c r="B265" s="38" t="n"/>
      <c r="C265" s="39" t="n"/>
      <c r="D265" s="39" t="n"/>
      <c r="E265" s="34">
        <f t="array" ref="E265">IF($B265="","",IFERROR(INDEX(PERSONAL!$B$2:$B$80,MATCH($B265,PERSONAL!$A$2:$A$80,0)),"NO EXISTE"))</f>
        <v/>
      </c>
      <c r="F265" s="52">
        <f t="array" ref="F265">IF($B265="","",IFERROR(INDEX(PERSONAL!$C$2:$C$80,MATCH($B265,PERSONAL!$A$2:$A$80,0)),""))</f>
        <v/>
      </c>
      <c r="G265" s="52">
        <f>IF($A265="","",CHOOSE(WEEKDAY($A265,2),"LUNES","MARTES","MIÉRCOLES","JUEVES","VIERNES","SÁBADO","DOMINGO"))</f>
        <v/>
      </c>
      <c r="H265" s="34">
        <f>IF($A265="","",CHOOSE(MONTH($A265),"ENERO","FEBRERO","MARZO","ABRIL","MAYO","JUNIO","JULIO","AGOSTO","SEPTIEMBRE","OCTUBRE","NOVIEMBRE","DICIEMBRE"))</f>
        <v/>
      </c>
      <c r="I265" s="34">
        <f>IF($A265="","",IF(OR($G265="SÁBADO",$G265="DOMINGO"),"FIN","LV"))</f>
        <v/>
      </c>
      <c r="J265" s="34">
        <f>IF(OR($A265="",$B265=""),"",IF($L265&lt;&gt;"",UPPER($L265),IF($C265="","FALTA",IFERROR(IF($C265&gt;=$O265,"ROJO FUERTE",IF($C265&gt;=$N265,"ROJO",IF($C265&gt;=$M265,"AMARILLO","VERDE"))),"REVISAR"))))</f>
        <v/>
      </c>
      <c r="K265" s="36">
        <f>IF(OR($C265="",$D265=""),"",IF($D265&gt;=$C265,($D265-$C265)*24,(1-$C265+$D265)*24))</f>
        <v/>
      </c>
      <c r="L265" s="34" t="n"/>
      <c r="M265" s="53">
        <f t="array" ref="M265">IFERROR(INDEX(EXCEPCIONES_FECHA!$D$2:$D$201,MATCH(1,(EXCEPCIONES_FECHA!$A$2:$A$201=$A265)*(EXCEPCIONES_FECHA!$B$2:$B$201=$B265),0)),IFERROR(INDEX(EXCEPCIONES_FECHA!$D$2:$D$201,MATCH(1,(EXCEPCIONES_FECHA!$A$2:$A$201=$A265)*(EXCEPCIONES_FECHA!$B$2:$B$201=""),0)),IFERROR(INDEX(IF($I265="FIN",HISTORIAL_HORARIOS!$J$2:$J$201,HISTORIAL_HORARIOS!$F$2:$F$201),MATCH(1,(HISTORIAL_HORARIOS!$A$2:$A$201=$B265)*(HISTORIAL_HORARIOS!$C$2:$C$201&lt;=$A265)*(HISTORIAL_HORARIOS!$D$2:$D$201&gt;=$A265),0)),INDEX(IF($I265="FIN",PERSONAL!$J$2:$J$80,PERSONAL!$F$2:$F$80),MATCH($B265,PERSONAL!$A$2:$A$80,0)))))</f>
        <v/>
      </c>
      <c r="N265" s="53">
        <f t="array" ref="N265">IFERROR(INDEX(EXCEPCIONES_FECHA!$E$2:$E$201,MATCH(1,(EXCEPCIONES_FECHA!$A$2:$A$201=$A265)*(EXCEPCIONES_FECHA!$B$2:$B$201=$B265),0)),IFERROR(INDEX(EXCEPCIONES_FECHA!$E$2:$E$201,MATCH(1,(EXCEPCIONES_FECHA!$A$2:$A$201=$A265)*(EXCEPCIONES_FECHA!$B$2:$B$201=""),0)),IFERROR(INDEX(IF($I265="FIN",HISTORIAL_HORARIOS!$K$2:$K$201,HISTORIAL_HORARIOS!$G$2:$G$201),MATCH(1,(HISTORIAL_HORARIOS!$A$2:$A$201=$B265)*(HISTORIAL_HORARIOS!$C$2:$C$201&lt;=$A265)*(HISTORIAL_HORARIOS!$D$2:$D$201&gt;=$A265),0)),INDEX(IF($I265="FIN",PERSONAL!$K$2:$K$80,PERSONAL!$G$2:$G$80),MATCH($B265,PERSONAL!$A$2:$A$80,0)))))</f>
        <v/>
      </c>
      <c r="O265" s="53">
        <f t="array" ref="O265">IFERROR(INDEX(EXCEPCIONES_FECHA!$F$2:$F$201,MATCH(1,(EXCEPCIONES_FECHA!$A$2:$A$201=$A265)*(EXCEPCIONES_FECHA!$B$2:$B$201=$B265),0)),IFERROR(INDEX(EXCEPCIONES_FECHA!$F$2:$F$201,MATCH(1,(EXCEPCIONES_FECHA!$A$2:$A$201=$A265)*(EXCEPCIONES_FECHA!$B$2:$B$201=""),0)),IFERROR(INDEX(IF($I265="FIN",HISTORIAL_HORARIOS!$L$2:$L$201,HISTORIAL_HORARIOS!$H$2:$H$201),MATCH(1,(HISTORIAL_HORARIOS!$A$2:$A$201=$B265)*(HISTORIAL_HORARIOS!$C$2:$C$201&lt;=$A265)*(HISTORIAL_HORARIOS!$D$2:$D$201&gt;=$A265),0)),INDEX(IF($I265="FIN",PERSONAL!$L$2:$L$80,PERSONAL!$H$2:$H$80),MATCH($B265,PERSONAL!$A$2:$A$80,0)))))</f>
        <v/>
      </c>
    </row>
    <row r="266" ht="15" customHeight="1" s="58">
      <c r="A266" s="37" t="n"/>
      <c r="B266" s="38" t="n"/>
      <c r="C266" s="39" t="n"/>
      <c r="D266" s="39" t="n"/>
      <c r="E266" s="34">
        <f t="array" ref="E266">IF($B266="","",IFERROR(INDEX(PERSONAL!$B$2:$B$80,MATCH($B266,PERSONAL!$A$2:$A$80,0)),"NO EXISTE"))</f>
        <v/>
      </c>
      <c r="F266" s="52">
        <f t="array" ref="F266">IF($B266="","",IFERROR(INDEX(PERSONAL!$C$2:$C$80,MATCH($B266,PERSONAL!$A$2:$A$80,0)),""))</f>
        <v/>
      </c>
      <c r="G266" s="52">
        <f>IF($A266="","",CHOOSE(WEEKDAY($A266,2),"LUNES","MARTES","MIÉRCOLES","JUEVES","VIERNES","SÁBADO","DOMINGO"))</f>
        <v/>
      </c>
      <c r="H266" s="34">
        <f>IF($A266="","",CHOOSE(MONTH($A266),"ENERO","FEBRERO","MARZO","ABRIL","MAYO","JUNIO","JULIO","AGOSTO","SEPTIEMBRE","OCTUBRE","NOVIEMBRE","DICIEMBRE"))</f>
        <v/>
      </c>
      <c r="I266" s="34">
        <f>IF($A266="","",IF(OR($G266="SÁBADO",$G266="DOMINGO"),"FIN","LV"))</f>
        <v/>
      </c>
      <c r="J266" s="34">
        <f>IF(OR($A266="",$B266=""),"",IF($L266&lt;&gt;"",UPPER($L266),IF($C266="","FALTA",IFERROR(IF($C266&gt;=$O266,"ROJO FUERTE",IF($C266&gt;=$N266,"ROJO",IF($C266&gt;=$M266,"AMARILLO","VERDE"))),"REVISAR"))))</f>
        <v/>
      </c>
      <c r="K266" s="36">
        <f>IF(OR($C266="",$D266=""),"",IF($D266&gt;=$C266,($D266-$C266)*24,(1-$C266+$D266)*24))</f>
        <v/>
      </c>
      <c r="L266" s="34" t="n"/>
      <c r="M266" s="53">
        <f t="array" ref="M266">IFERROR(INDEX(EXCEPCIONES_FECHA!$D$2:$D$201,MATCH(1,(EXCEPCIONES_FECHA!$A$2:$A$201=$A266)*(EXCEPCIONES_FECHA!$B$2:$B$201=$B266),0)),IFERROR(INDEX(EXCEPCIONES_FECHA!$D$2:$D$201,MATCH(1,(EXCEPCIONES_FECHA!$A$2:$A$201=$A266)*(EXCEPCIONES_FECHA!$B$2:$B$201=""),0)),IFERROR(INDEX(IF($I266="FIN",HISTORIAL_HORARIOS!$J$2:$J$201,HISTORIAL_HORARIOS!$F$2:$F$201),MATCH(1,(HISTORIAL_HORARIOS!$A$2:$A$201=$B266)*(HISTORIAL_HORARIOS!$C$2:$C$201&lt;=$A266)*(HISTORIAL_HORARIOS!$D$2:$D$201&gt;=$A266),0)),INDEX(IF($I266="FIN",PERSONAL!$J$2:$J$80,PERSONAL!$F$2:$F$80),MATCH($B266,PERSONAL!$A$2:$A$80,0)))))</f>
        <v/>
      </c>
      <c r="N266" s="53">
        <f t="array" ref="N266">IFERROR(INDEX(EXCEPCIONES_FECHA!$E$2:$E$201,MATCH(1,(EXCEPCIONES_FECHA!$A$2:$A$201=$A266)*(EXCEPCIONES_FECHA!$B$2:$B$201=$B266),0)),IFERROR(INDEX(EXCEPCIONES_FECHA!$E$2:$E$201,MATCH(1,(EXCEPCIONES_FECHA!$A$2:$A$201=$A266)*(EXCEPCIONES_FECHA!$B$2:$B$201=""),0)),IFERROR(INDEX(IF($I266="FIN",HISTORIAL_HORARIOS!$K$2:$K$201,HISTORIAL_HORARIOS!$G$2:$G$201),MATCH(1,(HISTORIAL_HORARIOS!$A$2:$A$201=$B266)*(HISTORIAL_HORARIOS!$C$2:$C$201&lt;=$A266)*(HISTORIAL_HORARIOS!$D$2:$D$201&gt;=$A266),0)),INDEX(IF($I266="FIN",PERSONAL!$K$2:$K$80,PERSONAL!$G$2:$G$80),MATCH($B266,PERSONAL!$A$2:$A$80,0)))))</f>
        <v/>
      </c>
      <c r="O266" s="53">
        <f t="array" ref="O266">IFERROR(INDEX(EXCEPCIONES_FECHA!$F$2:$F$201,MATCH(1,(EXCEPCIONES_FECHA!$A$2:$A$201=$A266)*(EXCEPCIONES_FECHA!$B$2:$B$201=$B266),0)),IFERROR(INDEX(EXCEPCIONES_FECHA!$F$2:$F$201,MATCH(1,(EXCEPCIONES_FECHA!$A$2:$A$201=$A266)*(EXCEPCIONES_FECHA!$B$2:$B$201=""),0)),IFERROR(INDEX(IF($I266="FIN",HISTORIAL_HORARIOS!$L$2:$L$201,HISTORIAL_HORARIOS!$H$2:$H$201),MATCH(1,(HISTORIAL_HORARIOS!$A$2:$A$201=$B266)*(HISTORIAL_HORARIOS!$C$2:$C$201&lt;=$A266)*(HISTORIAL_HORARIOS!$D$2:$D$201&gt;=$A266),0)),INDEX(IF($I266="FIN",PERSONAL!$L$2:$L$80,PERSONAL!$H$2:$H$80),MATCH($B266,PERSONAL!$A$2:$A$80,0)))))</f>
        <v/>
      </c>
    </row>
    <row r="267" ht="15" customHeight="1" s="58">
      <c r="A267" s="37" t="n"/>
      <c r="B267" s="38" t="n"/>
      <c r="C267" s="39" t="n"/>
      <c r="D267" s="39" t="n"/>
      <c r="E267" s="34">
        <f t="array" ref="E267">IF($B267="","",IFERROR(INDEX(PERSONAL!$B$2:$B$80,MATCH($B267,PERSONAL!$A$2:$A$80,0)),"NO EXISTE"))</f>
        <v/>
      </c>
      <c r="F267" s="52">
        <f t="array" ref="F267">IF($B267="","",IFERROR(INDEX(PERSONAL!$C$2:$C$80,MATCH($B267,PERSONAL!$A$2:$A$80,0)),""))</f>
        <v/>
      </c>
      <c r="G267" s="52">
        <f>IF($A267="","",CHOOSE(WEEKDAY($A267,2),"LUNES","MARTES","MIÉRCOLES","JUEVES","VIERNES","SÁBADO","DOMINGO"))</f>
        <v/>
      </c>
      <c r="H267" s="34">
        <f>IF($A267="","",CHOOSE(MONTH($A267),"ENERO","FEBRERO","MARZO","ABRIL","MAYO","JUNIO","JULIO","AGOSTO","SEPTIEMBRE","OCTUBRE","NOVIEMBRE","DICIEMBRE"))</f>
        <v/>
      </c>
      <c r="I267" s="34">
        <f>IF($A267="","",IF(OR($G267="SÁBADO",$G267="DOMINGO"),"FIN","LV"))</f>
        <v/>
      </c>
      <c r="J267" s="34">
        <f>IF(OR($A267="",$B267=""),"",IF($L267&lt;&gt;"",UPPER($L267),IF($C267="","FALTA",IFERROR(IF($C267&gt;=$O267,"ROJO FUERTE",IF($C267&gt;=$N267,"ROJO",IF($C267&gt;=$M267,"AMARILLO","VERDE"))),"REVISAR"))))</f>
        <v/>
      </c>
      <c r="K267" s="36">
        <f>IF(OR($C267="",$D267=""),"",IF($D267&gt;=$C267,($D267-$C267)*24,(1-$C267+$D267)*24))</f>
        <v/>
      </c>
      <c r="L267" s="34" t="n"/>
      <c r="M267" s="53">
        <f t="array" ref="M267">IFERROR(INDEX(EXCEPCIONES_FECHA!$D$2:$D$201,MATCH(1,(EXCEPCIONES_FECHA!$A$2:$A$201=$A267)*(EXCEPCIONES_FECHA!$B$2:$B$201=$B267),0)),IFERROR(INDEX(EXCEPCIONES_FECHA!$D$2:$D$201,MATCH(1,(EXCEPCIONES_FECHA!$A$2:$A$201=$A267)*(EXCEPCIONES_FECHA!$B$2:$B$201=""),0)),IFERROR(INDEX(IF($I267="FIN",HISTORIAL_HORARIOS!$J$2:$J$201,HISTORIAL_HORARIOS!$F$2:$F$201),MATCH(1,(HISTORIAL_HORARIOS!$A$2:$A$201=$B267)*(HISTORIAL_HORARIOS!$C$2:$C$201&lt;=$A267)*(HISTORIAL_HORARIOS!$D$2:$D$201&gt;=$A267),0)),INDEX(IF($I267="FIN",PERSONAL!$J$2:$J$80,PERSONAL!$F$2:$F$80),MATCH($B267,PERSONAL!$A$2:$A$80,0)))))</f>
        <v/>
      </c>
      <c r="N267" s="53">
        <f t="array" ref="N267">IFERROR(INDEX(EXCEPCIONES_FECHA!$E$2:$E$201,MATCH(1,(EXCEPCIONES_FECHA!$A$2:$A$201=$A267)*(EXCEPCIONES_FECHA!$B$2:$B$201=$B267),0)),IFERROR(INDEX(EXCEPCIONES_FECHA!$E$2:$E$201,MATCH(1,(EXCEPCIONES_FECHA!$A$2:$A$201=$A267)*(EXCEPCIONES_FECHA!$B$2:$B$201=""),0)),IFERROR(INDEX(IF($I267="FIN",HISTORIAL_HORARIOS!$K$2:$K$201,HISTORIAL_HORARIOS!$G$2:$G$201),MATCH(1,(HISTORIAL_HORARIOS!$A$2:$A$201=$B267)*(HISTORIAL_HORARIOS!$C$2:$C$201&lt;=$A267)*(HISTORIAL_HORARIOS!$D$2:$D$201&gt;=$A267),0)),INDEX(IF($I267="FIN",PERSONAL!$K$2:$K$80,PERSONAL!$G$2:$G$80),MATCH($B267,PERSONAL!$A$2:$A$80,0)))))</f>
        <v/>
      </c>
      <c r="O267" s="53">
        <f t="array" ref="O267">IFERROR(INDEX(EXCEPCIONES_FECHA!$F$2:$F$201,MATCH(1,(EXCEPCIONES_FECHA!$A$2:$A$201=$A267)*(EXCEPCIONES_FECHA!$B$2:$B$201=$B267),0)),IFERROR(INDEX(EXCEPCIONES_FECHA!$F$2:$F$201,MATCH(1,(EXCEPCIONES_FECHA!$A$2:$A$201=$A267)*(EXCEPCIONES_FECHA!$B$2:$B$201=""),0)),IFERROR(INDEX(IF($I267="FIN",HISTORIAL_HORARIOS!$L$2:$L$201,HISTORIAL_HORARIOS!$H$2:$H$201),MATCH(1,(HISTORIAL_HORARIOS!$A$2:$A$201=$B267)*(HISTORIAL_HORARIOS!$C$2:$C$201&lt;=$A267)*(HISTORIAL_HORARIOS!$D$2:$D$201&gt;=$A267),0)),INDEX(IF($I267="FIN",PERSONAL!$L$2:$L$80,PERSONAL!$H$2:$H$80),MATCH($B267,PERSONAL!$A$2:$A$80,0)))))</f>
        <v/>
      </c>
    </row>
    <row r="268" ht="15" customHeight="1" s="58">
      <c r="A268" s="37" t="n"/>
      <c r="B268" s="38" t="n"/>
      <c r="C268" s="39" t="n"/>
      <c r="D268" s="39" t="n"/>
      <c r="E268" s="34">
        <f t="array" ref="E268">IF($B268="","",IFERROR(INDEX(PERSONAL!$B$2:$B$80,MATCH($B268,PERSONAL!$A$2:$A$80,0)),"NO EXISTE"))</f>
        <v/>
      </c>
      <c r="F268" s="52">
        <f t="array" ref="F268">IF($B268="","",IFERROR(INDEX(PERSONAL!$C$2:$C$80,MATCH($B268,PERSONAL!$A$2:$A$80,0)),""))</f>
        <v/>
      </c>
      <c r="G268" s="52">
        <f>IF($A268="","",CHOOSE(WEEKDAY($A268,2),"LUNES","MARTES","MIÉRCOLES","JUEVES","VIERNES","SÁBADO","DOMINGO"))</f>
        <v/>
      </c>
      <c r="H268" s="34">
        <f>IF($A268="","",CHOOSE(MONTH($A268),"ENERO","FEBRERO","MARZO","ABRIL","MAYO","JUNIO","JULIO","AGOSTO","SEPTIEMBRE","OCTUBRE","NOVIEMBRE","DICIEMBRE"))</f>
        <v/>
      </c>
      <c r="I268" s="34">
        <f>IF($A268="","",IF(OR($G268="SÁBADO",$G268="DOMINGO"),"FIN","LV"))</f>
        <v/>
      </c>
      <c r="J268" s="34">
        <f>IF(OR($A268="",$B268=""),"",IF($L268&lt;&gt;"",UPPER($L268),IF($C268="","FALTA",IFERROR(IF($C268&gt;=$O268,"ROJO FUERTE",IF($C268&gt;=$N268,"ROJO",IF($C268&gt;=$M268,"AMARILLO","VERDE"))),"REVISAR"))))</f>
        <v/>
      </c>
      <c r="K268" s="36">
        <f>IF(OR($C268="",$D268=""),"",IF($D268&gt;=$C268,($D268-$C268)*24,(1-$C268+$D268)*24))</f>
        <v/>
      </c>
      <c r="L268" s="34" t="n"/>
      <c r="M268" s="53">
        <f t="array" ref="M268">IFERROR(INDEX(EXCEPCIONES_FECHA!$D$2:$D$201,MATCH(1,(EXCEPCIONES_FECHA!$A$2:$A$201=$A268)*(EXCEPCIONES_FECHA!$B$2:$B$201=$B268),0)),IFERROR(INDEX(EXCEPCIONES_FECHA!$D$2:$D$201,MATCH(1,(EXCEPCIONES_FECHA!$A$2:$A$201=$A268)*(EXCEPCIONES_FECHA!$B$2:$B$201=""),0)),IFERROR(INDEX(IF($I268="FIN",HISTORIAL_HORARIOS!$J$2:$J$201,HISTORIAL_HORARIOS!$F$2:$F$201),MATCH(1,(HISTORIAL_HORARIOS!$A$2:$A$201=$B268)*(HISTORIAL_HORARIOS!$C$2:$C$201&lt;=$A268)*(HISTORIAL_HORARIOS!$D$2:$D$201&gt;=$A268),0)),INDEX(IF($I268="FIN",PERSONAL!$J$2:$J$80,PERSONAL!$F$2:$F$80),MATCH($B268,PERSONAL!$A$2:$A$80,0)))))</f>
        <v/>
      </c>
      <c r="N268" s="53">
        <f t="array" ref="N268">IFERROR(INDEX(EXCEPCIONES_FECHA!$E$2:$E$201,MATCH(1,(EXCEPCIONES_FECHA!$A$2:$A$201=$A268)*(EXCEPCIONES_FECHA!$B$2:$B$201=$B268),0)),IFERROR(INDEX(EXCEPCIONES_FECHA!$E$2:$E$201,MATCH(1,(EXCEPCIONES_FECHA!$A$2:$A$201=$A268)*(EXCEPCIONES_FECHA!$B$2:$B$201=""),0)),IFERROR(INDEX(IF($I268="FIN",HISTORIAL_HORARIOS!$K$2:$K$201,HISTORIAL_HORARIOS!$G$2:$G$201),MATCH(1,(HISTORIAL_HORARIOS!$A$2:$A$201=$B268)*(HISTORIAL_HORARIOS!$C$2:$C$201&lt;=$A268)*(HISTORIAL_HORARIOS!$D$2:$D$201&gt;=$A268),0)),INDEX(IF($I268="FIN",PERSONAL!$K$2:$K$80,PERSONAL!$G$2:$G$80),MATCH($B268,PERSONAL!$A$2:$A$80,0)))))</f>
        <v/>
      </c>
      <c r="O268" s="53">
        <f t="array" ref="O268">IFERROR(INDEX(EXCEPCIONES_FECHA!$F$2:$F$201,MATCH(1,(EXCEPCIONES_FECHA!$A$2:$A$201=$A268)*(EXCEPCIONES_FECHA!$B$2:$B$201=$B268),0)),IFERROR(INDEX(EXCEPCIONES_FECHA!$F$2:$F$201,MATCH(1,(EXCEPCIONES_FECHA!$A$2:$A$201=$A268)*(EXCEPCIONES_FECHA!$B$2:$B$201=""),0)),IFERROR(INDEX(IF($I268="FIN",HISTORIAL_HORARIOS!$L$2:$L$201,HISTORIAL_HORARIOS!$H$2:$H$201),MATCH(1,(HISTORIAL_HORARIOS!$A$2:$A$201=$B268)*(HISTORIAL_HORARIOS!$C$2:$C$201&lt;=$A268)*(HISTORIAL_HORARIOS!$D$2:$D$201&gt;=$A268),0)),INDEX(IF($I268="FIN",PERSONAL!$L$2:$L$80,PERSONAL!$H$2:$H$80),MATCH($B268,PERSONAL!$A$2:$A$80,0)))))</f>
        <v/>
      </c>
    </row>
    <row r="269" ht="15" customHeight="1" s="58">
      <c r="A269" s="37" t="n"/>
      <c r="B269" s="38" t="n"/>
      <c r="C269" s="39" t="n"/>
      <c r="D269" s="39" t="n"/>
      <c r="E269" s="34">
        <f t="array" ref="E269">IF($B269="","",IFERROR(INDEX(PERSONAL!$B$2:$B$80,MATCH($B269,PERSONAL!$A$2:$A$80,0)),"NO EXISTE"))</f>
        <v/>
      </c>
      <c r="F269" s="52">
        <f t="array" ref="F269">IF($B269="","",IFERROR(INDEX(PERSONAL!$C$2:$C$80,MATCH($B269,PERSONAL!$A$2:$A$80,0)),""))</f>
        <v/>
      </c>
      <c r="G269" s="52">
        <f>IF($A269="","",CHOOSE(WEEKDAY($A269,2),"LUNES","MARTES","MIÉRCOLES","JUEVES","VIERNES","SÁBADO","DOMINGO"))</f>
        <v/>
      </c>
      <c r="H269" s="34">
        <f>IF($A269="","",CHOOSE(MONTH($A269),"ENERO","FEBRERO","MARZO","ABRIL","MAYO","JUNIO","JULIO","AGOSTO","SEPTIEMBRE","OCTUBRE","NOVIEMBRE","DICIEMBRE"))</f>
        <v/>
      </c>
      <c r="I269" s="34">
        <f>IF($A269="","",IF(OR($G269="SÁBADO",$G269="DOMINGO"),"FIN","LV"))</f>
        <v/>
      </c>
      <c r="J269" s="34">
        <f>IF(OR($A269="",$B269=""),"",IF($L269&lt;&gt;"",UPPER($L269),IF($C269="","FALTA",IFERROR(IF($C269&gt;=$O269,"ROJO FUERTE",IF($C269&gt;=$N269,"ROJO",IF($C269&gt;=$M269,"AMARILLO","VERDE"))),"REVISAR"))))</f>
        <v/>
      </c>
      <c r="K269" s="36">
        <f>IF(OR($C269="",$D269=""),"",IF($D269&gt;=$C269,($D269-$C269)*24,(1-$C269+$D269)*24))</f>
        <v/>
      </c>
      <c r="L269" s="34" t="n"/>
      <c r="M269" s="53">
        <f t="array" ref="M269">IFERROR(INDEX(EXCEPCIONES_FECHA!$D$2:$D$201,MATCH(1,(EXCEPCIONES_FECHA!$A$2:$A$201=$A269)*(EXCEPCIONES_FECHA!$B$2:$B$201=$B269),0)),IFERROR(INDEX(EXCEPCIONES_FECHA!$D$2:$D$201,MATCH(1,(EXCEPCIONES_FECHA!$A$2:$A$201=$A269)*(EXCEPCIONES_FECHA!$B$2:$B$201=""),0)),IFERROR(INDEX(IF($I269="FIN",HISTORIAL_HORARIOS!$J$2:$J$201,HISTORIAL_HORARIOS!$F$2:$F$201),MATCH(1,(HISTORIAL_HORARIOS!$A$2:$A$201=$B269)*(HISTORIAL_HORARIOS!$C$2:$C$201&lt;=$A269)*(HISTORIAL_HORARIOS!$D$2:$D$201&gt;=$A269),0)),INDEX(IF($I269="FIN",PERSONAL!$J$2:$J$80,PERSONAL!$F$2:$F$80),MATCH($B269,PERSONAL!$A$2:$A$80,0)))))</f>
        <v/>
      </c>
      <c r="N269" s="53">
        <f t="array" ref="N269">IFERROR(INDEX(EXCEPCIONES_FECHA!$E$2:$E$201,MATCH(1,(EXCEPCIONES_FECHA!$A$2:$A$201=$A269)*(EXCEPCIONES_FECHA!$B$2:$B$201=$B269),0)),IFERROR(INDEX(EXCEPCIONES_FECHA!$E$2:$E$201,MATCH(1,(EXCEPCIONES_FECHA!$A$2:$A$201=$A269)*(EXCEPCIONES_FECHA!$B$2:$B$201=""),0)),IFERROR(INDEX(IF($I269="FIN",HISTORIAL_HORARIOS!$K$2:$K$201,HISTORIAL_HORARIOS!$G$2:$G$201),MATCH(1,(HISTORIAL_HORARIOS!$A$2:$A$201=$B269)*(HISTORIAL_HORARIOS!$C$2:$C$201&lt;=$A269)*(HISTORIAL_HORARIOS!$D$2:$D$201&gt;=$A269),0)),INDEX(IF($I269="FIN",PERSONAL!$K$2:$K$80,PERSONAL!$G$2:$G$80),MATCH($B269,PERSONAL!$A$2:$A$80,0)))))</f>
        <v/>
      </c>
      <c r="O269" s="53">
        <f t="array" ref="O269">IFERROR(INDEX(EXCEPCIONES_FECHA!$F$2:$F$201,MATCH(1,(EXCEPCIONES_FECHA!$A$2:$A$201=$A269)*(EXCEPCIONES_FECHA!$B$2:$B$201=$B269),0)),IFERROR(INDEX(EXCEPCIONES_FECHA!$F$2:$F$201,MATCH(1,(EXCEPCIONES_FECHA!$A$2:$A$201=$A269)*(EXCEPCIONES_FECHA!$B$2:$B$201=""),0)),IFERROR(INDEX(IF($I269="FIN",HISTORIAL_HORARIOS!$L$2:$L$201,HISTORIAL_HORARIOS!$H$2:$H$201),MATCH(1,(HISTORIAL_HORARIOS!$A$2:$A$201=$B269)*(HISTORIAL_HORARIOS!$C$2:$C$201&lt;=$A269)*(HISTORIAL_HORARIOS!$D$2:$D$201&gt;=$A269),0)),INDEX(IF($I269="FIN",PERSONAL!$L$2:$L$80,PERSONAL!$H$2:$H$80),MATCH($B269,PERSONAL!$A$2:$A$80,0)))))</f>
        <v/>
      </c>
    </row>
    <row r="270" ht="15" customHeight="1" s="58">
      <c r="A270" s="37" t="n"/>
      <c r="B270" s="38" t="n"/>
      <c r="C270" s="39" t="n"/>
      <c r="D270" s="39" t="n"/>
      <c r="E270" s="34">
        <f t="array" ref="E270">IF($B270="","",IFERROR(INDEX(PERSONAL!$B$2:$B$80,MATCH($B270,PERSONAL!$A$2:$A$80,0)),"NO EXISTE"))</f>
        <v/>
      </c>
      <c r="F270" s="52">
        <f t="array" ref="F270">IF($B270="","",IFERROR(INDEX(PERSONAL!$C$2:$C$80,MATCH($B270,PERSONAL!$A$2:$A$80,0)),""))</f>
        <v/>
      </c>
      <c r="G270" s="52">
        <f>IF($A270="","",CHOOSE(WEEKDAY($A270,2),"LUNES","MARTES","MIÉRCOLES","JUEVES","VIERNES","SÁBADO","DOMINGO"))</f>
        <v/>
      </c>
      <c r="H270" s="34">
        <f>IF($A270="","",CHOOSE(MONTH($A270),"ENERO","FEBRERO","MARZO","ABRIL","MAYO","JUNIO","JULIO","AGOSTO","SEPTIEMBRE","OCTUBRE","NOVIEMBRE","DICIEMBRE"))</f>
        <v/>
      </c>
      <c r="I270" s="34">
        <f>IF($A270="","",IF(OR($G270="SÁBADO",$G270="DOMINGO"),"FIN","LV"))</f>
        <v/>
      </c>
      <c r="J270" s="34">
        <f>IF(OR($A270="",$B270=""),"",IF($L270&lt;&gt;"",UPPER($L270),IF($C270="","FALTA",IFERROR(IF($C270&gt;=$O270,"ROJO FUERTE",IF($C270&gt;=$N270,"ROJO",IF($C270&gt;=$M270,"AMARILLO","VERDE"))),"REVISAR"))))</f>
        <v/>
      </c>
      <c r="K270" s="36">
        <f>IF(OR($C270="",$D270=""),"",IF($D270&gt;=$C270,($D270-$C270)*24,(1-$C270+$D270)*24))</f>
        <v/>
      </c>
      <c r="L270" s="34" t="n"/>
      <c r="M270" s="53">
        <f t="array" ref="M270">IFERROR(INDEX(EXCEPCIONES_FECHA!$D$2:$D$201,MATCH(1,(EXCEPCIONES_FECHA!$A$2:$A$201=$A270)*(EXCEPCIONES_FECHA!$B$2:$B$201=$B270),0)),IFERROR(INDEX(EXCEPCIONES_FECHA!$D$2:$D$201,MATCH(1,(EXCEPCIONES_FECHA!$A$2:$A$201=$A270)*(EXCEPCIONES_FECHA!$B$2:$B$201=""),0)),IFERROR(INDEX(IF($I270="FIN",HISTORIAL_HORARIOS!$J$2:$J$201,HISTORIAL_HORARIOS!$F$2:$F$201),MATCH(1,(HISTORIAL_HORARIOS!$A$2:$A$201=$B270)*(HISTORIAL_HORARIOS!$C$2:$C$201&lt;=$A270)*(HISTORIAL_HORARIOS!$D$2:$D$201&gt;=$A270),0)),INDEX(IF($I270="FIN",PERSONAL!$J$2:$J$80,PERSONAL!$F$2:$F$80),MATCH($B270,PERSONAL!$A$2:$A$80,0)))))</f>
        <v/>
      </c>
      <c r="N270" s="53">
        <f t="array" ref="N270">IFERROR(INDEX(EXCEPCIONES_FECHA!$E$2:$E$201,MATCH(1,(EXCEPCIONES_FECHA!$A$2:$A$201=$A270)*(EXCEPCIONES_FECHA!$B$2:$B$201=$B270),0)),IFERROR(INDEX(EXCEPCIONES_FECHA!$E$2:$E$201,MATCH(1,(EXCEPCIONES_FECHA!$A$2:$A$201=$A270)*(EXCEPCIONES_FECHA!$B$2:$B$201=""),0)),IFERROR(INDEX(IF($I270="FIN",HISTORIAL_HORARIOS!$K$2:$K$201,HISTORIAL_HORARIOS!$G$2:$G$201),MATCH(1,(HISTORIAL_HORARIOS!$A$2:$A$201=$B270)*(HISTORIAL_HORARIOS!$C$2:$C$201&lt;=$A270)*(HISTORIAL_HORARIOS!$D$2:$D$201&gt;=$A270),0)),INDEX(IF($I270="FIN",PERSONAL!$K$2:$K$80,PERSONAL!$G$2:$G$80),MATCH($B270,PERSONAL!$A$2:$A$80,0)))))</f>
        <v/>
      </c>
      <c r="O270" s="53">
        <f t="array" ref="O270">IFERROR(INDEX(EXCEPCIONES_FECHA!$F$2:$F$201,MATCH(1,(EXCEPCIONES_FECHA!$A$2:$A$201=$A270)*(EXCEPCIONES_FECHA!$B$2:$B$201=$B270),0)),IFERROR(INDEX(EXCEPCIONES_FECHA!$F$2:$F$201,MATCH(1,(EXCEPCIONES_FECHA!$A$2:$A$201=$A270)*(EXCEPCIONES_FECHA!$B$2:$B$201=""),0)),IFERROR(INDEX(IF($I270="FIN",HISTORIAL_HORARIOS!$L$2:$L$201,HISTORIAL_HORARIOS!$H$2:$H$201),MATCH(1,(HISTORIAL_HORARIOS!$A$2:$A$201=$B270)*(HISTORIAL_HORARIOS!$C$2:$C$201&lt;=$A270)*(HISTORIAL_HORARIOS!$D$2:$D$201&gt;=$A270),0)),INDEX(IF($I270="FIN",PERSONAL!$L$2:$L$80,PERSONAL!$H$2:$H$80),MATCH($B270,PERSONAL!$A$2:$A$80,0)))))</f>
        <v/>
      </c>
    </row>
    <row r="271" ht="15" customHeight="1" s="58">
      <c r="A271" s="37" t="n"/>
      <c r="B271" s="38" t="n"/>
      <c r="C271" s="39" t="n"/>
      <c r="D271" s="39" t="n"/>
      <c r="E271" s="34">
        <f t="array" ref="E271">IF($B271="","",IFERROR(INDEX(PERSONAL!$B$2:$B$80,MATCH($B271,PERSONAL!$A$2:$A$80,0)),"NO EXISTE"))</f>
        <v/>
      </c>
      <c r="F271" s="52">
        <f t="array" ref="F271">IF($B271="","",IFERROR(INDEX(PERSONAL!$C$2:$C$80,MATCH($B271,PERSONAL!$A$2:$A$80,0)),""))</f>
        <v/>
      </c>
      <c r="G271" s="52">
        <f>IF($A271="","",CHOOSE(WEEKDAY($A271,2),"LUNES","MARTES","MIÉRCOLES","JUEVES","VIERNES","SÁBADO","DOMINGO"))</f>
        <v/>
      </c>
      <c r="H271" s="34">
        <f>IF($A271="","",CHOOSE(MONTH($A271),"ENERO","FEBRERO","MARZO","ABRIL","MAYO","JUNIO","JULIO","AGOSTO","SEPTIEMBRE","OCTUBRE","NOVIEMBRE","DICIEMBRE"))</f>
        <v/>
      </c>
      <c r="I271" s="34">
        <f>IF($A271="","",IF(OR($G271="SÁBADO",$G271="DOMINGO"),"FIN","LV"))</f>
        <v/>
      </c>
      <c r="J271" s="34">
        <f>IF(OR($A271="",$B271=""),"",IF($L271&lt;&gt;"",UPPER($L271),IF($C271="","FALTA",IFERROR(IF($C271&gt;=$O271,"ROJO FUERTE",IF($C271&gt;=$N271,"ROJO",IF($C271&gt;=$M271,"AMARILLO","VERDE"))),"REVISAR"))))</f>
        <v/>
      </c>
      <c r="K271" s="36">
        <f>IF(OR($C271="",$D271=""),"",IF($D271&gt;=$C271,($D271-$C271)*24,(1-$C271+$D271)*24))</f>
        <v/>
      </c>
      <c r="L271" s="34" t="n"/>
      <c r="M271" s="53">
        <f t="array" ref="M271">IFERROR(INDEX(EXCEPCIONES_FECHA!$D$2:$D$201,MATCH(1,(EXCEPCIONES_FECHA!$A$2:$A$201=$A271)*(EXCEPCIONES_FECHA!$B$2:$B$201=$B271),0)),IFERROR(INDEX(EXCEPCIONES_FECHA!$D$2:$D$201,MATCH(1,(EXCEPCIONES_FECHA!$A$2:$A$201=$A271)*(EXCEPCIONES_FECHA!$B$2:$B$201=""),0)),IFERROR(INDEX(IF($I271="FIN",HISTORIAL_HORARIOS!$J$2:$J$201,HISTORIAL_HORARIOS!$F$2:$F$201),MATCH(1,(HISTORIAL_HORARIOS!$A$2:$A$201=$B271)*(HISTORIAL_HORARIOS!$C$2:$C$201&lt;=$A271)*(HISTORIAL_HORARIOS!$D$2:$D$201&gt;=$A271),0)),INDEX(IF($I271="FIN",PERSONAL!$J$2:$J$80,PERSONAL!$F$2:$F$80),MATCH($B271,PERSONAL!$A$2:$A$80,0)))))</f>
        <v/>
      </c>
      <c r="N271" s="53">
        <f t="array" ref="N271">IFERROR(INDEX(EXCEPCIONES_FECHA!$E$2:$E$201,MATCH(1,(EXCEPCIONES_FECHA!$A$2:$A$201=$A271)*(EXCEPCIONES_FECHA!$B$2:$B$201=$B271),0)),IFERROR(INDEX(EXCEPCIONES_FECHA!$E$2:$E$201,MATCH(1,(EXCEPCIONES_FECHA!$A$2:$A$201=$A271)*(EXCEPCIONES_FECHA!$B$2:$B$201=""),0)),IFERROR(INDEX(IF($I271="FIN",HISTORIAL_HORARIOS!$K$2:$K$201,HISTORIAL_HORARIOS!$G$2:$G$201),MATCH(1,(HISTORIAL_HORARIOS!$A$2:$A$201=$B271)*(HISTORIAL_HORARIOS!$C$2:$C$201&lt;=$A271)*(HISTORIAL_HORARIOS!$D$2:$D$201&gt;=$A271),0)),INDEX(IF($I271="FIN",PERSONAL!$K$2:$K$80,PERSONAL!$G$2:$G$80),MATCH($B271,PERSONAL!$A$2:$A$80,0)))))</f>
        <v/>
      </c>
      <c r="O271" s="53">
        <f t="array" ref="O271">IFERROR(INDEX(EXCEPCIONES_FECHA!$F$2:$F$201,MATCH(1,(EXCEPCIONES_FECHA!$A$2:$A$201=$A271)*(EXCEPCIONES_FECHA!$B$2:$B$201=$B271),0)),IFERROR(INDEX(EXCEPCIONES_FECHA!$F$2:$F$201,MATCH(1,(EXCEPCIONES_FECHA!$A$2:$A$201=$A271)*(EXCEPCIONES_FECHA!$B$2:$B$201=""),0)),IFERROR(INDEX(IF($I271="FIN",HISTORIAL_HORARIOS!$L$2:$L$201,HISTORIAL_HORARIOS!$H$2:$H$201),MATCH(1,(HISTORIAL_HORARIOS!$A$2:$A$201=$B271)*(HISTORIAL_HORARIOS!$C$2:$C$201&lt;=$A271)*(HISTORIAL_HORARIOS!$D$2:$D$201&gt;=$A271),0)),INDEX(IF($I271="FIN",PERSONAL!$L$2:$L$80,PERSONAL!$H$2:$H$80),MATCH($B271,PERSONAL!$A$2:$A$80,0)))))</f>
        <v/>
      </c>
    </row>
    <row r="272" ht="15" customHeight="1" s="58">
      <c r="A272" s="37" t="n"/>
      <c r="B272" s="38" t="n"/>
      <c r="C272" s="39" t="n"/>
      <c r="D272" s="39" t="n"/>
      <c r="E272" s="34">
        <f t="array" ref="E272">IF($B272="","",IFERROR(INDEX(PERSONAL!$B$2:$B$80,MATCH($B272,PERSONAL!$A$2:$A$80,0)),"NO EXISTE"))</f>
        <v/>
      </c>
      <c r="F272" s="52">
        <f t="array" ref="F272">IF($B272="","",IFERROR(INDEX(PERSONAL!$C$2:$C$80,MATCH($B272,PERSONAL!$A$2:$A$80,0)),""))</f>
        <v/>
      </c>
      <c r="G272" s="52">
        <f>IF($A272="","",CHOOSE(WEEKDAY($A272,2),"LUNES","MARTES","MIÉRCOLES","JUEVES","VIERNES","SÁBADO","DOMINGO"))</f>
        <v/>
      </c>
      <c r="H272" s="34">
        <f>IF($A272="","",CHOOSE(MONTH($A272),"ENERO","FEBRERO","MARZO","ABRIL","MAYO","JUNIO","JULIO","AGOSTO","SEPTIEMBRE","OCTUBRE","NOVIEMBRE","DICIEMBRE"))</f>
        <v/>
      </c>
      <c r="I272" s="34">
        <f>IF($A272="","",IF(OR($G272="SÁBADO",$G272="DOMINGO"),"FIN","LV"))</f>
        <v/>
      </c>
      <c r="J272" s="34">
        <f>IF(OR($A272="",$B272=""),"",IF($L272&lt;&gt;"",UPPER($L272),IF($C272="","FALTA",IFERROR(IF($C272&gt;=$O272,"ROJO FUERTE",IF($C272&gt;=$N272,"ROJO",IF($C272&gt;=$M272,"AMARILLO","VERDE"))),"REVISAR"))))</f>
        <v/>
      </c>
      <c r="K272" s="36">
        <f>IF(OR($C272="",$D272=""),"",IF($D272&gt;=$C272,($D272-$C272)*24,(1-$C272+$D272)*24))</f>
        <v/>
      </c>
      <c r="L272" s="34" t="n"/>
      <c r="M272" s="53">
        <f t="array" ref="M272">IFERROR(INDEX(EXCEPCIONES_FECHA!$D$2:$D$201,MATCH(1,(EXCEPCIONES_FECHA!$A$2:$A$201=$A272)*(EXCEPCIONES_FECHA!$B$2:$B$201=$B272),0)),IFERROR(INDEX(EXCEPCIONES_FECHA!$D$2:$D$201,MATCH(1,(EXCEPCIONES_FECHA!$A$2:$A$201=$A272)*(EXCEPCIONES_FECHA!$B$2:$B$201=""),0)),IFERROR(INDEX(IF($I272="FIN",HISTORIAL_HORARIOS!$J$2:$J$201,HISTORIAL_HORARIOS!$F$2:$F$201),MATCH(1,(HISTORIAL_HORARIOS!$A$2:$A$201=$B272)*(HISTORIAL_HORARIOS!$C$2:$C$201&lt;=$A272)*(HISTORIAL_HORARIOS!$D$2:$D$201&gt;=$A272),0)),INDEX(IF($I272="FIN",PERSONAL!$J$2:$J$80,PERSONAL!$F$2:$F$80),MATCH($B272,PERSONAL!$A$2:$A$80,0)))))</f>
        <v/>
      </c>
      <c r="N272" s="53">
        <f t="array" ref="N272">IFERROR(INDEX(EXCEPCIONES_FECHA!$E$2:$E$201,MATCH(1,(EXCEPCIONES_FECHA!$A$2:$A$201=$A272)*(EXCEPCIONES_FECHA!$B$2:$B$201=$B272),0)),IFERROR(INDEX(EXCEPCIONES_FECHA!$E$2:$E$201,MATCH(1,(EXCEPCIONES_FECHA!$A$2:$A$201=$A272)*(EXCEPCIONES_FECHA!$B$2:$B$201=""),0)),IFERROR(INDEX(IF($I272="FIN",HISTORIAL_HORARIOS!$K$2:$K$201,HISTORIAL_HORARIOS!$G$2:$G$201),MATCH(1,(HISTORIAL_HORARIOS!$A$2:$A$201=$B272)*(HISTORIAL_HORARIOS!$C$2:$C$201&lt;=$A272)*(HISTORIAL_HORARIOS!$D$2:$D$201&gt;=$A272),0)),INDEX(IF($I272="FIN",PERSONAL!$K$2:$K$80,PERSONAL!$G$2:$G$80),MATCH($B272,PERSONAL!$A$2:$A$80,0)))))</f>
        <v/>
      </c>
      <c r="O272" s="53">
        <f t="array" ref="O272">IFERROR(INDEX(EXCEPCIONES_FECHA!$F$2:$F$201,MATCH(1,(EXCEPCIONES_FECHA!$A$2:$A$201=$A272)*(EXCEPCIONES_FECHA!$B$2:$B$201=$B272),0)),IFERROR(INDEX(EXCEPCIONES_FECHA!$F$2:$F$201,MATCH(1,(EXCEPCIONES_FECHA!$A$2:$A$201=$A272)*(EXCEPCIONES_FECHA!$B$2:$B$201=""),0)),IFERROR(INDEX(IF($I272="FIN",HISTORIAL_HORARIOS!$L$2:$L$201,HISTORIAL_HORARIOS!$H$2:$H$201),MATCH(1,(HISTORIAL_HORARIOS!$A$2:$A$201=$B272)*(HISTORIAL_HORARIOS!$C$2:$C$201&lt;=$A272)*(HISTORIAL_HORARIOS!$D$2:$D$201&gt;=$A272),0)),INDEX(IF($I272="FIN",PERSONAL!$L$2:$L$80,PERSONAL!$H$2:$H$80),MATCH($B272,PERSONAL!$A$2:$A$80,0)))))</f>
        <v/>
      </c>
    </row>
    <row r="273" ht="15" customHeight="1" s="58">
      <c r="A273" s="37" t="n"/>
      <c r="B273" s="38" t="n"/>
      <c r="C273" s="39" t="n"/>
      <c r="D273" s="39" t="n"/>
      <c r="E273" s="34">
        <f t="array" ref="E273">IF($B273="","",IFERROR(INDEX(PERSONAL!$B$2:$B$80,MATCH($B273,PERSONAL!$A$2:$A$80,0)),"NO EXISTE"))</f>
        <v/>
      </c>
      <c r="F273" s="52">
        <f t="array" ref="F273">IF($B273="","",IFERROR(INDEX(PERSONAL!$C$2:$C$80,MATCH($B273,PERSONAL!$A$2:$A$80,0)),""))</f>
        <v/>
      </c>
      <c r="G273" s="52">
        <f>IF($A273="","",CHOOSE(WEEKDAY($A273,2),"LUNES","MARTES","MIÉRCOLES","JUEVES","VIERNES","SÁBADO","DOMINGO"))</f>
        <v/>
      </c>
      <c r="H273" s="34">
        <f>IF($A273="","",CHOOSE(MONTH($A273),"ENERO","FEBRERO","MARZO","ABRIL","MAYO","JUNIO","JULIO","AGOSTO","SEPTIEMBRE","OCTUBRE","NOVIEMBRE","DICIEMBRE"))</f>
        <v/>
      </c>
      <c r="I273" s="34">
        <f>IF($A273="","",IF(OR($G273="SÁBADO",$G273="DOMINGO"),"FIN","LV"))</f>
        <v/>
      </c>
      <c r="J273" s="34">
        <f>IF(OR($A273="",$B273=""),"",IF($L273&lt;&gt;"",UPPER($L273),IF($C273="","FALTA",IFERROR(IF($C273&gt;=$O273,"ROJO FUERTE",IF($C273&gt;=$N273,"ROJO",IF($C273&gt;=$M273,"AMARILLO","VERDE"))),"REVISAR"))))</f>
        <v/>
      </c>
      <c r="K273" s="36">
        <f>IF(OR($C273="",$D273=""),"",IF($D273&gt;=$C273,($D273-$C273)*24,(1-$C273+$D273)*24))</f>
        <v/>
      </c>
      <c r="L273" s="34" t="n"/>
      <c r="M273" s="53">
        <f t="array" ref="M273">IFERROR(INDEX(EXCEPCIONES_FECHA!$D$2:$D$201,MATCH(1,(EXCEPCIONES_FECHA!$A$2:$A$201=$A273)*(EXCEPCIONES_FECHA!$B$2:$B$201=$B273),0)),IFERROR(INDEX(EXCEPCIONES_FECHA!$D$2:$D$201,MATCH(1,(EXCEPCIONES_FECHA!$A$2:$A$201=$A273)*(EXCEPCIONES_FECHA!$B$2:$B$201=""),0)),IFERROR(INDEX(IF($I273="FIN",HISTORIAL_HORARIOS!$J$2:$J$201,HISTORIAL_HORARIOS!$F$2:$F$201),MATCH(1,(HISTORIAL_HORARIOS!$A$2:$A$201=$B273)*(HISTORIAL_HORARIOS!$C$2:$C$201&lt;=$A273)*(HISTORIAL_HORARIOS!$D$2:$D$201&gt;=$A273),0)),INDEX(IF($I273="FIN",PERSONAL!$J$2:$J$80,PERSONAL!$F$2:$F$80),MATCH($B273,PERSONAL!$A$2:$A$80,0)))))</f>
        <v/>
      </c>
      <c r="N273" s="53">
        <f t="array" ref="N273">IFERROR(INDEX(EXCEPCIONES_FECHA!$E$2:$E$201,MATCH(1,(EXCEPCIONES_FECHA!$A$2:$A$201=$A273)*(EXCEPCIONES_FECHA!$B$2:$B$201=$B273),0)),IFERROR(INDEX(EXCEPCIONES_FECHA!$E$2:$E$201,MATCH(1,(EXCEPCIONES_FECHA!$A$2:$A$201=$A273)*(EXCEPCIONES_FECHA!$B$2:$B$201=""),0)),IFERROR(INDEX(IF($I273="FIN",HISTORIAL_HORARIOS!$K$2:$K$201,HISTORIAL_HORARIOS!$G$2:$G$201),MATCH(1,(HISTORIAL_HORARIOS!$A$2:$A$201=$B273)*(HISTORIAL_HORARIOS!$C$2:$C$201&lt;=$A273)*(HISTORIAL_HORARIOS!$D$2:$D$201&gt;=$A273),0)),INDEX(IF($I273="FIN",PERSONAL!$K$2:$K$80,PERSONAL!$G$2:$G$80),MATCH($B273,PERSONAL!$A$2:$A$80,0)))))</f>
        <v/>
      </c>
      <c r="O273" s="53">
        <f t="array" ref="O273">IFERROR(INDEX(EXCEPCIONES_FECHA!$F$2:$F$201,MATCH(1,(EXCEPCIONES_FECHA!$A$2:$A$201=$A273)*(EXCEPCIONES_FECHA!$B$2:$B$201=$B273),0)),IFERROR(INDEX(EXCEPCIONES_FECHA!$F$2:$F$201,MATCH(1,(EXCEPCIONES_FECHA!$A$2:$A$201=$A273)*(EXCEPCIONES_FECHA!$B$2:$B$201=""),0)),IFERROR(INDEX(IF($I273="FIN",HISTORIAL_HORARIOS!$L$2:$L$201,HISTORIAL_HORARIOS!$H$2:$H$201),MATCH(1,(HISTORIAL_HORARIOS!$A$2:$A$201=$B273)*(HISTORIAL_HORARIOS!$C$2:$C$201&lt;=$A273)*(HISTORIAL_HORARIOS!$D$2:$D$201&gt;=$A273),0)),INDEX(IF($I273="FIN",PERSONAL!$L$2:$L$80,PERSONAL!$H$2:$H$80),MATCH($B273,PERSONAL!$A$2:$A$80,0)))))</f>
        <v/>
      </c>
    </row>
    <row r="274" ht="15" customHeight="1" s="58">
      <c r="A274" s="37" t="n"/>
      <c r="B274" s="38" t="n"/>
      <c r="C274" s="39" t="n"/>
      <c r="D274" s="39" t="n"/>
      <c r="E274" s="34">
        <f t="array" ref="E274">IF($B274="","",IFERROR(INDEX(PERSONAL!$B$2:$B$80,MATCH($B274,PERSONAL!$A$2:$A$80,0)),"NO EXISTE"))</f>
        <v/>
      </c>
      <c r="F274" s="52">
        <f t="array" ref="F274">IF($B274="","",IFERROR(INDEX(PERSONAL!$C$2:$C$80,MATCH($B274,PERSONAL!$A$2:$A$80,0)),""))</f>
        <v/>
      </c>
      <c r="G274" s="52">
        <f>IF($A274="","",CHOOSE(WEEKDAY($A274,2),"LUNES","MARTES","MIÉRCOLES","JUEVES","VIERNES","SÁBADO","DOMINGO"))</f>
        <v/>
      </c>
      <c r="H274" s="34">
        <f>IF($A274="","",CHOOSE(MONTH($A274),"ENERO","FEBRERO","MARZO","ABRIL","MAYO","JUNIO","JULIO","AGOSTO","SEPTIEMBRE","OCTUBRE","NOVIEMBRE","DICIEMBRE"))</f>
        <v/>
      </c>
      <c r="I274" s="34">
        <f>IF($A274="","",IF(OR($G274="SÁBADO",$G274="DOMINGO"),"FIN","LV"))</f>
        <v/>
      </c>
      <c r="J274" s="34">
        <f>IF(OR($A274="",$B274=""),"",IF($L274&lt;&gt;"",UPPER($L274),IF($C274="","FALTA",IFERROR(IF($C274&gt;=$O274,"ROJO FUERTE",IF($C274&gt;=$N274,"ROJO",IF($C274&gt;=$M274,"AMARILLO","VERDE"))),"REVISAR"))))</f>
        <v/>
      </c>
      <c r="K274" s="36">
        <f>IF(OR($C274="",$D274=""),"",IF($D274&gt;=$C274,($D274-$C274)*24,(1-$C274+$D274)*24))</f>
        <v/>
      </c>
      <c r="L274" s="34" t="n"/>
      <c r="M274" s="53">
        <f t="array" ref="M274">IFERROR(INDEX(EXCEPCIONES_FECHA!$D$2:$D$201,MATCH(1,(EXCEPCIONES_FECHA!$A$2:$A$201=$A274)*(EXCEPCIONES_FECHA!$B$2:$B$201=$B274),0)),IFERROR(INDEX(EXCEPCIONES_FECHA!$D$2:$D$201,MATCH(1,(EXCEPCIONES_FECHA!$A$2:$A$201=$A274)*(EXCEPCIONES_FECHA!$B$2:$B$201=""),0)),IFERROR(INDEX(IF($I274="FIN",HISTORIAL_HORARIOS!$J$2:$J$201,HISTORIAL_HORARIOS!$F$2:$F$201),MATCH(1,(HISTORIAL_HORARIOS!$A$2:$A$201=$B274)*(HISTORIAL_HORARIOS!$C$2:$C$201&lt;=$A274)*(HISTORIAL_HORARIOS!$D$2:$D$201&gt;=$A274),0)),INDEX(IF($I274="FIN",PERSONAL!$J$2:$J$80,PERSONAL!$F$2:$F$80),MATCH($B274,PERSONAL!$A$2:$A$80,0)))))</f>
        <v/>
      </c>
      <c r="N274" s="53">
        <f t="array" ref="N274">IFERROR(INDEX(EXCEPCIONES_FECHA!$E$2:$E$201,MATCH(1,(EXCEPCIONES_FECHA!$A$2:$A$201=$A274)*(EXCEPCIONES_FECHA!$B$2:$B$201=$B274),0)),IFERROR(INDEX(EXCEPCIONES_FECHA!$E$2:$E$201,MATCH(1,(EXCEPCIONES_FECHA!$A$2:$A$201=$A274)*(EXCEPCIONES_FECHA!$B$2:$B$201=""),0)),IFERROR(INDEX(IF($I274="FIN",HISTORIAL_HORARIOS!$K$2:$K$201,HISTORIAL_HORARIOS!$G$2:$G$201),MATCH(1,(HISTORIAL_HORARIOS!$A$2:$A$201=$B274)*(HISTORIAL_HORARIOS!$C$2:$C$201&lt;=$A274)*(HISTORIAL_HORARIOS!$D$2:$D$201&gt;=$A274),0)),INDEX(IF($I274="FIN",PERSONAL!$K$2:$K$80,PERSONAL!$G$2:$G$80),MATCH($B274,PERSONAL!$A$2:$A$80,0)))))</f>
        <v/>
      </c>
      <c r="O274" s="53">
        <f t="array" ref="O274">IFERROR(INDEX(EXCEPCIONES_FECHA!$F$2:$F$201,MATCH(1,(EXCEPCIONES_FECHA!$A$2:$A$201=$A274)*(EXCEPCIONES_FECHA!$B$2:$B$201=$B274),0)),IFERROR(INDEX(EXCEPCIONES_FECHA!$F$2:$F$201,MATCH(1,(EXCEPCIONES_FECHA!$A$2:$A$201=$A274)*(EXCEPCIONES_FECHA!$B$2:$B$201=""),0)),IFERROR(INDEX(IF($I274="FIN",HISTORIAL_HORARIOS!$L$2:$L$201,HISTORIAL_HORARIOS!$H$2:$H$201),MATCH(1,(HISTORIAL_HORARIOS!$A$2:$A$201=$B274)*(HISTORIAL_HORARIOS!$C$2:$C$201&lt;=$A274)*(HISTORIAL_HORARIOS!$D$2:$D$201&gt;=$A274),0)),INDEX(IF($I274="FIN",PERSONAL!$L$2:$L$80,PERSONAL!$H$2:$H$80),MATCH($B274,PERSONAL!$A$2:$A$80,0)))))</f>
        <v/>
      </c>
    </row>
    <row r="275" ht="15" customHeight="1" s="58">
      <c r="A275" s="37" t="n"/>
      <c r="B275" s="38" t="n"/>
      <c r="C275" s="39" t="n"/>
      <c r="D275" s="39" t="n"/>
      <c r="E275" s="34">
        <f t="array" ref="E275">IF($B275="","",IFERROR(INDEX(PERSONAL!$B$2:$B$80,MATCH($B275,PERSONAL!$A$2:$A$80,0)),"NO EXISTE"))</f>
        <v/>
      </c>
      <c r="F275" s="52">
        <f t="array" ref="F275">IF($B275="","",IFERROR(INDEX(PERSONAL!$C$2:$C$80,MATCH($B275,PERSONAL!$A$2:$A$80,0)),""))</f>
        <v/>
      </c>
      <c r="G275" s="52">
        <f>IF($A275="","",CHOOSE(WEEKDAY($A275,2),"LUNES","MARTES","MIÉRCOLES","JUEVES","VIERNES","SÁBADO","DOMINGO"))</f>
        <v/>
      </c>
      <c r="H275" s="34">
        <f>IF($A275="","",CHOOSE(MONTH($A275),"ENERO","FEBRERO","MARZO","ABRIL","MAYO","JUNIO","JULIO","AGOSTO","SEPTIEMBRE","OCTUBRE","NOVIEMBRE","DICIEMBRE"))</f>
        <v/>
      </c>
      <c r="I275" s="34">
        <f>IF($A275="","",IF(OR($G275="SÁBADO",$G275="DOMINGO"),"FIN","LV"))</f>
        <v/>
      </c>
      <c r="J275" s="34">
        <f>IF(OR($A275="",$B275=""),"",IF($L275&lt;&gt;"",UPPER($L275),IF($C275="","FALTA",IFERROR(IF($C275&gt;=$O275,"ROJO FUERTE",IF($C275&gt;=$N275,"ROJO",IF($C275&gt;=$M275,"AMARILLO","VERDE"))),"REVISAR"))))</f>
        <v/>
      </c>
      <c r="K275" s="36">
        <f>IF(OR($C275="",$D275=""),"",IF($D275&gt;=$C275,($D275-$C275)*24,(1-$C275+$D275)*24))</f>
        <v/>
      </c>
      <c r="L275" s="34" t="n"/>
      <c r="M275" s="53">
        <f t="array" ref="M275">IFERROR(INDEX(EXCEPCIONES_FECHA!$D$2:$D$201,MATCH(1,(EXCEPCIONES_FECHA!$A$2:$A$201=$A275)*(EXCEPCIONES_FECHA!$B$2:$B$201=$B275),0)),IFERROR(INDEX(EXCEPCIONES_FECHA!$D$2:$D$201,MATCH(1,(EXCEPCIONES_FECHA!$A$2:$A$201=$A275)*(EXCEPCIONES_FECHA!$B$2:$B$201=""),0)),IFERROR(INDEX(IF($I275="FIN",HISTORIAL_HORARIOS!$J$2:$J$201,HISTORIAL_HORARIOS!$F$2:$F$201),MATCH(1,(HISTORIAL_HORARIOS!$A$2:$A$201=$B275)*(HISTORIAL_HORARIOS!$C$2:$C$201&lt;=$A275)*(HISTORIAL_HORARIOS!$D$2:$D$201&gt;=$A275),0)),INDEX(IF($I275="FIN",PERSONAL!$J$2:$J$80,PERSONAL!$F$2:$F$80),MATCH($B275,PERSONAL!$A$2:$A$80,0)))))</f>
        <v/>
      </c>
      <c r="N275" s="53">
        <f t="array" ref="N275">IFERROR(INDEX(EXCEPCIONES_FECHA!$E$2:$E$201,MATCH(1,(EXCEPCIONES_FECHA!$A$2:$A$201=$A275)*(EXCEPCIONES_FECHA!$B$2:$B$201=$B275),0)),IFERROR(INDEX(EXCEPCIONES_FECHA!$E$2:$E$201,MATCH(1,(EXCEPCIONES_FECHA!$A$2:$A$201=$A275)*(EXCEPCIONES_FECHA!$B$2:$B$201=""),0)),IFERROR(INDEX(IF($I275="FIN",HISTORIAL_HORARIOS!$K$2:$K$201,HISTORIAL_HORARIOS!$G$2:$G$201),MATCH(1,(HISTORIAL_HORARIOS!$A$2:$A$201=$B275)*(HISTORIAL_HORARIOS!$C$2:$C$201&lt;=$A275)*(HISTORIAL_HORARIOS!$D$2:$D$201&gt;=$A275),0)),INDEX(IF($I275="FIN",PERSONAL!$K$2:$K$80,PERSONAL!$G$2:$G$80),MATCH($B275,PERSONAL!$A$2:$A$80,0)))))</f>
        <v/>
      </c>
      <c r="O275" s="53">
        <f t="array" ref="O275">IFERROR(INDEX(EXCEPCIONES_FECHA!$F$2:$F$201,MATCH(1,(EXCEPCIONES_FECHA!$A$2:$A$201=$A275)*(EXCEPCIONES_FECHA!$B$2:$B$201=$B275),0)),IFERROR(INDEX(EXCEPCIONES_FECHA!$F$2:$F$201,MATCH(1,(EXCEPCIONES_FECHA!$A$2:$A$201=$A275)*(EXCEPCIONES_FECHA!$B$2:$B$201=""),0)),IFERROR(INDEX(IF($I275="FIN",HISTORIAL_HORARIOS!$L$2:$L$201,HISTORIAL_HORARIOS!$H$2:$H$201),MATCH(1,(HISTORIAL_HORARIOS!$A$2:$A$201=$B275)*(HISTORIAL_HORARIOS!$C$2:$C$201&lt;=$A275)*(HISTORIAL_HORARIOS!$D$2:$D$201&gt;=$A275),0)),INDEX(IF($I275="FIN",PERSONAL!$L$2:$L$80,PERSONAL!$H$2:$H$80),MATCH($B275,PERSONAL!$A$2:$A$80,0)))))</f>
        <v/>
      </c>
    </row>
    <row r="276" ht="15" customHeight="1" s="58">
      <c r="A276" s="37" t="n"/>
      <c r="B276" s="38" t="n"/>
      <c r="C276" s="39" t="n"/>
      <c r="D276" s="39" t="n"/>
      <c r="E276" s="34">
        <f t="array" ref="E276">IF($B276="","",IFERROR(INDEX(PERSONAL!$B$2:$B$80,MATCH($B276,PERSONAL!$A$2:$A$80,0)),"NO EXISTE"))</f>
        <v/>
      </c>
      <c r="F276" s="52">
        <f t="array" ref="F276">IF($B276="","",IFERROR(INDEX(PERSONAL!$C$2:$C$80,MATCH($B276,PERSONAL!$A$2:$A$80,0)),""))</f>
        <v/>
      </c>
      <c r="G276" s="52">
        <f>IF($A276="","",CHOOSE(WEEKDAY($A276,2),"LUNES","MARTES","MIÉRCOLES","JUEVES","VIERNES","SÁBADO","DOMINGO"))</f>
        <v/>
      </c>
      <c r="H276" s="34">
        <f>IF($A276="","",CHOOSE(MONTH($A276),"ENERO","FEBRERO","MARZO","ABRIL","MAYO","JUNIO","JULIO","AGOSTO","SEPTIEMBRE","OCTUBRE","NOVIEMBRE","DICIEMBRE"))</f>
        <v/>
      </c>
      <c r="I276" s="34">
        <f>IF($A276="","",IF(OR($G276="SÁBADO",$G276="DOMINGO"),"FIN","LV"))</f>
        <v/>
      </c>
      <c r="J276" s="34">
        <f>IF(OR($A276="",$B276=""),"",IF($L276&lt;&gt;"",UPPER($L276),IF($C276="","FALTA",IFERROR(IF($C276&gt;=$O276,"ROJO FUERTE",IF($C276&gt;=$N276,"ROJO",IF($C276&gt;=$M276,"AMARILLO","VERDE"))),"REVISAR"))))</f>
        <v/>
      </c>
      <c r="K276" s="36">
        <f>IF(OR($C276="",$D276=""),"",IF($D276&gt;=$C276,($D276-$C276)*24,(1-$C276+$D276)*24))</f>
        <v/>
      </c>
      <c r="L276" s="34" t="n"/>
      <c r="M276" s="53">
        <f t="array" ref="M276">IFERROR(INDEX(EXCEPCIONES_FECHA!$D$2:$D$201,MATCH(1,(EXCEPCIONES_FECHA!$A$2:$A$201=$A276)*(EXCEPCIONES_FECHA!$B$2:$B$201=$B276),0)),IFERROR(INDEX(EXCEPCIONES_FECHA!$D$2:$D$201,MATCH(1,(EXCEPCIONES_FECHA!$A$2:$A$201=$A276)*(EXCEPCIONES_FECHA!$B$2:$B$201=""),0)),IFERROR(INDEX(IF($I276="FIN",HISTORIAL_HORARIOS!$J$2:$J$201,HISTORIAL_HORARIOS!$F$2:$F$201),MATCH(1,(HISTORIAL_HORARIOS!$A$2:$A$201=$B276)*(HISTORIAL_HORARIOS!$C$2:$C$201&lt;=$A276)*(HISTORIAL_HORARIOS!$D$2:$D$201&gt;=$A276),0)),INDEX(IF($I276="FIN",PERSONAL!$J$2:$J$80,PERSONAL!$F$2:$F$80),MATCH($B276,PERSONAL!$A$2:$A$80,0)))))</f>
        <v/>
      </c>
      <c r="N276" s="53">
        <f t="array" ref="N276">IFERROR(INDEX(EXCEPCIONES_FECHA!$E$2:$E$201,MATCH(1,(EXCEPCIONES_FECHA!$A$2:$A$201=$A276)*(EXCEPCIONES_FECHA!$B$2:$B$201=$B276),0)),IFERROR(INDEX(EXCEPCIONES_FECHA!$E$2:$E$201,MATCH(1,(EXCEPCIONES_FECHA!$A$2:$A$201=$A276)*(EXCEPCIONES_FECHA!$B$2:$B$201=""),0)),IFERROR(INDEX(IF($I276="FIN",HISTORIAL_HORARIOS!$K$2:$K$201,HISTORIAL_HORARIOS!$G$2:$G$201),MATCH(1,(HISTORIAL_HORARIOS!$A$2:$A$201=$B276)*(HISTORIAL_HORARIOS!$C$2:$C$201&lt;=$A276)*(HISTORIAL_HORARIOS!$D$2:$D$201&gt;=$A276),0)),INDEX(IF($I276="FIN",PERSONAL!$K$2:$K$80,PERSONAL!$G$2:$G$80),MATCH($B276,PERSONAL!$A$2:$A$80,0)))))</f>
        <v/>
      </c>
      <c r="O276" s="53">
        <f t="array" ref="O276">IFERROR(INDEX(EXCEPCIONES_FECHA!$F$2:$F$201,MATCH(1,(EXCEPCIONES_FECHA!$A$2:$A$201=$A276)*(EXCEPCIONES_FECHA!$B$2:$B$201=$B276),0)),IFERROR(INDEX(EXCEPCIONES_FECHA!$F$2:$F$201,MATCH(1,(EXCEPCIONES_FECHA!$A$2:$A$201=$A276)*(EXCEPCIONES_FECHA!$B$2:$B$201=""),0)),IFERROR(INDEX(IF($I276="FIN",HISTORIAL_HORARIOS!$L$2:$L$201,HISTORIAL_HORARIOS!$H$2:$H$201),MATCH(1,(HISTORIAL_HORARIOS!$A$2:$A$201=$B276)*(HISTORIAL_HORARIOS!$C$2:$C$201&lt;=$A276)*(HISTORIAL_HORARIOS!$D$2:$D$201&gt;=$A276),0)),INDEX(IF($I276="FIN",PERSONAL!$L$2:$L$80,PERSONAL!$H$2:$H$80),MATCH($B276,PERSONAL!$A$2:$A$80,0)))))</f>
        <v/>
      </c>
    </row>
    <row r="277" ht="15" customHeight="1" s="58">
      <c r="A277" s="37" t="n"/>
      <c r="B277" s="38" t="n"/>
      <c r="C277" s="39" t="n"/>
      <c r="D277" s="39" t="n"/>
      <c r="E277" s="34">
        <f t="array" ref="E277">IF($B277="","",IFERROR(INDEX(PERSONAL!$B$2:$B$80,MATCH($B277,PERSONAL!$A$2:$A$80,0)),"NO EXISTE"))</f>
        <v/>
      </c>
      <c r="F277" s="52">
        <f t="array" ref="F277">IF($B277="","",IFERROR(INDEX(PERSONAL!$C$2:$C$80,MATCH($B277,PERSONAL!$A$2:$A$80,0)),""))</f>
        <v/>
      </c>
      <c r="G277" s="52">
        <f>IF($A277="","",CHOOSE(WEEKDAY($A277,2),"LUNES","MARTES","MIÉRCOLES","JUEVES","VIERNES","SÁBADO","DOMINGO"))</f>
        <v/>
      </c>
      <c r="H277" s="34">
        <f>IF($A277="","",CHOOSE(MONTH($A277),"ENERO","FEBRERO","MARZO","ABRIL","MAYO","JUNIO","JULIO","AGOSTO","SEPTIEMBRE","OCTUBRE","NOVIEMBRE","DICIEMBRE"))</f>
        <v/>
      </c>
      <c r="I277" s="34">
        <f>IF($A277="","",IF(OR($G277="SÁBADO",$G277="DOMINGO"),"FIN","LV"))</f>
        <v/>
      </c>
      <c r="J277" s="34">
        <f>IF(OR($A277="",$B277=""),"",IF($L277&lt;&gt;"",UPPER($L277),IF($C277="","FALTA",IFERROR(IF($C277&gt;=$O277,"ROJO FUERTE",IF($C277&gt;=$N277,"ROJO",IF($C277&gt;=$M277,"AMARILLO","VERDE"))),"REVISAR"))))</f>
        <v/>
      </c>
      <c r="K277" s="36">
        <f>IF(OR($C277="",$D277=""),"",IF($D277&gt;=$C277,($D277-$C277)*24,(1-$C277+$D277)*24))</f>
        <v/>
      </c>
      <c r="L277" s="34" t="n"/>
      <c r="M277" s="53">
        <f t="array" ref="M277">IFERROR(INDEX(EXCEPCIONES_FECHA!$D$2:$D$201,MATCH(1,(EXCEPCIONES_FECHA!$A$2:$A$201=$A277)*(EXCEPCIONES_FECHA!$B$2:$B$201=$B277),0)),IFERROR(INDEX(EXCEPCIONES_FECHA!$D$2:$D$201,MATCH(1,(EXCEPCIONES_FECHA!$A$2:$A$201=$A277)*(EXCEPCIONES_FECHA!$B$2:$B$201=""),0)),IFERROR(INDEX(IF($I277="FIN",HISTORIAL_HORARIOS!$J$2:$J$201,HISTORIAL_HORARIOS!$F$2:$F$201),MATCH(1,(HISTORIAL_HORARIOS!$A$2:$A$201=$B277)*(HISTORIAL_HORARIOS!$C$2:$C$201&lt;=$A277)*(HISTORIAL_HORARIOS!$D$2:$D$201&gt;=$A277),0)),INDEX(IF($I277="FIN",PERSONAL!$J$2:$J$80,PERSONAL!$F$2:$F$80),MATCH($B277,PERSONAL!$A$2:$A$80,0)))))</f>
        <v/>
      </c>
      <c r="N277" s="53">
        <f t="array" ref="N277">IFERROR(INDEX(EXCEPCIONES_FECHA!$E$2:$E$201,MATCH(1,(EXCEPCIONES_FECHA!$A$2:$A$201=$A277)*(EXCEPCIONES_FECHA!$B$2:$B$201=$B277),0)),IFERROR(INDEX(EXCEPCIONES_FECHA!$E$2:$E$201,MATCH(1,(EXCEPCIONES_FECHA!$A$2:$A$201=$A277)*(EXCEPCIONES_FECHA!$B$2:$B$201=""),0)),IFERROR(INDEX(IF($I277="FIN",HISTORIAL_HORARIOS!$K$2:$K$201,HISTORIAL_HORARIOS!$G$2:$G$201),MATCH(1,(HISTORIAL_HORARIOS!$A$2:$A$201=$B277)*(HISTORIAL_HORARIOS!$C$2:$C$201&lt;=$A277)*(HISTORIAL_HORARIOS!$D$2:$D$201&gt;=$A277),0)),INDEX(IF($I277="FIN",PERSONAL!$K$2:$K$80,PERSONAL!$G$2:$G$80),MATCH($B277,PERSONAL!$A$2:$A$80,0)))))</f>
        <v/>
      </c>
      <c r="O277" s="53">
        <f t="array" ref="O277">IFERROR(INDEX(EXCEPCIONES_FECHA!$F$2:$F$201,MATCH(1,(EXCEPCIONES_FECHA!$A$2:$A$201=$A277)*(EXCEPCIONES_FECHA!$B$2:$B$201=$B277),0)),IFERROR(INDEX(EXCEPCIONES_FECHA!$F$2:$F$201,MATCH(1,(EXCEPCIONES_FECHA!$A$2:$A$201=$A277)*(EXCEPCIONES_FECHA!$B$2:$B$201=""),0)),IFERROR(INDEX(IF($I277="FIN",HISTORIAL_HORARIOS!$L$2:$L$201,HISTORIAL_HORARIOS!$H$2:$H$201),MATCH(1,(HISTORIAL_HORARIOS!$A$2:$A$201=$B277)*(HISTORIAL_HORARIOS!$C$2:$C$201&lt;=$A277)*(HISTORIAL_HORARIOS!$D$2:$D$201&gt;=$A277),0)),INDEX(IF($I277="FIN",PERSONAL!$L$2:$L$80,PERSONAL!$H$2:$H$80),MATCH($B277,PERSONAL!$A$2:$A$80,0)))))</f>
        <v/>
      </c>
    </row>
    <row r="278" ht="15" customHeight="1" s="58">
      <c r="A278" s="37" t="n"/>
      <c r="B278" s="38" t="n"/>
      <c r="C278" s="39" t="n"/>
      <c r="D278" s="39" t="n"/>
      <c r="E278" s="34">
        <f t="array" ref="E278">IF($B278="","",IFERROR(INDEX(PERSONAL!$B$2:$B$80,MATCH($B278,PERSONAL!$A$2:$A$80,0)),"NO EXISTE"))</f>
        <v/>
      </c>
      <c r="F278" s="52">
        <f t="array" ref="F278">IF($B278="","",IFERROR(INDEX(PERSONAL!$C$2:$C$80,MATCH($B278,PERSONAL!$A$2:$A$80,0)),""))</f>
        <v/>
      </c>
      <c r="G278" s="52">
        <f>IF($A278="","",CHOOSE(WEEKDAY($A278,2),"LUNES","MARTES","MIÉRCOLES","JUEVES","VIERNES","SÁBADO","DOMINGO"))</f>
        <v/>
      </c>
      <c r="H278" s="34">
        <f>IF($A278="","",CHOOSE(MONTH($A278),"ENERO","FEBRERO","MARZO","ABRIL","MAYO","JUNIO","JULIO","AGOSTO","SEPTIEMBRE","OCTUBRE","NOVIEMBRE","DICIEMBRE"))</f>
        <v/>
      </c>
      <c r="I278" s="34">
        <f>IF($A278="","",IF(OR($G278="SÁBADO",$G278="DOMINGO"),"FIN","LV"))</f>
        <v/>
      </c>
      <c r="J278" s="34">
        <f>IF(OR($A278="",$B278=""),"",IF($L278&lt;&gt;"",UPPER($L278),IF($C278="","FALTA",IFERROR(IF($C278&gt;=$O278,"ROJO FUERTE",IF($C278&gt;=$N278,"ROJO",IF($C278&gt;=$M278,"AMARILLO","VERDE"))),"REVISAR"))))</f>
        <v/>
      </c>
      <c r="K278" s="36">
        <f>IF(OR($C278="",$D278=""),"",IF($D278&gt;=$C278,($D278-$C278)*24,(1-$C278+$D278)*24))</f>
        <v/>
      </c>
      <c r="L278" s="34" t="n"/>
      <c r="M278" s="53">
        <f t="array" ref="M278">IFERROR(INDEX(EXCEPCIONES_FECHA!$D$2:$D$201,MATCH(1,(EXCEPCIONES_FECHA!$A$2:$A$201=$A278)*(EXCEPCIONES_FECHA!$B$2:$B$201=$B278),0)),IFERROR(INDEX(EXCEPCIONES_FECHA!$D$2:$D$201,MATCH(1,(EXCEPCIONES_FECHA!$A$2:$A$201=$A278)*(EXCEPCIONES_FECHA!$B$2:$B$201=""),0)),IFERROR(INDEX(IF($I278="FIN",HISTORIAL_HORARIOS!$J$2:$J$201,HISTORIAL_HORARIOS!$F$2:$F$201),MATCH(1,(HISTORIAL_HORARIOS!$A$2:$A$201=$B278)*(HISTORIAL_HORARIOS!$C$2:$C$201&lt;=$A278)*(HISTORIAL_HORARIOS!$D$2:$D$201&gt;=$A278),0)),INDEX(IF($I278="FIN",PERSONAL!$J$2:$J$80,PERSONAL!$F$2:$F$80),MATCH($B278,PERSONAL!$A$2:$A$80,0)))))</f>
        <v/>
      </c>
      <c r="N278" s="53">
        <f t="array" ref="N278">IFERROR(INDEX(EXCEPCIONES_FECHA!$E$2:$E$201,MATCH(1,(EXCEPCIONES_FECHA!$A$2:$A$201=$A278)*(EXCEPCIONES_FECHA!$B$2:$B$201=$B278),0)),IFERROR(INDEX(EXCEPCIONES_FECHA!$E$2:$E$201,MATCH(1,(EXCEPCIONES_FECHA!$A$2:$A$201=$A278)*(EXCEPCIONES_FECHA!$B$2:$B$201=""),0)),IFERROR(INDEX(IF($I278="FIN",HISTORIAL_HORARIOS!$K$2:$K$201,HISTORIAL_HORARIOS!$G$2:$G$201),MATCH(1,(HISTORIAL_HORARIOS!$A$2:$A$201=$B278)*(HISTORIAL_HORARIOS!$C$2:$C$201&lt;=$A278)*(HISTORIAL_HORARIOS!$D$2:$D$201&gt;=$A278),0)),INDEX(IF($I278="FIN",PERSONAL!$K$2:$K$80,PERSONAL!$G$2:$G$80),MATCH($B278,PERSONAL!$A$2:$A$80,0)))))</f>
        <v/>
      </c>
      <c r="O278" s="53">
        <f t="array" ref="O278">IFERROR(INDEX(EXCEPCIONES_FECHA!$F$2:$F$201,MATCH(1,(EXCEPCIONES_FECHA!$A$2:$A$201=$A278)*(EXCEPCIONES_FECHA!$B$2:$B$201=$B278),0)),IFERROR(INDEX(EXCEPCIONES_FECHA!$F$2:$F$201,MATCH(1,(EXCEPCIONES_FECHA!$A$2:$A$201=$A278)*(EXCEPCIONES_FECHA!$B$2:$B$201=""),0)),IFERROR(INDEX(IF($I278="FIN",HISTORIAL_HORARIOS!$L$2:$L$201,HISTORIAL_HORARIOS!$H$2:$H$201),MATCH(1,(HISTORIAL_HORARIOS!$A$2:$A$201=$B278)*(HISTORIAL_HORARIOS!$C$2:$C$201&lt;=$A278)*(HISTORIAL_HORARIOS!$D$2:$D$201&gt;=$A278),0)),INDEX(IF($I278="FIN",PERSONAL!$L$2:$L$80,PERSONAL!$H$2:$H$80),MATCH($B278,PERSONAL!$A$2:$A$80,0)))))</f>
        <v/>
      </c>
    </row>
    <row r="279" ht="15" customHeight="1" s="58">
      <c r="A279" s="37" t="n"/>
      <c r="B279" s="38" t="n"/>
      <c r="C279" s="39" t="n"/>
      <c r="D279" s="39" t="n"/>
      <c r="E279" s="34">
        <f t="array" ref="E279">IF($B279="","",IFERROR(INDEX(PERSONAL!$B$2:$B$80,MATCH($B279,PERSONAL!$A$2:$A$80,0)),"NO EXISTE"))</f>
        <v/>
      </c>
      <c r="F279" s="52">
        <f t="array" ref="F279">IF($B279="","",IFERROR(INDEX(PERSONAL!$C$2:$C$80,MATCH($B279,PERSONAL!$A$2:$A$80,0)),""))</f>
        <v/>
      </c>
      <c r="G279" s="52">
        <f>IF($A279="","",CHOOSE(WEEKDAY($A279,2),"LUNES","MARTES","MIÉRCOLES","JUEVES","VIERNES","SÁBADO","DOMINGO"))</f>
        <v/>
      </c>
      <c r="H279" s="34">
        <f>IF($A279="","",CHOOSE(MONTH($A279),"ENERO","FEBRERO","MARZO","ABRIL","MAYO","JUNIO","JULIO","AGOSTO","SEPTIEMBRE","OCTUBRE","NOVIEMBRE","DICIEMBRE"))</f>
        <v/>
      </c>
      <c r="I279" s="34">
        <f>IF($A279="","",IF(OR($G279="SÁBADO",$G279="DOMINGO"),"FIN","LV"))</f>
        <v/>
      </c>
      <c r="J279" s="34">
        <f>IF(OR($A279="",$B279=""),"",IF($L279&lt;&gt;"",UPPER($L279),IF($C279="","FALTA",IFERROR(IF($C279&gt;=$O279,"ROJO FUERTE",IF($C279&gt;=$N279,"ROJO",IF($C279&gt;=$M279,"AMARILLO","VERDE"))),"REVISAR"))))</f>
        <v/>
      </c>
      <c r="K279" s="36">
        <f>IF(OR($C279="",$D279=""),"",IF($D279&gt;=$C279,($D279-$C279)*24,(1-$C279+$D279)*24))</f>
        <v/>
      </c>
      <c r="L279" s="34" t="n"/>
      <c r="M279" s="53">
        <f t="array" ref="M279">IFERROR(INDEX(EXCEPCIONES_FECHA!$D$2:$D$201,MATCH(1,(EXCEPCIONES_FECHA!$A$2:$A$201=$A279)*(EXCEPCIONES_FECHA!$B$2:$B$201=$B279),0)),IFERROR(INDEX(EXCEPCIONES_FECHA!$D$2:$D$201,MATCH(1,(EXCEPCIONES_FECHA!$A$2:$A$201=$A279)*(EXCEPCIONES_FECHA!$B$2:$B$201=""),0)),IFERROR(INDEX(IF($I279="FIN",HISTORIAL_HORARIOS!$J$2:$J$201,HISTORIAL_HORARIOS!$F$2:$F$201),MATCH(1,(HISTORIAL_HORARIOS!$A$2:$A$201=$B279)*(HISTORIAL_HORARIOS!$C$2:$C$201&lt;=$A279)*(HISTORIAL_HORARIOS!$D$2:$D$201&gt;=$A279),0)),INDEX(IF($I279="FIN",PERSONAL!$J$2:$J$80,PERSONAL!$F$2:$F$80),MATCH($B279,PERSONAL!$A$2:$A$80,0)))))</f>
        <v/>
      </c>
      <c r="N279" s="53">
        <f t="array" ref="N279">IFERROR(INDEX(EXCEPCIONES_FECHA!$E$2:$E$201,MATCH(1,(EXCEPCIONES_FECHA!$A$2:$A$201=$A279)*(EXCEPCIONES_FECHA!$B$2:$B$201=$B279),0)),IFERROR(INDEX(EXCEPCIONES_FECHA!$E$2:$E$201,MATCH(1,(EXCEPCIONES_FECHA!$A$2:$A$201=$A279)*(EXCEPCIONES_FECHA!$B$2:$B$201=""),0)),IFERROR(INDEX(IF($I279="FIN",HISTORIAL_HORARIOS!$K$2:$K$201,HISTORIAL_HORARIOS!$G$2:$G$201),MATCH(1,(HISTORIAL_HORARIOS!$A$2:$A$201=$B279)*(HISTORIAL_HORARIOS!$C$2:$C$201&lt;=$A279)*(HISTORIAL_HORARIOS!$D$2:$D$201&gt;=$A279),0)),INDEX(IF($I279="FIN",PERSONAL!$K$2:$K$80,PERSONAL!$G$2:$G$80),MATCH($B279,PERSONAL!$A$2:$A$80,0)))))</f>
        <v/>
      </c>
      <c r="O279" s="53">
        <f t="array" ref="O279">IFERROR(INDEX(EXCEPCIONES_FECHA!$F$2:$F$201,MATCH(1,(EXCEPCIONES_FECHA!$A$2:$A$201=$A279)*(EXCEPCIONES_FECHA!$B$2:$B$201=$B279),0)),IFERROR(INDEX(EXCEPCIONES_FECHA!$F$2:$F$201,MATCH(1,(EXCEPCIONES_FECHA!$A$2:$A$201=$A279)*(EXCEPCIONES_FECHA!$B$2:$B$201=""),0)),IFERROR(INDEX(IF($I279="FIN",HISTORIAL_HORARIOS!$L$2:$L$201,HISTORIAL_HORARIOS!$H$2:$H$201),MATCH(1,(HISTORIAL_HORARIOS!$A$2:$A$201=$B279)*(HISTORIAL_HORARIOS!$C$2:$C$201&lt;=$A279)*(HISTORIAL_HORARIOS!$D$2:$D$201&gt;=$A279),0)),INDEX(IF($I279="FIN",PERSONAL!$L$2:$L$80,PERSONAL!$H$2:$H$80),MATCH($B279,PERSONAL!$A$2:$A$80,0)))))</f>
        <v/>
      </c>
    </row>
    <row r="280" ht="15" customHeight="1" s="58">
      <c r="A280" s="37" t="n"/>
      <c r="B280" s="38" t="n"/>
      <c r="C280" s="39" t="n"/>
      <c r="D280" s="39" t="n"/>
      <c r="E280" s="34">
        <f t="array" ref="E280">IF($B280="","",IFERROR(INDEX(PERSONAL!$B$2:$B$80,MATCH($B280,PERSONAL!$A$2:$A$80,0)),"NO EXISTE"))</f>
        <v/>
      </c>
      <c r="F280" s="52">
        <f t="array" ref="F280">IF($B280="","",IFERROR(INDEX(PERSONAL!$C$2:$C$80,MATCH($B280,PERSONAL!$A$2:$A$80,0)),""))</f>
        <v/>
      </c>
      <c r="G280" s="52">
        <f>IF($A280="","",CHOOSE(WEEKDAY($A280,2),"LUNES","MARTES","MIÉRCOLES","JUEVES","VIERNES","SÁBADO","DOMINGO"))</f>
        <v/>
      </c>
      <c r="H280" s="34">
        <f>IF($A280="","",CHOOSE(MONTH($A280),"ENERO","FEBRERO","MARZO","ABRIL","MAYO","JUNIO","JULIO","AGOSTO","SEPTIEMBRE","OCTUBRE","NOVIEMBRE","DICIEMBRE"))</f>
        <v/>
      </c>
      <c r="I280" s="34">
        <f>IF($A280="","",IF(OR($G280="SÁBADO",$G280="DOMINGO"),"FIN","LV"))</f>
        <v/>
      </c>
      <c r="J280" s="34">
        <f>IF(OR($A280="",$B280=""),"",IF($L280&lt;&gt;"",UPPER($L280),IF($C280="","FALTA",IFERROR(IF($C280&gt;=$O280,"ROJO FUERTE",IF($C280&gt;=$N280,"ROJO",IF($C280&gt;=$M280,"AMARILLO","VERDE"))),"REVISAR"))))</f>
        <v/>
      </c>
      <c r="K280" s="36">
        <f>IF(OR($C280="",$D280=""),"",IF($D280&gt;=$C280,($D280-$C280)*24,(1-$C280+$D280)*24))</f>
        <v/>
      </c>
      <c r="L280" s="34" t="n"/>
      <c r="M280" s="53">
        <f t="array" ref="M280">IFERROR(INDEX(EXCEPCIONES_FECHA!$D$2:$D$201,MATCH(1,(EXCEPCIONES_FECHA!$A$2:$A$201=$A280)*(EXCEPCIONES_FECHA!$B$2:$B$201=$B280),0)),IFERROR(INDEX(EXCEPCIONES_FECHA!$D$2:$D$201,MATCH(1,(EXCEPCIONES_FECHA!$A$2:$A$201=$A280)*(EXCEPCIONES_FECHA!$B$2:$B$201=""),0)),IFERROR(INDEX(IF($I280="FIN",HISTORIAL_HORARIOS!$J$2:$J$201,HISTORIAL_HORARIOS!$F$2:$F$201),MATCH(1,(HISTORIAL_HORARIOS!$A$2:$A$201=$B280)*(HISTORIAL_HORARIOS!$C$2:$C$201&lt;=$A280)*(HISTORIAL_HORARIOS!$D$2:$D$201&gt;=$A280),0)),INDEX(IF($I280="FIN",PERSONAL!$J$2:$J$80,PERSONAL!$F$2:$F$80),MATCH($B280,PERSONAL!$A$2:$A$80,0)))))</f>
        <v/>
      </c>
      <c r="N280" s="53">
        <f t="array" ref="N280">IFERROR(INDEX(EXCEPCIONES_FECHA!$E$2:$E$201,MATCH(1,(EXCEPCIONES_FECHA!$A$2:$A$201=$A280)*(EXCEPCIONES_FECHA!$B$2:$B$201=$B280),0)),IFERROR(INDEX(EXCEPCIONES_FECHA!$E$2:$E$201,MATCH(1,(EXCEPCIONES_FECHA!$A$2:$A$201=$A280)*(EXCEPCIONES_FECHA!$B$2:$B$201=""),0)),IFERROR(INDEX(IF($I280="FIN",HISTORIAL_HORARIOS!$K$2:$K$201,HISTORIAL_HORARIOS!$G$2:$G$201),MATCH(1,(HISTORIAL_HORARIOS!$A$2:$A$201=$B280)*(HISTORIAL_HORARIOS!$C$2:$C$201&lt;=$A280)*(HISTORIAL_HORARIOS!$D$2:$D$201&gt;=$A280),0)),INDEX(IF($I280="FIN",PERSONAL!$K$2:$K$80,PERSONAL!$G$2:$G$80),MATCH($B280,PERSONAL!$A$2:$A$80,0)))))</f>
        <v/>
      </c>
      <c r="O280" s="53">
        <f t="array" ref="O280">IFERROR(INDEX(EXCEPCIONES_FECHA!$F$2:$F$201,MATCH(1,(EXCEPCIONES_FECHA!$A$2:$A$201=$A280)*(EXCEPCIONES_FECHA!$B$2:$B$201=$B280),0)),IFERROR(INDEX(EXCEPCIONES_FECHA!$F$2:$F$201,MATCH(1,(EXCEPCIONES_FECHA!$A$2:$A$201=$A280)*(EXCEPCIONES_FECHA!$B$2:$B$201=""),0)),IFERROR(INDEX(IF($I280="FIN",HISTORIAL_HORARIOS!$L$2:$L$201,HISTORIAL_HORARIOS!$H$2:$H$201),MATCH(1,(HISTORIAL_HORARIOS!$A$2:$A$201=$B280)*(HISTORIAL_HORARIOS!$C$2:$C$201&lt;=$A280)*(HISTORIAL_HORARIOS!$D$2:$D$201&gt;=$A280),0)),INDEX(IF($I280="FIN",PERSONAL!$L$2:$L$80,PERSONAL!$H$2:$H$80),MATCH($B280,PERSONAL!$A$2:$A$80,0)))))</f>
        <v/>
      </c>
    </row>
    <row r="281" ht="15" customHeight="1" s="58">
      <c r="A281" s="37" t="n"/>
      <c r="B281" s="38" t="n"/>
      <c r="C281" s="39" t="n"/>
      <c r="D281" s="39" t="n"/>
      <c r="E281" s="34">
        <f t="array" ref="E281">IF($B281="","",IFERROR(INDEX(PERSONAL!$B$2:$B$80,MATCH($B281,PERSONAL!$A$2:$A$80,0)),"NO EXISTE"))</f>
        <v/>
      </c>
      <c r="F281" s="52">
        <f t="array" ref="F281">IF($B281="","",IFERROR(INDEX(PERSONAL!$C$2:$C$80,MATCH($B281,PERSONAL!$A$2:$A$80,0)),""))</f>
        <v/>
      </c>
      <c r="G281" s="52">
        <f>IF($A281="","",CHOOSE(WEEKDAY($A281,2),"LUNES","MARTES","MIÉRCOLES","JUEVES","VIERNES","SÁBADO","DOMINGO"))</f>
        <v/>
      </c>
      <c r="H281" s="34">
        <f>IF($A281="","",CHOOSE(MONTH($A281),"ENERO","FEBRERO","MARZO","ABRIL","MAYO","JUNIO","JULIO","AGOSTO","SEPTIEMBRE","OCTUBRE","NOVIEMBRE","DICIEMBRE"))</f>
        <v/>
      </c>
      <c r="I281" s="34">
        <f>IF($A281="","",IF(OR($G281="SÁBADO",$G281="DOMINGO"),"FIN","LV"))</f>
        <v/>
      </c>
      <c r="J281" s="34">
        <f>IF(OR($A281="",$B281=""),"",IF($L281&lt;&gt;"",UPPER($L281),IF($C281="","FALTA",IFERROR(IF($C281&gt;=$O281,"ROJO FUERTE",IF($C281&gt;=$N281,"ROJO",IF($C281&gt;=$M281,"AMARILLO","VERDE"))),"REVISAR"))))</f>
        <v/>
      </c>
      <c r="K281" s="36">
        <f>IF(OR($C281="",$D281=""),"",IF($D281&gt;=$C281,($D281-$C281)*24,(1-$C281+$D281)*24))</f>
        <v/>
      </c>
      <c r="L281" s="34" t="n"/>
      <c r="M281" s="53">
        <f t="array" ref="M281">IFERROR(INDEX(EXCEPCIONES_FECHA!$D$2:$D$201,MATCH(1,(EXCEPCIONES_FECHA!$A$2:$A$201=$A281)*(EXCEPCIONES_FECHA!$B$2:$B$201=$B281),0)),IFERROR(INDEX(EXCEPCIONES_FECHA!$D$2:$D$201,MATCH(1,(EXCEPCIONES_FECHA!$A$2:$A$201=$A281)*(EXCEPCIONES_FECHA!$B$2:$B$201=""),0)),IFERROR(INDEX(IF($I281="FIN",HISTORIAL_HORARIOS!$J$2:$J$201,HISTORIAL_HORARIOS!$F$2:$F$201),MATCH(1,(HISTORIAL_HORARIOS!$A$2:$A$201=$B281)*(HISTORIAL_HORARIOS!$C$2:$C$201&lt;=$A281)*(HISTORIAL_HORARIOS!$D$2:$D$201&gt;=$A281),0)),INDEX(IF($I281="FIN",PERSONAL!$J$2:$J$80,PERSONAL!$F$2:$F$80),MATCH($B281,PERSONAL!$A$2:$A$80,0)))))</f>
        <v/>
      </c>
      <c r="N281" s="53">
        <f t="array" ref="N281">IFERROR(INDEX(EXCEPCIONES_FECHA!$E$2:$E$201,MATCH(1,(EXCEPCIONES_FECHA!$A$2:$A$201=$A281)*(EXCEPCIONES_FECHA!$B$2:$B$201=$B281),0)),IFERROR(INDEX(EXCEPCIONES_FECHA!$E$2:$E$201,MATCH(1,(EXCEPCIONES_FECHA!$A$2:$A$201=$A281)*(EXCEPCIONES_FECHA!$B$2:$B$201=""),0)),IFERROR(INDEX(IF($I281="FIN",HISTORIAL_HORARIOS!$K$2:$K$201,HISTORIAL_HORARIOS!$G$2:$G$201),MATCH(1,(HISTORIAL_HORARIOS!$A$2:$A$201=$B281)*(HISTORIAL_HORARIOS!$C$2:$C$201&lt;=$A281)*(HISTORIAL_HORARIOS!$D$2:$D$201&gt;=$A281),0)),INDEX(IF($I281="FIN",PERSONAL!$K$2:$K$80,PERSONAL!$G$2:$G$80),MATCH($B281,PERSONAL!$A$2:$A$80,0)))))</f>
        <v/>
      </c>
      <c r="O281" s="53">
        <f t="array" ref="O281">IFERROR(INDEX(EXCEPCIONES_FECHA!$F$2:$F$201,MATCH(1,(EXCEPCIONES_FECHA!$A$2:$A$201=$A281)*(EXCEPCIONES_FECHA!$B$2:$B$201=$B281),0)),IFERROR(INDEX(EXCEPCIONES_FECHA!$F$2:$F$201,MATCH(1,(EXCEPCIONES_FECHA!$A$2:$A$201=$A281)*(EXCEPCIONES_FECHA!$B$2:$B$201=""),0)),IFERROR(INDEX(IF($I281="FIN",HISTORIAL_HORARIOS!$L$2:$L$201,HISTORIAL_HORARIOS!$H$2:$H$201),MATCH(1,(HISTORIAL_HORARIOS!$A$2:$A$201=$B281)*(HISTORIAL_HORARIOS!$C$2:$C$201&lt;=$A281)*(HISTORIAL_HORARIOS!$D$2:$D$201&gt;=$A281),0)),INDEX(IF($I281="FIN",PERSONAL!$L$2:$L$80,PERSONAL!$H$2:$H$80),MATCH($B281,PERSONAL!$A$2:$A$80,0)))))</f>
        <v/>
      </c>
    </row>
    <row r="282" ht="15" customHeight="1" s="58">
      <c r="A282" s="37" t="n"/>
      <c r="B282" s="38" t="n"/>
      <c r="C282" s="39" t="n"/>
      <c r="D282" s="39" t="n"/>
      <c r="E282" s="34">
        <f t="array" ref="E282">IF($B282="","",IFERROR(INDEX(PERSONAL!$B$2:$B$80,MATCH($B282,PERSONAL!$A$2:$A$80,0)),"NO EXISTE"))</f>
        <v/>
      </c>
      <c r="F282" s="52">
        <f t="array" ref="F282">IF($B282="","",IFERROR(INDEX(PERSONAL!$C$2:$C$80,MATCH($B282,PERSONAL!$A$2:$A$80,0)),""))</f>
        <v/>
      </c>
      <c r="G282" s="52">
        <f>IF($A282="","",CHOOSE(WEEKDAY($A282,2),"LUNES","MARTES","MIÉRCOLES","JUEVES","VIERNES","SÁBADO","DOMINGO"))</f>
        <v/>
      </c>
      <c r="H282" s="34">
        <f>IF($A282="","",CHOOSE(MONTH($A282),"ENERO","FEBRERO","MARZO","ABRIL","MAYO","JUNIO","JULIO","AGOSTO","SEPTIEMBRE","OCTUBRE","NOVIEMBRE","DICIEMBRE"))</f>
        <v/>
      </c>
      <c r="I282" s="34">
        <f>IF($A282="","",IF(OR($G282="SÁBADO",$G282="DOMINGO"),"FIN","LV"))</f>
        <v/>
      </c>
      <c r="J282" s="34">
        <f>IF(OR($A282="",$B282=""),"",IF($L282&lt;&gt;"",UPPER($L282),IF($C282="","FALTA",IFERROR(IF($C282&gt;=$O282,"ROJO FUERTE",IF($C282&gt;=$N282,"ROJO",IF($C282&gt;=$M282,"AMARILLO","VERDE"))),"REVISAR"))))</f>
        <v/>
      </c>
      <c r="K282" s="36">
        <f>IF(OR($C282="",$D282=""),"",IF($D282&gt;=$C282,($D282-$C282)*24,(1-$C282+$D282)*24))</f>
        <v/>
      </c>
      <c r="L282" s="34" t="n"/>
      <c r="M282" s="53">
        <f t="array" ref="M282">IFERROR(INDEX(EXCEPCIONES_FECHA!$D$2:$D$201,MATCH(1,(EXCEPCIONES_FECHA!$A$2:$A$201=$A282)*(EXCEPCIONES_FECHA!$B$2:$B$201=$B282),0)),IFERROR(INDEX(EXCEPCIONES_FECHA!$D$2:$D$201,MATCH(1,(EXCEPCIONES_FECHA!$A$2:$A$201=$A282)*(EXCEPCIONES_FECHA!$B$2:$B$201=""),0)),IFERROR(INDEX(IF($I282="FIN",HISTORIAL_HORARIOS!$J$2:$J$201,HISTORIAL_HORARIOS!$F$2:$F$201),MATCH(1,(HISTORIAL_HORARIOS!$A$2:$A$201=$B282)*(HISTORIAL_HORARIOS!$C$2:$C$201&lt;=$A282)*(HISTORIAL_HORARIOS!$D$2:$D$201&gt;=$A282),0)),INDEX(IF($I282="FIN",PERSONAL!$J$2:$J$80,PERSONAL!$F$2:$F$80),MATCH($B282,PERSONAL!$A$2:$A$80,0)))))</f>
        <v/>
      </c>
      <c r="N282" s="53">
        <f t="array" ref="N282">IFERROR(INDEX(EXCEPCIONES_FECHA!$E$2:$E$201,MATCH(1,(EXCEPCIONES_FECHA!$A$2:$A$201=$A282)*(EXCEPCIONES_FECHA!$B$2:$B$201=$B282),0)),IFERROR(INDEX(EXCEPCIONES_FECHA!$E$2:$E$201,MATCH(1,(EXCEPCIONES_FECHA!$A$2:$A$201=$A282)*(EXCEPCIONES_FECHA!$B$2:$B$201=""),0)),IFERROR(INDEX(IF($I282="FIN",HISTORIAL_HORARIOS!$K$2:$K$201,HISTORIAL_HORARIOS!$G$2:$G$201),MATCH(1,(HISTORIAL_HORARIOS!$A$2:$A$201=$B282)*(HISTORIAL_HORARIOS!$C$2:$C$201&lt;=$A282)*(HISTORIAL_HORARIOS!$D$2:$D$201&gt;=$A282),0)),INDEX(IF($I282="FIN",PERSONAL!$K$2:$K$80,PERSONAL!$G$2:$G$80),MATCH($B282,PERSONAL!$A$2:$A$80,0)))))</f>
        <v/>
      </c>
      <c r="O282" s="53">
        <f t="array" ref="O282">IFERROR(INDEX(EXCEPCIONES_FECHA!$F$2:$F$201,MATCH(1,(EXCEPCIONES_FECHA!$A$2:$A$201=$A282)*(EXCEPCIONES_FECHA!$B$2:$B$201=$B282),0)),IFERROR(INDEX(EXCEPCIONES_FECHA!$F$2:$F$201,MATCH(1,(EXCEPCIONES_FECHA!$A$2:$A$201=$A282)*(EXCEPCIONES_FECHA!$B$2:$B$201=""),0)),IFERROR(INDEX(IF($I282="FIN",HISTORIAL_HORARIOS!$L$2:$L$201,HISTORIAL_HORARIOS!$H$2:$H$201),MATCH(1,(HISTORIAL_HORARIOS!$A$2:$A$201=$B282)*(HISTORIAL_HORARIOS!$C$2:$C$201&lt;=$A282)*(HISTORIAL_HORARIOS!$D$2:$D$201&gt;=$A282),0)),INDEX(IF($I282="FIN",PERSONAL!$L$2:$L$80,PERSONAL!$H$2:$H$80),MATCH($B282,PERSONAL!$A$2:$A$80,0)))))</f>
        <v/>
      </c>
    </row>
    <row r="283" ht="15" customHeight="1" s="58">
      <c r="A283" s="37" t="n"/>
      <c r="B283" s="38" t="n"/>
      <c r="C283" s="39" t="n"/>
      <c r="D283" s="39" t="n"/>
      <c r="E283" s="34">
        <f t="array" ref="E283">IF($B283="","",IFERROR(INDEX(PERSONAL!$B$2:$B$80,MATCH($B283,PERSONAL!$A$2:$A$80,0)),"NO EXISTE"))</f>
        <v/>
      </c>
      <c r="F283" s="52">
        <f t="array" ref="F283">IF($B283="","",IFERROR(INDEX(PERSONAL!$C$2:$C$80,MATCH($B283,PERSONAL!$A$2:$A$80,0)),""))</f>
        <v/>
      </c>
      <c r="G283" s="52">
        <f>IF($A283="","",CHOOSE(WEEKDAY($A283,2),"LUNES","MARTES","MIÉRCOLES","JUEVES","VIERNES","SÁBADO","DOMINGO"))</f>
        <v/>
      </c>
      <c r="H283" s="34">
        <f>IF($A283="","",CHOOSE(MONTH($A283),"ENERO","FEBRERO","MARZO","ABRIL","MAYO","JUNIO","JULIO","AGOSTO","SEPTIEMBRE","OCTUBRE","NOVIEMBRE","DICIEMBRE"))</f>
        <v/>
      </c>
      <c r="I283" s="34">
        <f>IF($A283="","",IF(OR($G283="SÁBADO",$G283="DOMINGO"),"FIN","LV"))</f>
        <v/>
      </c>
      <c r="J283" s="34">
        <f>IF(OR($A283="",$B283=""),"",IF($L283&lt;&gt;"",UPPER($L283),IF($C283="","FALTA",IFERROR(IF($C283&gt;=$O283,"ROJO FUERTE",IF($C283&gt;=$N283,"ROJO",IF($C283&gt;=$M283,"AMARILLO","VERDE"))),"REVISAR"))))</f>
        <v/>
      </c>
      <c r="K283" s="36">
        <f>IF(OR($C283="",$D283=""),"",IF($D283&gt;=$C283,($D283-$C283)*24,(1-$C283+$D283)*24))</f>
        <v/>
      </c>
      <c r="L283" s="34" t="n"/>
      <c r="M283" s="53">
        <f t="array" ref="M283">IFERROR(INDEX(EXCEPCIONES_FECHA!$D$2:$D$201,MATCH(1,(EXCEPCIONES_FECHA!$A$2:$A$201=$A283)*(EXCEPCIONES_FECHA!$B$2:$B$201=$B283),0)),IFERROR(INDEX(EXCEPCIONES_FECHA!$D$2:$D$201,MATCH(1,(EXCEPCIONES_FECHA!$A$2:$A$201=$A283)*(EXCEPCIONES_FECHA!$B$2:$B$201=""),0)),IFERROR(INDEX(IF($I283="FIN",HISTORIAL_HORARIOS!$J$2:$J$201,HISTORIAL_HORARIOS!$F$2:$F$201),MATCH(1,(HISTORIAL_HORARIOS!$A$2:$A$201=$B283)*(HISTORIAL_HORARIOS!$C$2:$C$201&lt;=$A283)*(HISTORIAL_HORARIOS!$D$2:$D$201&gt;=$A283),0)),INDEX(IF($I283="FIN",PERSONAL!$J$2:$J$80,PERSONAL!$F$2:$F$80),MATCH($B283,PERSONAL!$A$2:$A$80,0)))))</f>
        <v/>
      </c>
      <c r="N283" s="53">
        <f t="array" ref="N283">IFERROR(INDEX(EXCEPCIONES_FECHA!$E$2:$E$201,MATCH(1,(EXCEPCIONES_FECHA!$A$2:$A$201=$A283)*(EXCEPCIONES_FECHA!$B$2:$B$201=$B283),0)),IFERROR(INDEX(EXCEPCIONES_FECHA!$E$2:$E$201,MATCH(1,(EXCEPCIONES_FECHA!$A$2:$A$201=$A283)*(EXCEPCIONES_FECHA!$B$2:$B$201=""),0)),IFERROR(INDEX(IF($I283="FIN",HISTORIAL_HORARIOS!$K$2:$K$201,HISTORIAL_HORARIOS!$G$2:$G$201),MATCH(1,(HISTORIAL_HORARIOS!$A$2:$A$201=$B283)*(HISTORIAL_HORARIOS!$C$2:$C$201&lt;=$A283)*(HISTORIAL_HORARIOS!$D$2:$D$201&gt;=$A283),0)),INDEX(IF($I283="FIN",PERSONAL!$K$2:$K$80,PERSONAL!$G$2:$G$80),MATCH($B283,PERSONAL!$A$2:$A$80,0)))))</f>
        <v/>
      </c>
      <c r="O283" s="53">
        <f t="array" ref="O283">IFERROR(INDEX(EXCEPCIONES_FECHA!$F$2:$F$201,MATCH(1,(EXCEPCIONES_FECHA!$A$2:$A$201=$A283)*(EXCEPCIONES_FECHA!$B$2:$B$201=$B283),0)),IFERROR(INDEX(EXCEPCIONES_FECHA!$F$2:$F$201,MATCH(1,(EXCEPCIONES_FECHA!$A$2:$A$201=$A283)*(EXCEPCIONES_FECHA!$B$2:$B$201=""),0)),IFERROR(INDEX(IF($I283="FIN",HISTORIAL_HORARIOS!$L$2:$L$201,HISTORIAL_HORARIOS!$H$2:$H$201),MATCH(1,(HISTORIAL_HORARIOS!$A$2:$A$201=$B283)*(HISTORIAL_HORARIOS!$C$2:$C$201&lt;=$A283)*(HISTORIAL_HORARIOS!$D$2:$D$201&gt;=$A283),0)),INDEX(IF($I283="FIN",PERSONAL!$L$2:$L$80,PERSONAL!$H$2:$H$80),MATCH($B283,PERSONAL!$A$2:$A$80,0)))))</f>
        <v/>
      </c>
    </row>
    <row r="284" ht="15" customHeight="1" s="58">
      <c r="A284" s="37" t="n"/>
      <c r="B284" s="38" t="n"/>
      <c r="C284" s="39" t="n"/>
      <c r="D284" s="39" t="n"/>
      <c r="E284" s="34">
        <f t="array" ref="E284">IF($B284="","",IFERROR(INDEX(PERSONAL!$B$2:$B$80,MATCH($B284,PERSONAL!$A$2:$A$80,0)),"NO EXISTE"))</f>
        <v/>
      </c>
      <c r="F284" s="52">
        <f t="array" ref="F284">IF($B284="","",IFERROR(INDEX(PERSONAL!$C$2:$C$80,MATCH($B284,PERSONAL!$A$2:$A$80,0)),""))</f>
        <v/>
      </c>
      <c r="G284" s="52">
        <f>IF($A284="","",CHOOSE(WEEKDAY($A284,2),"LUNES","MARTES","MIÉRCOLES","JUEVES","VIERNES","SÁBADO","DOMINGO"))</f>
        <v/>
      </c>
      <c r="H284" s="34">
        <f>IF($A284="","",CHOOSE(MONTH($A284),"ENERO","FEBRERO","MARZO","ABRIL","MAYO","JUNIO","JULIO","AGOSTO","SEPTIEMBRE","OCTUBRE","NOVIEMBRE","DICIEMBRE"))</f>
        <v/>
      </c>
      <c r="I284" s="34">
        <f>IF($A284="","",IF(OR($G284="SÁBADO",$G284="DOMINGO"),"FIN","LV"))</f>
        <v/>
      </c>
      <c r="J284" s="34">
        <f>IF(OR($A284="",$B284=""),"",IF($L284&lt;&gt;"",UPPER($L284),IF($C284="","FALTA",IFERROR(IF($C284&gt;=$O284,"ROJO FUERTE",IF($C284&gt;=$N284,"ROJO",IF($C284&gt;=$M284,"AMARILLO","VERDE"))),"REVISAR"))))</f>
        <v/>
      </c>
      <c r="K284" s="36">
        <f>IF(OR($C284="",$D284=""),"",IF($D284&gt;=$C284,($D284-$C284)*24,(1-$C284+$D284)*24))</f>
        <v/>
      </c>
      <c r="L284" s="34" t="n"/>
      <c r="M284" s="53">
        <f t="array" ref="M284">IFERROR(INDEX(EXCEPCIONES_FECHA!$D$2:$D$201,MATCH(1,(EXCEPCIONES_FECHA!$A$2:$A$201=$A284)*(EXCEPCIONES_FECHA!$B$2:$B$201=$B284),0)),IFERROR(INDEX(EXCEPCIONES_FECHA!$D$2:$D$201,MATCH(1,(EXCEPCIONES_FECHA!$A$2:$A$201=$A284)*(EXCEPCIONES_FECHA!$B$2:$B$201=""),0)),IFERROR(INDEX(IF($I284="FIN",HISTORIAL_HORARIOS!$J$2:$J$201,HISTORIAL_HORARIOS!$F$2:$F$201),MATCH(1,(HISTORIAL_HORARIOS!$A$2:$A$201=$B284)*(HISTORIAL_HORARIOS!$C$2:$C$201&lt;=$A284)*(HISTORIAL_HORARIOS!$D$2:$D$201&gt;=$A284),0)),INDEX(IF($I284="FIN",PERSONAL!$J$2:$J$80,PERSONAL!$F$2:$F$80),MATCH($B284,PERSONAL!$A$2:$A$80,0)))))</f>
        <v/>
      </c>
      <c r="N284" s="53">
        <f t="array" ref="N284">IFERROR(INDEX(EXCEPCIONES_FECHA!$E$2:$E$201,MATCH(1,(EXCEPCIONES_FECHA!$A$2:$A$201=$A284)*(EXCEPCIONES_FECHA!$B$2:$B$201=$B284),0)),IFERROR(INDEX(EXCEPCIONES_FECHA!$E$2:$E$201,MATCH(1,(EXCEPCIONES_FECHA!$A$2:$A$201=$A284)*(EXCEPCIONES_FECHA!$B$2:$B$201=""),0)),IFERROR(INDEX(IF($I284="FIN",HISTORIAL_HORARIOS!$K$2:$K$201,HISTORIAL_HORARIOS!$G$2:$G$201),MATCH(1,(HISTORIAL_HORARIOS!$A$2:$A$201=$B284)*(HISTORIAL_HORARIOS!$C$2:$C$201&lt;=$A284)*(HISTORIAL_HORARIOS!$D$2:$D$201&gt;=$A284),0)),INDEX(IF($I284="FIN",PERSONAL!$K$2:$K$80,PERSONAL!$G$2:$G$80),MATCH($B284,PERSONAL!$A$2:$A$80,0)))))</f>
        <v/>
      </c>
      <c r="O284" s="53">
        <f t="array" ref="O284">IFERROR(INDEX(EXCEPCIONES_FECHA!$F$2:$F$201,MATCH(1,(EXCEPCIONES_FECHA!$A$2:$A$201=$A284)*(EXCEPCIONES_FECHA!$B$2:$B$201=$B284),0)),IFERROR(INDEX(EXCEPCIONES_FECHA!$F$2:$F$201,MATCH(1,(EXCEPCIONES_FECHA!$A$2:$A$201=$A284)*(EXCEPCIONES_FECHA!$B$2:$B$201=""),0)),IFERROR(INDEX(IF($I284="FIN",HISTORIAL_HORARIOS!$L$2:$L$201,HISTORIAL_HORARIOS!$H$2:$H$201),MATCH(1,(HISTORIAL_HORARIOS!$A$2:$A$201=$B284)*(HISTORIAL_HORARIOS!$C$2:$C$201&lt;=$A284)*(HISTORIAL_HORARIOS!$D$2:$D$201&gt;=$A284),0)),INDEX(IF($I284="FIN",PERSONAL!$L$2:$L$80,PERSONAL!$H$2:$H$80),MATCH($B284,PERSONAL!$A$2:$A$80,0)))))</f>
        <v/>
      </c>
    </row>
    <row r="285" ht="15" customHeight="1" s="58">
      <c r="A285" s="37" t="n"/>
      <c r="B285" s="38" t="n"/>
      <c r="C285" s="39" t="n"/>
      <c r="D285" s="39" t="n"/>
      <c r="E285" s="34">
        <f t="array" ref="E285">IF($B285="","",IFERROR(INDEX(PERSONAL!$B$2:$B$80,MATCH($B285,PERSONAL!$A$2:$A$80,0)),"NO EXISTE"))</f>
        <v/>
      </c>
      <c r="F285" s="52">
        <f t="array" ref="F285">IF($B285="","",IFERROR(INDEX(PERSONAL!$C$2:$C$80,MATCH($B285,PERSONAL!$A$2:$A$80,0)),""))</f>
        <v/>
      </c>
      <c r="G285" s="52">
        <f>IF($A285="","",CHOOSE(WEEKDAY($A285,2),"LUNES","MARTES","MIÉRCOLES","JUEVES","VIERNES","SÁBADO","DOMINGO"))</f>
        <v/>
      </c>
      <c r="H285" s="34">
        <f>IF($A285="","",CHOOSE(MONTH($A285),"ENERO","FEBRERO","MARZO","ABRIL","MAYO","JUNIO","JULIO","AGOSTO","SEPTIEMBRE","OCTUBRE","NOVIEMBRE","DICIEMBRE"))</f>
        <v/>
      </c>
      <c r="I285" s="34">
        <f>IF($A285="","",IF(OR($G285="SÁBADO",$G285="DOMINGO"),"FIN","LV"))</f>
        <v/>
      </c>
      <c r="J285" s="34">
        <f>IF(OR($A285="",$B285=""),"",IF($L285&lt;&gt;"",UPPER($L285),IF($C285="","FALTA",IFERROR(IF($C285&gt;=$O285,"ROJO FUERTE",IF($C285&gt;=$N285,"ROJO",IF($C285&gt;=$M285,"AMARILLO","VERDE"))),"REVISAR"))))</f>
        <v/>
      </c>
      <c r="K285" s="36">
        <f>IF(OR($C285="",$D285=""),"",IF($D285&gt;=$C285,($D285-$C285)*24,(1-$C285+$D285)*24))</f>
        <v/>
      </c>
      <c r="L285" s="34" t="n"/>
      <c r="M285" s="53">
        <f t="array" ref="M285">IFERROR(INDEX(EXCEPCIONES_FECHA!$D$2:$D$201,MATCH(1,(EXCEPCIONES_FECHA!$A$2:$A$201=$A285)*(EXCEPCIONES_FECHA!$B$2:$B$201=$B285),0)),IFERROR(INDEX(EXCEPCIONES_FECHA!$D$2:$D$201,MATCH(1,(EXCEPCIONES_FECHA!$A$2:$A$201=$A285)*(EXCEPCIONES_FECHA!$B$2:$B$201=""),0)),IFERROR(INDEX(IF($I285="FIN",HISTORIAL_HORARIOS!$J$2:$J$201,HISTORIAL_HORARIOS!$F$2:$F$201),MATCH(1,(HISTORIAL_HORARIOS!$A$2:$A$201=$B285)*(HISTORIAL_HORARIOS!$C$2:$C$201&lt;=$A285)*(HISTORIAL_HORARIOS!$D$2:$D$201&gt;=$A285),0)),INDEX(IF($I285="FIN",PERSONAL!$J$2:$J$80,PERSONAL!$F$2:$F$80),MATCH($B285,PERSONAL!$A$2:$A$80,0)))))</f>
        <v/>
      </c>
      <c r="N285" s="53">
        <f t="array" ref="N285">IFERROR(INDEX(EXCEPCIONES_FECHA!$E$2:$E$201,MATCH(1,(EXCEPCIONES_FECHA!$A$2:$A$201=$A285)*(EXCEPCIONES_FECHA!$B$2:$B$201=$B285),0)),IFERROR(INDEX(EXCEPCIONES_FECHA!$E$2:$E$201,MATCH(1,(EXCEPCIONES_FECHA!$A$2:$A$201=$A285)*(EXCEPCIONES_FECHA!$B$2:$B$201=""),0)),IFERROR(INDEX(IF($I285="FIN",HISTORIAL_HORARIOS!$K$2:$K$201,HISTORIAL_HORARIOS!$G$2:$G$201),MATCH(1,(HISTORIAL_HORARIOS!$A$2:$A$201=$B285)*(HISTORIAL_HORARIOS!$C$2:$C$201&lt;=$A285)*(HISTORIAL_HORARIOS!$D$2:$D$201&gt;=$A285),0)),INDEX(IF($I285="FIN",PERSONAL!$K$2:$K$80,PERSONAL!$G$2:$G$80),MATCH($B285,PERSONAL!$A$2:$A$80,0)))))</f>
        <v/>
      </c>
      <c r="O285" s="53">
        <f t="array" ref="O285">IFERROR(INDEX(EXCEPCIONES_FECHA!$F$2:$F$201,MATCH(1,(EXCEPCIONES_FECHA!$A$2:$A$201=$A285)*(EXCEPCIONES_FECHA!$B$2:$B$201=$B285),0)),IFERROR(INDEX(EXCEPCIONES_FECHA!$F$2:$F$201,MATCH(1,(EXCEPCIONES_FECHA!$A$2:$A$201=$A285)*(EXCEPCIONES_FECHA!$B$2:$B$201=""),0)),IFERROR(INDEX(IF($I285="FIN",HISTORIAL_HORARIOS!$L$2:$L$201,HISTORIAL_HORARIOS!$H$2:$H$201),MATCH(1,(HISTORIAL_HORARIOS!$A$2:$A$201=$B285)*(HISTORIAL_HORARIOS!$C$2:$C$201&lt;=$A285)*(HISTORIAL_HORARIOS!$D$2:$D$201&gt;=$A285),0)),INDEX(IF($I285="FIN",PERSONAL!$L$2:$L$80,PERSONAL!$H$2:$H$80),MATCH($B285,PERSONAL!$A$2:$A$80,0)))))</f>
        <v/>
      </c>
    </row>
    <row r="286" ht="15" customHeight="1" s="58">
      <c r="A286" s="37" t="n"/>
      <c r="B286" s="38" t="n"/>
      <c r="C286" s="39" t="n"/>
      <c r="D286" s="39" t="n"/>
      <c r="E286" s="34">
        <f t="array" ref="E286">IF($B286="","",IFERROR(INDEX(PERSONAL!$B$2:$B$80,MATCH($B286,PERSONAL!$A$2:$A$80,0)),"NO EXISTE"))</f>
        <v/>
      </c>
      <c r="F286" s="52">
        <f t="array" ref="F286">IF($B286="","",IFERROR(INDEX(PERSONAL!$C$2:$C$80,MATCH($B286,PERSONAL!$A$2:$A$80,0)),""))</f>
        <v/>
      </c>
      <c r="G286" s="52">
        <f>IF($A286="","",CHOOSE(WEEKDAY($A286,2),"LUNES","MARTES","MIÉRCOLES","JUEVES","VIERNES","SÁBADO","DOMINGO"))</f>
        <v/>
      </c>
      <c r="H286" s="34">
        <f>IF($A286="","",CHOOSE(MONTH($A286),"ENERO","FEBRERO","MARZO","ABRIL","MAYO","JUNIO","JULIO","AGOSTO","SEPTIEMBRE","OCTUBRE","NOVIEMBRE","DICIEMBRE"))</f>
        <v/>
      </c>
      <c r="I286" s="34">
        <f>IF($A286="","",IF(OR($G286="SÁBADO",$G286="DOMINGO"),"FIN","LV"))</f>
        <v/>
      </c>
      <c r="J286" s="34">
        <f>IF(OR($A286="",$B286=""),"",IF($L286&lt;&gt;"",UPPER($L286),IF($C286="","FALTA",IFERROR(IF($C286&gt;=$O286,"ROJO FUERTE",IF($C286&gt;=$N286,"ROJO",IF($C286&gt;=$M286,"AMARILLO","VERDE"))),"REVISAR"))))</f>
        <v/>
      </c>
      <c r="K286" s="36">
        <f>IF(OR($C286="",$D286=""),"",IF($D286&gt;=$C286,($D286-$C286)*24,(1-$C286+$D286)*24))</f>
        <v/>
      </c>
      <c r="L286" s="34" t="n"/>
      <c r="M286" s="53">
        <f t="array" ref="M286">IFERROR(INDEX(EXCEPCIONES_FECHA!$D$2:$D$201,MATCH(1,(EXCEPCIONES_FECHA!$A$2:$A$201=$A286)*(EXCEPCIONES_FECHA!$B$2:$B$201=$B286),0)),IFERROR(INDEX(EXCEPCIONES_FECHA!$D$2:$D$201,MATCH(1,(EXCEPCIONES_FECHA!$A$2:$A$201=$A286)*(EXCEPCIONES_FECHA!$B$2:$B$201=""),0)),IFERROR(INDEX(IF($I286="FIN",HISTORIAL_HORARIOS!$J$2:$J$201,HISTORIAL_HORARIOS!$F$2:$F$201),MATCH(1,(HISTORIAL_HORARIOS!$A$2:$A$201=$B286)*(HISTORIAL_HORARIOS!$C$2:$C$201&lt;=$A286)*(HISTORIAL_HORARIOS!$D$2:$D$201&gt;=$A286),0)),INDEX(IF($I286="FIN",PERSONAL!$J$2:$J$80,PERSONAL!$F$2:$F$80),MATCH($B286,PERSONAL!$A$2:$A$80,0)))))</f>
        <v/>
      </c>
      <c r="N286" s="53">
        <f t="array" ref="N286">IFERROR(INDEX(EXCEPCIONES_FECHA!$E$2:$E$201,MATCH(1,(EXCEPCIONES_FECHA!$A$2:$A$201=$A286)*(EXCEPCIONES_FECHA!$B$2:$B$201=$B286),0)),IFERROR(INDEX(EXCEPCIONES_FECHA!$E$2:$E$201,MATCH(1,(EXCEPCIONES_FECHA!$A$2:$A$201=$A286)*(EXCEPCIONES_FECHA!$B$2:$B$201=""),0)),IFERROR(INDEX(IF($I286="FIN",HISTORIAL_HORARIOS!$K$2:$K$201,HISTORIAL_HORARIOS!$G$2:$G$201),MATCH(1,(HISTORIAL_HORARIOS!$A$2:$A$201=$B286)*(HISTORIAL_HORARIOS!$C$2:$C$201&lt;=$A286)*(HISTORIAL_HORARIOS!$D$2:$D$201&gt;=$A286),0)),INDEX(IF($I286="FIN",PERSONAL!$K$2:$K$80,PERSONAL!$G$2:$G$80),MATCH($B286,PERSONAL!$A$2:$A$80,0)))))</f>
        <v/>
      </c>
      <c r="O286" s="53">
        <f t="array" ref="O286">IFERROR(INDEX(EXCEPCIONES_FECHA!$F$2:$F$201,MATCH(1,(EXCEPCIONES_FECHA!$A$2:$A$201=$A286)*(EXCEPCIONES_FECHA!$B$2:$B$201=$B286),0)),IFERROR(INDEX(EXCEPCIONES_FECHA!$F$2:$F$201,MATCH(1,(EXCEPCIONES_FECHA!$A$2:$A$201=$A286)*(EXCEPCIONES_FECHA!$B$2:$B$201=""),0)),IFERROR(INDEX(IF($I286="FIN",HISTORIAL_HORARIOS!$L$2:$L$201,HISTORIAL_HORARIOS!$H$2:$H$201),MATCH(1,(HISTORIAL_HORARIOS!$A$2:$A$201=$B286)*(HISTORIAL_HORARIOS!$C$2:$C$201&lt;=$A286)*(HISTORIAL_HORARIOS!$D$2:$D$201&gt;=$A286),0)),INDEX(IF($I286="FIN",PERSONAL!$L$2:$L$80,PERSONAL!$H$2:$H$80),MATCH($B286,PERSONAL!$A$2:$A$80,0)))))</f>
        <v/>
      </c>
    </row>
    <row r="287" ht="15" customHeight="1" s="58">
      <c r="A287" s="37" t="n"/>
      <c r="B287" s="38" t="n"/>
      <c r="C287" s="39" t="n"/>
      <c r="D287" s="39" t="n"/>
      <c r="E287" s="34">
        <f t="array" ref="E287">IF($B287="","",IFERROR(INDEX(PERSONAL!$B$2:$B$80,MATCH($B287,PERSONAL!$A$2:$A$80,0)),"NO EXISTE"))</f>
        <v/>
      </c>
      <c r="F287" s="52">
        <f t="array" ref="F287">IF($B287="","",IFERROR(INDEX(PERSONAL!$C$2:$C$80,MATCH($B287,PERSONAL!$A$2:$A$80,0)),""))</f>
        <v/>
      </c>
      <c r="G287" s="52">
        <f>IF($A287="","",CHOOSE(WEEKDAY($A287,2),"LUNES","MARTES","MIÉRCOLES","JUEVES","VIERNES","SÁBADO","DOMINGO"))</f>
        <v/>
      </c>
      <c r="H287" s="34">
        <f>IF($A287="","",CHOOSE(MONTH($A287),"ENERO","FEBRERO","MARZO","ABRIL","MAYO","JUNIO","JULIO","AGOSTO","SEPTIEMBRE","OCTUBRE","NOVIEMBRE","DICIEMBRE"))</f>
        <v/>
      </c>
      <c r="I287" s="34">
        <f>IF($A287="","",IF(OR($G287="SÁBADO",$G287="DOMINGO"),"FIN","LV"))</f>
        <v/>
      </c>
      <c r="J287" s="34">
        <f>IF(OR($A287="",$B287=""),"",IF($L287&lt;&gt;"",UPPER($L287),IF($C287="","FALTA",IFERROR(IF($C287&gt;=$O287,"ROJO FUERTE",IF($C287&gt;=$N287,"ROJO",IF($C287&gt;=$M287,"AMARILLO","VERDE"))),"REVISAR"))))</f>
        <v/>
      </c>
      <c r="K287" s="36">
        <f>IF(OR($C287="",$D287=""),"",IF($D287&gt;=$C287,($D287-$C287)*24,(1-$C287+$D287)*24))</f>
        <v/>
      </c>
      <c r="L287" s="34" t="n"/>
      <c r="M287" s="53">
        <f t="array" ref="M287">IFERROR(INDEX(EXCEPCIONES_FECHA!$D$2:$D$201,MATCH(1,(EXCEPCIONES_FECHA!$A$2:$A$201=$A287)*(EXCEPCIONES_FECHA!$B$2:$B$201=$B287),0)),IFERROR(INDEX(EXCEPCIONES_FECHA!$D$2:$D$201,MATCH(1,(EXCEPCIONES_FECHA!$A$2:$A$201=$A287)*(EXCEPCIONES_FECHA!$B$2:$B$201=""),0)),IFERROR(INDEX(IF($I287="FIN",HISTORIAL_HORARIOS!$J$2:$J$201,HISTORIAL_HORARIOS!$F$2:$F$201),MATCH(1,(HISTORIAL_HORARIOS!$A$2:$A$201=$B287)*(HISTORIAL_HORARIOS!$C$2:$C$201&lt;=$A287)*(HISTORIAL_HORARIOS!$D$2:$D$201&gt;=$A287),0)),INDEX(IF($I287="FIN",PERSONAL!$J$2:$J$80,PERSONAL!$F$2:$F$80),MATCH($B287,PERSONAL!$A$2:$A$80,0)))))</f>
        <v/>
      </c>
      <c r="N287" s="53">
        <f t="array" ref="N287">IFERROR(INDEX(EXCEPCIONES_FECHA!$E$2:$E$201,MATCH(1,(EXCEPCIONES_FECHA!$A$2:$A$201=$A287)*(EXCEPCIONES_FECHA!$B$2:$B$201=$B287),0)),IFERROR(INDEX(EXCEPCIONES_FECHA!$E$2:$E$201,MATCH(1,(EXCEPCIONES_FECHA!$A$2:$A$201=$A287)*(EXCEPCIONES_FECHA!$B$2:$B$201=""),0)),IFERROR(INDEX(IF($I287="FIN",HISTORIAL_HORARIOS!$K$2:$K$201,HISTORIAL_HORARIOS!$G$2:$G$201),MATCH(1,(HISTORIAL_HORARIOS!$A$2:$A$201=$B287)*(HISTORIAL_HORARIOS!$C$2:$C$201&lt;=$A287)*(HISTORIAL_HORARIOS!$D$2:$D$201&gt;=$A287),0)),INDEX(IF($I287="FIN",PERSONAL!$K$2:$K$80,PERSONAL!$G$2:$G$80),MATCH($B287,PERSONAL!$A$2:$A$80,0)))))</f>
        <v/>
      </c>
      <c r="O287" s="53">
        <f t="array" ref="O287">IFERROR(INDEX(EXCEPCIONES_FECHA!$F$2:$F$201,MATCH(1,(EXCEPCIONES_FECHA!$A$2:$A$201=$A287)*(EXCEPCIONES_FECHA!$B$2:$B$201=$B287),0)),IFERROR(INDEX(EXCEPCIONES_FECHA!$F$2:$F$201,MATCH(1,(EXCEPCIONES_FECHA!$A$2:$A$201=$A287)*(EXCEPCIONES_FECHA!$B$2:$B$201=""),0)),IFERROR(INDEX(IF($I287="FIN",HISTORIAL_HORARIOS!$L$2:$L$201,HISTORIAL_HORARIOS!$H$2:$H$201),MATCH(1,(HISTORIAL_HORARIOS!$A$2:$A$201=$B287)*(HISTORIAL_HORARIOS!$C$2:$C$201&lt;=$A287)*(HISTORIAL_HORARIOS!$D$2:$D$201&gt;=$A287),0)),INDEX(IF($I287="FIN",PERSONAL!$L$2:$L$80,PERSONAL!$H$2:$H$80),MATCH($B287,PERSONAL!$A$2:$A$80,0)))))</f>
        <v/>
      </c>
    </row>
    <row r="288" ht="15" customHeight="1" s="58">
      <c r="A288" s="37" t="n"/>
      <c r="B288" s="38" t="n"/>
      <c r="C288" s="39" t="n"/>
      <c r="D288" s="39" t="n"/>
      <c r="E288" s="34">
        <f t="array" ref="E288">IF($B288="","",IFERROR(INDEX(PERSONAL!$B$2:$B$80,MATCH($B288,PERSONAL!$A$2:$A$80,0)),"NO EXISTE"))</f>
        <v/>
      </c>
      <c r="F288" s="52">
        <f t="array" ref="F288">IF($B288="","",IFERROR(INDEX(PERSONAL!$C$2:$C$80,MATCH($B288,PERSONAL!$A$2:$A$80,0)),""))</f>
        <v/>
      </c>
      <c r="G288" s="52">
        <f>IF($A288="","",CHOOSE(WEEKDAY($A288,2),"LUNES","MARTES","MIÉRCOLES","JUEVES","VIERNES","SÁBADO","DOMINGO"))</f>
        <v/>
      </c>
      <c r="H288" s="34">
        <f>IF($A288="","",CHOOSE(MONTH($A288),"ENERO","FEBRERO","MARZO","ABRIL","MAYO","JUNIO","JULIO","AGOSTO","SEPTIEMBRE","OCTUBRE","NOVIEMBRE","DICIEMBRE"))</f>
        <v/>
      </c>
      <c r="I288" s="34">
        <f>IF($A288="","",IF(OR($G288="SÁBADO",$G288="DOMINGO"),"FIN","LV"))</f>
        <v/>
      </c>
      <c r="J288" s="34">
        <f>IF(OR($A288="",$B288=""),"",IF($L288&lt;&gt;"",UPPER($L288),IF($C288="","FALTA",IFERROR(IF($C288&gt;=$O288,"ROJO FUERTE",IF($C288&gt;=$N288,"ROJO",IF($C288&gt;=$M288,"AMARILLO","VERDE"))),"REVISAR"))))</f>
        <v/>
      </c>
      <c r="K288" s="36">
        <f>IF(OR($C288="",$D288=""),"",IF($D288&gt;=$C288,($D288-$C288)*24,(1-$C288+$D288)*24))</f>
        <v/>
      </c>
      <c r="L288" s="34" t="n"/>
      <c r="M288" s="53">
        <f t="array" ref="M288">IFERROR(INDEX(EXCEPCIONES_FECHA!$D$2:$D$201,MATCH(1,(EXCEPCIONES_FECHA!$A$2:$A$201=$A288)*(EXCEPCIONES_FECHA!$B$2:$B$201=$B288),0)),IFERROR(INDEX(EXCEPCIONES_FECHA!$D$2:$D$201,MATCH(1,(EXCEPCIONES_FECHA!$A$2:$A$201=$A288)*(EXCEPCIONES_FECHA!$B$2:$B$201=""),0)),IFERROR(INDEX(IF($I288="FIN",HISTORIAL_HORARIOS!$J$2:$J$201,HISTORIAL_HORARIOS!$F$2:$F$201),MATCH(1,(HISTORIAL_HORARIOS!$A$2:$A$201=$B288)*(HISTORIAL_HORARIOS!$C$2:$C$201&lt;=$A288)*(HISTORIAL_HORARIOS!$D$2:$D$201&gt;=$A288),0)),INDEX(IF($I288="FIN",PERSONAL!$J$2:$J$80,PERSONAL!$F$2:$F$80),MATCH($B288,PERSONAL!$A$2:$A$80,0)))))</f>
        <v/>
      </c>
      <c r="N288" s="53">
        <f t="array" ref="N288">IFERROR(INDEX(EXCEPCIONES_FECHA!$E$2:$E$201,MATCH(1,(EXCEPCIONES_FECHA!$A$2:$A$201=$A288)*(EXCEPCIONES_FECHA!$B$2:$B$201=$B288),0)),IFERROR(INDEX(EXCEPCIONES_FECHA!$E$2:$E$201,MATCH(1,(EXCEPCIONES_FECHA!$A$2:$A$201=$A288)*(EXCEPCIONES_FECHA!$B$2:$B$201=""),0)),IFERROR(INDEX(IF($I288="FIN",HISTORIAL_HORARIOS!$K$2:$K$201,HISTORIAL_HORARIOS!$G$2:$G$201),MATCH(1,(HISTORIAL_HORARIOS!$A$2:$A$201=$B288)*(HISTORIAL_HORARIOS!$C$2:$C$201&lt;=$A288)*(HISTORIAL_HORARIOS!$D$2:$D$201&gt;=$A288),0)),INDEX(IF($I288="FIN",PERSONAL!$K$2:$K$80,PERSONAL!$G$2:$G$80),MATCH($B288,PERSONAL!$A$2:$A$80,0)))))</f>
        <v/>
      </c>
      <c r="O288" s="53">
        <f t="array" ref="O288">IFERROR(INDEX(EXCEPCIONES_FECHA!$F$2:$F$201,MATCH(1,(EXCEPCIONES_FECHA!$A$2:$A$201=$A288)*(EXCEPCIONES_FECHA!$B$2:$B$201=$B288),0)),IFERROR(INDEX(EXCEPCIONES_FECHA!$F$2:$F$201,MATCH(1,(EXCEPCIONES_FECHA!$A$2:$A$201=$A288)*(EXCEPCIONES_FECHA!$B$2:$B$201=""),0)),IFERROR(INDEX(IF($I288="FIN",HISTORIAL_HORARIOS!$L$2:$L$201,HISTORIAL_HORARIOS!$H$2:$H$201),MATCH(1,(HISTORIAL_HORARIOS!$A$2:$A$201=$B288)*(HISTORIAL_HORARIOS!$C$2:$C$201&lt;=$A288)*(HISTORIAL_HORARIOS!$D$2:$D$201&gt;=$A288),0)),INDEX(IF($I288="FIN",PERSONAL!$L$2:$L$80,PERSONAL!$H$2:$H$80),MATCH($B288,PERSONAL!$A$2:$A$80,0)))))</f>
        <v/>
      </c>
    </row>
    <row r="289" ht="15" customHeight="1" s="58">
      <c r="A289" s="37" t="n"/>
      <c r="B289" s="38" t="n"/>
      <c r="C289" s="39" t="n"/>
      <c r="D289" s="39" t="n"/>
      <c r="E289" s="34">
        <f t="array" ref="E289">IF($B289="","",IFERROR(INDEX(PERSONAL!$B$2:$B$80,MATCH($B289,PERSONAL!$A$2:$A$80,0)),"NO EXISTE"))</f>
        <v/>
      </c>
      <c r="F289" s="52">
        <f t="array" ref="F289">IF($B289="","",IFERROR(INDEX(PERSONAL!$C$2:$C$80,MATCH($B289,PERSONAL!$A$2:$A$80,0)),""))</f>
        <v/>
      </c>
      <c r="G289" s="52">
        <f>IF($A289="","",CHOOSE(WEEKDAY($A289,2),"LUNES","MARTES","MIÉRCOLES","JUEVES","VIERNES","SÁBADO","DOMINGO"))</f>
        <v/>
      </c>
      <c r="H289" s="34">
        <f>IF($A289="","",CHOOSE(MONTH($A289),"ENERO","FEBRERO","MARZO","ABRIL","MAYO","JUNIO","JULIO","AGOSTO","SEPTIEMBRE","OCTUBRE","NOVIEMBRE","DICIEMBRE"))</f>
        <v/>
      </c>
      <c r="I289" s="34">
        <f>IF($A289="","",IF(OR($G289="SÁBADO",$G289="DOMINGO"),"FIN","LV"))</f>
        <v/>
      </c>
      <c r="J289" s="34">
        <f>IF(OR($A289="",$B289=""),"",IF($L289&lt;&gt;"",UPPER($L289),IF($C289="","FALTA",IFERROR(IF($C289&gt;=$O289,"ROJO FUERTE",IF($C289&gt;=$N289,"ROJO",IF($C289&gt;=$M289,"AMARILLO","VERDE"))),"REVISAR"))))</f>
        <v/>
      </c>
      <c r="K289" s="36">
        <f>IF(OR($C289="",$D289=""),"",IF($D289&gt;=$C289,($D289-$C289)*24,(1-$C289+$D289)*24))</f>
        <v/>
      </c>
      <c r="L289" s="34" t="n"/>
      <c r="M289" s="53">
        <f t="array" ref="M289">IFERROR(INDEX(EXCEPCIONES_FECHA!$D$2:$D$201,MATCH(1,(EXCEPCIONES_FECHA!$A$2:$A$201=$A289)*(EXCEPCIONES_FECHA!$B$2:$B$201=$B289),0)),IFERROR(INDEX(EXCEPCIONES_FECHA!$D$2:$D$201,MATCH(1,(EXCEPCIONES_FECHA!$A$2:$A$201=$A289)*(EXCEPCIONES_FECHA!$B$2:$B$201=""),0)),IFERROR(INDEX(IF($I289="FIN",HISTORIAL_HORARIOS!$J$2:$J$201,HISTORIAL_HORARIOS!$F$2:$F$201),MATCH(1,(HISTORIAL_HORARIOS!$A$2:$A$201=$B289)*(HISTORIAL_HORARIOS!$C$2:$C$201&lt;=$A289)*(HISTORIAL_HORARIOS!$D$2:$D$201&gt;=$A289),0)),INDEX(IF($I289="FIN",PERSONAL!$J$2:$J$80,PERSONAL!$F$2:$F$80),MATCH($B289,PERSONAL!$A$2:$A$80,0)))))</f>
        <v/>
      </c>
      <c r="N289" s="53">
        <f t="array" ref="N289">IFERROR(INDEX(EXCEPCIONES_FECHA!$E$2:$E$201,MATCH(1,(EXCEPCIONES_FECHA!$A$2:$A$201=$A289)*(EXCEPCIONES_FECHA!$B$2:$B$201=$B289),0)),IFERROR(INDEX(EXCEPCIONES_FECHA!$E$2:$E$201,MATCH(1,(EXCEPCIONES_FECHA!$A$2:$A$201=$A289)*(EXCEPCIONES_FECHA!$B$2:$B$201=""),0)),IFERROR(INDEX(IF($I289="FIN",HISTORIAL_HORARIOS!$K$2:$K$201,HISTORIAL_HORARIOS!$G$2:$G$201),MATCH(1,(HISTORIAL_HORARIOS!$A$2:$A$201=$B289)*(HISTORIAL_HORARIOS!$C$2:$C$201&lt;=$A289)*(HISTORIAL_HORARIOS!$D$2:$D$201&gt;=$A289),0)),INDEX(IF($I289="FIN",PERSONAL!$K$2:$K$80,PERSONAL!$G$2:$G$80),MATCH($B289,PERSONAL!$A$2:$A$80,0)))))</f>
        <v/>
      </c>
      <c r="O289" s="53">
        <f t="array" ref="O289">IFERROR(INDEX(EXCEPCIONES_FECHA!$F$2:$F$201,MATCH(1,(EXCEPCIONES_FECHA!$A$2:$A$201=$A289)*(EXCEPCIONES_FECHA!$B$2:$B$201=$B289),0)),IFERROR(INDEX(EXCEPCIONES_FECHA!$F$2:$F$201,MATCH(1,(EXCEPCIONES_FECHA!$A$2:$A$201=$A289)*(EXCEPCIONES_FECHA!$B$2:$B$201=""),0)),IFERROR(INDEX(IF($I289="FIN",HISTORIAL_HORARIOS!$L$2:$L$201,HISTORIAL_HORARIOS!$H$2:$H$201),MATCH(1,(HISTORIAL_HORARIOS!$A$2:$A$201=$B289)*(HISTORIAL_HORARIOS!$C$2:$C$201&lt;=$A289)*(HISTORIAL_HORARIOS!$D$2:$D$201&gt;=$A289),0)),INDEX(IF($I289="FIN",PERSONAL!$L$2:$L$80,PERSONAL!$H$2:$H$80),MATCH($B289,PERSONAL!$A$2:$A$80,0)))))</f>
        <v/>
      </c>
    </row>
    <row r="290" ht="15" customHeight="1" s="58">
      <c r="A290" s="37" t="n"/>
      <c r="B290" s="38" t="n"/>
      <c r="C290" s="39" t="n"/>
      <c r="D290" s="39" t="n"/>
      <c r="E290" s="34">
        <f t="array" ref="E290">IF($B290="","",IFERROR(INDEX(PERSONAL!$B$2:$B$80,MATCH($B290,PERSONAL!$A$2:$A$80,0)),"NO EXISTE"))</f>
        <v/>
      </c>
      <c r="F290" s="52">
        <f t="array" ref="F290">IF($B290="","",IFERROR(INDEX(PERSONAL!$C$2:$C$80,MATCH($B290,PERSONAL!$A$2:$A$80,0)),""))</f>
        <v/>
      </c>
      <c r="G290" s="52">
        <f>IF($A290="","",CHOOSE(WEEKDAY($A290,2),"LUNES","MARTES","MIÉRCOLES","JUEVES","VIERNES","SÁBADO","DOMINGO"))</f>
        <v/>
      </c>
      <c r="H290" s="34">
        <f>IF($A290="","",CHOOSE(MONTH($A290),"ENERO","FEBRERO","MARZO","ABRIL","MAYO","JUNIO","JULIO","AGOSTO","SEPTIEMBRE","OCTUBRE","NOVIEMBRE","DICIEMBRE"))</f>
        <v/>
      </c>
      <c r="I290" s="34">
        <f>IF($A290="","",IF(OR($G290="SÁBADO",$G290="DOMINGO"),"FIN","LV"))</f>
        <v/>
      </c>
      <c r="J290" s="34">
        <f>IF(OR($A290="",$B290=""),"",IF($L290&lt;&gt;"",UPPER($L290),IF($C290="","FALTA",IFERROR(IF($C290&gt;=$O290,"ROJO FUERTE",IF($C290&gt;=$N290,"ROJO",IF($C290&gt;=$M290,"AMARILLO","VERDE"))),"REVISAR"))))</f>
        <v/>
      </c>
      <c r="K290" s="36">
        <f>IF(OR($C290="",$D290=""),"",IF($D290&gt;=$C290,($D290-$C290)*24,(1-$C290+$D290)*24))</f>
        <v/>
      </c>
      <c r="L290" s="34" t="n"/>
      <c r="M290" s="53">
        <f t="array" ref="M290">IFERROR(INDEX(EXCEPCIONES_FECHA!$D$2:$D$201,MATCH(1,(EXCEPCIONES_FECHA!$A$2:$A$201=$A290)*(EXCEPCIONES_FECHA!$B$2:$B$201=$B290),0)),IFERROR(INDEX(EXCEPCIONES_FECHA!$D$2:$D$201,MATCH(1,(EXCEPCIONES_FECHA!$A$2:$A$201=$A290)*(EXCEPCIONES_FECHA!$B$2:$B$201=""),0)),IFERROR(INDEX(IF($I290="FIN",HISTORIAL_HORARIOS!$J$2:$J$201,HISTORIAL_HORARIOS!$F$2:$F$201),MATCH(1,(HISTORIAL_HORARIOS!$A$2:$A$201=$B290)*(HISTORIAL_HORARIOS!$C$2:$C$201&lt;=$A290)*(HISTORIAL_HORARIOS!$D$2:$D$201&gt;=$A290),0)),INDEX(IF($I290="FIN",PERSONAL!$J$2:$J$80,PERSONAL!$F$2:$F$80),MATCH($B290,PERSONAL!$A$2:$A$80,0)))))</f>
        <v/>
      </c>
      <c r="N290" s="53">
        <f t="array" ref="N290">IFERROR(INDEX(EXCEPCIONES_FECHA!$E$2:$E$201,MATCH(1,(EXCEPCIONES_FECHA!$A$2:$A$201=$A290)*(EXCEPCIONES_FECHA!$B$2:$B$201=$B290),0)),IFERROR(INDEX(EXCEPCIONES_FECHA!$E$2:$E$201,MATCH(1,(EXCEPCIONES_FECHA!$A$2:$A$201=$A290)*(EXCEPCIONES_FECHA!$B$2:$B$201=""),0)),IFERROR(INDEX(IF($I290="FIN",HISTORIAL_HORARIOS!$K$2:$K$201,HISTORIAL_HORARIOS!$G$2:$G$201),MATCH(1,(HISTORIAL_HORARIOS!$A$2:$A$201=$B290)*(HISTORIAL_HORARIOS!$C$2:$C$201&lt;=$A290)*(HISTORIAL_HORARIOS!$D$2:$D$201&gt;=$A290),0)),INDEX(IF($I290="FIN",PERSONAL!$K$2:$K$80,PERSONAL!$G$2:$G$80),MATCH($B290,PERSONAL!$A$2:$A$80,0)))))</f>
        <v/>
      </c>
      <c r="O290" s="53">
        <f t="array" ref="O290">IFERROR(INDEX(EXCEPCIONES_FECHA!$F$2:$F$201,MATCH(1,(EXCEPCIONES_FECHA!$A$2:$A$201=$A290)*(EXCEPCIONES_FECHA!$B$2:$B$201=$B290),0)),IFERROR(INDEX(EXCEPCIONES_FECHA!$F$2:$F$201,MATCH(1,(EXCEPCIONES_FECHA!$A$2:$A$201=$A290)*(EXCEPCIONES_FECHA!$B$2:$B$201=""),0)),IFERROR(INDEX(IF($I290="FIN",HISTORIAL_HORARIOS!$L$2:$L$201,HISTORIAL_HORARIOS!$H$2:$H$201),MATCH(1,(HISTORIAL_HORARIOS!$A$2:$A$201=$B290)*(HISTORIAL_HORARIOS!$C$2:$C$201&lt;=$A290)*(HISTORIAL_HORARIOS!$D$2:$D$201&gt;=$A290),0)),INDEX(IF($I290="FIN",PERSONAL!$L$2:$L$80,PERSONAL!$H$2:$H$80),MATCH($B290,PERSONAL!$A$2:$A$80,0)))))</f>
        <v/>
      </c>
    </row>
    <row r="291" ht="15" customHeight="1" s="58">
      <c r="A291" s="37" t="n"/>
      <c r="B291" s="38" t="n"/>
      <c r="C291" s="39" t="n"/>
      <c r="D291" s="39" t="n"/>
      <c r="E291" s="34">
        <f t="array" ref="E291">IF($B291="","",IFERROR(INDEX(PERSONAL!$B$2:$B$80,MATCH($B291,PERSONAL!$A$2:$A$80,0)),"NO EXISTE"))</f>
        <v/>
      </c>
      <c r="F291" s="52">
        <f t="array" ref="F291">IF($B291="","",IFERROR(INDEX(PERSONAL!$C$2:$C$80,MATCH($B291,PERSONAL!$A$2:$A$80,0)),""))</f>
        <v/>
      </c>
      <c r="G291" s="52">
        <f>IF($A291="","",CHOOSE(WEEKDAY($A291,2),"LUNES","MARTES","MIÉRCOLES","JUEVES","VIERNES","SÁBADO","DOMINGO"))</f>
        <v/>
      </c>
      <c r="H291" s="34">
        <f>IF($A291="","",CHOOSE(MONTH($A291),"ENERO","FEBRERO","MARZO","ABRIL","MAYO","JUNIO","JULIO","AGOSTO","SEPTIEMBRE","OCTUBRE","NOVIEMBRE","DICIEMBRE"))</f>
        <v/>
      </c>
      <c r="I291" s="34">
        <f>IF($A291="","",IF(OR($G291="SÁBADO",$G291="DOMINGO"),"FIN","LV"))</f>
        <v/>
      </c>
      <c r="J291" s="34">
        <f>IF(OR($A291="",$B291=""),"",IF($L291&lt;&gt;"",UPPER($L291),IF($C291="","FALTA",IFERROR(IF($C291&gt;=$O291,"ROJO FUERTE",IF($C291&gt;=$N291,"ROJO",IF($C291&gt;=$M291,"AMARILLO","VERDE"))),"REVISAR"))))</f>
        <v/>
      </c>
      <c r="K291" s="36">
        <f>IF(OR($C291="",$D291=""),"",IF($D291&gt;=$C291,($D291-$C291)*24,(1-$C291+$D291)*24))</f>
        <v/>
      </c>
      <c r="L291" s="34" t="n"/>
      <c r="M291" s="53">
        <f t="array" ref="M291">IFERROR(INDEX(EXCEPCIONES_FECHA!$D$2:$D$201,MATCH(1,(EXCEPCIONES_FECHA!$A$2:$A$201=$A291)*(EXCEPCIONES_FECHA!$B$2:$B$201=$B291),0)),IFERROR(INDEX(EXCEPCIONES_FECHA!$D$2:$D$201,MATCH(1,(EXCEPCIONES_FECHA!$A$2:$A$201=$A291)*(EXCEPCIONES_FECHA!$B$2:$B$201=""),0)),IFERROR(INDEX(IF($I291="FIN",HISTORIAL_HORARIOS!$J$2:$J$201,HISTORIAL_HORARIOS!$F$2:$F$201),MATCH(1,(HISTORIAL_HORARIOS!$A$2:$A$201=$B291)*(HISTORIAL_HORARIOS!$C$2:$C$201&lt;=$A291)*(HISTORIAL_HORARIOS!$D$2:$D$201&gt;=$A291),0)),INDEX(IF($I291="FIN",PERSONAL!$J$2:$J$80,PERSONAL!$F$2:$F$80),MATCH($B291,PERSONAL!$A$2:$A$80,0)))))</f>
        <v/>
      </c>
      <c r="N291" s="53">
        <f t="array" ref="N291">IFERROR(INDEX(EXCEPCIONES_FECHA!$E$2:$E$201,MATCH(1,(EXCEPCIONES_FECHA!$A$2:$A$201=$A291)*(EXCEPCIONES_FECHA!$B$2:$B$201=$B291),0)),IFERROR(INDEX(EXCEPCIONES_FECHA!$E$2:$E$201,MATCH(1,(EXCEPCIONES_FECHA!$A$2:$A$201=$A291)*(EXCEPCIONES_FECHA!$B$2:$B$201=""),0)),IFERROR(INDEX(IF($I291="FIN",HISTORIAL_HORARIOS!$K$2:$K$201,HISTORIAL_HORARIOS!$G$2:$G$201),MATCH(1,(HISTORIAL_HORARIOS!$A$2:$A$201=$B291)*(HISTORIAL_HORARIOS!$C$2:$C$201&lt;=$A291)*(HISTORIAL_HORARIOS!$D$2:$D$201&gt;=$A291),0)),INDEX(IF($I291="FIN",PERSONAL!$K$2:$K$80,PERSONAL!$G$2:$G$80),MATCH($B291,PERSONAL!$A$2:$A$80,0)))))</f>
        <v/>
      </c>
      <c r="O291" s="53">
        <f t="array" ref="O291">IFERROR(INDEX(EXCEPCIONES_FECHA!$F$2:$F$201,MATCH(1,(EXCEPCIONES_FECHA!$A$2:$A$201=$A291)*(EXCEPCIONES_FECHA!$B$2:$B$201=$B291),0)),IFERROR(INDEX(EXCEPCIONES_FECHA!$F$2:$F$201,MATCH(1,(EXCEPCIONES_FECHA!$A$2:$A$201=$A291)*(EXCEPCIONES_FECHA!$B$2:$B$201=""),0)),IFERROR(INDEX(IF($I291="FIN",HISTORIAL_HORARIOS!$L$2:$L$201,HISTORIAL_HORARIOS!$H$2:$H$201),MATCH(1,(HISTORIAL_HORARIOS!$A$2:$A$201=$B291)*(HISTORIAL_HORARIOS!$C$2:$C$201&lt;=$A291)*(HISTORIAL_HORARIOS!$D$2:$D$201&gt;=$A291),0)),INDEX(IF($I291="FIN",PERSONAL!$L$2:$L$80,PERSONAL!$H$2:$H$80),MATCH($B291,PERSONAL!$A$2:$A$80,0)))))</f>
        <v/>
      </c>
    </row>
    <row r="292" ht="15" customHeight="1" s="58">
      <c r="A292" s="37" t="n"/>
      <c r="B292" s="38" t="n"/>
      <c r="C292" s="39" t="n"/>
      <c r="D292" s="39" t="n"/>
      <c r="E292" s="34">
        <f t="array" ref="E292">IF($B292="","",IFERROR(INDEX(PERSONAL!$B$2:$B$80,MATCH($B292,PERSONAL!$A$2:$A$80,0)),"NO EXISTE"))</f>
        <v/>
      </c>
      <c r="F292" s="52">
        <f t="array" ref="F292">IF($B292="","",IFERROR(INDEX(PERSONAL!$C$2:$C$80,MATCH($B292,PERSONAL!$A$2:$A$80,0)),""))</f>
        <v/>
      </c>
      <c r="G292" s="52">
        <f>IF($A292="","",CHOOSE(WEEKDAY($A292,2),"LUNES","MARTES","MIÉRCOLES","JUEVES","VIERNES","SÁBADO","DOMINGO"))</f>
        <v/>
      </c>
      <c r="H292" s="34">
        <f>IF($A292="","",CHOOSE(MONTH($A292),"ENERO","FEBRERO","MARZO","ABRIL","MAYO","JUNIO","JULIO","AGOSTO","SEPTIEMBRE","OCTUBRE","NOVIEMBRE","DICIEMBRE"))</f>
        <v/>
      </c>
      <c r="I292" s="34">
        <f>IF($A292="","",IF(OR($G292="SÁBADO",$G292="DOMINGO"),"FIN","LV"))</f>
        <v/>
      </c>
      <c r="J292" s="34">
        <f>IF(OR($A292="",$B292=""),"",IF($L292&lt;&gt;"",UPPER($L292),IF($C292="","FALTA",IFERROR(IF($C292&gt;=$O292,"ROJO FUERTE",IF($C292&gt;=$N292,"ROJO",IF($C292&gt;=$M292,"AMARILLO","VERDE"))),"REVISAR"))))</f>
        <v/>
      </c>
      <c r="K292" s="36">
        <f>IF(OR($C292="",$D292=""),"",IF($D292&gt;=$C292,($D292-$C292)*24,(1-$C292+$D292)*24))</f>
        <v/>
      </c>
      <c r="L292" s="34" t="n"/>
      <c r="M292" s="53">
        <f t="array" ref="M292">IFERROR(INDEX(EXCEPCIONES_FECHA!$D$2:$D$201,MATCH(1,(EXCEPCIONES_FECHA!$A$2:$A$201=$A292)*(EXCEPCIONES_FECHA!$B$2:$B$201=$B292),0)),IFERROR(INDEX(EXCEPCIONES_FECHA!$D$2:$D$201,MATCH(1,(EXCEPCIONES_FECHA!$A$2:$A$201=$A292)*(EXCEPCIONES_FECHA!$B$2:$B$201=""),0)),IFERROR(INDEX(IF($I292="FIN",HISTORIAL_HORARIOS!$J$2:$J$201,HISTORIAL_HORARIOS!$F$2:$F$201),MATCH(1,(HISTORIAL_HORARIOS!$A$2:$A$201=$B292)*(HISTORIAL_HORARIOS!$C$2:$C$201&lt;=$A292)*(HISTORIAL_HORARIOS!$D$2:$D$201&gt;=$A292),0)),INDEX(IF($I292="FIN",PERSONAL!$J$2:$J$80,PERSONAL!$F$2:$F$80),MATCH($B292,PERSONAL!$A$2:$A$80,0)))))</f>
        <v/>
      </c>
      <c r="N292" s="53">
        <f t="array" ref="N292">IFERROR(INDEX(EXCEPCIONES_FECHA!$E$2:$E$201,MATCH(1,(EXCEPCIONES_FECHA!$A$2:$A$201=$A292)*(EXCEPCIONES_FECHA!$B$2:$B$201=$B292),0)),IFERROR(INDEX(EXCEPCIONES_FECHA!$E$2:$E$201,MATCH(1,(EXCEPCIONES_FECHA!$A$2:$A$201=$A292)*(EXCEPCIONES_FECHA!$B$2:$B$201=""),0)),IFERROR(INDEX(IF($I292="FIN",HISTORIAL_HORARIOS!$K$2:$K$201,HISTORIAL_HORARIOS!$G$2:$G$201),MATCH(1,(HISTORIAL_HORARIOS!$A$2:$A$201=$B292)*(HISTORIAL_HORARIOS!$C$2:$C$201&lt;=$A292)*(HISTORIAL_HORARIOS!$D$2:$D$201&gt;=$A292),0)),INDEX(IF($I292="FIN",PERSONAL!$K$2:$K$80,PERSONAL!$G$2:$G$80),MATCH($B292,PERSONAL!$A$2:$A$80,0)))))</f>
        <v/>
      </c>
      <c r="O292" s="53">
        <f t="array" ref="O292">IFERROR(INDEX(EXCEPCIONES_FECHA!$F$2:$F$201,MATCH(1,(EXCEPCIONES_FECHA!$A$2:$A$201=$A292)*(EXCEPCIONES_FECHA!$B$2:$B$201=$B292),0)),IFERROR(INDEX(EXCEPCIONES_FECHA!$F$2:$F$201,MATCH(1,(EXCEPCIONES_FECHA!$A$2:$A$201=$A292)*(EXCEPCIONES_FECHA!$B$2:$B$201=""),0)),IFERROR(INDEX(IF($I292="FIN",HISTORIAL_HORARIOS!$L$2:$L$201,HISTORIAL_HORARIOS!$H$2:$H$201),MATCH(1,(HISTORIAL_HORARIOS!$A$2:$A$201=$B292)*(HISTORIAL_HORARIOS!$C$2:$C$201&lt;=$A292)*(HISTORIAL_HORARIOS!$D$2:$D$201&gt;=$A292),0)),INDEX(IF($I292="FIN",PERSONAL!$L$2:$L$80,PERSONAL!$H$2:$H$80),MATCH($B292,PERSONAL!$A$2:$A$80,0)))))</f>
        <v/>
      </c>
    </row>
    <row r="293" ht="15" customHeight="1" s="58">
      <c r="A293" s="37" t="n"/>
      <c r="B293" s="38" t="n"/>
      <c r="C293" s="39" t="n"/>
      <c r="D293" s="39" t="n"/>
      <c r="E293" s="34">
        <f t="array" ref="E293">IF($B293="","",IFERROR(INDEX(PERSONAL!$B$2:$B$80,MATCH($B293,PERSONAL!$A$2:$A$80,0)),"NO EXISTE"))</f>
        <v/>
      </c>
      <c r="F293" s="52">
        <f t="array" ref="F293">IF($B293="","",IFERROR(INDEX(PERSONAL!$C$2:$C$80,MATCH($B293,PERSONAL!$A$2:$A$80,0)),""))</f>
        <v/>
      </c>
      <c r="G293" s="52">
        <f>IF($A293="","",CHOOSE(WEEKDAY($A293,2),"LUNES","MARTES","MIÉRCOLES","JUEVES","VIERNES","SÁBADO","DOMINGO"))</f>
        <v/>
      </c>
      <c r="H293" s="34">
        <f>IF($A293="","",CHOOSE(MONTH($A293),"ENERO","FEBRERO","MARZO","ABRIL","MAYO","JUNIO","JULIO","AGOSTO","SEPTIEMBRE","OCTUBRE","NOVIEMBRE","DICIEMBRE"))</f>
        <v/>
      </c>
      <c r="I293" s="34">
        <f>IF($A293="","",IF(OR($G293="SÁBADO",$G293="DOMINGO"),"FIN","LV"))</f>
        <v/>
      </c>
      <c r="J293" s="34">
        <f>IF(OR($A293="",$B293=""),"",IF($L293&lt;&gt;"",UPPER($L293),IF($C293="","FALTA",IFERROR(IF($C293&gt;=$O293,"ROJO FUERTE",IF($C293&gt;=$N293,"ROJO",IF($C293&gt;=$M293,"AMARILLO","VERDE"))),"REVISAR"))))</f>
        <v/>
      </c>
      <c r="K293" s="36">
        <f>IF(OR($C293="",$D293=""),"",IF($D293&gt;=$C293,($D293-$C293)*24,(1-$C293+$D293)*24))</f>
        <v/>
      </c>
      <c r="L293" s="34" t="n"/>
      <c r="M293" s="53">
        <f t="array" ref="M293">IFERROR(INDEX(EXCEPCIONES_FECHA!$D$2:$D$201,MATCH(1,(EXCEPCIONES_FECHA!$A$2:$A$201=$A293)*(EXCEPCIONES_FECHA!$B$2:$B$201=$B293),0)),IFERROR(INDEX(EXCEPCIONES_FECHA!$D$2:$D$201,MATCH(1,(EXCEPCIONES_FECHA!$A$2:$A$201=$A293)*(EXCEPCIONES_FECHA!$B$2:$B$201=""),0)),IFERROR(INDEX(IF($I293="FIN",HISTORIAL_HORARIOS!$J$2:$J$201,HISTORIAL_HORARIOS!$F$2:$F$201),MATCH(1,(HISTORIAL_HORARIOS!$A$2:$A$201=$B293)*(HISTORIAL_HORARIOS!$C$2:$C$201&lt;=$A293)*(HISTORIAL_HORARIOS!$D$2:$D$201&gt;=$A293),0)),INDEX(IF($I293="FIN",PERSONAL!$J$2:$J$80,PERSONAL!$F$2:$F$80),MATCH($B293,PERSONAL!$A$2:$A$80,0)))))</f>
        <v/>
      </c>
      <c r="N293" s="53">
        <f t="array" ref="N293">IFERROR(INDEX(EXCEPCIONES_FECHA!$E$2:$E$201,MATCH(1,(EXCEPCIONES_FECHA!$A$2:$A$201=$A293)*(EXCEPCIONES_FECHA!$B$2:$B$201=$B293),0)),IFERROR(INDEX(EXCEPCIONES_FECHA!$E$2:$E$201,MATCH(1,(EXCEPCIONES_FECHA!$A$2:$A$201=$A293)*(EXCEPCIONES_FECHA!$B$2:$B$201=""),0)),IFERROR(INDEX(IF($I293="FIN",HISTORIAL_HORARIOS!$K$2:$K$201,HISTORIAL_HORARIOS!$G$2:$G$201),MATCH(1,(HISTORIAL_HORARIOS!$A$2:$A$201=$B293)*(HISTORIAL_HORARIOS!$C$2:$C$201&lt;=$A293)*(HISTORIAL_HORARIOS!$D$2:$D$201&gt;=$A293),0)),INDEX(IF($I293="FIN",PERSONAL!$K$2:$K$80,PERSONAL!$G$2:$G$80),MATCH($B293,PERSONAL!$A$2:$A$80,0)))))</f>
        <v/>
      </c>
      <c r="O293" s="53">
        <f t="array" ref="O293">IFERROR(INDEX(EXCEPCIONES_FECHA!$F$2:$F$201,MATCH(1,(EXCEPCIONES_FECHA!$A$2:$A$201=$A293)*(EXCEPCIONES_FECHA!$B$2:$B$201=$B293),0)),IFERROR(INDEX(EXCEPCIONES_FECHA!$F$2:$F$201,MATCH(1,(EXCEPCIONES_FECHA!$A$2:$A$201=$A293)*(EXCEPCIONES_FECHA!$B$2:$B$201=""),0)),IFERROR(INDEX(IF($I293="FIN",HISTORIAL_HORARIOS!$L$2:$L$201,HISTORIAL_HORARIOS!$H$2:$H$201),MATCH(1,(HISTORIAL_HORARIOS!$A$2:$A$201=$B293)*(HISTORIAL_HORARIOS!$C$2:$C$201&lt;=$A293)*(HISTORIAL_HORARIOS!$D$2:$D$201&gt;=$A293),0)),INDEX(IF($I293="FIN",PERSONAL!$L$2:$L$80,PERSONAL!$H$2:$H$80),MATCH($B293,PERSONAL!$A$2:$A$80,0)))))</f>
        <v/>
      </c>
    </row>
    <row r="294" ht="15" customHeight="1" s="58">
      <c r="A294" s="37" t="n"/>
      <c r="B294" s="38" t="n"/>
      <c r="C294" s="39" t="n"/>
      <c r="D294" s="39" t="n"/>
      <c r="E294" s="34">
        <f t="array" ref="E294">IF($B294="","",IFERROR(INDEX(PERSONAL!$B$2:$B$80,MATCH($B294,PERSONAL!$A$2:$A$80,0)),"NO EXISTE"))</f>
        <v/>
      </c>
      <c r="F294" s="52">
        <f t="array" ref="F294">IF($B294="","",IFERROR(INDEX(PERSONAL!$C$2:$C$80,MATCH($B294,PERSONAL!$A$2:$A$80,0)),""))</f>
        <v/>
      </c>
      <c r="G294" s="52">
        <f>IF($A294="","",CHOOSE(WEEKDAY($A294,2),"LUNES","MARTES","MIÉRCOLES","JUEVES","VIERNES","SÁBADO","DOMINGO"))</f>
        <v/>
      </c>
      <c r="H294" s="34">
        <f>IF($A294="","",CHOOSE(MONTH($A294),"ENERO","FEBRERO","MARZO","ABRIL","MAYO","JUNIO","JULIO","AGOSTO","SEPTIEMBRE","OCTUBRE","NOVIEMBRE","DICIEMBRE"))</f>
        <v/>
      </c>
      <c r="I294" s="34">
        <f>IF($A294="","",IF(OR($G294="SÁBADO",$G294="DOMINGO"),"FIN","LV"))</f>
        <v/>
      </c>
      <c r="J294" s="34">
        <f>IF(OR($A294="",$B294=""),"",IF($L294&lt;&gt;"",UPPER($L294),IF($C294="","FALTA",IFERROR(IF($C294&gt;=$O294,"ROJO FUERTE",IF($C294&gt;=$N294,"ROJO",IF($C294&gt;=$M294,"AMARILLO","VERDE"))),"REVISAR"))))</f>
        <v/>
      </c>
      <c r="K294" s="36">
        <f>IF(OR($C294="",$D294=""),"",IF($D294&gt;=$C294,($D294-$C294)*24,(1-$C294+$D294)*24))</f>
        <v/>
      </c>
      <c r="L294" s="34" t="n"/>
      <c r="M294" s="53">
        <f t="array" ref="M294">IFERROR(INDEX(EXCEPCIONES_FECHA!$D$2:$D$201,MATCH(1,(EXCEPCIONES_FECHA!$A$2:$A$201=$A294)*(EXCEPCIONES_FECHA!$B$2:$B$201=$B294),0)),IFERROR(INDEX(EXCEPCIONES_FECHA!$D$2:$D$201,MATCH(1,(EXCEPCIONES_FECHA!$A$2:$A$201=$A294)*(EXCEPCIONES_FECHA!$B$2:$B$201=""),0)),IFERROR(INDEX(IF($I294="FIN",HISTORIAL_HORARIOS!$J$2:$J$201,HISTORIAL_HORARIOS!$F$2:$F$201),MATCH(1,(HISTORIAL_HORARIOS!$A$2:$A$201=$B294)*(HISTORIAL_HORARIOS!$C$2:$C$201&lt;=$A294)*(HISTORIAL_HORARIOS!$D$2:$D$201&gt;=$A294),0)),INDEX(IF($I294="FIN",PERSONAL!$J$2:$J$80,PERSONAL!$F$2:$F$80),MATCH($B294,PERSONAL!$A$2:$A$80,0)))))</f>
        <v/>
      </c>
      <c r="N294" s="53">
        <f t="array" ref="N294">IFERROR(INDEX(EXCEPCIONES_FECHA!$E$2:$E$201,MATCH(1,(EXCEPCIONES_FECHA!$A$2:$A$201=$A294)*(EXCEPCIONES_FECHA!$B$2:$B$201=$B294),0)),IFERROR(INDEX(EXCEPCIONES_FECHA!$E$2:$E$201,MATCH(1,(EXCEPCIONES_FECHA!$A$2:$A$201=$A294)*(EXCEPCIONES_FECHA!$B$2:$B$201=""),0)),IFERROR(INDEX(IF($I294="FIN",HISTORIAL_HORARIOS!$K$2:$K$201,HISTORIAL_HORARIOS!$G$2:$G$201),MATCH(1,(HISTORIAL_HORARIOS!$A$2:$A$201=$B294)*(HISTORIAL_HORARIOS!$C$2:$C$201&lt;=$A294)*(HISTORIAL_HORARIOS!$D$2:$D$201&gt;=$A294),0)),INDEX(IF($I294="FIN",PERSONAL!$K$2:$K$80,PERSONAL!$G$2:$G$80),MATCH($B294,PERSONAL!$A$2:$A$80,0)))))</f>
        <v/>
      </c>
      <c r="O294" s="53">
        <f t="array" ref="O294">IFERROR(INDEX(EXCEPCIONES_FECHA!$F$2:$F$201,MATCH(1,(EXCEPCIONES_FECHA!$A$2:$A$201=$A294)*(EXCEPCIONES_FECHA!$B$2:$B$201=$B294),0)),IFERROR(INDEX(EXCEPCIONES_FECHA!$F$2:$F$201,MATCH(1,(EXCEPCIONES_FECHA!$A$2:$A$201=$A294)*(EXCEPCIONES_FECHA!$B$2:$B$201=""),0)),IFERROR(INDEX(IF($I294="FIN",HISTORIAL_HORARIOS!$L$2:$L$201,HISTORIAL_HORARIOS!$H$2:$H$201),MATCH(1,(HISTORIAL_HORARIOS!$A$2:$A$201=$B294)*(HISTORIAL_HORARIOS!$C$2:$C$201&lt;=$A294)*(HISTORIAL_HORARIOS!$D$2:$D$201&gt;=$A294),0)),INDEX(IF($I294="FIN",PERSONAL!$L$2:$L$80,PERSONAL!$H$2:$H$80),MATCH($B294,PERSONAL!$A$2:$A$80,0)))))</f>
        <v/>
      </c>
    </row>
    <row r="295" ht="15" customHeight="1" s="58">
      <c r="A295" s="37" t="n"/>
      <c r="B295" s="38" t="n"/>
      <c r="C295" s="39" t="n"/>
      <c r="D295" s="39" t="n"/>
      <c r="E295" s="34">
        <f t="array" ref="E295">IF($B295="","",IFERROR(INDEX(PERSONAL!$B$2:$B$80,MATCH($B295,PERSONAL!$A$2:$A$80,0)),"NO EXISTE"))</f>
        <v/>
      </c>
      <c r="F295" s="52">
        <f t="array" ref="F295">IF($B295="","",IFERROR(INDEX(PERSONAL!$C$2:$C$80,MATCH($B295,PERSONAL!$A$2:$A$80,0)),""))</f>
        <v/>
      </c>
      <c r="G295" s="52">
        <f>IF($A295="","",CHOOSE(WEEKDAY($A295,2),"LUNES","MARTES","MIÉRCOLES","JUEVES","VIERNES","SÁBADO","DOMINGO"))</f>
        <v/>
      </c>
      <c r="H295" s="34">
        <f>IF($A295="","",CHOOSE(MONTH($A295),"ENERO","FEBRERO","MARZO","ABRIL","MAYO","JUNIO","JULIO","AGOSTO","SEPTIEMBRE","OCTUBRE","NOVIEMBRE","DICIEMBRE"))</f>
        <v/>
      </c>
      <c r="I295" s="34">
        <f>IF($A295="","",IF(OR($G295="SÁBADO",$G295="DOMINGO"),"FIN","LV"))</f>
        <v/>
      </c>
      <c r="J295" s="34">
        <f>IF(OR($A295="",$B295=""),"",IF($L295&lt;&gt;"",UPPER($L295),IF($C295="","FALTA",IFERROR(IF($C295&gt;=$O295,"ROJO FUERTE",IF($C295&gt;=$N295,"ROJO",IF($C295&gt;=$M295,"AMARILLO","VERDE"))),"REVISAR"))))</f>
        <v/>
      </c>
      <c r="K295" s="36">
        <f>IF(OR($C295="",$D295=""),"",IF($D295&gt;=$C295,($D295-$C295)*24,(1-$C295+$D295)*24))</f>
        <v/>
      </c>
      <c r="L295" s="34" t="n"/>
      <c r="M295" s="53">
        <f t="array" ref="M295">IFERROR(INDEX(EXCEPCIONES_FECHA!$D$2:$D$201,MATCH(1,(EXCEPCIONES_FECHA!$A$2:$A$201=$A295)*(EXCEPCIONES_FECHA!$B$2:$B$201=$B295),0)),IFERROR(INDEX(EXCEPCIONES_FECHA!$D$2:$D$201,MATCH(1,(EXCEPCIONES_FECHA!$A$2:$A$201=$A295)*(EXCEPCIONES_FECHA!$B$2:$B$201=""),0)),IFERROR(INDEX(IF($I295="FIN",HISTORIAL_HORARIOS!$J$2:$J$201,HISTORIAL_HORARIOS!$F$2:$F$201),MATCH(1,(HISTORIAL_HORARIOS!$A$2:$A$201=$B295)*(HISTORIAL_HORARIOS!$C$2:$C$201&lt;=$A295)*(HISTORIAL_HORARIOS!$D$2:$D$201&gt;=$A295),0)),INDEX(IF($I295="FIN",PERSONAL!$J$2:$J$80,PERSONAL!$F$2:$F$80),MATCH($B295,PERSONAL!$A$2:$A$80,0)))))</f>
        <v/>
      </c>
      <c r="N295" s="53">
        <f t="array" ref="N295">IFERROR(INDEX(EXCEPCIONES_FECHA!$E$2:$E$201,MATCH(1,(EXCEPCIONES_FECHA!$A$2:$A$201=$A295)*(EXCEPCIONES_FECHA!$B$2:$B$201=$B295),0)),IFERROR(INDEX(EXCEPCIONES_FECHA!$E$2:$E$201,MATCH(1,(EXCEPCIONES_FECHA!$A$2:$A$201=$A295)*(EXCEPCIONES_FECHA!$B$2:$B$201=""),0)),IFERROR(INDEX(IF($I295="FIN",HISTORIAL_HORARIOS!$K$2:$K$201,HISTORIAL_HORARIOS!$G$2:$G$201),MATCH(1,(HISTORIAL_HORARIOS!$A$2:$A$201=$B295)*(HISTORIAL_HORARIOS!$C$2:$C$201&lt;=$A295)*(HISTORIAL_HORARIOS!$D$2:$D$201&gt;=$A295),0)),INDEX(IF($I295="FIN",PERSONAL!$K$2:$K$80,PERSONAL!$G$2:$G$80),MATCH($B295,PERSONAL!$A$2:$A$80,0)))))</f>
        <v/>
      </c>
      <c r="O295" s="53">
        <f t="array" ref="O295">IFERROR(INDEX(EXCEPCIONES_FECHA!$F$2:$F$201,MATCH(1,(EXCEPCIONES_FECHA!$A$2:$A$201=$A295)*(EXCEPCIONES_FECHA!$B$2:$B$201=$B295),0)),IFERROR(INDEX(EXCEPCIONES_FECHA!$F$2:$F$201,MATCH(1,(EXCEPCIONES_FECHA!$A$2:$A$201=$A295)*(EXCEPCIONES_FECHA!$B$2:$B$201=""),0)),IFERROR(INDEX(IF($I295="FIN",HISTORIAL_HORARIOS!$L$2:$L$201,HISTORIAL_HORARIOS!$H$2:$H$201),MATCH(1,(HISTORIAL_HORARIOS!$A$2:$A$201=$B295)*(HISTORIAL_HORARIOS!$C$2:$C$201&lt;=$A295)*(HISTORIAL_HORARIOS!$D$2:$D$201&gt;=$A295),0)),INDEX(IF($I295="FIN",PERSONAL!$L$2:$L$80,PERSONAL!$H$2:$H$80),MATCH($B295,PERSONAL!$A$2:$A$80,0)))))</f>
        <v/>
      </c>
    </row>
    <row r="296" ht="15" customHeight="1" s="58">
      <c r="A296" s="37" t="n"/>
      <c r="B296" s="38" t="n"/>
      <c r="C296" s="39" t="n"/>
      <c r="D296" s="39" t="n"/>
      <c r="E296" s="34">
        <f t="array" ref="E296">IF($B296="","",IFERROR(INDEX(PERSONAL!$B$2:$B$80,MATCH($B296,PERSONAL!$A$2:$A$80,0)),"NO EXISTE"))</f>
        <v/>
      </c>
      <c r="F296" s="52">
        <f t="array" ref="F296">IF($B296="","",IFERROR(INDEX(PERSONAL!$C$2:$C$80,MATCH($B296,PERSONAL!$A$2:$A$80,0)),""))</f>
        <v/>
      </c>
      <c r="G296" s="52">
        <f>IF($A296="","",CHOOSE(WEEKDAY($A296,2),"LUNES","MARTES","MIÉRCOLES","JUEVES","VIERNES","SÁBADO","DOMINGO"))</f>
        <v/>
      </c>
      <c r="H296" s="34">
        <f>IF($A296="","",CHOOSE(MONTH($A296),"ENERO","FEBRERO","MARZO","ABRIL","MAYO","JUNIO","JULIO","AGOSTO","SEPTIEMBRE","OCTUBRE","NOVIEMBRE","DICIEMBRE"))</f>
        <v/>
      </c>
      <c r="I296" s="34">
        <f>IF($A296="","",IF(OR($G296="SÁBADO",$G296="DOMINGO"),"FIN","LV"))</f>
        <v/>
      </c>
      <c r="J296" s="34">
        <f>IF(OR($A296="",$B296=""),"",IF($L296&lt;&gt;"",UPPER($L296),IF($C296="","FALTA",IFERROR(IF($C296&gt;=$O296,"ROJO FUERTE",IF($C296&gt;=$N296,"ROJO",IF($C296&gt;=$M296,"AMARILLO","VERDE"))),"REVISAR"))))</f>
        <v/>
      </c>
      <c r="K296" s="36">
        <f>IF(OR($C296="",$D296=""),"",IF($D296&gt;=$C296,($D296-$C296)*24,(1-$C296+$D296)*24))</f>
        <v/>
      </c>
      <c r="L296" s="34" t="n"/>
      <c r="M296" s="53">
        <f t="array" ref="M296">IFERROR(INDEX(EXCEPCIONES_FECHA!$D$2:$D$201,MATCH(1,(EXCEPCIONES_FECHA!$A$2:$A$201=$A296)*(EXCEPCIONES_FECHA!$B$2:$B$201=$B296),0)),IFERROR(INDEX(EXCEPCIONES_FECHA!$D$2:$D$201,MATCH(1,(EXCEPCIONES_FECHA!$A$2:$A$201=$A296)*(EXCEPCIONES_FECHA!$B$2:$B$201=""),0)),IFERROR(INDEX(IF($I296="FIN",HISTORIAL_HORARIOS!$J$2:$J$201,HISTORIAL_HORARIOS!$F$2:$F$201),MATCH(1,(HISTORIAL_HORARIOS!$A$2:$A$201=$B296)*(HISTORIAL_HORARIOS!$C$2:$C$201&lt;=$A296)*(HISTORIAL_HORARIOS!$D$2:$D$201&gt;=$A296),0)),INDEX(IF($I296="FIN",PERSONAL!$J$2:$J$80,PERSONAL!$F$2:$F$80),MATCH($B296,PERSONAL!$A$2:$A$80,0)))))</f>
        <v/>
      </c>
      <c r="N296" s="53">
        <f t="array" ref="N296">IFERROR(INDEX(EXCEPCIONES_FECHA!$E$2:$E$201,MATCH(1,(EXCEPCIONES_FECHA!$A$2:$A$201=$A296)*(EXCEPCIONES_FECHA!$B$2:$B$201=$B296),0)),IFERROR(INDEX(EXCEPCIONES_FECHA!$E$2:$E$201,MATCH(1,(EXCEPCIONES_FECHA!$A$2:$A$201=$A296)*(EXCEPCIONES_FECHA!$B$2:$B$201=""),0)),IFERROR(INDEX(IF($I296="FIN",HISTORIAL_HORARIOS!$K$2:$K$201,HISTORIAL_HORARIOS!$G$2:$G$201),MATCH(1,(HISTORIAL_HORARIOS!$A$2:$A$201=$B296)*(HISTORIAL_HORARIOS!$C$2:$C$201&lt;=$A296)*(HISTORIAL_HORARIOS!$D$2:$D$201&gt;=$A296),0)),INDEX(IF($I296="FIN",PERSONAL!$K$2:$K$80,PERSONAL!$G$2:$G$80),MATCH($B296,PERSONAL!$A$2:$A$80,0)))))</f>
        <v/>
      </c>
      <c r="O296" s="53">
        <f t="array" ref="O296">IFERROR(INDEX(EXCEPCIONES_FECHA!$F$2:$F$201,MATCH(1,(EXCEPCIONES_FECHA!$A$2:$A$201=$A296)*(EXCEPCIONES_FECHA!$B$2:$B$201=$B296),0)),IFERROR(INDEX(EXCEPCIONES_FECHA!$F$2:$F$201,MATCH(1,(EXCEPCIONES_FECHA!$A$2:$A$201=$A296)*(EXCEPCIONES_FECHA!$B$2:$B$201=""),0)),IFERROR(INDEX(IF($I296="FIN",HISTORIAL_HORARIOS!$L$2:$L$201,HISTORIAL_HORARIOS!$H$2:$H$201),MATCH(1,(HISTORIAL_HORARIOS!$A$2:$A$201=$B296)*(HISTORIAL_HORARIOS!$C$2:$C$201&lt;=$A296)*(HISTORIAL_HORARIOS!$D$2:$D$201&gt;=$A296),0)),INDEX(IF($I296="FIN",PERSONAL!$L$2:$L$80,PERSONAL!$H$2:$H$80),MATCH($B296,PERSONAL!$A$2:$A$80,0)))))</f>
        <v/>
      </c>
    </row>
    <row r="297" ht="15" customHeight="1" s="58">
      <c r="A297" s="37" t="n"/>
      <c r="B297" s="38" t="n"/>
      <c r="C297" s="39" t="n"/>
      <c r="D297" s="39" t="n"/>
      <c r="E297" s="34">
        <f t="array" ref="E297">IF($B297="","",IFERROR(INDEX(PERSONAL!$B$2:$B$80,MATCH($B297,PERSONAL!$A$2:$A$80,0)),"NO EXISTE"))</f>
        <v/>
      </c>
      <c r="F297" s="52">
        <f t="array" ref="F297">IF($B297="","",IFERROR(INDEX(PERSONAL!$C$2:$C$80,MATCH($B297,PERSONAL!$A$2:$A$80,0)),""))</f>
        <v/>
      </c>
      <c r="G297" s="52">
        <f>IF($A297="","",CHOOSE(WEEKDAY($A297,2),"LUNES","MARTES","MIÉRCOLES","JUEVES","VIERNES","SÁBADO","DOMINGO"))</f>
        <v/>
      </c>
      <c r="H297" s="34">
        <f>IF($A297="","",CHOOSE(MONTH($A297),"ENERO","FEBRERO","MARZO","ABRIL","MAYO","JUNIO","JULIO","AGOSTO","SEPTIEMBRE","OCTUBRE","NOVIEMBRE","DICIEMBRE"))</f>
        <v/>
      </c>
      <c r="I297" s="34">
        <f>IF($A297="","",IF(OR($G297="SÁBADO",$G297="DOMINGO"),"FIN","LV"))</f>
        <v/>
      </c>
      <c r="J297" s="34">
        <f>IF(OR($A297="",$B297=""),"",IF($L297&lt;&gt;"",UPPER($L297),IF($C297="","FALTA",IFERROR(IF($C297&gt;=$O297,"ROJO FUERTE",IF($C297&gt;=$N297,"ROJO",IF($C297&gt;=$M297,"AMARILLO","VERDE"))),"REVISAR"))))</f>
        <v/>
      </c>
      <c r="K297" s="36">
        <f>IF(OR($C297="",$D297=""),"",IF($D297&gt;=$C297,($D297-$C297)*24,(1-$C297+$D297)*24))</f>
        <v/>
      </c>
      <c r="L297" s="34" t="n"/>
      <c r="M297" s="53">
        <f t="array" ref="M297">IFERROR(INDEX(EXCEPCIONES_FECHA!$D$2:$D$201,MATCH(1,(EXCEPCIONES_FECHA!$A$2:$A$201=$A297)*(EXCEPCIONES_FECHA!$B$2:$B$201=$B297),0)),IFERROR(INDEX(EXCEPCIONES_FECHA!$D$2:$D$201,MATCH(1,(EXCEPCIONES_FECHA!$A$2:$A$201=$A297)*(EXCEPCIONES_FECHA!$B$2:$B$201=""),0)),IFERROR(INDEX(IF($I297="FIN",HISTORIAL_HORARIOS!$J$2:$J$201,HISTORIAL_HORARIOS!$F$2:$F$201),MATCH(1,(HISTORIAL_HORARIOS!$A$2:$A$201=$B297)*(HISTORIAL_HORARIOS!$C$2:$C$201&lt;=$A297)*(HISTORIAL_HORARIOS!$D$2:$D$201&gt;=$A297),0)),INDEX(IF($I297="FIN",PERSONAL!$J$2:$J$80,PERSONAL!$F$2:$F$80),MATCH($B297,PERSONAL!$A$2:$A$80,0)))))</f>
        <v/>
      </c>
      <c r="N297" s="53">
        <f t="array" ref="N297">IFERROR(INDEX(EXCEPCIONES_FECHA!$E$2:$E$201,MATCH(1,(EXCEPCIONES_FECHA!$A$2:$A$201=$A297)*(EXCEPCIONES_FECHA!$B$2:$B$201=$B297),0)),IFERROR(INDEX(EXCEPCIONES_FECHA!$E$2:$E$201,MATCH(1,(EXCEPCIONES_FECHA!$A$2:$A$201=$A297)*(EXCEPCIONES_FECHA!$B$2:$B$201=""),0)),IFERROR(INDEX(IF($I297="FIN",HISTORIAL_HORARIOS!$K$2:$K$201,HISTORIAL_HORARIOS!$G$2:$G$201),MATCH(1,(HISTORIAL_HORARIOS!$A$2:$A$201=$B297)*(HISTORIAL_HORARIOS!$C$2:$C$201&lt;=$A297)*(HISTORIAL_HORARIOS!$D$2:$D$201&gt;=$A297),0)),INDEX(IF($I297="FIN",PERSONAL!$K$2:$K$80,PERSONAL!$G$2:$G$80),MATCH($B297,PERSONAL!$A$2:$A$80,0)))))</f>
        <v/>
      </c>
      <c r="O297" s="53">
        <f t="array" ref="O297">IFERROR(INDEX(EXCEPCIONES_FECHA!$F$2:$F$201,MATCH(1,(EXCEPCIONES_FECHA!$A$2:$A$201=$A297)*(EXCEPCIONES_FECHA!$B$2:$B$201=$B297),0)),IFERROR(INDEX(EXCEPCIONES_FECHA!$F$2:$F$201,MATCH(1,(EXCEPCIONES_FECHA!$A$2:$A$201=$A297)*(EXCEPCIONES_FECHA!$B$2:$B$201=""),0)),IFERROR(INDEX(IF($I297="FIN",HISTORIAL_HORARIOS!$L$2:$L$201,HISTORIAL_HORARIOS!$H$2:$H$201),MATCH(1,(HISTORIAL_HORARIOS!$A$2:$A$201=$B297)*(HISTORIAL_HORARIOS!$C$2:$C$201&lt;=$A297)*(HISTORIAL_HORARIOS!$D$2:$D$201&gt;=$A297),0)),INDEX(IF($I297="FIN",PERSONAL!$L$2:$L$80,PERSONAL!$H$2:$H$80),MATCH($B297,PERSONAL!$A$2:$A$80,0)))))</f>
        <v/>
      </c>
    </row>
    <row r="298" ht="15" customHeight="1" s="58">
      <c r="A298" s="37" t="n"/>
      <c r="B298" s="38" t="n"/>
      <c r="C298" s="39" t="n"/>
      <c r="D298" s="39" t="n"/>
      <c r="E298" s="34">
        <f t="array" ref="E298">IF($B298="","",IFERROR(INDEX(PERSONAL!$B$2:$B$80,MATCH($B298,PERSONAL!$A$2:$A$80,0)),"NO EXISTE"))</f>
        <v/>
      </c>
      <c r="F298" s="52">
        <f t="array" ref="F298">IF($B298="","",IFERROR(INDEX(PERSONAL!$C$2:$C$80,MATCH($B298,PERSONAL!$A$2:$A$80,0)),""))</f>
        <v/>
      </c>
      <c r="G298" s="52">
        <f>IF($A298="","",CHOOSE(WEEKDAY($A298,2),"LUNES","MARTES","MIÉRCOLES","JUEVES","VIERNES","SÁBADO","DOMINGO"))</f>
        <v/>
      </c>
      <c r="H298" s="34">
        <f>IF($A298="","",CHOOSE(MONTH($A298),"ENERO","FEBRERO","MARZO","ABRIL","MAYO","JUNIO","JULIO","AGOSTO","SEPTIEMBRE","OCTUBRE","NOVIEMBRE","DICIEMBRE"))</f>
        <v/>
      </c>
      <c r="I298" s="34">
        <f>IF($A298="","",IF(OR($G298="SÁBADO",$G298="DOMINGO"),"FIN","LV"))</f>
        <v/>
      </c>
      <c r="J298" s="34">
        <f>IF(OR($A298="",$B298=""),"",IF($L298&lt;&gt;"",UPPER($L298),IF($C298="","FALTA",IFERROR(IF($C298&gt;=$O298,"ROJO FUERTE",IF($C298&gt;=$N298,"ROJO",IF($C298&gt;=$M298,"AMARILLO","VERDE"))),"REVISAR"))))</f>
        <v/>
      </c>
      <c r="K298" s="36">
        <f>IF(OR($C298="",$D298=""),"",IF($D298&gt;=$C298,($D298-$C298)*24,(1-$C298+$D298)*24))</f>
        <v/>
      </c>
      <c r="L298" s="34" t="n"/>
      <c r="M298" s="53">
        <f t="array" ref="M298">IFERROR(INDEX(EXCEPCIONES_FECHA!$D$2:$D$201,MATCH(1,(EXCEPCIONES_FECHA!$A$2:$A$201=$A298)*(EXCEPCIONES_FECHA!$B$2:$B$201=$B298),0)),IFERROR(INDEX(EXCEPCIONES_FECHA!$D$2:$D$201,MATCH(1,(EXCEPCIONES_FECHA!$A$2:$A$201=$A298)*(EXCEPCIONES_FECHA!$B$2:$B$201=""),0)),IFERROR(INDEX(IF($I298="FIN",HISTORIAL_HORARIOS!$J$2:$J$201,HISTORIAL_HORARIOS!$F$2:$F$201),MATCH(1,(HISTORIAL_HORARIOS!$A$2:$A$201=$B298)*(HISTORIAL_HORARIOS!$C$2:$C$201&lt;=$A298)*(HISTORIAL_HORARIOS!$D$2:$D$201&gt;=$A298),0)),INDEX(IF($I298="FIN",PERSONAL!$J$2:$J$80,PERSONAL!$F$2:$F$80),MATCH($B298,PERSONAL!$A$2:$A$80,0)))))</f>
        <v/>
      </c>
      <c r="N298" s="53">
        <f t="array" ref="N298">IFERROR(INDEX(EXCEPCIONES_FECHA!$E$2:$E$201,MATCH(1,(EXCEPCIONES_FECHA!$A$2:$A$201=$A298)*(EXCEPCIONES_FECHA!$B$2:$B$201=$B298),0)),IFERROR(INDEX(EXCEPCIONES_FECHA!$E$2:$E$201,MATCH(1,(EXCEPCIONES_FECHA!$A$2:$A$201=$A298)*(EXCEPCIONES_FECHA!$B$2:$B$201=""),0)),IFERROR(INDEX(IF($I298="FIN",HISTORIAL_HORARIOS!$K$2:$K$201,HISTORIAL_HORARIOS!$G$2:$G$201),MATCH(1,(HISTORIAL_HORARIOS!$A$2:$A$201=$B298)*(HISTORIAL_HORARIOS!$C$2:$C$201&lt;=$A298)*(HISTORIAL_HORARIOS!$D$2:$D$201&gt;=$A298),0)),INDEX(IF($I298="FIN",PERSONAL!$K$2:$K$80,PERSONAL!$G$2:$G$80),MATCH($B298,PERSONAL!$A$2:$A$80,0)))))</f>
        <v/>
      </c>
      <c r="O298" s="53">
        <f t="array" ref="O298">IFERROR(INDEX(EXCEPCIONES_FECHA!$F$2:$F$201,MATCH(1,(EXCEPCIONES_FECHA!$A$2:$A$201=$A298)*(EXCEPCIONES_FECHA!$B$2:$B$201=$B298),0)),IFERROR(INDEX(EXCEPCIONES_FECHA!$F$2:$F$201,MATCH(1,(EXCEPCIONES_FECHA!$A$2:$A$201=$A298)*(EXCEPCIONES_FECHA!$B$2:$B$201=""),0)),IFERROR(INDEX(IF($I298="FIN",HISTORIAL_HORARIOS!$L$2:$L$201,HISTORIAL_HORARIOS!$H$2:$H$201),MATCH(1,(HISTORIAL_HORARIOS!$A$2:$A$201=$B298)*(HISTORIAL_HORARIOS!$C$2:$C$201&lt;=$A298)*(HISTORIAL_HORARIOS!$D$2:$D$201&gt;=$A298),0)),INDEX(IF($I298="FIN",PERSONAL!$L$2:$L$80,PERSONAL!$H$2:$H$80),MATCH($B298,PERSONAL!$A$2:$A$80,0)))))</f>
        <v/>
      </c>
    </row>
    <row r="299" ht="15" customHeight="1" s="58">
      <c r="A299" s="37" t="n"/>
      <c r="B299" s="38" t="n"/>
      <c r="C299" s="39" t="n"/>
      <c r="D299" s="39" t="n"/>
      <c r="E299" s="34">
        <f t="array" ref="E299">IF($B299="","",IFERROR(INDEX(PERSONAL!$B$2:$B$80,MATCH($B299,PERSONAL!$A$2:$A$80,0)),"NO EXISTE"))</f>
        <v/>
      </c>
      <c r="F299" s="52">
        <f t="array" ref="F299">IF($B299="","",IFERROR(INDEX(PERSONAL!$C$2:$C$80,MATCH($B299,PERSONAL!$A$2:$A$80,0)),""))</f>
        <v/>
      </c>
      <c r="G299" s="52">
        <f>IF($A299="","",CHOOSE(WEEKDAY($A299,2),"LUNES","MARTES","MIÉRCOLES","JUEVES","VIERNES","SÁBADO","DOMINGO"))</f>
        <v/>
      </c>
      <c r="H299" s="34">
        <f>IF($A299="","",CHOOSE(MONTH($A299),"ENERO","FEBRERO","MARZO","ABRIL","MAYO","JUNIO","JULIO","AGOSTO","SEPTIEMBRE","OCTUBRE","NOVIEMBRE","DICIEMBRE"))</f>
        <v/>
      </c>
      <c r="I299" s="34">
        <f>IF($A299="","",IF(OR($G299="SÁBADO",$G299="DOMINGO"),"FIN","LV"))</f>
        <v/>
      </c>
      <c r="J299" s="34">
        <f>IF(OR($A299="",$B299=""),"",IF($L299&lt;&gt;"",UPPER($L299),IF($C299="","FALTA",IFERROR(IF($C299&gt;=$O299,"ROJO FUERTE",IF($C299&gt;=$N299,"ROJO",IF($C299&gt;=$M299,"AMARILLO","VERDE"))),"REVISAR"))))</f>
        <v/>
      </c>
      <c r="K299" s="36">
        <f>IF(OR($C299="",$D299=""),"",IF($D299&gt;=$C299,($D299-$C299)*24,(1-$C299+$D299)*24))</f>
        <v/>
      </c>
      <c r="L299" s="34" t="n"/>
      <c r="M299" s="53">
        <f t="array" ref="M299">IFERROR(INDEX(EXCEPCIONES_FECHA!$D$2:$D$201,MATCH(1,(EXCEPCIONES_FECHA!$A$2:$A$201=$A299)*(EXCEPCIONES_FECHA!$B$2:$B$201=$B299),0)),IFERROR(INDEX(EXCEPCIONES_FECHA!$D$2:$D$201,MATCH(1,(EXCEPCIONES_FECHA!$A$2:$A$201=$A299)*(EXCEPCIONES_FECHA!$B$2:$B$201=""),0)),IFERROR(INDEX(IF($I299="FIN",HISTORIAL_HORARIOS!$J$2:$J$201,HISTORIAL_HORARIOS!$F$2:$F$201),MATCH(1,(HISTORIAL_HORARIOS!$A$2:$A$201=$B299)*(HISTORIAL_HORARIOS!$C$2:$C$201&lt;=$A299)*(HISTORIAL_HORARIOS!$D$2:$D$201&gt;=$A299),0)),INDEX(IF($I299="FIN",PERSONAL!$J$2:$J$80,PERSONAL!$F$2:$F$80),MATCH($B299,PERSONAL!$A$2:$A$80,0)))))</f>
        <v/>
      </c>
      <c r="N299" s="53">
        <f t="array" ref="N299">IFERROR(INDEX(EXCEPCIONES_FECHA!$E$2:$E$201,MATCH(1,(EXCEPCIONES_FECHA!$A$2:$A$201=$A299)*(EXCEPCIONES_FECHA!$B$2:$B$201=$B299),0)),IFERROR(INDEX(EXCEPCIONES_FECHA!$E$2:$E$201,MATCH(1,(EXCEPCIONES_FECHA!$A$2:$A$201=$A299)*(EXCEPCIONES_FECHA!$B$2:$B$201=""),0)),IFERROR(INDEX(IF($I299="FIN",HISTORIAL_HORARIOS!$K$2:$K$201,HISTORIAL_HORARIOS!$G$2:$G$201),MATCH(1,(HISTORIAL_HORARIOS!$A$2:$A$201=$B299)*(HISTORIAL_HORARIOS!$C$2:$C$201&lt;=$A299)*(HISTORIAL_HORARIOS!$D$2:$D$201&gt;=$A299),0)),INDEX(IF($I299="FIN",PERSONAL!$K$2:$K$80,PERSONAL!$G$2:$G$80),MATCH($B299,PERSONAL!$A$2:$A$80,0)))))</f>
        <v/>
      </c>
      <c r="O299" s="53">
        <f t="array" ref="O299">IFERROR(INDEX(EXCEPCIONES_FECHA!$F$2:$F$201,MATCH(1,(EXCEPCIONES_FECHA!$A$2:$A$201=$A299)*(EXCEPCIONES_FECHA!$B$2:$B$201=$B299),0)),IFERROR(INDEX(EXCEPCIONES_FECHA!$F$2:$F$201,MATCH(1,(EXCEPCIONES_FECHA!$A$2:$A$201=$A299)*(EXCEPCIONES_FECHA!$B$2:$B$201=""),0)),IFERROR(INDEX(IF($I299="FIN",HISTORIAL_HORARIOS!$L$2:$L$201,HISTORIAL_HORARIOS!$H$2:$H$201),MATCH(1,(HISTORIAL_HORARIOS!$A$2:$A$201=$B299)*(HISTORIAL_HORARIOS!$C$2:$C$201&lt;=$A299)*(HISTORIAL_HORARIOS!$D$2:$D$201&gt;=$A299),0)),INDEX(IF($I299="FIN",PERSONAL!$L$2:$L$80,PERSONAL!$H$2:$H$80),MATCH($B299,PERSONAL!$A$2:$A$80,0)))))</f>
        <v/>
      </c>
    </row>
    <row r="300" ht="15" customHeight="1" s="58">
      <c r="A300" s="37" t="n"/>
      <c r="B300" s="38" t="n"/>
      <c r="C300" s="39" t="n"/>
      <c r="D300" s="39" t="n"/>
      <c r="E300" s="34">
        <f t="array" ref="E300">IF($B300="","",IFERROR(INDEX(PERSONAL!$B$2:$B$80,MATCH($B300,PERSONAL!$A$2:$A$80,0)),"NO EXISTE"))</f>
        <v/>
      </c>
      <c r="F300" s="52">
        <f t="array" ref="F300">IF($B300="","",IFERROR(INDEX(PERSONAL!$C$2:$C$80,MATCH($B300,PERSONAL!$A$2:$A$80,0)),""))</f>
        <v/>
      </c>
      <c r="G300" s="52">
        <f>IF($A300="","",CHOOSE(WEEKDAY($A300,2),"LUNES","MARTES","MIÉRCOLES","JUEVES","VIERNES","SÁBADO","DOMINGO"))</f>
        <v/>
      </c>
      <c r="H300" s="34">
        <f>IF($A300="","",CHOOSE(MONTH($A300),"ENERO","FEBRERO","MARZO","ABRIL","MAYO","JUNIO","JULIO","AGOSTO","SEPTIEMBRE","OCTUBRE","NOVIEMBRE","DICIEMBRE"))</f>
        <v/>
      </c>
      <c r="I300" s="34">
        <f>IF($A300="","",IF(OR($G300="SÁBADO",$G300="DOMINGO"),"FIN","LV"))</f>
        <v/>
      </c>
      <c r="J300" s="34">
        <f>IF(OR($A300="",$B300=""),"",IF($L300&lt;&gt;"",UPPER($L300),IF($C300="","FALTA",IFERROR(IF($C300&gt;=$O300,"ROJO FUERTE",IF($C300&gt;=$N300,"ROJO",IF($C300&gt;=$M300,"AMARILLO","VERDE"))),"REVISAR"))))</f>
        <v/>
      </c>
      <c r="K300" s="36">
        <f>IF(OR($C300="",$D300=""),"",IF($D300&gt;=$C300,($D300-$C300)*24,(1-$C300+$D300)*24))</f>
        <v/>
      </c>
      <c r="L300" s="34" t="n"/>
      <c r="M300" s="53">
        <f t="array" ref="M300">IFERROR(INDEX(EXCEPCIONES_FECHA!$D$2:$D$201,MATCH(1,(EXCEPCIONES_FECHA!$A$2:$A$201=$A300)*(EXCEPCIONES_FECHA!$B$2:$B$201=$B300),0)),IFERROR(INDEX(EXCEPCIONES_FECHA!$D$2:$D$201,MATCH(1,(EXCEPCIONES_FECHA!$A$2:$A$201=$A300)*(EXCEPCIONES_FECHA!$B$2:$B$201=""),0)),IFERROR(INDEX(IF($I300="FIN",HISTORIAL_HORARIOS!$J$2:$J$201,HISTORIAL_HORARIOS!$F$2:$F$201),MATCH(1,(HISTORIAL_HORARIOS!$A$2:$A$201=$B300)*(HISTORIAL_HORARIOS!$C$2:$C$201&lt;=$A300)*(HISTORIAL_HORARIOS!$D$2:$D$201&gt;=$A300),0)),INDEX(IF($I300="FIN",PERSONAL!$J$2:$J$80,PERSONAL!$F$2:$F$80),MATCH($B300,PERSONAL!$A$2:$A$80,0)))))</f>
        <v/>
      </c>
      <c r="N300" s="53">
        <f t="array" ref="N300">IFERROR(INDEX(EXCEPCIONES_FECHA!$E$2:$E$201,MATCH(1,(EXCEPCIONES_FECHA!$A$2:$A$201=$A300)*(EXCEPCIONES_FECHA!$B$2:$B$201=$B300),0)),IFERROR(INDEX(EXCEPCIONES_FECHA!$E$2:$E$201,MATCH(1,(EXCEPCIONES_FECHA!$A$2:$A$201=$A300)*(EXCEPCIONES_FECHA!$B$2:$B$201=""),0)),IFERROR(INDEX(IF($I300="FIN",HISTORIAL_HORARIOS!$K$2:$K$201,HISTORIAL_HORARIOS!$G$2:$G$201),MATCH(1,(HISTORIAL_HORARIOS!$A$2:$A$201=$B300)*(HISTORIAL_HORARIOS!$C$2:$C$201&lt;=$A300)*(HISTORIAL_HORARIOS!$D$2:$D$201&gt;=$A300),0)),INDEX(IF($I300="FIN",PERSONAL!$K$2:$K$80,PERSONAL!$G$2:$G$80),MATCH($B300,PERSONAL!$A$2:$A$80,0)))))</f>
        <v/>
      </c>
      <c r="O300" s="53">
        <f t="array" ref="O300">IFERROR(INDEX(EXCEPCIONES_FECHA!$F$2:$F$201,MATCH(1,(EXCEPCIONES_FECHA!$A$2:$A$201=$A300)*(EXCEPCIONES_FECHA!$B$2:$B$201=$B300),0)),IFERROR(INDEX(EXCEPCIONES_FECHA!$F$2:$F$201,MATCH(1,(EXCEPCIONES_FECHA!$A$2:$A$201=$A300)*(EXCEPCIONES_FECHA!$B$2:$B$201=""),0)),IFERROR(INDEX(IF($I300="FIN",HISTORIAL_HORARIOS!$L$2:$L$201,HISTORIAL_HORARIOS!$H$2:$H$201),MATCH(1,(HISTORIAL_HORARIOS!$A$2:$A$201=$B300)*(HISTORIAL_HORARIOS!$C$2:$C$201&lt;=$A300)*(HISTORIAL_HORARIOS!$D$2:$D$201&gt;=$A300),0)),INDEX(IF($I300="FIN",PERSONAL!$L$2:$L$80,PERSONAL!$H$2:$H$80),MATCH($B300,PERSONAL!$A$2:$A$80,0)))))</f>
        <v/>
      </c>
    </row>
    <row r="301" ht="15" customHeight="1" s="58">
      <c r="A301" s="37" t="n"/>
      <c r="B301" s="38" t="n"/>
      <c r="C301" s="39" t="n"/>
      <c r="D301" s="39" t="n"/>
      <c r="E301" s="34">
        <f t="array" ref="E301">IF($B301="","",IFERROR(INDEX(PERSONAL!$B$2:$B$80,MATCH($B301,PERSONAL!$A$2:$A$80,0)),"NO EXISTE"))</f>
        <v/>
      </c>
      <c r="F301" s="52">
        <f t="array" ref="F301">IF($B301="","",IFERROR(INDEX(PERSONAL!$C$2:$C$80,MATCH($B301,PERSONAL!$A$2:$A$80,0)),""))</f>
        <v/>
      </c>
      <c r="G301" s="52">
        <f>IF($A301="","",CHOOSE(WEEKDAY($A301,2),"LUNES","MARTES","MIÉRCOLES","JUEVES","VIERNES","SÁBADO","DOMINGO"))</f>
        <v/>
      </c>
      <c r="H301" s="34">
        <f>IF($A301="","",CHOOSE(MONTH($A301),"ENERO","FEBRERO","MARZO","ABRIL","MAYO","JUNIO","JULIO","AGOSTO","SEPTIEMBRE","OCTUBRE","NOVIEMBRE","DICIEMBRE"))</f>
        <v/>
      </c>
      <c r="I301" s="34">
        <f>IF($A301="","",IF(OR($G301="SÁBADO",$G301="DOMINGO"),"FIN","LV"))</f>
        <v/>
      </c>
      <c r="J301" s="34">
        <f>IF(OR($A301="",$B301=""),"",IF($L301&lt;&gt;"",UPPER($L301),IF($C301="","FALTA",IFERROR(IF($C301&gt;=$O301,"ROJO FUERTE",IF($C301&gt;=$N301,"ROJO",IF($C301&gt;=$M301,"AMARILLO","VERDE"))),"REVISAR"))))</f>
        <v/>
      </c>
      <c r="K301" s="36">
        <f>IF(OR($C301="",$D301=""),"",IF($D301&gt;=$C301,($D301-$C301)*24,(1-$C301+$D301)*24))</f>
        <v/>
      </c>
      <c r="L301" s="34" t="n"/>
      <c r="M301" s="53">
        <f t="array" ref="M301">IFERROR(INDEX(EXCEPCIONES_FECHA!$D$2:$D$201,MATCH(1,(EXCEPCIONES_FECHA!$A$2:$A$201=$A301)*(EXCEPCIONES_FECHA!$B$2:$B$201=$B301),0)),IFERROR(INDEX(EXCEPCIONES_FECHA!$D$2:$D$201,MATCH(1,(EXCEPCIONES_FECHA!$A$2:$A$201=$A301)*(EXCEPCIONES_FECHA!$B$2:$B$201=""),0)),IFERROR(INDEX(IF($I301="FIN",HISTORIAL_HORARIOS!$J$2:$J$201,HISTORIAL_HORARIOS!$F$2:$F$201),MATCH(1,(HISTORIAL_HORARIOS!$A$2:$A$201=$B301)*(HISTORIAL_HORARIOS!$C$2:$C$201&lt;=$A301)*(HISTORIAL_HORARIOS!$D$2:$D$201&gt;=$A301),0)),INDEX(IF($I301="FIN",PERSONAL!$J$2:$J$80,PERSONAL!$F$2:$F$80),MATCH($B301,PERSONAL!$A$2:$A$80,0)))))</f>
        <v/>
      </c>
      <c r="N301" s="53">
        <f t="array" ref="N301">IFERROR(INDEX(EXCEPCIONES_FECHA!$E$2:$E$201,MATCH(1,(EXCEPCIONES_FECHA!$A$2:$A$201=$A301)*(EXCEPCIONES_FECHA!$B$2:$B$201=$B301),0)),IFERROR(INDEX(EXCEPCIONES_FECHA!$E$2:$E$201,MATCH(1,(EXCEPCIONES_FECHA!$A$2:$A$201=$A301)*(EXCEPCIONES_FECHA!$B$2:$B$201=""),0)),IFERROR(INDEX(IF($I301="FIN",HISTORIAL_HORARIOS!$K$2:$K$201,HISTORIAL_HORARIOS!$G$2:$G$201),MATCH(1,(HISTORIAL_HORARIOS!$A$2:$A$201=$B301)*(HISTORIAL_HORARIOS!$C$2:$C$201&lt;=$A301)*(HISTORIAL_HORARIOS!$D$2:$D$201&gt;=$A301),0)),INDEX(IF($I301="FIN",PERSONAL!$K$2:$K$80,PERSONAL!$G$2:$G$80),MATCH($B301,PERSONAL!$A$2:$A$80,0)))))</f>
        <v/>
      </c>
      <c r="O301" s="53">
        <f t="array" ref="O301">IFERROR(INDEX(EXCEPCIONES_FECHA!$F$2:$F$201,MATCH(1,(EXCEPCIONES_FECHA!$A$2:$A$201=$A301)*(EXCEPCIONES_FECHA!$B$2:$B$201=$B301),0)),IFERROR(INDEX(EXCEPCIONES_FECHA!$F$2:$F$201,MATCH(1,(EXCEPCIONES_FECHA!$A$2:$A$201=$A301)*(EXCEPCIONES_FECHA!$B$2:$B$201=""),0)),IFERROR(INDEX(IF($I301="FIN",HISTORIAL_HORARIOS!$L$2:$L$201,HISTORIAL_HORARIOS!$H$2:$H$201),MATCH(1,(HISTORIAL_HORARIOS!$A$2:$A$201=$B301)*(HISTORIAL_HORARIOS!$C$2:$C$201&lt;=$A301)*(HISTORIAL_HORARIOS!$D$2:$D$201&gt;=$A301),0)),INDEX(IF($I301="FIN",PERSONAL!$L$2:$L$80,PERSONAL!$H$2:$H$80),MATCH($B301,PERSONAL!$A$2:$A$80,0)))))</f>
        <v/>
      </c>
    </row>
    <row r="302" ht="15" customHeight="1" s="58">
      <c r="A302" s="37" t="n"/>
      <c r="B302" s="38" t="n"/>
      <c r="C302" s="39" t="n"/>
      <c r="D302" s="39" t="n"/>
      <c r="E302" s="34">
        <f t="array" ref="E302">IF($B302="","",IFERROR(INDEX(PERSONAL!$B$2:$B$80,MATCH($B302,PERSONAL!$A$2:$A$80,0)),"NO EXISTE"))</f>
        <v/>
      </c>
      <c r="F302" s="52">
        <f t="array" ref="F302">IF($B302="","",IFERROR(INDEX(PERSONAL!$C$2:$C$80,MATCH($B302,PERSONAL!$A$2:$A$80,0)),""))</f>
        <v/>
      </c>
      <c r="G302" s="52">
        <f>IF($A302="","",CHOOSE(WEEKDAY($A302,2),"LUNES","MARTES","MIÉRCOLES","JUEVES","VIERNES","SÁBADO","DOMINGO"))</f>
        <v/>
      </c>
      <c r="H302" s="34">
        <f>IF($A302="","",CHOOSE(MONTH($A302),"ENERO","FEBRERO","MARZO","ABRIL","MAYO","JUNIO","JULIO","AGOSTO","SEPTIEMBRE","OCTUBRE","NOVIEMBRE","DICIEMBRE"))</f>
        <v/>
      </c>
      <c r="I302" s="34">
        <f>IF($A302="","",IF(OR($G302="SÁBADO",$G302="DOMINGO"),"FIN","LV"))</f>
        <v/>
      </c>
      <c r="J302" s="34">
        <f>IF(OR($A302="",$B302=""),"",IF($L302&lt;&gt;"",UPPER($L302),IF($C302="","FALTA",IFERROR(IF($C302&gt;=$O302,"ROJO FUERTE",IF($C302&gt;=$N302,"ROJO",IF($C302&gt;=$M302,"AMARILLO","VERDE"))),"REVISAR"))))</f>
        <v/>
      </c>
      <c r="K302" s="36">
        <f>IF(OR($C302="",$D302=""),"",IF($D302&gt;=$C302,($D302-$C302)*24,(1-$C302+$D302)*24))</f>
        <v/>
      </c>
      <c r="L302" s="34" t="n"/>
      <c r="M302" s="53">
        <f t="array" ref="M302">IFERROR(INDEX(EXCEPCIONES_FECHA!$D$2:$D$201,MATCH(1,(EXCEPCIONES_FECHA!$A$2:$A$201=$A302)*(EXCEPCIONES_FECHA!$B$2:$B$201=$B302),0)),IFERROR(INDEX(EXCEPCIONES_FECHA!$D$2:$D$201,MATCH(1,(EXCEPCIONES_FECHA!$A$2:$A$201=$A302)*(EXCEPCIONES_FECHA!$B$2:$B$201=""),0)),IFERROR(INDEX(IF($I302="FIN",HISTORIAL_HORARIOS!$J$2:$J$201,HISTORIAL_HORARIOS!$F$2:$F$201),MATCH(1,(HISTORIAL_HORARIOS!$A$2:$A$201=$B302)*(HISTORIAL_HORARIOS!$C$2:$C$201&lt;=$A302)*(HISTORIAL_HORARIOS!$D$2:$D$201&gt;=$A302),0)),INDEX(IF($I302="FIN",PERSONAL!$J$2:$J$80,PERSONAL!$F$2:$F$80),MATCH($B302,PERSONAL!$A$2:$A$80,0)))))</f>
        <v/>
      </c>
      <c r="N302" s="53">
        <f t="array" ref="N302">IFERROR(INDEX(EXCEPCIONES_FECHA!$E$2:$E$201,MATCH(1,(EXCEPCIONES_FECHA!$A$2:$A$201=$A302)*(EXCEPCIONES_FECHA!$B$2:$B$201=$B302),0)),IFERROR(INDEX(EXCEPCIONES_FECHA!$E$2:$E$201,MATCH(1,(EXCEPCIONES_FECHA!$A$2:$A$201=$A302)*(EXCEPCIONES_FECHA!$B$2:$B$201=""),0)),IFERROR(INDEX(IF($I302="FIN",HISTORIAL_HORARIOS!$K$2:$K$201,HISTORIAL_HORARIOS!$G$2:$G$201),MATCH(1,(HISTORIAL_HORARIOS!$A$2:$A$201=$B302)*(HISTORIAL_HORARIOS!$C$2:$C$201&lt;=$A302)*(HISTORIAL_HORARIOS!$D$2:$D$201&gt;=$A302),0)),INDEX(IF($I302="FIN",PERSONAL!$K$2:$K$80,PERSONAL!$G$2:$G$80),MATCH($B302,PERSONAL!$A$2:$A$80,0)))))</f>
        <v/>
      </c>
      <c r="O302" s="53">
        <f t="array" ref="O302">IFERROR(INDEX(EXCEPCIONES_FECHA!$F$2:$F$201,MATCH(1,(EXCEPCIONES_FECHA!$A$2:$A$201=$A302)*(EXCEPCIONES_FECHA!$B$2:$B$201=$B302),0)),IFERROR(INDEX(EXCEPCIONES_FECHA!$F$2:$F$201,MATCH(1,(EXCEPCIONES_FECHA!$A$2:$A$201=$A302)*(EXCEPCIONES_FECHA!$B$2:$B$201=""),0)),IFERROR(INDEX(IF($I302="FIN",HISTORIAL_HORARIOS!$L$2:$L$201,HISTORIAL_HORARIOS!$H$2:$H$201),MATCH(1,(HISTORIAL_HORARIOS!$A$2:$A$201=$B302)*(HISTORIAL_HORARIOS!$C$2:$C$201&lt;=$A302)*(HISTORIAL_HORARIOS!$D$2:$D$201&gt;=$A302),0)),INDEX(IF($I302="FIN",PERSONAL!$L$2:$L$80,PERSONAL!$H$2:$H$80),MATCH($B302,PERSONAL!$A$2:$A$80,0)))))</f>
        <v/>
      </c>
    </row>
    <row r="303" ht="15" customHeight="1" s="58">
      <c r="A303" s="37" t="n"/>
      <c r="B303" s="38" t="n"/>
      <c r="C303" s="39" t="n"/>
      <c r="D303" s="39" t="n"/>
      <c r="E303" s="34">
        <f t="array" ref="E303">IF($B303="","",IFERROR(INDEX(PERSONAL!$B$2:$B$80,MATCH($B303,PERSONAL!$A$2:$A$80,0)),"NO EXISTE"))</f>
        <v/>
      </c>
      <c r="F303" s="52">
        <f t="array" ref="F303">IF($B303="","",IFERROR(INDEX(PERSONAL!$C$2:$C$80,MATCH($B303,PERSONAL!$A$2:$A$80,0)),""))</f>
        <v/>
      </c>
      <c r="G303" s="52">
        <f>IF($A303="","",CHOOSE(WEEKDAY($A303,2),"LUNES","MARTES","MIÉRCOLES","JUEVES","VIERNES","SÁBADO","DOMINGO"))</f>
        <v/>
      </c>
      <c r="H303" s="34">
        <f>IF($A303="","",CHOOSE(MONTH($A303),"ENERO","FEBRERO","MARZO","ABRIL","MAYO","JUNIO","JULIO","AGOSTO","SEPTIEMBRE","OCTUBRE","NOVIEMBRE","DICIEMBRE"))</f>
        <v/>
      </c>
      <c r="I303" s="34">
        <f>IF($A303="","",IF(OR($G303="SÁBADO",$G303="DOMINGO"),"FIN","LV"))</f>
        <v/>
      </c>
      <c r="J303" s="34">
        <f>IF(OR($A303="",$B303=""),"",IF($L303&lt;&gt;"",UPPER($L303),IF($C303="","FALTA",IFERROR(IF($C303&gt;=$O303,"ROJO FUERTE",IF($C303&gt;=$N303,"ROJO",IF($C303&gt;=$M303,"AMARILLO","VERDE"))),"REVISAR"))))</f>
        <v/>
      </c>
      <c r="K303" s="36">
        <f>IF(OR($C303="",$D303=""),"",IF($D303&gt;=$C303,($D303-$C303)*24,(1-$C303+$D303)*24))</f>
        <v/>
      </c>
      <c r="L303" s="34" t="n"/>
      <c r="M303" s="53">
        <f t="array" ref="M303">IFERROR(INDEX(EXCEPCIONES_FECHA!$D$2:$D$201,MATCH(1,(EXCEPCIONES_FECHA!$A$2:$A$201=$A303)*(EXCEPCIONES_FECHA!$B$2:$B$201=$B303),0)),IFERROR(INDEX(EXCEPCIONES_FECHA!$D$2:$D$201,MATCH(1,(EXCEPCIONES_FECHA!$A$2:$A$201=$A303)*(EXCEPCIONES_FECHA!$B$2:$B$201=""),0)),IFERROR(INDEX(IF($I303="FIN",HISTORIAL_HORARIOS!$J$2:$J$201,HISTORIAL_HORARIOS!$F$2:$F$201),MATCH(1,(HISTORIAL_HORARIOS!$A$2:$A$201=$B303)*(HISTORIAL_HORARIOS!$C$2:$C$201&lt;=$A303)*(HISTORIAL_HORARIOS!$D$2:$D$201&gt;=$A303),0)),INDEX(IF($I303="FIN",PERSONAL!$J$2:$J$80,PERSONAL!$F$2:$F$80),MATCH($B303,PERSONAL!$A$2:$A$80,0)))))</f>
        <v/>
      </c>
      <c r="N303" s="53">
        <f t="array" ref="N303">IFERROR(INDEX(EXCEPCIONES_FECHA!$E$2:$E$201,MATCH(1,(EXCEPCIONES_FECHA!$A$2:$A$201=$A303)*(EXCEPCIONES_FECHA!$B$2:$B$201=$B303),0)),IFERROR(INDEX(EXCEPCIONES_FECHA!$E$2:$E$201,MATCH(1,(EXCEPCIONES_FECHA!$A$2:$A$201=$A303)*(EXCEPCIONES_FECHA!$B$2:$B$201=""),0)),IFERROR(INDEX(IF($I303="FIN",HISTORIAL_HORARIOS!$K$2:$K$201,HISTORIAL_HORARIOS!$G$2:$G$201),MATCH(1,(HISTORIAL_HORARIOS!$A$2:$A$201=$B303)*(HISTORIAL_HORARIOS!$C$2:$C$201&lt;=$A303)*(HISTORIAL_HORARIOS!$D$2:$D$201&gt;=$A303),0)),INDEX(IF($I303="FIN",PERSONAL!$K$2:$K$80,PERSONAL!$G$2:$G$80),MATCH($B303,PERSONAL!$A$2:$A$80,0)))))</f>
        <v/>
      </c>
      <c r="O303" s="53">
        <f t="array" ref="O303">IFERROR(INDEX(EXCEPCIONES_FECHA!$F$2:$F$201,MATCH(1,(EXCEPCIONES_FECHA!$A$2:$A$201=$A303)*(EXCEPCIONES_FECHA!$B$2:$B$201=$B303),0)),IFERROR(INDEX(EXCEPCIONES_FECHA!$F$2:$F$201,MATCH(1,(EXCEPCIONES_FECHA!$A$2:$A$201=$A303)*(EXCEPCIONES_FECHA!$B$2:$B$201=""),0)),IFERROR(INDEX(IF($I303="FIN",HISTORIAL_HORARIOS!$L$2:$L$201,HISTORIAL_HORARIOS!$H$2:$H$201),MATCH(1,(HISTORIAL_HORARIOS!$A$2:$A$201=$B303)*(HISTORIAL_HORARIOS!$C$2:$C$201&lt;=$A303)*(HISTORIAL_HORARIOS!$D$2:$D$201&gt;=$A303),0)),INDEX(IF($I303="FIN",PERSONAL!$L$2:$L$80,PERSONAL!$H$2:$H$80),MATCH($B303,PERSONAL!$A$2:$A$80,0)))))</f>
        <v/>
      </c>
    </row>
    <row r="304" ht="15" customHeight="1" s="58">
      <c r="A304" s="37" t="n"/>
      <c r="B304" s="38" t="n"/>
      <c r="C304" s="39" t="n"/>
      <c r="D304" s="39" t="n"/>
      <c r="E304" s="34">
        <f t="array" ref="E304">IF($B304="","",IFERROR(INDEX(PERSONAL!$B$2:$B$80,MATCH($B304,PERSONAL!$A$2:$A$80,0)),"NO EXISTE"))</f>
        <v/>
      </c>
      <c r="F304" s="52">
        <f t="array" ref="F304">IF($B304="","",IFERROR(INDEX(PERSONAL!$C$2:$C$80,MATCH($B304,PERSONAL!$A$2:$A$80,0)),""))</f>
        <v/>
      </c>
      <c r="G304" s="52">
        <f>IF($A304="","",CHOOSE(WEEKDAY($A304,2),"LUNES","MARTES","MIÉRCOLES","JUEVES","VIERNES","SÁBADO","DOMINGO"))</f>
        <v/>
      </c>
      <c r="H304" s="34">
        <f>IF($A304="","",CHOOSE(MONTH($A304),"ENERO","FEBRERO","MARZO","ABRIL","MAYO","JUNIO","JULIO","AGOSTO","SEPTIEMBRE","OCTUBRE","NOVIEMBRE","DICIEMBRE"))</f>
        <v/>
      </c>
      <c r="I304" s="34">
        <f>IF($A304="","",IF(OR($G304="SÁBADO",$G304="DOMINGO"),"FIN","LV"))</f>
        <v/>
      </c>
      <c r="J304" s="34">
        <f>IF(OR($A304="",$B304=""),"",IF($L304&lt;&gt;"",UPPER($L304),IF($C304="","FALTA",IFERROR(IF($C304&gt;=$O304,"ROJO FUERTE",IF($C304&gt;=$N304,"ROJO",IF($C304&gt;=$M304,"AMARILLO","VERDE"))),"REVISAR"))))</f>
        <v/>
      </c>
      <c r="K304" s="36">
        <f>IF(OR($C304="",$D304=""),"",IF($D304&gt;=$C304,($D304-$C304)*24,(1-$C304+$D304)*24))</f>
        <v/>
      </c>
      <c r="L304" s="34" t="n"/>
      <c r="M304" s="53">
        <f t="array" ref="M304">IFERROR(INDEX(EXCEPCIONES_FECHA!$D$2:$D$201,MATCH(1,(EXCEPCIONES_FECHA!$A$2:$A$201=$A304)*(EXCEPCIONES_FECHA!$B$2:$B$201=$B304),0)),IFERROR(INDEX(EXCEPCIONES_FECHA!$D$2:$D$201,MATCH(1,(EXCEPCIONES_FECHA!$A$2:$A$201=$A304)*(EXCEPCIONES_FECHA!$B$2:$B$201=""),0)),IFERROR(INDEX(IF($I304="FIN",HISTORIAL_HORARIOS!$J$2:$J$201,HISTORIAL_HORARIOS!$F$2:$F$201),MATCH(1,(HISTORIAL_HORARIOS!$A$2:$A$201=$B304)*(HISTORIAL_HORARIOS!$C$2:$C$201&lt;=$A304)*(HISTORIAL_HORARIOS!$D$2:$D$201&gt;=$A304),0)),INDEX(IF($I304="FIN",PERSONAL!$J$2:$J$80,PERSONAL!$F$2:$F$80),MATCH($B304,PERSONAL!$A$2:$A$80,0)))))</f>
        <v/>
      </c>
      <c r="N304" s="53">
        <f t="array" ref="N304">IFERROR(INDEX(EXCEPCIONES_FECHA!$E$2:$E$201,MATCH(1,(EXCEPCIONES_FECHA!$A$2:$A$201=$A304)*(EXCEPCIONES_FECHA!$B$2:$B$201=$B304),0)),IFERROR(INDEX(EXCEPCIONES_FECHA!$E$2:$E$201,MATCH(1,(EXCEPCIONES_FECHA!$A$2:$A$201=$A304)*(EXCEPCIONES_FECHA!$B$2:$B$201=""),0)),IFERROR(INDEX(IF($I304="FIN",HISTORIAL_HORARIOS!$K$2:$K$201,HISTORIAL_HORARIOS!$G$2:$G$201),MATCH(1,(HISTORIAL_HORARIOS!$A$2:$A$201=$B304)*(HISTORIAL_HORARIOS!$C$2:$C$201&lt;=$A304)*(HISTORIAL_HORARIOS!$D$2:$D$201&gt;=$A304),0)),INDEX(IF($I304="FIN",PERSONAL!$K$2:$K$80,PERSONAL!$G$2:$G$80),MATCH($B304,PERSONAL!$A$2:$A$80,0)))))</f>
        <v/>
      </c>
      <c r="O304" s="53">
        <f t="array" ref="O304">IFERROR(INDEX(EXCEPCIONES_FECHA!$F$2:$F$201,MATCH(1,(EXCEPCIONES_FECHA!$A$2:$A$201=$A304)*(EXCEPCIONES_FECHA!$B$2:$B$201=$B304),0)),IFERROR(INDEX(EXCEPCIONES_FECHA!$F$2:$F$201,MATCH(1,(EXCEPCIONES_FECHA!$A$2:$A$201=$A304)*(EXCEPCIONES_FECHA!$B$2:$B$201=""),0)),IFERROR(INDEX(IF($I304="FIN",HISTORIAL_HORARIOS!$L$2:$L$201,HISTORIAL_HORARIOS!$H$2:$H$201),MATCH(1,(HISTORIAL_HORARIOS!$A$2:$A$201=$B304)*(HISTORIAL_HORARIOS!$C$2:$C$201&lt;=$A304)*(HISTORIAL_HORARIOS!$D$2:$D$201&gt;=$A304),0)),INDEX(IF($I304="FIN",PERSONAL!$L$2:$L$80,PERSONAL!$H$2:$H$80),MATCH($B304,PERSONAL!$A$2:$A$80,0)))))</f>
        <v/>
      </c>
    </row>
    <row r="305" ht="15" customHeight="1" s="58">
      <c r="A305" s="37" t="n"/>
      <c r="B305" s="38" t="n"/>
      <c r="C305" s="39" t="n"/>
      <c r="D305" s="39" t="n"/>
      <c r="E305" s="34">
        <f t="array" ref="E305">IF($B305="","",IFERROR(INDEX(PERSONAL!$B$2:$B$80,MATCH($B305,PERSONAL!$A$2:$A$80,0)),"NO EXISTE"))</f>
        <v/>
      </c>
      <c r="F305" s="52">
        <f t="array" ref="F305">IF($B305="","",IFERROR(INDEX(PERSONAL!$C$2:$C$80,MATCH($B305,PERSONAL!$A$2:$A$80,0)),""))</f>
        <v/>
      </c>
      <c r="G305" s="52">
        <f>IF($A305="","",CHOOSE(WEEKDAY($A305,2),"LUNES","MARTES","MIÉRCOLES","JUEVES","VIERNES","SÁBADO","DOMINGO"))</f>
        <v/>
      </c>
      <c r="H305" s="34">
        <f>IF($A305="","",CHOOSE(MONTH($A305),"ENERO","FEBRERO","MARZO","ABRIL","MAYO","JUNIO","JULIO","AGOSTO","SEPTIEMBRE","OCTUBRE","NOVIEMBRE","DICIEMBRE"))</f>
        <v/>
      </c>
      <c r="I305" s="34">
        <f>IF($A305="","",IF(OR($G305="SÁBADO",$G305="DOMINGO"),"FIN","LV"))</f>
        <v/>
      </c>
      <c r="J305" s="34">
        <f>IF(OR($A305="",$B305=""),"",IF($L305&lt;&gt;"",UPPER($L305),IF($C305="","FALTA",IFERROR(IF($C305&gt;=$O305,"ROJO FUERTE",IF($C305&gt;=$N305,"ROJO",IF($C305&gt;=$M305,"AMARILLO","VERDE"))),"REVISAR"))))</f>
        <v/>
      </c>
      <c r="K305" s="36">
        <f>IF(OR($C305="",$D305=""),"",IF($D305&gt;=$C305,($D305-$C305)*24,(1-$C305+$D305)*24))</f>
        <v/>
      </c>
      <c r="L305" s="34" t="n"/>
      <c r="M305" s="53">
        <f t="array" ref="M305">IFERROR(INDEX(EXCEPCIONES_FECHA!$D$2:$D$201,MATCH(1,(EXCEPCIONES_FECHA!$A$2:$A$201=$A305)*(EXCEPCIONES_FECHA!$B$2:$B$201=$B305),0)),IFERROR(INDEX(EXCEPCIONES_FECHA!$D$2:$D$201,MATCH(1,(EXCEPCIONES_FECHA!$A$2:$A$201=$A305)*(EXCEPCIONES_FECHA!$B$2:$B$201=""),0)),IFERROR(INDEX(IF($I305="FIN",HISTORIAL_HORARIOS!$J$2:$J$201,HISTORIAL_HORARIOS!$F$2:$F$201),MATCH(1,(HISTORIAL_HORARIOS!$A$2:$A$201=$B305)*(HISTORIAL_HORARIOS!$C$2:$C$201&lt;=$A305)*(HISTORIAL_HORARIOS!$D$2:$D$201&gt;=$A305),0)),INDEX(IF($I305="FIN",PERSONAL!$J$2:$J$80,PERSONAL!$F$2:$F$80),MATCH($B305,PERSONAL!$A$2:$A$80,0)))))</f>
        <v/>
      </c>
      <c r="N305" s="53">
        <f t="array" ref="N305">IFERROR(INDEX(EXCEPCIONES_FECHA!$E$2:$E$201,MATCH(1,(EXCEPCIONES_FECHA!$A$2:$A$201=$A305)*(EXCEPCIONES_FECHA!$B$2:$B$201=$B305),0)),IFERROR(INDEX(EXCEPCIONES_FECHA!$E$2:$E$201,MATCH(1,(EXCEPCIONES_FECHA!$A$2:$A$201=$A305)*(EXCEPCIONES_FECHA!$B$2:$B$201=""),0)),IFERROR(INDEX(IF($I305="FIN",HISTORIAL_HORARIOS!$K$2:$K$201,HISTORIAL_HORARIOS!$G$2:$G$201),MATCH(1,(HISTORIAL_HORARIOS!$A$2:$A$201=$B305)*(HISTORIAL_HORARIOS!$C$2:$C$201&lt;=$A305)*(HISTORIAL_HORARIOS!$D$2:$D$201&gt;=$A305),0)),INDEX(IF($I305="FIN",PERSONAL!$K$2:$K$80,PERSONAL!$G$2:$G$80),MATCH($B305,PERSONAL!$A$2:$A$80,0)))))</f>
        <v/>
      </c>
      <c r="O305" s="53">
        <f t="array" ref="O305">IFERROR(INDEX(EXCEPCIONES_FECHA!$F$2:$F$201,MATCH(1,(EXCEPCIONES_FECHA!$A$2:$A$201=$A305)*(EXCEPCIONES_FECHA!$B$2:$B$201=$B305),0)),IFERROR(INDEX(EXCEPCIONES_FECHA!$F$2:$F$201,MATCH(1,(EXCEPCIONES_FECHA!$A$2:$A$201=$A305)*(EXCEPCIONES_FECHA!$B$2:$B$201=""),0)),IFERROR(INDEX(IF($I305="FIN",HISTORIAL_HORARIOS!$L$2:$L$201,HISTORIAL_HORARIOS!$H$2:$H$201),MATCH(1,(HISTORIAL_HORARIOS!$A$2:$A$201=$B305)*(HISTORIAL_HORARIOS!$C$2:$C$201&lt;=$A305)*(HISTORIAL_HORARIOS!$D$2:$D$201&gt;=$A305),0)),INDEX(IF($I305="FIN",PERSONAL!$L$2:$L$80,PERSONAL!$H$2:$H$80),MATCH($B305,PERSONAL!$A$2:$A$80,0)))))</f>
        <v/>
      </c>
    </row>
    <row r="306" ht="15" customHeight="1" s="58">
      <c r="A306" s="37" t="n"/>
      <c r="B306" s="38" t="n"/>
      <c r="C306" s="39" t="n"/>
      <c r="D306" s="39" t="n"/>
      <c r="E306" s="34">
        <f t="array" ref="E306">IF($B306="","",IFERROR(INDEX(PERSONAL!$B$2:$B$80,MATCH($B306,PERSONAL!$A$2:$A$80,0)),"NO EXISTE"))</f>
        <v/>
      </c>
      <c r="F306" s="52">
        <f t="array" ref="F306">IF($B306="","",IFERROR(INDEX(PERSONAL!$C$2:$C$80,MATCH($B306,PERSONAL!$A$2:$A$80,0)),""))</f>
        <v/>
      </c>
      <c r="G306" s="52">
        <f>IF($A306="","",CHOOSE(WEEKDAY($A306,2),"LUNES","MARTES","MIÉRCOLES","JUEVES","VIERNES","SÁBADO","DOMINGO"))</f>
        <v/>
      </c>
      <c r="H306" s="34">
        <f>IF($A306="","",CHOOSE(MONTH($A306),"ENERO","FEBRERO","MARZO","ABRIL","MAYO","JUNIO","JULIO","AGOSTO","SEPTIEMBRE","OCTUBRE","NOVIEMBRE","DICIEMBRE"))</f>
        <v/>
      </c>
      <c r="I306" s="34">
        <f>IF($A306="","",IF(OR($G306="SÁBADO",$G306="DOMINGO"),"FIN","LV"))</f>
        <v/>
      </c>
      <c r="J306" s="34">
        <f>IF(OR($A306="",$B306=""),"",IF($L306&lt;&gt;"",UPPER($L306),IF($C306="","FALTA",IFERROR(IF($C306&gt;=$O306,"ROJO FUERTE",IF($C306&gt;=$N306,"ROJO",IF($C306&gt;=$M306,"AMARILLO","VERDE"))),"REVISAR"))))</f>
        <v/>
      </c>
      <c r="K306" s="36">
        <f>IF(OR($C306="",$D306=""),"",IF($D306&gt;=$C306,($D306-$C306)*24,(1-$C306+$D306)*24))</f>
        <v/>
      </c>
      <c r="L306" s="34" t="n"/>
      <c r="M306" s="53">
        <f t="array" ref="M306">IFERROR(INDEX(EXCEPCIONES_FECHA!$D$2:$D$201,MATCH(1,(EXCEPCIONES_FECHA!$A$2:$A$201=$A306)*(EXCEPCIONES_FECHA!$B$2:$B$201=$B306),0)),IFERROR(INDEX(EXCEPCIONES_FECHA!$D$2:$D$201,MATCH(1,(EXCEPCIONES_FECHA!$A$2:$A$201=$A306)*(EXCEPCIONES_FECHA!$B$2:$B$201=""),0)),IFERROR(INDEX(IF($I306="FIN",HISTORIAL_HORARIOS!$J$2:$J$201,HISTORIAL_HORARIOS!$F$2:$F$201),MATCH(1,(HISTORIAL_HORARIOS!$A$2:$A$201=$B306)*(HISTORIAL_HORARIOS!$C$2:$C$201&lt;=$A306)*(HISTORIAL_HORARIOS!$D$2:$D$201&gt;=$A306),0)),INDEX(IF($I306="FIN",PERSONAL!$J$2:$J$80,PERSONAL!$F$2:$F$80),MATCH($B306,PERSONAL!$A$2:$A$80,0)))))</f>
        <v/>
      </c>
      <c r="N306" s="53">
        <f t="array" ref="N306">IFERROR(INDEX(EXCEPCIONES_FECHA!$E$2:$E$201,MATCH(1,(EXCEPCIONES_FECHA!$A$2:$A$201=$A306)*(EXCEPCIONES_FECHA!$B$2:$B$201=$B306),0)),IFERROR(INDEX(EXCEPCIONES_FECHA!$E$2:$E$201,MATCH(1,(EXCEPCIONES_FECHA!$A$2:$A$201=$A306)*(EXCEPCIONES_FECHA!$B$2:$B$201=""),0)),IFERROR(INDEX(IF($I306="FIN",HISTORIAL_HORARIOS!$K$2:$K$201,HISTORIAL_HORARIOS!$G$2:$G$201),MATCH(1,(HISTORIAL_HORARIOS!$A$2:$A$201=$B306)*(HISTORIAL_HORARIOS!$C$2:$C$201&lt;=$A306)*(HISTORIAL_HORARIOS!$D$2:$D$201&gt;=$A306),0)),INDEX(IF($I306="FIN",PERSONAL!$K$2:$K$80,PERSONAL!$G$2:$G$80),MATCH($B306,PERSONAL!$A$2:$A$80,0)))))</f>
        <v/>
      </c>
      <c r="O306" s="53">
        <f t="array" ref="O306">IFERROR(INDEX(EXCEPCIONES_FECHA!$F$2:$F$201,MATCH(1,(EXCEPCIONES_FECHA!$A$2:$A$201=$A306)*(EXCEPCIONES_FECHA!$B$2:$B$201=$B306),0)),IFERROR(INDEX(EXCEPCIONES_FECHA!$F$2:$F$201,MATCH(1,(EXCEPCIONES_FECHA!$A$2:$A$201=$A306)*(EXCEPCIONES_FECHA!$B$2:$B$201=""),0)),IFERROR(INDEX(IF($I306="FIN",HISTORIAL_HORARIOS!$L$2:$L$201,HISTORIAL_HORARIOS!$H$2:$H$201),MATCH(1,(HISTORIAL_HORARIOS!$A$2:$A$201=$B306)*(HISTORIAL_HORARIOS!$C$2:$C$201&lt;=$A306)*(HISTORIAL_HORARIOS!$D$2:$D$201&gt;=$A306),0)),INDEX(IF($I306="FIN",PERSONAL!$L$2:$L$80,PERSONAL!$H$2:$H$80),MATCH($B306,PERSONAL!$A$2:$A$80,0)))))</f>
        <v/>
      </c>
    </row>
    <row r="307" ht="15" customHeight="1" s="58">
      <c r="A307" s="37" t="n"/>
      <c r="B307" s="38" t="n"/>
      <c r="C307" s="39" t="n"/>
      <c r="D307" s="39" t="n"/>
      <c r="E307" s="34">
        <f t="array" ref="E307">IF($B307="","",IFERROR(INDEX(PERSONAL!$B$2:$B$80,MATCH($B307,PERSONAL!$A$2:$A$80,0)),"NO EXISTE"))</f>
        <v/>
      </c>
      <c r="F307" s="52">
        <f t="array" ref="F307">IF($B307="","",IFERROR(INDEX(PERSONAL!$C$2:$C$80,MATCH($B307,PERSONAL!$A$2:$A$80,0)),""))</f>
        <v/>
      </c>
      <c r="G307" s="52">
        <f>IF($A307="","",CHOOSE(WEEKDAY($A307,2),"LUNES","MARTES","MIÉRCOLES","JUEVES","VIERNES","SÁBADO","DOMINGO"))</f>
        <v/>
      </c>
      <c r="H307" s="34">
        <f>IF($A307="","",CHOOSE(MONTH($A307),"ENERO","FEBRERO","MARZO","ABRIL","MAYO","JUNIO","JULIO","AGOSTO","SEPTIEMBRE","OCTUBRE","NOVIEMBRE","DICIEMBRE"))</f>
        <v/>
      </c>
      <c r="I307" s="34">
        <f>IF($A307="","",IF(OR($G307="SÁBADO",$G307="DOMINGO"),"FIN","LV"))</f>
        <v/>
      </c>
      <c r="J307" s="34">
        <f>IF(OR($A307="",$B307=""),"",IF($L307&lt;&gt;"",UPPER($L307),IF($C307="","FALTA",IFERROR(IF($C307&gt;=$O307,"ROJO FUERTE",IF($C307&gt;=$N307,"ROJO",IF($C307&gt;=$M307,"AMARILLO","VERDE"))),"REVISAR"))))</f>
        <v/>
      </c>
      <c r="K307" s="36">
        <f>IF(OR($C307="",$D307=""),"",IF($D307&gt;=$C307,($D307-$C307)*24,(1-$C307+$D307)*24))</f>
        <v/>
      </c>
      <c r="L307" s="34" t="n"/>
      <c r="M307" s="53">
        <f t="array" ref="M307">IFERROR(INDEX(EXCEPCIONES_FECHA!$D$2:$D$201,MATCH(1,(EXCEPCIONES_FECHA!$A$2:$A$201=$A307)*(EXCEPCIONES_FECHA!$B$2:$B$201=$B307),0)),IFERROR(INDEX(EXCEPCIONES_FECHA!$D$2:$D$201,MATCH(1,(EXCEPCIONES_FECHA!$A$2:$A$201=$A307)*(EXCEPCIONES_FECHA!$B$2:$B$201=""),0)),IFERROR(INDEX(IF($I307="FIN",HISTORIAL_HORARIOS!$J$2:$J$201,HISTORIAL_HORARIOS!$F$2:$F$201),MATCH(1,(HISTORIAL_HORARIOS!$A$2:$A$201=$B307)*(HISTORIAL_HORARIOS!$C$2:$C$201&lt;=$A307)*(HISTORIAL_HORARIOS!$D$2:$D$201&gt;=$A307),0)),INDEX(IF($I307="FIN",PERSONAL!$J$2:$J$80,PERSONAL!$F$2:$F$80),MATCH($B307,PERSONAL!$A$2:$A$80,0)))))</f>
        <v/>
      </c>
      <c r="N307" s="53">
        <f t="array" ref="N307">IFERROR(INDEX(EXCEPCIONES_FECHA!$E$2:$E$201,MATCH(1,(EXCEPCIONES_FECHA!$A$2:$A$201=$A307)*(EXCEPCIONES_FECHA!$B$2:$B$201=$B307),0)),IFERROR(INDEX(EXCEPCIONES_FECHA!$E$2:$E$201,MATCH(1,(EXCEPCIONES_FECHA!$A$2:$A$201=$A307)*(EXCEPCIONES_FECHA!$B$2:$B$201=""),0)),IFERROR(INDEX(IF($I307="FIN",HISTORIAL_HORARIOS!$K$2:$K$201,HISTORIAL_HORARIOS!$G$2:$G$201),MATCH(1,(HISTORIAL_HORARIOS!$A$2:$A$201=$B307)*(HISTORIAL_HORARIOS!$C$2:$C$201&lt;=$A307)*(HISTORIAL_HORARIOS!$D$2:$D$201&gt;=$A307),0)),INDEX(IF($I307="FIN",PERSONAL!$K$2:$K$80,PERSONAL!$G$2:$G$80),MATCH($B307,PERSONAL!$A$2:$A$80,0)))))</f>
        <v/>
      </c>
      <c r="O307" s="53">
        <f t="array" ref="O307">IFERROR(INDEX(EXCEPCIONES_FECHA!$F$2:$F$201,MATCH(1,(EXCEPCIONES_FECHA!$A$2:$A$201=$A307)*(EXCEPCIONES_FECHA!$B$2:$B$201=$B307),0)),IFERROR(INDEX(EXCEPCIONES_FECHA!$F$2:$F$201,MATCH(1,(EXCEPCIONES_FECHA!$A$2:$A$201=$A307)*(EXCEPCIONES_FECHA!$B$2:$B$201=""),0)),IFERROR(INDEX(IF($I307="FIN",HISTORIAL_HORARIOS!$L$2:$L$201,HISTORIAL_HORARIOS!$H$2:$H$201),MATCH(1,(HISTORIAL_HORARIOS!$A$2:$A$201=$B307)*(HISTORIAL_HORARIOS!$C$2:$C$201&lt;=$A307)*(HISTORIAL_HORARIOS!$D$2:$D$201&gt;=$A307),0)),INDEX(IF($I307="FIN",PERSONAL!$L$2:$L$80,PERSONAL!$H$2:$H$80),MATCH($B307,PERSONAL!$A$2:$A$80,0)))))</f>
        <v/>
      </c>
    </row>
    <row r="308" ht="15" customHeight="1" s="58">
      <c r="A308" s="37" t="n"/>
      <c r="B308" s="38" t="n"/>
      <c r="C308" s="39" t="n"/>
      <c r="D308" s="39" t="n"/>
      <c r="E308" s="34">
        <f t="array" ref="E308">IF($B308="","",IFERROR(INDEX(PERSONAL!$B$2:$B$80,MATCH($B308,PERSONAL!$A$2:$A$80,0)),"NO EXISTE"))</f>
        <v/>
      </c>
      <c r="F308" s="52">
        <f t="array" ref="F308">IF($B308="","",IFERROR(INDEX(PERSONAL!$C$2:$C$80,MATCH($B308,PERSONAL!$A$2:$A$80,0)),""))</f>
        <v/>
      </c>
      <c r="G308" s="52">
        <f>IF($A308="","",CHOOSE(WEEKDAY($A308,2),"LUNES","MARTES","MIÉRCOLES","JUEVES","VIERNES","SÁBADO","DOMINGO"))</f>
        <v/>
      </c>
      <c r="H308" s="34">
        <f>IF($A308="","",CHOOSE(MONTH($A308),"ENERO","FEBRERO","MARZO","ABRIL","MAYO","JUNIO","JULIO","AGOSTO","SEPTIEMBRE","OCTUBRE","NOVIEMBRE","DICIEMBRE"))</f>
        <v/>
      </c>
      <c r="I308" s="34">
        <f>IF($A308="","",IF(OR($G308="SÁBADO",$G308="DOMINGO"),"FIN","LV"))</f>
        <v/>
      </c>
      <c r="J308" s="34">
        <f>IF(OR($A308="",$B308=""),"",IF($L308&lt;&gt;"",UPPER($L308),IF($C308="","FALTA",IFERROR(IF($C308&gt;=$O308,"ROJO FUERTE",IF($C308&gt;=$N308,"ROJO",IF($C308&gt;=$M308,"AMARILLO","VERDE"))),"REVISAR"))))</f>
        <v/>
      </c>
      <c r="K308" s="36">
        <f>IF(OR($C308="",$D308=""),"",IF($D308&gt;=$C308,($D308-$C308)*24,(1-$C308+$D308)*24))</f>
        <v/>
      </c>
      <c r="L308" s="34" t="n"/>
      <c r="M308" s="53">
        <f t="array" ref="M308">IFERROR(INDEX(EXCEPCIONES_FECHA!$D$2:$D$201,MATCH(1,(EXCEPCIONES_FECHA!$A$2:$A$201=$A308)*(EXCEPCIONES_FECHA!$B$2:$B$201=$B308),0)),IFERROR(INDEX(EXCEPCIONES_FECHA!$D$2:$D$201,MATCH(1,(EXCEPCIONES_FECHA!$A$2:$A$201=$A308)*(EXCEPCIONES_FECHA!$B$2:$B$201=""),0)),IFERROR(INDEX(IF($I308="FIN",HISTORIAL_HORARIOS!$J$2:$J$201,HISTORIAL_HORARIOS!$F$2:$F$201),MATCH(1,(HISTORIAL_HORARIOS!$A$2:$A$201=$B308)*(HISTORIAL_HORARIOS!$C$2:$C$201&lt;=$A308)*(HISTORIAL_HORARIOS!$D$2:$D$201&gt;=$A308),0)),INDEX(IF($I308="FIN",PERSONAL!$J$2:$J$80,PERSONAL!$F$2:$F$80),MATCH($B308,PERSONAL!$A$2:$A$80,0)))))</f>
        <v/>
      </c>
      <c r="N308" s="53">
        <f t="array" ref="N308">IFERROR(INDEX(EXCEPCIONES_FECHA!$E$2:$E$201,MATCH(1,(EXCEPCIONES_FECHA!$A$2:$A$201=$A308)*(EXCEPCIONES_FECHA!$B$2:$B$201=$B308),0)),IFERROR(INDEX(EXCEPCIONES_FECHA!$E$2:$E$201,MATCH(1,(EXCEPCIONES_FECHA!$A$2:$A$201=$A308)*(EXCEPCIONES_FECHA!$B$2:$B$201=""),0)),IFERROR(INDEX(IF($I308="FIN",HISTORIAL_HORARIOS!$K$2:$K$201,HISTORIAL_HORARIOS!$G$2:$G$201),MATCH(1,(HISTORIAL_HORARIOS!$A$2:$A$201=$B308)*(HISTORIAL_HORARIOS!$C$2:$C$201&lt;=$A308)*(HISTORIAL_HORARIOS!$D$2:$D$201&gt;=$A308),0)),INDEX(IF($I308="FIN",PERSONAL!$K$2:$K$80,PERSONAL!$G$2:$G$80),MATCH($B308,PERSONAL!$A$2:$A$80,0)))))</f>
        <v/>
      </c>
      <c r="O308" s="53">
        <f t="array" ref="O308">IFERROR(INDEX(EXCEPCIONES_FECHA!$F$2:$F$201,MATCH(1,(EXCEPCIONES_FECHA!$A$2:$A$201=$A308)*(EXCEPCIONES_FECHA!$B$2:$B$201=$B308),0)),IFERROR(INDEX(EXCEPCIONES_FECHA!$F$2:$F$201,MATCH(1,(EXCEPCIONES_FECHA!$A$2:$A$201=$A308)*(EXCEPCIONES_FECHA!$B$2:$B$201=""),0)),IFERROR(INDEX(IF($I308="FIN",HISTORIAL_HORARIOS!$L$2:$L$201,HISTORIAL_HORARIOS!$H$2:$H$201),MATCH(1,(HISTORIAL_HORARIOS!$A$2:$A$201=$B308)*(HISTORIAL_HORARIOS!$C$2:$C$201&lt;=$A308)*(HISTORIAL_HORARIOS!$D$2:$D$201&gt;=$A308),0)),INDEX(IF($I308="FIN",PERSONAL!$L$2:$L$80,PERSONAL!$H$2:$H$80),MATCH($B308,PERSONAL!$A$2:$A$80,0)))))</f>
        <v/>
      </c>
    </row>
    <row r="309" ht="15" customHeight="1" s="58">
      <c r="A309" s="37" t="n"/>
      <c r="B309" s="38" t="n"/>
      <c r="C309" s="39" t="n"/>
      <c r="D309" s="39" t="n"/>
      <c r="E309" s="34">
        <f t="array" ref="E309">IF($B309="","",IFERROR(INDEX(PERSONAL!$B$2:$B$80,MATCH($B309,PERSONAL!$A$2:$A$80,0)),"NO EXISTE"))</f>
        <v/>
      </c>
      <c r="F309" s="52">
        <f t="array" ref="F309">IF($B309="","",IFERROR(INDEX(PERSONAL!$C$2:$C$80,MATCH($B309,PERSONAL!$A$2:$A$80,0)),""))</f>
        <v/>
      </c>
      <c r="G309" s="52">
        <f>IF($A309="","",CHOOSE(WEEKDAY($A309,2),"LUNES","MARTES","MIÉRCOLES","JUEVES","VIERNES","SÁBADO","DOMINGO"))</f>
        <v/>
      </c>
      <c r="H309" s="34">
        <f>IF($A309="","",CHOOSE(MONTH($A309),"ENERO","FEBRERO","MARZO","ABRIL","MAYO","JUNIO","JULIO","AGOSTO","SEPTIEMBRE","OCTUBRE","NOVIEMBRE","DICIEMBRE"))</f>
        <v/>
      </c>
      <c r="I309" s="34">
        <f>IF($A309="","",IF(OR($G309="SÁBADO",$G309="DOMINGO"),"FIN","LV"))</f>
        <v/>
      </c>
      <c r="J309" s="34">
        <f>IF(OR($A309="",$B309=""),"",IF($L309&lt;&gt;"",UPPER($L309),IF($C309="","FALTA",IFERROR(IF($C309&gt;=$O309,"ROJO FUERTE",IF($C309&gt;=$N309,"ROJO",IF($C309&gt;=$M309,"AMARILLO","VERDE"))),"REVISAR"))))</f>
        <v/>
      </c>
      <c r="K309" s="36">
        <f>IF(OR($C309="",$D309=""),"",IF($D309&gt;=$C309,($D309-$C309)*24,(1-$C309+$D309)*24))</f>
        <v/>
      </c>
      <c r="L309" s="34" t="n"/>
      <c r="M309" s="53">
        <f t="array" ref="M309">IFERROR(INDEX(EXCEPCIONES_FECHA!$D$2:$D$201,MATCH(1,(EXCEPCIONES_FECHA!$A$2:$A$201=$A309)*(EXCEPCIONES_FECHA!$B$2:$B$201=$B309),0)),IFERROR(INDEX(EXCEPCIONES_FECHA!$D$2:$D$201,MATCH(1,(EXCEPCIONES_FECHA!$A$2:$A$201=$A309)*(EXCEPCIONES_FECHA!$B$2:$B$201=""),0)),IFERROR(INDEX(IF($I309="FIN",HISTORIAL_HORARIOS!$J$2:$J$201,HISTORIAL_HORARIOS!$F$2:$F$201),MATCH(1,(HISTORIAL_HORARIOS!$A$2:$A$201=$B309)*(HISTORIAL_HORARIOS!$C$2:$C$201&lt;=$A309)*(HISTORIAL_HORARIOS!$D$2:$D$201&gt;=$A309),0)),INDEX(IF($I309="FIN",PERSONAL!$J$2:$J$80,PERSONAL!$F$2:$F$80),MATCH($B309,PERSONAL!$A$2:$A$80,0)))))</f>
        <v/>
      </c>
      <c r="N309" s="53">
        <f t="array" ref="N309">IFERROR(INDEX(EXCEPCIONES_FECHA!$E$2:$E$201,MATCH(1,(EXCEPCIONES_FECHA!$A$2:$A$201=$A309)*(EXCEPCIONES_FECHA!$B$2:$B$201=$B309),0)),IFERROR(INDEX(EXCEPCIONES_FECHA!$E$2:$E$201,MATCH(1,(EXCEPCIONES_FECHA!$A$2:$A$201=$A309)*(EXCEPCIONES_FECHA!$B$2:$B$201=""),0)),IFERROR(INDEX(IF($I309="FIN",HISTORIAL_HORARIOS!$K$2:$K$201,HISTORIAL_HORARIOS!$G$2:$G$201),MATCH(1,(HISTORIAL_HORARIOS!$A$2:$A$201=$B309)*(HISTORIAL_HORARIOS!$C$2:$C$201&lt;=$A309)*(HISTORIAL_HORARIOS!$D$2:$D$201&gt;=$A309),0)),INDEX(IF($I309="FIN",PERSONAL!$K$2:$K$80,PERSONAL!$G$2:$G$80),MATCH($B309,PERSONAL!$A$2:$A$80,0)))))</f>
        <v/>
      </c>
      <c r="O309" s="53">
        <f t="array" ref="O309">IFERROR(INDEX(EXCEPCIONES_FECHA!$F$2:$F$201,MATCH(1,(EXCEPCIONES_FECHA!$A$2:$A$201=$A309)*(EXCEPCIONES_FECHA!$B$2:$B$201=$B309),0)),IFERROR(INDEX(EXCEPCIONES_FECHA!$F$2:$F$201,MATCH(1,(EXCEPCIONES_FECHA!$A$2:$A$201=$A309)*(EXCEPCIONES_FECHA!$B$2:$B$201=""),0)),IFERROR(INDEX(IF($I309="FIN",HISTORIAL_HORARIOS!$L$2:$L$201,HISTORIAL_HORARIOS!$H$2:$H$201),MATCH(1,(HISTORIAL_HORARIOS!$A$2:$A$201=$B309)*(HISTORIAL_HORARIOS!$C$2:$C$201&lt;=$A309)*(HISTORIAL_HORARIOS!$D$2:$D$201&gt;=$A309),0)),INDEX(IF($I309="FIN",PERSONAL!$L$2:$L$80,PERSONAL!$H$2:$H$80),MATCH($B309,PERSONAL!$A$2:$A$80,0)))))</f>
        <v/>
      </c>
    </row>
    <row r="310" ht="15" customHeight="1" s="58">
      <c r="A310" s="37" t="n"/>
      <c r="B310" s="38" t="n"/>
      <c r="C310" s="39" t="n"/>
      <c r="D310" s="39" t="n"/>
      <c r="E310" s="34">
        <f t="array" ref="E310">IF($B310="","",IFERROR(INDEX(PERSONAL!$B$2:$B$80,MATCH($B310,PERSONAL!$A$2:$A$80,0)),"NO EXISTE"))</f>
        <v/>
      </c>
      <c r="F310" s="52">
        <f t="array" ref="F310">IF($B310="","",IFERROR(INDEX(PERSONAL!$C$2:$C$80,MATCH($B310,PERSONAL!$A$2:$A$80,0)),""))</f>
        <v/>
      </c>
      <c r="G310" s="52">
        <f>IF($A310="","",CHOOSE(WEEKDAY($A310,2),"LUNES","MARTES","MIÉRCOLES","JUEVES","VIERNES","SÁBADO","DOMINGO"))</f>
        <v/>
      </c>
      <c r="H310" s="34">
        <f>IF($A310="","",CHOOSE(MONTH($A310),"ENERO","FEBRERO","MARZO","ABRIL","MAYO","JUNIO","JULIO","AGOSTO","SEPTIEMBRE","OCTUBRE","NOVIEMBRE","DICIEMBRE"))</f>
        <v/>
      </c>
      <c r="I310" s="34">
        <f>IF($A310="","",IF(OR($G310="SÁBADO",$G310="DOMINGO"),"FIN","LV"))</f>
        <v/>
      </c>
      <c r="J310" s="34">
        <f>IF(OR($A310="",$B310=""),"",IF($L310&lt;&gt;"",UPPER($L310),IF($C310="","FALTA",IFERROR(IF($C310&gt;=$O310,"ROJO FUERTE",IF($C310&gt;=$N310,"ROJO",IF($C310&gt;=$M310,"AMARILLO","VERDE"))),"REVISAR"))))</f>
        <v/>
      </c>
      <c r="K310" s="36">
        <f>IF(OR($C310="",$D310=""),"",IF($D310&gt;=$C310,($D310-$C310)*24,(1-$C310+$D310)*24))</f>
        <v/>
      </c>
      <c r="L310" s="34" t="n"/>
      <c r="M310" s="53">
        <f t="array" ref="M310">IFERROR(INDEX(EXCEPCIONES_FECHA!$D$2:$D$201,MATCH(1,(EXCEPCIONES_FECHA!$A$2:$A$201=$A310)*(EXCEPCIONES_FECHA!$B$2:$B$201=$B310),0)),IFERROR(INDEX(EXCEPCIONES_FECHA!$D$2:$D$201,MATCH(1,(EXCEPCIONES_FECHA!$A$2:$A$201=$A310)*(EXCEPCIONES_FECHA!$B$2:$B$201=""),0)),IFERROR(INDEX(IF($I310="FIN",HISTORIAL_HORARIOS!$J$2:$J$201,HISTORIAL_HORARIOS!$F$2:$F$201),MATCH(1,(HISTORIAL_HORARIOS!$A$2:$A$201=$B310)*(HISTORIAL_HORARIOS!$C$2:$C$201&lt;=$A310)*(HISTORIAL_HORARIOS!$D$2:$D$201&gt;=$A310),0)),INDEX(IF($I310="FIN",PERSONAL!$J$2:$J$80,PERSONAL!$F$2:$F$80),MATCH($B310,PERSONAL!$A$2:$A$80,0)))))</f>
        <v/>
      </c>
      <c r="N310" s="53">
        <f t="array" ref="N310">IFERROR(INDEX(EXCEPCIONES_FECHA!$E$2:$E$201,MATCH(1,(EXCEPCIONES_FECHA!$A$2:$A$201=$A310)*(EXCEPCIONES_FECHA!$B$2:$B$201=$B310),0)),IFERROR(INDEX(EXCEPCIONES_FECHA!$E$2:$E$201,MATCH(1,(EXCEPCIONES_FECHA!$A$2:$A$201=$A310)*(EXCEPCIONES_FECHA!$B$2:$B$201=""),0)),IFERROR(INDEX(IF($I310="FIN",HISTORIAL_HORARIOS!$K$2:$K$201,HISTORIAL_HORARIOS!$G$2:$G$201),MATCH(1,(HISTORIAL_HORARIOS!$A$2:$A$201=$B310)*(HISTORIAL_HORARIOS!$C$2:$C$201&lt;=$A310)*(HISTORIAL_HORARIOS!$D$2:$D$201&gt;=$A310),0)),INDEX(IF($I310="FIN",PERSONAL!$K$2:$K$80,PERSONAL!$G$2:$G$80),MATCH($B310,PERSONAL!$A$2:$A$80,0)))))</f>
        <v/>
      </c>
      <c r="O310" s="53">
        <f t="array" ref="O310">IFERROR(INDEX(EXCEPCIONES_FECHA!$F$2:$F$201,MATCH(1,(EXCEPCIONES_FECHA!$A$2:$A$201=$A310)*(EXCEPCIONES_FECHA!$B$2:$B$201=$B310),0)),IFERROR(INDEX(EXCEPCIONES_FECHA!$F$2:$F$201,MATCH(1,(EXCEPCIONES_FECHA!$A$2:$A$201=$A310)*(EXCEPCIONES_FECHA!$B$2:$B$201=""),0)),IFERROR(INDEX(IF($I310="FIN",HISTORIAL_HORARIOS!$L$2:$L$201,HISTORIAL_HORARIOS!$H$2:$H$201),MATCH(1,(HISTORIAL_HORARIOS!$A$2:$A$201=$B310)*(HISTORIAL_HORARIOS!$C$2:$C$201&lt;=$A310)*(HISTORIAL_HORARIOS!$D$2:$D$201&gt;=$A310),0)),INDEX(IF($I310="FIN",PERSONAL!$L$2:$L$80,PERSONAL!$H$2:$H$80),MATCH($B310,PERSONAL!$A$2:$A$80,0)))))</f>
        <v/>
      </c>
    </row>
    <row r="311" ht="15" customHeight="1" s="58">
      <c r="A311" s="37" t="n"/>
      <c r="B311" s="38" t="n"/>
      <c r="C311" s="39" t="n"/>
      <c r="D311" s="39" t="n"/>
      <c r="E311" s="34">
        <f t="array" ref="E311">IF($B311="","",IFERROR(INDEX(PERSONAL!$B$2:$B$80,MATCH($B311,PERSONAL!$A$2:$A$80,0)),"NO EXISTE"))</f>
        <v/>
      </c>
      <c r="F311" s="52">
        <f t="array" ref="F311">IF($B311="","",IFERROR(INDEX(PERSONAL!$C$2:$C$80,MATCH($B311,PERSONAL!$A$2:$A$80,0)),""))</f>
        <v/>
      </c>
      <c r="G311" s="52">
        <f>IF($A311="","",CHOOSE(WEEKDAY($A311,2),"LUNES","MARTES","MIÉRCOLES","JUEVES","VIERNES","SÁBADO","DOMINGO"))</f>
        <v/>
      </c>
      <c r="H311" s="34">
        <f>IF($A311="","",CHOOSE(MONTH($A311),"ENERO","FEBRERO","MARZO","ABRIL","MAYO","JUNIO","JULIO","AGOSTO","SEPTIEMBRE","OCTUBRE","NOVIEMBRE","DICIEMBRE"))</f>
        <v/>
      </c>
      <c r="I311" s="34">
        <f>IF($A311="","",IF(OR($G311="SÁBADO",$G311="DOMINGO"),"FIN","LV"))</f>
        <v/>
      </c>
      <c r="J311" s="34">
        <f>IF(OR($A311="",$B311=""),"",IF($L311&lt;&gt;"",UPPER($L311),IF($C311="","FALTA",IFERROR(IF($C311&gt;=$O311,"ROJO FUERTE",IF($C311&gt;=$N311,"ROJO",IF($C311&gt;=$M311,"AMARILLO","VERDE"))),"REVISAR"))))</f>
        <v/>
      </c>
      <c r="K311" s="36">
        <f>IF(OR($C311="",$D311=""),"",IF($D311&gt;=$C311,($D311-$C311)*24,(1-$C311+$D311)*24))</f>
        <v/>
      </c>
      <c r="L311" s="34" t="n"/>
      <c r="M311" s="53">
        <f t="array" ref="M311">IFERROR(INDEX(EXCEPCIONES_FECHA!$D$2:$D$201,MATCH(1,(EXCEPCIONES_FECHA!$A$2:$A$201=$A311)*(EXCEPCIONES_FECHA!$B$2:$B$201=$B311),0)),IFERROR(INDEX(EXCEPCIONES_FECHA!$D$2:$D$201,MATCH(1,(EXCEPCIONES_FECHA!$A$2:$A$201=$A311)*(EXCEPCIONES_FECHA!$B$2:$B$201=""),0)),IFERROR(INDEX(IF($I311="FIN",HISTORIAL_HORARIOS!$J$2:$J$201,HISTORIAL_HORARIOS!$F$2:$F$201),MATCH(1,(HISTORIAL_HORARIOS!$A$2:$A$201=$B311)*(HISTORIAL_HORARIOS!$C$2:$C$201&lt;=$A311)*(HISTORIAL_HORARIOS!$D$2:$D$201&gt;=$A311),0)),INDEX(IF($I311="FIN",PERSONAL!$J$2:$J$80,PERSONAL!$F$2:$F$80),MATCH($B311,PERSONAL!$A$2:$A$80,0)))))</f>
        <v/>
      </c>
      <c r="N311" s="53">
        <f t="array" ref="N311">IFERROR(INDEX(EXCEPCIONES_FECHA!$E$2:$E$201,MATCH(1,(EXCEPCIONES_FECHA!$A$2:$A$201=$A311)*(EXCEPCIONES_FECHA!$B$2:$B$201=$B311),0)),IFERROR(INDEX(EXCEPCIONES_FECHA!$E$2:$E$201,MATCH(1,(EXCEPCIONES_FECHA!$A$2:$A$201=$A311)*(EXCEPCIONES_FECHA!$B$2:$B$201=""),0)),IFERROR(INDEX(IF($I311="FIN",HISTORIAL_HORARIOS!$K$2:$K$201,HISTORIAL_HORARIOS!$G$2:$G$201),MATCH(1,(HISTORIAL_HORARIOS!$A$2:$A$201=$B311)*(HISTORIAL_HORARIOS!$C$2:$C$201&lt;=$A311)*(HISTORIAL_HORARIOS!$D$2:$D$201&gt;=$A311),0)),INDEX(IF($I311="FIN",PERSONAL!$K$2:$K$80,PERSONAL!$G$2:$G$80),MATCH($B311,PERSONAL!$A$2:$A$80,0)))))</f>
        <v/>
      </c>
      <c r="O311" s="53">
        <f t="array" ref="O311">IFERROR(INDEX(EXCEPCIONES_FECHA!$F$2:$F$201,MATCH(1,(EXCEPCIONES_FECHA!$A$2:$A$201=$A311)*(EXCEPCIONES_FECHA!$B$2:$B$201=$B311),0)),IFERROR(INDEX(EXCEPCIONES_FECHA!$F$2:$F$201,MATCH(1,(EXCEPCIONES_FECHA!$A$2:$A$201=$A311)*(EXCEPCIONES_FECHA!$B$2:$B$201=""),0)),IFERROR(INDEX(IF($I311="FIN",HISTORIAL_HORARIOS!$L$2:$L$201,HISTORIAL_HORARIOS!$H$2:$H$201),MATCH(1,(HISTORIAL_HORARIOS!$A$2:$A$201=$B311)*(HISTORIAL_HORARIOS!$C$2:$C$201&lt;=$A311)*(HISTORIAL_HORARIOS!$D$2:$D$201&gt;=$A311),0)),INDEX(IF($I311="FIN",PERSONAL!$L$2:$L$80,PERSONAL!$H$2:$H$80),MATCH($B311,PERSONAL!$A$2:$A$80,0)))))</f>
        <v/>
      </c>
    </row>
    <row r="312" ht="15" customHeight="1" s="58">
      <c r="A312" s="37" t="n"/>
      <c r="B312" s="38" t="n"/>
      <c r="C312" s="39" t="n"/>
      <c r="D312" s="39" t="n"/>
      <c r="E312" s="34">
        <f t="array" ref="E312">IF($B312="","",IFERROR(INDEX(PERSONAL!$B$2:$B$80,MATCH($B312,PERSONAL!$A$2:$A$80,0)),"NO EXISTE"))</f>
        <v/>
      </c>
      <c r="F312" s="52">
        <f t="array" ref="F312">IF($B312="","",IFERROR(INDEX(PERSONAL!$C$2:$C$80,MATCH($B312,PERSONAL!$A$2:$A$80,0)),""))</f>
        <v/>
      </c>
      <c r="G312" s="52">
        <f>IF($A312="","",CHOOSE(WEEKDAY($A312,2),"LUNES","MARTES","MIÉRCOLES","JUEVES","VIERNES","SÁBADO","DOMINGO"))</f>
        <v/>
      </c>
      <c r="H312" s="34">
        <f>IF($A312="","",CHOOSE(MONTH($A312),"ENERO","FEBRERO","MARZO","ABRIL","MAYO","JUNIO","JULIO","AGOSTO","SEPTIEMBRE","OCTUBRE","NOVIEMBRE","DICIEMBRE"))</f>
        <v/>
      </c>
      <c r="I312" s="34">
        <f>IF($A312="","",IF(OR($G312="SÁBADO",$G312="DOMINGO"),"FIN","LV"))</f>
        <v/>
      </c>
      <c r="J312" s="34">
        <f>IF(OR($A312="",$B312=""),"",IF($L312&lt;&gt;"",UPPER($L312),IF($C312="","FALTA",IFERROR(IF($C312&gt;=$O312,"ROJO FUERTE",IF($C312&gt;=$N312,"ROJO",IF($C312&gt;=$M312,"AMARILLO","VERDE"))),"REVISAR"))))</f>
        <v/>
      </c>
      <c r="K312" s="36">
        <f>IF(OR($C312="",$D312=""),"",IF($D312&gt;=$C312,($D312-$C312)*24,(1-$C312+$D312)*24))</f>
        <v/>
      </c>
      <c r="L312" s="34" t="n"/>
      <c r="M312" s="53">
        <f t="array" ref="M312">IFERROR(INDEX(EXCEPCIONES_FECHA!$D$2:$D$201,MATCH(1,(EXCEPCIONES_FECHA!$A$2:$A$201=$A312)*(EXCEPCIONES_FECHA!$B$2:$B$201=$B312),0)),IFERROR(INDEX(EXCEPCIONES_FECHA!$D$2:$D$201,MATCH(1,(EXCEPCIONES_FECHA!$A$2:$A$201=$A312)*(EXCEPCIONES_FECHA!$B$2:$B$201=""),0)),IFERROR(INDEX(IF($I312="FIN",HISTORIAL_HORARIOS!$J$2:$J$201,HISTORIAL_HORARIOS!$F$2:$F$201),MATCH(1,(HISTORIAL_HORARIOS!$A$2:$A$201=$B312)*(HISTORIAL_HORARIOS!$C$2:$C$201&lt;=$A312)*(HISTORIAL_HORARIOS!$D$2:$D$201&gt;=$A312),0)),INDEX(IF($I312="FIN",PERSONAL!$J$2:$J$80,PERSONAL!$F$2:$F$80),MATCH($B312,PERSONAL!$A$2:$A$80,0)))))</f>
        <v/>
      </c>
      <c r="N312" s="53">
        <f t="array" ref="N312">IFERROR(INDEX(EXCEPCIONES_FECHA!$E$2:$E$201,MATCH(1,(EXCEPCIONES_FECHA!$A$2:$A$201=$A312)*(EXCEPCIONES_FECHA!$B$2:$B$201=$B312),0)),IFERROR(INDEX(EXCEPCIONES_FECHA!$E$2:$E$201,MATCH(1,(EXCEPCIONES_FECHA!$A$2:$A$201=$A312)*(EXCEPCIONES_FECHA!$B$2:$B$201=""),0)),IFERROR(INDEX(IF($I312="FIN",HISTORIAL_HORARIOS!$K$2:$K$201,HISTORIAL_HORARIOS!$G$2:$G$201),MATCH(1,(HISTORIAL_HORARIOS!$A$2:$A$201=$B312)*(HISTORIAL_HORARIOS!$C$2:$C$201&lt;=$A312)*(HISTORIAL_HORARIOS!$D$2:$D$201&gt;=$A312),0)),INDEX(IF($I312="FIN",PERSONAL!$K$2:$K$80,PERSONAL!$G$2:$G$80),MATCH($B312,PERSONAL!$A$2:$A$80,0)))))</f>
        <v/>
      </c>
      <c r="O312" s="53">
        <f t="array" ref="O312">IFERROR(INDEX(EXCEPCIONES_FECHA!$F$2:$F$201,MATCH(1,(EXCEPCIONES_FECHA!$A$2:$A$201=$A312)*(EXCEPCIONES_FECHA!$B$2:$B$201=$B312),0)),IFERROR(INDEX(EXCEPCIONES_FECHA!$F$2:$F$201,MATCH(1,(EXCEPCIONES_FECHA!$A$2:$A$201=$A312)*(EXCEPCIONES_FECHA!$B$2:$B$201=""),0)),IFERROR(INDEX(IF($I312="FIN",HISTORIAL_HORARIOS!$L$2:$L$201,HISTORIAL_HORARIOS!$H$2:$H$201),MATCH(1,(HISTORIAL_HORARIOS!$A$2:$A$201=$B312)*(HISTORIAL_HORARIOS!$C$2:$C$201&lt;=$A312)*(HISTORIAL_HORARIOS!$D$2:$D$201&gt;=$A312),0)),INDEX(IF($I312="FIN",PERSONAL!$L$2:$L$80,PERSONAL!$H$2:$H$80),MATCH($B312,PERSONAL!$A$2:$A$80,0)))))</f>
        <v/>
      </c>
    </row>
    <row r="313" ht="15" customHeight="1" s="58">
      <c r="A313" s="37" t="n"/>
      <c r="B313" s="38" t="n"/>
      <c r="C313" s="39" t="n"/>
      <c r="D313" s="39" t="n"/>
      <c r="E313" s="34">
        <f t="array" ref="E313">IF($B313="","",IFERROR(INDEX(PERSONAL!$B$2:$B$80,MATCH($B313,PERSONAL!$A$2:$A$80,0)),"NO EXISTE"))</f>
        <v/>
      </c>
      <c r="F313" s="52">
        <f t="array" ref="F313">IF($B313="","",IFERROR(INDEX(PERSONAL!$C$2:$C$80,MATCH($B313,PERSONAL!$A$2:$A$80,0)),""))</f>
        <v/>
      </c>
      <c r="G313" s="52">
        <f>IF($A313="","",CHOOSE(WEEKDAY($A313,2),"LUNES","MARTES","MIÉRCOLES","JUEVES","VIERNES","SÁBADO","DOMINGO"))</f>
        <v/>
      </c>
      <c r="H313" s="34">
        <f>IF($A313="","",CHOOSE(MONTH($A313),"ENERO","FEBRERO","MARZO","ABRIL","MAYO","JUNIO","JULIO","AGOSTO","SEPTIEMBRE","OCTUBRE","NOVIEMBRE","DICIEMBRE"))</f>
        <v/>
      </c>
      <c r="I313" s="34">
        <f>IF($A313="","",IF(OR($G313="SÁBADO",$G313="DOMINGO"),"FIN","LV"))</f>
        <v/>
      </c>
      <c r="J313" s="34">
        <f>IF(OR($A313="",$B313=""),"",IF($L313&lt;&gt;"",UPPER($L313),IF($C313="","FALTA",IFERROR(IF($C313&gt;=$O313,"ROJO FUERTE",IF($C313&gt;=$N313,"ROJO",IF($C313&gt;=$M313,"AMARILLO","VERDE"))),"REVISAR"))))</f>
        <v/>
      </c>
      <c r="K313" s="36">
        <f>IF(OR($C313="",$D313=""),"",IF($D313&gt;=$C313,($D313-$C313)*24,(1-$C313+$D313)*24))</f>
        <v/>
      </c>
      <c r="L313" s="34" t="n"/>
      <c r="M313" s="53">
        <f t="array" ref="M313">IFERROR(INDEX(EXCEPCIONES_FECHA!$D$2:$D$201,MATCH(1,(EXCEPCIONES_FECHA!$A$2:$A$201=$A313)*(EXCEPCIONES_FECHA!$B$2:$B$201=$B313),0)),IFERROR(INDEX(EXCEPCIONES_FECHA!$D$2:$D$201,MATCH(1,(EXCEPCIONES_FECHA!$A$2:$A$201=$A313)*(EXCEPCIONES_FECHA!$B$2:$B$201=""),0)),IFERROR(INDEX(IF($I313="FIN",HISTORIAL_HORARIOS!$J$2:$J$201,HISTORIAL_HORARIOS!$F$2:$F$201),MATCH(1,(HISTORIAL_HORARIOS!$A$2:$A$201=$B313)*(HISTORIAL_HORARIOS!$C$2:$C$201&lt;=$A313)*(HISTORIAL_HORARIOS!$D$2:$D$201&gt;=$A313),0)),INDEX(IF($I313="FIN",PERSONAL!$J$2:$J$80,PERSONAL!$F$2:$F$80),MATCH($B313,PERSONAL!$A$2:$A$80,0)))))</f>
        <v/>
      </c>
      <c r="N313" s="53">
        <f t="array" ref="N313">IFERROR(INDEX(EXCEPCIONES_FECHA!$E$2:$E$201,MATCH(1,(EXCEPCIONES_FECHA!$A$2:$A$201=$A313)*(EXCEPCIONES_FECHA!$B$2:$B$201=$B313),0)),IFERROR(INDEX(EXCEPCIONES_FECHA!$E$2:$E$201,MATCH(1,(EXCEPCIONES_FECHA!$A$2:$A$201=$A313)*(EXCEPCIONES_FECHA!$B$2:$B$201=""),0)),IFERROR(INDEX(IF($I313="FIN",HISTORIAL_HORARIOS!$K$2:$K$201,HISTORIAL_HORARIOS!$G$2:$G$201),MATCH(1,(HISTORIAL_HORARIOS!$A$2:$A$201=$B313)*(HISTORIAL_HORARIOS!$C$2:$C$201&lt;=$A313)*(HISTORIAL_HORARIOS!$D$2:$D$201&gt;=$A313),0)),INDEX(IF($I313="FIN",PERSONAL!$K$2:$K$80,PERSONAL!$G$2:$G$80),MATCH($B313,PERSONAL!$A$2:$A$80,0)))))</f>
        <v/>
      </c>
      <c r="O313" s="53">
        <f t="array" ref="O313">IFERROR(INDEX(EXCEPCIONES_FECHA!$F$2:$F$201,MATCH(1,(EXCEPCIONES_FECHA!$A$2:$A$201=$A313)*(EXCEPCIONES_FECHA!$B$2:$B$201=$B313),0)),IFERROR(INDEX(EXCEPCIONES_FECHA!$F$2:$F$201,MATCH(1,(EXCEPCIONES_FECHA!$A$2:$A$201=$A313)*(EXCEPCIONES_FECHA!$B$2:$B$201=""),0)),IFERROR(INDEX(IF($I313="FIN",HISTORIAL_HORARIOS!$L$2:$L$201,HISTORIAL_HORARIOS!$H$2:$H$201),MATCH(1,(HISTORIAL_HORARIOS!$A$2:$A$201=$B313)*(HISTORIAL_HORARIOS!$C$2:$C$201&lt;=$A313)*(HISTORIAL_HORARIOS!$D$2:$D$201&gt;=$A313),0)),INDEX(IF($I313="FIN",PERSONAL!$L$2:$L$80,PERSONAL!$H$2:$H$80),MATCH($B313,PERSONAL!$A$2:$A$80,0)))))</f>
        <v/>
      </c>
    </row>
    <row r="314" ht="15" customHeight="1" s="58">
      <c r="A314" s="37" t="n"/>
      <c r="B314" s="38" t="n"/>
      <c r="C314" s="39" t="n"/>
      <c r="D314" s="39" t="n"/>
      <c r="E314" s="34">
        <f t="array" ref="E314">IF($B314="","",IFERROR(INDEX(PERSONAL!$B$2:$B$80,MATCH($B314,PERSONAL!$A$2:$A$80,0)),"NO EXISTE"))</f>
        <v/>
      </c>
      <c r="F314" s="52">
        <f t="array" ref="F314">IF($B314="","",IFERROR(INDEX(PERSONAL!$C$2:$C$80,MATCH($B314,PERSONAL!$A$2:$A$80,0)),""))</f>
        <v/>
      </c>
      <c r="G314" s="52">
        <f>IF($A314="","",CHOOSE(WEEKDAY($A314,2),"LUNES","MARTES","MIÉRCOLES","JUEVES","VIERNES","SÁBADO","DOMINGO"))</f>
        <v/>
      </c>
      <c r="H314" s="34">
        <f>IF($A314="","",CHOOSE(MONTH($A314),"ENERO","FEBRERO","MARZO","ABRIL","MAYO","JUNIO","JULIO","AGOSTO","SEPTIEMBRE","OCTUBRE","NOVIEMBRE","DICIEMBRE"))</f>
        <v/>
      </c>
      <c r="I314" s="34">
        <f>IF($A314="","",IF(OR($G314="SÁBADO",$G314="DOMINGO"),"FIN","LV"))</f>
        <v/>
      </c>
      <c r="J314" s="34">
        <f>IF(OR($A314="",$B314=""),"",IF($L314&lt;&gt;"",UPPER($L314),IF($C314="","FALTA",IFERROR(IF($C314&gt;=$O314,"ROJO FUERTE",IF($C314&gt;=$N314,"ROJO",IF($C314&gt;=$M314,"AMARILLO","VERDE"))),"REVISAR"))))</f>
        <v/>
      </c>
      <c r="K314" s="36">
        <f>IF(OR($C314="",$D314=""),"",IF($D314&gt;=$C314,($D314-$C314)*24,(1-$C314+$D314)*24))</f>
        <v/>
      </c>
      <c r="L314" s="34" t="n"/>
      <c r="M314" s="53">
        <f t="array" ref="M314">IFERROR(INDEX(EXCEPCIONES_FECHA!$D$2:$D$201,MATCH(1,(EXCEPCIONES_FECHA!$A$2:$A$201=$A314)*(EXCEPCIONES_FECHA!$B$2:$B$201=$B314),0)),IFERROR(INDEX(EXCEPCIONES_FECHA!$D$2:$D$201,MATCH(1,(EXCEPCIONES_FECHA!$A$2:$A$201=$A314)*(EXCEPCIONES_FECHA!$B$2:$B$201=""),0)),IFERROR(INDEX(IF($I314="FIN",HISTORIAL_HORARIOS!$J$2:$J$201,HISTORIAL_HORARIOS!$F$2:$F$201),MATCH(1,(HISTORIAL_HORARIOS!$A$2:$A$201=$B314)*(HISTORIAL_HORARIOS!$C$2:$C$201&lt;=$A314)*(HISTORIAL_HORARIOS!$D$2:$D$201&gt;=$A314),0)),INDEX(IF($I314="FIN",PERSONAL!$J$2:$J$80,PERSONAL!$F$2:$F$80),MATCH($B314,PERSONAL!$A$2:$A$80,0)))))</f>
        <v/>
      </c>
      <c r="N314" s="53">
        <f t="array" ref="N314">IFERROR(INDEX(EXCEPCIONES_FECHA!$E$2:$E$201,MATCH(1,(EXCEPCIONES_FECHA!$A$2:$A$201=$A314)*(EXCEPCIONES_FECHA!$B$2:$B$201=$B314),0)),IFERROR(INDEX(EXCEPCIONES_FECHA!$E$2:$E$201,MATCH(1,(EXCEPCIONES_FECHA!$A$2:$A$201=$A314)*(EXCEPCIONES_FECHA!$B$2:$B$201=""),0)),IFERROR(INDEX(IF($I314="FIN",HISTORIAL_HORARIOS!$K$2:$K$201,HISTORIAL_HORARIOS!$G$2:$G$201),MATCH(1,(HISTORIAL_HORARIOS!$A$2:$A$201=$B314)*(HISTORIAL_HORARIOS!$C$2:$C$201&lt;=$A314)*(HISTORIAL_HORARIOS!$D$2:$D$201&gt;=$A314),0)),INDEX(IF($I314="FIN",PERSONAL!$K$2:$K$80,PERSONAL!$G$2:$G$80),MATCH($B314,PERSONAL!$A$2:$A$80,0)))))</f>
        <v/>
      </c>
      <c r="O314" s="53">
        <f t="array" ref="O314">IFERROR(INDEX(EXCEPCIONES_FECHA!$F$2:$F$201,MATCH(1,(EXCEPCIONES_FECHA!$A$2:$A$201=$A314)*(EXCEPCIONES_FECHA!$B$2:$B$201=$B314),0)),IFERROR(INDEX(EXCEPCIONES_FECHA!$F$2:$F$201,MATCH(1,(EXCEPCIONES_FECHA!$A$2:$A$201=$A314)*(EXCEPCIONES_FECHA!$B$2:$B$201=""),0)),IFERROR(INDEX(IF($I314="FIN",HISTORIAL_HORARIOS!$L$2:$L$201,HISTORIAL_HORARIOS!$H$2:$H$201),MATCH(1,(HISTORIAL_HORARIOS!$A$2:$A$201=$B314)*(HISTORIAL_HORARIOS!$C$2:$C$201&lt;=$A314)*(HISTORIAL_HORARIOS!$D$2:$D$201&gt;=$A314),0)),INDEX(IF($I314="FIN",PERSONAL!$L$2:$L$80,PERSONAL!$H$2:$H$80),MATCH($B314,PERSONAL!$A$2:$A$80,0)))))</f>
        <v/>
      </c>
    </row>
    <row r="315" ht="15" customHeight="1" s="58">
      <c r="A315" s="37" t="n"/>
      <c r="B315" s="38" t="n"/>
      <c r="C315" s="39" t="n"/>
      <c r="D315" s="39" t="n"/>
      <c r="E315" s="34">
        <f t="array" ref="E315">IF($B315="","",IFERROR(INDEX(PERSONAL!$B$2:$B$80,MATCH($B315,PERSONAL!$A$2:$A$80,0)),"NO EXISTE"))</f>
        <v/>
      </c>
      <c r="F315" s="52">
        <f t="array" ref="F315">IF($B315="","",IFERROR(INDEX(PERSONAL!$C$2:$C$80,MATCH($B315,PERSONAL!$A$2:$A$80,0)),""))</f>
        <v/>
      </c>
      <c r="G315" s="52">
        <f>IF($A315="","",CHOOSE(WEEKDAY($A315,2),"LUNES","MARTES","MIÉRCOLES","JUEVES","VIERNES","SÁBADO","DOMINGO"))</f>
        <v/>
      </c>
      <c r="H315" s="34">
        <f>IF($A315="","",CHOOSE(MONTH($A315),"ENERO","FEBRERO","MARZO","ABRIL","MAYO","JUNIO","JULIO","AGOSTO","SEPTIEMBRE","OCTUBRE","NOVIEMBRE","DICIEMBRE"))</f>
        <v/>
      </c>
      <c r="I315" s="34">
        <f>IF($A315="","",IF(OR($G315="SÁBADO",$G315="DOMINGO"),"FIN","LV"))</f>
        <v/>
      </c>
      <c r="J315" s="34">
        <f>IF(OR($A315="",$B315=""),"",IF($L315&lt;&gt;"",UPPER($L315),IF($C315="","FALTA",IFERROR(IF($C315&gt;=$O315,"ROJO FUERTE",IF($C315&gt;=$N315,"ROJO",IF($C315&gt;=$M315,"AMARILLO","VERDE"))),"REVISAR"))))</f>
        <v/>
      </c>
      <c r="K315" s="36">
        <f>IF(OR($C315="",$D315=""),"",IF($D315&gt;=$C315,($D315-$C315)*24,(1-$C315+$D315)*24))</f>
        <v/>
      </c>
      <c r="L315" s="34" t="n"/>
      <c r="M315" s="53">
        <f t="array" ref="M315">IFERROR(INDEX(EXCEPCIONES_FECHA!$D$2:$D$201,MATCH(1,(EXCEPCIONES_FECHA!$A$2:$A$201=$A315)*(EXCEPCIONES_FECHA!$B$2:$B$201=$B315),0)),IFERROR(INDEX(EXCEPCIONES_FECHA!$D$2:$D$201,MATCH(1,(EXCEPCIONES_FECHA!$A$2:$A$201=$A315)*(EXCEPCIONES_FECHA!$B$2:$B$201=""),0)),IFERROR(INDEX(IF($I315="FIN",HISTORIAL_HORARIOS!$J$2:$J$201,HISTORIAL_HORARIOS!$F$2:$F$201),MATCH(1,(HISTORIAL_HORARIOS!$A$2:$A$201=$B315)*(HISTORIAL_HORARIOS!$C$2:$C$201&lt;=$A315)*(HISTORIAL_HORARIOS!$D$2:$D$201&gt;=$A315),0)),INDEX(IF($I315="FIN",PERSONAL!$J$2:$J$80,PERSONAL!$F$2:$F$80),MATCH($B315,PERSONAL!$A$2:$A$80,0)))))</f>
        <v/>
      </c>
      <c r="N315" s="53">
        <f t="array" ref="N315">IFERROR(INDEX(EXCEPCIONES_FECHA!$E$2:$E$201,MATCH(1,(EXCEPCIONES_FECHA!$A$2:$A$201=$A315)*(EXCEPCIONES_FECHA!$B$2:$B$201=$B315),0)),IFERROR(INDEX(EXCEPCIONES_FECHA!$E$2:$E$201,MATCH(1,(EXCEPCIONES_FECHA!$A$2:$A$201=$A315)*(EXCEPCIONES_FECHA!$B$2:$B$201=""),0)),IFERROR(INDEX(IF($I315="FIN",HISTORIAL_HORARIOS!$K$2:$K$201,HISTORIAL_HORARIOS!$G$2:$G$201),MATCH(1,(HISTORIAL_HORARIOS!$A$2:$A$201=$B315)*(HISTORIAL_HORARIOS!$C$2:$C$201&lt;=$A315)*(HISTORIAL_HORARIOS!$D$2:$D$201&gt;=$A315),0)),INDEX(IF($I315="FIN",PERSONAL!$K$2:$K$80,PERSONAL!$G$2:$G$80),MATCH($B315,PERSONAL!$A$2:$A$80,0)))))</f>
        <v/>
      </c>
      <c r="O315" s="53">
        <f t="array" ref="O315">IFERROR(INDEX(EXCEPCIONES_FECHA!$F$2:$F$201,MATCH(1,(EXCEPCIONES_FECHA!$A$2:$A$201=$A315)*(EXCEPCIONES_FECHA!$B$2:$B$201=$B315),0)),IFERROR(INDEX(EXCEPCIONES_FECHA!$F$2:$F$201,MATCH(1,(EXCEPCIONES_FECHA!$A$2:$A$201=$A315)*(EXCEPCIONES_FECHA!$B$2:$B$201=""),0)),IFERROR(INDEX(IF($I315="FIN",HISTORIAL_HORARIOS!$L$2:$L$201,HISTORIAL_HORARIOS!$H$2:$H$201),MATCH(1,(HISTORIAL_HORARIOS!$A$2:$A$201=$B315)*(HISTORIAL_HORARIOS!$C$2:$C$201&lt;=$A315)*(HISTORIAL_HORARIOS!$D$2:$D$201&gt;=$A315),0)),INDEX(IF($I315="FIN",PERSONAL!$L$2:$L$80,PERSONAL!$H$2:$H$80),MATCH($B315,PERSONAL!$A$2:$A$80,0)))))</f>
        <v/>
      </c>
    </row>
    <row r="316" ht="15" customHeight="1" s="58">
      <c r="A316" s="37" t="n"/>
      <c r="B316" s="38" t="n"/>
      <c r="C316" s="39" t="n"/>
      <c r="D316" s="39" t="n"/>
      <c r="E316" s="34">
        <f t="array" ref="E316">IF($B316="","",IFERROR(INDEX(PERSONAL!$B$2:$B$80,MATCH($B316,PERSONAL!$A$2:$A$80,0)),"NO EXISTE"))</f>
        <v/>
      </c>
      <c r="F316" s="52">
        <f t="array" ref="F316">IF($B316="","",IFERROR(INDEX(PERSONAL!$C$2:$C$80,MATCH($B316,PERSONAL!$A$2:$A$80,0)),""))</f>
        <v/>
      </c>
      <c r="G316" s="52">
        <f>IF($A316="","",CHOOSE(WEEKDAY($A316,2),"LUNES","MARTES","MIÉRCOLES","JUEVES","VIERNES","SÁBADO","DOMINGO"))</f>
        <v/>
      </c>
      <c r="H316" s="34">
        <f>IF($A316="","",CHOOSE(MONTH($A316),"ENERO","FEBRERO","MARZO","ABRIL","MAYO","JUNIO","JULIO","AGOSTO","SEPTIEMBRE","OCTUBRE","NOVIEMBRE","DICIEMBRE"))</f>
        <v/>
      </c>
      <c r="I316" s="34">
        <f>IF($A316="","",IF(OR($G316="SÁBADO",$G316="DOMINGO"),"FIN","LV"))</f>
        <v/>
      </c>
      <c r="J316" s="34">
        <f>IF(OR($A316="",$B316=""),"",IF($L316&lt;&gt;"",UPPER($L316),IF($C316="","FALTA",IFERROR(IF($C316&gt;=$O316,"ROJO FUERTE",IF($C316&gt;=$N316,"ROJO",IF($C316&gt;=$M316,"AMARILLO","VERDE"))),"REVISAR"))))</f>
        <v/>
      </c>
      <c r="K316" s="36">
        <f>IF(OR($C316="",$D316=""),"",IF($D316&gt;=$C316,($D316-$C316)*24,(1-$C316+$D316)*24))</f>
        <v/>
      </c>
      <c r="L316" s="34" t="n"/>
      <c r="M316" s="53">
        <f t="array" ref="M316">IFERROR(INDEX(EXCEPCIONES_FECHA!$D$2:$D$201,MATCH(1,(EXCEPCIONES_FECHA!$A$2:$A$201=$A316)*(EXCEPCIONES_FECHA!$B$2:$B$201=$B316),0)),IFERROR(INDEX(EXCEPCIONES_FECHA!$D$2:$D$201,MATCH(1,(EXCEPCIONES_FECHA!$A$2:$A$201=$A316)*(EXCEPCIONES_FECHA!$B$2:$B$201=""),0)),IFERROR(INDEX(IF($I316="FIN",HISTORIAL_HORARIOS!$J$2:$J$201,HISTORIAL_HORARIOS!$F$2:$F$201),MATCH(1,(HISTORIAL_HORARIOS!$A$2:$A$201=$B316)*(HISTORIAL_HORARIOS!$C$2:$C$201&lt;=$A316)*(HISTORIAL_HORARIOS!$D$2:$D$201&gt;=$A316),0)),INDEX(IF($I316="FIN",PERSONAL!$J$2:$J$80,PERSONAL!$F$2:$F$80),MATCH($B316,PERSONAL!$A$2:$A$80,0)))))</f>
        <v/>
      </c>
      <c r="N316" s="53">
        <f t="array" ref="N316">IFERROR(INDEX(EXCEPCIONES_FECHA!$E$2:$E$201,MATCH(1,(EXCEPCIONES_FECHA!$A$2:$A$201=$A316)*(EXCEPCIONES_FECHA!$B$2:$B$201=$B316),0)),IFERROR(INDEX(EXCEPCIONES_FECHA!$E$2:$E$201,MATCH(1,(EXCEPCIONES_FECHA!$A$2:$A$201=$A316)*(EXCEPCIONES_FECHA!$B$2:$B$201=""),0)),IFERROR(INDEX(IF($I316="FIN",HISTORIAL_HORARIOS!$K$2:$K$201,HISTORIAL_HORARIOS!$G$2:$G$201),MATCH(1,(HISTORIAL_HORARIOS!$A$2:$A$201=$B316)*(HISTORIAL_HORARIOS!$C$2:$C$201&lt;=$A316)*(HISTORIAL_HORARIOS!$D$2:$D$201&gt;=$A316),0)),INDEX(IF($I316="FIN",PERSONAL!$K$2:$K$80,PERSONAL!$G$2:$G$80),MATCH($B316,PERSONAL!$A$2:$A$80,0)))))</f>
        <v/>
      </c>
      <c r="O316" s="53">
        <f t="array" ref="O316">IFERROR(INDEX(EXCEPCIONES_FECHA!$F$2:$F$201,MATCH(1,(EXCEPCIONES_FECHA!$A$2:$A$201=$A316)*(EXCEPCIONES_FECHA!$B$2:$B$201=$B316),0)),IFERROR(INDEX(EXCEPCIONES_FECHA!$F$2:$F$201,MATCH(1,(EXCEPCIONES_FECHA!$A$2:$A$201=$A316)*(EXCEPCIONES_FECHA!$B$2:$B$201=""),0)),IFERROR(INDEX(IF($I316="FIN",HISTORIAL_HORARIOS!$L$2:$L$201,HISTORIAL_HORARIOS!$H$2:$H$201),MATCH(1,(HISTORIAL_HORARIOS!$A$2:$A$201=$B316)*(HISTORIAL_HORARIOS!$C$2:$C$201&lt;=$A316)*(HISTORIAL_HORARIOS!$D$2:$D$201&gt;=$A316),0)),INDEX(IF($I316="FIN",PERSONAL!$L$2:$L$80,PERSONAL!$H$2:$H$80),MATCH($B316,PERSONAL!$A$2:$A$80,0)))))</f>
        <v/>
      </c>
    </row>
    <row r="317" ht="15" customHeight="1" s="58">
      <c r="A317" s="37" t="n"/>
      <c r="B317" s="38" t="n"/>
      <c r="C317" s="39" t="n"/>
      <c r="D317" s="39" t="n"/>
      <c r="E317" s="34">
        <f t="array" ref="E317">IF($B317="","",IFERROR(INDEX(PERSONAL!$B$2:$B$80,MATCH($B317,PERSONAL!$A$2:$A$80,0)),"NO EXISTE"))</f>
        <v/>
      </c>
      <c r="F317" s="52">
        <f t="array" ref="F317">IF($B317="","",IFERROR(INDEX(PERSONAL!$C$2:$C$80,MATCH($B317,PERSONAL!$A$2:$A$80,0)),""))</f>
        <v/>
      </c>
      <c r="G317" s="52">
        <f>IF($A317="","",CHOOSE(WEEKDAY($A317,2),"LUNES","MARTES","MIÉRCOLES","JUEVES","VIERNES","SÁBADO","DOMINGO"))</f>
        <v/>
      </c>
      <c r="H317" s="34">
        <f>IF($A317="","",CHOOSE(MONTH($A317),"ENERO","FEBRERO","MARZO","ABRIL","MAYO","JUNIO","JULIO","AGOSTO","SEPTIEMBRE","OCTUBRE","NOVIEMBRE","DICIEMBRE"))</f>
        <v/>
      </c>
      <c r="I317" s="34">
        <f>IF($A317="","",IF(OR($G317="SÁBADO",$G317="DOMINGO"),"FIN","LV"))</f>
        <v/>
      </c>
      <c r="J317" s="34">
        <f>IF(OR($A317="",$B317=""),"",IF($L317&lt;&gt;"",UPPER($L317),IF($C317="","FALTA",IFERROR(IF($C317&gt;=$O317,"ROJO FUERTE",IF($C317&gt;=$N317,"ROJO",IF($C317&gt;=$M317,"AMARILLO","VERDE"))),"REVISAR"))))</f>
        <v/>
      </c>
      <c r="K317" s="36">
        <f>IF(OR($C317="",$D317=""),"",IF($D317&gt;=$C317,($D317-$C317)*24,(1-$C317+$D317)*24))</f>
        <v/>
      </c>
      <c r="L317" s="34" t="n"/>
      <c r="M317" s="53">
        <f t="array" ref="M317">IFERROR(INDEX(EXCEPCIONES_FECHA!$D$2:$D$201,MATCH(1,(EXCEPCIONES_FECHA!$A$2:$A$201=$A317)*(EXCEPCIONES_FECHA!$B$2:$B$201=$B317),0)),IFERROR(INDEX(EXCEPCIONES_FECHA!$D$2:$D$201,MATCH(1,(EXCEPCIONES_FECHA!$A$2:$A$201=$A317)*(EXCEPCIONES_FECHA!$B$2:$B$201=""),0)),IFERROR(INDEX(IF($I317="FIN",HISTORIAL_HORARIOS!$J$2:$J$201,HISTORIAL_HORARIOS!$F$2:$F$201),MATCH(1,(HISTORIAL_HORARIOS!$A$2:$A$201=$B317)*(HISTORIAL_HORARIOS!$C$2:$C$201&lt;=$A317)*(HISTORIAL_HORARIOS!$D$2:$D$201&gt;=$A317),0)),INDEX(IF($I317="FIN",PERSONAL!$J$2:$J$80,PERSONAL!$F$2:$F$80),MATCH($B317,PERSONAL!$A$2:$A$80,0)))))</f>
        <v/>
      </c>
      <c r="N317" s="53">
        <f t="array" ref="N317">IFERROR(INDEX(EXCEPCIONES_FECHA!$E$2:$E$201,MATCH(1,(EXCEPCIONES_FECHA!$A$2:$A$201=$A317)*(EXCEPCIONES_FECHA!$B$2:$B$201=$B317),0)),IFERROR(INDEX(EXCEPCIONES_FECHA!$E$2:$E$201,MATCH(1,(EXCEPCIONES_FECHA!$A$2:$A$201=$A317)*(EXCEPCIONES_FECHA!$B$2:$B$201=""),0)),IFERROR(INDEX(IF($I317="FIN",HISTORIAL_HORARIOS!$K$2:$K$201,HISTORIAL_HORARIOS!$G$2:$G$201),MATCH(1,(HISTORIAL_HORARIOS!$A$2:$A$201=$B317)*(HISTORIAL_HORARIOS!$C$2:$C$201&lt;=$A317)*(HISTORIAL_HORARIOS!$D$2:$D$201&gt;=$A317),0)),INDEX(IF($I317="FIN",PERSONAL!$K$2:$K$80,PERSONAL!$G$2:$G$80),MATCH($B317,PERSONAL!$A$2:$A$80,0)))))</f>
        <v/>
      </c>
      <c r="O317" s="53">
        <f t="array" ref="O317">IFERROR(INDEX(EXCEPCIONES_FECHA!$F$2:$F$201,MATCH(1,(EXCEPCIONES_FECHA!$A$2:$A$201=$A317)*(EXCEPCIONES_FECHA!$B$2:$B$201=$B317),0)),IFERROR(INDEX(EXCEPCIONES_FECHA!$F$2:$F$201,MATCH(1,(EXCEPCIONES_FECHA!$A$2:$A$201=$A317)*(EXCEPCIONES_FECHA!$B$2:$B$201=""),0)),IFERROR(INDEX(IF($I317="FIN",HISTORIAL_HORARIOS!$L$2:$L$201,HISTORIAL_HORARIOS!$H$2:$H$201),MATCH(1,(HISTORIAL_HORARIOS!$A$2:$A$201=$B317)*(HISTORIAL_HORARIOS!$C$2:$C$201&lt;=$A317)*(HISTORIAL_HORARIOS!$D$2:$D$201&gt;=$A317),0)),INDEX(IF($I317="FIN",PERSONAL!$L$2:$L$80,PERSONAL!$H$2:$H$80),MATCH($B317,PERSONAL!$A$2:$A$80,0)))))</f>
        <v/>
      </c>
    </row>
    <row r="318" ht="15" customHeight="1" s="58">
      <c r="A318" s="37" t="n"/>
      <c r="B318" s="38" t="n"/>
      <c r="C318" s="39" t="n"/>
      <c r="D318" s="39" t="n"/>
      <c r="E318" s="34">
        <f t="array" ref="E318">IF($B318="","",IFERROR(INDEX(PERSONAL!$B$2:$B$80,MATCH($B318,PERSONAL!$A$2:$A$80,0)),"NO EXISTE"))</f>
        <v/>
      </c>
      <c r="F318" s="52">
        <f t="array" ref="F318">IF($B318="","",IFERROR(INDEX(PERSONAL!$C$2:$C$80,MATCH($B318,PERSONAL!$A$2:$A$80,0)),""))</f>
        <v/>
      </c>
      <c r="G318" s="52">
        <f>IF($A318="","",CHOOSE(WEEKDAY($A318,2),"LUNES","MARTES","MIÉRCOLES","JUEVES","VIERNES","SÁBADO","DOMINGO"))</f>
        <v/>
      </c>
      <c r="H318" s="34">
        <f>IF($A318="","",CHOOSE(MONTH($A318),"ENERO","FEBRERO","MARZO","ABRIL","MAYO","JUNIO","JULIO","AGOSTO","SEPTIEMBRE","OCTUBRE","NOVIEMBRE","DICIEMBRE"))</f>
        <v/>
      </c>
      <c r="I318" s="34">
        <f>IF($A318="","",IF(OR($G318="SÁBADO",$G318="DOMINGO"),"FIN","LV"))</f>
        <v/>
      </c>
      <c r="J318" s="34">
        <f>IF(OR($A318="",$B318=""),"",IF($L318&lt;&gt;"",UPPER($L318),IF($C318="","FALTA",IFERROR(IF($C318&gt;=$O318,"ROJO FUERTE",IF($C318&gt;=$N318,"ROJO",IF($C318&gt;=$M318,"AMARILLO","VERDE"))),"REVISAR"))))</f>
        <v/>
      </c>
      <c r="K318" s="36">
        <f>IF(OR($C318="",$D318=""),"",IF($D318&gt;=$C318,($D318-$C318)*24,(1-$C318+$D318)*24))</f>
        <v/>
      </c>
      <c r="L318" s="34" t="n"/>
      <c r="M318" s="53">
        <f t="array" ref="M318">IFERROR(INDEX(EXCEPCIONES_FECHA!$D$2:$D$201,MATCH(1,(EXCEPCIONES_FECHA!$A$2:$A$201=$A318)*(EXCEPCIONES_FECHA!$B$2:$B$201=$B318),0)),IFERROR(INDEX(EXCEPCIONES_FECHA!$D$2:$D$201,MATCH(1,(EXCEPCIONES_FECHA!$A$2:$A$201=$A318)*(EXCEPCIONES_FECHA!$B$2:$B$201=""),0)),IFERROR(INDEX(IF($I318="FIN",HISTORIAL_HORARIOS!$J$2:$J$201,HISTORIAL_HORARIOS!$F$2:$F$201),MATCH(1,(HISTORIAL_HORARIOS!$A$2:$A$201=$B318)*(HISTORIAL_HORARIOS!$C$2:$C$201&lt;=$A318)*(HISTORIAL_HORARIOS!$D$2:$D$201&gt;=$A318),0)),INDEX(IF($I318="FIN",PERSONAL!$J$2:$J$80,PERSONAL!$F$2:$F$80),MATCH($B318,PERSONAL!$A$2:$A$80,0)))))</f>
        <v/>
      </c>
      <c r="N318" s="53">
        <f t="array" ref="N318">IFERROR(INDEX(EXCEPCIONES_FECHA!$E$2:$E$201,MATCH(1,(EXCEPCIONES_FECHA!$A$2:$A$201=$A318)*(EXCEPCIONES_FECHA!$B$2:$B$201=$B318),0)),IFERROR(INDEX(EXCEPCIONES_FECHA!$E$2:$E$201,MATCH(1,(EXCEPCIONES_FECHA!$A$2:$A$201=$A318)*(EXCEPCIONES_FECHA!$B$2:$B$201=""),0)),IFERROR(INDEX(IF($I318="FIN",HISTORIAL_HORARIOS!$K$2:$K$201,HISTORIAL_HORARIOS!$G$2:$G$201),MATCH(1,(HISTORIAL_HORARIOS!$A$2:$A$201=$B318)*(HISTORIAL_HORARIOS!$C$2:$C$201&lt;=$A318)*(HISTORIAL_HORARIOS!$D$2:$D$201&gt;=$A318),0)),INDEX(IF($I318="FIN",PERSONAL!$K$2:$K$80,PERSONAL!$G$2:$G$80),MATCH($B318,PERSONAL!$A$2:$A$80,0)))))</f>
        <v/>
      </c>
      <c r="O318" s="53">
        <f t="array" ref="O318">IFERROR(INDEX(EXCEPCIONES_FECHA!$F$2:$F$201,MATCH(1,(EXCEPCIONES_FECHA!$A$2:$A$201=$A318)*(EXCEPCIONES_FECHA!$B$2:$B$201=$B318),0)),IFERROR(INDEX(EXCEPCIONES_FECHA!$F$2:$F$201,MATCH(1,(EXCEPCIONES_FECHA!$A$2:$A$201=$A318)*(EXCEPCIONES_FECHA!$B$2:$B$201=""),0)),IFERROR(INDEX(IF($I318="FIN",HISTORIAL_HORARIOS!$L$2:$L$201,HISTORIAL_HORARIOS!$H$2:$H$201),MATCH(1,(HISTORIAL_HORARIOS!$A$2:$A$201=$B318)*(HISTORIAL_HORARIOS!$C$2:$C$201&lt;=$A318)*(HISTORIAL_HORARIOS!$D$2:$D$201&gt;=$A318),0)),INDEX(IF($I318="FIN",PERSONAL!$L$2:$L$80,PERSONAL!$H$2:$H$80),MATCH($B318,PERSONAL!$A$2:$A$80,0)))))</f>
        <v/>
      </c>
    </row>
    <row r="319" ht="15" customHeight="1" s="58">
      <c r="A319" s="37" t="n"/>
      <c r="B319" s="38" t="n"/>
      <c r="C319" s="39" t="n"/>
      <c r="D319" s="39" t="n"/>
      <c r="E319" s="34">
        <f t="array" ref="E319">IF($B319="","",IFERROR(INDEX(PERSONAL!$B$2:$B$80,MATCH($B319,PERSONAL!$A$2:$A$80,0)),"NO EXISTE"))</f>
        <v/>
      </c>
      <c r="F319" s="52">
        <f t="array" ref="F319">IF($B319="","",IFERROR(INDEX(PERSONAL!$C$2:$C$80,MATCH($B319,PERSONAL!$A$2:$A$80,0)),""))</f>
        <v/>
      </c>
      <c r="G319" s="52">
        <f>IF($A319="","",CHOOSE(WEEKDAY($A319,2),"LUNES","MARTES","MIÉRCOLES","JUEVES","VIERNES","SÁBADO","DOMINGO"))</f>
        <v/>
      </c>
      <c r="H319" s="34">
        <f>IF($A319="","",CHOOSE(MONTH($A319),"ENERO","FEBRERO","MARZO","ABRIL","MAYO","JUNIO","JULIO","AGOSTO","SEPTIEMBRE","OCTUBRE","NOVIEMBRE","DICIEMBRE"))</f>
        <v/>
      </c>
      <c r="I319" s="34">
        <f>IF($A319="","",IF(OR($G319="SÁBADO",$G319="DOMINGO"),"FIN","LV"))</f>
        <v/>
      </c>
      <c r="J319" s="34">
        <f>IF(OR($A319="",$B319=""),"",IF($L319&lt;&gt;"",UPPER($L319),IF($C319="","FALTA",IFERROR(IF($C319&gt;=$O319,"ROJO FUERTE",IF($C319&gt;=$N319,"ROJO",IF($C319&gt;=$M319,"AMARILLO","VERDE"))),"REVISAR"))))</f>
        <v/>
      </c>
      <c r="K319" s="36">
        <f>IF(OR($C319="",$D319=""),"",IF($D319&gt;=$C319,($D319-$C319)*24,(1-$C319+$D319)*24))</f>
        <v/>
      </c>
      <c r="L319" s="34" t="n"/>
      <c r="M319" s="53">
        <f t="array" ref="M319">IFERROR(INDEX(EXCEPCIONES_FECHA!$D$2:$D$201,MATCH(1,(EXCEPCIONES_FECHA!$A$2:$A$201=$A319)*(EXCEPCIONES_FECHA!$B$2:$B$201=$B319),0)),IFERROR(INDEX(EXCEPCIONES_FECHA!$D$2:$D$201,MATCH(1,(EXCEPCIONES_FECHA!$A$2:$A$201=$A319)*(EXCEPCIONES_FECHA!$B$2:$B$201=""),0)),IFERROR(INDEX(IF($I319="FIN",HISTORIAL_HORARIOS!$J$2:$J$201,HISTORIAL_HORARIOS!$F$2:$F$201),MATCH(1,(HISTORIAL_HORARIOS!$A$2:$A$201=$B319)*(HISTORIAL_HORARIOS!$C$2:$C$201&lt;=$A319)*(HISTORIAL_HORARIOS!$D$2:$D$201&gt;=$A319),0)),INDEX(IF($I319="FIN",PERSONAL!$J$2:$J$80,PERSONAL!$F$2:$F$80),MATCH($B319,PERSONAL!$A$2:$A$80,0)))))</f>
        <v/>
      </c>
      <c r="N319" s="53">
        <f t="array" ref="N319">IFERROR(INDEX(EXCEPCIONES_FECHA!$E$2:$E$201,MATCH(1,(EXCEPCIONES_FECHA!$A$2:$A$201=$A319)*(EXCEPCIONES_FECHA!$B$2:$B$201=$B319),0)),IFERROR(INDEX(EXCEPCIONES_FECHA!$E$2:$E$201,MATCH(1,(EXCEPCIONES_FECHA!$A$2:$A$201=$A319)*(EXCEPCIONES_FECHA!$B$2:$B$201=""),0)),IFERROR(INDEX(IF($I319="FIN",HISTORIAL_HORARIOS!$K$2:$K$201,HISTORIAL_HORARIOS!$G$2:$G$201),MATCH(1,(HISTORIAL_HORARIOS!$A$2:$A$201=$B319)*(HISTORIAL_HORARIOS!$C$2:$C$201&lt;=$A319)*(HISTORIAL_HORARIOS!$D$2:$D$201&gt;=$A319),0)),INDEX(IF($I319="FIN",PERSONAL!$K$2:$K$80,PERSONAL!$G$2:$G$80),MATCH($B319,PERSONAL!$A$2:$A$80,0)))))</f>
        <v/>
      </c>
      <c r="O319" s="53">
        <f t="array" ref="O319">IFERROR(INDEX(EXCEPCIONES_FECHA!$F$2:$F$201,MATCH(1,(EXCEPCIONES_FECHA!$A$2:$A$201=$A319)*(EXCEPCIONES_FECHA!$B$2:$B$201=$B319),0)),IFERROR(INDEX(EXCEPCIONES_FECHA!$F$2:$F$201,MATCH(1,(EXCEPCIONES_FECHA!$A$2:$A$201=$A319)*(EXCEPCIONES_FECHA!$B$2:$B$201=""),0)),IFERROR(INDEX(IF($I319="FIN",HISTORIAL_HORARIOS!$L$2:$L$201,HISTORIAL_HORARIOS!$H$2:$H$201),MATCH(1,(HISTORIAL_HORARIOS!$A$2:$A$201=$B319)*(HISTORIAL_HORARIOS!$C$2:$C$201&lt;=$A319)*(HISTORIAL_HORARIOS!$D$2:$D$201&gt;=$A319),0)),INDEX(IF($I319="FIN",PERSONAL!$L$2:$L$80,PERSONAL!$H$2:$H$80),MATCH($B319,PERSONAL!$A$2:$A$80,0)))))</f>
        <v/>
      </c>
    </row>
    <row r="320" ht="15" customHeight="1" s="58">
      <c r="A320" s="37" t="n"/>
      <c r="B320" s="38" t="n"/>
      <c r="C320" s="39" t="n"/>
      <c r="D320" s="39" t="n"/>
      <c r="E320" s="34">
        <f t="array" ref="E320">IF($B320="","",IFERROR(INDEX(PERSONAL!$B$2:$B$80,MATCH($B320,PERSONAL!$A$2:$A$80,0)),"NO EXISTE"))</f>
        <v/>
      </c>
      <c r="F320" s="52">
        <f t="array" ref="F320">IF($B320="","",IFERROR(INDEX(PERSONAL!$C$2:$C$80,MATCH($B320,PERSONAL!$A$2:$A$80,0)),""))</f>
        <v/>
      </c>
      <c r="G320" s="52">
        <f>IF($A320="","",CHOOSE(WEEKDAY($A320,2),"LUNES","MARTES","MIÉRCOLES","JUEVES","VIERNES","SÁBADO","DOMINGO"))</f>
        <v/>
      </c>
      <c r="H320" s="34">
        <f>IF($A320="","",CHOOSE(MONTH($A320),"ENERO","FEBRERO","MARZO","ABRIL","MAYO","JUNIO","JULIO","AGOSTO","SEPTIEMBRE","OCTUBRE","NOVIEMBRE","DICIEMBRE"))</f>
        <v/>
      </c>
      <c r="I320" s="34">
        <f>IF($A320="","",IF(OR($G320="SÁBADO",$G320="DOMINGO"),"FIN","LV"))</f>
        <v/>
      </c>
      <c r="J320" s="34">
        <f>IF(OR($A320="",$B320=""),"",IF($L320&lt;&gt;"",UPPER($L320),IF($C320="","FALTA",IFERROR(IF($C320&gt;=$O320,"ROJO FUERTE",IF($C320&gt;=$N320,"ROJO",IF($C320&gt;=$M320,"AMARILLO","VERDE"))),"REVISAR"))))</f>
        <v/>
      </c>
      <c r="K320" s="36">
        <f>IF(OR($C320="",$D320=""),"",IF($D320&gt;=$C320,($D320-$C320)*24,(1-$C320+$D320)*24))</f>
        <v/>
      </c>
      <c r="L320" s="34" t="n"/>
      <c r="M320" s="53">
        <f t="array" ref="M320">IFERROR(INDEX(EXCEPCIONES_FECHA!$D$2:$D$201,MATCH(1,(EXCEPCIONES_FECHA!$A$2:$A$201=$A320)*(EXCEPCIONES_FECHA!$B$2:$B$201=$B320),0)),IFERROR(INDEX(EXCEPCIONES_FECHA!$D$2:$D$201,MATCH(1,(EXCEPCIONES_FECHA!$A$2:$A$201=$A320)*(EXCEPCIONES_FECHA!$B$2:$B$201=""),0)),IFERROR(INDEX(IF($I320="FIN",HISTORIAL_HORARIOS!$J$2:$J$201,HISTORIAL_HORARIOS!$F$2:$F$201),MATCH(1,(HISTORIAL_HORARIOS!$A$2:$A$201=$B320)*(HISTORIAL_HORARIOS!$C$2:$C$201&lt;=$A320)*(HISTORIAL_HORARIOS!$D$2:$D$201&gt;=$A320),0)),INDEX(IF($I320="FIN",PERSONAL!$J$2:$J$80,PERSONAL!$F$2:$F$80),MATCH($B320,PERSONAL!$A$2:$A$80,0)))))</f>
        <v/>
      </c>
      <c r="N320" s="53">
        <f t="array" ref="N320">IFERROR(INDEX(EXCEPCIONES_FECHA!$E$2:$E$201,MATCH(1,(EXCEPCIONES_FECHA!$A$2:$A$201=$A320)*(EXCEPCIONES_FECHA!$B$2:$B$201=$B320),0)),IFERROR(INDEX(EXCEPCIONES_FECHA!$E$2:$E$201,MATCH(1,(EXCEPCIONES_FECHA!$A$2:$A$201=$A320)*(EXCEPCIONES_FECHA!$B$2:$B$201=""),0)),IFERROR(INDEX(IF($I320="FIN",HISTORIAL_HORARIOS!$K$2:$K$201,HISTORIAL_HORARIOS!$G$2:$G$201),MATCH(1,(HISTORIAL_HORARIOS!$A$2:$A$201=$B320)*(HISTORIAL_HORARIOS!$C$2:$C$201&lt;=$A320)*(HISTORIAL_HORARIOS!$D$2:$D$201&gt;=$A320),0)),INDEX(IF($I320="FIN",PERSONAL!$K$2:$K$80,PERSONAL!$G$2:$G$80),MATCH($B320,PERSONAL!$A$2:$A$80,0)))))</f>
        <v/>
      </c>
      <c r="O320" s="53">
        <f t="array" ref="O320">IFERROR(INDEX(EXCEPCIONES_FECHA!$F$2:$F$201,MATCH(1,(EXCEPCIONES_FECHA!$A$2:$A$201=$A320)*(EXCEPCIONES_FECHA!$B$2:$B$201=$B320),0)),IFERROR(INDEX(EXCEPCIONES_FECHA!$F$2:$F$201,MATCH(1,(EXCEPCIONES_FECHA!$A$2:$A$201=$A320)*(EXCEPCIONES_FECHA!$B$2:$B$201=""),0)),IFERROR(INDEX(IF($I320="FIN",HISTORIAL_HORARIOS!$L$2:$L$201,HISTORIAL_HORARIOS!$H$2:$H$201),MATCH(1,(HISTORIAL_HORARIOS!$A$2:$A$201=$B320)*(HISTORIAL_HORARIOS!$C$2:$C$201&lt;=$A320)*(HISTORIAL_HORARIOS!$D$2:$D$201&gt;=$A320),0)),INDEX(IF($I320="FIN",PERSONAL!$L$2:$L$80,PERSONAL!$H$2:$H$80),MATCH($B320,PERSONAL!$A$2:$A$80,0)))))</f>
        <v/>
      </c>
    </row>
    <row r="321" ht="15" customHeight="1" s="58">
      <c r="A321" s="37" t="n"/>
      <c r="B321" s="38" t="n"/>
      <c r="C321" s="39" t="n"/>
      <c r="D321" s="39" t="n"/>
      <c r="E321" s="34">
        <f t="array" ref="E321">IF($B321="","",IFERROR(INDEX(PERSONAL!$B$2:$B$80,MATCH($B321,PERSONAL!$A$2:$A$80,0)),"NO EXISTE"))</f>
        <v/>
      </c>
      <c r="F321" s="52">
        <f t="array" ref="F321">IF($B321="","",IFERROR(INDEX(PERSONAL!$C$2:$C$80,MATCH($B321,PERSONAL!$A$2:$A$80,0)),""))</f>
        <v/>
      </c>
      <c r="G321" s="52">
        <f>IF($A321="","",CHOOSE(WEEKDAY($A321,2),"LUNES","MARTES","MIÉRCOLES","JUEVES","VIERNES","SÁBADO","DOMINGO"))</f>
        <v/>
      </c>
      <c r="H321" s="34">
        <f>IF($A321="","",CHOOSE(MONTH($A321),"ENERO","FEBRERO","MARZO","ABRIL","MAYO","JUNIO","JULIO","AGOSTO","SEPTIEMBRE","OCTUBRE","NOVIEMBRE","DICIEMBRE"))</f>
        <v/>
      </c>
      <c r="I321" s="34">
        <f>IF($A321="","",IF(OR($G321="SÁBADO",$G321="DOMINGO"),"FIN","LV"))</f>
        <v/>
      </c>
      <c r="J321" s="34">
        <f>IF(OR($A321="",$B321=""),"",IF($L321&lt;&gt;"",UPPER($L321),IF($C321="","FALTA",IFERROR(IF($C321&gt;=$O321,"ROJO FUERTE",IF($C321&gt;=$N321,"ROJO",IF($C321&gt;=$M321,"AMARILLO","VERDE"))),"REVISAR"))))</f>
        <v/>
      </c>
      <c r="K321" s="36">
        <f>IF(OR($C321="",$D321=""),"",IF($D321&gt;=$C321,($D321-$C321)*24,(1-$C321+$D321)*24))</f>
        <v/>
      </c>
      <c r="L321" s="34" t="n"/>
      <c r="M321" s="53">
        <f t="array" ref="M321">IFERROR(INDEX(EXCEPCIONES_FECHA!$D$2:$D$201,MATCH(1,(EXCEPCIONES_FECHA!$A$2:$A$201=$A321)*(EXCEPCIONES_FECHA!$B$2:$B$201=$B321),0)),IFERROR(INDEX(EXCEPCIONES_FECHA!$D$2:$D$201,MATCH(1,(EXCEPCIONES_FECHA!$A$2:$A$201=$A321)*(EXCEPCIONES_FECHA!$B$2:$B$201=""),0)),IFERROR(INDEX(IF($I321="FIN",HISTORIAL_HORARIOS!$J$2:$J$201,HISTORIAL_HORARIOS!$F$2:$F$201),MATCH(1,(HISTORIAL_HORARIOS!$A$2:$A$201=$B321)*(HISTORIAL_HORARIOS!$C$2:$C$201&lt;=$A321)*(HISTORIAL_HORARIOS!$D$2:$D$201&gt;=$A321),0)),INDEX(IF($I321="FIN",PERSONAL!$J$2:$J$80,PERSONAL!$F$2:$F$80),MATCH($B321,PERSONAL!$A$2:$A$80,0)))))</f>
        <v/>
      </c>
      <c r="N321" s="53">
        <f t="array" ref="N321">IFERROR(INDEX(EXCEPCIONES_FECHA!$E$2:$E$201,MATCH(1,(EXCEPCIONES_FECHA!$A$2:$A$201=$A321)*(EXCEPCIONES_FECHA!$B$2:$B$201=$B321),0)),IFERROR(INDEX(EXCEPCIONES_FECHA!$E$2:$E$201,MATCH(1,(EXCEPCIONES_FECHA!$A$2:$A$201=$A321)*(EXCEPCIONES_FECHA!$B$2:$B$201=""),0)),IFERROR(INDEX(IF($I321="FIN",HISTORIAL_HORARIOS!$K$2:$K$201,HISTORIAL_HORARIOS!$G$2:$G$201),MATCH(1,(HISTORIAL_HORARIOS!$A$2:$A$201=$B321)*(HISTORIAL_HORARIOS!$C$2:$C$201&lt;=$A321)*(HISTORIAL_HORARIOS!$D$2:$D$201&gt;=$A321),0)),INDEX(IF($I321="FIN",PERSONAL!$K$2:$K$80,PERSONAL!$G$2:$G$80),MATCH($B321,PERSONAL!$A$2:$A$80,0)))))</f>
        <v/>
      </c>
      <c r="O321" s="53">
        <f t="array" ref="O321">IFERROR(INDEX(EXCEPCIONES_FECHA!$F$2:$F$201,MATCH(1,(EXCEPCIONES_FECHA!$A$2:$A$201=$A321)*(EXCEPCIONES_FECHA!$B$2:$B$201=$B321),0)),IFERROR(INDEX(EXCEPCIONES_FECHA!$F$2:$F$201,MATCH(1,(EXCEPCIONES_FECHA!$A$2:$A$201=$A321)*(EXCEPCIONES_FECHA!$B$2:$B$201=""),0)),IFERROR(INDEX(IF($I321="FIN",HISTORIAL_HORARIOS!$L$2:$L$201,HISTORIAL_HORARIOS!$H$2:$H$201),MATCH(1,(HISTORIAL_HORARIOS!$A$2:$A$201=$B321)*(HISTORIAL_HORARIOS!$C$2:$C$201&lt;=$A321)*(HISTORIAL_HORARIOS!$D$2:$D$201&gt;=$A321),0)),INDEX(IF($I321="FIN",PERSONAL!$L$2:$L$80,PERSONAL!$H$2:$H$80),MATCH($B321,PERSONAL!$A$2:$A$80,0)))))</f>
        <v/>
      </c>
    </row>
    <row r="322" ht="15" customHeight="1" s="58">
      <c r="A322" s="37" t="n"/>
      <c r="B322" s="38" t="n"/>
      <c r="C322" s="39" t="n"/>
      <c r="D322" s="39" t="n"/>
      <c r="E322" s="34">
        <f t="array" ref="E322">IF($B322="","",IFERROR(INDEX(PERSONAL!$B$2:$B$80,MATCH($B322,PERSONAL!$A$2:$A$80,0)),"NO EXISTE"))</f>
        <v/>
      </c>
      <c r="F322" s="52">
        <f t="array" ref="F322">IF($B322="","",IFERROR(INDEX(PERSONAL!$C$2:$C$80,MATCH($B322,PERSONAL!$A$2:$A$80,0)),""))</f>
        <v/>
      </c>
      <c r="G322" s="52">
        <f>IF($A322="","",CHOOSE(WEEKDAY($A322,2),"LUNES","MARTES","MIÉRCOLES","JUEVES","VIERNES","SÁBADO","DOMINGO"))</f>
        <v/>
      </c>
      <c r="H322" s="34">
        <f>IF($A322="","",CHOOSE(MONTH($A322),"ENERO","FEBRERO","MARZO","ABRIL","MAYO","JUNIO","JULIO","AGOSTO","SEPTIEMBRE","OCTUBRE","NOVIEMBRE","DICIEMBRE"))</f>
        <v/>
      </c>
      <c r="I322" s="34">
        <f>IF($A322="","",IF(OR($G322="SÁBADO",$G322="DOMINGO"),"FIN","LV"))</f>
        <v/>
      </c>
      <c r="J322" s="34">
        <f>IF(OR($A322="",$B322=""),"",IF($L322&lt;&gt;"",UPPER($L322),IF($C322="","FALTA",IFERROR(IF($C322&gt;=$O322,"ROJO FUERTE",IF($C322&gt;=$N322,"ROJO",IF($C322&gt;=$M322,"AMARILLO","VERDE"))),"REVISAR"))))</f>
        <v/>
      </c>
      <c r="K322" s="36">
        <f>IF(OR($C322="",$D322=""),"",IF($D322&gt;=$C322,($D322-$C322)*24,(1-$C322+$D322)*24))</f>
        <v/>
      </c>
      <c r="L322" s="34" t="n"/>
      <c r="M322" s="53">
        <f t="array" ref="M322">IFERROR(INDEX(EXCEPCIONES_FECHA!$D$2:$D$201,MATCH(1,(EXCEPCIONES_FECHA!$A$2:$A$201=$A322)*(EXCEPCIONES_FECHA!$B$2:$B$201=$B322),0)),IFERROR(INDEX(EXCEPCIONES_FECHA!$D$2:$D$201,MATCH(1,(EXCEPCIONES_FECHA!$A$2:$A$201=$A322)*(EXCEPCIONES_FECHA!$B$2:$B$201=""),0)),IFERROR(INDEX(IF($I322="FIN",HISTORIAL_HORARIOS!$J$2:$J$201,HISTORIAL_HORARIOS!$F$2:$F$201),MATCH(1,(HISTORIAL_HORARIOS!$A$2:$A$201=$B322)*(HISTORIAL_HORARIOS!$C$2:$C$201&lt;=$A322)*(HISTORIAL_HORARIOS!$D$2:$D$201&gt;=$A322),0)),INDEX(IF($I322="FIN",PERSONAL!$J$2:$J$80,PERSONAL!$F$2:$F$80),MATCH($B322,PERSONAL!$A$2:$A$80,0)))))</f>
        <v/>
      </c>
      <c r="N322" s="53">
        <f t="array" ref="N322">IFERROR(INDEX(EXCEPCIONES_FECHA!$E$2:$E$201,MATCH(1,(EXCEPCIONES_FECHA!$A$2:$A$201=$A322)*(EXCEPCIONES_FECHA!$B$2:$B$201=$B322),0)),IFERROR(INDEX(EXCEPCIONES_FECHA!$E$2:$E$201,MATCH(1,(EXCEPCIONES_FECHA!$A$2:$A$201=$A322)*(EXCEPCIONES_FECHA!$B$2:$B$201=""),0)),IFERROR(INDEX(IF($I322="FIN",HISTORIAL_HORARIOS!$K$2:$K$201,HISTORIAL_HORARIOS!$G$2:$G$201),MATCH(1,(HISTORIAL_HORARIOS!$A$2:$A$201=$B322)*(HISTORIAL_HORARIOS!$C$2:$C$201&lt;=$A322)*(HISTORIAL_HORARIOS!$D$2:$D$201&gt;=$A322),0)),INDEX(IF($I322="FIN",PERSONAL!$K$2:$K$80,PERSONAL!$G$2:$G$80),MATCH($B322,PERSONAL!$A$2:$A$80,0)))))</f>
        <v/>
      </c>
      <c r="O322" s="53">
        <f t="array" ref="O322">IFERROR(INDEX(EXCEPCIONES_FECHA!$F$2:$F$201,MATCH(1,(EXCEPCIONES_FECHA!$A$2:$A$201=$A322)*(EXCEPCIONES_FECHA!$B$2:$B$201=$B322),0)),IFERROR(INDEX(EXCEPCIONES_FECHA!$F$2:$F$201,MATCH(1,(EXCEPCIONES_FECHA!$A$2:$A$201=$A322)*(EXCEPCIONES_FECHA!$B$2:$B$201=""),0)),IFERROR(INDEX(IF($I322="FIN",HISTORIAL_HORARIOS!$L$2:$L$201,HISTORIAL_HORARIOS!$H$2:$H$201),MATCH(1,(HISTORIAL_HORARIOS!$A$2:$A$201=$B322)*(HISTORIAL_HORARIOS!$C$2:$C$201&lt;=$A322)*(HISTORIAL_HORARIOS!$D$2:$D$201&gt;=$A322),0)),INDEX(IF($I322="FIN",PERSONAL!$L$2:$L$80,PERSONAL!$H$2:$H$80),MATCH($B322,PERSONAL!$A$2:$A$80,0)))))</f>
        <v/>
      </c>
    </row>
    <row r="323" ht="15" customHeight="1" s="58">
      <c r="A323" s="37" t="n"/>
      <c r="B323" s="38" t="n"/>
      <c r="C323" s="39" t="n"/>
      <c r="D323" s="39" t="n"/>
      <c r="E323" s="34">
        <f t="array" ref="E323">IF($B323="","",IFERROR(INDEX(PERSONAL!$B$2:$B$80,MATCH($B323,PERSONAL!$A$2:$A$80,0)),"NO EXISTE"))</f>
        <v/>
      </c>
      <c r="F323" s="52">
        <f t="array" ref="F323">IF($B323="","",IFERROR(INDEX(PERSONAL!$C$2:$C$80,MATCH($B323,PERSONAL!$A$2:$A$80,0)),""))</f>
        <v/>
      </c>
      <c r="G323" s="52">
        <f>IF($A323="","",CHOOSE(WEEKDAY($A323,2),"LUNES","MARTES","MIÉRCOLES","JUEVES","VIERNES","SÁBADO","DOMINGO"))</f>
        <v/>
      </c>
      <c r="H323" s="34">
        <f>IF($A323="","",CHOOSE(MONTH($A323),"ENERO","FEBRERO","MARZO","ABRIL","MAYO","JUNIO","JULIO","AGOSTO","SEPTIEMBRE","OCTUBRE","NOVIEMBRE","DICIEMBRE"))</f>
        <v/>
      </c>
      <c r="I323" s="34">
        <f>IF($A323="","",IF(OR($G323="SÁBADO",$G323="DOMINGO"),"FIN","LV"))</f>
        <v/>
      </c>
      <c r="J323" s="34">
        <f>IF(OR($A323="",$B323=""),"",IF($L323&lt;&gt;"",UPPER($L323),IF($C323="","FALTA",IFERROR(IF($C323&gt;=$O323,"ROJO FUERTE",IF($C323&gt;=$N323,"ROJO",IF($C323&gt;=$M323,"AMARILLO","VERDE"))),"REVISAR"))))</f>
        <v/>
      </c>
      <c r="K323" s="36">
        <f>IF(OR($C323="",$D323=""),"",IF($D323&gt;=$C323,($D323-$C323)*24,(1-$C323+$D323)*24))</f>
        <v/>
      </c>
      <c r="L323" s="34" t="n"/>
      <c r="M323" s="53">
        <f t="array" ref="M323">IFERROR(INDEX(EXCEPCIONES_FECHA!$D$2:$D$201,MATCH(1,(EXCEPCIONES_FECHA!$A$2:$A$201=$A323)*(EXCEPCIONES_FECHA!$B$2:$B$201=$B323),0)),IFERROR(INDEX(EXCEPCIONES_FECHA!$D$2:$D$201,MATCH(1,(EXCEPCIONES_FECHA!$A$2:$A$201=$A323)*(EXCEPCIONES_FECHA!$B$2:$B$201=""),0)),IFERROR(INDEX(IF($I323="FIN",HISTORIAL_HORARIOS!$J$2:$J$201,HISTORIAL_HORARIOS!$F$2:$F$201),MATCH(1,(HISTORIAL_HORARIOS!$A$2:$A$201=$B323)*(HISTORIAL_HORARIOS!$C$2:$C$201&lt;=$A323)*(HISTORIAL_HORARIOS!$D$2:$D$201&gt;=$A323),0)),INDEX(IF($I323="FIN",PERSONAL!$J$2:$J$80,PERSONAL!$F$2:$F$80),MATCH($B323,PERSONAL!$A$2:$A$80,0)))))</f>
        <v/>
      </c>
      <c r="N323" s="53">
        <f t="array" ref="N323">IFERROR(INDEX(EXCEPCIONES_FECHA!$E$2:$E$201,MATCH(1,(EXCEPCIONES_FECHA!$A$2:$A$201=$A323)*(EXCEPCIONES_FECHA!$B$2:$B$201=$B323),0)),IFERROR(INDEX(EXCEPCIONES_FECHA!$E$2:$E$201,MATCH(1,(EXCEPCIONES_FECHA!$A$2:$A$201=$A323)*(EXCEPCIONES_FECHA!$B$2:$B$201=""),0)),IFERROR(INDEX(IF($I323="FIN",HISTORIAL_HORARIOS!$K$2:$K$201,HISTORIAL_HORARIOS!$G$2:$G$201),MATCH(1,(HISTORIAL_HORARIOS!$A$2:$A$201=$B323)*(HISTORIAL_HORARIOS!$C$2:$C$201&lt;=$A323)*(HISTORIAL_HORARIOS!$D$2:$D$201&gt;=$A323),0)),INDEX(IF($I323="FIN",PERSONAL!$K$2:$K$80,PERSONAL!$G$2:$G$80),MATCH($B323,PERSONAL!$A$2:$A$80,0)))))</f>
        <v/>
      </c>
      <c r="O323" s="53">
        <f t="array" ref="O323">IFERROR(INDEX(EXCEPCIONES_FECHA!$F$2:$F$201,MATCH(1,(EXCEPCIONES_FECHA!$A$2:$A$201=$A323)*(EXCEPCIONES_FECHA!$B$2:$B$201=$B323),0)),IFERROR(INDEX(EXCEPCIONES_FECHA!$F$2:$F$201,MATCH(1,(EXCEPCIONES_FECHA!$A$2:$A$201=$A323)*(EXCEPCIONES_FECHA!$B$2:$B$201=""),0)),IFERROR(INDEX(IF($I323="FIN",HISTORIAL_HORARIOS!$L$2:$L$201,HISTORIAL_HORARIOS!$H$2:$H$201),MATCH(1,(HISTORIAL_HORARIOS!$A$2:$A$201=$B323)*(HISTORIAL_HORARIOS!$C$2:$C$201&lt;=$A323)*(HISTORIAL_HORARIOS!$D$2:$D$201&gt;=$A323),0)),INDEX(IF($I323="FIN",PERSONAL!$L$2:$L$80,PERSONAL!$H$2:$H$80),MATCH($B323,PERSONAL!$A$2:$A$80,0)))))</f>
        <v/>
      </c>
    </row>
    <row r="324" ht="15" customHeight="1" s="58">
      <c r="A324" s="37" t="n"/>
      <c r="B324" s="38" t="n"/>
      <c r="C324" s="39" t="n"/>
      <c r="D324" s="39" t="n"/>
      <c r="E324" s="34">
        <f t="array" ref="E324">IF($B324="","",IFERROR(INDEX(PERSONAL!$B$2:$B$80,MATCH($B324,PERSONAL!$A$2:$A$80,0)),"NO EXISTE"))</f>
        <v/>
      </c>
      <c r="F324" s="52">
        <f t="array" ref="F324">IF($B324="","",IFERROR(INDEX(PERSONAL!$C$2:$C$80,MATCH($B324,PERSONAL!$A$2:$A$80,0)),""))</f>
        <v/>
      </c>
      <c r="G324" s="52">
        <f>IF($A324="","",CHOOSE(WEEKDAY($A324,2),"LUNES","MARTES","MIÉRCOLES","JUEVES","VIERNES","SÁBADO","DOMINGO"))</f>
        <v/>
      </c>
      <c r="H324" s="34">
        <f>IF($A324="","",CHOOSE(MONTH($A324),"ENERO","FEBRERO","MARZO","ABRIL","MAYO","JUNIO","JULIO","AGOSTO","SEPTIEMBRE","OCTUBRE","NOVIEMBRE","DICIEMBRE"))</f>
        <v/>
      </c>
      <c r="I324" s="34">
        <f>IF($A324="","",IF(OR($G324="SÁBADO",$G324="DOMINGO"),"FIN","LV"))</f>
        <v/>
      </c>
      <c r="J324" s="34">
        <f>IF(OR($A324="",$B324=""),"",IF($L324&lt;&gt;"",UPPER($L324),IF($C324="","FALTA",IFERROR(IF($C324&gt;=$O324,"ROJO FUERTE",IF($C324&gt;=$N324,"ROJO",IF($C324&gt;=$M324,"AMARILLO","VERDE"))),"REVISAR"))))</f>
        <v/>
      </c>
      <c r="K324" s="36">
        <f>IF(OR($C324="",$D324=""),"",IF($D324&gt;=$C324,($D324-$C324)*24,(1-$C324+$D324)*24))</f>
        <v/>
      </c>
      <c r="L324" s="34" t="n"/>
      <c r="M324" s="53">
        <f t="array" ref="M324">IFERROR(INDEX(EXCEPCIONES_FECHA!$D$2:$D$201,MATCH(1,(EXCEPCIONES_FECHA!$A$2:$A$201=$A324)*(EXCEPCIONES_FECHA!$B$2:$B$201=$B324),0)),IFERROR(INDEX(EXCEPCIONES_FECHA!$D$2:$D$201,MATCH(1,(EXCEPCIONES_FECHA!$A$2:$A$201=$A324)*(EXCEPCIONES_FECHA!$B$2:$B$201=""),0)),IFERROR(INDEX(IF($I324="FIN",HISTORIAL_HORARIOS!$J$2:$J$201,HISTORIAL_HORARIOS!$F$2:$F$201),MATCH(1,(HISTORIAL_HORARIOS!$A$2:$A$201=$B324)*(HISTORIAL_HORARIOS!$C$2:$C$201&lt;=$A324)*(HISTORIAL_HORARIOS!$D$2:$D$201&gt;=$A324),0)),INDEX(IF($I324="FIN",PERSONAL!$J$2:$J$80,PERSONAL!$F$2:$F$80),MATCH($B324,PERSONAL!$A$2:$A$80,0)))))</f>
        <v/>
      </c>
      <c r="N324" s="53">
        <f t="array" ref="N324">IFERROR(INDEX(EXCEPCIONES_FECHA!$E$2:$E$201,MATCH(1,(EXCEPCIONES_FECHA!$A$2:$A$201=$A324)*(EXCEPCIONES_FECHA!$B$2:$B$201=$B324),0)),IFERROR(INDEX(EXCEPCIONES_FECHA!$E$2:$E$201,MATCH(1,(EXCEPCIONES_FECHA!$A$2:$A$201=$A324)*(EXCEPCIONES_FECHA!$B$2:$B$201=""),0)),IFERROR(INDEX(IF($I324="FIN",HISTORIAL_HORARIOS!$K$2:$K$201,HISTORIAL_HORARIOS!$G$2:$G$201),MATCH(1,(HISTORIAL_HORARIOS!$A$2:$A$201=$B324)*(HISTORIAL_HORARIOS!$C$2:$C$201&lt;=$A324)*(HISTORIAL_HORARIOS!$D$2:$D$201&gt;=$A324),0)),INDEX(IF($I324="FIN",PERSONAL!$K$2:$K$80,PERSONAL!$G$2:$G$80),MATCH($B324,PERSONAL!$A$2:$A$80,0)))))</f>
        <v/>
      </c>
      <c r="O324" s="53">
        <f t="array" ref="O324">IFERROR(INDEX(EXCEPCIONES_FECHA!$F$2:$F$201,MATCH(1,(EXCEPCIONES_FECHA!$A$2:$A$201=$A324)*(EXCEPCIONES_FECHA!$B$2:$B$201=$B324),0)),IFERROR(INDEX(EXCEPCIONES_FECHA!$F$2:$F$201,MATCH(1,(EXCEPCIONES_FECHA!$A$2:$A$201=$A324)*(EXCEPCIONES_FECHA!$B$2:$B$201=""),0)),IFERROR(INDEX(IF($I324="FIN",HISTORIAL_HORARIOS!$L$2:$L$201,HISTORIAL_HORARIOS!$H$2:$H$201),MATCH(1,(HISTORIAL_HORARIOS!$A$2:$A$201=$B324)*(HISTORIAL_HORARIOS!$C$2:$C$201&lt;=$A324)*(HISTORIAL_HORARIOS!$D$2:$D$201&gt;=$A324),0)),INDEX(IF($I324="FIN",PERSONAL!$L$2:$L$80,PERSONAL!$H$2:$H$80),MATCH($B324,PERSONAL!$A$2:$A$80,0)))))</f>
        <v/>
      </c>
    </row>
    <row r="325" ht="15" customHeight="1" s="58">
      <c r="A325" s="37" t="n"/>
      <c r="B325" s="38" t="n"/>
      <c r="C325" s="39" t="n"/>
      <c r="D325" s="39" t="n"/>
      <c r="E325" s="34">
        <f t="array" ref="E325">IF($B325="","",IFERROR(INDEX(PERSONAL!$B$2:$B$80,MATCH($B325,PERSONAL!$A$2:$A$80,0)),"NO EXISTE"))</f>
        <v/>
      </c>
      <c r="F325" s="52">
        <f t="array" ref="F325">IF($B325="","",IFERROR(INDEX(PERSONAL!$C$2:$C$80,MATCH($B325,PERSONAL!$A$2:$A$80,0)),""))</f>
        <v/>
      </c>
      <c r="G325" s="52">
        <f>IF($A325="","",CHOOSE(WEEKDAY($A325,2),"LUNES","MARTES","MIÉRCOLES","JUEVES","VIERNES","SÁBADO","DOMINGO"))</f>
        <v/>
      </c>
      <c r="H325" s="34">
        <f>IF($A325="","",CHOOSE(MONTH($A325),"ENERO","FEBRERO","MARZO","ABRIL","MAYO","JUNIO","JULIO","AGOSTO","SEPTIEMBRE","OCTUBRE","NOVIEMBRE","DICIEMBRE"))</f>
        <v/>
      </c>
      <c r="I325" s="34">
        <f>IF($A325="","",IF(OR($G325="SÁBADO",$G325="DOMINGO"),"FIN","LV"))</f>
        <v/>
      </c>
      <c r="J325" s="34">
        <f>IF(OR($A325="",$B325=""),"",IF($L325&lt;&gt;"",UPPER($L325),IF($C325="","FALTA",IFERROR(IF($C325&gt;=$O325,"ROJO FUERTE",IF($C325&gt;=$N325,"ROJO",IF($C325&gt;=$M325,"AMARILLO","VERDE"))),"REVISAR"))))</f>
        <v/>
      </c>
      <c r="K325" s="36">
        <f>IF(OR($C325="",$D325=""),"",IF($D325&gt;=$C325,($D325-$C325)*24,(1-$C325+$D325)*24))</f>
        <v/>
      </c>
      <c r="L325" s="34" t="n"/>
      <c r="M325" s="53">
        <f t="array" ref="M325">IFERROR(INDEX(EXCEPCIONES_FECHA!$D$2:$D$201,MATCH(1,(EXCEPCIONES_FECHA!$A$2:$A$201=$A325)*(EXCEPCIONES_FECHA!$B$2:$B$201=$B325),0)),IFERROR(INDEX(EXCEPCIONES_FECHA!$D$2:$D$201,MATCH(1,(EXCEPCIONES_FECHA!$A$2:$A$201=$A325)*(EXCEPCIONES_FECHA!$B$2:$B$201=""),0)),IFERROR(INDEX(IF($I325="FIN",HISTORIAL_HORARIOS!$J$2:$J$201,HISTORIAL_HORARIOS!$F$2:$F$201),MATCH(1,(HISTORIAL_HORARIOS!$A$2:$A$201=$B325)*(HISTORIAL_HORARIOS!$C$2:$C$201&lt;=$A325)*(HISTORIAL_HORARIOS!$D$2:$D$201&gt;=$A325),0)),INDEX(IF($I325="FIN",PERSONAL!$J$2:$J$80,PERSONAL!$F$2:$F$80),MATCH($B325,PERSONAL!$A$2:$A$80,0)))))</f>
        <v/>
      </c>
      <c r="N325" s="53">
        <f t="array" ref="N325">IFERROR(INDEX(EXCEPCIONES_FECHA!$E$2:$E$201,MATCH(1,(EXCEPCIONES_FECHA!$A$2:$A$201=$A325)*(EXCEPCIONES_FECHA!$B$2:$B$201=$B325),0)),IFERROR(INDEX(EXCEPCIONES_FECHA!$E$2:$E$201,MATCH(1,(EXCEPCIONES_FECHA!$A$2:$A$201=$A325)*(EXCEPCIONES_FECHA!$B$2:$B$201=""),0)),IFERROR(INDEX(IF($I325="FIN",HISTORIAL_HORARIOS!$K$2:$K$201,HISTORIAL_HORARIOS!$G$2:$G$201),MATCH(1,(HISTORIAL_HORARIOS!$A$2:$A$201=$B325)*(HISTORIAL_HORARIOS!$C$2:$C$201&lt;=$A325)*(HISTORIAL_HORARIOS!$D$2:$D$201&gt;=$A325),0)),INDEX(IF($I325="FIN",PERSONAL!$K$2:$K$80,PERSONAL!$G$2:$G$80),MATCH($B325,PERSONAL!$A$2:$A$80,0)))))</f>
        <v/>
      </c>
      <c r="O325" s="53">
        <f t="array" ref="O325">IFERROR(INDEX(EXCEPCIONES_FECHA!$F$2:$F$201,MATCH(1,(EXCEPCIONES_FECHA!$A$2:$A$201=$A325)*(EXCEPCIONES_FECHA!$B$2:$B$201=$B325),0)),IFERROR(INDEX(EXCEPCIONES_FECHA!$F$2:$F$201,MATCH(1,(EXCEPCIONES_FECHA!$A$2:$A$201=$A325)*(EXCEPCIONES_FECHA!$B$2:$B$201=""),0)),IFERROR(INDEX(IF($I325="FIN",HISTORIAL_HORARIOS!$L$2:$L$201,HISTORIAL_HORARIOS!$H$2:$H$201),MATCH(1,(HISTORIAL_HORARIOS!$A$2:$A$201=$B325)*(HISTORIAL_HORARIOS!$C$2:$C$201&lt;=$A325)*(HISTORIAL_HORARIOS!$D$2:$D$201&gt;=$A325),0)),INDEX(IF($I325="FIN",PERSONAL!$L$2:$L$80,PERSONAL!$H$2:$H$80),MATCH($B325,PERSONAL!$A$2:$A$80,0)))))</f>
        <v/>
      </c>
    </row>
    <row r="326" ht="15" customHeight="1" s="58">
      <c r="A326" s="37" t="n"/>
      <c r="B326" s="38" t="n"/>
      <c r="C326" s="39" t="n"/>
      <c r="D326" s="39" t="n"/>
      <c r="E326" s="34">
        <f t="array" ref="E326">IF($B326="","",IFERROR(INDEX(PERSONAL!$B$2:$B$80,MATCH($B326,PERSONAL!$A$2:$A$80,0)),"NO EXISTE"))</f>
        <v/>
      </c>
      <c r="F326" s="52">
        <f t="array" ref="F326">IF($B326="","",IFERROR(INDEX(PERSONAL!$C$2:$C$80,MATCH($B326,PERSONAL!$A$2:$A$80,0)),""))</f>
        <v/>
      </c>
      <c r="G326" s="52">
        <f>IF($A326="","",CHOOSE(WEEKDAY($A326,2),"LUNES","MARTES","MIÉRCOLES","JUEVES","VIERNES","SÁBADO","DOMINGO"))</f>
        <v/>
      </c>
      <c r="H326" s="34">
        <f>IF($A326="","",CHOOSE(MONTH($A326),"ENERO","FEBRERO","MARZO","ABRIL","MAYO","JUNIO","JULIO","AGOSTO","SEPTIEMBRE","OCTUBRE","NOVIEMBRE","DICIEMBRE"))</f>
        <v/>
      </c>
      <c r="I326" s="34">
        <f>IF($A326="","",IF(OR($G326="SÁBADO",$G326="DOMINGO"),"FIN","LV"))</f>
        <v/>
      </c>
      <c r="J326" s="34">
        <f>IF(OR($A326="",$B326=""),"",IF($L326&lt;&gt;"",UPPER($L326),IF($C326="","FALTA",IFERROR(IF($C326&gt;=$O326,"ROJO FUERTE",IF($C326&gt;=$N326,"ROJO",IF($C326&gt;=$M326,"AMARILLO","VERDE"))),"REVISAR"))))</f>
        <v/>
      </c>
      <c r="K326" s="36">
        <f>IF(OR($C326="",$D326=""),"",IF($D326&gt;=$C326,($D326-$C326)*24,(1-$C326+$D326)*24))</f>
        <v/>
      </c>
      <c r="L326" s="34" t="n"/>
      <c r="M326" s="53">
        <f t="array" ref="M326">IFERROR(INDEX(EXCEPCIONES_FECHA!$D$2:$D$201,MATCH(1,(EXCEPCIONES_FECHA!$A$2:$A$201=$A326)*(EXCEPCIONES_FECHA!$B$2:$B$201=$B326),0)),IFERROR(INDEX(EXCEPCIONES_FECHA!$D$2:$D$201,MATCH(1,(EXCEPCIONES_FECHA!$A$2:$A$201=$A326)*(EXCEPCIONES_FECHA!$B$2:$B$201=""),0)),IFERROR(INDEX(IF($I326="FIN",HISTORIAL_HORARIOS!$J$2:$J$201,HISTORIAL_HORARIOS!$F$2:$F$201),MATCH(1,(HISTORIAL_HORARIOS!$A$2:$A$201=$B326)*(HISTORIAL_HORARIOS!$C$2:$C$201&lt;=$A326)*(HISTORIAL_HORARIOS!$D$2:$D$201&gt;=$A326),0)),INDEX(IF($I326="FIN",PERSONAL!$J$2:$J$80,PERSONAL!$F$2:$F$80),MATCH($B326,PERSONAL!$A$2:$A$80,0)))))</f>
        <v/>
      </c>
      <c r="N326" s="53">
        <f t="array" ref="N326">IFERROR(INDEX(EXCEPCIONES_FECHA!$E$2:$E$201,MATCH(1,(EXCEPCIONES_FECHA!$A$2:$A$201=$A326)*(EXCEPCIONES_FECHA!$B$2:$B$201=$B326),0)),IFERROR(INDEX(EXCEPCIONES_FECHA!$E$2:$E$201,MATCH(1,(EXCEPCIONES_FECHA!$A$2:$A$201=$A326)*(EXCEPCIONES_FECHA!$B$2:$B$201=""),0)),IFERROR(INDEX(IF($I326="FIN",HISTORIAL_HORARIOS!$K$2:$K$201,HISTORIAL_HORARIOS!$G$2:$G$201),MATCH(1,(HISTORIAL_HORARIOS!$A$2:$A$201=$B326)*(HISTORIAL_HORARIOS!$C$2:$C$201&lt;=$A326)*(HISTORIAL_HORARIOS!$D$2:$D$201&gt;=$A326),0)),INDEX(IF($I326="FIN",PERSONAL!$K$2:$K$80,PERSONAL!$G$2:$G$80),MATCH($B326,PERSONAL!$A$2:$A$80,0)))))</f>
        <v/>
      </c>
      <c r="O326" s="53">
        <f t="array" ref="O326">IFERROR(INDEX(EXCEPCIONES_FECHA!$F$2:$F$201,MATCH(1,(EXCEPCIONES_FECHA!$A$2:$A$201=$A326)*(EXCEPCIONES_FECHA!$B$2:$B$201=$B326),0)),IFERROR(INDEX(EXCEPCIONES_FECHA!$F$2:$F$201,MATCH(1,(EXCEPCIONES_FECHA!$A$2:$A$201=$A326)*(EXCEPCIONES_FECHA!$B$2:$B$201=""),0)),IFERROR(INDEX(IF($I326="FIN",HISTORIAL_HORARIOS!$L$2:$L$201,HISTORIAL_HORARIOS!$H$2:$H$201),MATCH(1,(HISTORIAL_HORARIOS!$A$2:$A$201=$B326)*(HISTORIAL_HORARIOS!$C$2:$C$201&lt;=$A326)*(HISTORIAL_HORARIOS!$D$2:$D$201&gt;=$A326),0)),INDEX(IF($I326="FIN",PERSONAL!$L$2:$L$80,PERSONAL!$H$2:$H$80),MATCH($B326,PERSONAL!$A$2:$A$80,0)))))</f>
        <v/>
      </c>
    </row>
    <row r="327" ht="15" customHeight="1" s="58">
      <c r="A327" s="37" t="n"/>
      <c r="B327" s="38" t="n"/>
      <c r="C327" s="39" t="n"/>
      <c r="D327" s="39" t="n"/>
      <c r="E327" s="34">
        <f t="array" ref="E327">IF($B327="","",IFERROR(INDEX(PERSONAL!$B$2:$B$80,MATCH($B327,PERSONAL!$A$2:$A$80,0)),"NO EXISTE"))</f>
        <v/>
      </c>
      <c r="F327" s="52">
        <f t="array" ref="F327">IF($B327="","",IFERROR(INDEX(PERSONAL!$C$2:$C$80,MATCH($B327,PERSONAL!$A$2:$A$80,0)),""))</f>
        <v/>
      </c>
      <c r="G327" s="52">
        <f>IF($A327="","",CHOOSE(WEEKDAY($A327,2),"LUNES","MARTES","MIÉRCOLES","JUEVES","VIERNES","SÁBADO","DOMINGO"))</f>
        <v/>
      </c>
      <c r="H327" s="34">
        <f>IF($A327="","",CHOOSE(MONTH($A327),"ENERO","FEBRERO","MARZO","ABRIL","MAYO","JUNIO","JULIO","AGOSTO","SEPTIEMBRE","OCTUBRE","NOVIEMBRE","DICIEMBRE"))</f>
        <v/>
      </c>
      <c r="I327" s="34">
        <f>IF($A327="","",IF(OR($G327="SÁBADO",$G327="DOMINGO"),"FIN","LV"))</f>
        <v/>
      </c>
      <c r="J327" s="34">
        <f>IF(OR($A327="",$B327=""),"",IF($L327&lt;&gt;"",UPPER($L327),IF($C327="","FALTA",IFERROR(IF($C327&gt;=$O327,"ROJO FUERTE",IF($C327&gt;=$N327,"ROJO",IF($C327&gt;=$M327,"AMARILLO","VERDE"))),"REVISAR"))))</f>
        <v/>
      </c>
      <c r="K327" s="36">
        <f>IF(OR($C327="",$D327=""),"",IF($D327&gt;=$C327,($D327-$C327)*24,(1-$C327+$D327)*24))</f>
        <v/>
      </c>
      <c r="L327" s="34" t="n"/>
      <c r="M327" s="53">
        <f t="array" ref="M327">IFERROR(INDEX(EXCEPCIONES_FECHA!$D$2:$D$201,MATCH(1,(EXCEPCIONES_FECHA!$A$2:$A$201=$A327)*(EXCEPCIONES_FECHA!$B$2:$B$201=$B327),0)),IFERROR(INDEX(EXCEPCIONES_FECHA!$D$2:$D$201,MATCH(1,(EXCEPCIONES_FECHA!$A$2:$A$201=$A327)*(EXCEPCIONES_FECHA!$B$2:$B$201=""),0)),IFERROR(INDEX(IF($I327="FIN",HISTORIAL_HORARIOS!$J$2:$J$201,HISTORIAL_HORARIOS!$F$2:$F$201),MATCH(1,(HISTORIAL_HORARIOS!$A$2:$A$201=$B327)*(HISTORIAL_HORARIOS!$C$2:$C$201&lt;=$A327)*(HISTORIAL_HORARIOS!$D$2:$D$201&gt;=$A327),0)),INDEX(IF($I327="FIN",PERSONAL!$J$2:$J$80,PERSONAL!$F$2:$F$80),MATCH($B327,PERSONAL!$A$2:$A$80,0)))))</f>
        <v/>
      </c>
      <c r="N327" s="53">
        <f t="array" ref="N327">IFERROR(INDEX(EXCEPCIONES_FECHA!$E$2:$E$201,MATCH(1,(EXCEPCIONES_FECHA!$A$2:$A$201=$A327)*(EXCEPCIONES_FECHA!$B$2:$B$201=$B327),0)),IFERROR(INDEX(EXCEPCIONES_FECHA!$E$2:$E$201,MATCH(1,(EXCEPCIONES_FECHA!$A$2:$A$201=$A327)*(EXCEPCIONES_FECHA!$B$2:$B$201=""),0)),IFERROR(INDEX(IF($I327="FIN",HISTORIAL_HORARIOS!$K$2:$K$201,HISTORIAL_HORARIOS!$G$2:$G$201),MATCH(1,(HISTORIAL_HORARIOS!$A$2:$A$201=$B327)*(HISTORIAL_HORARIOS!$C$2:$C$201&lt;=$A327)*(HISTORIAL_HORARIOS!$D$2:$D$201&gt;=$A327),0)),INDEX(IF($I327="FIN",PERSONAL!$K$2:$K$80,PERSONAL!$G$2:$G$80),MATCH($B327,PERSONAL!$A$2:$A$80,0)))))</f>
        <v/>
      </c>
      <c r="O327" s="53">
        <f t="array" ref="O327">IFERROR(INDEX(EXCEPCIONES_FECHA!$F$2:$F$201,MATCH(1,(EXCEPCIONES_FECHA!$A$2:$A$201=$A327)*(EXCEPCIONES_FECHA!$B$2:$B$201=$B327),0)),IFERROR(INDEX(EXCEPCIONES_FECHA!$F$2:$F$201,MATCH(1,(EXCEPCIONES_FECHA!$A$2:$A$201=$A327)*(EXCEPCIONES_FECHA!$B$2:$B$201=""),0)),IFERROR(INDEX(IF($I327="FIN",HISTORIAL_HORARIOS!$L$2:$L$201,HISTORIAL_HORARIOS!$H$2:$H$201),MATCH(1,(HISTORIAL_HORARIOS!$A$2:$A$201=$B327)*(HISTORIAL_HORARIOS!$C$2:$C$201&lt;=$A327)*(HISTORIAL_HORARIOS!$D$2:$D$201&gt;=$A327),0)),INDEX(IF($I327="FIN",PERSONAL!$L$2:$L$80,PERSONAL!$H$2:$H$80),MATCH($B327,PERSONAL!$A$2:$A$80,0)))))</f>
        <v/>
      </c>
    </row>
    <row r="328" ht="15" customHeight="1" s="58">
      <c r="A328" s="37" t="n"/>
      <c r="B328" s="38" t="n"/>
      <c r="C328" s="39" t="n"/>
      <c r="D328" s="39" t="n"/>
      <c r="E328" s="34">
        <f t="array" ref="E328">IF($B328="","",IFERROR(INDEX(PERSONAL!$B$2:$B$80,MATCH($B328,PERSONAL!$A$2:$A$80,0)),"NO EXISTE"))</f>
        <v/>
      </c>
      <c r="F328" s="52">
        <f t="array" ref="F328">IF($B328="","",IFERROR(INDEX(PERSONAL!$C$2:$C$80,MATCH($B328,PERSONAL!$A$2:$A$80,0)),""))</f>
        <v/>
      </c>
      <c r="G328" s="52">
        <f>IF($A328="","",CHOOSE(WEEKDAY($A328,2),"LUNES","MARTES","MIÉRCOLES","JUEVES","VIERNES","SÁBADO","DOMINGO"))</f>
        <v/>
      </c>
      <c r="H328" s="34">
        <f>IF($A328="","",CHOOSE(MONTH($A328),"ENERO","FEBRERO","MARZO","ABRIL","MAYO","JUNIO","JULIO","AGOSTO","SEPTIEMBRE","OCTUBRE","NOVIEMBRE","DICIEMBRE"))</f>
        <v/>
      </c>
      <c r="I328" s="34">
        <f>IF($A328="","",IF(OR($G328="SÁBADO",$G328="DOMINGO"),"FIN","LV"))</f>
        <v/>
      </c>
      <c r="J328" s="34">
        <f>IF(OR($A328="",$B328=""),"",IF($L328&lt;&gt;"",UPPER($L328),IF($C328="","FALTA",IFERROR(IF($C328&gt;=$O328,"ROJO FUERTE",IF($C328&gt;=$N328,"ROJO",IF($C328&gt;=$M328,"AMARILLO","VERDE"))),"REVISAR"))))</f>
        <v/>
      </c>
      <c r="K328" s="36">
        <f>IF(OR($C328="",$D328=""),"",IF($D328&gt;=$C328,($D328-$C328)*24,(1-$C328+$D328)*24))</f>
        <v/>
      </c>
      <c r="L328" s="34" t="n"/>
      <c r="M328" s="53">
        <f t="array" ref="M328">IFERROR(INDEX(EXCEPCIONES_FECHA!$D$2:$D$201,MATCH(1,(EXCEPCIONES_FECHA!$A$2:$A$201=$A328)*(EXCEPCIONES_FECHA!$B$2:$B$201=$B328),0)),IFERROR(INDEX(EXCEPCIONES_FECHA!$D$2:$D$201,MATCH(1,(EXCEPCIONES_FECHA!$A$2:$A$201=$A328)*(EXCEPCIONES_FECHA!$B$2:$B$201=""),0)),IFERROR(INDEX(IF($I328="FIN",HISTORIAL_HORARIOS!$J$2:$J$201,HISTORIAL_HORARIOS!$F$2:$F$201),MATCH(1,(HISTORIAL_HORARIOS!$A$2:$A$201=$B328)*(HISTORIAL_HORARIOS!$C$2:$C$201&lt;=$A328)*(HISTORIAL_HORARIOS!$D$2:$D$201&gt;=$A328),0)),INDEX(IF($I328="FIN",PERSONAL!$J$2:$J$80,PERSONAL!$F$2:$F$80),MATCH($B328,PERSONAL!$A$2:$A$80,0)))))</f>
        <v/>
      </c>
      <c r="N328" s="53">
        <f t="array" ref="N328">IFERROR(INDEX(EXCEPCIONES_FECHA!$E$2:$E$201,MATCH(1,(EXCEPCIONES_FECHA!$A$2:$A$201=$A328)*(EXCEPCIONES_FECHA!$B$2:$B$201=$B328),0)),IFERROR(INDEX(EXCEPCIONES_FECHA!$E$2:$E$201,MATCH(1,(EXCEPCIONES_FECHA!$A$2:$A$201=$A328)*(EXCEPCIONES_FECHA!$B$2:$B$201=""),0)),IFERROR(INDEX(IF($I328="FIN",HISTORIAL_HORARIOS!$K$2:$K$201,HISTORIAL_HORARIOS!$G$2:$G$201),MATCH(1,(HISTORIAL_HORARIOS!$A$2:$A$201=$B328)*(HISTORIAL_HORARIOS!$C$2:$C$201&lt;=$A328)*(HISTORIAL_HORARIOS!$D$2:$D$201&gt;=$A328),0)),INDEX(IF($I328="FIN",PERSONAL!$K$2:$K$80,PERSONAL!$G$2:$G$80),MATCH($B328,PERSONAL!$A$2:$A$80,0)))))</f>
        <v/>
      </c>
      <c r="O328" s="53">
        <f t="array" ref="O328">IFERROR(INDEX(EXCEPCIONES_FECHA!$F$2:$F$201,MATCH(1,(EXCEPCIONES_FECHA!$A$2:$A$201=$A328)*(EXCEPCIONES_FECHA!$B$2:$B$201=$B328),0)),IFERROR(INDEX(EXCEPCIONES_FECHA!$F$2:$F$201,MATCH(1,(EXCEPCIONES_FECHA!$A$2:$A$201=$A328)*(EXCEPCIONES_FECHA!$B$2:$B$201=""),0)),IFERROR(INDEX(IF($I328="FIN",HISTORIAL_HORARIOS!$L$2:$L$201,HISTORIAL_HORARIOS!$H$2:$H$201),MATCH(1,(HISTORIAL_HORARIOS!$A$2:$A$201=$B328)*(HISTORIAL_HORARIOS!$C$2:$C$201&lt;=$A328)*(HISTORIAL_HORARIOS!$D$2:$D$201&gt;=$A328),0)),INDEX(IF($I328="FIN",PERSONAL!$L$2:$L$80,PERSONAL!$H$2:$H$80),MATCH($B328,PERSONAL!$A$2:$A$80,0)))))</f>
        <v/>
      </c>
    </row>
    <row r="329" ht="15" customHeight="1" s="58">
      <c r="A329" s="37" t="n"/>
      <c r="B329" s="38" t="n"/>
      <c r="C329" s="39" t="n"/>
      <c r="D329" s="39" t="n"/>
      <c r="E329" s="34">
        <f t="array" ref="E329">IF($B329="","",IFERROR(INDEX(PERSONAL!$B$2:$B$80,MATCH($B329,PERSONAL!$A$2:$A$80,0)),"NO EXISTE"))</f>
        <v/>
      </c>
      <c r="F329" s="52">
        <f t="array" ref="F329">IF($B329="","",IFERROR(INDEX(PERSONAL!$C$2:$C$80,MATCH($B329,PERSONAL!$A$2:$A$80,0)),""))</f>
        <v/>
      </c>
      <c r="G329" s="52">
        <f>IF($A329="","",CHOOSE(WEEKDAY($A329,2),"LUNES","MARTES","MIÉRCOLES","JUEVES","VIERNES","SÁBADO","DOMINGO"))</f>
        <v/>
      </c>
      <c r="H329" s="34">
        <f>IF($A329="","",CHOOSE(MONTH($A329),"ENERO","FEBRERO","MARZO","ABRIL","MAYO","JUNIO","JULIO","AGOSTO","SEPTIEMBRE","OCTUBRE","NOVIEMBRE","DICIEMBRE"))</f>
        <v/>
      </c>
      <c r="I329" s="34">
        <f>IF($A329="","",IF(OR($G329="SÁBADO",$G329="DOMINGO"),"FIN","LV"))</f>
        <v/>
      </c>
      <c r="J329" s="34">
        <f>IF(OR($A329="",$B329=""),"",IF($L329&lt;&gt;"",UPPER($L329),IF($C329="","FALTA",IFERROR(IF($C329&gt;=$O329,"ROJO FUERTE",IF($C329&gt;=$N329,"ROJO",IF($C329&gt;=$M329,"AMARILLO","VERDE"))),"REVISAR"))))</f>
        <v/>
      </c>
      <c r="K329" s="36">
        <f>IF(OR($C329="",$D329=""),"",IF($D329&gt;=$C329,($D329-$C329)*24,(1-$C329+$D329)*24))</f>
        <v/>
      </c>
      <c r="L329" s="34" t="n"/>
      <c r="M329" s="53">
        <f t="array" ref="M329">IFERROR(INDEX(EXCEPCIONES_FECHA!$D$2:$D$201,MATCH(1,(EXCEPCIONES_FECHA!$A$2:$A$201=$A329)*(EXCEPCIONES_FECHA!$B$2:$B$201=$B329),0)),IFERROR(INDEX(EXCEPCIONES_FECHA!$D$2:$D$201,MATCH(1,(EXCEPCIONES_FECHA!$A$2:$A$201=$A329)*(EXCEPCIONES_FECHA!$B$2:$B$201=""),0)),IFERROR(INDEX(IF($I329="FIN",HISTORIAL_HORARIOS!$J$2:$J$201,HISTORIAL_HORARIOS!$F$2:$F$201),MATCH(1,(HISTORIAL_HORARIOS!$A$2:$A$201=$B329)*(HISTORIAL_HORARIOS!$C$2:$C$201&lt;=$A329)*(HISTORIAL_HORARIOS!$D$2:$D$201&gt;=$A329),0)),INDEX(IF($I329="FIN",PERSONAL!$J$2:$J$80,PERSONAL!$F$2:$F$80),MATCH($B329,PERSONAL!$A$2:$A$80,0)))))</f>
        <v/>
      </c>
      <c r="N329" s="53">
        <f t="array" ref="N329">IFERROR(INDEX(EXCEPCIONES_FECHA!$E$2:$E$201,MATCH(1,(EXCEPCIONES_FECHA!$A$2:$A$201=$A329)*(EXCEPCIONES_FECHA!$B$2:$B$201=$B329),0)),IFERROR(INDEX(EXCEPCIONES_FECHA!$E$2:$E$201,MATCH(1,(EXCEPCIONES_FECHA!$A$2:$A$201=$A329)*(EXCEPCIONES_FECHA!$B$2:$B$201=""),0)),IFERROR(INDEX(IF($I329="FIN",HISTORIAL_HORARIOS!$K$2:$K$201,HISTORIAL_HORARIOS!$G$2:$G$201),MATCH(1,(HISTORIAL_HORARIOS!$A$2:$A$201=$B329)*(HISTORIAL_HORARIOS!$C$2:$C$201&lt;=$A329)*(HISTORIAL_HORARIOS!$D$2:$D$201&gt;=$A329),0)),INDEX(IF($I329="FIN",PERSONAL!$K$2:$K$80,PERSONAL!$G$2:$G$80),MATCH($B329,PERSONAL!$A$2:$A$80,0)))))</f>
        <v/>
      </c>
      <c r="O329" s="53">
        <f t="array" ref="O329">IFERROR(INDEX(EXCEPCIONES_FECHA!$F$2:$F$201,MATCH(1,(EXCEPCIONES_FECHA!$A$2:$A$201=$A329)*(EXCEPCIONES_FECHA!$B$2:$B$201=$B329),0)),IFERROR(INDEX(EXCEPCIONES_FECHA!$F$2:$F$201,MATCH(1,(EXCEPCIONES_FECHA!$A$2:$A$201=$A329)*(EXCEPCIONES_FECHA!$B$2:$B$201=""),0)),IFERROR(INDEX(IF($I329="FIN",HISTORIAL_HORARIOS!$L$2:$L$201,HISTORIAL_HORARIOS!$H$2:$H$201),MATCH(1,(HISTORIAL_HORARIOS!$A$2:$A$201=$B329)*(HISTORIAL_HORARIOS!$C$2:$C$201&lt;=$A329)*(HISTORIAL_HORARIOS!$D$2:$D$201&gt;=$A329),0)),INDEX(IF($I329="FIN",PERSONAL!$L$2:$L$80,PERSONAL!$H$2:$H$80),MATCH($B329,PERSONAL!$A$2:$A$80,0)))))</f>
        <v/>
      </c>
    </row>
    <row r="330" ht="15" customHeight="1" s="58">
      <c r="A330" s="37" t="n"/>
      <c r="B330" s="38" t="n"/>
      <c r="C330" s="39" t="n"/>
      <c r="D330" s="39" t="n"/>
      <c r="E330" s="34">
        <f t="array" ref="E330">IF($B330="","",IFERROR(INDEX(PERSONAL!$B$2:$B$80,MATCH($B330,PERSONAL!$A$2:$A$80,0)),"NO EXISTE"))</f>
        <v/>
      </c>
      <c r="F330" s="52">
        <f t="array" ref="F330">IF($B330="","",IFERROR(INDEX(PERSONAL!$C$2:$C$80,MATCH($B330,PERSONAL!$A$2:$A$80,0)),""))</f>
        <v/>
      </c>
      <c r="G330" s="52">
        <f>IF($A330="","",CHOOSE(WEEKDAY($A330,2),"LUNES","MARTES","MIÉRCOLES","JUEVES","VIERNES","SÁBADO","DOMINGO"))</f>
        <v/>
      </c>
      <c r="H330" s="34">
        <f>IF($A330="","",CHOOSE(MONTH($A330),"ENERO","FEBRERO","MARZO","ABRIL","MAYO","JUNIO","JULIO","AGOSTO","SEPTIEMBRE","OCTUBRE","NOVIEMBRE","DICIEMBRE"))</f>
        <v/>
      </c>
      <c r="I330" s="34">
        <f>IF($A330="","",IF(OR($G330="SÁBADO",$G330="DOMINGO"),"FIN","LV"))</f>
        <v/>
      </c>
      <c r="J330" s="34">
        <f>IF(OR($A330="",$B330=""),"",IF($L330&lt;&gt;"",UPPER($L330),IF($C330="","FALTA",IFERROR(IF($C330&gt;=$O330,"ROJO FUERTE",IF($C330&gt;=$N330,"ROJO",IF($C330&gt;=$M330,"AMARILLO","VERDE"))),"REVISAR"))))</f>
        <v/>
      </c>
      <c r="K330" s="36">
        <f>IF(OR($C330="",$D330=""),"",IF($D330&gt;=$C330,($D330-$C330)*24,(1-$C330+$D330)*24))</f>
        <v/>
      </c>
      <c r="L330" s="34" t="n"/>
      <c r="M330" s="53">
        <f t="array" ref="M330">IFERROR(INDEX(EXCEPCIONES_FECHA!$D$2:$D$201,MATCH(1,(EXCEPCIONES_FECHA!$A$2:$A$201=$A330)*(EXCEPCIONES_FECHA!$B$2:$B$201=$B330),0)),IFERROR(INDEX(EXCEPCIONES_FECHA!$D$2:$D$201,MATCH(1,(EXCEPCIONES_FECHA!$A$2:$A$201=$A330)*(EXCEPCIONES_FECHA!$B$2:$B$201=""),0)),IFERROR(INDEX(IF($I330="FIN",HISTORIAL_HORARIOS!$J$2:$J$201,HISTORIAL_HORARIOS!$F$2:$F$201),MATCH(1,(HISTORIAL_HORARIOS!$A$2:$A$201=$B330)*(HISTORIAL_HORARIOS!$C$2:$C$201&lt;=$A330)*(HISTORIAL_HORARIOS!$D$2:$D$201&gt;=$A330),0)),INDEX(IF($I330="FIN",PERSONAL!$J$2:$J$80,PERSONAL!$F$2:$F$80),MATCH($B330,PERSONAL!$A$2:$A$80,0)))))</f>
        <v/>
      </c>
      <c r="N330" s="53">
        <f t="array" ref="N330">IFERROR(INDEX(EXCEPCIONES_FECHA!$E$2:$E$201,MATCH(1,(EXCEPCIONES_FECHA!$A$2:$A$201=$A330)*(EXCEPCIONES_FECHA!$B$2:$B$201=$B330),0)),IFERROR(INDEX(EXCEPCIONES_FECHA!$E$2:$E$201,MATCH(1,(EXCEPCIONES_FECHA!$A$2:$A$201=$A330)*(EXCEPCIONES_FECHA!$B$2:$B$201=""),0)),IFERROR(INDEX(IF($I330="FIN",HISTORIAL_HORARIOS!$K$2:$K$201,HISTORIAL_HORARIOS!$G$2:$G$201),MATCH(1,(HISTORIAL_HORARIOS!$A$2:$A$201=$B330)*(HISTORIAL_HORARIOS!$C$2:$C$201&lt;=$A330)*(HISTORIAL_HORARIOS!$D$2:$D$201&gt;=$A330),0)),INDEX(IF($I330="FIN",PERSONAL!$K$2:$K$80,PERSONAL!$G$2:$G$80),MATCH($B330,PERSONAL!$A$2:$A$80,0)))))</f>
        <v/>
      </c>
      <c r="O330" s="53">
        <f t="array" ref="O330">IFERROR(INDEX(EXCEPCIONES_FECHA!$F$2:$F$201,MATCH(1,(EXCEPCIONES_FECHA!$A$2:$A$201=$A330)*(EXCEPCIONES_FECHA!$B$2:$B$201=$B330),0)),IFERROR(INDEX(EXCEPCIONES_FECHA!$F$2:$F$201,MATCH(1,(EXCEPCIONES_FECHA!$A$2:$A$201=$A330)*(EXCEPCIONES_FECHA!$B$2:$B$201=""),0)),IFERROR(INDEX(IF($I330="FIN",HISTORIAL_HORARIOS!$L$2:$L$201,HISTORIAL_HORARIOS!$H$2:$H$201),MATCH(1,(HISTORIAL_HORARIOS!$A$2:$A$201=$B330)*(HISTORIAL_HORARIOS!$C$2:$C$201&lt;=$A330)*(HISTORIAL_HORARIOS!$D$2:$D$201&gt;=$A330),0)),INDEX(IF($I330="FIN",PERSONAL!$L$2:$L$80,PERSONAL!$H$2:$H$80),MATCH($B330,PERSONAL!$A$2:$A$80,0)))))</f>
        <v/>
      </c>
    </row>
    <row r="331" ht="15" customHeight="1" s="58">
      <c r="A331" s="37" t="n"/>
      <c r="B331" s="38" t="n"/>
      <c r="C331" s="39" t="n"/>
      <c r="D331" s="39" t="n"/>
      <c r="E331" s="34">
        <f t="array" ref="E331">IF($B331="","",IFERROR(INDEX(PERSONAL!$B$2:$B$80,MATCH($B331,PERSONAL!$A$2:$A$80,0)),"NO EXISTE"))</f>
        <v/>
      </c>
      <c r="F331" s="52">
        <f t="array" ref="F331">IF($B331="","",IFERROR(INDEX(PERSONAL!$C$2:$C$80,MATCH($B331,PERSONAL!$A$2:$A$80,0)),""))</f>
        <v/>
      </c>
      <c r="G331" s="52">
        <f>IF($A331="","",CHOOSE(WEEKDAY($A331,2),"LUNES","MARTES","MIÉRCOLES","JUEVES","VIERNES","SÁBADO","DOMINGO"))</f>
        <v/>
      </c>
      <c r="H331" s="34">
        <f>IF($A331="","",CHOOSE(MONTH($A331),"ENERO","FEBRERO","MARZO","ABRIL","MAYO","JUNIO","JULIO","AGOSTO","SEPTIEMBRE","OCTUBRE","NOVIEMBRE","DICIEMBRE"))</f>
        <v/>
      </c>
      <c r="I331" s="34">
        <f>IF($A331="","",IF(OR($G331="SÁBADO",$G331="DOMINGO"),"FIN","LV"))</f>
        <v/>
      </c>
      <c r="J331" s="34">
        <f>IF(OR($A331="",$B331=""),"",IF($L331&lt;&gt;"",UPPER($L331),IF($C331="","FALTA",IFERROR(IF($C331&gt;=$O331,"ROJO FUERTE",IF($C331&gt;=$N331,"ROJO",IF($C331&gt;=$M331,"AMARILLO","VERDE"))),"REVISAR"))))</f>
        <v/>
      </c>
      <c r="K331" s="36">
        <f>IF(OR($C331="",$D331=""),"",IF($D331&gt;=$C331,($D331-$C331)*24,(1-$C331+$D331)*24))</f>
        <v/>
      </c>
      <c r="L331" s="34" t="n"/>
      <c r="M331" s="53">
        <f t="array" ref="M331">IFERROR(INDEX(EXCEPCIONES_FECHA!$D$2:$D$201,MATCH(1,(EXCEPCIONES_FECHA!$A$2:$A$201=$A331)*(EXCEPCIONES_FECHA!$B$2:$B$201=$B331),0)),IFERROR(INDEX(EXCEPCIONES_FECHA!$D$2:$D$201,MATCH(1,(EXCEPCIONES_FECHA!$A$2:$A$201=$A331)*(EXCEPCIONES_FECHA!$B$2:$B$201=""),0)),IFERROR(INDEX(IF($I331="FIN",HISTORIAL_HORARIOS!$J$2:$J$201,HISTORIAL_HORARIOS!$F$2:$F$201),MATCH(1,(HISTORIAL_HORARIOS!$A$2:$A$201=$B331)*(HISTORIAL_HORARIOS!$C$2:$C$201&lt;=$A331)*(HISTORIAL_HORARIOS!$D$2:$D$201&gt;=$A331),0)),INDEX(IF($I331="FIN",PERSONAL!$J$2:$J$80,PERSONAL!$F$2:$F$80),MATCH($B331,PERSONAL!$A$2:$A$80,0)))))</f>
        <v/>
      </c>
      <c r="N331" s="53">
        <f t="array" ref="N331">IFERROR(INDEX(EXCEPCIONES_FECHA!$E$2:$E$201,MATCH(1,(EXCEPCIONES_FECHA!$A$2:$A$201=$A331)*(EXCEPCIONES_FECHA!$B$2:$B$201=$B331),0)),IFERROR(INDEX(EXCEPCIONES_FECHA!$E$2:$E$201,MATCH(1,(EXCEPCIONES_FECHA!$A$2:$A$201=$A331)*(EXCEPCIONES_FECHA!$B$2:$B$201=""),0)),IFERROR(INDEX(IF($I331="FIN",HISTORIAL_HORARIOS!$K$2:$K$201,HISTORIAL_HORARIOS!$G$2:$G$201),MATCH(1,(HISTORIAL_HORARIOS!$A$2:$A$201=$B331)*(HISTORIAL_HORARIOS!$C$2:$C$201&lt;=$A331)*(HISTORIAL_HORARIOS!$D$2:$D$201&gt;=$A331),0)),INDEX(IF($I331="FIN",PERSONAL!$K$2:$K$80,PERSONAL!$G$2:$G$80),MATCH($B331,PERSONAL!$A$2:$A$80,0)))))</f>
        <v/>
      </c>
      <c r="O331" s="53">
        <f t="array" ref="O331">IFERROR(INDEX(EXCEPCIONES_FECHA!$F$2:$F$201,MATCH(1,(EXCEPCIONES_FECHA!$A$2:$A$201=$A331)*(EXCEPCIONES_FECHA!$B$2:$B$201=$B331),0)),IFERROR(INDEX(EXCEPCIONES_FECHA!$F$2:$F$201,MATCH(1,(EXCEPCIONES_FECHA!$A$2:$A$201=$A331)*(EXCEPCIONES_FECHA!$B$2:$B$201=""),0)),IFERROR(INDEX(IF($I331="FIN",HISTORIAL_HORARIOS!$L$2:$L$201,HISTORIAL_HORARIOS!$H$2:$H$201),MATCH(1,(HISTORIAL_HORARIOS!$A$2:$A$201=$B331)*(HISTORIAL_HORARIOS!$C$2:$C$201&lt;=$A331)*(HISTORIAL_HORARIOS!$D$2:$D$201&gt;=$A331),0)),INDEX(IF($I331="FIN",PERSONAL!$L$2:$L$80,PERSONAL!$H$2:$H$80),MATCH($B331,PERSONAL!$A$2:$A$80,0)))))</f>
        <v/>
      </c>
    </row>
    <row r="332" ht="15" customHeight="1" s="58">
      <c r="A332" s="37" t="n"/>
      <c r="B332" s="38" t="n"/>
      <c r="C332" s="39" t="n"/>
      <c r="D332" s="39" t="n"/>
      <c r="E332" s="34">
        <f t="array" ref="E332">IF($B332="","",IFERROR(INDEX(PERSONAL!$B$2:$B$80,MATCH($B332,PERSONAL!$A$2:$A$80,0)),"NO EXISTE"))</f>
        <v/>
      </c>
      <c r="F332" s="52">
        <f t="array" ref="F332">IF($B332="","",IFERROR(INDEX(PERSONAL!$C$2:$C$80,MATCH($B332,PERSONAL!$A$2:$A$80,0)),""))</f>
        <v/>
      </c>
      <c r="G332" s="52">
        <f>IF($A332="","",CHOOSE(WEEKDAY($A332,2),"LUNES","MARTES","MIÉRCOLES","JUEVES","VIERNES","SÁBADO","DOMINGO"))</f>
        <v/>
      </c>
      <c r="H332" s="34">
        <f>IF($A332="","",CHOOSE(MONTH($A332),"ENERO","FEBRERO","MARZO","ABRIL","MAYO","JUNIO","JULIO","AGOSTO","SEPTIEMBRE","OCTUBRE","NOVIEMBRE","DICIEMBRE"))</f>
        <v/>
      </c>
      <c r="I332" s="34">
        <f>IF($A332="","",IF(OR($G332="SÁBADO",$G332="DOMINGO"),"FIN","LV"))</f>
        <v/>
      </c>
      <c r="J332" s="34">
        <f>IF(OR($A332="",$B332=""),"",IF($L332&lt;&gt;"",UPPER($L332),IF($C332="","FALTA",IFERROR(IF($C332&gt;=$O332,"ROJO FUERTE",IF($C332&gt;=$N332,"ROJO",IF($C332&gt;=$M332,"AMARILLO","VERDE"))),"REVISAR"))))</f>
        <v/>
      </c>
      <c r="K332" s="36">
        <f>IF(OR($C332="",$D332=""),"",IF($D332&gt;=$C332,($D332-$C332)*24,(1-$C332+$D332)*24))</f>
        <v/>
      </c>
      <c r="L332" s="34" t="n"/>
      <c r="M332" s="53">
        <f t="array" ref="M332">IFERROR(INDEX(EXCEPCIONES_FECHA!$D$2:$D$201,MATCH(1,(EXCEPCIONES_FECHA!$A$2:$A$201=$A332)*(EXCEPCIONES_FECHA!$B$2:$B$201=$B332),0)),IFERROR(INDEX(EXCEPCIONES_FECHA!$D$2:$D$201,MATCH(1,(EXCEPCIONES_FECHA!$A$2:$A$201=$A332)*(EXCEPCIONES_FECHA!$B$2:$B$201=""),0)),IFERROR(INDEX(IF($I332="FIN",HISTORIAL_HORARIOS!$J$2:$J$201,HISTORIAL_HORARIOS!$F$2:$F$201),MATCH(1,(HISTORIAL_HORARIOS!$A$2:$A$201=$B332)*(HISTORIAL_HORARIOS!$C$2:$C$201&lt;=$A332)*(HISTORIAL_HORARIOS!$D$2:$D$201&gt;=$A332),0)),INDEX(IF($I332="FIN",PERSONAL!$J$2:$J$80,PERSONAL!$F$2:$F$80),MATCH($B332,PERSONAL!$A$2:$A$80,0)))))</f>
        <v/>
      </c>
      <c r="N332" s="53">
        <f t="array" ref="N332">IFERROR(INDEX(EXCEPCIONES_FECHA!$E$2:$E$201,MATCH(1,(EXCEPCIONES_FECHA!$A$2:$A$201=$A332)*(EXCEPCIONES_FECHA!$B$2:$B$201=$B332),0)),IFERROR(INDEX(EXCEPCIONES_FECHA!$E$2:$E$201,MATCH(1,(EXCEPCIONES_FECHA!$A$2:$A$201=$A332)*(EXCEPCIONES_FECHA!$B$2:$B$201=""),0)),IFERROR(INDEX(IF($I332="FIN",HISTORIAL_HORARIOS!$K$2:$K$201,HISTORIAL_HORARIOS!$G$2:$G$201),MATCH(1,(HISTORIAL_HORARIOS!$A$2:$A$201=$B332)*(HISTORIAL_HORARIOS!$C$2:$C$201&lt;=$A332)*(HISTORIAL_HORARIOS!$D$2:$D$201&gt;=$A332),0)),INDEX(IF($I332="FIN",PERSONAL!$K$2:$K$80,PERSONAL!$G$2:$G$80),MATCH($B332,PERSONAL!$A$2:$A$80,0)))))</f>
        <v/>
      </c>
      <c r="O332" s="53">
        <f t="array" ref="O332">IFERROR(INDEX(EXCEPCIONES_FECHA!$F$2:$F$201,MATCH(1,(EXCEPCIONES_FECHA!$A$2:$A$201=$A332)*(EXCEPCIONES_FECHA!$B$2:$B$201=$B332),0)),IFERROR(INDEX(EXCEPCIONES_FECHA!$F$2:$F$201,MATCH(1,(EXCEPCIONES_FECHA!$A$2:$A$201=$A332)*(EXCEPCIONES_FECHA!$B$2:$B$201=""),0)),IFERROR(INDEX(IF($I332="FIN",HISTORIAL_HORARIOS!$L$2:$L$201,HISTORIAL_HORARIOS!$H$2:$H$201),MATCH(1,(HISTORIAL_HORARIOS!$A$2:$A$201=$B332)*(HISTORIAL_HORARIOS!$C$2:$C$201&lt;=$A332)*(HISTORIAL_HORARIOS!$D$2:$D$201&gt;=$A332),0)),INDEX(IF($I332="FIN",PERSONAL!$L$2:$L$80,PERSONAL!$H$2:$H$80),MATCH($B332,PERSONAL!$A$2:$A$80,0)))))</f>
        <v/>
      </c>
    </row>
    <row r="333" ht="15" customHeight="1" s="58">
      <c r="A333" s="37" t="n"/>
      <c r="B333" s="38" t="n"/>
      <c r="C333" s="39" t="n"/>
      <c r="D333" s="39" t="n"/>
      <c r="E333" s="34">
        <f t="array" ref="E333">IF($B333="","",IFERROR(INDEX(PERSONAL!$B$2:$B$80,MATCH($B333,PERSONAL!$A$2:$A$80,0)),"NO EXISTE"))</f>
        <v/>
      </c>
      <c r="F333" s="52">
        <f t="array" ref="F333">IF($B333="","",IFERROR(INDEX(PERSONAL!$C$2:$C$80,MATCH($B333,PERSONAL!$A$2:$A$80,0)),""))</f>
        <v/>
      </c>
      <c r="G333" s="52">
        <f>IF($A333="","",CHOOSE(WEEKDAY($A333,2),"LUNES","MARTES","MIÉRCOLES","JUEVES","VIERNES","SÁBADO","DOMINGO"))</f>
        <v/>
      </c>
      <c r="H333" s="34">
        <f>IF($A333="","",CHOOSE(MONTH($A333),"ENERO","FEBRERO","MARZO","ABRIL","MAYO","JUNIO","JULIO","AGOSTO","SEPTIEMBRE","OCTUBRE","NOVIEMBRE","DICIEMBRE"))</f>
        <v/>
      </c>
      <c r="I333" s="34">
        <f>IF($A333="","",IF(OR($G333="SÁBADO",$G333="DOMINGO"),"FIN","LV"))</f>
        <v/>
      </c>
      <c r="J333" s="34">
        <f>IF(OR($A333="",$B333=""),"",IF($L333&lt;&gt;"",UPPER($L333),IF($C333="","FALTA",IFERROR(IF($C333&gt;=$O333,"ROJO FUERTE",IF($C333&gt;=$N333,"ROJO",IF($C333&gt;=$M333,"AMARILLO","VERDE"))),"REVISAR"))))</f>
        <v/>
      </c>
      <c r="K333" s="36">
        <f>IF(OR($C333="",$D333=""),"",IF($D333&gt;=$C333,($D333-$C333)*24,(1-$C333+$D333)*24))</f>
        <v/>
      </c>
      <c r="L333" s="34" t="n"/>
      <c r="M333" s="53">
        <f t="array" ref="M333">IFERROR(INDEX(EXCEPCIONES_FECHA!$D$2:$D$201,MATCH(1,(EXCEPCIONES_FECHA!$A$2:$A$201=$A333)*(EXCEPCIONES_FECHA!$B$2:$B$201=$B333),0)),IFERROR(INDEX(EXCEPCIONES_FECHA!$D$2:$D$201,MATCH(1,(EXCEPCIONES_FECHA!$A$2:$A$201=$A333)*(EXCEPCIONES_FECHA!$B$2:$B$201=""),0)),IFERROR(INDEX(IF($I333="FIN",HISTORIAL_HORARIOS!$J$2:$J$201,HISTORIAL_HORARIOS!$F$2:$F$201),MATCH(1,(HISTORIAL_HORARIOS!$A$2:$A$201=$B333)*(HISTORIAL_HORARIOS!$C$2:$C$201&lt;=$A333)*(HISTORIAL_HORARIOS!$D$2:$D$201&gt;=$A333),0)),INDEX(IF($I333="FIN",PERSONAL!$J$2:$J$80,PERSONAL!$F$2:$F$80),MATCH($B333,PERSONAL!$A$2:$A$80,0)))))</f>
        <v/>
      </c>
      <c r="N333" s="53">
        <f t="array" ref="N333">IFERROR(INDEX(EXCEPCIONES_FECHA!$E$2:$E$201,MATCH(1,(EXCEPCIONES_FECHA!$A$2:$A$201=$A333)*(EXCEPCIONES_FECHA!$B$2:$B$201=$B333),0)),IFERROR(INDEX(EXCEPCIONES_FECHA!$E$2:$E$201,MATCH(1,(EXCEPCIONES_FECHA!$A$2:$A$201=$A333)*(EXCEPCIONES_FECHA!$B$2:$B$201=""),0)),IFERROR(INDEX(IF($I333="FIN",HISTORIAL_HORARIOS!$K$2:$K$201,HISTORIAL_HORARIOS!$G$2:$G$201),MATCH(1,(HISTORIAL_HORARIOS!$A$2:$A$201=$B333)*(HISTORIAL_HORARIOS!$C$2:$C$201&lt;=$A333)*(HISTORIAL_HORARIOS!$D$2:$D$201&gt;=$A333),0)),INDEX(IF($I333="FIN",PERSONAL!$K$2:$K$80,PERSONAL!$G$2:$G$80),MATCH($B333,PERSONAL!$A$2:$A$80,0)))))</f>
        <v/>
      </c>
      <c r="O333" s="53">
        <f t="array" ref="O333">IFERROR(INDEX(EXCEPCIONES_FECHA!$F$2:$F$201,MATCH(1,(EXCEPCIONES_FECHA!$A$2:$A$201=$A333)*(EXCEPCIONES_FECHA!$B$2:$B$201=$B333),0)),IFERROR(INDEX(EXCEPCIONES_FECHA!$F$2:$F$201,MATCH(1,(EXCEPCIONES_FECHA!$A$2:$A$201=$A333)*(EXCEPCIONES_FECHA!$B$2:$B$201=""),0)),IFERROR(INDEX(IF($I333="FIN",HISTORIAL_HORARIOS!$L$2:$L$201,HISTORIAL_HORARIOS!$H$2:$H$201),MATCH(1,(HISTORIAL_HORARIOS!$A$2:$A$201=$B333)*(HISTORIAL_HORARIOS!$C$2:$C$201&lt;=$A333)*(HISTORIAL_HORARIOS!$D$2:$D$201&gt;=$A333),0)),INDEX(IF($I333="FIN",PERSONAL!$L$2:$L$80,PERSONAL!$H$2:$H$80),MATCH($B333,PERSONAL!$A$2:$A$80,0)))))</f>
        <v/>
      </c>
    </row>
    <row r="334" ht="15" customHeight="1" s="58">
      <c r="A334" s="37" t="n"/>
      <c r="B334" s="38" t="n"/>
      <c r="C334" s="39" t="n"/>
      <c r="D334" s="39" t="n"/>
      <c r="E334" s="34">
        <f t="array" ref="E334">IF($B334="","",IFERROR(INDEX(PERSONAL!$B$2:$B$80,MATCH($B334,PERSONAL!$A$2:$A$80,0)),"NO EXISTE"))</f>
        <v/>
      </c>
      <c r="F334" s="52">
        <f t="array" ref="F334">IF($B334="","",IFERROR(INDEX(PERSONAL!$C$2:$C$80,MATCH($B334,PERSONAL!$A$2:$A$80,0)),""))</f>
        <v/>
      </c>
      <c r="G334" s="52">
        <f>IF($A334="","",CHOOSE(WEEKDAY($A334,2),"LUNES","MARTES","MIÉRCOLES","JUEVES","VIERNES","SÁBADO","DOMINGO"))</f>
        <v/>
      </c>
      <c r="H334" s="34">
        <f>IF($A334="","",CHOOSE(MONTH($A334),"ENERO","FEBRERO","MARZO","ABRIL","MAYO","JUNIO","JULIO","AGOSTO","SEPTIEMBRE","OCTUBRE","NOVIEMBRE","DICIEMBRE"))</f>
        <v/>
      </c>
      <c r="I334" s="34">
        <f>IF($A334="","",IF(OR($G334="SÁBADO",$G334="DOMINGO"),"FIN","LV"))</f>
        <v/>
      </c>
      <c r="J334" s="34">
        <f>IF(OR($A334="",$B334=""),"",IF($L334&lt;&gt;"",UPPER($L334),IF($C334="","FALTA",IFERROR(IF($C334&gt;=$O334,"ROJO FUERTE",IF($C334&gt;=$N334,"ROJO",IF($C334&gt;=$M334,"AMARILLO","VERDE"))),"REVISAR"))))</f>
        <v/>
      </c>
      <c r="K334" s="36">
        <f>IF(OR($C334="",$D334=""),"",IF($D334&gt;=$C334,($D334-$C334)*24,(1-$C334+$D334)*24))</f>
        <v/>
      </c>
      <c r="L334" s="34" t="n"/>
      <c r="M334" s="53">
        <f t="array" ref="M334">IFERROR(INDEX(EXCEPCIONES_FECHA!$D$2:$D$201,MATCH(1,(EXCEPCIONES_FECHA!$A$2:$A$201=$A334)*(EXCEPCIONES_FECHA!$B$2:$B$201=$B334),0)),IFERROR(INDEX(EXCEPCIONES_FECHA!$D$2:$D$201,MATCH(1,(EXCEPCIONES_FECHA!$A$2:$A$201=$A334)*(EXCEPCIONES_FECHA!$B$2:$B$201=""),0)),IFERROR(INDEX(IF($I334="FIN",HISTORIAL_HORARIOS!$J$2:$J$201,HISTORIAL_HORARIOS!$F$2:$F$201),MATCH(1,(HISTORIAL_HORARIOS!$A$2:$A$201=$B334)*(HISTORIAL_HORARIOS!$C$2:$C$201&lt;=$A334)*(HISTORIAL_HORARIOS!$D$2:$D$201&gt;=$A334),0)),INDEX(IF($I334="FIN",PERSONAL!$J$2:$J$80,PERSONAL!$F$2:$F$80),MATCH($B334,PERSONAL!$A$2:$A$80,0)))))</f>
        <v/>
      </c>
      <c r="N334" s="53">
        <f t="array" ref="N334">IFERROR(INDEX(EXCEPCIONES_FECHA!$E$2:$E$201,MATCH(1,(EXCEPCIONES_FECHA!$A$2:$A$201=$A334)*(EXCEPCIONES_FECHA!$B$2:$B$201=$B334),0)),IFERROR(INDEX(EXCEPCIONES_FECHA!$E$2:$E$201,MATCH(1,(EXCEPCIONES_FECHA!$A$2:$A$201=$A334)*(EXCEPCIONES_FECHA!$B$2:$B$201=""),0)),IFERROR(INDEX(IF($I334="FIN",HISTORIAL_HORARIOS!$K$2:$K$201,HISTORIAL_HORARIOS!$G$2:$G$201),MATCH(1,(HISTORIAL_HORARIOS!$A$2:$A$201=$B334)*(HISTORIAL_HORARIOS!$C$2:$C$201&lt;=$A334)*(HISTORIAL_HORARIOS!$D$2:$D$201&gt;=$A334),0)),INDEX(IF($I334="FIN",PERSONAL!$K$2:$K$80,PERSONAL!$G$2:$G$80),MATCH($B334,PERSONAL!$A$2:$A$80,0)))))</f>
        <v/>
      </c>
      <c r="O334" s="53">
        <f t="array" ref="O334">IFERROR(INDEX(EXCEPCIONES_FECHA!$F$2:$F$201,MATCH(1,(EXCEPCIONES_FECHA!$A$2:$A$201=$A334)*(EXCEPCIONES_FECHA!$B$2:$B$201=$B334),0)),IFERROR(INDEX(EXCEPCIONES_FECHA!$F$2:$F$201,MATCH(1,(EXCEPCIONES_FECHA!$A$2:$A$201=$A334)*(EXCEPCIONES_FECHA!$B$2:$B$201=""),0)),IFERROR(INDEX(IF($I334="FIN",HISTORIAL_HORARIOS!$L$2:$L$201,HISTORIAL_HORARIOS!$H$2:$H$201),MATCH(1,(HISTORIAL_HORARIOS!$A$2:$A$201=$B334)*(HISTORIAL_HORARIOS!$C$2:$C$201&lt;=$A334)*(HISTORIAL_HORARIOS!$D$2:$D$201&gt;=$A334),0)),INDEX(IF($I334="FIN",PERSONAL!$L$2:$L$80,PERSONAL!$H$2:$H$80),MATCH($B334,PERSONAL!$A$2:$A$80,0)))))</f>
        <v/>
      </c>
    </row>
    <row r="335" ht="15" customHeight="1" s="58">
      <c r="A335" s="37" t="n"/>
      <c r="B335" s="38" t="n"/>
      <c r="C335" s="39" t="n"/>
      <c r="D335" s="39" t="n"/>
      <c r="E335" s="34">
        <f t="array" ref="E335">IF($B335="","",IFERROR(INDEX(PERSONAL!$B$2:$B$80,MATCH($B335,PERSONAL!$A$2:$A$80,0)),"NO EXISTE"))</f>
        <v/>
      </c>
      <c r="F335" s="52">
        <f t="array" ref="F335">IF($B335="","",IFERROR(INDEX(PERSONAL!$C$2:$C$80,MATCH($B335,PERSONAL!$A$2:$A$80,0)),""))</f>
        <v/>
      </c>
      <c r="G335" s="52">
        <f>IF($A335="","",CHOOSE(WEEKDAY($A335,2),"LUNES","MARTES","MIÉRCOLES","JUEVES","VIERNES","SÁBADO","DOMINGO"))</f>
        <v/>
      </c>
      <c r="H335" s="34">
        <f>IF($A335="","",CHOOSE(MONTH($A335),"ENERO","FEBRERO","MARZO","ABRIL","MAYO","JUNIO","JULIO","AGOSTO","SEPTIEMBRE","OCTUBRE","NOVIEMBRE","DICIEMBRE"))</f>
        <v/>
      </c>
      <c r="I335" s="34">
        <f>IF($A335="","",IF(OR($G335="SÁBADO",$G335="DOMINGO"),"FIN","LV"))</f>
        <v/>
      </c>
      <c r="J335" s="34">
        <f>IF(OR($A335="",$B335=""),"",IF($L335&lt;&gt;"",UPPER($L335),IF($C335="","FALTA",IFERROR(IF($C335&gt;=$O335,"ROJO FUERTE",IF($C335&gt;=$N335,"ROJO",IF($C335&gt;=$M335,"AMARILLO","VERDE"))),"REVISAR"))))</f>
        <v/>
      </c>
      <c r="K335" s="36">
        <f>IF(OR($C335="",$D335=""),"",IF($D335&gt;=$C335,($D335-$C335)*24,(1-$C335+$D335)*24))</f>
        <v/>
      </c>
      <c r="L335" s="34" t="n"/>
      <c r="M335" s="53">
        <f t="array" ref="M335">IFERROR(INDEX(EXCEPCIONES_FECHA!$D$2:$D$201,MATCH(1,(EXCEPCIONES_FECHA!$A$2:$A$201=$A335)*(EXCEPCIONES_FECHA!$B$2:$B$201=$B335),0)),IFERROR(INDEX(EXCEPCIONES_FECHA!$D$2:$D$201,MATCH(1,(EXCEPCIONES_FECHA!$A$2:$A$201=$A335)*(EXCEPCIONES_FECHA!$B$2:$B$201=""),0)),IFERROR(INDEX(IF($I335="FIN",HISTORIAL_HORARIOS!$J$2:$J$201,HISTORIAL_HORARIOS!$F$2:$F$201),MATCH(1,(HISTORIAL_HORARIOS!$A$2:$A$201=$B335)*(HISTORIAL_HORARIOS!$C$2:$C$201&lt;=$A335)*(HISTORIAL_HORARIOS!$D$2:$D$201&gt;=$A335),0)),INDEX(IF($I335="FIN",PERSONAL!$J$2:$J$80,PERSONAL!$F$2:$F$80),MATCH($B335,PERSONAL!$A$2:$A$80,0)))))</f>
        <v/>
      </c>
      <c r="N335" s="53">
        <f t="array" ref="N335">IFERROR(INDEX(EXCEPCIONES_FECHA!$E$2:$E$201,MATCH(1,(EXCEPCIONES_FECHA!$A$2:$A$201=$A335)*(EXCEPCIONES_FECHA!$B$2:$B$201=$B335),0)),IFERROR(INDEX(EXCEPCIONES_FECHA!$E$2:$E$201,MATCH(1,(EXCEPCIONES_FECHA!$A$2:$A$201=$A335)*(EXCEPCIONES_FECHA!$B$2:$B$201=""),0)),IFERROR(INDEX(IF($I335="FIN",HISTORIAL_HORARIOS!$K$2:$K$201,HISTORIAL_HORARIOS!$G$2:$G$201),MATCH(1,(HISTORIAL_HORARIOS!$A$2:$A$201=$B335)*(HISTORIAL_HORARIOS!$C$2:$C$201&lt;=$A335)*(HISTORIAL_HORARIOS!$D$2:$D$201&gt;=$A335),0)),INDEX(IF($I335="FIN",PERSONAL!$K$2:$K$80,PERSONAL!$G$2:$G$80),MATCH($B335,PERSONAL!$A$2:$A$80,0)))))</f>
        <v/>
      </c>
      <c r="O335" s="53">
        <f t="array" ref="O335">IFERROR(INDEX(EXCEPCIONES_FECHA!$F$2:$F$201,MATCH(1,(EXCEPCIONES_FECHA!$A$2:$A$201=$A335)*(EXCEPCIONES_FECHA!$B$2:$B$201=$B335),0)),IFERROR(INDEX(EXCEPCIONES_FECHA!$F$2:$F$201,MATCH(1,(EXCEPCIONES_FECHA!$A$2:$A$201=$A335)*(EXCEPCIONES_FECHA!$B$2:$B$201=""),0)),IFERROR(INDEX(IF($I335="FIN",HISTORIAL_HORARIOS!$L$2:$L$201,HISTORIAL_HORARIOS!$H$2:$H$201),MATCH(1,(HISTORIAL_HORARIOS!$A$2:$A$201=$B335)*(HISTORIAL_HORARIOS!$C$2:$C$201&lt;=$A335)*(HISTORIAL_HORARIOS!$D$2:$D$201&gt;=$A335),0)),INDEX(IF($I335="FIN",PERSONAL!$L$2:$L$80,PERSONAL!$H$2:$H$80),MATCH($B335,PERSONAL!$A$2:$A$80,0)))))</f>
        <v/>
      </c>
    </row>
    <row r="336" ht="15" customHeight="1" s="58">
      <c r="A336" s="37" t="n"/>
      <c r="B336" s="38" t="n"/>
      <c r="C336" s="39" t="n"/>
      <c r="D336" s="39" t="n"/>
      <c r="E336" s="34">
        <f t="array" ref="E336">IF($B336="","",IFERROR(INDEX(PERSONAL!$B$2:$B$80,MATCH($B336,PERSONAL!$A$2:$A$80,0)),"NO EXISTE"))</f>
        <v/>
      </c>
      <c r="F336" s="52">
        <f t="array" ref="F336">IF($B336="","",IFERROR(INDEX(PERSONAL!$C$2:$C$80,MATCH($B336,PERSONAL!$A$2:$A$80,0)),""))</f>
        <v/>
      </c>
      <c r="G336" s="52">
        <f>IF($A336="","",CHOOSE(WEEKDAY($A336,2),"LUNES","MARTES","MIÉRCOLES","JUEVES","VIERNES","SÁBADO","DOMINGO"))</f>
        <v/>
      </c>
      <c r="H336" s="34">
        <f>IF($A336="","",CHOOSE(MONTH($A336),"ENERO","FEBRERO","MARZO","ABRIL","MAYO","JUNIO","JULIO","AGOSTO","SEPTIEMBRE","OCTUBRE","NOVIEMBRE","DICIEMBRE"))</f>
        <v/>
      </c>
      <c r="I336" s="34">
        <f>IF($A336="","",IF(OR($G336="SÁBADO",$G336="DOMINGO"),"FIN","LV"))</f>
        <v/>
      </c>
      <c r="J336" s="34">
        <f>IF(OR($A336="",$B336=""),"",IF($L336&lt;&gt;"",UPPER($L336),IF($C336="","FALTA",IFERROR(IF($C336&gt;=$O336,"ROJO FUERTE",IF($C336&gt;=$N336,"ROJO",IF($C336&gt;=$M336,"AMARILLO","VERDE"))),"REVISAR"))))</f>
        <v/>
      </c>
      <c r="K336" s="36">
        <f>IF(OR($C336="",$D336=""),"",IF($D336&gt;=$C336,($D336-$C336)*24,(1-$C336+$D336)*24))</f>
        <v/>
      </c>
      <c r="L336" s="34" t="n"/>
      <c r="M336" s="53">
        <f t="array" ref="M336">IFERROR(INDEX(EXCEPCIONES_FECHA!$D$2:$D$201,MATCH(1,(EXCEPCIONES_FECHA!$A$2:$A$201=$A336)*(EXCEPCIONES_FECHA!$B$2:$B$201=$B336),0)),IFERROR(INDEX(EXCEPCIONES_FECHA!$D$2:$D$201,MATCH(1,(EXCEPCIONES_FECHA!$A$2:$A$201=$A336)*(EXCEPCIONES_FECHA!$B$2:$B$201=""),0)),IFERROR(INDEX(IF($I336="FIN",HISTORIAL_HORARIOS!$J$2:$J$201,HISTORIAL_HORARIOS!$F$2:$F$201),MATCH(1,(HISTORIAL_HORARIOS!$A$2:$A$201=$B336)*(HISTORIAL_HORARIOS!$C$2:$C$201&lt;=$A336)*(HISTORIAL_HORARIOS!$D$2:$D$201&gt;=$A336),0)),INDEX(IF($I336="FIN",PERSONAL!$J$2:$J$80,PERSONAL!$F$2:$F$80),MATCH($B336,PERSONAL!$A$2:$A$80,0)))))</f>
        <v/>
      </c>
      <c r="N336" s="53">
        <f t="array" ref="N336">IFERROR(INDEX(EXCEPCIONES_FECHA!$E$2:$E$201,MATCH(1,(EXCEPCIONES_FECHA!$A$2:$A$201=$A336)*(EXCEPCIONES_FECHA!$B$2:$B$201=$B336),0)),IFERROR(INDEX(EXCEPCIONES_FECHA!$E$2:$E$201,MATCH(1,(EXCEPCIONES_FECHA!$A$2:$A$201=$A336)*(EXCEPCIONES_FECHA!$B$2:$B$201=""),0)),IFERROR(INDEX(IF($I336="FIN",HISTORIAL_HORARIOS!$K$2:$K$201,HISTORIAL_HORARIOS!$G$2:$G$201),MATCH(1,(HISTORIAL_HORARIOS!$A$2:$A$201=$B336)*(HISTORIAL_HORARIOS!$C$2:$C$201&lt;=$A336)*(HISTORIAL_HORARIOS!$D$2:$D$201&gt;=$A336),0)),INDEX(IF($I336="FIN",PERSONAL!$K$2:$K$80,PERSONAL!$G$2:$G$80),MATCH($B336,PERSONAL!$A$2:$A$80,0)))))</f>
        <v/>
      </c>
      <c r="O336" s="53">
        <f t="array" ref="O336">IFERROR(INDEX(EXCEPCIONES_FECHA!$F$2:$F$201,MATCH(1,(EXCEPCIONES_FECHA!$A$2:$A$201=$A336)*(EXCEPCIONES_FECHA!$B$2:$B$201=$B336),0)),IFERROR(INDEX(EXCEPCIONES_FECHA!$F$2:$F$201,MATCH(1,(EXCEPCIONES_FECHA!$A$2:$A$201=$A336)*(EXCEPCIONES_FECHA!$B$2:$B$201=""),0)),IFERROR(INDEX(IF($I336="FIN",HISTORIAL_HORARIOS!$L$2:$L$201,HISTORIAL_HORARIOS!$H$2:$H$201),MATCH(1,(HISTORIAL_HORARIOS!$A$2:$A$201=$B336)*(HISTORIAL_HORARIOS!$C$2:$C$201&lt;=$A336)*(HISTORIAL_HORARIOS!$D$2:$D$201&gt;=$A336),0)),INDEX(IF($I336="FIN",PERSONAL!$L$2:$L$80,PERSONAL!$H$2:$H$80),MATCH($B336,PERSONAL!$A$2:$A$80,0)))))</f>
        <v/>
      </c>
    </row>
    <row r="337" ht="15" customHeight="1" s="58">
      <c r="A337" s="37" t="n"/>
      <c r="B337" s="38" t="n"/>
      <c r="C337" s="39" t="n"/>
      <c r="D337" s="39" t="n"/>
      <c r="E337" s="34">
        <f t="array" ref="E337">IF($B337="","",IFERROR(INDEX(PERSONAL!$B$2:$B$80,MATCH($B337,PERSONAL!$A$2:$A$80,0)),"NO EXISTE"))</f>
        <v/>
      </c>
      <c r="F337" s="52">
        <f t="array" ref="F337">IF($B337="","",IFERROR(INDEX(PERSONAL!$C$2:$C$80,MATCH($B337,PERSONAL!$A$2:$A$80,0)),""))</f>
        <v/>
      </c>
      <c r="G337" s="52">
        <f>IF($A337="","",CHOOSE(WEEKDAY($A337,2),"LUNES","MARTES","MIÉRCOLES","JUEVES","VIERNES","SÁBADO","DOMINGO"))</f>
        <v/>
      </c>
      <c r="H337" s="34">
        <f>IF($A337="","",CHOOSE(MONTH($A337),"ENERO","FEBRERO","MARZO","ABRIL","MAYO","JUNIO","JULIO","AGOSTO","SEPTIEMBRE","OCTUBRE","NOVIEMBRE","DICIEMBRE"))</f>
        <v/>
      </c>
      <c r="I337" s="34">
        <f>IF($A337="","",IF(OR($G337="SÁBADO",$G337="DOMINGO"),"FIN","LV"))</f>
        <v/>
      </c>
      <c r="J337" s="34">
        <f>IF(OR($A337="",$B337=""),"",IF($L337&lt;&gt;"",UPPER($L337),IF($C337="","FALTA",IFERROR(IF($C337&gt;=$O337,"ROJO FUERTE",IF($C337&gt;=$N337,"ROJO",IF($C337&gt;=$M337,"AMARILLO","VERDE"))),"REVISAR"))))</f>
        <v/>
      </c>
      <c r="K337" s="36">
        <f>IF(OR($C337="",$D337=""),"",IF($D337&gt;=$C337,($D337-$C337)*24,(1-$C337+$D337)*24))</f>
        <v/>
      </c>
      <c r="L337" s="34" t="n"/>
      <c r="M337" s="53">
        <f t="array" ref="M337">IFERROR(INDEX(EXCEPCIONES_FECHA!$D$2:$D$201,MATCH(1,(EXCEPCIONES_FECHA!$A$2:$A$201=$A337)*(EXCEPCIONES_FECHA!$B$2:$B$201=$B337),0)),IFERROR(INDEX(EXCEPCIONES_FECHA!$D$2:$D$201,MATCH(1,(EXCEPCIONES_FECHA!$A$2:$A$201=$A337)*(EXCEPCIONES_FECHA!$B$2:$B$201=""),0)),IFERROR(INDEX(IF($I337="FIN",HISTORIAL_HORARIOS!$J$2:$J$201,HISTORIAL_HORARIOS!$F$2:$F$201),MATCH(1,(HISTORIAL_HORARIOS!$A$2:$A$201=$B337)*(HISTORIAL_HORARIOS!$C$2:$C$201&lt;=$A337)*(HISTORIAL_HORARIOS!$D$2:$D$201&gt;=$A337),0)),INDEX(IF($I337="FIN",PERSONAL!$J$2:$J$80,PERSONAL!$F$2:$F$80),MATCH($B337,PERSONAL!$A$2:$A$80,0)))))</f>
        <v/>
      </c>
      <c r="N337" s="53">
        <f t="array" ref="N337">IFERROR(INDEX(EXCEPCIONES_FECHA!$E$2:$E$201,MATCH(1,(EXCEPCIONES_FECHA!$A$2:$A$201=$A337)*(EXCEPCIONES_FECHA!$B$2:$B$201=$B337),0)),IFERROR(INDEX(EXCEPCIONES_FECHA!$E$2:$E$201,MATCH(1,(EXCEPCIONES_FECHA!$A$2:$A$201=$A337)*(EXCEPCIONES_FECHA!$B$2:$B$201=""),0)),IFERROR(INDEX(IF($I337="FIN",HISTORIAL_HORARIOS!$K$2:$K$201,HISTORIAL_HORARIOS!$G$2:$G$201),MATCH(1,(HISTORIAL_HORARIOS!$A$2:$A$201=$B337)*(HISTORIAL_HORARIOS!$C$2:$C$201&lt;=$A337)*(HISTORIAL_HORARIOS!$D$2:$D$201&gt;=$A337),0)),INDEX(IF($I337="FIN",PERSONAL!$K$2:$K$80,PERSONAL!$G$2:$G$80),MATCH($B337,PERSONAL!$A$2:$A$80,0)))))</f>
        <v/>
      </c>
      <c r="O337" s="53">
        <f t="array" ref="O337">IFERROR(INDEX(EXCEPCIONES_FECHA!$F$2:$F$201,MATCH(1,(EXCEPCIONES_FECHA!$A$2:$A$201=$A337)*(EXCEPCIONES_FECHA!$B$2:$B$201=$B337),0)),IFERROR(INDEX(EXCEPCIONES_FECHA!$F$2:$F$201,MATCH(1,(EXCEPCIONES_FECHA!$A$2:$A$201=$A337)*(EXCEPCIONES_FECHA!$B$2:$B$201=""),0)),IFERROR(INDEX(IF($I337="FIN",HISTORIAL_HORARIOS!$L$2:$L$201,HISTORIAL_HORARIOS!$H$2:$H$201),MATCH(1,(HISTORIAL_HORARIOS!$A$2:$A$201=$B337)*(HISTORIAL_HORARIOS!$C$2:$C$201&lt;=$A337)*(HISTORIAL_HORARIOS!$D$2:$D$201&gt;=$A337),0)),INDEX(IF($I337="FIN",PERSONAL!$L$2:$L$80,PERSONAL!$H$2:$H$80),MATCH($B337,PERSONAL!$A$2:$A$80,0)))))</f>
        <v/>
      </c>
    </row>
    <row r="338" ht="15" customHeight="1" s="58">
      <c r="A338" s="37" t="n"/>
      <c r="B338" s="38" t="n"/>
      <c r="C338" s="39" t="n"/>
      <c r="D338" s="39" t="n"/>
      <c r="E338" s="34">
        <f t="array" ref="E338">IF($B338="","",IFERROR(INDEX(PERSONAL!$B$2:$B$80,MATCH($B338,PERSONAL!$A$2:$A$80,0)),"NO EXISTE"))</f>
        <v/>
      </c>
      <c r="F338" s="52">
        <f t="array" ref="F338">IF($B338="","",IFERROR(INDEX(PERSONAL!$C$2:$C$80,MATCH($B338,PERSONAL!$A$2:$A$80,0)),""))</f>
        <v/>
      </c>
      <c r="G338" s="52">
        <f>IF($A338="","",CHOOSE(WEEKDAY($A338,2),"LUNES","MARTES","MIÉRCOLES","JUEVES","VIERNES","SÁBADO","DOMINGO"))</f>
        <v/>
      </c>
      <c r="H338" s="34">
        <f>IF($A338="","",CHOOSE(MONTH($A338),"ENERO","FEBRERO","MARZO","ABRIL","MAYO","JUNIO","JULIO","AGOSTO","SEPTIEMBRE","OCTUBRE","NOVIEMBRE","DICIEMBRE"))</f>
        <v/>
      </c>
      <c r="I338" s="34">
        <f>IF($A338="","",IF(OR($G338="SÁBADO",$G338="DOMINGO"),"FIN","LV"))</f>
        <v/>
      </c>
      <c r="J338" s="34">
        <f>IF(OR($A338="",$B338=""),"",IF($L338&lt;&gt;"",UPPER($L338),IF($C338="","FALTA",IFERROR(IF($C338&gt;=$O338,"ROJO FUERTE",IF($C338&gt;=$N338,"ROJO",IF($C338&gt;=$M338,"AMARILLO","VERDE"))),"REVISAR"))))</f>
        <v/>
      </c>
      <c r="K338" s="36">
        <f>IF(OR($C338="",$D338=""),"",IF($D338&gt;=$C338,($D338-$C338)*24,(1-$C338+$D338)*24))</f>
        <v/>
      </c>
      <c r="L338" s="34" t="n"/>
      <c r="M338" s="53">
        <f t="array" ref="M338">IFERROR(INDEX(EXCEPCIONES_FECHA!$D$2:$D$201,MATCH(1,(EXCEPCIONES_FECHA!$A$2:$A$201=$A338)*(EXCEPCIONES_FECHA!$B$2:$B$201=$B338),0)),IFERROR(INDEX(EXCEPCIONES_FECHA!$D$2:$D$201,MATCH(1,(EXCEPCIONES_FECHA!$A$2:$A$201=$A338)*(EXCEPCIONES_FECHA!$B$2:$B$201=""),0)),IFERROR(INDEX(IF($I338="FIN",HISTORIAL_HORARIOS!$J$2:$J$201,HISTORIAL_HORARIOS!$F$2:$F$201),MATCH(1,(HISTORIAL_HORARIOS!$A$2:$A$201=$B338)*(HISTORIAL_HORARIOS!$C$2:$C$201&lt;=$A338)*(HISTORIAL_HORARIOS!$D$2:$D$201&gt;=$A338),0)),INDEX(IF($I338="FIN",PERSONAL!$J$2:$J$80,PERSONAL!$F$2:$F$80),MATCH($B338,PERSONAL!$A$2:$A$80,0)))))</f>
        <v/>
      </c>
      <c r="N338" s="53">
        <f t="array" ref="N338">IFERROR(INDEX(EXCEPCIONES_FECHA!$E$2:$E$201,MATCH(1,(EXCEPCIONES_FECHA!$A$2:$A$201=$A338)*(EXCEPCIONES_FECHA!$B$2:$B$201=$B338),0)),IFERROR(INDEX(EXCEPCIONES_FECHA!$E$2:$E$201,MATCH(1,(EXCEPCIONES_FECHA!$A$2:$A$201=$A338)*(EXCEPCIONES_FECHA!$B$2:$B$201=""),0)),IFERROR(INDEX(IF($I338="FIN",HISTORIAL_HORARIOS!$K$2:$K$201,HISTORIAL_HORARIOS!$G$2:$G$201),MATCH(1,(HISTORIAL_HORARIOS!$A$2:$A$201=$B338)*(HISTORIAL_HORARIOS!$C$2:$C$201&lt;=$A338)*(HISTORIAL_HORARIOS!$D$2:$D$201&gt;=$A338),0)),INDEX(IF($I338="FIN",PERSONAL!$K$2:$K$80,PERSONAL!$G$2:$G$80),MATCH($B338,PERSONAL!$A$2:$A$80,0)))))</f>
        <v/>
      </c>
      <c r="O338" s="53">
        <f t="array" ref="O338">IFERROR(INDEX(EXCEPCIONES_FECHA!$F$2:$F$201,MATCH(1,(EXCEPCIONES_FECHA!$A$2:$A$201=$A338)*(EXCEPCIONES_FECHA!$B$2:$B$201=$B338),0)),IFERROR(INDEX(EXCEPCIONES_FECHA!$F$2:$F$201,MATCH(1,(EXCEPCIONES_FECHA!$A$2:$A$201=$A338)*(EXCEPCIONES_FECHA!$B$2:$B$201=""),0)),IFERROR(INDEX(IF($I338="FIN",HISTORIAL_HORARIOS!$L$2:$L$201,HISTORIAL_HORARIOS!$H$2:$H$201),MATCH(1,(HISTORIAL_HORARIOS!$A$2:$A$201=$B338)*(HISTORIAL_HORARIOS!$C$2:$C$201&lt;=$A338)*(HISTORIAL_HORARIOS!$D$2:$D$201&gt;=$A338),0)),INDEX(IF($I338="FIN",PERSONAL!$L$2:$L$80,PERSONAL!$H$2:$H$80),MATCH($B338,PERSONAL!$A$2:$A$80,0)))))</f>
        <v/>
      </c>
    </row>
    <row r="339" ht="15" customHeight="1" s="58">
      <c r="A339" s="37" t="n"/>
      <c r="B339" s="38" t="n"/>
      <c r="C339" s="39" t="n"/>
      <c r="D339" s="39" t="n"/>
      <c r="E339" s="34">
        <f t="array" ref="E339">IF($B339="","",IFERROR(INDEX(PERSONAL!$B$2:$B$80,MATCH($B339,PERSONAL!$A$2:$A$80,0)),"NO EXISTE"))</f>
        <v/>
      </c>
      <c r="F339" s="52">
        <f t="array" ref="F339">IF($B339="","",IFERROR(INDEX(PERSONAL!$C$2:$C$80,MATCH($B339,PERSONAL!$A$2:$A$80,0)),""))</f>
        <v/>
      </c>
      <c r="G339" s="52">
        <f>IF($A339="","",CHOOSE(WEEKDAY($A339,2),"LUNES","MARTES","MIÉRCOLES","JUEVES","VIERNES","SÁBADO","DOMINGO"))</f>
        <v/>
      </c>
      <c r="H339" s="34">
        <f>IF($A339="","",CHOOSE(MONTH($A339),"ENERO","FEBRERO","MARZO","ABRIL","MAYO","JUNIO","JULIO","AGOSTO","SEPTIEMBRE","OCTUBRE","NOVIEMBRE","DICIEMBRE"))</f>
        <v/>
      </c>
      <c r="I339" s="34">
        <f>IF($A339="","",IF(OR($G339="SÁBADO",$G339="DOMINGO"),"FIN","LV"))</f>
        <v/>
      </c>
      <c r="J339" s="34">
        <f>IF(OR($A339="",$B339=""),"",IF($L339&lt;&gt;"",UPPER($L339),IF($C339="","FALTA",IFERROR(IF($C339&gt;=$O339,"ROJO FUERTE",IF($C339&gt;=$N339,"ROJO",IF($C339&gt;=$M339,"AMARILLO","VERDE"))),"REVISAR"))))</f>
        <v/>
      </c>
      <c r="K339" s="36">
        <f>IF(OR($C339="",$D339=""),"",IF($D339&gt;=$C339,($D339-$C339)*24,(1-$C339+$D339)*24))</f>
        <v/>
      </c>
      <c r="L339" s="34" t="n"/>
      <c r="M339" s="53">
        <f t="array" ref="M339">IFERROR(INDEX(EXCEPCIONES_FECHA!$D$2:$D$201,MATCH(1,(EXCEPCIONES_FECHA!$A$2:$A$201=$A339)*(EXCEPCIONES_FECHA!$B$2:$B$201=$B339),0)),IFERROR(INDEX(EXCEPCIONES_FECHA!$D$2:$D$201,MATCH(1,(EXCEPCIONES_FECHA!$A$2:$A$201=$A339)*(EXCEPCIONES_FECHA!$B$2:$B$201=""),0)),IFERROR(INDEX(IF($I339="FIN",HISTORIAL_HORARIOS!$J$2:$J$201,HISTORIAL_HORARIOS!$F$2:$F$201),MATCH(1,(HISTORIAL_HORARIOS!$A$2:$A$201=$B339)*(HISTORIAL_HORARIOS!$C$2:$C$201&lt;=$A339)*(HISTORIAL_HORARIOS!$D$2:$D$201&gt;=$A339),0)),INDEX(IF($I339="FIN",PERSONAL!$J$2:$J$80,PERSONAL!$F$2:$F$80),MATCH($B339,PERSONAL!$A$2:$A$80,0)))))</f>
        <v/>
      </c>
      <c r="N339" s="53">
        <f t="array" ref="N339">IFERROR(INDEX(EXCEPCIONES_FECHA!$E$2:$E$201,MATCH(1,(EXCEPCIONES_FECHA!$A$2:$A$201=$A339)*(EXCEPCIONES_FECHA!$B$2:$B$201=$B339),0)),IFERROR(INDEX(EXCEPCIONES_FECHA!$E$2:$E$201,MATCH(1,(EXCEPCIONES_FECHA!$A$2:$A$201=$A339)*(EXCEPCIONES_FECHA!$B$2:$B$201=""),0)),IFERROR(INDEX(IF($I339="FIN",HISTORIAL_HORARIOS!$K$2:$K$201,HISTORIAL_HORARIOS!$G$2:$G$201),MATCH(1,(HISTORIAL_HORARIOS!$A$2:$A$201=$B339)*(HISTORIAL_HORARIOS!$C$2:$C$201&lt;=$A339)*(HISTORIAL_HORARIOS!$D$2:$D$201&gt;=$A339),0)),INDEX(IF($I339="FIN",PERSONAL!$K$2:$K$80,PERSONAL!$G$2:$G$80),MATCH($B339,PERSONAL!$A$2:$A$80,0)))))</f>
        <v/>
      </c>
      <c r="O339" s="53">
        <f t="array" ref="O339">IFERROR(INDEX(EXCEPCIONES_FECHA!$F$2:$F$201,MATCH(1,(EXCEPCIONES_FECHA!$A$2:$A$201=$A339)*(EXCEPCIONES_FECHA!$B$2:$B$201=$B339),0)),IFERROR(INDEX(EXCEPCIONES_FECHA!$F$2:$F$201,MATCH(1,(EXCEPCIONES_FECHA!$A$2:$A$201=$A339)*(EXCEPCIONES_FECHA!$B$2:$B$201=""),0)),IFERROR(INDEX(IF($I339="FIN",HISTORIAL_HORARIOS!$L$2:$L$201,HISTORIAL_HORARIOS!$H$2:$H$201),MATCH(1,(HISTORIAL_HORARIOS!$A$2:$A$201=$B339)*(HISTORIAL_HORARIOS!$C$2:$C$201&lt;=$A339)*(HISTORIAL_HORARIOS!$D$2:$D$201&gt;=$A339),0)),INDEX(IF($I339="FIN",PERSONAL!$L$2:$L$80,PERSONAL!$H$2:$H$80),MATCH($B339,PERSONAL!$A$2:$A$80,0)))))</f>
        <v/>
      </c>
    </row>
    <row r="340" ht="15" customHeight="1" s="58">
      <c r="A340" s="37" t="n"/>
      <c r="B340" s="38" t="n"/>
      <c r="C340" s="39" t="n"/>
      <c r="D340" s="39" t="n"/>
      <c r="E340" s="34">
        <f t="array" ref="E340">IF($B340="","",IFERROR(INDEX(PERSONAL!$B$2:$B$80,MATCH($B340,PERSONAL!$A$2:$A$80,0)),"NO EXISTE"))</f>
        <v/>
      </c>
      <c r="F340" s="52">
        <f t="array" ref="F340">IF($B340="","",IFERROR(INDEX(PERSONAL!$C$2:$C$80,MATCH($B340,PERSONAL!$A$2:$A$80,0)),""))</f>
        <v/>
      </c>
      <c r="G340" s="52">
        <f>IF($A340="","",CHOOSE(WEEKDAY($A340,2),"LUNES","MARTES","MIÉRCOLES","JUEVES","VIERNES","SÁBADO","DOMINGO"))</f>
        <v/>
      </c>
      <c r="H340" s="34">
        <f>IF($A340="","",CHOOSE(MONTH($A340),"ENERO","FEBRERO","MARZO","ABRIL","MAYO","JUNIO","JULIO","AGOSTO","SEPTIEMBRE","OCTUBRE","NOVIEMBRE","DICIEMBRE"))</f>
        <v/>
      </c>
      <c r="I340" s="34">
        <f>IF($A340="","",IF(OR($G340="SÁBADO",$G340="DOMINGO"),"FIN","LV"))</f>
        <v/>
      </c>
      <c r="J340" s="34">
        <f>IF(OR($A340="",$B340=""),"",IF($L340&lt;&gt;"",UPPER($L340),IF($C340="","FALTA",IFERROR(IF($C340&gt;=$O340,"ROJO FUERTE",IF($C340&gt;=$N340,"ROJO",IF($C340&gt;=$M340,"AMARILLO","VERDE"))),"REVISAR"))))</f>
        <v/>
      </c>
      <c r="K340" s="36">
        <f>IF(OR($C340="",$D340=""),"",IF($D340&gt;=$C340,($D340-$C340)*24,(1-$C340+$D340)*24))</f>
        <v/>
      </c>
      <c r="L340" s="34" t="n"/>
      <c r="M340" s="53">
        <f t="array" ref="M340">IFERROR(INDEX(EXCEPCIONES_FECHA!$D$2:$D$201,MATCH(1,(EXCEPCIONES_FECHA!$A$2:$A$201=$A340)*(EXCEPCIONES_FECHA!$B$2:$B$201=$B340),0)),IFERROR(INDEX(EXCEPCIONES_FECHA!$D$2:$D$201,MATCH(1,(EXCEPCIONES_FECHA!$A$2:$A$201=$A340)*(EXCEPCIONES_FECHA!$B$2:$B$201=""),0)),IFERROR(INDEX(IF($I340="FIN",HISTORIAL_HORARIOS!$J$2:$J$201,HISTORIAL_HORARIOS!$F$2:$F$201),MATCH(1,(HISTORIAL_HORARIOS!$A$2:$A$201=$B340)*(HISTORIAL_HORARIOS!$C$2:$C$201&lt;=$A340)*(HISTORIAL_HORARIOS!$D$2:$D$201&gt;=$A340),0)),INDEX(IF($I340="FIN",PERSONAL!$J$2:$J$80,PERSONAL!$F$2:$F$80),MATCH($B340,PERSONAL!$A$2:$A$80,0)))))</f>
        <v/>
      </c>
      <c r="N340" s="53">
        <f t="array" ref="N340">IFERROR(INDEX(EXCEPCIONES_FECHA!$E$2:$E$201,MATCH(1,(EXCEPCIONES_FECHA!$A$2:$A$201=$A340)*(EXCEPCIONES_FECHA!$B$2:$B$201=$B340),0)),IFERROR(INDEX(EXCEPCIONES_FECHA!$E$2:$E$201,MATCH(1,(EXCEPCIONES_FECHA!$A$2:$A$201=$A340)*(EXCEPCIONES_FECHA!$B$2:$B$201=""),0)),IFERROR(INDEX(IF($I340="FIN",HISTORIAL_HORARIOS!$K$2:$K$201,HISTORIAL_HORARIOS!$G$2:$G$201),MATCH(1,(HISTORIAL_HORARIOS!$A$2:$A$201=$B340)*(HISTORIAL_HORARIOS!$C$2:$C$201&lt;=$A340)*(HISTORIAL_HORARIOS!$D$2:$D$201&gt;=$A340),0)),INDEX(IF($I340="FIN",PERSONAL!$K$2:$K$80,PERSONAL!$G$2:$G$80),MATCH($B340,PERSONAL!$A$2:$A$80,0)))))</f>
        <v/>
      </c>
      <c r="O340" s="53">
        <f t="array" ref="O340">IFERROR(INDEX(EXCEPCIONES_FECHA!$F$2:$F$201,MATCH(1,(EXCEPCIONES_FECHA!$A$2:$A$201=$A340)*(EXCEPCIONES_FECHA!$B$2:$B$201=$B340),0)),IFERROR(INDEX(EXCEPCIONES_FECHA!$F$2:$F$201,MATCH(1,(EXCEPCIONES_FECHA!$A$2:$A$201=$A340)*(EXCEPCIONES_FECHA!$B$2:$B$201=""),0)),IFERROR(INDEX(IF($I340="FIN",HISTORIAL_HORARIOS!$L$2:$L$201,HISTORIAL_HORARIOS!$H$2:$H$201),MATCH(1,(HISTORIAL_HORARIOS!$A$2:$A$201=$B340)*(HISTORIAL_HORARIOS!$C$2:$C$201&lt;=$A340)*(HISTORIAL_HORARIOS!$D$2:$D$201&gt;=$A340),0)),INDEX(IF($I340="FIN",PERSONAL!$L$2:$L$80,PERSONAL!$H$2:$H$80),MATCH($B340,PERSONAL!$A$2:$A$80,0)))))</f>
        <v/>
      </c>
    </row>
    <row r="341" ht="15" customHeight="1" s="58">
      <c r="A341" s="37" t="n"/>
      <c r="B341" s="38" t="n"/>
      <c r="C341" s="39" t="n"/>
      <c r="D341" s="39" t="n"/>
      <c r="E341" s="34">
        <f t="array" ref="E341">IF($B341="","",IFERROR(INDEX(PERSONAL!$B$2:$B$80,MATCH($B341,PERSONAL!$A$2:$A$80,0)),"NO EXISTE"))</f>
        <v/>
      </c>
      <c r="F341" s="52">
        <f t="array" ref="F341">IF($B341="","",IFERROR(INDEX(PERSONAL!$C$2:$C$80,MATCH($B341,PERSONAL!$A$2:$A$80,0)),""))</f>
        <v/>
      </c>
      <c r="G341" s="52">
        <f>IF($A341="","",CHOOSE(WEEKDAY($A341,2),"LUNES","MARTES","MIÉRCOLES","JUEVES","VIERNES","SÁBADO","DOMINGO"))</f>
        <v/>
      </c>
      <c r="H341" s="34">
        <f>IF($A341="","",CHOOSE(MONTH($A341),"ENERO","FEBRERO","MARZO","ABRIL","MAYO","JUNIO","JULIO","AGOSTO","SEPTIEMBRE","OCTUBRE","NOVIEMBRE","DICIEMBRE"))</f>
        <v/>
      </c>
      <c r="I341" s="34">
        <f>IF($A341="","",IF(OR($G341="SÁBADO",$G341="DOMINGO"),"FIN","LV"))</f>
        <v/>
      </c>
      <c r="J341" s="34">
        <f>IF(OR($A341="",$B341=""),"",IF($L341&lt;&gt;"",UPPER($L341),IF($C341="","FALTA",IFERROR(IF($C341&gt;=$O341,"ROJO FUERTE",IF($C341&gt;=$N341,"ROJO",IF($C341&gt;=$M341,"AMARILLO","VERDE"))),"REVISAR"))))</f>
        <v/>
      </c>
      <c r="K341" s="36">
        <f>IF(OR($C341="",$D341=""),"",IF($D341&gt;=$C341,($D341-$C341)*24,(1-$C341+$D341)*24))</f>
        <v/>
      </c>
      <c r="L341" s="34" t="n"/>
      <c r="M341" s="53">
        <f t="array" ref="M341">IFERROR(INDEX(EXCEPCIONES_FECHA!$D$2:$D$201,MATCH(1,(EXCEPCIONES_FECHA!$A$2:$A$201=$A341)*(EXCEPCIONES_FECHA!$B$2:$B$201=$B341),0)),IFERROR(INDEX(EXCEPCIONES_FECHA!$D$2:$D$201,MATCH(1,(EXCEPCIONES_FECHA!$A$2:$A$201=$A341)*(EXCEPCIONES_FECHA!$B$2:$B$201=""),0)),IFERROR(INDEX(IF($I341="FIN",HISTORIAL_HORARIOS!$J$2:$J$201,HISTORIAL_HORARIOS!$F$2:$F$201),MATCH(1,(HISTORIAL_HORARIOS!$A$2:$A$201=$B341)*(HISTORIAL_HORARIOS!$C$2:$C$201&lt;=$A341)*(HISTORIAL_HORARIOS!$D$2:$D$201&gt;=$A341),0)),INDEX(IF($I341="FIN",PERSONAL!$J$2:$J$80,PERSONAL!$F$2:$F$80),MATCH($B341,PERSONAL!$A$2:$A$80,0)))))</f>
        <v/>
      </c>
      <c r="N341" s="53">
        <f t="array" ref="N341">IFERROR(INDEX(EXCEPCIONES_FECHA!$E$2:$E$201,MATCH(1,(EXCEPCIONES_FECHA!$A$2:$A$201=$A341)*(EXCEPCIONES_FECHA!$B$2:$B$201=$B341),0)),IFERROR(INDEX(EXCEPCIONES_FECHA!$E$2:$E$201,MATCH(1,(EXCEPCIONES_FECHA!$A$2:$A$201=$A341)*(EXCEPCIONES_FECHA!$B$2:$B$201=""),0)),IFERROR(INDEX(IF($I341="FIN",HISTORIAL_HORARIOS!$K$2:$K$201,HISTORIAL_HORARIOS!$G$2:$G$201),MATCH(1,(HISTORIAL_HORARIOS!$A$2:$A$201=$B341)*(HISTORIAL_HORARIOS!$C$2:$C$201&lt;=$A341)*(HISTORIAL_HORARIOS!$D$2:$D$201&gt;=$A341),0)),INDEX(IF($I341="FIN",PERSONAL!$K$2:$K$80,PERSONAL!$G$2:$G$80),MATCH($B341,PERSONAL!$A$2:$A$80,0)))))</f>
        <v/>
      </c>
      <c r="O341" s="53">
        <f t="array" ref="O341">IFERROR(INDEX(EXCEPCIONES_FECHA!$F$2:$F$201,MATCH(1,(EXCEPCIONES_FECHA!$A$2:$A$201=$A341)*(EXCEPCIONES_FECHA!$B$2:$B$201=$B341),0)),IFERROR(INDEX(EXCEPCIONES_FECHA!$F$2:$F$201,MATCH(1,(EXCEPCIONES_FECHA!$A$2:$A$201=$A341)*(EXCEPCIONES_FECHA!$B$2:$B$201=""),0)),IFERROR(INDEX(IF($I341="FIN",HISTORIAL_HORARIOS!$L$2:$L$201,HISTORIAL_HORARIOS!$H$2:$H$201),MATCH(1,(HISTORIAL_HORARIOS!$A$2:$A$201=$B341)*(HISTORIAL_HORARIOS!$C$2:$C$201&lt;=$A341)*(HISTORIAL_HORARIOS!$D$2:$D$201&gt;=$A341),0)),INDEX(IF($I341="FIN",PERSONAL!$L$2:$L$80,PERSONAL!$H$2:$H$80),MATCH($B341,PERSONAL!$A$2:$A$80,0)))))</f>
        <v/>
      </c>
    </row>
    <row r="342" ht="15" customHeight="1" s="58">
      <c r="A342" s="37" t="n"/>
      <c r="B342" s="38" t="n"/>
      <c r="C342" s="39" t="n"/>
      <c r="D342" s="39" t="n"/>
      <c r="E342" s="34">
        <f t="array" ref="E342">IF($B342="","",IFERROR(INDEX(PERSONAL!$B$2:$B$80,MATCH($B342,PERSONAL!$A$2:$A$80,0)),"NO EXISTE"))</f>
        <v/>
      </c>
      <c r="F342" s="52">
        <f t="array" ref="F342">IF($B342="","",IFERROR(INDEX(PERSONAL!$C$2:$C$80,MATCH($B342,PERSONAL!$A$2:$A$80,0)),""))</f>
        <v/>
      </c>
      <c r="G342" s="52">
        <f>IF($A342="","",CHOOSE(WEEKDAY($A342,2),"LUNES","MARTES","MIÉRCOLES","JUEVES","VIERNES","SÁBADO","DOMINGO"))</f>
        <v/>
      </c>
      <c r="H342" s="34">
        <f>IF($A342="","",CHOOSE(MONTH($A342),"ENERO","FEBRERO","MARZO","ABRIL","MAYO","JUNIO","JULIO","AGOSTO","SEPTIEMBRE","OCTUBRE","NOVIEMBRE","DICIEMBRE"))</f>
        <v/>
      </c>
      <c r="I342" s="34">
        <f>IF($A342="","",IF(OR($G342="SÁBADO",$G342="DOMINGO"),"FIN","LV"))</f>
        <v/>
      </c>
      <c r="J342" s="34">
        <f>IF(OR($A342="",$B342=""),"",IF($L342&lt;&gt;"",UPPER($L342),IF($C342="","FALTA",IFERROR(IF($C342&gt;=$O342,"ROJO FUERTE",IF($C342&gt;=$N342,"ROJO",IF($C342&gt;=$M342,"AMARILLO","VERDE"))),"REVISAR"))))</f>
        <v/>
      </c>
      <c r="K342" s="36">
        <f>IF(OR($C342="",$D342=""),"",IF($D342&gt;=$C342,($D342-$C342)*24,(1-$C342+$D342)*24))</f>
        <v/>
      </c>
      <c r="L342" s="34" t="n"/>
      <c r="M342" s="53">
        <f t="array" ref="M342">IFERROR(INDEX(EXCEPCIONES_FECHA!$D$2:$D$201,MATCH(1,(EXCEPCIONES_FECHA!$A$2:$A$201=$A342)*(EXCEPCIONES_FECHA!$B$2:$B$201=$B342),0)),IFERROR(INDEX(EXCEPCIONES_FECHA!$D$2:$D$201,MATCH(1,(EXCEPCIONES_FECHA!$A$2:$A$201=$A342)*(EXCEPCIONES_FECHA!$B$2:$B$201=""),0)),IFERROR(INDEX(IF($I342="FIN",HISTORIAL_HORARIOS!$J$2:$J$201,HISTORIAL_HORARIOS!$F$2:$F$201),MATCH(1,(HISTORIAL_HORARIOS!$A$2:$A$201=$B342)*(HISTORIAL_HORARIOS!$C$2:$C$201&lt;=$A342)*(HISTORIAL_HORARIOS!$D$2:$D$201&gt;=$A342),0)),INDEX(IF($I342="FIN",PERSONAL!$J$2:$J$80,PERSONAL!$F$2:$F$80),MATCH($B342,PERSONAL!$A$2:$A$80,0)))))</f>
        <v/>
      </c>
      <c r="N342" s="53">
        <f t="array" ref="N342">IFERROR(INDEX(EXCEPCIONES_FECHA!$E$2:$E$201,MATCH(1,(EXCEPCIONES_FECHA!$A$2:$A$201=$A342)*(EXCEPCIONES_FECHA!$B$2:$B$201=$B342),0)),IFERROR(INDEX(EXCEPCIONES_FECHA!$E$2:$E$201,MATCH(1,(EXCEPCIONES_FECHA!$A$2:$A$201=$A342)*(EXCEPCIONES_FECHA!$B$2:$B$201=""),0)),IFERROR(INDEX(IF($I342="FIN",HISTORIAL_HORARIOS!$K$2:$K$201,HISTORIAL_HORARIOS!$G$2:$G$201),MATCH(1,(HISTORIAL_HORARIOS!$A$2:$A$201=$B342)*(HISTORIAL_HORARIOS!$C$2:$C$201&lt;=$A342)*(HISTORIAL_HORARIOS!$D$2:$D$201&gt;=$A342),0)),INDEX(IF($I342="FIN",PERSONAL!$K$2:$K$80,PERSONAL!$G$2:$G$80),MATCH($B342,PERSONAL!$A$2:$A$80,0)))))</f>
        <v/>
      </c>
      <c r="O342" s="53">
        <f t="array" ref="O342">IFERROR(INDEX(EXCEPCIONES_FECHA!$F$2:$F$201,MATCH(1,(EXCEPCIONES_FECHA!$A$2:$A$201=$A342)*(EXCEPCIONES_FECHA!$B$2:$B$201=$B342),0)),IFERROR(INDEX(EXCEPCIONES_FECHA!$F$2:$F$201,MATCH(1,(EXCEPCIONES_FECHA!$A$2:$A$201=$A342)*(EXCEPCIONES_FECHA!$B$2:$B$201=""),0)),IFERROR(INDEX(IF($I342="FIN",HISTORIAL_HORARIOS!$L$2:$L$201,HISTORIAL_HORARIOS!$H$2:$H$201),MATCH(1,(HISTORIAL_HORARIOS!$A$2:$A$201=$B342)*(HISTORIAL_HORARIOS!$C$2:$C$201&lt;=$A342)*(HISTORIAL_HORARIOS!$D$2:$D$201&gt;=$A342),0)),INDEX(IF($I342="FIN",PERSONAL!$L$2:$L$80,PERSONAL!$H$2:$H$80),MATCH($B342,PERSONAL!$A$2:$A$80,0)))))</f>
        <v/>
      </c>
    </row>
    <row r="343" ht="15" customHeight="1" s="58">
      <c r="A343" s="37" t="n"/>
      <c r="B343" s="38" t="n"/>
      <c r="C343" s="39" t="n"/>
      <c r="D343" s="39" t="n"/>
      <c r="E343" s="34">
        <f t="array" ref="E343">IF($B343="","",IFERROR(INDEX(PERSONAL!$B$2:$B$80,MATCH($B343,PERSONAL!$A$2:$A$80,0)),"NO EXISTE"))</f>
        <v/>
      </c>
      <c r="F343" s="52">
        <f t="array" ref="F343">IF($B343="","",IFERROR(INDEX(PERSONAL!$C$2:$C$80,MATCH($B343,PERSONAL!$A$2:$A$80,0)),""))</f>
        <v/>
      </c>
      <c r="G343" s="52">
        <f>IF($A343="","",CHOOSE(WEEKDAY($A343,2),"LUNES","MARTES","MIÉRCOLES","JUEVES","VIERNES","SÁBADO","DOMINGO"))</f>
        <v/>
      </c>
      <c r="H343" s="34">
        <f>IF($A343="","",CHOOSE(MONTH($A343),"ENERO","FEBRERO","MARZO","ABRIL","MAYO","JUNIO","JULIO","AGOSTO","SEPTIEMBRE","OCTUBRE","NOVIEMBRE","DICIEMBRE"))</f>
        <v/>
      </c>
      <c r="I343" s="34">
        <f>IF($A343="","",IF(OR($G343="SÁBADO",$G343="DOMINGO"),"FIN","LV"))</f>
        <v/>
      </c>
      <c r="J343" s="34">
        <f>IF(OR($A343="",$B343=""),"",IF($L343&lt;&gt;"",UPPER($L343),IF($C343="","FALTA",IFERROR(IF($C343&gt;=$O343,"ROJO FUERTE",IF($C343&gt;=$N343,"ROJO",IF($C343&gt;=$M343,"AMARILLO","VERDE"))),"REVISAR"))))</f>
        <v/>
      </c>
      <c r="K343" s="36">
        <f>IF(OR($C343="",$D343=""),"",IF($D343&gt;=$C343,($D343-$C343)*24,(1-$C343+$D343)*24))</f>
        <v/>
      </c>
      <c r="L343" s="34" t="n"/>
      <c r="M343" s="53">
        <f t="array" ref="M343">IFERROR(INDEX(EXCEPCIONES_FECHA!$D$2:$D$201,MATCH(1,(EXCEPCIONES_FECHA!$A$2:$A$201=$A343)*(EXCEPCIONES_FECHA!$B$2:$B$201=$B343),0)),IFERROR(INDEX(EXCEPCIONES_FECHA!$D$2:$D$201,MATCH(1,(EXCEPCIONES_FECHA!$A$2:$A$201=$A343)*(EXCEPCIONES_FECHA!$B$2:$B$201=""),0)),IFERROR(INDEX(IF($I343="FIN",HISTORIAL_HORARIOS!$J$2:$J$201,HISTORIAL_HORARIOS!$F$2:$F$201),MATCH(1,(HISTORIAL_HORARIOS!$A$2:$A$201=$B343)*(HISTORIAL_HORARIOS!$C$2:$C$201&lt;=$A343)*(HISTORIAL_HORARIOS!$D$2:$D$201&gt;=$A343),0)),INDEX(IF($I343="FIN",PERSONAL!$J$2:$J$80,PERSONAL!$F$2:$F$80),MATCH($B343,PERSONAL!$A$2:$A$80,0)))))</f>
        <v/>
      </c>
      <c r="N343" s="53">
        <f t="array" ref="N343">IFERROR(INDEX(EXCEPCIONES_FECHA!$E$2:$E$201,MATCH(1,(EXCEPCIONES_FECHA!$A$2:$A$201=$A343)*(EXCEPCIONES_FECHA!$B$2:$B$201=$B343),0)),IFERROR(INDEX(EXCEPCIONES_FECHA!$E$2:$E$201,MATCH(1,(EXCEPCIONES_FECHA!$A$2:$A$201=$A343)*(EXCEPCIONES_FECHA!$B$2:$B$201=""),0)),IFERROR(INDEX(IF($I343="FIN",HISTORIAL_HORARIOS!$K$2:$K$201,HISTORIAL_HORARIOS!$G$2:$G$201),MATCH(1,(HISTORIAL_HORARIOS!$A$2:$A$201=$B343)*(HISTORIAL_HORARIOS!$C$2:$C$201&lt;=$A343)*(HISTORIAL_HORARIOS!$D$2:$D$201&gt;=$A343),0)),INDEX(IF($I343="FIN",PERSONAL!$K$2:$K$80,PERSONAL!$G$2:$G$80),MATCH($B343,PERSONAL!$A$2:$A$80,0)))))</f>
        <v/>
      </c>
      <c r="O343" s="53">
        <f t="array" ref="O343">IFERROR(INDEX(EXCEPCIONES_FECHA!$F$2:$F$201,MATCH(1,(EXCEPCIONES_FECHA!$A$2:$A$201=$A343)*(EXCEPCIONES_FECHA!$B$2:$B$201=$B343),0)),IFERROR(INDEX(EXCEPCIONES_FECHA!$F$2:$F$201,MATCH(1,(EXCEPCIONES_FECHA!$A$2:$A$201=$A343)*(EXCEPCIONES_FECHA!$B$2:$B$201=""),0)),IFERROR(INDEX(IF($I343="FIN",HISTORIAL_HORARIOS!$L$2:$L$201,HISTORIAL_HORARIOS!$H$2:$H$201),MATCH(1,(HISTORIAL_HORARIOS!$A$2:$A$201=$B343)*(HISTORIAL_HORARIOS!$C$2:$C$201&lt;=$A343)*(HISTORIAL_HORARIOS!$D$2:$D$201&gt;=$A343),0)),INDEX(IF($I343="FIN",PERSONAL!$L$2:$L$80,PERSONAL!$H$2:$H$80),MATCH($B343,PERSONAL!$A$2:$A$80,0)))))</f>
        <v/>
      </c>
    </row>
    <row r="344" ht="15" customHeight="1" s="58">
      <c r="A344" s="37" t="n"/>
      <c r="B344" s="38" t="n"/>
      <c r="C344" s="39" t="n"/>
      <c r="D344" s="39" t="n"/>
      <c r="E344" s="34">
        <f t="array" ref="E344">IF($B344="","",IFERROR(INDEX(PERSONAL!$B$2:$B$80,MATCH($B344,PERSONAL!$A$2:$A$80,0)),"NO EXISTE"))</f>
        <v/>
      </c>
      <c r="F344" s="52">
        <f t="array" ref="F344">IF($B344="","",IFERROR(INDEX(PERSONAL!$C$2:$C$80,MATCH($B344,PERSONAL!$A$2:$A$80,0)),""))</f>
        <v/>
      </c>
      <c r="G344" s="52">
        <f>IF($A344="","",CHOOSE(WEEKDAY($A344,2),"LUNES","MARTES","MIÉRCOLES","JUEVES","VIERNES","SÁBADO","DOMINGO"))</f>
        <v/>
      </c>
      <c r="H344" s="34">
        <f>IF($A344="","",CHOOSE(MONTH($A344),"ENERO","FEBRERO","MARZO","ABRIL","MAYO","JUNIO","JULIO","AGOSTO","SEPTIEMBRE","OCTUBRE","NOVIEMBRE","DICIEMBRE"))</f>
        <v/>
      </c>
      <c r="I344" s="34">
        <f>IF($A344="","",IF(OR($G344="SÁBADO",$G344="DOMINGO"),"FIN","LV"))</f>
        <v/>
      </c>
      <c r="J344" s="34">
        <f>IF(OR($A344="",$B344=""),"",IF($L344&lt;&gt;"",UPPER($L344),IF($C344="","FALTA",IFERROR(IF($C344&gt;=$O344,"ROJO FUERTE",IF($C344&gt;=$N344,"ROJO",IF($C344&gt;=$M344,"AMARILLO","VERDE"))),"REVISAR"))))</f>
        <v/>
      </c>
      <c r="K344" s="36">
        <f>IF(OR($C344="",$D344=""),"",IF($D344&gt;=$C344,($D344-$C344)*24,(1-$C344+$D344)*24))</f>
        <v/>
      </c>
      <c r="L344" s="34" t="n"/>
      <c r="M344" s="53">
        <f t="array" ref="M344">IFERROR(INDEX(EXCEPCIONES_FECHA!$D$2:$D$201,MATCH(1,(EXCEPCIONES_FECHA!$A$2:$A$201=$A344)*(EXCEPCIONES_FECHA!$B$2:$B$201=$B344),0)),IFERROR(INDEX(EXCEPCIONES_FECHA!$D$2:$D$201,MATCH(1,(EXCEPCIONES_FECHA!$A$2:$A$201=$A344)*(EXCEPCIONES_FECHA!$B$2:$B$201=""),0)),IFERROR(INDEX(IF($I344="FIN",HISTORIAL_HORARIOS!$J$2:$J$201,HISTORIAL_HORARIOS!$F$2:$F$201),MATCH(1,(HISTORIAL_HORARIOS!$A$2:$A$201=$B344)*(HISTORIAL_HORARIOS!$C$2:$C$201&lt;=$A344)*(HISTORIAL_HORARIOS!$D$2:$D$201&gt;=$A344),0)),INDEX(IF($I344="FIN",PERSONAL!$J$2:$J$80,PERSONAL!$F$2:$F$80),MATCH($B344,PERSONAL!$A$2:$A$80,0)))))</f>
        <v/>
      </c>
      <c r="N344" s="53">
        <f t="array" ref="N344">IFERROR(INDEX(EXCEPCIONES_FECHA!$E$2:$E$201,MATCH(1,(EXCEPCIONES_FECHA!$A$2:$A$201=$A344)*(EXCEPCIONES_FECHA!$B$2:$B$201=$B344),0)),IFERROR(INDEX(EXCEPCIONES_FECHA!$E$2:$E$201,MATCH(1,(EXCEPCIONES_FECHA!$A$2:$A$201=$A344)*(EXCEPCIONES_FECHA!$B$2:$B$201=""),0)),IFERROR(INDEX(IF($I344="FIN",HISTORIAL_HORARIOS!$K$2:$K$201,HISTORIAL_HORARIOS!$G$2:$G$201),MATCH(1,(HISTORIAL_HORARIOS!$A$2:$A$201=$B344)*(HISTORIAL_HORARIOS!$C$2:$C$201&lt;=$A344)*(HISTORIAL_HORARIOS!$D$2:$D$201&gt;=$A344),0)),INDEX(IF($I344="FIN",PERSONAL!$K$2:$K$80,PERSONAL!$G$2:$G$80),MATCH($B344,PERSONAL!$A$2:$A$80,0)))))</f>
        <v/>
      </c>
      <c r="O344" s="53">
        <f t="array" ref="O344">IFERROR(INDEX(EXCEPCIONES_FECHA!$F$2:$F$201,MATCH(1,(EXCEPCIONES_FECHA!$A$2:$A$201=$A344)*(EXCEPCIONES_FECHA!$B$2:$B$201=$B344),0)),IFERROR(INDEX(EXCEPCIONES_FECHA!$F$2:$F$201,MATCH(1,(EXCEPCIONES_FECHA!$A$2:$A$201=$A344)*(EXCEPCIONES_FECHA!$B$2:$B$201=""),0)),IFERROR(INDEX(IF($I344="FIN",HISTORIAL_HORARIOS!$L$2:$L$201,HISTORIAL_HORARIOS!$H$2:$H$201),MATCH(1,(HISTORIAL_HORARIOS!$A$2:$A$201=$B344)*(HISTORIAL_HORARIOS!$C$2:$C$201&lt;=$A344)*(HISTORIAL_HORARIOS!$D$2:$D$201&gt;=$A344),0)),INDEX(IF($I344="FIN",PERSONAL!$L$2:$L$80,PERSONAL!$H$2:$H$80),MATCH($B344,PERSONAL!$A$2:$A$80,0)))))</f>
        <v/>
      </c>
    </row>
    <row r="345" ht="15" customHeight="1" s="58">
      <c r="A345" s="37" t="n"/>
      <c r="B345" s="38" t="n"/>
      <c r="C345" s="39" t="n"/>
      <c r="D345" s="39" t="n"/>
      <c r="E345" s="34">
        <f t="array" ref="E345">IF($B345="","",IFERROR(INDEX(PERSONAL!$B$2:$B$80,MATCH($B345,PERSONAL!$A$2:$A$80,0)),"NO EXISTE"))</f>
        <v/>
      </c>
      <c r="F345" s="52">
        <f t="array" ref="F345">IF($B345="","",IFERROR(INDEX(PERSONAL!$C$2:$C$80,MATCH($B345,PERSONAL!$A$2:$A$80,0)),""))</f>
        <v/>
      </c>
      <c r="G345" s="52">
        <f>IF($A345="","",CHOOSE(WEEKDAY($A345,2),"LUNES","MARTES","MIÉRCOLES","JUEVES","VIERNES","SÁBADO","DOMINGO"))</f>
        <v/>
      </c>
      <c r="H345" s="34">
        <f>IF($A345="","",CHOOSE(MONTH($A345),"ENERO","FEBRERO","MARZO","ABRIL","MAYO","JUNIO","JULIO","AGOSTO","SEPTIEMBRE","OCTUBRE","NOVIEMBRE","DICIEMBRE"))</f>
        <v/>
      </c>
      <c r="I345" s="34">
        <f>IF($A345="","",IF(OR($G345="SÁBADO",$G345="DOMINGO"),"FIN","LV"))</f>
        <v/>
      </c>
      <c r="J345" s="34">
        <f>IF(OR($A345="",$B345=""),"",IF($L345&lt;&gt;"",UPPER($L345),IF($C345="","FALTA",IFERROR(IF($C345&gt;=$O345,"ROJO FUERTE",IF($C345&gt;=$N345,"ROJO",IF($C345&gt;=$M345,"AMARILLO","VERDE"))),"REVISAR"))))</f>
        <v/>
      </c>
      <c r="K345" s="36">
        <f>IF(OR($C345="",$D345=""),"",IF($D345&gt;=$C345,($D345-$C345)*24,(1-$C345+$D345)*24))</f>
        <v/>
      </c>
      <c r="L345" s="34" t="n"/>
      <c r="M345" s="53">
        <f t="array" ref="M345">IFERROR(INDEX(EXCEPCIONES_FECHA!$D$2:$D$201,MATCH(1,(EXCEPCIONES_FECHA!$A$2:$A$201=$A345)*(EXCEPCIONES_FECHA!$B$2:$B$201=$B345),0)),IFERROR(INDEX(EXCEPCIONES_FECHA!$D$2:$D$201,MATCH(1,(EXCEPCIONES_FECHA!$A$2:$A$201=$A345)*(EXCEPCIONES_FECHA!$B$2:$B$201=""),0)),IFERROR(INDEX(IF($I345="FIN",HISTORIAL_HORARIOS!$J$2:$J$201,HISTORIAL_HORARIOS!$F$2:$F$201),MATCH(1,(HISTORIAL_HORARIOS!$A$2:$A$201=$B345)*(HISTORIAL_HORARIOS!$C$2:$C$201&lt;=$A345)*(HISTORIAL_HORARIOS!$D$2:$D$201&gt;=$A345),0)),INDEX(IF($I345="FIN",PERSONAL!$J$2:$J$80,PERSONAL!$F$2:$F$80),MATCH($B345,PERSONAL!$A$2:$A$80,0)))))</f>
        <v/>
      </c>
      <c r="N345" s="53">
        <f t="array" ref="N345">IFERROR(INDEX(EXCEPCIONES_FECHA!$E$2:$E$201,MATCH(1,(EXCEPCIONES_FECHA!$A$2:$A$201=$A345)*(EXCEPCIONES_FECHA!$B$2:$B$201=$B345),0)),IFERROR(INDEX(EXCEPCIONES_FECHA!$E$2:$E$201,MATCH(1,(EXCEPCIONES_FECHA!$A$2:$A$201=$A345)*(EXCEPCIONES_FECHA!$B$2:$B$201=""),0)),IFERROR(INDEX(IF($I345="FIN",HISTORIAL_HORARIOS!$K$2:$K$201,HISTORIAL_HORARIOS!$G$2:$G$201),MATCH(1,(HISTORIAL_HORARIOS!$A$2:$A$201=$B345)*(HISTORIAL_HORARIOS!$C$2:$C$201&lt;=$A345)*(HISTORIAL_HORARIOS!$D$2:$D$201&gt;=$A345),0)),INDEX(IF($I345="FIN",PERSONAL!$K$2:$K$80,PERSONAL!$G$2:$G$80),MATCH($B345,PERSONAL!$A$2:$A$80,0)))))</f>
        <v/>
      </c>
      <c r="O345" s="53">
        <f t="array" ref="O345">IFERROR(INDEX(EXCEPCIONES_FECHA!$F$2:$F$201,MATCH(1,(EXCEPCIONES_FECHA!$A$2:$A$201=$A345)*(EXCEPCIONES_FECHA!$B$2:$B$201=$B345),0)),IFERROR(INDEX(EXCEPCIONES_FECHA!$F$2:$F$201,MATCH(1,(EXCEPCIONES_FECHA!$A$2:$A$201=$A345)*(EXCEPCIONES_FECHA!$B$2:$B$201=""),0)),IFERROR(INDEX(IF($I345="FIN",HISTORIAL_HORARIOS!$L$2:$L$201,HISTORIAL_HORARIOS!$H$2:$H$201),MATCH(1,(HISTORIAL_HORARIOS!$A$2:$A$201=$B345)*(HISTORIAL_HORARIOS!$C$2:$C$201&lt;=$A345)*(HISTORIAL_HORARIOS!$D$2:$D$201&gt;=$A345),0)),INDEX(IF($I345="FIN",PERSONAL!$L$2:$L$80,PERSONAL!$H$2:$H$80),MATCH($B345,PERSONAL!$A$2:$A$80,0)))))</f>
        <v/>
      </c>
    </row>
    <row r="346" ht="15" customHeight="1" s="58">
      <c r="A346" s="37" t="n"/>
      <c r="B346" s="38" t="n"/>
      <c r="C346" s="39" t="n"/>
      <c r="D346" s="39" t="n"/>
      <c r="E346" s="34">
        <f t="array" ref="E346">IF($B346="","",IFERROR(INDEX(PERSONAL!$B$2:$B$80,MATCH($B346,PERSONAL!$A$2:$A$80,0)),"NO EXISTE"))</f>
        <v/>
      </c>
      <c r="F346" s="52">
        <f t="array" ref="F346">IF($B346="","",IFERROR(INDEX(PERSONAL!$C$2:$C$80,MATCH($B346,PERSONAL!$A$2:$A$80,0)),""))</f>
        <v/>
      </c>
      <c r="G346" s="52">
        <f>IF($A346="","",CHOOSE(WEEKDAY($A346,2),"LUNES","MARTES","MIÉRCOLES","JUEVES","VIERNES","SÁBADO","DOMINGO"))</f>
        <v/>
      </c>
      <c r="H346" s="34">
        <f>IF($A346="","",CHOOSE(MONTH($A346),"ENERO","FEBRERO","MARZO","ABRIL","MAYO","JUNIO","JULIO","AGOSTO","SEPTIEMBRE","OCTUBRE","NOVIEMBRE","DICIEMBRE"))</f>
        <v/>
      </c>
      <c r="I346" s="34">
        <f>IF($A346="","",IF(OR($G346="SÁBADO",$G346="DOMINGO"),"FIN","LV"))</f>
        <v/>
      </c>
      <c r="J346" s="34">
        <f>IF(OR($A346="",$B346=""),"",IF($L346&lt;&gt;"",UPPER($L346),IF($C346="","FALTA",IFERROR(IF($C346&gt;=$O346,"ROJO FUERTE",IF($C346&gt;=$N346,"ROJO",IF($C346&gt;=$M346,"AMARILLO","VERDE"))),"REVISAR"))))</f>
        <v/>
      </c>
      <c r="K346" s="36">
        <f>IF(OR($C346="",$D346=""),"",IF($D346&gt;=$C346,($D346-$C346)*24,(1-$C346+$D346)*24))</f>
        <v/>
      </c>
      <c r="L346" s="34" t="n"/>
      <c r="M346" s="53">
        <f t="array" ref="M346">IFERROR(INDEX(EXCEPCIONES_FECHA!$D$2:$D$201,MATCH(1,(EXCEPCIONES_FECHA!$A$2:$A$201=$A346)*(EXCEPCIONES_FECHA!$B$2:$B$201=$B346),0)),IFERROR(INDEX(EXCEPCIONES_FECHA!$D$2:$D$201,MATCH(1,(EXCEPCIONES_FECHA!$A$2:$A$201=$A346)*(EXCEPCIONES_FECHA!$B$2:$B$201=""),0)),IFERROR(INDEX(IF($I346="FIN",HISTORIAL_HORARIOS!$J$2:$J$201,HISTORIAL_HORARIOS!$F$2:$F$201),MATCH(1,(HISTORIAL_HORARIOS!$A$2:$A$201=$B346)*(HISTORIAL_HORARIOS!$C$2:$C$201&lt;=$A346)*(HISTORIAL_HORARIOS!$D$2:$D$201&gt;=$A346),0)),INDEX(IF($I346="FIN",PERSONAL!$J$2:$J$80,PERSONAL!$F$2:$F$80),MATCH($B346,PERSONAL!$A$2:$A$80,0)))))</f>
        <v/>
      </c>
      <c r="N346" s="53">
        <f t="array" ref="N346">IFERROR(INDEX(EXCEPCIONES_FECHA!$E$2:$E$201,MATCH(1,(EXCEPCIONES_FECHA!$A$2:$A$201=$A346)*(EXCEPCIONES_FECHA!$B$2:$B$201=$B346),0)),IFERROR(INDEX(EXCEPCIONES_FECHA!$E$2:$E$201,MATCH(1,(EXCEPCIONES_FECHA!$A$2:$A$201=$A346)*(EXCEPCIONES_FECHA!$B$2:$B$201=""),0)),IFERROR(INDEX(IF($I346="FIN",HISTORIAL_HORARIOS!$K$2:$K$201,HISTORIAL_HORARIOS!$G$2:$G$201),MATCH(1,(HISTORIAL_HORARIOS!$A$2:$A$201=$B346)*(HISTORIAL_HORARIOS!$C$2:$C$201&lt;=$A346)*(HISTORIAL_HORARIOS!$D$2:$D$201&gt;=$A346),0)),INDEX(IF($I346="FIN",PERSONAL!$K$2:$K$80,PERSONAL!$G$2:$G$80),MATCH($B346,PERSONAL!$A$2:$A$80,0)))))</f>
        <v/>
      </c>
      <c r="O346" s="53">
        <f t="array" ref="O346">IFERROR(INDEX(EXCEPCIONES_FECHA!$F$2:$F$201,MATCH(1,(EXCEPCIONES_FECHA!$A$2:$A$201=$A346)*(EXCEPCIONES_FECHA!$B$2:$B$201=$B346),0)),IFERROR(INDEX(EXCEPCIONES_FECHA!$F$2:$F$201,MATCH(1,(EXCEPCIONES_FECHA!$A$2:$A$201=$A346)*(EXCEPCIONES_FECHA!$B$2:$B$201=""),0)),IFERROR(INDEX(IF($I346="FIN",HISTORIAL_HORARIOS!$L$2:$L$201,HISTORIAL_HORARIOS!$H$2:$H$201),MATCH(1,(HISTORIAL_HORARIOS!$A$2:$A$201=$B346)*(HISTORIAL_HORARIOS!$C$2:$C$201&lt;=$A346)*(HISTORIAL_HORARIOS!$D$2:$D$201&gt;=$A346),0)),INDEX(IF($I346="FIN",PERSONAL!$L$2:$L$80,PERSONAL!$H$2:$H$80),MATCH($B346,PERSONAL!$A$2:$A$80,0)))))</f>
        <v/>
      </c>
    </row>
    <row r="347" ht="15" customHeight="1" s="58">
      <c r="A347" s="37" t="n"/>
      <c r="B347" s="38" t="n"/>
      <c r="C347" s="39" t="n"/>
      <c r="D347" s="39" t="n"/>
      <c r="E347" s="34">
        <f t="array" ref="E347">IF($B347="","",IFERROR(INDEX(PERSONAL!$B$2:$B$80,MATCH($B347,PERSONAL!$A$2:$A$80,0)),"NO EXISTE"))</f>
        <v/>
      </c>
      <c r="F347" s="52">
        <f t="array" ref="F347">IF($B347="","",IFERROR(INDEX(PERSONAL!$C$2:$C$80,MATCH($B347,PERSONAL!$A$2:$A$80,0)),""))</f>
        <v/>
      </c>
      <c r="G347" s="52">
        <f>IF($A347="","",CHOOSE(WEEKDAY($A347,2),"LUNES","MARTES","MIÉRCOLES","JUEVES","VIERNES","SÁBADO","DOMINGO"))</f>
        <v/>
      </c>
      <c r="H347" s="34">
        <f>IF($A347="","",CHOOSE(MONTH($A347),"ENERO","FEBRERO","MARZO","ABRIL","MAYO","JUNIO","JULIO","AGOSTO","SEPTIEMBRE","OCTUBRE","NOVIEMBRE","DICIEMBRE"))</f>
        <v/>
      </c>
      <c r="I347" s="34">
        <f>IF($A347="","",IF(OR($G347="SÁBADO",$G347="DOMINGO"),"FIN","LV"))</f>
        <v/>
      </c>
      <c r="J347" s="34">
        <f>IF(OR($A347="",$B347=""),"",IF($L347&lt;&gt;"",UPPER($L347),IF($C347="","FALTA",IFERROR(IF($C347&gt;=$O347,"ROJO FUERTE",IF($C347&gt;=$N347,"ROJO",IF($C347&gt;=$M347,"AMARILLO","VERDE"))),"REVISAR"))))</f>
        <v/>
      </c>
      <c r="K347" s="36">
        <f>IF(OR($C347="",$D347=""),"",IF($D347&gt;=$C347,($D347-$C347)*24,(1-$C347+$D347)*24))</f>
        <v/>
      </c>
      <c r="L347" s="34" t="n"/>
      <c r="M347" s="53">
        <f t="array" ref="M347">IFERROR(INDEX(EXCEPCIONES_FECHA!$D$2:$D$201,MATCH(1,(EXCEPCIONES_FECHA!$A$2:$A$201=$A347)*(EXCEPCIONES_FECHA!$B$2:$B$201=$B347),0)),IFERROR(INDEX(EXCEPCIONES_FECHA!$D$2:$D$201,MATCH(1,(EXCEPCIONES_FECHA!$A$2:$A$201=$A347)*(EXCEPCIONES_FECHA!$B$2:$B$201=""),0)),IFERROR(INDEX(IF($I347="FIN",HISTORIAL_HORARIOS!$J$2:$J$201,HISTORIAL_HORARIOS!$F$2:$F$201),MATCH(1,(HISTORIAL_HORARIOS!$A$2:$A$201=$B347)*(HISTORIAL_HORARIOS!$C$2:$C$201&lt;=$A347)*(HISTORIAL_HORARIOS!$D$2:$D$201&gt;=$A347),0)),INDEX(IF($I347="FIN",PERSONAL!$J$2:$J$80,PERSONAL!$F$2:$F$80),MATCH($B347,PERSONAL!$A$2:$A$80,0)))))</f>
        <v/>
      </c>
      <c r="N347" s="53">
        <f t="array" ref="N347">IFERROR(INDEX(EXCEPCIONES_FECHA!$E$2:$E$201,MATCH(1,(EXCEPCIONES_FECHA!$A$2:$A$201=$A347)*(EXCEPCIONES_FECHA!$B$2:$B$201=$B347),0)),IFERROR(INDEX(EXCEPCIONES_FECHA!$E$2:$E$201,MATCH(1,(EXCEPCIONES_FECHA!$A$2:$A$201=$A347)*(EXCEPCIONES_FECHA!$B$2:$B$201=""),0)),IFERROR(INDEX(IF($I347="FIN",HISTORIAL_HORARIOS!$K$2:$K$201,HISTORIAL_HORARIOS!$G$2:$G$201),MATCH(1,(HISTORIAL_HORARIOS!$A$2:$A$201=$B347)*(HISTORIAL_HORARIOS!$C$2:$C$201&lt;=$A347)*(HISTORIAL_HORARIOS!$D$2:$D$201&gt;=$A347),0)),INDEX(IF($I347="FIN",PERSONAL!$K$2:$K$80,PERSONAL!$G$2:$G$80),MATCH($B347,PERSONAL!$A$2:$A$80,0)))))</f>
        <v/>
      </c>
      <c r="O347" s="53">
        <f t="array" ref="O347">IFERROR(INDEX(EXCEPCIONES_FECHA!$F$2:$F$201,MATCH(1,(EXCEPCIONES_FECHA!$A$2:$A$201=$A347)*(EXCEPCIONES_FECHA!$B$2:$B$201=$B347),0)),IFERROR(INDEX(EXCEPCIONES_FECHA!$F$2:$F$201,MATCH(1,(EXCEPCIONES_FECHA!$A$2:$A$201=$A347)*(EXCEPCIONES_FECHA!$B$2:$B$201=""),0)),IFERROR(INDEX(IF($I347="FIN",HISTORIAL_HORARIOS!$L$2:$L$201,HISTORIAL_HORARIOS!$H$2:$H$201),MATCH(1,(HISTORIAL_HORARIOS!$A$2:$A$201=$B347)*(HISTORIAL_HORARIOS!$C$2:$C$201&lt;=$A347)*(HISTORIAL_HORARIOS!$D$2:$D$201&gt;=$A347),0)),INDEX(IF($I347="FIN",PERSONAL!$L$2:$L$80,PERSONAL!$H$2:$H$80),MATCH($B347,PERSONAL!$A$2:$A$80,0)))))</f>
        <v/>
      </c>
    </row>
    <row r="348" ht="15" customHeight="1" s="58">
      <c r="A348" s="37" t="n"/>
      <c r="B348" s="38" t="n"/>
      <c r="C348" s="39" t="n"/>
      <c r="D348" s="39" t="n"/>
      <c r="E348" s="34">
        <f t="array" ref="E348">IF($B348="","",IFERROR(INDEX(PERSONAL!$B$2:$B$80,MATCH($B348,PERSONAL!$A$2:$A$80,0)),"NO EXISTE"))</f>
        <v/>
      </c>
      <c r="F348" s="52">
        <f t="array" ref="F348">IF($B348="","",IFERROR(INDEX(PERSONAL!$C$2:$C$80,MATCH($B348,PERSONAL!$A$2:$A$80,0)),""))</f>
        <v/>
      </c>
      <c r="G348" s="52">
        <f>IF($A348="","",CHOOSE(WEEKDAY($A348,2),"LUNES","MARTES","MIÉRCOLES","JUEVES","VIERNES","SÁBADO","DOMINGO"))</f>
        <v/>
      </c>
      <c r="H348" s="34">
        <f>IF($A348="","",CHOOSE(MONTH($A348),"ENERO","FEBRERO","MARZO","ABRIL","MAYO","JUNIO","JULIO","AGOSTO","SEPTIEMBRE","OCTUBRE","NOVIEMBRE","DICIEMBRE"))</f>
        <v/>
      </c>
      <c r="I348" s="34">
        <f>IF($A348="","",IF(OR($G348="SÁBADO",$G348="DOMINGO"),"FIN","LV"))</f>
        <v/>
      </c>
      <c r="J348" s="34">
        <f>IF(OR($A348="",$B348=""),"",IF($L348&lt;&gt;"",UPPER($L348),IF($C348="","FALTA",IFERROR(IF($C348&gt;=$O348,"ROJO FUERTE",IF($C348&gt;=$N348,"ROJO",IF($C348&gt;=$M348,"AMARILLO","VERDE"))),"REVISAR"))))</f>
        <v/>
      </c>
      <c r="K348" s="36">
        <f>IF(OR($C348="",$D348=""),"",IF($D348&gt;=$C348,($D348-$C348)*24,(1-$C348+$D348)*24))</f>
        <v/>
      </c>
      <c r="L348" s="34" t="n"/>
      <c r="M348" s="53">
        <f t="array" ref="M348">IFERROR(INDEX(EXCEPCIONES_FECHA!$D$2:$D$201,MATCH(1,(EXCEPCIONES_FECHA!$A$2:$A$201=$A348)*(EXCEPCIONES_FECHA!$B$2:$B$201=$B348),0)),IFERROR(INDEX(EXCEPCIONES_FECHA!$D$2:$D$201,MATCH(1,(EXCEPCIONES_FECHA!$A$2:$A$201=$A348)*(EXCEPCIONES_FECHA!$B$2:$B$201=""),0)),IFERROR(INDEX(IF($I348="FIN",HISTORIAL_HORARIOS!$J$2:$J$201,HISTORIAL_HORARIOS!$F$2:$F$201),MATCH(1,(HISTORIAL_HORARIOS!$A$2:$A$201=$B348)*(HISTORIAL_HORARIOS!$C$2:$C$201&lt;=$A348)*(HISTORIAL_HORARIOS!$D$2:$D$201&gt;=$A348),0)),INDEX(IF($I348="FIN",PERSONAL!$J$2:$J$80,PERSONAL!$F$2:$F$80),MATCH($B348,PERSONAL!$A$2:$A$80,0)))))</f>
        <v/>
      </c>
      <c r="N348" s="53">
        <f t="array" ref="N348">IFERROR(INDEX(EXCEPCIONES_FECHA!$E$2:$E$201,MATCH(1,(EXCEPCIONES_FECHA!$A$2:$A$201=$A348)*(EXCEPCIONES_FECHA!$B$2:$B$201=$B348),0)),IFERROR(INDEX(EXCEPCIONES_FECHA!$E$2:$E$201,MATCH(1,(EXCEPCIONES_FECHA!$A$2:$A$201=$A348)*(EXCEPCIONES_FECHA!$B$2:$B$201=""),0)),IFERROR(INDEX(IF($I348="FIN",HISTORIAL_HORARIOS!$K$2:$K$201,HISTORIAL_HORARIOS!$G$2:$G$201),MATCH(1,(HISTORIAL_HORARIOS!$A$2:$A$201=$B348)*(HISTORIAL_HORARIOS!$C$2:$C$201&lt;=$A348)*(HISTORIAL_HORARIOS!$D$2:$D$201&gt;=$A348),0)),INDEX(IF($I348="FIN",PERSONAL!$K$2:$K$80,PERSONAL!$G$2:$G$80),MATCH($B348,PERSONAL!$A$2:$A$80,0)))))</f>
        <v/>
      </c>
      <c r="O348" s="53">
        <f t="array" ref="O348">IFERROR(INDEX(EXCEPCIONES_FECHA!$F$2:$F$201,MATCH(1,(EXCEPCIONES_FECHA!$A$2:$A$201=$A348)*(EXCEPCIONES_FECHA!$B$2:$B$201=$B348),0)),IFERROR(INDEX(EXCEPCIONES_FECHA!$F$2:$F$201,MATCH(1,(EXCEPCIONES_FECHA!$A$2:$A$201=$A348)*(EXCEPCIONES_FECHA!$B$2:$B$201=""),0)),IFERROR(INDEX(IF($I348="FIN",HISTORIAL_HORARIOS!$L$2:$L$201,HISTORIAL_HORARIOS!$H$2:$H$201),MATCH(1,(HISTORIAL_HORARIOS!$A$2:$A$201=$B348)*(HISTORIAL_HORARIOS!$C$2:$C$201&lt;=$A348)*(HISTORIAL_HORARIOS!$D$2:$D$201&gt;=$A348),0)),INDEX(IF($I348="FIN",PERSONAL!$L$2:$L$80,PERSONAL!$H$2:$H$80),MATCH($B348,PERSONAL!$A$2:$A$80,0)))))</f>
        <v/>
      </c>
    </row>
    <row r="349" ht="15" customHeight="1" s="58">
      <c r="A349" s="37" t="n"/>
      <c r="B349" s="38" t="n"/>
      <c r="C349" s="39" t="n"/>
      <c r="D349" s="39" t="n"/>
      <c r="E349" s="34">
        <f t="array" ref="E349">IF($B349="","",IFERROR(INDEX(PERSONAL!$B$2:$B$80,MATCH($B349,PERSONAL!$A$2:$A$80,0)),"NO EXISTE"))</f>
        <v/>
      </c>
      <c r="F349" s="52">
        <f t="array" ref="F349">IF($B349="","",IFERROR(INDEX(PERSONAL!$C$2:$C$80,MATCH($B349,PERSONAL!$A$2:$A$80,0)),""))</f>
        <v/>
      </c>
      <c r="G349" s="52">
        <f>IF($A349="","",CHOOSE(WEEKDAY($A349,2),"LUNES","MARTES","MIÉRCOLES","JUEVES","VIERNES","SÁBADO","DOMINGO"))</f>
        <v/>
      </c>
      <c r="H349" s="34">
        <f>IF($A349="","",CHOOSE(MONTH($A349),"ENERO","FEBRERO","MARZO","ABRIL","MAYO","JUNIO","JULIO","AGOSTO","SEPTIEMBRE","OCTUBRE","NOVIEMBRE","DICIEMBRE"))</f>
        <v/>
      </c>
      <c r="I349" s="34">
        <f>IF($A349="","",IF(OR($G349="SÁBADO",$G349="DOMINGO"),"FIN","LV"))</f>
        <v/>
      </c>
      <c r="J349" s="34">
        <f>IF(OR($A349="",$B349=""),"",IF($L349&lt;&gt;"",UPPER($L349),IF($C349="","FALTA",IFERROR(IF($C349&gt;=$O349,"ROJO FUERTE",IF($C349&gt;=$N349,"ROJO",IF($C349&gt;=$M349,"AMARILLO","VERDE"))),"REVISAR"))))</f>
        <v/>
      </c>
      <c r="K349" s="36">
        <f>IF(OR($C349="",$D349=""),"",IF($D349&gt;=$C349,($D349-$C349)*24,(1-$C349+$D349)*24))</f>
        <v/>
      </c>
      <c r="L349" s="34" t="n"/>
      <c r="M349" s="53">
        <f t="array" ref="M349">IFERROR(INDEX(EXCEPCIONES_FECHA!$D$2:$D$201,MATCH(1,(EXCEPCIONES_FECHA!$A$2:$A$201=$A349)*(EXCEPCIONES_FECHA!$B$2:$B$201=$B349),0)),IFERROR(INDEX(EXCEPCIONES_FECHA!$D$2:$D$201,MATCH(1,(EXCEPCIONES_FECHA!$A$2:$A$201=$A349)*(EXCEPCIONES_FECHA!$B$2:$B$201=""),0)),IFERROR(INDEX(IF($I349="FIN",HISTORIAL_HORARIOS!$J$2:$J$201,HISTORIAL_HORARIOS!$F$2:$F$201),MATCH(1,(HISTORIAL_HORARIOS!$A$2:$A$201=$B349)*(HISTORIAL_HORARIOS!$C$2:$C$201&lt;=$A349)*(HISTORIAL_HORARIOS!$D$2:$D$201&gt;=$A349),0)),INDEX(IF($I349="FIN",PERSONAL!$J$2:$J$80,PERSONAL!$F$2:$F$80),MATCH($B349,PERSONAL!$A$2:$A$80,0)))))</f>
        <v/>
      </c>
      <c r="N349" s="53">
        <f t="array" ref="N349">IFERROR(INDEX(EXCEPCIONES_FECHA!$E$2:$E$201,MATCH(1,(EXCEPCIONES_FECHA!$A$2:$A$201=$A349)*(EXCEPCIONES_FECHA!$B$2:$B$201=$B349),0)),IFERROR(INDEX(EXCEPCIONES_FECHA!$E$2:$E$201,MATCH(1,(EXCEPCIONES_FECHA!$A$2:$A$201=$A349)*(EXCEPCIONES_FECHA!$B$2:$B$201=""),0)),IFERROR(INDEX(IF($I349="FIN",HISTORIAL_HORARIOS!$K$2:$K$201,HISTORIAL_HORARIOS!$G$2:$G$201),MATCH(1,(HISTORIAL_HORARIOS!$A$2:$A$201=$B349)*(HISTORIAL_HORARIOS!$C$2:$C$201&lt;=$A349)*(HISTORIAL_HORARIOS!$D$2:$D$201&gt;=$A349),0)),INDEX(IF($I349="FIN",PERSONAL!$K$2:$K$80,PERSONAL!$G$2:$G$80),MATCH($B349,PERSONAL!$A$2:$A$80,0)))))</f>
        <v/>
      </c>
      <c r="O349" s="53">
        <f t="array" ref="O349">IFERROR(INDEX(EXCEPCIONES_FECHA!$F$2:$F$201,MATCH(1,(EXCEPCIONES_FECHA!$A$2:$A$201=$A349)*(EXCEPCIONES_FECHA!$B$2:$B$201=$B349),0)),IFERROR(INDEX(EXCEPCIONES_FECHA!$F$2:$F$201,MATCH(1,(EXCEPCIONES_FECHA!$A$2:$A$201=$A349)*(EXCEPCIONES_FECHA!$B$2:$B$201=""),0)),IFERROR(INDEX(IF($I349="FIN",HISTORIAL_HORARIOS!$L$2:$L$201,HISTORIAL_HORARIOS!$H$2:$H$201),MATCH(1,(HISTORIAL_HORARIOS!$A$2:$A$201=$B349)*(HISTORIAL_HORARIOS!$C$2:$C$201&lt;=$A349)*(HISTORIAL_HORARIOS!$D$2:$D$201&gt;=$A349),0)),INDEX(IF($I349="FIN",PERSONAL!$L$2:$L$80,PERSONAL!$H$2:$H$80),MATCH($B349,PERSONAL!$A$2:$A$80,0)))))</f>
        <v/>
      </c>
    </row>
    <row r="350" ht="15" customHeight="1" s="58">
      <c r="A350" s="37" t="n"/>
      <c r="B350" s="38" t="n"/>
      <c r="C350" s="39" t="n"/>
      <c r="D350" s="39" t="n"/>
      <c r="E350" s="34">
        <f t="array" ref="E350">IF($B350="","",IFERROR(INDEX(PERSONAL!$B$2:$B$80,MATCH($B350,PERSONAL!$A$2:$A$80,0)),"NO EXISTE"))</f>
        <v/>
      </c>
      <c r="F350" s="52">
        <f t="array" ref="F350">IF($B350="","",IFERROR(INDEX(PERSONAL!$C$2:$C$80,MATCH($B350,PERSONAL!$A$2:$A$80,0)),""))</f>
        <v/>
      </c>
      <c r="G350" s="52">
        <f>IF($A350="","",CHOOSE(WEEKDAY($A350,2),"LUNES","MARTES","MIÉRCOLES","JUEVES","VIERNES","SÁBADO","DOMINGO"))</f>
        <v/>
      </c>
      <c r="H350" s="34">
        <f>IF($A350="","",CHOOSE(MONTH($A350),"ENERO","FEBRERO","MARZO","ABRIL","MAYO","JUNIO","JULIO","AGOSTO","SEPTIEMBRE","OCTUBRE","NOVIEMBRE","DICIEMBRE"))</f>
        <v/>
      </c>
      <c r="I350" s="34">
        <f>IF($A350="","",IF(OR($G350="SÁBADO",$G350="DOMINGO"),"FIN","LV"))</f>
        <v/>
      </c>
      <c r="J350" s="34">
        <f>IF(OR($A350="",$B350=""),"",IF($L350&lt;&gt;"",UPPER($L350),IF($C350="","FALTA",IFERROR(IF($C350&gt;=$O350,"ROJO FUERTE",IF($C350&gt;=$N350,"ROJO",IF($C350&gt;=$M350,"AMARILLO","VERDE"))),"REVISAR"))))</f>
        <v/>
      </c>
      <c r="K350" s="36">
        <f>IF(OR($C350="",$D350=""),"",IF($D350&gt;=$C350,($D350-$C350)*24,(1-$C350+$D350)*24))</f>
        <v/>
      </c>
      <c r="L350" s="34" t="n"/>
      <c r="M350" s="53">
        <f t="array" ref="M350">IFERROR(INDEX(EXCEPCIONES_FECHA!$D$2:$D$201,MATCH(1,(EXCEPCIONES_FECHA!$A$2:$A$201=$A350)*(EXCEPCIONES_FECHA!$B$2:$B$201=$B350),0)),IFERROR(INDEX(EXCEPCIONES_FECHA!$D$2:$D$201,MATCH(1,(EXCEPCIONES_FECHA!$A$2:$A$201=$A350)*(EXCEPCIONES_FECHA!$B$2:$B$201=""),0)),IFERROR(INDEX(IF($I350="FIN",HISTORIAL_HORARIOS!$J$2:$J$201,HISTORIAL_HORARIOS!$F$2:$F$201),MATCH(1,(HISTORIAL_HORARIOS!$A$2:$A$201=$B350)*(HISTORIAL_HORARIOS!$C$2:$C$201&lt;=$A350)*(HISTORIAL_HORARIOS!$D$2:$D$201&gt;=$A350),0)),INDEX(IF($I350="FIN",PERSONAL!$J$2:$J$80,PERSONAL!$F$2:$F$80),MATCH($B350,PERSONAL!$A$2:$A$80,0)))))</f>
        <v/>
      </c>
      <c r="N350" s="53">
        <f t="array" ref="N350">IFERROR(INDEX(EXCEPCIONES_FECHA!$E$2:$E$201,MATCH(1,(EXCEPCIONES_FECHA!$A$2:$A$201=$A350)*(EXCEPCIONES_FECHA!$B$2:$B$201=$B350),0)),IFERROR(INDEX(EXCEPCIONES_FECHA!$E$2:$E$201,MATCH(1,(EXCEPCIONES_FECHA!$A$2:$A$201=$A350)*(EXCEPCIONES_FECHA!$B$2:$B$201=""),0)),IFERROR(INDEX(IF($I350="FIN",HISTORIAL_HORARIOS!$K$2:$K$201,HISTORIAL_HORARIOS!$G$2:$G$201),MATCH(1,(HISTORIAL_HORARIOS!$A$2:$A$201=$B350)*(HISTORIAL_HORARIOS!$C$2:$C$201&lt;=$A350)*(HISTORIAL_HORARIOS!$D$2:$D$201&gt;=$A350),0)),INDEX(IF($I350="FIN",PERSONAL!$K$2:$K$80,PERSONAL!$G$2:$G$80),MATCH($B350,PERSONAL!$A$2:$A$80,0)))))</f>
        <v/>
      </c>
      <c r="O350" s="53">
        <f t="array" ref="O350">IFERROR(INDEX(EXCEPCIONES_FECHA!$F$2:$F$201,MATCH(1,(EXCEPCIONES_FECHA!$A$2:$A$201=$A350)*(EXCEPCIONES_FECHA!$B$2:$B$201=$B350),0)),IFERROR(INDEX(EXCEPCIONES_FECHA!$F$2:$F$201,MATCH(1,(EXCEPCIONES_FECHA!$A$2:$A$201=$A350)*(EXCEPCIONES_FECHA!$B$2:$B$201=""),0)),IFERROR(INDEX(IF($I350="FIN",HISTORIAL_HORARIOS!$L$2:$L$201,HISTORIAL_HORARIOS!$H$2:$H$201),MATCH(1,(HISTORIAL_HORARIOS!$A$2:$A$201=$B350)*(HISTORIAL_HORARIOS!$C$2:$C$201&lt;=$A350)*(HISTORIAL_HORARIOS!$D$2:$D$201&gt;=$A350),0)),INDEX(IF($I350="FIN",PERSONAL!$L$2:$L$80,PERSONAL!$H$2:$H$80),MATCH($B350,PERSONAL!$A$2:$A$80,0)))))</f>
        <v/>
      </c>
    </row>
    <row r="351" ht="15" customHeight="1" s="58">
      <c r="A351" s="37" t="n"/>
      <c r="B351" s="38" t="n"/>
      <c r="C351" s="39" t="n"/>
      <c r="D351" s="39" t="n"/>
      <c r="E351" s="34">
        <f t="array" ref="E351">IF($B351="","",IFERROR(INDEX(PERSONAL!$B$2:$B$80,MATCH($B351,PERSONAL!$A$2:$A$80,0)),"NO EXISTE"))</f>
        <v/>
      </c>
      <c r="F351" s="52">
        <f t="array" ref="F351">IF($B351="","",IFERROR(INDEX(PERSONAL!$C$2:$C$80,MATCH($B351,PERSONAL!$A$2:$A$80,0)),""))</f>
        <v/>
      </c>
      <c r="G351" s="52">
        <f>IF($A351="","",CHOOSE(WEEKDAY($A351,2),"LUNES","MARTES","MIÉRCOLES","JUEVES","VIERNES","SÁBADO","DOMINGO"))</f>
        <v/>
      </c>
      <c r="H351" s="34">
        <f>IF($A351="","",CHOOSE(MONTH($A351),"ENERO","FEBRERO","MARZO","ABRIL","MAYO","JUNIO","JULIO","AGOSTO","SEPTIEMBRE","OCTUBRE","NOVIEMBRE","DICIEMBRE"))</f>
        <v/>
      </c>
      <c r="I351" s="34">
        <f>IF($A351="","",IF(OR($G351="SÁBADO",$G351="DOMINGO"),"FIN","LV"))</f>
        <v/>
      </c>
      <c r="J351" s="34">
        <f>IF(OR($A351="",$B351=""),"",IF($L351&lt;&gt;"",UPPER($L351),IF($C351="","FALTA",IFERROR(IF($C351&gt;=$O351,"ROJO FUERTE",IF($C351&gt;=$N351,"ROJO",IF($C351&gt;=$M351,"AMARILLO","VERDE"))),"REVISAR"))))</f>
        <v/>
      </c>
      <c r="K351" s="36">
        <f>IF(OR($C351="",$D351=""),"",IF($D351&gt;=$C351,($D351-$C351)*24,(1-$C351+$D351)*24))</f>
        <v/>
      </c>
      <c r="L351" s="34" t="n"/>
      <c r="M351" s="53">
        <f t="array" ref="M351">IFERROR(INDEX(EXCEPCIONES_FECHA!$D$2:$D$201,MATCH(1,(EXCEPCIONES_FECHA!$A$2:$A$201=$A351)*(EXCEPCIONES_FECHA!$B$2:$B$201=$B351),0)),IFERROR(INDEX(EXCEPCIONES_FECHA!$D$2:$D$201,MATCH(1,(EXCEPCIONES_FECHA!$A$2:$A$201=$A351)*(EXCEPCIONES_FECHA!$B$2:$B$201=""),0)),IFERROR(INDEX(IF($I351="FIN",HISTORIAL_HORARIOS!$J$2:$J$201,HISTORIAL_HORARIOS!$F$2:$F$201),MATCH(1,(HISTORIAL_HORARIOS!$A$2:$A$201=$B351)*(HISTORIAL_HORARIOS!$C$2:$C$201&lt;=$A351)*(HISTORIAL_HORARIOS!$D$2:$D$201&gt;=$A351),0)),INDEX(IF($I351="FIN",PERSONAL!$J$2:$J$80,PERSONAL!$F$2:$F$80),MATCH($B351,PERSONAL!$A$2:$A$80,0)))))</f>
        <v/>
      </c>
      <c r="N351" s="53">
        <f t="array" ref="N351">IFERROR(INDEX(EXCEPCIONES_FECHA!$E$2:$E$201,MATCH(1,(EXCEPCIONES_FECHA!$A$2:$A$201=$A351)*(EXCEPCIONES_FECHA!$B$2:$B$201=$B351),0)),IFERROR(INDEX(EXCEPCIONES_FECHA!$E$2:$E$201,MATCH(1,(EXCEPCIONES_FECHA!$A$2:$A$201=$A351)*(EXCEPCIONES_FECHA!$B$2:$B$201=""),0)),IFERROR(INDEX(IF($I351="FIN",HISTORIAL_HORARIOS!$K$2:$K$201,HISTORIAL_HORARIOS!$G$2:$G$201),MATCH(1,(HISTORIAL_HORARIOS!$A$2:$A$201=$B351)*(HISTORIAL_HORARIOS!$C$2:$C$201&lt;=$A351)*(HISTORIAL_HORARIOS!$D$2:$D$201&gt;=$A351),0)),INDEX(IF($I351="FIN",PERSONAL!$K$2:$K$80,PERSONAL!$G$2:$G$80),MATCH($B351,PERSONAL!$A$2:$A$80,0)))))</f>
        <v/>
      </c>
      <c r="O351" s="53">
        <f t="array" ref="O351">IFERROR(INDEX(EXCEPCIONES_FECHA!$F$2:$F$201,MATCH(1,(EXCEPCIONES_FECHA!$A$2:$A$201=$A351)*(EXCEPCIONES_FECHA!$B$2:$B$201=$B351),0)),IFERROR(INDEX(EXCEPCIONES_FECHA!$F$2:$F$201,MATCH(1,(EXCEPCIONES_FECHA!$A$2:$A$201=$A351)*(EXCEPCIONES_FECHA!$B$2:$B$201=""),0)),IFERROR(INDEX(IF($I351="FIN",HISTORIAL_HORARIOS!$L$2:$L$201,HISTORIAL_HORARIOS!$H$2:$H$201),MATCH(1,(HISTORIAL_HORARIOS!$A$2:$A$201=$B351)*(HISTORIAL_HORARIOS!$C$2:$C$201&lt;=$A351)*(HISTORIAL_HORARIOS!$D$2:$D$201&gt;=$A351),0)),INDEX(IF($I351="FIN",PERSONAL!$L$2:$L$80,PERSONAL!$H$2:$H$80),MATCH($B351,PERSONAL!$A$2:$A$80,0)))))</f>
        <v/>
      </c>
    </row>
    <row r="352" ht="15" customHeight="1" s="58">
      <c r="A352" s="37" t="n"/>
      <c r="B352" s="38" t="n"/>
      <c r="C352" s="39" t="n"/>
      <c r="D352" s="39" t="n"/>
      <c r="E352" s="34">
        <f t="array" ref="E352">IF($B352="","",IFERROR(INDEX(PERSONAL!$B$2:$B$80,MATCH($B352,PERSONAL!$A$2:$A$80,0)),"NO EXISTE"))</f>
        <v/>
      </c>
      <c r="F352" s="52">
        <f t="array" ref="F352">IF($B352="","",IFERROR(INDEX(PERSONAL!$C$2:$C$80,MATCH($B352,PERSONAL!$A$2:$A$80,0)),""))</f>
        <v/>
      </c>
      <c r="G352" s="52">
        <f>IF($A352="","",CHOOSE(WEEKDAY($A352,2),"LUNES","MARTES","MIÉRCOLES","JUEVES","VIERNES","SÁBADO","DOMINGO"))</f>
        <v/>
      </c>
      <c r="H352" s="34">
        <f>IF($A352="","",CHOOSE(MONTH($A352),"ENERO","FEBRERO","MARZO","ABRIL","MAYO","JUNIO","JULIO","AGOSTO","SEPTIEMBRE","OCTUBRE","NOVIEMBRE","DICIEMBRE"))</f>
        <v/>
      </c>
      <c r="I352" s="34">
        <f>IF($A352="","",IF(OR($G352="SÁBADO",$G352="DOMINGO"),"FIN","LV"))</f>
        <v/>
      </c>
      <c r="J352" s="34">
        <f>IF(OR($A352="",$B352=""),"",IF($L352&lt;&gt;"",UPPER($L352),IF($C352="","FALTA",IFERROR(IF($C352&gt;=$O352,"ROJO FUERTE",IF($C352&gt;=$N352,"ROJO",IF($C352&gt;=$M352,"AMARILLO","VERDE"))),"REVISAR"))))</f>
        <v/>
      </c>
      <c r="K352" s="36">
        <f>IF(OR($C352="",$D352=""),"",IF($D352&gt;=$C352,($D352-$C352)*24,(1-$C352+$D352)*24))</f>
        <v/>
      </c>
      <c r="L352" s="34" t="n"/>
      <c r="M352" s="53">
        <f t="array" ref="M352">IFERROR(INDEX(EXCEPCIONES_FECHA!$D$2:$D$201,MATCH(1,(EXCEPCIONES_FECHA!$A$2:$A$201=$A352)*(EXCEPCIONES_FECHA!$B$2:$B$201=$B352),0)),IFERROR(INDEX(EXCEPCIONES_FECHA!$D$2:$D$201,MATCH(1,(EXCEPCIONES_FECHA!$A$2:$A$201=$A352)*(EXCEPCIONES_FECHA!$B$2:$B$201=""),0)),IFERROR(INDEX(IF($I352="FIN",HISTORIAL_HORARIOS!$J$2:$J$201,HISTORIAL_HORARIOS!$F$2:$F$201),MATCH(1,(HISTORIAL_HORARIOS!$A$2:$A$201=$B352)*(HISTORIAL_HORARIOS!$C$2:$C$201&lt;=$A352)*(HISTORIAL_HORARIOS!$D$2:$D$201&gt;=$A352),0)),INDEX(IF($I352="FIN",PERSONAL!$J$2:$J$80,PERSONAL!$F$2:$F$80),MATCH($B352,PERSONAL!$A$2:$A$80,0)))))</f>
        <v/>
      </c>
      <c r="N352" s="53">
        <f t="array" ref="N352">IFERROR(INDEX(EXCEPCIONES_FECHA!$E$2:$E$201,MATCH(1,(EXCEPCIONES_FECHA!$A$2:$A$201=$A352)*(EXCEPCIONES_FECHA!$B$2:$B$201=$B352),0)),IFERROR(INDEX(EXCEPCIONES_FECHA!$E$2:$E$201,MATCH(1,(EXCEPCIONES_FECHA!$A$2:$A$201=$A352)*(EXCEPCIONES_FECHA!$B$2:$B$201=""),0)),IFERROR(INDEX(IF($I352="FIN",HISTORIAL_HORARIOS!$K$2:$K$201,HISTORIAL_HORARIOS!$G$2:$G$201),MATCH(1,(HISTORIAL_HORARIOS!$A$2:$A$201=$B352)*(HISTORIAL_HORARIOS!$C$2:$C$201&lt;=$A352)*(HISTORIAL_HORARIOS!$D$2:$D$201&gt;=$A352),0)),INDEX(IF($I352="FIN",PERSONAL!$K$2:$K$80,PERSONAL!$G$2:$G$80),MATCH($B352,PERSONAL!$A$2:$A$80,0)))))</f>
        <v/>
      </c>
      <c r="O352" s="53">
        <f t="array" ref="O352">IFERROR(INDEX(EXCEPCIONES_FECHA!$F$2:$F$201,MATCH(1,(EXCEPCIONES_FECHA!$A$2:$A$201=$A352)*(EXCEPCIONES_FECHA!$B$2:$B$201=$B352),0)),IFERROR(INDEX(EXCEPCIONES_FECHA!$F$2:$F$201,MATCH(1,(EXCEPCIONES_FECHA!$A$2:$A$201=$A352)*(EXCEPCIONES_FECHA!$B$2:$B$201=""),0)),IFERROR(INDEX(IF($I352="FIN",HISTORIAL_HORARIOS!$L$2:$L$201,HISTORIAL_HORARIOS!$H$2:$H$201),MATCH(1,(HISTORIAL_HORARIOS!$A$2:$A$201=$B352)*(HISTORIAL_HORARIOS!$C$2:$C$201&lt;=$A352)*(HISTORIAL_HORARIOS!$D$2:$D$201&gt;=$A352),0)),INDEX(IF($I352="FIN",PERSONAL!$L$2:$L$80,PERSONAL!$H$2:$H$80),MATCH($B352,PERSONAL!$A$2:$A$80,0)))))</f>
        <v/>
      </c>
    </row>
    <row r="353" ht="15" customHeight="1" s="58">
      <c r="A353" s="37" t="n"/>
      <c r="B353" s="38" t="n"/>
      <c r="C353" s="39" t="n"/>
      <c r="D353" s="39" t="n"/>
      <c r="E353" s="34">
        <f t="array" ref="E353">IF($B353="","",IFERROR(INDEX(PERSONAL!$B$2:$B$80,MATCH($B353,PERSONAL!$A$2:$A$80,0)),"NO EXISTE"))</f>
        <v/>
      </c>
      <c r="F353" s="52">
        <f t="array" ref="F353">IF($B353="","",IFERROR(INDEX(PERSONAL!$C$2:$C$80,MATCH($B353,PERSONAL!$A$2:$A$80,0)),""))</f>
        <v/>
      </c>
      <c r="G353" s="52">
        <f>IF($A353="","",CHOOSE(WEEKDAY($A353,2),"LUNES","MARTES","MIÉRCOLES","JUEVES","VIERNES","SÁBADO","DOMINGO"))</f>
        <v/>
      </c>
      <c r="H353" s="34">
        <f>IF($A353="","",CHOOSE(MONTH($A353),"ENERO","FEBRERO","MARZO","ABRIL","MAYO","JUNIO","JULIO","AGOSTO","SEPTIEMBRE","OCTUBRE","NOVIEMBRE","DICIEMBRE"))</f>
        <v/>
      </c>
      <c r="I353" s="34">
        <f>IF($A353="","",IF(OR($G353="SÁBADO",$G353="DOMINGO"),"FIN","LV"))</f>
        <v/>
      </c>
      <c r="J353" s="34">
        <f>IF(OR($A353="",$B353=""),"",IF($L353&lt;&gt;"",UPPER($L353),IF($C353="","FALTA",IFERROR(IF($C353&gt;=$O353,"ROJO FUERTE",IF($C353&gt;=$N353,"ROJO",IF($C353&gt;=$M353,"AMARILLO","VERDE"))),"REVISAR"))))</f>
        <v/>
      </c>
      <c r="K353" s="36">
        <f>IF(OR($C353="",$D353=""),"",IF($D353&gt;=$C353,($D353-$C353)*24,(1-$C353+$D353)*24))</f>
        <v/>
      </c>
      <c r="L353" s="34" t="n"/>
      <c r="M353" s="53">
        <f t="array" ref="M353">IFERROR(INDEX(EXCEPCIONES_FECHA!$D$2:$D$201,MATCH(1,(EXCEPCIONES_FECHA!$A$2:$A$201=$A353)*(EXCEPCIONES_FECHA!$B$2:$B$201=$B353),0)),IFERROR(INDEX(EXCEPCIONES_FECHA!$D$2:$D$201,MATCH(1,(EXCEPCIONES_FECHA!$A$2:$A$201=$A353)*(EXCEPCIONES_FECHA!$B$2:$B$201=""),0)),IFERROR(INDEX(IF($I353="FIN",HISTORIAL_HORARIOS!$J$2:$J$201,HISTORIAL_HORARIOS!$F$2:$F$201),MATCH(1,(HISTORIAL_HORARIOS!$A$2:$A$201=$B353)*(HISTORIAL_HORARIOS!$C$2:$C$201&lt;=$A353)*(HISTORIAL_HORARIOS!$D$2:$D$201&gt;=$A353),0)),INDEX(IF($I353="FIN",PERSONAL!$J$2:$J$80,PERSONAL!$F$2:$F$80),MATCH($B353,PERSONAL!$A$2:$A$80,0)))))</f>
        <v/>
      </c>
      <c r="N353" s="53">
        <f t="array" ref="N353">IFERROR(INDEX(EXCEPCIONES_FECHA!$E$2:$E$201,MATCH(1,(EXCEPCIONES_FECHA!$A$2:$A$201=$A353)*(EXCEPCIONES_FECHA!$B$2:$B$201=$B353),0)),IFERROR(INDEX(EXCEPCIONES_FECHA!$E$2:$E$201,MATCH(1,(EXCEPCIONES_FECHA!$A$2:$A$201=$A353)*(EXCEPCIONES_FECHA!$B$2:$B$201=""),0)),IFERROR(INDEX(IF($I353="FIN",HISTORIAL_HORARIOS!$K$2:$K$201,HISTORIAL_HORARIOS!$G$2:$G$201),MATCH(1,(HISTORIAL_HORARIOS!$A$2:$A$201=$B353)*(HISTORIAL_HORARIOS!$C$2:$C$201&lt;=$A353)*(HISTORIAL_HORARIOS!$D$2:$D$201&gt;=$A353),0)),INDEX(IF($I353="FIN",PERSONAL!$K$2:$K$80,PERSONAL!$G$2:$G$80),MATCH($B353,PERSONAL!$A$2:$A$80,0)))))</f>
        <v/>
      </c>
      <c r="O353" s="53">
        <f t="array" ref="O353">IFERROR(INDEX(EXCEPCIONES_FECHA!$F$2:$F$201,MATCH(1,(EXCEPCIONES_FECHA!$A$2:$A$201=$A353)*(EXCEPCIONES_FECHA!$B$2:$B$201=$B353),0)),IFERROR(INDEX(EXCEPCIONES_FECHA!$F$2:$F$201,MATCH(1,(EXCEPCIONES_FECHA!$A$2:$A$201=$A353)*(EXCEPCIONES_FECHA!$B$2:$B$201=""),0)),IFERROR(INDEX(IF($I353="FIN",HISTORIAL_HORARIOS!$L$2:$L$201,HISTORIAL_HORARIOS!$H$2:$H$201),MATCH(1,(HISTORIAL_HORARIOS!$A$2:$A$201=$B353)*(HISTORIAL_HORARIOS!$C$2:$C$201&lt;=$A353)*(HISTORIAL_HORARIOS!$D$2:$D$201&gt;=$A353),0)),INDEX(IF($I353="FIN",PERSONAL!$L$2:$L$80,PERSONAL!$H$2:$H$80),MATCH($B353,PERSONAL!$A$2:$A$80,0)))))</f>
        <v/>
      </c>
    </row>
    <row r="354" ht="15" customHeight="1" s="58">
      <c r="A354" s="37" t="n"/>
      <c r="B354" s="38" t="n"/>
      <c r="C354" s="39" t="n"/>
      <c r="D354" s="39" t="n"/>
      <c r="E354" s="34">
        <f t="array" ref="E354">IF($B354="","",IFERROR(INDEX(PERSONAL!$B$2:$B$80,MATCH($B354,PERSONAL!$A$2:$A$80,0)),"NO EXISTE"))</f>
        <v/>
      </c>
      <c r="F354" s="52">
        <f t="array" ref="F354">IF($B354="","",IFERROR(INDEX(PERSONAL!$C$2:$C$80,MATCH($B354,PERSONAL!$A$2:$A$80,0)),""))</f>
        <v/>
      </c>
      <c r="G354" s="52">
        <f>IF($A354="","",CHOOSE(WEEKDAY($A354,2),"LUNES","MARTES","MIÉRCOLES","JUEVES","VIERNES","SÁBADO","DOMINGO"))</f>
        <v/>
      </c>
      <c r="H354" s="34">
        <f>IF($A354="","",CHOOSE(MONTH($A354),"ENERO","FEBRERO","MARZO","ABRIL","MAYO","JUNIO","JULIO","AGOSTO","SEPTIEMBRE","OCTUBRE","NOVIEMBRE","DICIEMBRE"))</f>
        <v/>
      </c>
      <c r="I354" s="34">
        <f>IF($A354="","",IF(OR($G354="SÁBADO",$G354="DOMINGO"),"FIN","LV"))</f>
        <v/>
      </c>
      <c r="J354" s="34">
        <f>IF(OR($A354="",$B354=""),"",IF($L354&lt;&gt;"",UPPER($L354),IF($C354="","FALTA",IFERROR(IF($C354&gt;=$O354,"ROJO FUERTE",IF($C354&gt;=$N354,"ROJO",IF($C354&gt;=$M354,"AMARILLO","VERDE"))),"REVISAR"))))</f>
        <v/>
      </c>
      <c r="K354" s="36">
        <f>IF(OR($C354="",$D354=""),"",IF($D354&gt;=$C354,($D354-$C354)*24,(1-$C354+$D354)*24))</f>
        <v/>
      </c>
      <c r="L354" s="34" t="n"/>
      <c r="M354" s="53">
        <f t="array" ref="M354">IFERROR(INDEX(EXCEPCIONES_FECHA!$D$2:$D$201,MATCH(1,(EXCEPCIONES_FECHA!$A$2:$A$201=$A354)*(EXCEPCIONES_FECHA!$B$2:$B$201=$B354),0)),IFERROR(INDEX(EXCEPCIONES_FECHA!$D$2:$D$201,MATCH(1,(EXCEPCIONES_FECHA!$A$2:$A$201=$A354)*(EXCEPCIONES_FECHA!$B$2:$B$201=""),0)),IFERROR(INDEX(IF($I354="FIN",HISTORIAL_HORARIOS!$J$2:$J$201,HISTORIAL_HORARIOS!$F$2:$F$201),MATCH(1,(HISTORIAL_HORARIOS!$A$2:$A$201=$B354)*(HISTORIAL_HORARIOS!$C$2:$C$201&lt;=$A354)*(HISTORIAL_HORARIOS!$D$2:$D$201&gt;=$A354),0)),INDEX(IF($I354="FIN",PERSONAL!$J$2:$J$80,PERSONAL!$F$2:$F$80),MATCH($B354,PERSONAL!$A$2:$A$80,0)))))</f>
        <v/>
      </c>
      <c r="N354" s="53">
        <f t="array" ref="N354">IFERROR(INDEX(EXCEPCIONES_FECHA!$E$2:$E$201,MATCH(1,(EXCEPCIONES_FECHA!$A$2:$A$201=$A354)*(EXCEPCIONES_FECHA!$B$2:$B$201=$B354),0)),IFERROR(INDEX(EXCEPCIONES_FECHA!$E$2:$E$201,MATCH(1,(EXCEPCIONES_FECHA!$A$2:$A$201=$A354)*(EXCEPCIONES_FECHA!$B$2:$B$201=""),0)),IFERROR(INDEX(IF($I354="FIN",HISTORIAL_HORARIOS!$K$2:$K$201,HISTORIAL_HORARIOS!$G$2:$G$201),MATCH(1,(HISTORIAL_HORARIOS!$A$2:$A$201=$B354)*(HISTORIAL_HORARIOS!$C$2:$C$201&lt;=$A354)*(HISTORIAL_HORARIOS!$D$2:$D$201&gt;=$A354),0)),INDEX(IF($I354="FIN",PERSONAL!$K$2:$K$80,PERSONAL!$G$2:$G$80),MATCH($B354,PERSONAL!$A$2:$A$80,0)))))</f>
        <v/>
      </c>
      <c r="O354" s="53">
        <f t="array" ref="O354">IFERROR(INDEX(EXCEPCIONES_FECHA!$F$2:$F$201,MATCH(1,(EXCEPCIONES_FECHA!$A$2:$A$201=$A354)*(EXCEPCIONES_FECHA!$B$2:$B$201=$B354),0)),IFERROR(INDEX(EXCEPCIONES_FECHA!$F$2:$F$201,MATCH(1,(EXCEPCIONES_FECHA!$A$2:$A$201=$A354)*(EXCEPCIONES_FECHA!$B$2:$B$201=""),0)),IFERROR(INDEX(IF($I354="FIN",HISTORIAL_HORARIOS!$L$2:$L$201,HISTORIAL_HORARIOS!$H$2:$H$201),MATCH(1,(HISTORIAL_HORARIOS!$A$2:$A$201=$B354)*(HISTORIAL_HORARIOS!$C$2:$C$201&lt;=$A354)*(HISTORIAL_HORARIOS!$D$2:$D$201&gt;=$A354),0)),INDEX(IF($I354="FIN",PERSONAL!$L$2:$L$80,PERSONAL!$H$2:$H$80),MATCH($B354,PERSONAL!$A$2:$A$80,0)))))</f>
        <v/>
      </c>
    </row>
    <row r="355" ht="15" customHeight="1" s="58">
      <c r="A355" s="37" t="n"/>
      <c r="B355" s="38" t="n"/>
      <c r="C355" s="39" t="n"/>
      <c r="D355" s="39" t="n"/>
      <c r="E355" s="34">
        <f t="array" ref="E355">IF($B355="","",IFERROR(INDEX(PERSONAL!$B$2:$B$80,MATCH($B355,PERSONAL!$A$2:$A$80,0)),"NO EXISTE"))</f>
        <v/>
      </c>
      <c r="F355" s="52">
        <f t="array" ref="F355">IF($B355="","",IFERROR(INDEX(PERSONAL!$C$2:$C$80,MATCH($B355,PERSONAL!$A$2:$A$80,0)),""))</f>
        <v/>
      </c>
      <c r="G355" s="52">
        <f>IF($A355="","",CHOOSE(WEEKDAY($A355,2),"LUNES","MARTES","MIÉRCOLES","JUEVES","VIERNES","SÁBADO","DOMINGO"))</f>
        <v/>
      </c>
      <c r="H355" s="34">
        <f>IF($A355="","",CHOOSE(MONTH($A355),"ENERO","FEBRERO","MARZO","ABRIL","MAYO","JUNIO","JULIO","AGOSTO","SEPTIEMBRE","OCTUBRE","NOVIEMBRE","DICIEMBRE"))</f>
        <v/>
      </c>
      <c r="I355" s="34">
        <f>IF($A355="","",IF(OR($G355="SÁBADO",$G355="DOMINGO"),"FIN","LV"))</f>
        <v/>
      </c>
      <c r="J355" s="34">
        <f>IF(OR($A355="",$B355=""),"",IF($L355&lt;&gt;"",UPPER($L355),IF($C355="","FALTA",IFERROR(IF($C355&gt;=$O355,"ROJO FUERTE",IF($C355&gt;=$N355,"ROJO",IF($C355&gt;=$M355,"AMARILLO","VERDE"))),"REVISAR"))))</f>
        <v/>
      </c>
      <c r="K355" s="36">
        <f>IF(OR($C355="",$D355=""),"",IF($D355&gt;=$C355,($D355-$C355)*24,(1-$C355+$D355)*24))</f>
        <v/>
      </c>
      <c r="L355" s="34" t="n"/>
      <c r="M355" s="53">
        <f t="array" ref="M355">IFERROR(INDEX(EXCEPCIONES_FECHA!$D$2:$D$201,MATCH(1,(EXCEPCIONES_FECHA!$A$2:$A$201=$A355)*(EXCEPCIONES_FECHA!$B$2:$B$201=$B355),0)),IFERROR(INDEX(EXCEPCIONES_FECHA!$D$2:$D$201,MATCH(1,(EXCEPCIONES_FECHA!$A$2:$A$201=$A355)*(EXCEPCIONES_FECHA!$B$2:$B$201=""),0)),IFERROR(INDEX(IF($I355="FIN",HISTORIAL_HORARIOS!$J$2:$J$201,HISTORIAL_HORARIOS!$F$2:$F$201),MATCH(1,(HISTORIAL_HORARIOS!$A$2:$A$201=$B355)*(HISTORIAL_HORARIOS!$C$2:$C$201&lt;=$A355)*(HISTORIAL_HORARIOS!$D$2:$D$201&gt;=$A355),0)),INDEX(IF($I355="FIN",PERSONAL!$J$2:$J$80,PERSONAL!$F$2:$F$80),MATCH($B355,PERSONAL!$A$2:$A$80,0)))))</f>
        <v/>
      </c>
      <c r="N355" s="53">
        <f t="array" ref="N355">IFERROR(INDEX(EXCEPCIONES_FECHA!$E$2:$E$201,MATCH(1,(EXCEPCIONES_FECHA!$A$2:$A$201=$A355)*(EXCEPCIONES_FECHA!$B$2:$B$201=$B355),0)),IFERROR(INDEX(EXCEPCIONES_FECHA!$E$2:$E$201,MATCH(1,(EXCEPCIONES_FECHA!$A$2:$A$201=$A355)*(EXCEPCIONES_FECHA!$B$2:$B$201=""),0)),IFERROR(INDEX(IF($I355="FIN",HISTORIAL_HORARIOS!$K$2:$K$201,HISTORIAL_HORARIOS!$G$2:$G$201),MATCH(1,(HISTORIAL_HORARIOS!$A$2:$A$201=$B355)*(HISTORIAL_HORARIOS!$C$2:$C$201&lt;=$A355)*(HISTORIAL_HORARIOS!$D$2:$D$201&gt;=$A355),0)),INDEX(IF($I355="FIN",PERSONAL!$K$2:$K$80,PERSONAL!$G$2:$G$80),MATCH($B355,PERSONAL!$A$2:$A$80,0)))))</f>
        <v/>
      </c>
      <c r="O355" s="53">
        <f t="array" ref="O355">IFERROR(INDEX(EXCEPCIONES_FECHA!$F$2:$F$201,MATCH(1,(EXCEPCIONES_FECHA!$A$2:$A$201=$A355)*(EXCEPCIONES_FECHA!$B$2:$B$201=$B355),0)),IFERROR(INDEX(EXCEPCIONES_FECHA!$F$2:$F$201,MATCH(1,(EXCEPCIONES_FECHA!$A$2:$A$201=$A355)*(EXCEPCIONES_FECHA!$B$2:$B$201=""),0)),IFERROR(INDEX(IF($I355="FIN",HISTORIAL_HORARIOS!$L$2:$L$201,HISTORIAL_HORARIOS!$H$2:$H$201),MATCH(1,(HISTORIAL_HORARIOS!$A$2:$A$201=$B355)*(HISTORIAL_HORARIOS!$C$2:$C$201&lt;=$A355)*(HISTORIAL_HORARIOS!$D$2:$D$201&gt;=$A355),0)),INDEX(IF($I355="FIN",PERSONAL!$L$2:$L$80,PERSONAL!$H$2:$H$80),MATCH($B355,PERSONAL!$A$2:$A$80,0)))))</f>
        <v/>
      </c>
    </row>
    <row r="356" ht="15" customHeight="1" s="58">
      <c r="A356" s="37" t="n"/>
      <c r="B356" s="38" t="n"/>
      <c r="C356" s="39" t="n"/>
      <c r="D356" s="39" t="n"/>
      <c r="E356" s="34">
        <f t="array" ref="E356">IF($B356="","",IFERROR(INDEX(PERSONAL!$B$2:$B$80,MATCH($B356,PERSONAL!$A$2:$A$80,0)),"NO EXISTE"))</f>
        <v/>
      </c>
      <c r="F356" s="52">
        <f t="array" ref="F356">IF($B356="","",IFERROR(INDEX(PERSONAL!$C$2:$C$80,MATCH($B356,PERSONAL!$A$2:$A$80,0)),""))</f>
        <v/>
      </c>
      <c r="G356" s="52">
        <f>IF($A356="","",CHOOSE(WEEKDAY($A356,2),"LUNES","MARTES","MIÉRCOLES","JUEVES","VIERNES","SÁBADO","DOMINGO"))</f>
        <v/>
      </c>
      <c r="H356" s="34">
        <f>IF($A356="","",CHOOSE(MONTH($A356),"ENERO","FEBRERO","MARZO","ABRIL","MAYO","JUNIO","JULIO","AGOSTO","SEPTIEMBRE","OCTUBRE","NOVIEMBRE","DICIEMBRE"))</f>
        <v/>
      </c>
      <c r="I356" s="34">
        <f>IF($A356="","",IF(OR($G356="SÁBADO",$G356="DOMINGO"),"FIN","LV"))</f>
        <v/>
      </c>
      <c r="J356" s="34">
        <f>IF(OR($A356="",$B356=""),"",IF($L356&lt;&gt;"",UPPER($L356),IF($C356="","FALTA",IFERROR(IF($C356&gt;=$O356,"ROJO FUERTE",IF($C356&gt;=$N356,"ROJO",IF($C356&gt;=$M356,"AMARILLO","VERDE"))),"REVISAR"))))</f>
        <v/>
      </c>
      <c r="K356" s="36">
        <f>IF(OR($C356="",$D356=""),"",IF($D356&gt;=$C356,($D356-$C356)*24,(1-$C356+$D356)*24))</f>
        <v/>
      </c>
      <c r="L356" s="34" t="n"/>
      <c r="M356" s="53">
        <f t="array" ref="M356">IFERROR(INDEX(EXCEPCIONES_FECHA!$D$2:$D$201,MATCH(1,(EXCEPCIONES_FECHA!$A$2:$A$201=$A356)*(EXCEPCIONES_FECHA!$B$2:$B$201=$B356),0)),IFERROR(INDEX(EXCEPCIONES_FECHA!$D$2:$D$201,MATCH(1,(EXCEPCIONES_FECHA!$A$2:$A$201=$A356)*(EXCEPCIONES_FECHA!$B$2:$B$201=""),0)),IFERROR(INDEX(IF($I356="FIN",HISTORIAL_HORARIOS!$J$2:$J$201,HISTORIAL_HORARIOS!$F$2:$F$201),MATCH(1,(HISTORIAL_HORARIOS!$A$2:$A$201=$B356)*(HISTORIAL_HORARIOS!$C$2:$C$201&lt;=$A356)*(HISTORIAL_HORARIOS!$D$2:$D$201&gt;=$A356),0)),INDEX(IF($I356="FIN",PERSONAL!$J$2:$J$80,PERSONAL!$F$2:$F$80),MATCH($B356,PERSONAL!$A$2:$A$80,0)))))</f>
        <v/>
      </c>
      <c r="N356" s="53">
        <f t="array" ref="N356">IFERROR(INDEX(EXCEPCIONES_FECHA!$E$2:$E$201,MATCH(1,(EXCEPCIONES_FECHA!$A$2:$A$201=$A356)*(EXCEPCIONES_FECHA!$B$2:$B$201=$B356),0)),IFERROR(INDEX(EXCEPCIONES_FECHA!$E$2:$E$201,MATCH(1,(EXCEPCIONES_FECHA!$A$2:$A$201=$A356)*(EXCEPCIONES_FECHA!$B$2:$B$201=""),0)),IFERROR(INDEX(IF($I356="FIN",HISTORIAL_HORARIOS!$K$2:$K$201,HISTORIAL_HORARIOS!$G$2:$G$201),MATCH(1,(HISTORIAL_HORARIOS!$A$2:$A$201=$B356)*(HISTORIAL_HORARIOS!$C$2:$C$201&lt;=$A356)*(HISTORIAL_HORARIOS!$D$2:$D$201&gt;=$A356),0)),INDEX(IF($I356="FIN",PERSONAL!$K$2:$K$80,PERSONAL!$G$2:$G$80),MATCH($B356,PERSONAL!$A$2:$A$80,0)))))</f>
        <v/>
      </c>
      <c r="O356" s="53">
        <f t="array" ref="O356">IFERROR(INDEX(EXCEPCIONES_FECHA!$F$2:$F$201,MATCH(1,(EXCEPCIONES_FECHA!$A$2:$A$201=$A356)*(EXCEPCIONES_FECHA!$B$2:$B$201=$B356),0)),IFERROR(INDEX(EXCEPCIONES_FECHA!$F$2:$F$201,MATCH(1,(EXCEPCIONES_FECHA!$A$2:$A$201=$A356)*(EXCEPCIONES_FECHA!$B$2:$B$201=""),0)),IFERROR(INDEX(IF($I356="FIN",HISTORIAL_HORARIOS!$L$2:$L$201,HISTORIAL_HORARIOS!$H$2:$H$201),MATCH(1,(HISTORIAL_HORARIOS!$A$2:$A$201=$B356)*(HISTORIAL_HORARIOS!$C$2:$C$201&lt;=$A356)*(HISTORIAL_HORARIOS!$D$2:$D$201&gt;=$A356),0)),INDEX(IF($I356="FIN",PERSONAL!$L$2:$L$80,PERSONAL!$H$2:$H$80),MATCH($B356,PERSONAL!$A$2:$A$80,0)))))</f>
        <v/>
      </c>
    </row>
    <row r="357" ht="15" customHeight="1" s="58">
      <c r="A357" s="37" t="n"/>
      <c r="B357" s="38" t="n"/>
      <c r="C357" s="39" t="n"/>
      <c r="D357" s="39" t="n"/>
      <c r="E357" s="34">
        <f t="array" ref="E357">IF($B357="","",IFERROR(INDEX(PERSONAL!$B$2:$B$80,MATCH($B357,PERSONAL!$A$2:$A$80,0)),"NO EXISTE"))</f>
        <v/>
      </c>
      <c r="F357" s="52">
        <f t="array" ref="F357">IF($B357="","",IFERROR(INDEX(PERSONAL!$C$2:$C$80,MATCH($B357,PERSONAL!$A$2:$A$80,0)),""))</f>
        <v/>
      </c>
      <c r="G357" s="52">
        <f>IF($A357="","",CHOOSE(WEEKDAY($A357,2),"LUNES","MARTES","MIÉRCOLES","JUEVES","VIERNES","SÁBADO","DOMINGO"))</f>
        <v/>
      </c>
      <c r="H357" s="34">
        <f>IF($A357="","",CHOOSE(MONTH($A357),"ENERO","FEBRERO","MARZO","ABRIL","MAYO","JUNIO","JULIO","AGOSTO","SEPTIEMBRE","OCTUBRE","NOVIEMBRE","DICIEMBRE"))</f>
        <v/>
      </c>
      <c r="I357" s="34">
        <f>IF($A357="","",IF(OR($G357="SÁBADO",$G357="DOMINGO"),"FIN","LV"))</f>
        <v/>
      </c>
      <c r="J357" s="34">
        <f>IF(OR($A357="",$B357=""),"",IF($L357&lt;&gt;"",UPPER($L357),IF($C357="","FALTA",IFERROR(IF($C357&gt;=$O357,"ROJO FUERTE",IF($C357&gt;=$N357,"ROJO",IF($C357&gt;=$M357,"AMARILLO","VERDE"))),"REVISAR"))))</f>
        <v/>
      </c>
      <c r="K357" s="36">
        <f>IF(OR($C357="",$D357=""),"",IF($D357&gt;=$C357,($D357-$C357)*24,(1-$C357+$D357)*24))</f>
        <v/>
      </c>
      <c r="L357" s="34" t="n"/>
      <c r="M357" s="53">
        <f t="array" ref="M357">IFERROR(INDEX(EXCEPCIONES_FECHA!$D$2:$D$201,MATCH(1,(EXCEPCIONES_FECHA!$A$2:$A$201=$A357)*(EXCEPCIONES_FECHA!$B$2:$B$201=$B357),0)),IFERROR(INDEX(EXCEPCIONES_FECHA!$D$2:$D$201,MATCH(1,(EXCEPCIONES_FECHA!$A$2:$A$201=$A357)*(EXCEPCIONES_FECHA!$B$2:$B$201=""),0)),IFERROR(INDEX(IF($I357="FIN",HISTORIAL_HORARIOS!$J$2:$J$201,HISTORIAL_HORARIOS!$F$2:$F$201),MATCH(1,(HISTORIAL_HORARIOS!$A$2:$A$201=$B357)*(HISTORIAL_HORARIOS!$C$2:$C$201&lt;=$A357)*(HISTORIAL_HORARIOS!$D$2:$D$201&gt;=$A357),0)),INDEX(IF($I357="FIN",PERSONAL!$J$2:$J$80,PERSONAL!$F$2:$F$80),MATCH($B357,PERSONAL!$A$2:$A$80,0)))))</f>
        <v/>
      </c>
      <c r="N357" s="53">
        <f t="array" ref="N357">IFERROR(INDEX(EXCEPCIONES_FECHA!$E$2:$E$201,MATCH(1,(EXCEPCIONES_FECHA!$A$2:$A$201=$A357)*(EXCEPCIONES_FECHA!$B$2:$B$201=$B357),0)),IFERROR(INDEX(EXCEPCIONES_FECHA!$E$2:$E$201,MATCH(1,(EXCEPCIONES_FECHA!$A$2:$A$201=$A357)*(EXCEPCIONES_FECHA!$B$2:$B$201=""),0)),IFERROR(INDEX(IF($I357="FIN",HISTORIAL_HORARIOS!$K$2:$K$201,HISTORIAL_HORARIOS!$G$2:$G$201),MATCH(1,(HISTORIAL_HORARIOS!$A$2:$A$201=$B357)*(HISTORIAL_HORARIOS!$C$2:$C$201&lt;=$A357)*(HISTORIAL_HORARIOS!$D$2:$D$201&gt;=$A357),0)),INDEX(IF($I357="FIN",PERSONAL!$K$2:$K$80,PERSONAL!$G$2:$G$80),MATCH($B357,PERSONAL!$A$2:$A$80,0)))))</f>
        <v/>
      </c>
      <c r="O357" s="53">
        <f t="array" ref="O357">IFERROR(INDEX(EXCEPCIONES_FECHA!$F$2:$F$201,MATCH(1,(EXCEPCIONES_FECHA!$A$2:$A$201=$A357)*(EXCEPCIONES_FECHA!$B$2:$B$201=$B357),0)),IFERROR(INDEX(EXCEPCIONES_FECHA!$F$2:$F$201,MATCH(1,(EXCEPCIONES_FECHA!$A$2:$A$201=$A357)*(EXCEPCIONES_FECHA!$B$2:$B$201=""),0)),IFERROR(INDEX(IF($I357="FIN",HISTORIAL_HORARIOS!$L$2:$L$201,HISTORIAL_HORARIOS!$H$2:$H$201),MATCH(1,(HISTORIAL_HORARIOS!$A$2:$A$201=$B357)*(HISTORIAL_HORARIOS!$C$2:$C$201&lt;=$A357)*(HISTORIAL_HORARIOS!$D$2:$D$201&gt;=$A357),0)),INDEX(IF($I357="FIN",PERSONAL!$L$2:$L$80,PERSONAL!$H$2:$H$80),MATCH($B357,PERSONAL!$A$2:$A$80,0)))))</f>
        <v/>
      </c>
    </row>
    <row r="358" ht="15" customHeight="1" s="58">
      <c r="A358" s="37" t="n"/>
      <c r="B358" s="38" t="n"/>
      <c r="C358" s="39" t="n"/>
      <c r="D358" s="39" t="n"/>
      <c r="E358" s="34">
        <f t="array" ref="E358">IF($B358="","",IFERROR(INDEX(PERSONAL!$B$2:$B$80,MATCH($B358,PERSONAL!$A$2:$A$80,0)),"NO EXISTE"))</f>
        <v/>
      </c>
      <c r="F358" s="52">
        <f t="array" ref="F358">IF($B358="","",IFERROR(INDEX(PERSONAL!$C$2:$C$80,MATCH($B358,PERSONAL!$A$2:$A$80,0)),""))</f>
        <v/>
      </c>
      <c r="G358" s="52">
        <f>IF($A358="","",CHOOSE(WEEKDAY($A358,2),"LUNES","MARTES","MIÉRCOLES","JUEVES","VIERNES","SÁBADO","DOMINGO"))</f>
        <v/>
      </c>
      <c r="H358" s="34">
        <f>IF($A358="","",CHOOSE(MONTH($A358),"ENERO","FEBRERO","MARZO","ABRIL","MAYO","JUNIO","JULIO","AGOSTO","SEPTIEMBRE","OCTUBRE","NOVIEMBRE","DICIEMBRE"))</f>
        <v/>
      </c>
      <c r="I358" s="34">
        <f>IF($A358="","",IF(OR($G358="SÁBADO",$G358="DOMINGO"),"FIN","LV"))</f>
        <v/>
      </c>
      <c r="J358" s="34">
        <f>IF(OR($A358="",$B358=""),"",IF($L358&lt;&gt;"",UPPER($L358),IF($C358="","FALTA",IFERROR(IF($C358&gt;=$O358,"ROJO FUERTE",IF($C358&gt;=$N358,"ROJO",IF($C358&gt;=$M358,"AMARILLO","VERDE"))),"REVISAR"))))</f>
        <v/>
      </c>
      <c r="K358" s="36">
        <f>IF(OR($C358="",$D358=""),"",IF($D358&gt;=$C358,($D358-$C358)*24,(1-$C358+$D358)*24))</f>
        <v/>
      </c>
      <c r="L358" s="34" t="n"/>
      <c r="M358" s="53">
        <f t="array" ref="M358">IFERROR(INDEX(EXCEPCIONES_FECHA!$D$2:$D$201,MATCH(1,(EXCEPCIONES_FECHA!$A$2:$A$201=$A358)*(EXCEPCIONES_FECHA!$B$2:$B$201=$B358),0)),IFERROR(INDEX(EXCEPCIONES_FECHA!$D$2:$D$201,MATCH(1,(EXCEPCIONES_FECHA!$A$2:$A$201=$A358)*(EXCEPCIONES_FECHA!$B$2:$B$201=""),0)),IFERROR(INDEX(IF($I358="FIN",HISTORIAL_HORARIOS!$J$2:$J$201,HISTORIAL_HORARIOS!$F$2:$F$201),MATCH(1,(HISTORIAL_HORARIOS!$A$2:$A$201=$B358)*(HISTORIAL_HORARIOS!$C$2:$C$201&lt;=$A358)*(HISTORIAL_HORARIOS!$D$2:$D$201&gt;=$A358),0)),INDEX(IF($I358="FIN",PERSONAL!$J$2:$J$80,PERSONAL!$F$2:$F$80),MATCH($B358,PERSONAL!$A$2:$A$80,0)))))</f>
        <v/>
      </c>
      <c r="N358" s="53">
        <f t="array" ref="N358">IFERROR(INDEX(EXCEPCIONES_FECHA!$E$2:$E$201,MATCH(1,(EXCEPCIONES_FECHA!$A$2:$A$201=$A358)*(EXCEPCIONES_FECHA!$B$2:$B$201=$B358),0)),IFERROR(INDEX(EXCEPCIONES_FECHA!$E$2:$E$201,MATCH(1,(EXCEPCIONES_FECHA!$A$2:$A$201=$A358)*(EXCEPCIONES_FECHA!$B$2:$B$201=""),0)),IFERROR(INDEX(IF($I358="FIN",HISTORIAL_HORARIOS!$K$2:$K$201,HISTORIAL_HORARIOS!$G$2:$G$201),MATCH(1,(HISTORIAL_HORARIOS!$A$2:$A$201=$B358)*(HISTORIAL_HORARIOS!$C$2:$C$201&lt;=$A358)*(HISTORIAL_HORARIOS!$D$2:$D$201&gt;=$A358),0)),INDEX(IF($I358="FIN",PERSONAL!$K$2:$K$80,PERSONAL!$G$2:$G$80),MATCH($B358,PERSONAL!$A$2:$A$80,0)))))</f>
        <v/>
      </c>
      <c r="O358" s="53">
        <f t="array" ref="O358">IFERROR(INDEX(EXCEPCIONES_FECHA!$F$2:$F$201,MATCH(1,(EXCEPCIONES_FECHA!$A$2:$A$201=$A358)*(EXCEPCIONES_FECHA!$B$2:$B$201=$B358),0)),IFERROR(INDEX(EXCEPCIONES_FECHA!$F$2:$F$201,MATCH(1,(EXCEPCIONES_FECHA!$A$2:$A$201=$A358)*(EXCEPCIONES_FECHA!$B$2:$B$201=""),0)),IFERROR(INDEX(IF($I358="FIN",HISTORIAL_HORARIOS!$L$2:$L$201,HISTORIAL_HORARIOS!$H$2:$H$201),MATCH(1,(HISTORIAL_HORARIOS!$A$2:$A$201=$B358)*(HISTORIAL_HORARIOS!$C$2:$C$201&lt;=$A358)*(HISTORIAL_HORARIOS!$D$2:$D$201&gt;=$A358),0)),INDEX(IF($I358="FIN",PERSONAL!$L$2:$L$80,PERSONAL!$H$2:$H$80),MATCH($B358,PERSONAL!$A$2:$A$80,0)))))</f>
        <v/>
      </c>
    </row>
    <row r="359" ht="15" customHeight="1" s="58">
      <c r="A359" s="37" t="n"/>
      <c r="B359" s="38" t="n"/>
      <c r="C359" s="39" t="n"/>
      <c r="D359" s="39" t="n"/>
      <c r="E359" s="34">
        <f t="array" ref="E359">IF($B359="","",IFERROR(INDEX(PERSONAL!$B$2:$B$80,MATCH($B359,PERSONAL!$A$2:$A$80,0)),"NO EXISTE"))</f>
        <v/>
      </c>
      <c r="F359" s="52">
        <f t="array" ref="F359">IF($B359="","",IFERROR(INDEX(PERSONAL!$C$2:$C$80,MATCH($B359,PERSONAL!$A$2:$A$80,0)),""))</f>
        <v/>
      </c>
      <c r="G359" s="52">
        <f>IF($A359="","",CHOOSE(WEEKDAY($A359,2),"LUNES","MARTES","MIÉRCOLES","JUEVES","VIERNES","SÁBADO","DOMINGO"))</f>
        <v/>
      </c>
      <c r="H359" s="34">
        <f>IF($A359="","",CHOOSE(MONTH($A359),"ENERO","FEBRERO","MARZO","ABRIL","MAYO","JUNIO","JULIO","AGOSTO","SEPTIEMBRE","OCTUBRE","NOVIEMBRE","DICIEMBRE"))</f>
        <v/>
      </c>
      <c r="I359" s="34">
        <f>IF($A359="","",IF(OR($G359="SÁBADO",$G359="DOMINGO"),"FIN","LV"))</f>
        <v/>
      </c>
      <c r="J359" s="34">
        <f>IF(OR($A359="",$B359=""),"",IF($L359&lt;&gt;"",UPPER($L359),IF($C359="","FALTA",IFERROR(IF($C359&gt;=$O359,"ROJO FUERTE",IF($C359&gt;=$N359,"ROJO",IF($C359&gt;=$M359,"AMARILLO","VERDE"))),"REVISAR"))))</f>
        <v/>
      </c>
      <c r="K359" s="36">
        <f>IF(OR($C359="",$D359=""),"",IF($D359&gt;=$C359,($D359-$C359)*24,(1-$C359+$D359)*24))</f>
        <v/>
      </c>
      <c r="L359" s="34" t="n"/>
      <c r="M359" s="53">
        <f t="array" ref="M359">IFERROR(INDEX(EXCEPCIONES_FECHA!$D$2:$D$201,MATCH(1,(EXCEPCIONES_FECHA!$A$2:$A$201=$A359)*(EXCEPCIONES_FECHA!$B$2:$B$201=$B359),0)),IFERROR(INDEX(EXCEPCIONES_FECHA!$D$2:$D$201,MATCH(1,(EXCEPCIONES_FECHA!$A$2:$A$201=$A359)*(EXCEPCIONES_FECHA!$B$2:$B$201=""),0)),IFERROR(INDEX(IF($I359="FIN",HISTORIAL_HORARIOS!$J$2:$J$201,HISTORIAL_HORARIOS!$F$2:$F$201),MATCH(1,(HISTORIAL_HORARIOS!$A$2:$A$201=$B359)*(HISTORIAL_HORARIOS!$C$2:$C$201&lt;=$A359)*(HISTORIAL_HORARIOS!$D$2:$D$201&gt;=$A359),0)),INDEX(IF($I359="FIN",PERSONAL!$J$2:$J$80,PERSONAL!$F$2:$F$80),MATCH($B359,PERSONAL!$A$2:$A$80,0)))))</f>
        <v/>
      </c>
      <c r="N359" s="53">
        <f t="array" ref="N359">IFERROR(INDEX(EXCEPCIONES_FECHA!$E$2:$E$201,MATCH(1,(EXCEPCIONES_FECHA!$A$2:$A$201=$A359)*(EXCEPCIONES_FECHA!$B$2:$B$201=$B359),0)),IFERROR(INDEX(EXCEPCIONES_FECHA!$E$2:$E$201,MATCH(1,(EXCEPCIONES_FECHA!$A$2:$A$201=$A359)*(EXCEPCIONES_FECHA!$B$2:$B$201=""),0)),IFERROR(INDEX(IF($I359="FIN",HISTORIAL_HORARIOS!$K$2:$K$201,HISTORIAL_HORARIOS!$G$2:$G$201),MATCH(1,(HISTORIAL_HORARIOS!$A$2:$A$201=$B359)*(HISTORIAL_HORARIOS!$C$2:$C$201&lt;=$A359)*(HISTORIAL_HORARIOS!$D$2:$D$201&gt;=$A359),0)),INDEX(IF($I359="FIN",PERSONAL!$K$2:$K$80,PERSONAL!$G$2:$G$80),MATCH($B359,PERSONAL!$A$2:$A$80,0)))))</f>
        <v/>
      </c>
      <c r="O359" s="53">
        <f t="array" ref="O359">IFERROR(INDEX(EXCEPCIONES_FECHA!$F$2:$F$201,MATCH(1,(EXCEPCIONES_FECHA!$A$2:$A$201=$A359)*(EXCEPCIONES_FECHA!$B$2:$B$201=$B359),0)),IFERROR(INDEX(EXCEPCIONES_FECHA!$F$2:$F$201,MATCH(1,(EXCEPCIONES_FECHA!$A$2:$A$201=$A359)*(EXCEPCIONES_FECHA!$B$2:$B$201=""),0)),IFERROR(INDEX(IF($I359="FIN",HISTORIAL_HORARIOS!$L$2:$L$201,HISTORIAL_HORARIOS!$H$2:$H$201),MATCH(1,(HISTORIAL_HORARIOS!$A$2:$A$201=$B359)*(HISTORIAL_HORARIOS!$C$2:$C$201&lt;=$A359)*(HISTORIAL_HORARIOS!$D$2:$D$201&gt;=$A359),0)),INDEX(IF($I359="FIN",PERSONAL!$L$2:$L$80,PERSONAL!$H$2:$H$80),MATCH($B359,PERSONAL!$A$2:$A$80,0)))))</f>
        <v/>
      </c>
    </row>
    <row r="360" ht="15" customHeight="1" s="58">
      <c r="A360" s="37" t="n"/>
      <c r="B360" s="38" t="n"/>
      <c r="C360" s="39" t="n"/>
      <c r="D360" s="39" t="n"/>
      <c r="E360" s="34">
        <f t="array" ref="E360">IF($B360="","",IFERROR(INDEX(PERSONAL!$B$2:$B$80,MATCH($B360,PERSONAL!$A$2:$A$80,0)),"NO EXISTE"))</f>
        <v/>
      </c>
      <c r="F360" s="52">
        <f t="array" ref="F360">IF($B360="","",IFERROR(INDEX(PERSONAL!$C$2:$C$80,MATCH($B360,PERSONAL!$A$2:$A$80,0)),""))</f>
        <v/>
      </c>
      <c r="G360" s="52">
        <f>IF($A360="","",CHOOSE(WEEKDAY($A360,2),"LUNES","MARTES","MIÉRCOLES","JUEVES","VIERNES","SÁBADO","DOMINGO"))</f>
        <v/>
      </c>
      <c r="H360" s="34">
        <f>IF($A360="","",CHOOSE(MONTH($A360),"ENERO","FEBRERO","MARZO","ABRIL","MAYO","JUNIO","JULIO","AGOSTO","SEPTIEMBRE","OCTUBRE","NOVIEMBRE","DICIEMBRE"))</f>
        <v/>
      </c>
      <c r="I360" s="34">
        <f>IF($A360="","",IF(OR($G360="SÁBADO",$G360="DOMINGO"),"FIN","LV"))</f>
        <v/>
      </c>
      <c r="J360" s="34">
        <f>IF(OR($A360="",$B360=""),"",IF($L360&lt;&gt;"",UPPER($L360),IF($C360="","FALTA",IFERROR(IF($C360&gt;=$O360,"ROJO FUERTE",IF($C360&gt;=$N360,"ROJO",IF($C360&gt;=$M360,"AMARILLO","VERDE"))),"REVISAR"))))</f>
        <v/>
      </c>
      <c r="K360" s="36">
        <f>IF(OR($C360="",$D360=""),"",IF($D360&gt;=$C360,($D360-$C360)*24,(1-$C360+$D360)*24))</f>
        <v/>
      </c>
      <c r="L360" s="34" t="n"/>
      <c r="M360" s="53">
        <f t="array" ref="M360">IFERROR(INDEX(EXCEPCIONES_FECHA!$D$2:$D$201,MATCH(1,(EXCEPCIONES_FECHA!$A$2:$A$201=$A360)*(EXCEPCIONES_FECHA!$B$2:$B$201=$B360),0)),IFERROR(INDEX(EXCEPCIONES_FECHA!$D$2:$D$201,MATCH(1,(EXCEPCIONES_FECHA!$A$2:$A$201=$A360)*(EXCEPCIONES_FECHA!$B$2:$B$201=""),0)),IFERROR(INDEX(IF($I360="FIN",HISTORIAL_HORARIOS!$J$2:$J$201,HISTORIAL_HORARIOS!$F$2:$F$201),MATCH(1,(HISTORIAL_HORARIOS!$A$2:$A$201=$B360)*(HISTORIAL_HORARIOS!$C$2:$C$201&lt;=$A360)*(HISTORIAL_HORARIOS!$D$2:$D$201&gt;=$A360),0)),INDEX(IF($I360="FIN",PERSONAL!$J$2:$J$80,PERSONAL!$F$2:$F$80),MATCH($B360,PERSONAL!$A$2:$A$80,0)))))</f>
        <v/>
      </c>
      <c r="N360" s="53">
        <f t="array" ref="N360">IFERROR(INDEX(EXCEPCIONES_FECHA!$E$2:$E$201,MATCH(1,(EXCEPCIONES_FECHA!$A$2:$A$201=$A360)*(EXCEPCIONES_FECHA!$B$2:$B$201=$B360),0)),IFERROR(INDEX(EXCEPCIONES_FECHA!$E$2:$E$201,MATCH(1,(EXCEPCIONES_FECHA!$A$2:$A$201=$A360)*(EXCEPCIONES_FECHA!$B$2:$B$201=""),0)),IFERROR(INDEX(IF($I360="FIN",HISTORIAL_HORARIOS!$K$2:$K$201,HISTORIAL_HORARIOS!$G$2:$G$201),MATCH(1,(HISTORIAL_HORARIOS!$A$2:$A$201=$B360)*(HISTORIAL_HORARIOS!$C$2:$C$201&lt;=$A360)*(HISTORIAL_HORARIOS!$D$2:$D$201&gt;=$A360),0)),INDEX(IF($I360="FIN",PERSONAL!$K$2:$K$80,PERSONAL!$G$2:$G$80),MATCH($B360,PERSONAL!$A$2:$A$80,0)))))</f>
        <v/>
      </c>
      <c r="O360" s="53">
        <f t="array" ref="O360">IFERROR(INDEX(EXCEPCIONES_FECHA!$F$2:$F$201,MATCH(1,(EXCEPCIONES_FECHA!$A$2:$A$201=$A360)*(EXCEPCIONES_FECHA!$B$2:$B$201=$B360),0)),IFERROR(INDEX(EXCEPCIONES_FECHA!$F$2:$F$201,MATCH(1,(EXCEPCIONES_FECHA!$A$2:$A$201=$A360)*(EXCEPCIONES_FECHA!$B$2:$B$201=""),0)),IFERROR(INDEX(IF($I360="FIN",HISTORIAL_HORARIOS!$L$2:$L$201,HISTORIAL_HORARIOS!$H$2:$H$201),MATCH(1,(HISTORIAL_HORARIOS!$A$2:$A$201=$B360)*(HISTORIAL_HORARIOS!$C$2:$C$201&lt;=$A360)*(HISTORIAL_HORARIOS!$D$2:$D$201&gt;=$A360),0)),INDEX(IF($I360="FIN",PERSONAL!$L$2:$L$80,PERSONAL!$H$2:$H$80),MATCH($B360,PERSONAL!$A$2:$A$80,0)))))</f>
        <v/>
      </c>
    </row>
    <row r="361" ht="15" customHeight="1" s="58">
      <c r="A361" s="37" t="n"/>
      <c r="B361" s="38" t="n"/>
      <c r="C361" s="39" t="n"/>
      <c r="D361" s="39" t="n"/>
      <c r="E361" s="34">
        <f t="array" ref="E361">IF($B361="","",IFERROR(INDEX(PERSONAL!$B$2:$B$80,MATCH($B361,PERSONAL!$A$2:$A$80,0)),"NO EXISTE"))</f>
        <v/>
      </c>
      <c r="F361" s="52">
        <f t="array" ref="F361">IF($B361="","",IFERROR(INDEX(PERSONAL!$C$2:$C$80,MATCH($B361,PERSONAL!$A$2:$A$80,0)),""))</f>
        <v/>
      </c>
      <c r="G361" s="52">
        <f>IF($A361="","",CHOOSE(WEEKDAY($A361,2),"LUNES","MARTES","MIÉRCOLES","JUEVES","VIERNES","SÁBADO","DOMINGO"))</f>
        <v/>
      </c>
      <c r="H361" s="34">
        <f>IF($A361="","",CHOOSE(MONTH($A361),"ENERO","FEBRERO","MARZO","ABRIL","MAYO","JUNIO","JULIO","AGOSTO","SEPTIEMBRE","OCTUBRE","NOVIEMBRE","DICIEMBRE"))</f>
        <v/>
      </c>
      <c r="I361" s="34">
        <f>IF($A361="","",IF(OR($G361="SÁBADO",$G361="DOMINGO"),"FIN","LV"))</f>
        <v/>
      </c>
      <c r="J361" s="34">
        <f>IF(OR($A361="",$B361=""),"",IF($L361&lt;&gt;"",UPPER($L361),IF($C361="","FALTA",IFERROR(IF($C361&gt;=$O361,"ROJO FUERTE",IF($C361&gt;=$N361,"ROJO",IF($C361&gt;=$M361,"AMARILLO","VERDE"))),"REVISAR"))))</f>
        <v/>
      </c>
      <c r="K361" s="36">
        <f>IF(OR($C361="",$D361=""),"",IF($D361&gt;=$C361,($D361-$C361)*24,(1-$C361+$D361)*24))</f>
        <v/>
      </c>
      <c r="L361" s="34" t="n"/>
      <c r="M361" s="53">
        <f t="array" ref="M361">IFERROR(INDEX(EXCEPCIONES_FECHA!$D$2:$D$201,MATCH(1,(EXCEPCIONES_FECHA!$A$2:$A$201=$A361)*(EXCEPCIONES_FECHA!$B$2:$B$201=$B361),0)),IFERROR(INDEX(EXCEPCIONES_FECHA!$D$2:$D$201,MATCH(1,(EXCEPCIONES_FECHA!$A$2:$A$201=$A361)*(EXCEPCIONES_FECHA!$B$2:$B$201=""),0)),IFERROR(INDEX(IF($I361="FIN",HISTORIAL_HORARIOS!$J$2:$J$201,HISTORIAL_HORARIOS!$F$2:$F$201),MATCH(1,(HISTORIAL_HORARIOS!$A$2:$A$201=$B361)*(HISTORIAL_HORARIOS!$C$2:$C$201&lt;=$A361)*(HISTORIAL_HORARIOS!$D$2:$D$201&gt;=$A361),0)),INDEX(IF($I361="FIN",PERSONAL!$J$2:$J$80,PERSONAL!$F$2:$F$80),MATCH($B361,PERSONAL!$A$2:$A$80,0)))))</f>
        <v/>
      </c>
      <c r="N361" s="53">
        <f t="array" ref="N361">IFERROR(INDEX(EXCEPCIONES_FECHA!$E$2:$E$201,MATCH(1,(EXCEPCIONES_FECHA!$A$2:$A$201=$A361)*(EXCEPCIONES_FECHA!$B$2:$B$201=$B361),0)),IFERROR(INDEX(EXCEPCIONES_FECHA!$E$2:$E$201,MATCH(1,(EXCEPCIONES_FECHA!$A$2:$A$201=$A361)*(EXCEPCIONES_FECHA!$B$2:$B$201=""),0)),IFERROR(INDEX(IF($I361="FIN",HISTORIAL_HORARIOS!$K$2:$K$201,HISTORIAL_HORARIOS!$G$2:$G$201),MATCH(1,(HISTORIAL_HORARIOS!$A$2:$A$201=$B361)*(HISTORIAL_HORARIOS!$C$2:$C$201&lt;=$A361)*(HISTORIAL_HORARIOS!$D$2:$D$201&gt;=$A361),0)),INDEX(IF($I361="FIN",PERSONAL!$K$2:$K$80,PERSONAL!$G$2:$G$80),MATCH($B361,PERSONAL!$A$2:$A$80,0)))))</f>
        <v/>
      </c>
      <c r="O361" s="53">
        <f t="array" ref="O361">IFERROR(INDEX(EXCEPCIONES_FECHA!$F$2:$F$201,MATCH(1,(EXCEPCIONES_FECHA!$A$2:$A$201=$A361)*(EXCEPCIONES_FECHA!$B$2:$B$201=$B361),0)),IFERROR(INDEX(EXCEPCIONES_FECHA!$F$2:$F$201,MATCH(1,(EXCEPCIONES_FECHA!$A$2:$A$201=$A361)*(EXCEPCIONES_FECHA!$B$2:$B$201=""),0)),IFERROR(INDEX(IF($I361="FIN",HISTORIAL_HORARIOS!$L$2:$L$201,HISTORIAL_HORARIOS!$H$2:$H$201),MATCH(1,(HISTORIAL_HORARIOS!$A$2:$A$201=$B361)*(HISTORIAL_HORARIOS!$C$2:$C$201&lt;=$A361)*(HISTORIAL_HORARIOS!$D$2:$D$201&gt;=$A361),0)),INDEX(IF($I361="FIN",PERSONAL!$L$2:$L$80,PERSONAL!$H$2:$H$80),MATCH($B361,PERSONAL!$A$2:$A$80,0)))))</f>
        <v/>
      </c>
    </row>
    <row r="362" ht="15" customHeight="1" s="58">
      <c r="A362" s="37" t="n"/>
      <c r="B362" s="38" t="n"/>
      <c r="C362" s="39" t="n"/>
      <c r="D362" s="39" t="n"/>
      <c r="E362" s="34">
        <f t="array" ref="E362">IF($B362="","",IFERROR(INDEX(PERSONAL!$B$2:$B$80,MATCH($B362,PERSONAL!$A$2:$A$80,0)),"NO EXISTE"))</f>
        <v/>
      </c>
      <c r="F362" s="52">
        <f t="array" ref="F362">IF($B362="","",IFERROR(INDEX(PERSONAL!$C$2:$C$80,MATCH($B362,PERSONAL!$A$2:$A$80,0)),""))</f>
        <v/>
      </c>
      <c r="G362" s="52">
        <f>IF($A362="","",CHOOSE(WEEKDAY($A362,2),"LUNES","MARTES","MIÉRCOLES","JUEVES","VIERNES","SÁBADO","DOMINGO"))</f>
        <v/>
      </c>
      <c r="H362" s="34">
        <f>IF($A362="","",CHOOSE(MONTH($A362),"ENERO","FEBRERO","MARZO","ABRIL","MAYO","JUNIO","JULIO","AGOSTO","SEPTIEMBRE","OCTUBRE","NOVIEMBRE","DICIEMBRE"))</f>
        <v/>
      </c>
      <c r="I362" s="34">
        <f>IF($A362="","",IF(OR($G362="SÁBADO",$G362="DOMINGO"),"FIN","LV"))</f>
        <v/>
      </c>
      <c r="J362" s="34">
        <f>IF(OR($A362="",$B362=""),"",IF($L362&lt;&gt;"",UPPER($L362),IF($C362="","FALTA",IFERROR(IF($C362&gt;=$O362,"ROJO FUERTE",IF($C362&gt;=$N362,"ROJO",IF($C362&gt;=$M362,"AMARILLO","VERDE"))),"REVISAR"))))</f>
        <v/>
      </c>
      <c r="K362" s="36">
        <f>IF(OR($C362="",$D362=""),"",IF($D362&gt;=$C362,($D362-$C362)*24,(1-$C362+$D362)*24))</f>
        <v/>
      </c>
      <c r="L362" s="34" t="n"/>
      <c r="M362" s="53">
        <f t="array" ref="M362">IFERROR(INDEX(EXCEPCIONES_FECHA!$D$2:$D$201,MATCH(1,(EXCEPCIONES_FECHA!$A$2:$A$201=$A362)*(EXCEPCIONES_FECHA!$B$2:$B$201=$B362),0)),IFERROR(INDEX(EXCEPCIONES_FECHA!$D$2:$D$201,MATCH(1,(EXCEPCIONES_FECHA!$A$2:$A$201=$A362)*(EXCEPCIONES_FECHA!$B$2:$B$201=""),0)),IFERROR(INDEX(IF($I362="FIN",HISTORIAL_HORARIOS!$J$2:$J$201,HISTORIAL_HORARIOS!$F$2:$F$201),MATCH(1,(HISTORIAL_HORARIOS!$A$2:$A$201=$B362)*(HISTORIAL_HORARIOS!$C$2:$C$201&lt;=$A362)*(HISTORIAL_HORARIOS!$D$2:$D$201&gt;=$A362),0)),INDEX(IF($I362="FIN",PERSONAL!$J$2:$J$80,PERSONAL!$F$2:$F$80),MATCH($B362,PERSONAL!$A$2:$A$80,0)))))</f>
        <v/>
      </c>
      <c r="N362" s="53">
        <f t="array" ref="N362">IFERROR(INDEX(EXCEPCIONES_FECHA!$E$2:$E$201,MATCH(1,(EXCEPCIONES_FECHA!$A$2:$A$201=$A362)*(EXCEPCIONES_FECHA!$B$2:$B$201=$B362),0)),IFERROR(INDEX(EXCEPCIONES_FECHA!$E$2:$E$201,MATCH(1,(EXCEPCIONES_FECHA!$A$2:$A$201=$A362)*(EXCEPCIONES_FECHA!$B$2:$B$201=""),0)),IFERROR(INDEX(IF($I362="FIN",HISTORIAL_HORARIOS!$K$2:$K$201,HISTORIAL_HORARIOS!$G$2:$G$201),MATCH(1,(HISTORIAL_HORARIOS!$A$2:$A$201=$B362)*(HISTORIAL_HORARIOS!$C$2:$C$201&lt;=$A362)*(HISTORIAL_HORARIOS!$D$2:$D$201&gt;=$A362),0)),INDEX(IF($I362="FIN",PERSONAL!$K$2:$K$80,PERSONAL!$G$2:$G$80),MATCH($B362,PERSONAL!$A$2:$A$80,0)))))</f>
        <v/>
      </c>
      <c r="O362" s="53">
        <f t="array" ref="O362">IFERROR(INDEX(EXCEPCIONES_FECHA!$F$2:$F$201,MATCH(1,(EXCEPCIONES_FECHA!$A$2:$A$201=$A362)*(EXCEPCIONES_FECHA!$B$2:$B$201=$B362),0)),IFERROR(INDEX(EXCEPCIONES_FECHA!$F$2:$F$201,MATCH(1,(EXCEPCIONES_FECHA!$A$2:$A$201=$A362)*(EXCEPCIONES_FECHA!$B$2:$B$201=""),0)),IFERROR(INDEX(IF($I362="FIN",HISTORIAL_HORARIOS!$L$2:$L$201,HISTORIAL_HORARIOS!$H$2:$H$201),MATCH(1,(HISTORIAL_HORARIOS!$A$2:$A$201=$B362)*(HISTORIAL_HORARIOS!$C$2:$C$201&lt;=$A362)*(HISTORIAL_HORARIOS!$D$2:$D$201&gt;=$A362),0)),INDEX(IF($I362="FIN",PERSONAL!$L$2:$L$80,PERSONAL!$H$2:$H$80),MATCH($B362,PERSONAL!$A$2:$A$80,0)))))</f>
        <v/>
      </c>
    </row>
    <row r="363" ht="15" customHeight="1" s="58">
      <c r="A363" s="37" t="n"/>
      <c r="B363" s="38" t="n"/>
      <c r="C363" s="39" t="n"/>
      <c r="D363" s="39" t="n"/>
      <c r="E363" s="34">
        <f t="array" ref="E363">IF($B363="","",IFERROR(INDEX(PERSONAL!$B$2:$B$80,MATCH($B363,PERSONAL!$A$2:$A$80,0)),"NO EXISTE"))</f>
        <v/>
      </c>
      <c r="F363" s="52">
        <f t="array" ref="F363">IF($B363="","",IFERROR(INDEX(PERSONAL!$C$2:$C$80,MATCH($B363,PERSONAL!$A$2:$A$80,0)),""))</f>
        <v/>
      </c>
      <c r="G363" s="52">
        <f>IF($A363="","",CHOOSE(WEEKDAY($A363,2),"LUNES","MARTES","MIÉRCOLES","JUEVES","VIERNES","SÁBADO","DOMINGO"))</f>
        <v/>
      </c>
      <c r="H363" s="34">
        <f>IF($A363="","",CHOOSE(MONTH($A363),"ENERO","FEBRERO","MARZO","ABRIL","MAYO","JUNIO","JULIO","AGOSTO","SEPTIEMBRE","OCTUBRE","NOVIEMBRE","DICIEMBRE"))</f>
        <v/>
      </c>
      <c r="I363" s="34">
        <f>IF($A363="","",IF(OR($G363="SÁBADO",$G363="DOMINGO"),"FIN","LV"))</f>
        <v/>
      </c>
      <c r="J363" s="34">
        <f>IF(OR($A363="",$B363=""),"",IF($L363&lt;&gt;"",UPPER($L363),IF($C363="","FALTA",IFERROR(IF($C363&gt;=$O363,"ROJO FUERTE",IF($C363&gt;=$N363,"ROJO",IF($C363&gt;=$M363,"AMARILLO","VERDE"))),"REVISAR"))))</f>
        <v/>
      </c>
      <c r="K363" s="36">
        <f>IF(OR($C363="",$D363=""),"",IF($D363&gt;=$C363,($D363-$C363)*24,(1-$C363+$D363)*24))</f>
        <v/>
      </c>
      <c r="L363" s="34" t="n"/>
      <c r="M363" s="53">
        <f t="array" ref="M363">IFERROR(INDEX(EXCEPCIONES_FECHA!$D$2:$D$201,MATCH(1,(EXCEPCIONES_FECHA!$A$2:$A$201=$A363)*(EXCEPCIONES_FECHA!$B$2:$B$201=$B363),0)),IFERROR(INDEX(EXCEPCIONES_FECHA!$D$2:$D$201,MATCH(1,(EXCEPCIONES_FECHA!$A$2:$A$201=$A363)*(EXCEPCIONES_FECHA!$B$2:$B$201=""),0)),IFERROR(INDEX(IF($I363="FIN",HISTORIAL_HORARIOS!$J$2:$J$201,HISTORIAL_HORARIOS!$F$2:$F$201),MATCH(1,(HISTORIAL_HORARIOS!$A$2:$A$201=$B363)*(HISTORIAL_HORARIOS!$C$2:$C$201&lt;=$A363)*(HISTORIAL_HORARIOS!$D$2:$D$201&gt;=$A363),0)),INDEX(IF($I363="FIN",PERSONAL!$J$2:$J$80,PERSONAL!$F$2:$F$80),MATCH($B363,PERSONAL!$A$2:$A$80,0)))))</f>
        <v/>
      </c>
      <c r="N363" s="53">
        <f t="array" ref="N363">IFERROR(INDEX(EXCEPCIONES_FECHA!$E$2:$E$201,MATCH(1,(EXCEPCIONES_FECHA!$A$2:$A$201=$A363)*(EXCEPCIONES_FECHA!$B$2:$B$201=$B363),0)),IFERROR(INDEX(EXCEPCIONES_FECHA!$E$2:$E$201,MATCH(1,(EXCEPCIONES_FECHA!$A$2:$A$201=$A363)*(EXCEPCIONES_FECHA!$B$2:$B$201=""),0)),IFERROR(INDEX(IF($I363="FIN",HISTORIAL_HORARIOS!$K$2:$K$201,HISTORIAL_HORARIOS!$G$2:$G$201),MATCH(1,(HISTORIAL_HORARIOS!$A$2:$A$201=$B363)*(HISTORIAL_HORARIOS!$C$2:$C$201&lt;=$A363)*(HISTORIAL_HORARIOS!$D$2:$D$201&gt;=$A363),0)),INDEX(IF($I363="FIN",PERSONAL!$K$2:$K$80,PERSONAL!$G$2:$G$80),MATCH($B363,PERSONAL!$A$2:$A$80,0)))))</f>
        <v/>
      </c>
      <c r="O363" s="53">
        <f t="array" ref="O363">IFERROR(INDEX(EXCEPCIONES_FECHA!$F$2:$F$201,MATCH(1,(EXCEPCIONES_FECHA!$A$2:$A$201=$A363)*(EXCEPCIONES_FECHA!$B$2:$B$201=$B363),0)),IFERROR(INDEX(EXCEPCIONES_FECHA!$F$2:$F$201,MATCH(1,(EXCEPCIONES_FECHA!$A$2:$A$201=$A363)*(EXCEPCIONES_FECHA!$B$2:$B$201=""),0)),IFERROR(INDEX(IF($I363="FIN",HISTORIAL_HORARIOS!$L$2:$L$201,HISTORIAL_HORARIOS!$H$2:$H$201),MATCH(1,(HISTORIAL_HORARIOS!$A$2:$A$201=$B363)*(HISTORIAL_HORARIOS!$C$2:$C$201&lt;=$A363)*(HISTORIAL_HORARIOS!$D$2:$D$201&gt;=$A363),0)),INDEX(IF($I363="FIN",PERSONAL!$L$2:$L$80,PERSONAL!$H$2:$H$80),MATCH($B363,PERSONAL!$A$2:$A$80,0)))))</f>
        <v/>
      </c>
    </row>
    <row r="364" ht="15" customHeight="1" s="58">
      <c r="A364" s="37" t="n"/>
      <c r="B364" s="38" t="n"/>
      <c r="C364" s="39" t="n"/>
      <c r="D364" s="39" t="n"/>
      <c r="E364" s="34">
        <f t="array" ref="E364">IF($B364="","",IFERROR(INDEX(PERSONAL!$B$2:$B$80,MATCH($B364,PERSONAL!$A$2:$A$80,0)),"NO EXISTE"))</f>
        <v/>
      </c>
      <c r="F364" s="52">
        <f t="array" ref="F364">IF($B364="","",IFERROR(INDEX(PERSONAL!$C$2:$C$80,MATCH($B364,PERSONAL!$A$2:$A$80,0)),""))</f>
        <v/>
      </c>
      <c r="G364" s="52">
        <f>IF($A364="","",CHOOSE(WEEKDAY($A364,2),"LUNES","MARTES","MIÉRCOLES","JUEVES","VIERNES","SÁBADO","DOMINGO"))</f>
        <v/>
      </c>
      <c r="H364" s="34">
        <f>IF($A364="","",CHOOSE(MONTH($A364),"ENERO","FEBRERO","MARZO","ABRIL","MAYO","JUNIO","JULIO","AGOSTO","SEPTIEMBRE","OCTUBRE","NOVIEMBRE","DICIEMBRE"))</f>
        <v/>
      </c>
      <c r="I364" s="34">
        <f>IF($A364="","",IF(OR($G364="SÁBADO",$G364="DOMINGO"),"FIN","LV"))</f>
        <v/>
      </c>
      <c r="J364" s="34">
        <f>IF(OR($A364="",$B364=""),"",IF($L364&lt;&gt;"",UPPER($L364),IF($C364="","FALTA",IFERROR(IF($C364&gt;=$O364,"ROJO FUERTE",IF($C364&gt;=$N364,"ROJO",IF($C364&gt;=$M364,"AMARILLO","VERDE"))),"REVISAR"))))</f>
        <v/>
      </c>
      <c r="K364" s="36">
        <f>IF(OR($C364="",$D364=""),"",IF($D364&gt;=$C364,($D364-$C364)*24,(1-$C364+$D364)*24))</f>
        <v/>
      </c>
      <c r="L364" s="34" t="n"/>
      <c r="M364" s="53">
        <f t="array" ref="M364">IFERROR(INDEX(EXCEPCIONES_FECHA!$D$2:$D$201,MATCH(1,(EXCEPCIONES_FECHA!$A$2:$A$201=$A364)*(EXCEPCIONES_FECHA!$B$2:$B$201=$B364),0)),IFERROR(INDEX(EXCEPCIONES_FECHA!$D$2:$D$201,MATCH(1,(EXCEPCIONES_FECHA!$A$2:$A$201=$A364)*(EXCEPCIONES_FECHA!$B$2:$B$201=""),0)),IFERROR(INDEX(IF($I364="FIN",HISTORIAL_HORARIOS!$J$2:$J$201,HISTORIAL_HORARIOS!$F$2:$F$201),MATCH(1,(HISTORIAL_HORARIOS!$A$2:$A$201=$B364)*(HISTORIAL_HORARIOS!$C$2:$C$201&lt;=$A364)*(HISTORIAL_HORARIOS!$D$2:$D$201&gt;=$A364),0)),INDEX(IF($I364="FIN",PERSONAL!$J$2:$J$80,PERSONAL!$F$2:$F$80),MATCH($B364,PERSONAL!$A$2:$A$80,0)))))</f>
        <v/>
      </c>
      <c r="N364" s="53">
        <f t="array" ref="N364">IFERROR(INDEX(EXCEPCIONES_FECHA!$E$2:$E$201,MATCH(1,(EXCEPCIONES_FECHA!$A$2:$A$201=$A364)*(EXCEPCIONES_FECHA!$B$2:$B$201=$B364),0)),IFERROR(INDEX(EXCEPCIONES_FECHA!$E$2:$E$201,MATCH(1,(EXCEPCIONES_FECHA!$A$2:$A$201=$A364)*(EXCEPCIONES_FECHA!$B$2:$B$201=""),0)),IFERROR(INDEX(IF($I364="FIN",HISTORIAL_HORARIOS!$K$2:$K$201,HISTORIAL_HORARIOS!$G$2:$G$201),MATCH(1,(HISTORIAL_HORARIOS!$A$2:$A$201=$B364)*(HISTORIAL_HORARIOS!$C$2:$C$201&lt;=$A364)*(HISTORIAL_HORARIOS!$D$2:$D$201&gt;=$A364),0)),INDEX(IF($I364="FIN",PERSONAL!$K$2:$K$80,PERSONAL!$G$2:$G$80),MATCH($B364,PERSONAL!$A$2:$A$80,0)))))</f>
        <v/>
      </c>
      <c r="O364" s="53">
        <f t="array" ref="O364">IFERROR(INDEX(EXCEPCIONES_FECHA!$F$2:$F$201,MATCH(1,(EXCEPCIONES_FECHA!$A$2:$A$201=$A364)*(EXCEPCIONES_FECHA!$B$2:$B$201=$B364),0)),IFERROR(INDEX(EXCEPCIONES_FECHA!$F$2:$F$201,MATCH(1,(EXCEPCIONES_FECHA!$A$2:$A$201=$A364)*(EXCEPCIONES_FECHA!$B$2:$B$201=""),0)),IFERROR(INDEX(IF($I364="FIN",HISTORIAL_HORARIOS!$L$2:$L$201,HISTORIAL_HORARIOS!$H$2:$H$201),MATCH(1,(HISTORIAL_HORARIOS!$A$2:$A$201=$B364)*(HISTORIAL_HORARIOS!$C$2:$C$201&lt;=$A364)*(HISTORIAL_HORARIOS!$D$2:$D$201&gt;=$A364),0)),INDEX(IF($I364="FIN",PERSONAL!$L$2:$L$80,PERSONAL!$H$2:$H$80),MATCH($B364,PERSONAL!$A$2:$A$80,0)))))</f>
        <v/>
      </c>
    </row>
    <row r="365" ht="15" customHeight="1" s="58">
      <c r="A365" s="37" t="n"/>
      <c r="B365" s="38" t="n"/>
      <c r="C365" s="39" t="n"/>
      <c r="D365" s="39" t="n"/>
      <c r="E365" s="34">
        <f t="array" ref="E365">IF($B365="","",IFERROR(INDEX(PERSONAL!$B$2:$B$80,MATCH($B365,PERSONAL!$A$2:$A$80,0)),"NO EXISTE"))</f>
        <v/>
      </c>
      <c r="F365" s="52">
        <f t="array" ref="F365">IF($B365="","",IFERROR(INDEX(PERSONAL!$C$2:$C$80,MATCH($B365,PERSONAL!$A$2:$A$80,0)),""))</f>
        <v/>
      </c>
      <c r="G365" s="52">
        <f>IF($A365="","",CHOOSE(WEEKDAY($A365,2),"LUNES","MARTES","MIÉRCOLES","JUEVES","VIERNES","SÁBADO","DOMINGO"))</f>
        <v/>
      </c>
      <c r="H365" s="34">
        <f>IF($A365="","",CHOOSE(MONTH($A365),"ENERO","FEBRERO","MARZO","ABRIL","MAYO","JUNIO","JULIO","AGOSTO","SEPTIEMBRE","OCTUBRE","NOVIEMBRE","DICIEMBRE"))</f>
        <v/>
      </c>
      <c r="I365" s="34">
        <f>IF($A365="","",IF(OR($G365="SÁBADO",$G365="DOMINGO"),"FIN","LV"))</f>
        <v/>
      </c>
      <c r="J365" s="34">
        <f>IF(OR($A365="",$B365=""),"",IF($L365&lt;&gt;"",UPPER($L365),IF($C365="","FALTA",IFERROR(IF($C365&gt;=$O365,"ROJO FUERTE",IF($C365&gt;=$N365,"ROJO",IF($C365&gt;=$M365,"AMARILLO","VERDE"))),"REVISAR"))))</f>
        <v/>
      </c>
      <c r="K365" s="36">
        <f>IF(OR($C365="",$D365=""),"",IF($D365&gt;=$C365,($D365-$C365)*24,(1-$C365+$D365)*24))</f>
        <v/>
      </c>
      <c r="L365" s="34" t="n"/>
      <c r="M365" s="53">
        <f t="array" ref="M365">IFERROR(INDEX(EXCEPCIONES_FECHA!$D$2:$D$201,MATCH(1,(EXCEPCIONES_FECHA!$A$2:$A$201=$A365)*(EXCEPCIONES_FECHA!$B$2:$B$201=$B365),0)),IFERROR(INDEX(EXCEPCIONES_FECHA!$D$2:$D$201,MATCH(1,(EXCEPCIONES_FECHA!$A$2:$A$201=$A365)*(EXCEPCIONES_FECHA!$B$2:$B$201=""),0)),IFERROR(INDEX(IF($I365="FIN",HISTORIAL_HORARIOS!$J$2:$J$201,HISTORIAL_HORARIOS!$F$2:$F$201),MATCH(1,(HISTORIAL_HORARIOS!$A$2:$A$201=$B365)*(HISTORIAL_HORARIOS!$C$2:$C$201&lt;=$A365)*(HISTORIAL_HORARIOS!$D$2:$D$201&gt;=$A365),0)),INDEX(IF($I365="FIN",PERSONAL!$J$2:$J$80,PERSONAL!$F$2:$F$80),MATCH($B365,PERSONAL!$A$2:$A$80,0)))))</f>
        <v/>
      </c>
      <c r="N365" s="53">
        <f t="array" ref="N365">IFERROR(INDEX(EXCEPCIONES_FECHA!$E$2:$E$201,MATCH(1,(EXCEPCIONES_FECHA!$A$2:$A$201=$A365)*(EXCEPCIONES_FECHA!$B$2:$B$201=$B365),0)),IFERROR(INDEX(EXCEPCIONES_FECHA!$E$2:$E$201,MATCH(1,(EXCEPCIONES_FECHA!$A$2:$A$201=$A365)*(EXCEPCIONES_FECHA!$B$2:$B$201=""),0)),IFERROR(INDEX(IF($I365="FIN",HISTORIAL_HORARIOS!$K$2:$K$201,HISTORIAL_HORARIOS!$G$2:$G$201),MATCH(1,(HISTORIAL_HORARIOS!$A$2:$A$201=$B365)*(HISTORIAL_HORARIOS!$C$2:$C$201&lt;=$A365)*(HISTORIAL_HORARIOS!$D$2:$D$201&gt;=$A365),0)),INDEX(IF($I365="FIN",PERSONAL!$K$2:$K$80,PERSONAL!$G$2:$G$80),MATCH($B365,PERSONAL!$A$2:$A$80,0)))))</f>
        <v/>
      </c>
      <c r="O365" s="53">
        <f t="array" ref="O365">IFERROR(INDEX(EXCEPCIONES_FECHA!$F$2:$F$201,MATCH(1,(EXCEPCIONES_FECHA!$A$2:$A$201=$A365)*(EXCEPCIONES_FECHA!$B$2:$B$201=$B365),0)),IFERROR(INDEX(EXCEPCIONES_FECHA!$F$2:$F$201,MATCH(1,(EXCEPCIONES_FECHA!$A$2:$A$201=$A365)*(EXCEPCIONES_FECHA!$B$2:$B$201=""),0)),IFERROR(INDEX(IF($I365="FIN",HISTORIAL_HORARIOS!$L$2:$L$201,HISTORIAL_HORARIOS!$H$2:$H$201),MATCH(1,(HISTORIAL_HORARIOS!$A$2:$A$201=$B365)*(HISTORIAL_HORARIOS!$C$2:$C$201&lt;=$A365)*(HISTORIAL_HORARIOS!$D$2:$D$201&gt;=$A365),0)),INDEX(IF($I365="FIN",PERSONAL!$L$2:$L$80,PERSONAL!$H$2:$H$80),MATCH($B365,PERSONAL!$A$2:$A$80,0)))))</f>
        <v/>
      </c>
    </row>
    <row r="366" ht="15" customHeight="1" s="58">
      <c r="A366" s="37" t="n"/>
      <c r="B366" s="38" t="n"/>
      <c r="C366" s="39" t="n"/>
      <c r="D366" s="39" t="n"/>
      <c r="E366" s="34">
        <f t="array" ref="E366">IF($B366="","",IFERROR(INDEX(PERSONAL!$B$2:$B$80,MATCH($B366,PERSONAL!$A$2:$A$80,0)),"NO EXISTE"))</f>
        <v/>
      </c>
      <c r="F366" s="52">
        <f t="array" ref="F366">IF($B366="","",IFERROR(INDEX(PERSONAL!$C$2:$C$80,MATCH($B366,PERSONAL!$A$2:$A$80,0)),""))</f>
        <v/>
      </c>
      <c r="G366" s="52">
        <f>IF($A366="","",CHOOSE(WEEKDAY($A366,2),"LUNES","MARTES","MIÉRCOLES","JUEVES","VIERNES","SÁBADO","DOMINGO"))</f>
        <v/>
      </c>
      <c r="H366" s="34">
        <f>IF($A366="","",CHOOSE(MONTH($A366),"ENERO","FEBRERO","MARZO","ABRIL","MAYO","JUNIO","JULIO","AGOSTO","SEPTIEMBRE","OCTUBRE","NOVIEMBRE","DICIEMBRE"))</f>
        <v/>
      </c>
      <c r="I366" s="34">
        <f>IF($A366="","",IF(OR($G366="SÁBADO",$G366="DOMINGO"),"FIN","LV"))</f>
        <v/>
      </c>
      <c r="J366" s="34">
        <f>IF(OR($A366="",$B366=""),"",IF($L366&lt;&gt;"",UPPER($L366),IF($C366="","FALTA",IFERROR(IF($C366&gt;=$O366,"ROJO FUERTE",IF($C366&gt;=$N366,"ROJO",IF($C366&gt;=$M366,"AMARILLO","VERDE"))),"REVISAR"))))</f>
        <v/>
      </c>
      <c r="K366" s="36">
        <f>IF(OR($C366="",$D366=""),"",IF($D366&gt;=$C366,($D366-$C366)*24,(1-$C366+$D366)*24))</f>
        <v/>
      </c>
      <c r="L366" s="34" t="n"/>
      <c r="M366" s="53">
        <f t="array" ref="M366">IFERROR(INDEX(EXCEPCIONES_FECHA!$D$2:$D$201,MATCH(1,(EXCEPCIONES_FECHA!$A$2:$A$201=$A366)*(EXCEPCIONES_FECHA!$B$2:$B$201=$B366),0)),IFERROR(INDEX(EXCEPCIONES_FECHA!$D$2:$D$201,MATCH(1,(EXCEPCIONES_FECHA!$A$2:$A$201=$A366)*(EXCEPCIONES_FECHA!$B$2:$B$201=""),0)),IFERROR(INDEX(IF($I366="FIN",HISTORIAL_HORARIOS!$J$2:$J$201,HISTORIAL_HORARIOS!$F$2:$F$201),MATCH(1,(HISTORIAL_HORARIOS!$A$2:$A$201=$B366)*(HISTORIAL_HORARIOS!$C$2:$C$201&lt;=$A366)*(HISTORIAL_HORARIOS!$D$2:$D$201&gt;=$A366),0)),INDEX(IF($I366="FIN",PERSONAL!$J$2:$J$80,PERSONAL!$F$2:$F$80),MATCH($B366,PERSONAL!$A$2:$A$80,0)))))</f>
        <v/>
      </c>
      <c r="N366" s="53">
        <f t="array" ref="N366">IFERROR(INDEX(EXCEPCIONES_FECHA!$E$2:$E$201,MATCH(1,(EXCEPCIONES_FECHA!$A$2:$A$201=$A366)*(EXCEPCIONES_FECHA!$B$2:$B$201=$B366),0)),IFERROR(INDEX(EXCEPCIONES_FECHA!$E$2:$E$201,MATCH(1,(EXCEPCIONES_FECHA!$A$2:$A$201=$A366)*(EXCEPCIONES_FECHA!$B$2:$B$201=""),0)),IFERROR(INDEX(IF($I366="FIN",HISTORIAL_HORARIOS!$K$2:$K$201,HISTORIAL_HORARIOS!$G$2:$G$201),MATCH(1,(HISTORIAL_HORARIOS!$A$2:$A$201=$B366)*(HISTORIAL_HORARIOS!$C$2:$C$201&lt;=$A366)*(HISTORIAL_HORARIOS!$D$2:$D$201&gt;=$A366),0)),INDEX(IF($I366="FIN",PERSONAL!$K$2:$K$80,PERSONAL!$G$2:$G$80),MATCH($B366,PERSONAL!$A$2:$A$80,0)))))</f>
        <v/>
      </c>
      <c r="O366" s="53">
        <f t="array" ref="O366">IFERROR(INDEX(EXCEPCIONES_FECHA!$F$2:$F$201,MATCH(1,(EXCEPCIONES_FECHA!$A$2:$A$201=$A366)*(EXCEPCIONES_FECHA!$B$2:$B$201=$B366),0)),IFERROR(INDEX(EXCEPCIONES_FECHA!$F$2:$F$201,MATCH(1,(EXCEPCIONES_FECHA!$A$2:$A$201=$A366)*(EXCEPCIONES_FECHA!$B$2:$B$201=""),0)),IFERROR(INDEX(IF($I366="FIN",HISTORIAL_HORARIOS!$L$2:$L$201,HISTORIAL_HORARIOS!$H$2:$H$201),MATCH(1,(HISTORIAL_HORARIOS!$A$2:$A$201=$B366)*(HISTORIAL_HORARIOS!$C$2:$C$201&lt;=$A366)*(HISTORIAL_HORARIOS!$D$2:$D$201&gt;=$A366),0)),INDEX(IF($I366="FIN",PERSONAL!$L$2:$L$80,PERSONAL!$H$2:$H$80),MATCH($B366,PERSONAL!$A$2:$A$80,0)))))</f>
        <v/>
      </c>
    </row>
    <row r="367" ht="15" customHeight="1" s="58">
      <c r="A367" s="37" t="n"/>
      <c r="B367" s="38" t="n"/>
      <c r="C367" s="39" t="n"/>
      <c r="D367" s="39" t="n"/>
      <c r="E367" s="34">
        <f t="array" ref="E367">IF($B367="","",IFERROR(INDEX(PERSONAL!$B$2:$B$80,MATCH($B367,PERSONAL!$A$2:$A$80,0)),"NO EXISTE"))</f>
        <v/>
      </c>
      <c r="F367" s="52">
        <f t="array" ref="F367">IF($B367="","",IFERROR(INDEX(PERSONAL!$C$2:$C$80,MATCH($B367,PERSONAL!$A$2:$A$80,0)),""))</f>
        <v/>
      </c>
      <c r="G367" s="52">
        <f>IF($A367="","",CHOOSE(WEEKDAY($A367,2),"LUNES","MARTES","MIÉRCOLES","JUEVES","VIERNES","SÁBADO","DOMINGO"))</f>
        <v/>
      </c>
      <c r="H367" s="34">
        <f>IF($A367="","",CHOOSE(MONTH($A367),"ENERO","FEBRERO","MARZO","ABRIL","MAYO","JUNIO","JULIO","AGOSTO","SEPTIEMBRE","OCTUBRE","NOVIEMBRE","DICIEMBRE"))</f>
        <v/>
      </c>
      <c r="I367" s="34">
        <f>IF($A367="","",IF(OR($G367="SÁBADO",$G367="DOMINGO"),"FIN","LV"))</f>
        <v/>
      </c>
      <c r="J367" s="34">
        <f>IF(OR($A367="",$B367=""),"",IF($L367&lt;&gt;"",UPPER($L367),IF($C367="","FALTA",IFERROR(IF($C367&gt;=$O367,"ROJO FUERTE",IF($C367&gt;=$N367,"ROJO",IF($C367&gt;=$M367,"AMARILLO","VERDE"))),"REVISAR"))))</f>
        <v/>
      </c>
      <c r="K367" s="36">
        <f>IF(OR($C367="",$D367=""),"",IF($D367&gt;=$C367,($D367-$C367)*24,(1-$C367+$D367)*24))</f>
        <v/>
      </c>
      <c r="L367" s="34" t="n"/>
      <c r="M367" s="53">
        <f t="array" ref="M367">IFERROR(INDEX(EXCEPCIONES_FECHA!$D$2:$D$201,MATCH(1,(EXCEPCIONES_FECHA!$A$2:$A$201=$A367)*(EXCEPCIONES_FECHA!$B$2:$B$201=$B367),0)),IFERROR(INDEX(EXCEPCIONES_FECHA!$D$2:$D$201,MATCH(1,(EXCEPCIONES_FECHA!$A$2:$A$201=$A367)*(EXCEPCIONES_FECHA!$B$2:$B$201=""),0)),IFERROR(INDEX(IF($I367="FIN",HISTORIAL_HORARIOS!$J$2:$J$201,HISTORIAL_HORARIOS!$F$2:$F$201),MATCH(1,(HISTORIAL_HORARIOS!$A$2:$A$201=$B367)*(HISTORIAL_HORARIOS!$C$2:$C$201&lt;=$A367)*(HISTORIAL_HORARIOS!$D$2:$D$201&gt;=$A367),0)),INDEX(IF($I367="FIN",PERSONAL!$J$2:$J$80,PERSONAL!$F$2:$F$80),MATCH($B367,PERSONAL!$A$2:$A$80,0)))))</f>
        <v/>
      </c>
      <c r="N367" s="53">
        <f t="array" ref="N367">IFERROR(INDEX(EXCEPCIONES_FECHA!$E$2:$E$201,MATCH(1,(EXCEPCIONES_FECHA!$A$2:$A$201=$A367)*(EXCEPCIONES_FECHA!$B$2:$B$201=$B367),0)),IFERROR(INDEX(EXCEPCIONES_FECHA!$E$2:$E$201,MATCH(1,(EXCEPCIONES_FECHA!$A$2:$A$201=$A367)*(EXCEPCIONES_FECHA!$B$2:$B$201=""),0)),IFERROR(INDEX(IF($I367="FIN",HISTORIAL_HORARIOS!$K$2:$K$201,HISTORIAL_HORARIOS!$G$2:$G$201),MATCH(1,(HISTORIAL_HORARIOS!$A$2:$A$201=$B367)*(HISTORIAL_HORARIOS!$C$2:$C$201&lt;=$A367)*(HISTORIAL_HORARIOS!$D$2:$D$201&gt;=$A367),0)),INDEX(IF($I367="FIN",PERSONAL!$K$2:$K$80,PERSONAL!$G$2:$G$80),MATCH($B367,PERSONAL!$A$2:$A$80,0)))))</f>
        <v/>
      </c>
      <c r="O367" s="53">
        <f t="array" ref="O367">IFERROR(INDEX(EXCEPCIONES_FECHA!$F$2:$F$201,MATCH(1,(EXCEPCIONES_FECHA!$A$2:$A$201=$A367)*(EXCEPCIONES_FECHA!$B$2:$B$201=$B367),0)),IFERROR(INDEX(EXCEPCIONES_FECHA!$F$2:$F$201,MATCH(1,(EXCEPCIONES_FECHA!$A$2:$A$201=$A367)*(EXCEPCIONES_FECHA!$B$2:$B$201=""),0)),IFERROR(INDEX(IF($I367="FIN",HISTORIAL_HORARIOS!$L$2:$L$201,HISTORIAL_HORARIOS!$H$2:$H$201),MATCH(1,(HISTORIAL_HORARIOS!$A$2:$A$201=$B367)*(HISTORIAL_HORARIOS!$C$2:$C$201&lt;=$A367)*(HISTORIAL_HORARIOS!$D$2:$D$201&gt;=$A367),0)),INDEX(IF($I367="FIN",PERSONAL!$L$2:$L$80,PERSONAL!$H$2:$H$80),MATCH($B367,PERSONAL!$A$2:$A$80,0)))))</f>
        <v/>
      </c>
    </row>
    <row r="368" ht="15" customHeight="1" s="58">
      <c r="A368" s="37" t="n"/>
      <c r="B368" s="38" t="n"/>
      <c r="C368" s="39" t="n"/>
      <c r="D368" s="39" t="n"/>
      <c r="E368" s="34">
        <f t="array" ref="E368">IF($B368="","",IFERROR(INDEX(PERSONAL!$B$2:$B$80,MATCH($B368,PERSONAL!$A$2:$A$80,0)),"NO EXISTE"))</f>
        <v/>
      </c>
      <c r="F368" s="52">
        <f t="array" ref="F368">IF($B368="","",IFERROR(INDEX(PERSONAL!$C$2:$C$80,MATCH($B368,PERSONAL!$A$2:$A$80,0)),""))</f>
        <v/>
      </c>
      <c r="G368" s="52">
        <f>IF($A368="","",CHOOSE(WEEKDAY($A368,2),"LUNES","MARTES","MIÉRCOLES","JUEVES","VIERNES","SÁBADO","DOMINGO"))</f>
        <v/>
      </c>
      <c r="H368" s="34">
        <f>IF($A368="","",CHOOSE(MONTH($A368),"ENERO","FEBRERO","MARZO","ABRIL","MAYO","JUNIO","JULIO","AGOSTO","SEPTIEMBRE","OCTUBRE","NOVIEMBRE","DICIEMBRE"))</f>
        <v/>
      </c>
      <c r="I368" s="34">
        <f>IF($A368="","",IF(OR($G368="SÁBADO",$G368="DOMINGO"),"FIN","LV"))</f>
        <v/>
      </c>
      <c r="J368" s="34">
        <f>IF(OR($A368="",$B368=""),"",IF($L368&lt;&gt;"",UPPER($L368),IF($C368="","FALTA",IFERROR(IF($C368&gt;=$O368,"ROJO FUERTE",IF($C368&gt;=$N368,"ROJO",IF($C368&gt;=$M368,"AMARILLO","VERDE"))),"REVISAR"))))</f>
        <v/>
      </c>
      <c r="K368" s="36">
        <f>IF(OR($C368="",$D368=""),"",IF($D368&gt;=$C368,($D368-$C368)*24,(1-$C368+$D368)*24))</f>
        <v/>
      </c>
      <c r="L368" s="34" t="n"/>
      <c r="M368" s="53">
        <f t="array" ref="M368">IFERROR(INDEX(EXCEPCIONES_FECHA!$D$2:$D$201,MATCH(1,(EXCEPCIONES_FECHA!$A$2:$A$201=$A368)*(EXCEPCIONES_FECHA!$B$2:$B$201=$B368),0)),IFERROR(INDEX(EXCEPCIONES_FECHA!$D$2:$D$201,MATCH(1,(EXCEPCIONES_FECHA!$A$2:$A$201=$A368)*(EXCEPCIONES_FECHA!$B$2:$B$201=""),0)),IFERROR(INDEX(IF($I368="FIN",HISTORIAL_HORARIOS!$J$2:$J$201,HISTORIAL_HORARIOS!$F$2:$F$201),MATCH(1,(HISTORIAL_HORARIOS!$A$2:$A$201=$B368)*(HISTORIAL_HORARIOS!$C$2:$C$201&lt;=$A368)*(HISTORIAL_HORARIOS!$D$2:$D$201&gt;=$A368),0)),INDEX(IF($I368="FIN",PERSONAL!$J$2:$J$80,PERSONAL!$F$2:$F$80),MATCH($B368,PERSONAL!$A$2:$A$80,0)))))</f>
        <v/>
      </c>
      <c r="N368" s="53">
        <f t="array" ref="N368">IFERROR(INDEX(EXCEPCIONES_FECHA!$E$2:$E$201,MATCH(1,(EXCEPCIONES_FECHA!$A$2:$A$201=$A368)*(EXCEPCIONES_FECHA!$B$2:$B$201=$B368),0)),IFERROR(INDEX(EXCEPCIONES_FECHA!$E$2:$E$201,MATCH(1,(EXCEPCIONES_FECHA!$A$2:$A$201=$A368)*(EXCEPCIONES_FECHA!$B$2:$B$201=""),0)),IFERROR(INDEX(IF($I368="FIN",HISTORIAL_HORARIOS!$K$2:$K$201,HISTORIAL_HORARIOS!$G$2:$G$201),MATCH(1,(HISTORIAL_HORARIOS!$A$2:$A$201=$B368)*(HISTORIAL_HORARIOS!$C$2:$C$201&lt;=$A368)*(HISTORIAL_HORARIOS!$D$2:$D$201&gt;=$A368),0)),INDEX(IF($I368="FIN",PERSONAL!$K$2:$K$80,PERSONAL!$G$2:$G$80),MATCH($B368,PERSONAL!$A$2:$A$80,0)))))</f>
        <v/>
      </c>
      <c r="O368" s="53">
        <f t="array" ref="O368">IFERROR(INDEX(EXCEPCIONES_FECHA!$F$2:$F$201,MATCH(1,(EXCEPCIONES_FECHA!$A$2:$A$201=$A368)*(EXCEPCIONES_FECHA!$B$2:$B$201=$B368),0)),IFERROR(INDEX(EXCEPCIONES_FECHA!$F$2:$F$201,MATCH(1,(EXCEPCIONES_FECHA!$A$2:$A$201=$A368)*(EXCEPCIONES_FECHA!$B$2:$B$201=""),0)),IFERROR(INDEX(IF($I368="FIN",HISTORIAL_HORARIOS!$L$2:$L$201,HISTORIAL_HORARIOS!$H$2:$H$201),MATCH(1,(HISTORIAL_HORARIOS!$A$2:$A$201=$B368)*(HISTORIAL_HORARIOS!$C$2:$C$201&lt;=$A368)*(HISTORIAL_HORARIOS!$D$2:$D$201&gt;=$A368),0)),INDEX(IF($I368="FIN",PERSONAL!$L$2:$L$80,PERSONAL!$H$2:$H$80),MATCH($B368,PERSONAL!$A$2:$A$80,0)))))</f>
        <v/>
      </c>
    </row>
    <row r="369" ht="15" customHeight="1" s="58">
      <c r="A369" s="37" t="n"/>
      <c r="B369" s="38" t="n"/>
      <c r="C369" s="39" t="n"/>
      <c r="D369" s="39" t="n"/>
      <c r="E369" s="34">
        <f t="array" ref="E369">IF($B369="","",IFERROR(INDEX(PERSONAL!$B$2:$B$80,MATCH($B369,PERSONAL!$A$2:$A$80,0)),"NO EXISTE"))</f>
        <v/>
      </c>
      <c r="F369" s="52">
        <f t="array" ref="F369">IF($B369="","",IFERROR(INDEX(PERSONAL!$C$2:$C$80,MATCH($B369,PERSONAL!$A$2:$A$80,0)),""))</f>
        <v/>
      </c>
      <c r="G369" s="52">
        <f>IF($A369="","",CHOOSE(WEEKDAY($A369,2),"LUNES","MARTES","MIÉRCOLES","JUEVES","VIERNES","SÁBADO","DOMINGO"))</f>
        <v/>
      </c>
      <c r="H369" s="34">
        <f>IF($A369="","",CHOOSE(MONTH($A369),"ENERO","FEBRERO","MARZO","ABRIL","MAYO","JUNIO","JULIO","AGOSTO","SEPTIEMBRE","OCTUBRE","NOVIEMBRE","DICIEMBRE"))</f>
        <v/>
      </c>
      <c r="I369" s="34">
        <f>IF($A369="","",IF(OR($G369="SÁBADO",$G369="DOMINGO"),"FIN","LV"))</f>
        <v/>
      </c>
      <c r="J369" s="34">
        <f>IF(OR($A369="",$B369=""),"",IF($L369&lt;&gt;"",UPPER($L369),IF($C369="","FALTA",IFERROR(IF($C369&gt;=$O369,"ROJO FUERTE",IF($C369&gt;=$N369,"ROJO",IF($C369&gt;=$M369,"AMARILLO","VERDE"))),"REVISAR"))))</f>
        <v/>
      </c>
      <c r="K369" s="36">
        <f>IF(OR($C369="",$D369=""),"",IF($D369&gt;=$C369,($D369-$C369)*24,(1-$C369+$D369)*24))</f>
        <v/>
      </c>
      <c r="L369" s="34" t="n"/>
      <c r="M369" s="53">
        <f t="array" ref="M369">IFERROR(INDEX(EXCEPCIONES_FECHA!$D$2:$D$201,MATCH(1,(EXCEPCIONES_FECHA!$A$2:$A$201=$A369)*(EXCEPCIONES_FECHA!$B$2:$B$201=$B369),0)),IFERROR(INDEX(EXCEPCIONES_FECHA!$D$2:$D$201,MATCH(1,(EXCEPCIONES_FECHA!$A$2:$A$201=$A369)*(EXCEPCIONES_FECHA!$B$2:$B$201=""),0)),IFERROR(INDEX(IF($I369="FIN",HISTORIAL_HORARIOS!$J$2:$J$201,HISTORIAL_HORARIOS!$F$2:$F$201),MATCH(1,(HISTORIAL_HORARIOS!$A$2:$A$201=$B369)*(HISTORIAL_HORARIOS!$C$2:$C$201&lt;=$A369)*(HISTORIAL_HORARIOS!$D$2:$D$201&gt;=$A369),0)),INDEX(IF($I369="FIN",PERSONAL!$J$2:$J$80,PERSONAL!$F$2:$F$80),MATCH($B369,PERSONAL!$A$2:$A$80,0)))))</f>
        <v/>
      </c>
      <c r="N369" s="53">
        <f t="array" ref="N369">IFERROR(INDEX(EXCEPCIONES_FECHA!$E$2:$E$201,MATCH(1,(EXCEPCIONES_FECHA!$A$2:$A$201=$A369)*(EXCEPCIONES_FECHA!$B$2:$B$201=$B369),0)),IFERROR(INDEX(EXCEPCIONES_FECHA!$E$2:$E$201,MATCH(1,(EXCEPCIONES_FECHA!$A$2:$A$201=$A369)*(EXCEPCIONES_FECHA!$B$2:$B$201=""),0)),IFERROR(INDEX(IF($I369="FIN",HISTORIAL_HORARIOS!$K$2:$K$201,HISTORIAL_HORARIOS!$G$2:$G$201),MATCH(1,(HISTORIAL_HORARIOS!$A$2:$A$201=$B369)*(HISTORIAL_HORARIOS!$C$2:$C$201&lt;=$A369)*(HISTORIAL_HORARIOS!$D$2:$D$201&gt;=$A369),0)),INDEX(IF($I369="FIN",PERSONAL!$K$2:$K$80,PERSONAL!$G$2:$G$80),MATCH($B369,PERSONAL!$A$2:$A$80,0)))))</f>
        <v/>
      </c>
      <c r="O369" s="53">
        <f t="array" ref="O369">IFERROR(INDEX(EXCEPCIONES_FECHA!$F$2:$F$201,MATCH(1,(EXCEPCIONES_FECHA!$A$2:$A$201=$A369)*(EXCEPCIONES_FECHA!$B$2:$B$201=$B369),0)),IFERROR(INDEX(EXCEPCIONES_FECHA!$F$2:$F$201,MATCH(1,(EXCEPCIONES_FECHA!$A$2:$A$201=$A369)*(EXCEPCIONES_FECHA!$B$2:$B$201=""),0)),IFERROR(INDEX(IF($I369="FIN",HISTORIAL_HORARIOS!$L$2:$L$201,HISTORIAL_HORARIOS!$H$2:$H$201),MATCH(1,(HISTORIAL_HORARIOS!$A$2:$A$201=$B369)*(HISTORIAL_HORARIOS!$C$2:$C$201&lt;=$A369)*(HISTORIAL_HORARIOS!$D$2:$D$201&gt;=$A369),0)),INDEX(IF($I369="FIN",PERSONAL!$L$2:$L$80,PERSONAL!$H$2:$H$80),MATCH($B369,PERSONAL!$A$2:$A$80,0)))))</f>
        <v/>
      </c>
    </row>
    <row r="370" ht="15" customHeight="1" s="58">
      <c r="A370" s="37" t="n"/>
      <c r="B370" s="38" t="n"/>
      <c r="C370" s="39" t="n"/>
      <c r="D370" s="39" t="n"/>
      <c r="E370" s="34">
        <f t="array" ref="E370">IF($B370="","",IFERROR(INDEX(PERSONAL!$B$2:$B$80,MATCH($B370,PERSONAL!$A$2:$A$80,0)),"NO EXISTE"))</f>
        <v/>
      </c>
      <c r="F370" s="52">
        <f t="array" ref="F370">IF($B370="","",IFERROR(INDEX(PERSONAL!$C$2:$C$80,MATCH($B370,PERSONAL!$A$2:$A$80,0)),""))</f>
        <v/>
      </c>
      <c r="G370" s="52">
        <f>IF($A370="","",CHOOSE(WEEKDAY($A370,2),"LUNES","MARTES","MIÉRCOLES","JUEVES","VIERNES","SÁBADO","DOMINGO"))</f>
        <v/>
      </c>
      <c r="H370" s="34">
        <f>IF($A370="","",CHOOSE(MONTH($A370),"ENERO","FEBRERO","MARZO","ABRIL","MAYO","JUNIO","JULIO","AGOSTO","SEPTIEMBRE","OCTUBRE","NOVIEMBRE","DICIEMBRE"))</f>
        <v/>
      </c>
      <c r="I370" s="34">
        <f>IF($A370="","",IF(OR($G370="SÁBADO",$G370="DOMINGO"),"FIN","LV"))</f>
        <v/>
      </c>
      <c r="J370" s="34">
        <f>IF(OR($A370="",$B370=""),"",IF($L370&lt;&gt;"",UPPER($L370),IF($C370="","FALTA",IFERROR(IF($C370&gt;=$O370,"ROJO FUERTE",IF($C370&gt;=$N370,"ROJO",IF($C370&gt;=$M370,"AMARILLO","VERDE"))),"REVISAR"))))</f>
        <v/>
      </c>
      <c r="K370" s="36">
        <f>IF(OR($C370="",$D370=""),"",IF($D370&gt;=$C370,($D370-$C370)*24,(1-$C370+$D370)*24))</f>
        <v/>
      </c>
      <c r="L370" s="34" t="n"/>
      <c r="M370" s="53">
        <f t="array" ref="M370">IFERROR(INDEX(EXCEPCIONES_FECHA!$D$2:$D$201,MATCH(1,(EXCEPCIONES_FECHA!$A$2:$A$201=$A370)*(EXCEPCIONES_FECHA!$B$2:$B$201=$B370),0)),IFERROR(INDEX(EXCEPCIONES_FECHA!$D$2:$D$201,MATCH(1,(EXCEPCIONES_FECHA!$A$2:$A$201=$A370)*(EXCEPCIONES_FECHA!$B$2:$B$201=""),0)),IFERROR(INDEX(IF($I370="FIN",HISTORIAL_HORARIOS!$J$2:$J$201,HISTORIAL_HORARIOS!$F$2:$F$201),MATCH(1,(HISTORIAL_HORARIOS!$A$2:$A$201=$B370)*(HISTORIAL_HORARIOS!$C$2:$C$201&lt;=$A370)*(HISTORIAL_HORARIOS!$D$2:$D$201&gt;=$A370),0)),INDEX(IF($I370="FIN",PERSONAL!$J$2:$J$80,PERSONAL!$F$2:$F$80),MATCH($B370,PERSONAL!$A$2:$A$80,0)))))</f>
        <v/>
      </c>
      <c r="N370" s="53">
        <f t="array" ref="N370">IFERROR(INDEX(EXCEPCIONES_FECHA!$E$2:$E$201,MATCH(1,(EXCEPCIONES_FECHA!$A$2:$A$201=$A370)*(EXCEPCIONES_FECHA!$B$2:$B$201=$B370),0)),IFERROR(INDEX(EXCEPCIONES_FECHA!$E$2:$E$201,MATCH(1,(EXCEPCIONES_FECHA!$A$2:$A$201=$A370)*(EXCEPCIONES_FECHA!$B$2:$B$201=""),0)),IFERROR(INDEX(IF($I370="FIN",HISTORIAL_HORARIOS!$K$2:$K$201,HISTORIAL_HORARIOS!$G$2:$G$201),MATCH(1,(HISTORIAL_HORARIOS!$A$2:$A$201=$B370)*(HISTORIAL_HORARIOS!$C$2:$C$201&lt;=$A370)*(HISTORIAL_HORARIOS!$D$2:$D$201&gt;=$A370),0)),INDEX(IF($I370="FIN",PERSONAL!$K$2:$K$80,PERSONAL!$G$2:$G$80),MATCH($B370,PERSONAL!$A$2:$A$80,0)))))</f>
        <v/>
      </c>
      <c r="O370" s="53">
        <f t="array" ref="O370">IFERROR(INDEX(EXCEPCIONES_FECHA!$F$2:$F$201,MATCH(1,(EXCEPCIONES_FECHA!$A$2:$A$201=$A370)*(EXCEPCIONES_FECHA!$B$2:$B$201=$B370),0)),IFERROR(INDEX(EXCEPCIONES_FECHA!$F$2:$F$201,MATCH(1,(EXCEPCIONES_FECHA!$A$2:$A$201=$A370)*(EXCEPCIONES_FECHA!$B$2:$B$201=""),0)),IFERROR(INDEX(IF($I370="FIN",HISTORIAL_HORARIOS!$L$2:$L$201,HISTORIAL_HORARIOS!$H$2:$H$201),MATCH(1,(HISTORIAL_HORARIOS!$A$2:$A$201=$B370)*(HISTORIAL_HORARIOS!$C$2:$C$201&lt;=$A370)*(HISTORIAL_HORARIOS!$D$2:$D$201&gt;=$A370),0)),INDEX(IF($I370="FIN",PERSONAL!$L$2:$L$80,PERSONAL!$H$2:$H$80),MATCH($B370,PERSONAL!$A$2:$A$80,0)))))</f>
        <v/>
      </c>
    </row>
    <row r="371" ht="15" customHeight="1" s="58">
      <c r="A371" s="37" t="n"/>
      <c r="B371" s="38" t="n"/>
      <c r="C371" s="39" t="n"/>
      <c r="D371" s="39" t="n"/>
      <c r="E371" s="34">
        <f t="array" ref="E371">IF($B371="","",IFERROR(INDEX(PERSONAL!$B$2:$B$80,MATCH($B371,PERSONAL!$A$2:$A$80,0)),"NO EXISTE"))</f>
        <v/>
      </c>
      <c r="F371" s="52">
        <f t="array" ref="F371">IF($B371="","",IFERROR(INDEX(PERSONAL!$C$2:$C$80,MATCH($B371,PERSONAL!$A$2:$A$80,0)),""))</f>
        <v/>
      </c>
      <c r="G371" s="52">
        <f>IF($A371="","",CHOOSE(WEEKDAY($A371,2),"LUNES","MARTES","MIÉRCOLES","JUEVES","VIERNES","SÁBADO","DOMINGO"))</f>
        <v/>
      </c>
      <c r="H371" s="34">
        <f>IF($A371="","",CHOOSE(MONTH($A371),"ENERO","FEBRERO","MARZO","ABRIL","MAYO","JUNIO","JULIO","AGOSTO","SEPTIEMBRE","OCTUBRE","NOVIEMBRE","DICIEMBRE"))</f>
        <v/>
      </c>
      <c r="I371" s="34">
        <f>IF($A371="","",IF(OR($G371="SÁBADO",$G371="DOMINGO"),"FIN","LV"))</f>
        <v/>
      </c>
      <c r="J371" s="34">
        <f>IF(OR($A371="",$B371=""),"",IF($L371&lt;&gt;"",UPPER($L371),IF($C371="","FALTA",IFERROR(IF($C371&gt;=$O371,"ROJO FUERTE",IF($C371&gt;=$N371,"ROJO",IF($C371&gt;=$M371,"AMARILLO","VERDE"))),"REVISAR"))))</f>
        <v/>
      </c>
      <c r="K371" s="36">
        <f>IF(OR($C371="",$D371=""),"",IF($D371&gt;=$C371,($D371-$C371)*24,(1-$C371+$D371)*24))</f>
        <v/>
      </c>
      <c r="L371" s="34" t="n"/>
      <c r="M371" s="53">
        <f t="array" ref="M371">IFERROR(INDEX(EXCEPCIONES_FECHA!$D$2:$D$201,MATCH(1,(EXCEPCIONES_FECHA!$A$2:$A$201=$A371)*(EXCEPCIONES_FECHA!$B$2:$B$201=$B371),0)),IFERROR(INDEX(EXCEPCIONES_FECHA!$D$2:$D$201,MATCH(1,(EXCEPCIONES_FECHA!$A$2:$A$201=$A371)*(EXCEPCIONES_FECHA!$B$2:$B$201=""),0)),IFERROR(INDEX(IF($I371="FIN",HISTORIAL_HORARIOS!$J$2:$J$201,HISTORIAL_HORARIOS!$F$2:$F$201),MATCH(1,(HISTORIAL_HORARIOS!$A$2:$A$201=$B371)*(HISTORIAL_HORARIOS!$C$2:$C$201&lt;=$A371)*(HISTORIAL_HORARIOS!$D$2:$D$201&gt;=$A371),0)),INDEX(IF($I371="FIN",PERSONAL!$J$2:$J$80,PERSONAL!$F$2:$F$80),MATCH($B371,PERSONAL!$A$2:$A$80,0)))))</f>
        <v/>
      </c>
      <c r="N371" s="53">
        <f t="array" ref="N371">IFERROR(INDEX(EXCEPCIONES_FECHA!$E$2:$E$201,MATCH(1,(EXCEPCIONES_FECHA!$A$2:$A$201=$A371)*(EXCEPCIONES_FECHA!$B$2:$B$201=$B371),0)),IFERROR(INDEX(EXCEPCIONES_FECHA!$E$2:$E$201,MATCH(1,(EXCEPCIONES_FECHA!$A$2:$A$201=$A371)*(EXCEPCIONES_FECHA!$B$2:$B$201=""),0)),IFERROR(INDEX(IF($I371="FIN",HISTORIAL_HORARIOS!$K$2:$K$201,HISTORIAL_HORARIOS!$G$2:$G$201),MATCH(1,(HISTORIAL_HORARIOS!$A$2:$A$201=$B371)*(HISTORIAL_HORARIOS!$C$2:$C$201&lt;=$A371)*(HISTORIAL_HORARIOS!$D$2:$D$201&gt;=$A371),0)),INDEX(IF($I371="FIN",PERSONAL!$K$2:$K$80,PERSONAL!$G$2:$G$80),MATCH($B371,PERSONAL!$A$2:$A$80,0)))))</f>
        <v/>
      </c>
      <c r="O371" s="53">
        <f t="array" ref="O371">IFERROR(INDEX(EXCEPCIONES_FECHA!$F$2:$F$201,MATCH(1,(EXCEPCIONES_FECHA!$A$2:$A$201=$A371)*(EXCEPCIONES_FECHA!$B$2:$B$201=$B371),0)),IFERROR(INDEX(EXCEPCIONES_FECHA!$F$2:$F$201,MATCH(1,(EXCEPCIONES_FECHA!$A$2:$A$201=$A371)*(EXCEPCIONES_FECHA!$B$2:$B$201=""),0)),IFERROR(INDEX(IF($I371="FIN",HISTORIAL_HORARIOS!$L$2:$L$201,HISTORIAL_HORARIOS!$H$2:$H$201),MATCH(1,(HISTORIAL_HORARIOS!$A$2:$A$201=$B371)*(HISTORIAL_HORARIOS!$C$2:$C$201&lt;=$A371)*(HISTORIAL_HORARIOS!$D$2:$D$201&gt;=$A371),0)),INDEX(IF($I371="FIN",PERSONAL!$L$2:$L$80,PERSONAL!$H$2:$H$80),MATCH($B371,PERSONAL!$A$2:$A$80,0)))))</f>
        <v/>
      </c>
    </row>
    <row r="372" ht="15" customHeight="1" s="58">
      <c r="A372" s="37" t="n"/>
      <c r="B372" s="38" t="n"/>
      <c r="C372" s="39" t="n"/>
      <c r="D372" s="39" t="n"/>
      <c r="E372" s="34">
        <f t="array" ref="E372">IF($B372="","",IFERROR(INDEX(PERSONAL!$B$2:$B$80,MATCH($B372,PERSONAL!$A$2:$A$80,0)),"NO EXISTE"))</f>
        <v/>
      </c>
      <c r="F372" s="52">
        <f t="array" ref="F372">IF($B372="","",IFERROR(INDEX(PERSONAL!$C$2:$C$80,MATCH($B372,PERSONAL!$A$2:$A$80,0)),""))</f>
        <v/>
      </c>
      <c r="G372" s="52">
        <f>IF($A372="","",CHOOSE(WEEKDAY($A372,2),"LUNES","MARTES","MIÉRCOLES","JUEVES","VIERNES","SÁBADO","DOMINGO"))</f>
        <v/>
      </c>
      <c r="H372" s="34">
        <f>IF($A372="","",CHOOSE(MONTH($A372),"ENERO","FEBRERO","MARZO","ABRIL","MAYO","JUNIO","JULIO","AGOSTO","SEPTIEMBRE","OCTUBRE","NOVIEMBRE","DICIEMBRE"))</f>
        <v/>
      </c>
      <c r="I372" s="34">
        <f>IF($A372="","",IF(OR($G372="SÁBADO",$G372="DOMINGO"),"FIN","LV"))</f>
        <v/>
      </c>
      <c r="J372" s="34">
        <f>IF(OR($A372="",$B372=""),"",IF($L372&lt;&gt;"",UPPER($L372),IF($C372="","FALTA",IFERROR(IF($C372&gt;=$O372,"ROJO FUERTE",IF($C372&gt;=$N372,"ROJO",IF($C372&gt;=$M372,"AMARILLO","VERDE"))),"REVISAR"))))</f>
        <v/>
      </c>
      <c r="K372" s="36">
        <f>IF(OR($C372="",$D372=""),"",IF($D372&gt;=$C372,($D372-$C372)*24,(1-$C372+$D372)*24))</f>
        <v/>
      </c>
      <c r="L372" s="34" t="n"/>
      <c r="M372" s="53">
        <f t="array" ref="M372">IFERROR(INDEX(EXCEPCIONES_FECHA!$D$2:$D$201,MATCH(1,(EXCEPCIONES_FECHA!$A$2:$A$201=$A372)*(EXCEPCIONES_FECHA!$B$2:$B$201=$B372),0)),IFERROR(INDEX(EXCEPCIONES_FECHA!$D$2:$D$201,MATCH(1,(EXCEPCIONES_FECHA!$A$2:$A$201=$A372)*(EXCEPCIONES_FECHA!$B$2:$B$201=""),0)),IFERROR(INDEX(IF($I372="FIN",HISTORIAL_HORARIOS!$J$2:$J$201,HISTORIAL_HORARIOS!$F$2:$F$201),MATCH(1,(HISTORIAL_HORARIOS!$A$2:$A$201=$B372)*(HISTORIAL_HORARIOS!$C$2:$C$201&lt;=$A372)*(HISTORIAL_HORARIOS!$D$2:$D$201&gt;=$A372),0)),INDEX(IF($I372="FIN",PERSONAL!$J$2:$J$80,PERSONAL!$F$2:$F$80),MATCH($B372,PERSONAL!$A$2:$A$80,0)))))</f>
        <v/>
      </c>
      <c r="N372" s="53">
        <f t="array" ref="N372">IFERROR(INDEX(EXCEPCIONES_FECHA!$E$2:$E$201,MATCH(1,(EXCEPCIONES_FECHA!$A$2:$A$201=$A372)*(EXCEPCIONES_FECHA!$B$2:$B$201=$B372),0)),IFERROR(INDEX(EXCEPCIONES_FECHA!$E$2:$E$201,MATCH(1,(EXCEPCIONES_FECHA!$A$2:$A$201=$A372)*(EXCEPCIONES_FECHA!$B$2:$B$201=""),0)),IFERROR(INDEX(IF($I372="FIN",HISTORIAL_HORARIOS!$K$2:$K$201,HISTORIAL_HORARIOS!$G$2:$G$201),MATCH(1,(HISTORIAL_HORARIOS!$A$2:$A$201=$B372)*(HISTORIAL_HORARIOS!$C$2:$C$201&lt;=$A372)*(HISTORIAL_HORARIOS!$D$2:$D$201&gt;=$A372),0)),INDEX(IF($I372="FIN",PERSONAL!$K$2:$K$80,PERSONAL!$G$2:$G$80),MATCH($B372,PERSONAL!$A$2:$A$80,0)))))</f>
        <v/>
      </c>
      <c r="O372" s="53">
        <f t="array" ref="O372">IFERROR(INDEX(EXCEPCIONES_FECHA!$F$2:$F$201,MATCH(1,(EXCEPCIONES_FECHA!$A$2:$A$201=$A372)*(EXCEPCIONES_FECHA!$B$2:$B$201=$B372),0)),IFERROR(INDEX(EXCEPCIONES_FECHA!$F$2:$F$201,MATCH(1,(EXCEPCIONES_FECHA!$A$2:$A$201=$A372)*(EXCEPCIONES_FECHA!$B$2:$B$201=""),0)),IFERROR(INDEX(IF($I372="FIN",HISTORIAL_HORARIOS!$L$2:$L$201,HISTORIAL_HORARIOS!$H$2:$H$201),MATCH(1,(HISTORIAL_HORARIOS!$A$2:$A$201=$B372)*(HISTORIAL_HORARIOS!$C$2:$C$201&lt;=$A372)*(HISTORIAL_HORARIOS!$D$2:$D$201&gt;=$A372),0)),INDEX(IF($I372="FIN",PERSONAL!$L$2:$L$80,PERSONAL!$H$2:$H$80),MATCH($B372,PERSONAL!$A$2:$A$80,0)))))</f>
        <v/>
      </c>
    </row>
    <row r="373" ht="15" customHeight="1" s="58">
      <c r="A373" s="37" t="n"/>
      <c r="B373" s="38" t="n"/>
      <c r="C373" s="39" t="n"/>
      <c r="D373" s="39" t="n"/>
      <c r="E373" s="34">
        <f t="array" ref="E373">IF($B373="","",IFERROR(INDEX(PERSONAL!$B$2:$B$80,MATCH($B373,PERSONAL!$A$2:$A$80,0)),"NO EXISTE"))</f>
        <v/>
      </c>
      <c r="F373" s="52">
        <f t="array" ref="F373">IF($B373="","",IFERROR(INDEX(PERSONAL!$C$2:$C$80,MATCH($B373,PERSONAL!$A$2:$A$80,0)),""))</f>
        <v/>
      </c>
      <c r="G373" s="52">
        <f>IF($A373="","",CHOOSE(WEEKDAY($A373,2),"LUNES","MARTES","MIÉRCOLES","JUEVES","VIERNES","SÁBADO","DOMINGO"))</f>
        <v/>
      </c>
      <c r="H373" s="34">
        <f>IF($A373="","",CHOOSE(MONTH($A373),"ENERO","FEBRERO","MARZO","ABRIL","MAYO","JUNIO","JULIO","AGOSTO","SEPTIEMBRE","OCTUBRE","NOVIEMBRE","DICIEMBRE"))</f>
        <v/>
      </c>
      <c r="I373" s="34">
        <f>IF($A373="","",IF(OR($G373="SÁBADO",$G373="DOMINGO"),"FIN","LV"))</f>
        <v/>
      </c>
      <c r="J373" s="34">
        <f>IF(OR($A373="",$B373=""),"",IF($L373&lt;&gt;"",UPPER($L373),IF($C373="","FALTA",IFERROR(IF($C373&gt;=$O373,"ROJO FUERTE",IF($C373&gt;=$N373,"ROJO",IF($C373&gt;=$M373,"AMARILLO","VERDE"))),"REVISAR"))))</f>
        <v/>
      </c>
      <c r="K373" s="36">
        <f>IF(OR($C373="",$D373=""),"",IF($D373&gt;=$C373,($D373-$C373)*24,(1-$C373+$D373)*24))</f>
        <v/>
      </c>
      <c r="L373" s="34" t="n"/>
      <c r="M373" s="53">
        <f t="array" ref="M373">IFERROR(INDEX(EXCEPCIONES_FECHA!$D$2:$D$201,MATCH(1,(EXCEPCIONES_FECHA!$A$2:$A$201=$A373)*(EXCEPCIONES_FECHA!$B$2:$B$201=$B373),0)),IFERROR(INDEX(EXCEPCIONES_FECHA!$D$2:$D$201,MATCH(1,(EXCEPCIONES_FECHA!$A$2:$A$201=$A373)*(EXCEPCIONES_FECHA!$B$2:$B$201=""),0)),IFERROR(INDEX(IF($I373="FIN",HISTORIAL_HORARIOS!$J$2:$J$201,HISTORIAL_HORARIOS!$F$2:$F$201),MATCH(1,(HISTORIAL_HORARIOS!$A$2:$A$201=$B373)*(HISTORIAL_HORARIOS!$C$2:$C$201&lt;=$A373)*(HISTORIAL_HORARIOS!$D$2:$D$201&gt;=$A373),0)),INDEX(IF($I373="FIN",PERSONAL!$J$2:$J$80,PERSONAL!$F$2:$F$80),MATCH($B373,PERSONAL!$A$2:$A$80,0)))))</f>
        <v/>
      </c>
      <c r="N373" s="53">
        <f t="array" ref="N373">IFERROR(INDEX(EXCEPCIONES_FECHA!$E$2:$E$201,MATCH(1,(EXCEPCIONES_FECHA!$A$2:$A$201=$A373)*(EXCEPCIONES_FECHA!$B$2:$B$201=$B373),0)),IFERROR(INDEX(EXCEPCIONES_FECHA!$E$2:$E$201,MATCH(1,(EXCEPCIONES_FECHA!$A$2:$A$201=$A373)*(EXCEPCIONES_FECHA!$B$2:$B$201=""),0)),IFERROR(INDEX(IF($I373="FIN",HISTORIAL_HORARIOS!$K$2:$K$201,HISTORIAL_HORARIOS!$G$2:$G$201),MATCH(1,(HISTORIAL_HORARIOS!$A$2:$A$201=$B373)*(HISTORIAL_HORARIOS!$C$2:$C$201&lt;=$A373)*(HISTORIAL_HORARIOS!$D$2:$D$201&gt;=$A373),0)),INDEX(IF($I373="FIN",PERSONAL!$K$2:$K$80,PERSONAL!$G$2:$G$80),MATCH($B373,PERSONAL!$A$2:$A$80,0)))))</f>
        <v/>
      </c>
      <c r="O373" s="53">
        <f t="array" ref="O373">IFERROR(INDEX(EXCEPCIONES_FECHA!$F$2:$F$201,MATCH(1,(EXCEPCIONES_FECHA!$A$2:$A$201=$A373)*(EXCEPCIONES_FECHA!$B$2:$B$201=$B373),0)),IFERROR(INDEX(EXCEPCIONES_FECHA!$F$2:$F$201,MATCH(1,(EXCEPCIONES_FECHA!$A$2:$A$201=$A373)*(EXCEPCIONES_FECHA!$B$2:$B$201=""),0)),IFERROR(INDEX(IF($I373="FIN",HISTORIAL_HORARIOS!$L$2:$L$201,HISTORIAL_HORARIOS!$H$2:$H$201),MATCH(1,(HISTORIAL_HORARIOS!$A$2:$A$201=$B373)*(HISTORIAL_HORARIOS!$C$2:$C$201&lt;=$A373)*(HISTORIAL_HORARIOS!$D$2:$D$201&gt;=$A373),0)),INDEX(IF($I373="FIN",PERSONAL!$L$2:$L$80,PERSONAL!$H$2:$H$80),MATCH($B373,PERSONAL!$A$2:$A$80,0)))))</f>
        <v/>
      </c>
    </row>
    <row r="374" ht="15" customHeight="1" s="58">
      <c r="A374" s="37" t="n"/>
      <c r="B374" s="38" t="n"/>
      <c r="C374" s="39" t="n"/>
      <c r="D374" s="39" t="n"/>
      <c r="E374" s="34">
        <f t="array" ref="E374">IF($B374="","",IFERROR(INDEX(PERSONAL!$B$2:$B$80,MATCH($B374,PERSONAL!$A$2:$A$80,0)),"NO EXISTE"))</f>
        <v/>
      </c>
      <c r="F374" s="52">
        <f t="array" ref="F374">IF($B374="","",IFERROR(INDEX(PERSONAL!$C$2:$C$80,MATCH($B374,PERSONAL!$A$2:$A$80,0)),""))</f>
        <v/>
      </c>
      <c r="G374" s="52">
        <f>IF($A374="","",CHOOSE(WEEKDAY($A374,2),"LUNES","MARTES","MIÉRCOLES","JUEVES","VIERNES","SÁBADO","DOMINGO"))</f>
        <v/>
      </c>
      <c r="H374" s="34">
        <f>IF($A374="","",CHOOSE(MONTH($A374),"ENERO","FEBRERO","MARZO","ABRIL","MAYO","JUNIO","JULIO","AGOSTO","SEPTIEMBRE","OCTUBRE","NOVIEMBRE","DICIEMBRE"))</f>
        <v/>
      </c>
      <c r="I374" s="34">
        <f>IF($A374="","",IF(OR($G374="SÁBADO",$G374="DOMINGO"),"FIN","LV"))</f>
        <v/>
      </c>
      <c r="J374" s="34">
        <f>IF(OR($A374="",$B374=""),"",IF($L374&lt;&gt;"",UPPER($L374),IF($C374="","FALTA",IFERROR(IF($C374&gt;=$O374,"ROJO FUERTE",IF($C374&gt;=$N374,"ROJO",IF($C374&gt;=$M374,"AMARILLO","VERDE"))),"REVISAR"))))</f>
        <v/>
      </c>
      <c r="K374" s="36">
        <f>IF(OR($C374="",$D374=""),"",IF($D374&gt;=$C374,($D374-$C374)*24,(1-$C374+$D374)*24))</f>
        <v/>
      </c>
      <c r="L374" s="34" t="n"/>
      <c r="M374" s="53">
        <f t="array" ref="M374">IFERROR(INDEX(EXCEPCIONES_FECHA!$D$2:$D$201,MATCH(1,(EXCEPCIONES_FECHA!$A$2:$A$201=$A374)*(EXCEPCIONES_FECHA!$B$2:$B$201=$B374),0)),IFERROR(INDEX(EXCEPCIONES_FECHA!$D$2:$D$201,MATCH(1,(EXCEPCIONES_FECHA!$A$2:$A$201=$A374)*(EXCEPCIONES_FECHA!$B$2:$B$201=""),0)),IFERROR(INDEX(IF($I374="FIN",HISTORIAL_HORARIOS!$J$2:$J$201,HISTORIAL_HORARIOS!$F$2:$F$201),MATCH(1,(HISTORIAL_HORARIOS!$A$2:$A$201=$B374)*(HISTORIAL_HORARIOS!$C$2:$C$201&lt;=$A374)*(HISTORIAL_HORARIOS!$D$2:$D$201&gt;=$A374),0)),INDEX(IF($I374="FIN",PERSONAL!$J$2:$J$80,PERSONAL!$F$2:$F$80),MATCH($B374,PERSONAL!$A$2:$A$80,0)))))</f>
        <v/>
      </c>
      <c r="N374" s="53">
        <f t="array" ref="N374">IFERROR(INDEX(EXCEPCIONES_FECHA!$E$2:$E$201,MATCH(1,(EXCEPCIONES_FECHA!$A$2:$A$201=$A374)*(EXCEPCIONES_FECHA!$B$2:$B$201=$B374),0)),IFERROR(INDEX(EXCEPCIONES_FECHA!$E$2:$E$201,MATCH(1,(EXCEPCIONES_FECHA!$A$2:$A$201=$A374)*(EXCEPCIONES_FECHA!$B$2:$B$201=""),0)),IFERROR(INDEX(IF($I374="FIN",HISTORIAL_HORARIOS!$K$2:$K$201,HISTORIAL_HORARIOS!$G$2:$G$201),MATCH(1,(HISTORIAL_HORARIOS!$A$2:$A$201=$B374)*(HISTORIAL_HORARIOS!$C$2:$C$201&lt;=$A374)*(HISTORIAL_HORARIOS!$D$2:$D$201&gt;=$A374),0)),INDEX(IF($I374="FIN",PERSONAL!$K$2:$K$80,PERSONAL!$G$2:$G$80),MATCH($B374,PERSONAL!$A$2:$A$80,0)))))</f>
        <v/>
      </c>
      <c r="O374" s="53">
        <f t="array" ref="O374">IFERROR(INDEX(EXCEPCIONES_FECHA!$F$2:$F$201,MATCH(1,(EXCEPCIONES_FECHA!$A$2:$A$201=$A374)*(EXCEPCIONES_FECHA!$B$2:$B$201=$B374),0)),IFERROR(INDEX(EXCEPCIONES_FECHA!$F$2:$F$201,MATCH(1,(EXCEPCIONES_FECHA!$A$2:$A$201=$A374)*(EXCEPCIONES_FECHA!$B$2:$B$201=""),0)),IFERROR(INDEX(IF($I374="FIN",HISTORIAL_HORARIOS!$L$2:$L$201,HISTORIAL_HORARIOS!$H$2:$H$201),MATCH(1,(HISTORIAL_HORARIOS!$A$2:$A$201=$B374)*(HISTORIAL_HORARIOS!$C$2:$C$201&lt;=$A374)*(HISTORIAL_HORARIOS!$D$2:$D$201&gt;=$A374),0)),INDEX(IF($I374="FIN",PERSONAL!$L$2:$L$80,PERSONAL!$H$2:$H$80),MATCH($B374,PERSONAL!$A$2:$A$80,0)))))</f>
        <v/>
      </c>
    </row>
    <row r="375" ht="15" customHeight="1" s="58">
      <c r="A375" s="37" t="n"/>
      <c r="B375" s="38" t="n"/>
      <c r="C375" s="39" t="n"/>
      <c r="D375" s="39" t="n"/>
      <c r="E375" s="34">
        <f t="array" ref="E375">IF($B375="","",IFERROR(INDEX(PERSONAL!$B$2:$B$80,MATCH($B375,PERSONAL!$A$2:$A$80,0)),"NO EXISTE"))</f>
        <v/>
      </c>
      <c r="F375" s="52">
        <f t="array" ref="F375">IF($B375="","",IFERROR(INDEX(PERSONAL!$C$2:$C$80,MATCH($B375,PERSONAL!$A$2:$A$80,0)),""))</f>
        <v/>
      </c>
      <c r="G375" s="52">
        <f>IF($A375="","",CHOOSE(WEEKDAY($A375,2),"LUNES","MARTES","MIÉRCOLES","JUEVES","VIERNES","SÁBADO","DOMINGO"))</f>
        <v/>
      </c>
      <c r="H375" s="34">
        <f>IF($A375="","",CHOOSE(MONTH($A375),"ENERO","FEBRERO","MARZO","ABRIL","MAYO","JUNIO","JULIO","AGOSTO","SEPTIEMBRE","OCTUBRE","NOVIEMBRE","DICIEMBRE"))</f>
        <v/>
      </c>
      <c r="I375" s="34">
        <f>IF($A375="","",IF(OR($G375="SÁBADO",$G375="DOMINGO"),"FIN","LV"))</f>
        <v/>
      </c>
      <c r="J375" s="34">
        <f>IF(OR($A375="",$B375=""),"",IF($L375&lt;&gt;"",UPPER($L375),IF($C375="","FALTA",IFERROR(IF($C375&gt;=$O375,"ROJO FUERTE",IF($C375&gt;=$N375,"ROJO",IF($C375&gt;=$M375,"AMARILLO","VERDE"))),"REVISAR"))))</f>
        <v/>
      </c>
      <c r="K375" s="36">
        <f>IF(OR($C375="",$D375=""),"",IF($D375&gt;=$C375,($D375-$C375)*24,(1-$C375+$D375)*24))</f>
        <v/>
      </c>
      <c r="L375" s="34" t="n"/>
      <c r="M375" s="53">
        <f t="array" ref="M375">IFERROR(INDEX(EXCEPCIONES_FECHA!$D$2:$D$201,MATCH(1,(EXCEPCIONES_FECHA!$A$2:$A$201=$A375)*(EXCEPCIONES_FECHA!$B$2:$B$201=$B375),0)),IFERROR(INDEX(EXCEPCIONES_FECHA!$D$2:$D$201,MATCH(1,(EXCEPCIONES_FECHA!$A$2:$A$201=$A375)*(EXCEPCIONES_FECHA!$B$2:$B$201=""),0)),IFERROR(INDEX(IF($I375="FIN",HISTORIAL_HORARIOS!$J$2:$J$201,HISTORIAL_HORARIOS!$F$2:$F$201),MATCH(1,(HISTORIAL_HORARIOS!$A$2:$A$201=$B375)*(HISTORIAL_HORARIOS!$C$2:$C$201&lt;=$A375)*(HISTORIAL_HORARIOS!$D$2:$D$201&gt;=$A375),0)),INDEX(IF($I375="FIN",PERSONAL!$J$2:$J$80,PERSONAL!$F$2:$F$80),MATCH($B375,PERSONAL!$A$2:$A$80,0)))))</f>
        <v/>
      </c>
      <c r="N375" s="53">
        <f t="array" ref="N375">IFERROR(INDEX(EXCEPCIONES_FECHA!$E$2:$E$201,MATCH(1,(EXCEPCIONES_FECHA!$A$2:$A$201=$A375)*(EXCEPCIONES_FECHA!$B$2:$B$201=$B375),0)),IFERROR(INDEX(EXCEPCIONES_FECHA!$E$2:$E$201,MATCH(1,(EXCEPCIONES_FECHA!$A$2:$A$201=$A375)*(EXCEPCIONES_FECHA!$B$2:$B$201=""),0)),IFERROR(INDEX(IF($I375="FIN",HISTORIAL_HORARIOS!$K$2:$K$201,HISTORIAL_HORARIOS!$G$2:$G$201),MATCH(1,(HISTORIAL_HORARIOS!$A$2:$A$201=$B375)*(HISTORIAL_HORARIOS!$C$2:$C$201&lt;=$A375)*(HISTORIAL_HORARIOS!$D$2:$D$201&gt;=$A375),0)),INDEX(IF($I375="FIN",PERSONAL!$K$2:$K$80,PERSONAL!$G$2:$G$80),MATCH($B375,PERSONAL!$A$2:$A$80,0)))))</f>
        <v/>
      </c>
      <c r="O375" s="53">
        <f t="array" ref="O375">IFERROR(INDEX(EXCEPCIONES_FECHA!$F$2:$F$201,MATCH(1,(EXCEPCIONES_FECHA!$A$2:$A$201=$A375)*(EXCEPCIONES_FECHA!$B$2:$B$201=$B375),0)),IFERROR(INDEX(EXCEPCIONES_FECHA!$F$2:$F$201,MATCH(1,(EXCEPCIONES_FECHA!$A$2:$A$201=$A375)*(EXCEPCIONES_FECHA!$B$2:$B$201=""),0)),IFERROR(INDEX(IF($I375="FIN",HISTORIAL_HORARIOS!$L$2:$L$201,HISTORIAL_HORARIOS!$H$2:$H$201),MATCH(1,(HISTORIAL_HORARIOS!$A$2:$A$201=$B375)*(HISTORIAL_HORARIOS!$C$2:$C$201&lt;=$A375)*(HISTORIAL_HORARIOS!$D$2:$D$201&gt;=$A375),0)),INDEX(IF($I375="FIN",PERSONAL!$L$2:$L$80,PERSONAL!$H$2:$H$80),MATCH($B375,PERSONAL!$A$2:$A$80,0)))))</f>
        <v/>
      </c>
    </row>
    <row r="376" ht="15" customHeight="1" s="58">
      <c r="A376" s="37" t="n"/>
      <c r="B376" s="38" t="n"/>
      <c r="C376" s="39" t="n"/>
      <c r="D376" s="39" t="n"/>
      <c r="E376" s="34">
        <f t="array" ref="E376">IF($B376="","",IFERROR(INDEX(PERSONAL!$B$2:$B$80,MATCH($B376,PERSONAL!$A$2:$A$80,0)),"NO EXISTE"))</f>
        <v/>
      </c>
      <c r="F376" s="52">
        <f t="array" ref="F376">IF($B376="","",IFERROR(INDEX(PERSONAL!$C$2:$C$80,MATCH($B376,PERSONAL!$A$2:$A$80,0)),""))</f>
        <v/>
      </c>
      <c r="G376" s="52">
        <f>IF($A376="","",CHOOSE(WEEKDAY($A376,2),"LUNES","MARTES","MIÉRCOLES","JUEVES","VIERNES","SÁBADO","DOMINGO"))</f>
        <v/>
      </c>
      <c r="H376" s="34">
        <f>IF($A376="","",CHOOSE(MONTH($A376),"ENERO","FEBRERO","MARZO","ABRIL","MAYO","JUNIO","JULIO","AGOSTO","SEPTIEMBRE","OCTUBRE","NOVIEMBRE","DICIEMBRE"))</f>
        <v/>
      </c>
      <c r="I376" s="34">
        <f>IF($A376="","",IF(OR($G376="SÁBADO",$G376="DOMINGO"),"FIN","LV"))</f>
        <v/>
      </c>
      <c r="J376" s="34">
        <f>IF(OR($A376="",$B376=""),"",IF($L376&lt;&gt;"",UPPER($L376),IF($C376="","FALTA",IFERROR(IF($C376&gt;=$O376,"ROJO FUERTE",IF($C376&gt;=$N376,"ROJO",IF($C376&gt;=$M376,"AMARILLO","VERDE"))),"REVISAR"))))</f>
        <v/>
      </c>
      <c r="K376" s="36">
        <f>IF(OR($C376="",$D376=""),"",IF($D376&gt;=$C376,($D376-$C376)*24,(1-$C376+$D376)*24))</f>
        <v/>
      </c>
      <c r="L376" s="34" t="n"/>
      <c r="M376" s="53">
        <f t="array" ref="M376">IFERROR(INDEX(EXCEPCIONES_FECHA!$D$2:$D$201,MATCH(1,(EXCEPCIONES_FECHA!$A$2:$A$201=$A376)*(EXCEPCIONES_FECHA!$B$2:$B$201=$B376),0)),IFERROR(INDEX(EXCEPCIONES_FECHA!$D$2:$D$201,MATCH(1,(EXCEPCIONES_FECHA!$A$2:$A$201=$A376)*(EXCEPCIONES_FECHA!$B$2:$B$201=""),0)),IFERROR(INDEX(IF($I376="FIN",HISTORIAL_HORARIOS!$J$2:$J$201,HISTORIAL_HORARIOS!$F$2:$F$201),MATCH(1,(HISTORIAL_HORARIOS!$A$2:$A$201=$B376)*(HISTORIAL_HORARIOS!$C$2:$C$201&lt;=$A376)*(HISTORIAL_HORARIOS!$D$2:$D$201&gt;=$A376),0)),INDEX(IF($I376="FIN",PERSONAL!$J$2:$J$80,PERSONAL!$F$2:$F$80),MATCH($B376,PERSONAL!$A$2:$A$80,0)))))</f>
        <v/>
      </c>
      <c r="N376" s="53">
        <f t="array" ref="N376">IFERROR(INDEX(EXCEPCIONES_FECHA!$E$2:$E$201,MATCH(1,(EXCEPCIONES_FECHA!$A$2:$A$201=$A376)*(EXCEPCIONES_FECHA!$B$2:$B$201=$B376),0)),IFERROR(INDEX(EXCEPCIONES_FECHA!$E$2:$E$201,MATCH(1,(EXCEPCIONES_FECHA!$A$2:$A$201=$A376)*(EXCEPCIONES_FECHA!$B$2:$B$201=""),0)),IFERROR(INDEX(IF($I376="FIN",HISTORIAL_HORARIOS!$K$2:$K$201,HISTORIAL_HORARIOS!$G$2:$G$201),MATCH(1,(HISTORIAL_HORARIOS!$A$2:$A$201=$B376)*(HISTORIAL_HORARIOS!$C$2:$C$201&lt;=$A376)*(HISTORIAL_HORARIOS!$D$2:$D$201&gt;=$A376),0)),INDEX(IF($I376="FIN",PERSONAL!$K$2:$K$80,PERSONAL!$G$2:$G$80),MATCH($B376,PERSONAL!$A$2:$A$80,0)))))</f>
        <v/>
      </c>
      <c r="O376" s="53">
        <f t="array" ref="O376">IFERROR(INDEX(EXCEPCIONES_FECHA!$F$2:$F$201,MATCH(1,(EXCEPCIONES_FECHA!$A$2:$A$201=$A376)*(EXCEPCIONES_FECHA!$B$2:$B$201=$B376),0)),IFERROR(INDEX(EXCEPCIONES_FECHA!$F$2:$F$201,MATCH(1,(EXCEPCIONES_FECHA!$A$2:$A$201=$A376)*(EXCEPCIONES_FECHA!$B$2:$B$201=""),0)),IFERROR(INDEX(IF($I376="FIN",HISTORIAL_HORARIOS!$L$2:$L$201,HISTORIAL_HORARIOS!$H$2:$H$201),MATCH(1,(HISTORIAL_HORARIOS!$A$2:$A$201=$B376)*(HISTORIAL_HORARIOS!$C$2:$C$201&lt;=$A376)*(HISTORIAL_HORARIOS!$D$2:$D$201&gt;=$A376),0)),INDEX(IF($I376="FIN",PERSONAL!$L$2:$L$80,PERSONAL!$H$2:$H$80),MATCH($B376,PERSONAL!$A$2:$A$80,0)))))</f>
        <v/>
      </c>
    </row>
    <row r="377" ht="15" customHeight="1" s="58">
      <c r="A377" s="37" t="n"/>
      <c r="B377" s="38" t="n"/>
      <c r="C377" s="39" t="n"/>
      <c r="D377" s="39" t="n"/>
      <c r="E377" s="34">
        <f t="array" ref="E377">IF($B377="","",IFERROR(INDEX(PERSONAL!$B$2:$B$80,MATCH($B377,PERSONAL!$A$2:$A$80,0)),"NO EXISTE"))</f>
        <v/>
      </c>
      <c r="F377" s="52">
        <f t="array" ref="F377">IF($B377="","",IFERROR(INDEX(PERSONAL!$C$2:$C$80,MATCH($B377,PERSONAL!$A$2:$A$80,0)),""))</f>
        <v/>
      </c>
      <c r="G377" s="52">
        <f>IF($A377="","",CHOOSE(WEEKDAY($A377,2),"LUNES","MARTES","MIÉRCOLES","JUEVES","VIERNES","SÁBADO","DOMINGO"))</f>
        <v/>
      </c>
      <c r="H377" s="34">
        <f>IF($A377="","",CHOOSE(MONTH($A377),"ENERO","FEBRERO","MARZO","ABRIL","MAYO","JUNIO","JULIO","AGOSTO","SEPTIEMBRE","OCTUBRE","NOVIEMBRE","DICIEMBRE"))</f>
        <v/>
      </c>
      <c r="I377" s="34">
        <f>IF($A377="","",IF(OR($G377="SÁBADO",$G377="DOMINGO"),"FIN","LV"))</f>
        <v/>
      </c>
      <c r="J377" s="34">
        <f>IF(OR($A377="",$B377=""),"",IF($L377&lt;&gt;"",UPPER($L377),IF($C377="","FALTA",IFERROR(IF($C377&gt;=$O377,"ROJO FUERTE",IF($C377&gt;=$N377,"ROJO",IF($C377&gt;=$M377,"AMARILLO","VERDE"))),"REVISAR"))))</f>
        <v/>
      </c>
      <c r="K377" s="36">
        <f>IF(OR($C377="",$D377=""),"",IF($D377&gt;=$C377,($D377-$C377)*24,(1-$C377+$D377)*24))</f>
        <v/>
      </c>
      <c r="L377" s="34" t="n"/>
      <c r="M377" s="53">
        <f t="array" ref="M377">IFERROR(INDEX(EXCEPCIONES_FECHA!$D$2:$D$201,MATCH(1,(EXCEPCIONES_FECHA!$A$2:$A$201=$A377)*(EXCEPCIONES_FECHA!$B$2:$B$201=$B377),0)),IFERROR(INDEX(EXCEPCIONES_FECHA!$D$2:$D$201,MATCH(1,(EXCEPCIONES_FECHA!$A$2:$A$201=$A377)*(EXCEPCIONES_FECHA!$B$2:$B$201=""),0)),IFERROR(INDEX(IF($I377="FIN",HISTORIAL_HORARIOS!$J$2:$J$201,HISTORIAL_HORARIOS!$F$2:$F$201),MATCH(1,(HISTORIAL_HORARIOS!$A$2:$A$201=$B377)*(HISTORIAL_HORARIOS!$C$2:$C$201&lt;=$A377)*(HISTORIAL_HORARIOS!$D$2:$D$201&gt;=$A377),0)),INDEX(IF($I377="FIN",PERSONAL!$J$2:$J$80,PERSONAL!$F$2:$F$80),MATCH($B377,PERSONAL!$A$2:$A$80,0)))))</f>
        <v/>
      </c>
      <c r="N377" s="53">
        <f t="array" ref="N377">IFERROR(INDEX(EXCEPCIONES_FECHA!$E$2:$E$201,MATCH(1,(EXCEPCIONES_FECHA!$A$2:$A$201=$A377)*(EXCEPCIONES_FECHA!$B$2:$B$201=$B377),0)),IFERROR(INDEX(EXCEPCIONES_FECHA!$E$2:$E$201,MATCH(1,(EXCEPCIONES_FECHA!$A$2:$A$201=$A377)*(EXCEPCIONES_FECHA!$B$2:$B$201=""),0)),IFERROR(INDEX(IF($I377="FIN",HISTORIAL_HORARIOS!$K$2:$K$201,HISTORIAL_HORARIOS!$G$2:$G$201),MATCH(1,(HISTORIAL_HORARIOS!$A$2:$A$201=$B377)*(HISTORIAL_HORARIOS!$C$2:$C$201&lt;=$A377)*(HISTORIAL_HORARIOS!$D$2:$D$201&gt;=$A377),0)),INDEX(IF($I377="FIN",PERSONAL!$K$2:$K$80,PERSONAL!$G$2:$G$80),MATCH($B377,PERSONAL!$A$2:$A$80,0)))))</f>
        <v/>
      </c>
      <c r="O377" s="53">
        <f t="array" ref="O377">IFERROR(INDEX(EXCEPCIONES_FECHA!$F$2:$F$201,MATCH(1,(EXCEPCIONES_FECHA!$A$2:$A$201=$A377)*(EXCEPCIONES_FECHA!$B$2:$B$201=$B377),0)),IFERROR(INDEX(EXCEPCIONES_FECHA!$F$2:$F$201,MATCH(1,(EXCEPCIONES_FECHA!$A$2:$A$201=$A377)*(EXCEPCIONES_FECHA!$B$2:$B$201=""),0)),IFERROR(INDEX(IF($I377="FIN",HISTORIAL_HORARIOS!$L$2:$L$201,HISTORIAL_HORARIOS!$H$2:$H$201),MATCH(1,(HISTORIAL_HORARIOS!$A$2:$A$201=$B377)*(HISTORIAL_HORARIOS!$C$2:$C$201&lt;=$A377)*(HISTORIAL_HORARIOS!$D$2:$D$201&gt;=$A377),0)),INDEX(IF($I377="FIN",PERSONAL!$L$2:$L$80,PERSONAL!$H$2:$H$80),MATCH($B377,PERSONAL!$A$2:$A$80,0)))))</f>
        <v/>
      </c>
    </row>
    <row r="378" ht="15" customHeight="1" s="58">
      <c r="A378" s="37" t="n"/>
      <c r="B378" s="38" t="n"/>
      <c r="C378" s="39" t="n"/>
      <c r="D378" s="39" t="n"/>
      <c r="E378" s="34">
        <f t="array" ref="E378">IF($B378="","",IFERROR(INDEX(PERSONAL!$B$2:$B$80,MATCH($B378,PERSONAL!$A$2:$A$80,0)),"NO EXISTE"))</f>
        <v/>
      </c>
      <c r="F378" s="52">
        <f t="array" ref="F378">IF($B378="","",IFERROR(INDEX(PERSONAL!$C$2:$C$80,MATCH($B378,PERSONAL!$A$2:$A$80,0)),""))</f>
        <v/>
      </c>
      <c r="G378" s="52">
        <f>IF($A378="","",CHOOSE(WEEKDAY($A378,2),"LUNES","MARTES","MIÉRCOLES","JUEVES","VIERNES","SÁBADO","DOMINGO"))</f>
        <v/>
      </c>
      <c r="H378" s="34">
        <f>IF($A378="","",CHOOSE(MONTH($A378),"ENERO","FEBRERO","MARZO","ABRIL","MAYO","JUNIO","JULIO","AGOSTO","SEPTIEMBRE","OCTUBRE","NOVIEMBRE","DICIEMBRE"))</f>
        <v/>
      </c>
      <c r="I378" s="34">
        <f>IF($A378="","",IF(OR($G378="SÁBADO",$G378="DOMINGO"),"FIN","LV"))</f>
        <v/>
      </c>
      <c r="J378" s="34">
        <f>IF(OR($A378="",$B378=""),"",IF($L378&lt;&gt;"",UPPER($L378),IF($C378="","FALTA",IFERROR(IF($C378&gt;=$O378,"ROJO FUERTE",IF($C378&gt;=$N378,"ROJO",IF($C378&gt;=$M378,"AMARILLO","VERDE"))),"REVISAR"))))</f>
        <v/>
      </c>
      <c r="K378" s="36">
        <f>IF(OR($C378="",$D378=""),"",IF($D378&gt;=$C378,($D378-$C378)*24,(1-$C378+$D378)*24))</f>
        <v/>
      </c>
      <c r="L378" s="34" t="n"/>
      <c r="M378" s="53">
        <f t="array" ref="M378">IFERROR(INDEX(EXCEPCIONES_FECHA!$D$2:$D$201,MATCH(1,(EXCEPCIONES_FECHA!$A$2:$A$201=$A378)*(EXCEPCIONES_FECHA!$B$2:$B$201=$B378),0)),IFERROR(INDEX(EXCEPCIONES_FECHA!$D$2:$D$201,MATCH(1,(EXCEPCIONES_FECHA!$A$2:$A$201=$A378)*(EXCEPCIONES_FECHA!$B$2:$B$201=""),0)),IFERROR(INDEX(IF($I378="FIN",HISTORIAL_HORARIOS!$J$2:$J$201,HISTORIAL_HORARIOS!$F$2:$F$201),MATCH(1,(HISTORIAL_HORARIOS!$A$2:$A$201=$B378)*(HISTORIAL_HORARIOS!$C$2:$C$201&lt;=$A378)*(HISTORIAL_HORARIOS!$D$2:$D$201&gt;=$A378),0)),INDEX(IF($I378="FIN",PERSONAL!$J$2:$J$80,PERSONAL!$F$2:$F$80),MATCH($B378,PERSONAL!$A$2:$A$80,0)))))</f>
        <v/>
      </c>
      <c r="N378" s="53">
        <f t="array" ref="N378">IFERROR(INDEX(EXCEPCIONES_FECHA!$E$2:$E$201,MATCH(1,(EXCEPCIONES_FECHA!$A$2:$A$201=$A378)*(EXCEPCIONES_FECHA!$B$2:$B$201=$B378),0)),IFERROR(INDEX(EXCEPCIONES_FECHA!$E$2:$E$201,MATCH(1,(EXCEPCIONES_FECHA!$A$2:$A$201=$A378)*(EXCEPCIONES_FECHA!$B$2:$B$201=""),0)),IFERROR(INDEX(IF($I378="FIN",HISTORIAL_HORARIOS!$K$2:$K$201,HISTORIAL_HORARIOS!$G$2:$G$201),MATCH(1,(HISTORIAL_HORARIOS!$A$2:$A$201=$B378)*(HISTORIAL_HORARIOS!$C$2:$C$201&lt;=$A378)*(HISTORIAL_HORARIOS!$D$2:$D$201&gt;=$A378),0)),INDEX(IF($I378="FIN",PERSONAL!$K$2:$K$80,PERSONAL!$G$2:$G$80),MATCH($B378,PERSONAL!$A$2:$A$80,0)))))</f>
        <v/>
      </c>
      <c r="O378" s="53">
        <f t="array" ref="O378">IFERROR(INDEX(EXCEPCIONES_FECHA!$F$2:$F$201,MATCH(1,(EXCEPCIONES_FECHA!$A$2:$A$201=$A378)*(EXCEPCIONES_FECHA!$B$2:$B$201=$B378),0)),IFERROR(INDEX(EXCEPCIONES_FECHA!$F$2:$F$201,MATCH(1,(EXCEPCIONES_FECHA!$A$2:$A$201=$A378)*(EXCEPCIONES_FECHA!$B$2:$B$201=""),0)),IFERROR(INDEX(IF($I378="FIN",HISTORIAL_HORARIOS!$L$2:$L$201,HISTORIAL_HORARIOS!$H$2:$H$201),MATCH(1,(HISTORIAL_HORARIOS!$A$2:$A$201=$B378)*(HISTORIAL_HORARIOS!$C$2:$C$201&lt;=$A378)*(HISTORIAL_HORARIOS!$D$2:$D$201&gt;=$A378),0)),INDEX(IF($I378="FIN",PERSONAL!$L$2:$L$80,PERSONAL!$H$2:$H$80),MATCH($B378,PERSONAL!$A$2:$A$80,0)))))</f>
        <v/>
      </c>
    </row>
    <row r="379" ht="15" customHeight="1" s="58">
      <c r="A379" s="37" t="n"/>
      <c r="B379" s="38" t="n"/>
      <c r="C379" s="39" t="n"/>
      <c r="D379" s="39" t="n"/>
      <c r="E379" s="34">
        <f t="array" ref="E379">IF($B379="","",IFERROR(INDEX(PERSONAL!$B$2:$B$80,MATCH($B379,PERSONAL!$A$2:$A$80,0)),"NO EXISTE"))</f>
        <v/>
      </c>
      <c r="F379" s="52">
        <f t="array" ref="F379">IF($B379="","",IFERROR(INDEX(PERSONAL!$C$2:$C$80,MATCH($B379,PERSONAL!$A$2:$A$80,0)),""))</f>
        <v/>
      </c>
      <c r="G379" s="52">
        <f>IF($A379="","",CHOOSE(WEEKDAY($A379,2),"LUNES","MARTES","MIÉRCOLES","JUEVES","VIERNES","SÁBADO","DOMINGO"))</f>
        <v/>
      </c>
      <c r="H379" s="34">
        <f>IF($A379="","",CHOOSE(MONTH($A379),"ENERO","FEBRERO","MARZO","ABRIL","MAYO","JUNIO","JULIO","AGOSTO","SEPTIEMBRE","OCTUBRE","NOVIEMBRE","DICIEMBRE"))</f>
        <v/>
      </c>
      <c r="I379" s="34">
        <f>IF($A379="","",IF(OR($G379="SÁBADO",$G379="DOMINGO"),"FIN","LV"))</f>
        <v/>
      </c>
      <c r="J379" s="34">
        <f>IF(OR($A379="",$B379=""),"",IF($L379&lt;&gt;"",UPPER($L379),IF($C379="","FALTA",IFERROR(IF($C379&gt;=$O379,"ROJO FUERTE",IF($C379&gt;=$N379,"ROJO",IF($C379&gt;=$M379,"AMARILLO","VERDE"))),"REVISAR"))))</f>
        <v/>
      </c>
      <c r="K379" s="36">
        <f>IF(OR($C379="",$D379=""),"",IF($D379&gt;=$C379,($D379-$C379)*24,(1-$C379+$D379)*24))</f>
        <v/>
      </c>
      <c r="L379" s="34" t="n"/>
      <c r="M379" s="53">
        <f t="array" ref="M379">IFERROR(INDEX(EXCEPCIONES_FECHA!$D$2:$D$201,MATCH(1,(EXCEPCIONES_FECHA!$A$2:$A$201=$A379)*(EXCEPCIONES_FECHA!$B$2:$B$201=$B379),0)),IFERROR(INDEX(EXCEPCIONES_FECHA!$D$2:$D$201,MATCH(1,(EXCEPCIONES_FECHA!$A$2:$A$201=$A379)*(EXCEPCIONES_FECHA!$B$2:$B$201=""),0)),IFERROR(INDEX(IF($I379="FIN",HISTORIAL_HORARIOS!$J$2:$J$201,HISTORIAL_HORARIOS!$F$2:$F$201),MATCH(1,(HISTORIAL_HORARIOS!$A$2:$A$201=$B379)*(HISTORIAL_HORARIOS!$C$2:$C$201&lt;=$A379)*(HISTORIAL_HORARIOS!$D$2:$D$201&gt;=$A379),0)),INDEX(IF($I379="FIN",PERSONAL!$J$2:$J$80,PERSONAL!$F$2:$F$80),MATCH($B379,PERSONAL!$A$2:$A$80,0)))))</f>
        <v/>
      </c>
      <c r="N379" s="53">
        <f t="array" ref="N379">IFERROR(INDEX(EXCEPCIONES_FECHA!$E$2:$E$201,MATCH(1,(EXCEPCIONES_FECHA!$A$2:$A$201=$A379)*(EXCEPCIONES_FECHA!$B$2:$B$201=$B379),0)),IFERROR(INDEX(EXCEPCIONES_FECHA!$E$2:$E$201,MATCH(1,(EXCEPCIONES_FECHA!$A$2:$A$201=$A379)*(EXCEPCIONES_FECHA!$B$2:$B$201=""),0)),IFERROR(INDEX(IF($I379="FIN",HISTORIAL_HORARIOS!$K$2:$K$201,HISTORIAL_HORARIOS!$G$2:$G$201),MATCH(1,(HISTORIAL_HORARIOS!$A$2:$A$201=$B379)*(HISTORIAL_HORARIOS!$C$2:$C$201&lt;=$A379)*(HISTORIAL_HORARIOS!$D$2:$D$201&gt;=$A379),0)),INDEX(IF($I379="FIN",PERSONAL!$K$2:$K$80,PERSONAL!$G$2:$G$80),MATCH($B379,PERSONAL!$A$2:$A$80,0)))))</f>
        <v/>
      </c>
      <c r="O379" s="53">
        <f t="array" ref="O379">IFERROR(INDEX(EXCEPCIONES_FECHA!$F$2:$F$201,MATCH(1,(EXCEPCIONES_FECHA!$A$2:$A$201=$A379)*(EXCEPCIONES_FECHA!$B$2:$B$201=$B379),0)),IFERROR(INDEX(EXCEPCIONES_FECHA!$F$2:$F$201,MATCH(1,(EXCEPCIONES_FECHA!$A$2:$A$201=$A379)*(EXCEPCIONES_FECHA!$B$2:$B$201=""),0)),IFERROR(INDEX(IF($I379="FIN",HISTORIAL_HORARIOS!$L$2:$L$201,HISTORIAL_HORARIOS!$H$2:$H$201),MATCH(1,(HISTORIAL_HORARIOS!$A$2:$A$201=$B379)*(HISTORIAL_HORARIOS!$C$2:$C$201&lt;=$A379)*(HISTORIAL_HORARIOS!$D$2:$D$201&gt;=$A379),0)),INDEX(IF($I379="FIN",PERSONAL!$L$2:$L$80,PERSONAL!$H$2:$H$80),MATCH($B379,PERSONAL!$A$2:$A$80,0)))))</f>
        <v/>
      </c>
    </row>
    <row r="380" ht="15" customHeight="1" s="58">
      <c r="A380" s="37" t="n"/>
      <c r="B380" s="38" t="n"/>
      <c r="C380" s="39" t="n"/>
      <c r="D380" s="39" t="n"/>
      <c r="E380" s="34">
        <f t="array" ref="E380">IF($B380="","",IFERROR(INDEX(PERSONAL!$B$2:$B$80,MATCH($B380,PERSONAL!$A$2:$A$80,0)),"NO EXISTE"))</f>
        <v/>
      </c>
      <c r="F380" s="52">
        <f t="array" ref="F380">IF($B380="","",IFERROR(INDEX(PERSONAL!$C$2:$C$80,MATCH($B380,PERSONAL!$A$2:$A$80,0)),""))</f>
        <v/>
      </c>
      <c r="G380" s="52">
        <f>IF($A380="","",CHOOSE(WEEKDAY($A380,2),"LUNES","MARTES","MIÉRCOLES","JUEVES","VIERNES","SÁBADO","DOMINGO"))</f>
        <v/>
      </c>
      <c r="H380" s="34">
        <f>IF($A380="","",CHOOSE(MONTH($A380),"ENERO","FEBRERO","MARZO","ABRIL","MAYO","JUNIO","JULIO","AGOSTO","SEPTIEMBRE","OCTUBRE","NOVIEMBRE","DICIEMBRE"))</f>
        <v/>
      </c>
      <c r="I380" s="34">
        <f>IF($A380="","",IF(OR($G380="SÁBADO",$G380="DOMINGO"),"FIN","LV"))</f>
        <v/>
      </c>
      <c r="J380" s="34">
        <f>IF(OR($A380="",$B380=""),"",IF($L380&lt;&gt;"",UPPER($L380),IF($C380="","FALTA",IFERROR(IF($C380&gt;=$O380,"ROJO FUERTE",IF($C380&gt;=$N380,"ROJO",IF($C380&gt;=$M380,"AMARILLO","VERDE"))),"REVISAR"))))</f>
        <v/>
      </c>
      <c r="K380" s="36">
        <f>IF(OR($C380="",$D380=""),"",IF($D380&gt;=$C380,($D380-$C380)*24,(1-$C380+$D380)*24))</f>
        <v/>
      </c>
      <c r="L380" s="34" t="n"/>
      <c r="M380" s="53">
        <f t="array" ref="M380">IFERROR(INDEX(EXCEPCIONES_FECHA!$D$2:$D$201,MATCH(1,(EXCEPCIONES_FECHA!$A$2:$A$201=$A380)*(EXCEPCIONES_FECHA!$B$2:$B$201=$B380),0)),IFERROR(INDEX(EXCEPCIONES_FECHA!$D$2:$D$201,MATCH(1,(EXCEPCIONES_FECHA!$A$2:$A$201=$A380)*(EXCEPCIONES_FECHA!$B$2:$B$201=""),0)),IFERROR(INDEX(IF($I380="FIN",HISTORIAL_HORARIOS!$J$2:$J$201,HISTORIAL_HORARIOS!$F$2:$F$201),MATCH(1,(HISTORIAL_HORARIOS!$A$2:$A$201=$B380)*(HISTORIAL_HORARIOS!$C$2:$C$201&lt;=$A380)*(HISTORIAL_HORARIOS!$D$2:$D$201&gt;=$A380),0)),INDEX(IF($I380="FIN",PERSONAL!$J$2:$J$80,PERSONAL!$F$2:$F$80),MATCH($B380,PERSONAL!$A$2:$A$80,0)))))</f>
        <v/>
      </c>
      <c r="N380" s="53">
        <f t="array" ref="N380">IFERROR(INDEX(EXCEPCIONES_FECHA!$E$2:$E$201,MATCH(1,(EXCEPCIONES_FECHA!$A$2:$A$201=$A380)*(EXCEPCIONES_FECHA!$B$2:$B$201=$B380),0)),IFERROR(INDEX(EXCEPCIONES_FECHA!$E$2:$E$201,MATCH(1,(EXCEPCIONES_FECHA!$A$2:$A$201=$A380)*(EXCEPCIONES_FECHA!$B$2:$B$201=""),0)),IFERROR(INDEX(IF($I380="FIN",HISTORIAL_HORARIOS!$K$2:$K$201,HISTORIAL_HORARIOS!$G$2:$G$201),MATCH(1,(HISTORIAL_HORARIOS!$A$2:$A$201=$B380)*(HISTORIAL_HORARIOS!$C$2:$C$201&lt;=$A380)*(HISTORIAL_HORARIOS!$D$2:$D$201&gt;=$A380),0)),INDEX(IF($I380="FIN",PERSONAL!$K$2:$K$80,PERSONAL!$G$2:$G$80),MATCH($B380,PERSONAL!$A$2:$A$80,0)))))</f>
        <v/>
      </c>
      <c r="O380" s="53">
        <f t="array" ref="O380">IFERROR(INDEX(EXCEPCIONES_FECHA!$F$2:$F$201,MATCH(1,(EXCEPCIONES_FECHA!$A$2:$A$201=$A380)*(EXCEPCIONES_FECHA!$B$2:$B$201=$B380),0)),IFERROR(INDEX(EXCEPCIONES_FECHA!$F$2:$F$201,MATCH(1,(EXCEPCIONES_FECHA!$A$2:$A$201=$A380)*(EXCEPCIONES_FECHA!$B$2:$B$201=""),0)),IFERROR(INDEX(IF($I380="FIN",HISTORIAL_HORARIOS!$L$2:$L$201,HISTORIAL_HORARIOS!$H$2:$H$201),MATCH(1,(HISTORIAL_HORARIOS!$A$2:$A$201=$B380)*(HISTORIAL_HORARIOS!$C$2:$C$201&lt;=$A380)*(HISTORIAL_HORARIOS!$D$2:$D$201&gt;=$A380),0)),INDEX(IF($I380="FIN",PERSONAL!$L$2:$L$80,PERSONAL!$H$2:$H$80),MATCH($B380,PERSONAL!$A$2:$A$80,0)))))</f>
        <v/>
      </c>
    </row>
    <row r="381" ht="15" customHeight="1" s="58">
      <c r="A381" s="37" t="n"/>
      <c r="B381" s="38" t="n"/>
      <c r="C381" s="39" t="n"/>
      <c r="D381" s="39" t="n"/>
      <c r="E381" s="34">
        <f t="array" ref="E381">IF($B381="","",IFERROR(INDEX(PERSONAL!$B$2:$B$80,MATCH($B381,PERSONAL!$A$2:$A$80,0)),"NO EXISTE"))</f>
        <v/>
      </c>
      <c r="F381" s="52">
        <f t="array" ref="F381">IF($B381="","",IFERROR(INDEX(PERSONAL!$C$2:$C$80,MATCH($B381,PERSONAL!$A$2:$A$80,0)),""))</f>
        <v/>
      </c>
      <c r="G381" s="52">
        <f>IF($A381="","",CHOOSE(WEEKDAY($A381,2),"LUNES","MARTES","MIÉRCOLES","JUEVES","VIERNES","SÁBADO","DOMINGO"))</f>
        <v/>
      </c>
      <c r="H381" s="34">
        <f>IF($A381="","",CHOOSE(MONTH($A381),"ENERO","FEBRERO","MARZO","ABRIL","MAYO","JUNIO","JULIO","AGOSTO","SEPTIEMBRE","OCTUBRE","NOVIEMBRE","DICIEMBRE"))</f>
        <v/>
      </c>
      <c r="I381" s="34">
        <f>IF($A381="","",IF(OR($G381="SÁBADO",$G381="DOMINGO"),"FIN","LV"))</f>
        <v/>
      </c>
      <c r="J381" s="34">
        <f>IF(OR($A381="",$B381=""),"",IF($L381&lt;&gt;"",UPPER($L381),IF($C381="","FALTA",IFERROR(IF($C381&gt;=$O381,"ROJO FUERTE",IF($C381&gt;=$N381,"ROJO",IF($C381&gt;=$M381,"AMARILLO","VERDE"))),"REVISAR"))))</f>
        <v/>
      </c>
      <c r="K381" s="36">
        <f>IF(OR($C381="",$D381=""),"",IF($D381&gt;=$C381,($D381-$C381)*24,(1-$C381+$D381)*24))</f>
        <v/>
      </c>
      <c r="L381" s="34" t="n"/>
      <c r="M381" s="53">
        <f t="array" ref="M381">IFERROR(INDEX(EXCEPCIONES_FECHA!$D$2:$D$201,MATCH(1,(EXCEPCIONES_FECHA!$A$2:$A$201=$A381)*(EXCEPCIONES_FECHA!$B$2:$B$201=$B381),0)),IFERROR(INDEX(EXCEPCIONES_FECHA!$D$2:$D$201,MATCH(1,(EXCEPCIONES_FECHA!$A$2:$A$201=$A381)*(EXCEPCIONES_FECHA!$B$2:$B$201=""),0)),IFERROR(INDEX(IF($I381="FIN",HISTORIAL_HORARIOS!$J$2:$J$201,HISTORIAL_HORARIOS!$F$2:$F$201),MATCH(1,(HISTORIAL_HORARIOS!$A$2:$A$201=$B381)*(HISTORIAL_HORARIOS!$C$2:$C$201&lt;=$A381)*(HISTORIAL_HORARIOS!$D$2:$D$201&gt;=$A381),0)),INDEX(IF($I381="FIN",PERSONAL!$J$2:$J$80,PERSONAL!$F$2:$F$80),MATCH($B381,PERSONAL!$A$2:$A$80,0)))))</f>
        <v/>
      </c>
      <c r="N381" s="53">
        <f t="array" ref="N381">IFERROR(INDEX(EXCEPCIONES_FECHA!$E$2:$E$201,MATCH(1,(EXCEPCIONES_FECHA!$A$2:$A$201=$A381)*(EXCEPCIONES_FECHA!$B$2:$B$201=$B381),0)),IFERROR(INDEX(EXCEPCIONES_FECHA!$E$2:$E$201,MATCH(1,(EXCEPCIONES_FECHA!$A$2:$A$201=$A381)*(EXCEPCIONES_FECHA!$B$2:$B$201=""),0)),IFERROR(INDEX(IF($I381="FIN",HISTORIAL_HORARIOS!$K$2:$K$201,HISTORIAL_HORARIOS!$G$2:$G$201),MATCH(1,(HISTORIAL_HORARIOS!$A$2:$A$201=$B381)*(HISTORIAL_HORARIOS!$C$2:$C$201&lt;=$A381)*(HISTORIAL_HORARIOS!$D$2:$D$201&gt;=$A381),0)),INDEX(IF($I381="FIN",PERSONAL!$K$2:$K$80,PERSONAL!$G$2:$G$80),MATCH($B381,PERSONAL!$A$2:$A$80,0)))))</f>
        <v/>
      </c>
      <c r="O381" s="53">
        <f t="array" ref="O381">IFERROR(INDEX(EXCEPCIONES_FECHA!$F$2:$F$201,MATCH(1,(EXCEPCIONES_FECHA!$A$2:$A$201=$A381)*(EXCEPCIONES_FECHA!$B$2:$B$201=$B381),0)),IFERROR(INDEX(EXCEPCIONES_FECHA!$F$2:$F$201,MATCH(1,(EXCEPCIONES_FECHA!$A$2:$A$201=$A381)*(EXCEPCIONES_FECHA!$B$2:$B$201=""),0)),IFERROR(INDEX(IF($I381="FIN",HISTORIAL_HORARIOS!$L$2:$L$201,HISTORIAL_HORARIOS!$H$2:$H$201),MATCH(1,(HISTORIAL_HORARIOS!$A$2:$A$201=$B381)*(HISTORIAL_HORARIOS!$C$2:$C$201&lt;=$A381)*(HISTORIAL_HORARIOS!$D$2:$D$201&gt;=$A381),0)),INDEX(IF($I381="FIN",PERSONAL!$L$2:$L$80,PERSONAL!$H$2:$H$80),MATCH($B381,PERSONAL!$A$2:$A$80,0)))))</f>
        <v/>
      </c>
    </row>
    <row r="382" ht="15" customHeight="1" s="58">
      <c r="A382" s="37" t="n"/>
      <c r="B382" s="38" t="n"/>
      <c r="C382" s="39" t="n"/>
      <c r="D382" s="39" t="n"/>
      <c r="E382" s="34">
        <f t="array" ref="E382">IF($B382="","",IFERROR(INDEX(PERSONAL!$B$2:$B$80,MATCH($B382,PERSONAL!$A$2:$A$80,0)),"NO EXISTE"))</f>
        <v/>
      </c>
      <c r="F382" s="52">
        <f t="array" ref="F382">IF($B382="","",IFERROR(INDEX(PERSONAL!$C$2:$C$80,MATCH($B382,PERSONAL!$A$2:$A$80,0)),""))</f>
        <v/>
      </c>
      <c r="G382" s="52">
        <f>IF($A382="","",CHOOSE(WEEKDAY($A382,2),"LUNES","MARTES","MIÉRCOLES","JUEVES","VIERNES","SÁBADO","DOMINGO"))</f>
        <v/>
      </c>
      <c r="H382" s="34">
        <f>IF($A382="","",CHOOSE(MONTH($A382),"ENERO","FEBRERO","MARZO","ABRIL","MAYO","JUNIO","JULIO","AGOSTO","SEPTIEMBRE","OCTUBRE","NOVIEMBRE","DICIEMBRE"))</f>
        <v/>
      </c>
      <c r="I382" s="34">
        <f>IF($A382="","",IF(OR($G382="SÁBADO",$G382="DOMINGO"),"FIN","LV"))</f>
        <v/>
      </c>
      <c r="J382" s="34">
        <f>IF(OR($A382="",$B382=""),"",IF($L382&lt;&gt;"",UPPER($L382),IF($C382="","FALTA",IFERROR(IF($C382&gt;=$O382,"ROJO FUERTE",IF($C382&gt;=$N382,"ROJO",IF($C382&gt;=$M382,"AMARILLO","VERDE"))),"REVISAR"))))</f>
        <v/>
      </c>
      <c r="K382" s="36">
        <f>IF(OR($C382="",$D382=""),"",IF($D382&gt;=$C382,($D382-$C382)*24,(1-$C382+$D382)*24))</f>
        <v/>
      </c>
      <c r="L382" s="34" t="n"/>
      <c r="M382" s="53">
        <f t="array" ref="M382">IFERROR(INDEX(EXCEPCIONES_FECHA!$D$2:$D$201,MATCH(1,(EXCEPCIONES_FECHA!$A$2:$A$201=$A382)*(EXCEPCIONES_FECHA!$B$2:$B$201=$B382),0)),IFERROR(INDEX(EXCEPCIONES_FECHA!$D$2:$D$201,MATCH(1,(EXCEPCIONES_FECHA!$A$2:$A$201=$A382)*(EXCEPCIONES_FECHA!$B$2:$B$201=""),0)),IFERROR(INDEX(IF($I382="FIN",HISTORIAL_HORARIOS!$J$2:$J$201,HISTORIAL_HORARIOS!$F$2:$F$201),MATCH(1,(HISTORIAL_HORARIOS!$A$2:$A$201=$B382)*(HISTORIAL_HORARIOS!$C$2:$C$201&lt;=$A382)*(HISTORIAL_HORARIOS!$D$2:$D$201&gt;=$A382),0)),INDEX(IF($I382="FIN",PERSONAL!$J$2:$J$80,PERSONAL!$F$2:$F$80),MATCH($B382,PERSONAL!$A$2:$A$80,0)))))</f>
        <v/>
      </c>
      <c r="N382" s="53">
        <f t="array" ref="N382">IFERROR(INDEX(EXCEPCIONES_FECHA!$E$2:$E$201,MATCH(1,(EXCEPCIONES_FECHA!$A$2:$A$201=$A382)*(EXCEPCIONES_FECHA!$B$2:$B$201=$B382),0)),IFERROR(INDEX(EXCEPCIONES_FECHA!$E$2:$E$201,MATCH(1,(EXCEPCIONES_FECHA!$A$2:$A$201=$A382)*(EXCEPCIONES_FECHA!$B$2:$B$201=""),0)),IFERROR(INDEX(IF($I382="FIN",HISTORIAL_HORARIOS!$K$2:$K$201,HISTORIAL_HORARIOS!$G$2:$G$201),MATCH(1,(HISTORIAL_HORARIOS!$A$2:$A$201=$B382)*(HISTORIAL_HORARIOS!$C$2:$C$201&lt;=$A382)*(HISTORIAL_HORARIOS!$D$2:$D$201&gt;=$A382),0)),INDEX(IF($I382="FIN",PERSONAL!$K$2:$K$80,PERSONAL!$G$2:$G$80),MATCH($B382,PERSONAL!$A$2:$A$80,0)))))</f>
        <v/>
      </c>
      <c r="O382" s="53">
        <f t="array" ref="O382">IFERROR(INDEX(EXCEPCIONES_FECHA!$F$2:$F$201,MATCH(1,(EXCEPCIONES_FECHA!$A$2:$A$201=$A382)*(EXCEPCIONES_FECHA!$B$2:$B$201=$B382),0)),IFERROR(INDEX(EXCEPCIONES_FECHA!$F$2:$F$201,MATCH(1,(EXCEPCIONES_FECHA!$A$2:$A$201=$A382)*(EXCEPCIONES_FECHA!$B$2:$B$201=""),0)),IFERROR(INDEX(IF($I382="FIN",HISTORIAL_HORARIOS!$L$2:$L$201,HISTORIAL_HORARIOS!$H$2:$H$201),MATCH(1,(HISTORIAL_HORARIOS!$A$2:$A$201=$B382)*(HISTORIAL_HORARIOS!$C$2:$C$201&lt;=$A382)*(HISTORIAL_HORARIOS!$D$2:$D$201&gt;=$A382),0)),INDEX(IF($I382="FIN",PERSONAL!$L$2:$L$80,PERSONAL!$H$2:$H$80),MATCH($B382,PERSONAL!$A$2:$A$80,0)))))</f>
        <v/>
      </c>
    </row>
    <row r="383" ht="15" customHeight="1" s="58">
      <c r="A383" s="37" t="n"/>
      <c r="B383" s="38" t="n"/>
      <c r="C383" s="39" t="n"/>
      <c r="D383" s="39" t="n"/>
      <c r="E383" s="34">
        <f t="array" ref="E383">IF($B383="","",IFERROR(INDEX(PERSONAL!$B$2:$B$80,MATCH($B383,PERSONAL!$A$2:$A$80,0)),"NO EXISTE"))</f>
        <v/>
      </c>
      <c r="F383" s="52">
        <f t="array" ref="F383">IF($B383="","",IFERROR(INDEX(PERSONAL!$C$2:$C$80,MATCH($B383,PERSONAL!$A$2:$A$80,0)),""))</f>
        <v/>
      </c>
      <c r="G383" s="52">
        <f>IF($A383="","",CHOOSE(WEEKDAY($A383,2),"LUNES","MARTES","MIÉRCOLES","JUEVES","VIERNES","SÁBADO","DOMINGO"))</f>
        <v/>
      </c>
      <c r="H383" s="34">
        <f>IF($A383="","",CHOOSE(MONTH($A383),"ENERO","FEBRERO","MARZO","ABRIL","MAYO","JUNIO","JULIO","AGOSTO","SEPTIEMBRE","OCTUBRE","NOVIEMBRE","DICIEMBRE"))</f>
        <v/>
      </c>
      <c r="I383" s="34">
        <f>IF($A383="","",IF(OR($G383="SÁBADO",$G383="DOMINGO"),"FIN","LV"))</f>
        <v/>
      </c>
      <c r="J383" s="34">
        <f>IF(OR($A383="",$B383=""),"",IF($L383&lt;&gt;"",UPPER($L383),IF($C383="","FALTA",IFERROR(IF($C383&gt;=$O383,"ROJO FUERTE",IF($C383&gt;=$N383,"ROJO",IF($C383&gt;=$M383,"AMARILLO","VERDE"))),"REVISAR"))))</f>
        <v/>
      </c>
      <c r="K383" s="36">
        <f>IF(OR($C383="",$D383=""),"",IF($D383&gt;=$C383,($D383-$C383)*24,(1-$C383+$D383)*24))</f>
        <v/>
      </c>
      <c r="L383" s="34" t="n"/>
      <c r="M383" s="53">
        <f t="array" ref="M383">IFERROR(INDEX(EXCEPCIONES_FECHA!$D$2:$D$201,MATCH(1,(EXCEPCIONES_FECHA!$A$2:$A$201=$A383)*(EXCEPCIONES_FECHA!$B$2:$B$201=$B383),0)),IFERROR(INDEX(EXCEPCIONES_FECHA!$D$2:$D$201,MATCH(1,(EXCEPCIONES_FECHA!$A$2:$A$201=$A383)*(EXCEPCIONES_FECHA!$B$2:$B$201=""),0)),IFERROR(INDEX(IF($I383="FIN",HISTORIAL_HORARIOS!$J$2:$J$201,HISTORIAL_HORARIOS!$F$2:$F$201),MATCH(1,(HISTORIAL_HORARIOS!$A$2:$A$201=$B383)*(HISTORIAL_HORARIOS!$C$2:$C$201&lt;=$A383)*(HISTORIAL_HORARIOS!$D$2:$D$201&gt;=$A383),0)),INDEX(IF($I383="FIN",PERSONAL!$J$2:$J$80,PERSONAL!$F$2:$F$80),MATCH($B383,PERSONAL!$A$2:$A$80,0)))))</f>
        <v/>
      </c>
      <c r="N383" s="53">
        <f t="array" ref="N383">IFERROR(INDEX(EXCEPCIONES_FECHA!$E$2:$E$201,MATCH(1,(EXCEPCIONES_FECHA!$A$2:$A$201=$A383)*(EXCEPCIONES_FECHA!$B$2:$B$201=$B383),0)),IFERROR(INDEX(EXCEPCIONES_FECHA!$E$2:$E$201,MATCH(1,(EXCEPCIONES_FECHA!$A$2:$A$201=$A383)*(EXCEPCIONES_FECHA!$B$2:$B$201=""),0)),IFERROR(INDEX(IF($I383="FIN",HISTORIAL_HORARIOS!$K$2:$K$201,HISTORIAL_HORARIOS!$G$2:$G$201),MATCH(1,(HISTORIAL_HORARIOS!$A$2:$A$201=$B383)*(HISTORIAL_HORARIOS!$C$2:$C$201&lt;=$A383)*(HISTORIAL_HORARIOS!$D$2:$D$201&gt;=$A383),0)),INDEX(IF($I383="FIN",PERSONAL!$K$2:$K$80,PERSONAL!$G$2:$G$80),MATCH($B383,PERSONAL!$A$2:$A$80,0)))))</f>
        <v/>
      </c>
      <c r="O383" s="53">
        <f t="array" ref="O383">IFERROR(INDEX(EXCEPCIONES_FECHA!$F$2:$F$201,MATCH(1,(EXCEPCIONES_FECHA!$A$2:$A$201=$A383)*(EXCEPCIONES_FECHA!$B$2:$B$201=$B383),0)),IFERROR(INDEX(EXCEPCIONES_FECHA!$F$2:$F$201,MATCH(1,(EXCEPCIONES_FECHA!$A$2:$A$201=$A383)*(EXCEPCIONES_FECHA!$B$2:$B$201=""),0)),IFERROR(INDEX(IF($I383="FIN",HISTORIAL_HORARIOS!$L$2:$L$201,HISTORIAL_HORARIOS!$H$2:$H$201),MATCH(1,(HISTORIAL_HORARIOS!$A$2:$A$201=$B383)*(HISTORIAL_HORARIOS!$C$2:$C$201&lt;=$A383)*(HISTORIAL_HORARIOS!$D$2:$D$201&gt;=$A383),0)),INDEX(IF($I383="FIN",PERSONAL!$L$2:$L$80,PERSONAL!$H$2:$H$80),MATCH($B383,PERSONAL!$A$2:$A$80,0)))))</f>
        <v/>
      </c>
    </row>
    <row r="384" ht="15" customHeight="1" s="58">
      <c r="A384" s="37" t="n"/>
      <c r="B384" s="38" t="n"/>
      <c r="C384" s="39" t="n"/>
      <c r="D384" s="39" t="n"/>
      <c r="E384" s="34">
        <f t="array" ref="E384">IF($B384="","",IFERROR(INDEX(PERSONAL!$B$2:$B$80,MATCH($B384,PERSONAL!$A$2:$A$80,0)),"NO EXISTE"))</f>
        <v/>
      </c>
      <c r="F384" s="52">
        <f t="array" ref="F384">IF($B384="","",IFERROR(INDEX(PERSONAL!$C$2:$C$80,MATCH($B384,PERSONAL!$A$2:$A$80,0)),""))</f>
        <v/>
      </c>
      <c r="G384" s="52">
        <f>IF($A384="","",CHOOSE(WEEKDAY($A384,2),"LUNES","MARTES","MIÉRCOLES","JUEVES","VIERNES","SÁBADO","DOMINGO"))</f>
        <v/>
      </c>
      <c r="H384" s="34">
        <f>IF($A384="","",CHOOSE(MONTH($A384),"ENERO","FEBRERO","MARZO","ABRIL","MAYO","JUNIO","JULIO","AGOSTO","SEPTIEMBRE","OCTUBRE","NOVIEMBRE","DICIEMBRE"))</f>
        <v/>
      </c>
      <c r="I384" s="34">
        <f>IF($A384="","",IF(OR($G384="SÁBADO",$G384="DOMINGO"),"FIN","LV"))</f>
        <v/>
      </c>
      <c r="J384" s="34">
        <f>IF(OR($A384="",$B384=""),"",IF($L384&lt;&gt;"",UPPER($L384),IF($C384="","FALTA",IFERROR(IF($C384&gt;=$O384,"ROJO FUERTE",IF($C384&gt;=$N384,"ROJO",IF($C384&gt;=$M384,"AMARILLO","VERDE"))),"REVISAR"))))</f>
        <v/>
      </c>
      <c r="K384" s="36">
        <f>IF(OR($C384="",$D384=""),"",IF($D384&gt;=$C384,($D384-$C384)*24,(1-$C384+$D384)*24))</f>
        <v/>
      </c>
      <c r="L384" s="34" t="n"/>
      <c r="M384" s="53">
        <f t="array" ref="M384">IFERROR(INDEX(EXCEPCIONES_FECHA!$D$2:$D$201,MATCH(1,(EXCEPCIONES_FECHA!$A$2:$A$201=$A384)*(EXCEPCIONES_FECHA!$B$2:$B$201=$B384),0)),IFERROR(INDEX(EXCEPCIONES_FECHA!$D$2:$D$201,MATCH(1,(EXCEPCIONES_FECHA!$A$2:$A$201=$A384)*(EXCEPCIONES_FECHA!$B$2:$B$201=""),0)),IFERROR(INDEX(IF($I384="FIN",HISTORIAL_HORARIOS!$J$2:$J$201,HISTORIAL_HORARIOS!$F$2:$F$201),MATCH(1,(HISTORIAL_HORARIOS!$A$2:$A$201=$B384)*(HISTORIAL_HORARIOS!$C$2:$C$201&lt;=$A384)*(HISTORIAL_HORARIOS!$D$2:$D$201&gt;=$A384),0)),INDEX(IF($I384="FIN",PERSONAL!$J$2:$J$80,PERSONAL!$F$2:$F$80),MATCH($B384,PERSONAL!$A$2:$A$80,0)))))</f>
        <v/>
      </c>
      <c r="N384" s="53">
        <f t="array" ref="N384">IFERROR(INDEX(EXCEPCIONES_FECHA!$E$2:$E$201,MATCH(1,(EXCEPCIONES_FECHA!$A$2:$A$201=$A384)*(EXCEPCIONES_FECHA!$B$2:$B$201=$B384),0)),IFERROR(INDEX(EXCEPCIONES_FECHA!$E$2:$E$201,MATCH(1,(EXCEPCIONES_FECHA!$A$2:$A$201=$A384)*(EXCEPCIONES_FECHA!$B$2:$B$201=""),0)),IFERROR(INDEX(IF($I384="FIN",HISTORIAL_HORARIOS!$K$2:$K$201,HISTORIAL_HORARIOS!$G$2:$G$201),MATCH(1,(HISTORIAL_HORARIOS!$A$2:$A$201=$B384)*(HISTORIAL_HORARIOS!$C$2:$C$201&lt;=$A384)*(HISTORIAL_HORARIOS!$D$2:$D$201&gt;=$A384),0)),INDEX(IF($I384="FIN",PERSONAL!$K$2:$K$80,PERSONAL!$G$2:$G$80),MATCH($B384,PERSONAL!$A$2:$A$80,0)))))</f>
        <v/>
      </c>
      <c r="O384" s="53">
        <f t="array" ref="O384">IFERROR(INDEX(EXCEPCIONES_FECHA!$F$2:$F$201,MATCH(1,(EXCEPCIONES_FECHA!$A$2:$A$201=$A384)*(EXCEPCIONES_FECHA!$B$2:$B$201=$B384),0)),IFERROR(INDEX(EXCEPCIONES_FECHA!$F$2:$F$201,MATCH(1,(EXCEPCIONES_FECHA!$A$2:$A$201=$A384)*(EXCEPCIONES_FECHA!$B$2:$B$201=""),0)),IFERROR(INDEX(IF($I384="FIN",HISTORIAL_HORARIOS!$L$2:$L$201,HISTORIAL_HORARIOS!$H$2:$H$201),MATCH(1,(HISTORIAL_HORARIOS!$A$2:$A$201=$B384)*(HISTORIAL_HORARIOS!$C$2:$C$201&lt;=$A384)*(HISTORIAL_HORARIOS!$D$2:$D$201&gt;=$A384),0)),INDEX(IF($I384="FIN",PERSONAL!$L$2:$L$80,PERSONAL!$H$2:$H$80),MATCH($B384,PERSONAL!$A$2:$A$80,0)))))</f>
        <v/>
      </c>
    </row>
    <row r="385" ht="15" customHeight="1" s="58">
      <c r="A385" s="37" t="n"/>
      <c r="B385" s="38" t="n"/>
      <c r="C385" s="39" t="n"/>
      <c r="D385" s="39" t="n"/>
      <c r="E385" s="34">
        <f t="array" ref="E385">IF($B385="","",IFERROR(INDEX(PERSONAL!$B$2:$B$80,MATCH($B385,PERSONAL!$A$2:$A$80,0)),"NO EXISTE"))</f>
        <v/>
      </c>
      <c r="F385" s="52">
        <f t="array" ref="F385">IF($B385="","",IFERROR(INDEX(PERSONAL!$C$2:$C$80,MATCH($B385,PERSONAL!$A$2:$A$80,0)),""))</f>
        <v/>
      </c>
      <c r="G385" s="52">
        <f>IF($A385="","",CHOOSE(WEEKDAY($A385,2),"LUNES","MARTES","MIÉRCOLES","JUEVES","VIERNES","SÁBADO","DOMINGO"))</f>
        <v/>
      </c>
      <c r="H385" s="34">
        <f>IF($A385="","",CHOOSE(MONTH($A385),"ENERO","FEBRERO","MARZO","ABRIL","MAYO","JUNIO","JULIO","AGOSTO","SEPTIEMBRE","OCTUBRE","NOVIEMBRE","DICIEMBRE"))</f>
        <v/>
      </c>
      <c r="I385" s="34">
        <f>IF($A385="","",IF(OR($G385="SÁBADO",$G385="DOMINGO"),"FIN","LV"))</f>
        <v/>
      </c>
      <c r="J385" s="34">
        <f>IF(OR($A385="",$B385=""),"",IF($L385&lt;&gt;"",UPPER($L385),IF($C385="","FALTA",IFERROR(IF($C385&gt;=$O385,"ROJO FUERTE",IF($C385&gt;=$N385,"ROJO",IF($C385&gt;=$M385,"AMARILLO","VERDE"))),"REVISAR"))))</f>
        <v/>
      </c>
      <c r="K385" s="36">
        <f>IF(OR($C385="",$D385=""),"",IF($D385&gt;=$C385,($D385-$C385)*24,(1-$C385+$D385)*24))</f>
        <v/>
      </c>
      <c r="L385" s="34" t="n"/>
      <c r="M385" s="53">
        <f t="array" ref="M385">IFERROR(INDEX(EXCEPCIONES_FECHA!$D$2:$D$201,MATCH(1,(EXCEPCIONES_FECHA!$A$2:$A$201=$A385)*(EXCEPCIONES_FECHA!$B$2:$B$201=$B385),0)),IFERROR(INDEX(EXCEPCIONES_FECHA!$D$2:$D$201,MATCH(1,(EXCEPCIONES_FECHA!$A$2:$A$201=$A385)*(EXCEPCIONES_FECHA!$B$2:$B$201=""),0)),IFERROR(INDEX(IF($I385="FIN",HISTORIAL_HORARIOS!$J$2:$J$201,HISTORIAL_HORARIOS!$F$2:$F$201),MATCH(1,(HISTORIAL_HORARIOS!$A$2:$A$201=$B385)*(HISTORIAL_HORARIOS!$C$2:$C$201&lt;=$A385)*(HISTORIAL_HORARIOS!$D$2:$D$201&gt;=$A385),0)),INDEX(IF($I385="FIN",PERSONAL!$J$2:$J$80,PERSONAL!$F$2:$F$80),MATCH($B385,PERSONAL!$A$2:$A$80,0)))))</f>
        <v/>
      </c>
      <c r="N385" s="53">
        <f t="array" ref="N385">IFERROR(INDEX(EXCEPCIONES_FECHA!$E$2:$E$201,MATCH(1,(EXCEPCIONES_FECHA!$A$2:$A$201=$A385)*(EXCEPCIONES_FECHA!$B$2:$B$201=$B385),0)),IFERROR(INDEX(EXCEPCIONES_FECHA!$E$2:$E$201,MATCH(1,(EXCEPCIONES_FECHA!$A$2:$A$201=$A385)*(EXCEPCIONES_FECHA!$B$2:$B$201=""),0)),IFERROR(INDEX(IF($I385="FIN",HISTORIAL_HORARIOS!$K$2:$K$201,HISTORIAL_HORARIOS!$G$2:$G$201),MATCH(1,(HISTORIAL_HORARIOS!$A$2:$A$201=$B385)*(HISTORIAL_HORARIOS!$C$2:$C$201&lt;=$A385)*(HISTORIAL_HORARIOS!$D$2:$D$201&gt;=$A385),0)),INDEX(IF($I385="FIN",PERSONAL!$K$2:$K$80,PERSONAL!$G$2:$G$80),MATCH($B385,PERSONAL!$A$2:$A$80,0)))))</f>
        <v/>
      </c>
      <c r="O385" s="53">
        <f t="array" ref="O385">IFERROR(INDEX(EXCEPCIONES_FECHA!$F$2:$F$201,MATCH(1,(EXCEPCIONES_FECHA!$A$2:$A$201=$A385)*(EXCEPCIONES_FECHA!$B$2:$B$201=$B385),0)),IFERROR(INDEX(EXCEPCIONES_FECHA!$F$2:$F$201,MATCH(1,(EXCEPCIONES_FECHA!$A$2:$A$201=$A385)*(EXCEPCIONES_FECHA!$B$2:$B$201=""),0)),IFERROR(INDEX(IF($I385="FIN",HISTORIAL_HORARIOS!$L$2:$L$201,HISTORIAL_HORARIOS!$H$2:$H$201),MATCH(1,(HISTORIAL_HORARIOS!$A$2:$A$201=$B385)*(HISTORIAL_HORARIOS!$C$2:$C$201&lt;=$A385)*(HISTORIAL_HORARIOS!$D$2:$D$201&gt;=$A385),0)),INDEX(IF($I385="FIN",PERSONAL!$L$2:$L$80,PERSONAL!$H$2:$H$80),MATCH($B385,PERSONAL!$A$2:$A$80,0)))))</f>
        <v/>
      </c>
    </row>
    <row r="386" ht="15" customHeight="1" s="58">
      <c r="A386" s="37" t="n"/>
      <c r="B386" s="38" t="n"/>
      <c r="C386" s="39" t="n"/>
      <c r="D386" s="39" t="n"/>
      <c r="E386" s="34">
        <f t="array" ref="E386">IF($B386="","",IFERROR(INDEX(PERSONAL!$B$2:$B$80,MATCH($B386,PERSONAL!$A$2:$A$80,0)),"NO EXISTE"))</f>
        <v/>
      </c>
      <c r="F386" s="52">
        <f t="array" ref="F386">IF($B386="","",IFERROR(INDEX(PERSONAL!$C$2:$C$80,MATCH($B386,PERSONAL!$A$2:$A$80,0)),""))</f>
        <v/>
      </c>
      <c r="G386" s="52">
        <f>IF($A386="","",CHOOSE(WEEKDAY($A386,2),"LUNES","MARTES","MIÉRCOLES","JUEVES","VIERNES","SÁBADO","DOMINGO"))</f>
        <v/>
      </c>
      <c r="H386" s="34">
        <f>IF($A386="","",CHOOSE(MONTH($A386),"ENERO","FEBRERO","MARZO","ABRIL","MAYO","JUNIO","JULIO","AGOSTO","SEPTIEMBRE","OCTUBRE","NOVIEMBRE","DICIEMBRE"))</f>
        <v/>
      </c>
      <c r="I386" s="34">
        <f>IF($A386="","",IF(OR($G386="SÁBADO",$G386="DOMINGO"),"FIN","LV"))</f>
        <v/>
      </c>
      <c r="J386" s="34">
        <f>IF(OR($A386="",$B386=""),"",IF($L386&lt;&gt;"",UPPER($L386),IF($C386="","FALTA",IFERROR(IF($C386&gt;=$O386,"ROJO FUERTE",IF($C386&gt;=$N386,"ROJO",IF($C386&gt;=$M386,"AMARILLO","VERDE"))),"REVISAR"))))</f>
        <v/>
      </c>
      <c r="K386" s="36">
        <f>IF(OR($C386="",$D386=""),"",IF($D386&gt;=$C386,($D386-$C386)*24,(1-$C386+$D386)*24))</f>
        <v/>
      </c>
      <c r="L386" s="34" t="n"/>
      <c r="M386" s="53">
        <f t="array" ref="M386">IFERROR(INDEX(EXCEPCIONES_FECHA!$D$2:$D$201,MATCH(1,(EXCEPCIONES_FECHA!$A$2:$A$201=$A386)*(EXCEPCIONES_FECHA!$B$2:$B$201=$B386),0)),IFERROR(INDEX(EXCEPCIONES_FECHA!$D$2:$D$201,MATCH(1,(EXCEPCIONES_FECHA!$A$2:$A$201=$A386)*(EXCEPCIONES_FECHA!$B$2:$B$201=""),0)),IFERROR(INDEX(IF($I386="FIN",HISTORIAL_HORARIOS!$J$2:$J$201,HISTORIAL_HORARIOS!$F$2:$F$201),MATCH(1,(HISTORIAL_HORARIOS!$A$2:$A$201=$B386)*(HISTORIAL_HORARIOS!$C$2:$C$201&lt;=$A386)*(HISTORIAL_HORARIOS!$D$2:$D$201&gt;=$A386),0)),INDEX(IF($I386="FIN",PERSONAL!$J$2:$J$80,PERSONAL!$F$2:$F$80),MATCH($B386,PERSONAL!$A$2:$A$80,0)))))</f>
        <v/>
      </c>
      <c r="N386" s="53">
        <f t="array" ref="N386">IFERROR(INDEX(EXCEPCIONES_FECHA!$E$2:$E$201,MATCH(1,(EXCEPCIONES_FECHA!$A$2:$A$201=$A386)*(EXCEPCIONES_FECHA!$B$2:$B$201=$B386),0)),IFERROR(INDEX(EXCEPCIONES_FECHA!$E$2:$E$201,MATCH(1,(EXCEPCIONES_FECHA!$A$2:$A$201=$A386)*(EXCEPCIONES_FECHA!$B$2:$B$201=""),0)),IFERROR(INDEX(IF($I386="FIN",HISTORIAL_HORARIOS!$K$2:$K$201,HISTORIAL_HORARIOS!$G$2:$G$201),MATCH(1,(HISTORIAL_HORARIOS!$A$2:$A$201=$B386)*(HISTORIAL_HORARIOS!$C$2:$C$201&lt;=$A386)*(HISTORIAL_HORARIOS!$D$2:$D$201&gt;=$A386),0)),INDEX(IF($I386="FIN",PERSONAL!$K$2:$K$80,PERSONAL!$G$2:$G$80),MATCH($B386,PERSONAL!$A$2:$A$80,0)))))</f>
        <v/>
      </c>
      <c r="O386" s="53">
        <f t="array" ref="O386">IFERROR(INDEX(EXCEPCIONES_FECHA!$F$2:$F$201,MATCH(1,(EXCEPCIONES_FECHA!$A$2:$A$201=$A386)*(EXCEPCIONES_FECHA!$B$2:$B$201=$B386),0)),IFERROR(INDEX(EXCEPCIONES_FECHA!$F$2:$F$201,MATCH(1,(EXCEPCIONES_FECHA!$A$2:$A$201=$A386)*(EXCEPCIONES_FECHA!$B$2:$B$201=""),0)),IFERROR(INDEX(IF($I386="FIN",HISTORIAL_HORARIOS!$L$2:$L$201,HISTORIAL_HORARIOS!$H$2:$H$201),MATCH(1,(HISTORIAL_HORARIOS!$A$2:$A$201=$B386)*(HISTORIAL_HORARIOS!$C$2:$C$201&lt;=$A386)*(HISTORIAL_HORARIOS!$D$2:$D$201&gt;=$A386),0)),INDEX(IF($I386="FIN",PERSONAL!$L$2:$L$80,PERSONAL!$H$2:$H$80),MATCH($B386,PERSONAL!$A$2:$A$80,0)))))</f>
        <v/>
      </c>
    </row>
    <row r="387" ht="15" customHeight="1" s="58">
      <c r="A387" s="37" t="n"/>
      <c r="B387" s="38" t="n"/>
      <c r="C387" s="39" t="n"/>
      <c r="D387" s="39" t="n"/>
      <c r="E387" s="34">
        <f t="array" ref="E387">IF($B387="","",IFERROR(INDEX(PERSONAL!$B$2:$B$80,MATCH($B387,PERSONAL!$A$2:$A$80,0)),"NO EXISTE"))</f>
        <v/>
      </c>
      <c r="F387" s="52">
        <f t="array" ref="F387">IF($B387="","",IFERROR(INDEX(PERSONAL!$C$2:$C$80,MATCH($B387,PERSONAL!$A$2:$A$80,0)),""))</f>
        <v/>
      </c>
      <c r="G387" s="52">
        <f>IF($A387="","",CHOOSE(WEEKDAY($A387,2),"LUNES","MARTES","MIÉRCOLES","JUEVES","VIERNES","SÁBADO","DOMINGO"))</f>
        <v/>
      </c>
      <c r="H387" s="34">
        <f>IF($A387="","",CHOOSE(MONTH($A387),"ENERO","FEBRERO","MARZO","ABRIL","MAYO","JUNIO","JULIO","AGOSTO","SEPTIEMBRE","OCTUBRE","NOVIEMBRE","DICIEMBRE"))</f>
        <v/>
      </c>
      <c r="I387" s="34">
        <f>IF($A387="","",IF(OR($G387="SÁBADO",$G387="DOMINGO"),"FIN","LV"))</f>
        <v/>
      </c>
      <c r="J387" s="34">
        <f>IF(OR($A387="",$B387=""),"",IF($L387&lt;&gt;"",UPPER($L387),IF($C387="","FALTA",IFERROR(IF($C387&gt;=$O387,"ROJO FUERTE",IF($C387&gt;=$N387,"ROJO",IF($C387&gt;=$M387,"AMARILLO","VERDE"))),"REVISAR"))))</f>
        <v/>
      </c>
      <c r="K387" s="36">
        <f>IF(OR($C387="",$D387=""),"",IF($D387&gt;=$C387,($D387-$C387)*24,(1-$C387+$D387)*24))</f>
        <v/>
      </c>
      <c r="L387" s="34" t="n"/>
      <c r="M387" s="53">
        <f t="array" ref="M387">IFERROR(INDEX(EXCEPCIONES_FECHA!$D$2:$D$201,MATCH(1,(EXCEPCIONES_FECHA!$A$2:$A$201=$A387)*(EXCEPCIONES_FECHA!$B$2:$B$201=$B387),0)),IFERROR(INDEX(EXCEPCIONES_FECHA!$D$2:$D$201,MATCH(1,(EXCEPCIONES_FECHA!$A$2:$A$201=$A387)*(EXCEPCIONES_FECHA!$B$2:$B$201=""),0)),IFERROR(INDEX(IF($I387="FIN",HISTORIAL_HORARIOS!$J$2:$J$201,HISTORIAL_HORARIOS!$F$2:$F$201),MATCH(1,(HISTORIAL_HORARIOS!$A$2:$A$201=$B387)*(HISTORIAL_HORARIOS!$C$2:$C$201&lt;=$A387)*(HISTORIAL_HORARIOS!$D$2:$D$201&gt;=$A387),0)),INDEX(IF($I387="FIN",PERSONAL!$J$2:$J$80,PERSONAL!$F$2:$F$80),MATCH($B387,PERSONAL!$A$2:$A$80,0)))))</f>
        <v/>
      </c>
      <c r="N387" s="53">
        <f t="array" ref="N387">IFERROR(INDEX(EXCEPCIONES_FECHA!$E$2:$E$201,MATCH(1,(EXCEPCIONES_FECHA!$A$2:$A$201=$A387)*(EXCEPCIONES_FECHA!$B$2:$B$201=$B387),0)),IFERROR(INDEX(EXCEPCIONES_FECHA!$E$2:$E$201,MATCH(1,(EXCEPCIONES_FECHA!$A$2:$A$201=$A387)*(EXCEPCIONES_FECHA!$B$2:$B$201=""),0)),IFERROR(INDEX(IF($I387="FIN",HISTORIAL_HORARIOS!$K$2:$K$201,HISTORIAL_HORARIOS!$G$2:$G$201),MATCH(1,(HISTORIAL_HORARIOS!$A$2:$A$201=$B387)*(HISTORIAL_HORARIOS!$C$2:$C$201&lt;=$A387)*(HISTORIAL_HORARIOS!$D$2:$D$201&gt;=$A387),0)),INDEX(IF($I387="FIN",PERSONAL!$K$2:$K$80,PERSONAL!$G$2:$G$80),MATCH($B387,PERSONAL!$A$2:$A$80,0)))))</f>
        <v/>
      </c>
      <c r="O387" s="53">
        <f t="array" ref="O387">IFERROR(INDEX(EXCEPCIONES_FECHA!$F$2:$F$201,MATCH(1,(EXCEPCIONES_FECHA!$A$2:$A$201=$A387)*(EXCEPCIONES_FECHA!$B$2:$B$201=$B387),0)),IFERROR(INDEX(EXCEPCIONES_FECHA!$F$2:$F$201,MATCH(1,(EXCEPCIONES_FECHA!$A$2:$A$201=$A387)*(EXCEPCIONES_FECHA!$B$2:$B$201=""),0)),IFERROR(INDEX(IF($I387="FIN",HISTORIAL_HORARIOS!$L$2:$L$201,HISTORIAL_HORARIOS!$H$2:$H$201),MATCH(1,(HISTORIAL_HORARIOS!$A$2:$A$201=$B387)*(HISTORIAL_HORARIOS!$C$2:$C$201&lt;=$A387)*(HISTORIAL_HORARIOS!$D$2:$D$201&gt;=$A387),0)),INDEX(IF($I387="FIN",PERSONAL!$L$2:$L$80,PERSONAL!$H$2:$H$80),MATCH($B387,PERSONAL!$A$2:$A$80,0)))))</f>
        <v/>
      </c>
    </row>
    <row r="388" ht="15" customHeight="1" s="58">
      <c r="A388" s="37" t="n"/>
      <c r="B388" s="38" t="n"/>
      <c r="C388" s="39" t="n"/>
      <c r="D388" s="39" t="n"/>
      <c r="E388" s="34">
        <f t="array" ref="E388">IF($B388="","",IFERROR(INDEX(PERSONAL!$B$2:$B$80,MATCH($B388,PERSONAL!$A$2:$A$80,0)),"NO EXISTE"))</f>
        <v/>
      </c>
      <c r="F388" s="52">
        <f t="array" ref="F388">IF($B388="","",IFERROR(INDEX(PERSONAL!$C$2:$C$80,MATCH($B388,PERSONAL!$A$2:$A$80,0)),""))</f>
        <v/>
      </c>
      <c r="G388" s="52">
        <f>IF($A388="","",CHOOSE(WEEKDAY($A388,2),"LUNES","MARTES","MIÉRCOLES","JUEVES","VIERNES","SÁBADO","DOMINGO"))</f>
        <v/>
      </c>
      <c r="H388" s="34">
        <f>IF($A388="","",CHOOSE(MONTH($A388),"ENERO","FEBRERO","MARZO","ABRIL","MAYO","JUNIO","JULIO","AGOSTO","SEPTIEMBRE","OCTUBRE","NOVIEMBRE","DICIEMBRE"))</f>
        <v/>
      </c>
      <c r="I388" s="34">
        <f>IF($A388="","",IF(OR($G388="SÁBADO",$G388="DOMINGO"),"FIN","LV"))</f>
        <v/>
      </c>
      <c r="J388" s="34">
        <f>IF(OR($A388="",$B388=""),"",IF($L388&lt;&gt;"",UPPER($L388),IF($C388="","FALTA",IFERROR(IF($C388&gt;=$O388,"ROJO FUERTE",IF($C388&gt;=$N388,"ROJO",IF($C388&gt;=$M388,"AMARILLO","VERDE"))),"REVISAR"))))</f>
        <v/>
      </c>
      <c r="K388" s="36">
        <f>IF(OR($C388="",$D388=""),"",IF($D388&gt;=$C388,($D388-$C388)*24,(1-$C388+$D388)*24))</f>
        <v/>
      </c>
      <c r="L388" s="34" t="n"/>
      <c r="M388" s="53">
        <f t="array" ref="M388">IFERROR(INDEX(EXCEPCIONES_FECHA!$D$2:$D$201,MATCH(1,(EXCEPCIONES_FECHA!$A$2:$A$201=$A388)*(EXCEPCIONES_FECHA!$B$2:$B$201=$B388),0)),IFERROR(INDEX(EXCEPCIONES_FECHA!$D$2:$D$201,MATCH(1,(EXCEPCIONES_FECHA!$A$2:$A$201=$A388)*(EXCEPCIONES_FECHA!$B$2:$B$201=""),0)),IFERROR(INDEX(IF($I388="FIN",HISTORIAL_HORARIOS!$J$2:$J$201,HISTORIAL_HORARIOS!$F$2:$F$201),MATCH(1,(HISTORIAL_HORARIOS!$A$2:$A$201=$B388)*(HISTORIAL_HORARIOS!$C$2:$C$201&lt;=$A388)*(HISTORIAL_HORARIOS!$D$2:$D$201&gt;=$A388),0)),INDEX(IF($I388="FIN",PERSONAL!$J$2:$J$80,PERSONAL!$F$2:$F$80),MATCH($B388,PERSONAL!$A$2:$A$80,0)))))</f>
        <v/>
      </c>
      <c r="N388" s="53">
        <f t="array" ref="N388">IFERROR(INDEX(EXCEPCIONES_FECHA!$E$2:$E$201,MATCH(1,(EXCEPCIONES_FECHA!$A$2:$A$201=$A388)*(EXCEPCIONES_FECHA!$B$2:$B$201=$B388),0)),IFERROR(INDEX(EXCEPCIONES_FECHA!$E$2:$E$201,MATCH(1,(EXCEPCIONES_FECHA!$A$2:$A$201=$A388)*(EXCEPCIONES_FECHA!$B$2:$B$201=""),0)),IFERROR(INDEX(IF($I388="FIN",HISTORIAL_HORARIOS!$K$2:$K$201,HISTORIAL_HORARIOS!$G$2:$G$201),MATCH(1,(HISTORIAL_HORARIOS!$A$2:$A$201=$B388)*(HISTORIAL_HORARIOS!$C$2:$C$201&lt;=$A388)*(HISTORIAL_HORARIOS!$D$2:$D$201&gt;=$A388),0)),INDEX(IF($I388="FIN",PERSONAL!$K$2:$K$80,PERSONAL!$G$2:$G$80),MATCH($B388,PERSONAL!$A$2:$A$80,0)))))</f>
        <v/>
      </c>
      <c r="O388" s="53">
        <f t="array" ref="O388">IFERROR(INDEX(EXCEPCIONES_FECHA!$F$2:$F$201,MATCH(1,(EXCEPCIONES_FECHA!$A$2:$A$201=$A388)*(EXCEPCIONES_FECHA!$B$2:$B$201=$B388),0)),IFERROR(INDEX(EXCEPCIONES_FECHA!$F$2:$F$201,MATCH(1,(EXCEPCIONES_FECHA!$A$2:$A$201=$A388)*(EXCEPCIONES_FECHA!$B$2:$B$201=""),0)),IFERROR(INDEX(IF($I388="FIN",HISTORIAL_HORARIOS!$L$2:$L$201,HISTORIAL_HORARIOS!$H$2:$H$201),MATCH(1,(HISTORIAL_HORARIOS!$A$2:$A$201=$B388)*(HISTORIAL_HORARIOS!$C$2:$C$201&lt;=$A388)*(HISTORIAL_HORARIOS!$D$2:$D$201&gt;=$A388),0)),INDEX(IF($I388="FIN",PERSONAL!$L$2:$L$80,PERSONAL!$H$2:$H$80),MATCH($B388,PERSONAL!$A$2:$A$80,0)))))</f>
        <v/>
      </c>
    </row>
    <row r="389" ht="15" customHeight="1" s="58">
      <c r="A389" s="37" t="n"/>
      <c r="B389" s="38" t="n"/>
      <c r="C389" s="39" t="n"/>
      <c r="D389" s="39" t="n"/>
      <c r="E389" s="34">
        <f t="array" ref="E389">IF($B389="","",IFERROR(INDEX(PERSONAL!$B$2:$B$80,MATCH($B389,PERSONAL!$A$2:$A$80,0)),"NO EXISTE"))</f>
        <v/>
      </c>
      <c r="F389" s="52">
        <f t="array" ref="F389">IF($B389="","",IFERROR(INDEX(PERSONAL!$C$2:$C$80,MATCH($B389,PERSONAL!$A$2:$A$80,0)),""))</f>
        <v/>
      </c>
      <c r="G389" s="52">
        <f>IF($A389="","",CHOOSE(WEEKDAY($A389,2),"LUNES","MARTES","MIÉRCOLES","JUEVES","VIERNES","SÁBADO","DOMINGO"))</f>
        <v/>
      </c>
      <c r="H389" s="34">
        <f>IF($A389="","",CHOOSE(MONTH($A389),"ENERO","FEBRERO","MARZO","ABRIL","MAYO","JUNIO","JULIO","AGOSTO","SEPTIEMBRE","OCTUBRE","NOVIEMBRE","DICIEMBRE"))</f>
        <v/>
      </c>
      <c r="I389" s="34">
        <f>IF($A389="","",IF(OR($G389="SÁBADO",$G389="DOMINGO"),"FIN","LV"))</f>
        <v/>
      </c>
      <c r="J389" s="34">
        <f>IF(OR($A389="",$B389=""),"",IF($L389&lt;&gt;"",UPPER($L389),IF($C389="","FALTA",IFERROR(IF($C389&gt;=$O389,"ROJO FUERTE",IF($C389&gt;=$N389,"ROJO",IF($C389&gt;=$M389,"AMARILLO","VERDE"))),"REVISAR"))))</f>
        <v/>
      </c>
      <c r="K389" s="36">
        <f>IF(OR($C389="",$D389=""),"",IF($D389&gt;=$C389,($D389-$C389)*24,(1-$C389+$D389)*24))</f>
        <v/>
      </c>
      <c r="L389" s="34" t="n"/>
      <c r="M389" s="53">
        <f t="array" ref="M389">IFERROR(INDEX(EXCEPCIONES_FECHA!$D$2:$D$201,MATCH(1,(EXCEPCIONES_FECHA!$A$2:$A$201=$A389)*(EXCEPCIONES_FECHA!$B$2:$B$201=$B389),0)),IFERROR(INDEX(EXCEPCIONES_FECHA!$D$2:$D$201,MATCH(1,(EXCEPCIONES_FECHA!$A$2:$A$201=$A389)*(EXCEPCIONES_FECHA!$B$2:$B$201=""),0)),IFERROR(INDEX(IF($I389="FIN",HISTORIAL_HORARIOS!$J$2:$J$201,HISTORIAL_HORARIOS!$F$2:$F$201),MATCH(1,(HISTORIAL_HORARIOS!$A$2:$A$201=$B389)*(HISTORIAL_HORARIOS!$C$2:$C$201&lt;=$A389)*(HISTORIAL_HORARIOS!$D$2:$D$201&gt;=$A389),0)),INDEX(IF($I389="FIN",PERSONAL!$J$2:$J$80,PERSONAL!$F$2:$F$80),MATCH($B389,PERSONAL!$A$2:$A$80,0)))))</f>
        <v/>
      </c>
      <c r="N389" s="53">
        <f t="array" ref="N389">IFERROR(INDEX(EXCEPCIONES_FECHA!$E$2:$E$201,MATCH(1,(EXCEPCIONES_FECHA!$A$2:$A$201=$A389)*(EXCEPCIONES_FECHA!$B$2:$B$201=$B389),0)),IFERROR(INDEX(EXCEPCIONES_FECHA!$E$2:$E$201,MATCH(1,(EXCEPCIONES_FECHA!$A$2:$A$201=$A389)*(EXCEPCIONES_FECHA!$B$2:$B$201=""),0)),IFERROR(INDEX(IF($I389="FIN",HISTORIAL_HORARIOS!$K$2:$K$201,HISTORIAL_HORARIOS!$G$2:$G$201),MATCH(1,(HISTORIAL_HORARIOS!$A$2:$A$201=$B389)*(HISTORIAL_HORARIOS!$C$2:$C$201&lt;=$A389)*(HISTORIAL_HORARIOS!$D$2:$D$201&gt;=$A389),0)),INDEX(IF($I389="FIN",PERSONAL!$K$2:$K$80,PERSONAL!$G$2:$G$80),MATCH($B389,PERSONAL!$A$2:$A$80,0)))))</f>
        <v/>
      </c>
      <c r="O389" s="53">
        <f t="array" ref="O389">IFERROR(INDEX(EXCEPCIONES_FECHA!$F$2:$F$201,MATCH(1,(EXCEPCIONES_FECHA!$A$2:$A$201=$A389)*(EXCEPCIONES_FECHA!$B$2:$B$201=$B389),0)),IFERROR(INDEX(EXCEPCIONES_FECHA!$F$2:$F$201,MATCH(1,(EXCEPCIONES_FECHA!$A$2:$A$201=$A389)*(EXCEPCIONES_FECHA!$B$2:$B$201=""),0)),IFERROR(INDEX(IF($I389="FIN",HISTORIAL_HORARIOS!$L$2:$L$201,HISTORIAL_HORARIOS!$H$2:$H$201),MATCH(1,(HISTORIAL_HORARIOS!$A$2:$A$201=$B389)*(HISTORIAL_HORARIOS!$C$2:$C$201&lt;=$A389)*(HISTORIAL_HORARIOS!$D$2:$D$201&gt;=$A389),0)),INDEX(IF($I389="FIN",PERSONAL!$L$2:$L$80,PERSONAL!$H$2:$H$80),MATCH($B389,PERSONAL!$A$2:$A$80,0)))))</f>
        <v/>
      </c>
    </row>
    <row r="390" ht="15" customHeight="1" s="58">
      <c r="A390" s="37" t="n"/>
      <c r="B390" s="38" t="n"/>
      <c r="C390" s="39" t="n"/>
      <c r="D390" s="39" t="n"/>
      <c r="E390" s="34">
        <f t="array" ref="E390">IF($B390="","",IFERROR(INDEX(PERSONAL!$B$2:$B$80,MATCH($B390,PERSONAL!$A$2:$A$80,0)),"NO EXISTE"))</f>
        <v/>
      </c>
      <c r="F390" s="52">
        <f t="array" ref="F390">IF($B390="","",IFERROR(INDEX(PERSONAL!$C$2:$C$80,MATCH($B390,PERSONAL!$A$2:$A$80,0)),""))</f>
        <v/>
      </c>
      <c r="G390" s="52">
        <f>IF($A390="","",CHOOSE(WEEKDAY($A390,2),"LUNES","MARTES","MIÉRCOLES","JUEVES","VIERNES","SÁBADO","DOMINGO"))</f>
        <v/>
      </c>
      <c r="H390" s="34">
        <f>IF($A390="","",CHOOSE(MONTH($A390),"ENERO","FEBRERO","MARZO","ABRIL","MAYO","JUNIO","JULIO","AGOSTO","SEPTIEMBRE","OCTUBRE","NOVIEMBRE","DICIEMBRE"))</f>
        <v/>
      </c>
      <c r="I390" s="34">
        <f>IF($A390="","",IF(OR($G390="SÁBADO",$G390="DOMINGO"),"FIN","LV"))</f>
        <v/>
      </c>
      <c r="J390" s="34">
        <f>IF(OR($A390="",$B390=""),"",IF($L390&lt;&gt;"",UPPER($L390),IF($C390="","FALTA",IFERROR(IF($C390&gt;=$O390,"ROJO FUERTE",IF($C390&gt;=$N390,"ROJO",IF($C390&gt;=$M390,"AMARILLO","VERDE"))),"REVISAR"))))</f>
        <v/>
      </c>
      <c r="K390" s="36">
        <f>IF(OR($C390="",$D390=""),"",IF($D390&gt;=$C390,($D390-$C390)*24,(1-$C390+$D390)*24))</f>
        <v/>
      </c>
      <c r="L390" s="34" t="n"/>
      <c r="M390" s="53">
        <f t="array" ref="M390">IFERROR(INDEX(EXCEPCIONES_FECHA!$D$2:$D$201,MATCH(1,(EXCEPCIONES_FECHA!$A$2:$A$201=$A390)*(EXCEPCIONES_FECHA!$B$2:$B$201=$B390),0)),IFERROR(INDEX(EXCEPCIONES_FECHA!$D$2:$D$201,MATCH(1,(EXCEPCIONES_FECHA!$A$2:$A$201=$A390)*(EXCEPCIONES_FECHA!$B$2:$B$201=""),0)),IFERROR(INDEX(IF($I390="FIN",HISTORIAL_HORARIOS!$J$2:$J$201,HISTORIAL_HORARIOS!$F$2:$F$201),MATCH(1,(HISTORIAL_HORARIOS!$A$2:$A$201=$B390)*(HISTORIAL_HORARIOS!$C$2:$C$201&lt;=$A390)*(HISTORIAL_HORARIOS!$D$2:$D$201&gt;=$A390),0)),INDEX(IF($I390="FIN",PERSONAL!$J$2:$J$80,PERSONAL!$F$2:$F$80),MATCH($B390,PERSONAL!$A$2:$A$80,0)))))</f>
        <v/>
      </c>
      <c r="N390" s="53">
        <f t="array" ref="N390">IFERROR(INDEX(EXCEPCIONES_FECHA!$E$2:$E$201,MATCH(1,(EXCEPCIONES_FECHA!$A$2:$A$201=$A390)*(EXCEPCIONES_FECHA!$B$2:$B$201=$B390),0)),IFERROR(INDEX(EXCEPCIONES_FECHA!$E$2:$E$201,MATCH(1,(EXCEPCIONES_FECHA!$A$2:$A$201=$A390)*(EXCEPCIONES_FECHA!$B$2:$B$201=""),0)),IFERROR(INDEX(IF($I390="FIN",HISTORIAL_HORARIOS!$K$2:$K$201,HISTORIAL_HORARIOS!$G$2:$G$201),MATCH(1,(HISTORIAL_HORARIOS!$A$2:$A$201=$B390)*(HISTORIAL_HORARIOS!$C$2:$C$201&lt;=$A390)*(HISTORIAL_HORARIOS!$D$2:$D$201&gt;=$A390),0)),INDEX(IF($I390="FIN",PERSONAL!$K$2:$K$80,PERSONAL!$G$2:$G$80),MATCH($B390,PERSONAL!$A$2:$A$80,0)))))</f>
        <v/>
      </c>
      <c r="O390" s="53">
        <f t="array" ref="O390">IFERROR(INDEX(EXCEPCIONES_FECHA!$F$2:$F$201,MATCH(1,(EXCEPCIONES_FECHA!$A$2:$A$201=$A390)*(EXCEPCIONES_FECHA!$B$2:$B$201=$B390),0)),IFERROR(INDEX(EXCEPCIONES_FECHA!$F$2:$F$201,MATCH(1,(EXCEPCIONES_FECHA!$A$2:$A$201=$A390)*(EXCEPCIONES_FECHA!$B$2:$B$201=""),0)),IFERROR(INDEX(IF($I390="FIN",HISTORIAL_HORARIOS!$L$2:$L$201,HISTORIAL_HORARIOS!$H$2:$H$201),MATCH(1,(HISTORIAL_HORARIOS!$A$2:$A$201=$B390)*(HISTORIAL_HORARIOS!$C$2:$C$201&lt;=$A390)*(HISTORIAL_HORARIOS!$D$2:$D$201&gt;=$A390),0)),INDEX(IF($I390="FIN",PERSONAL!$L$2:$L$80,PERSONAL!$H$2:$H$80),MATCH($B390,PERSONAL!$A$2:$A$80,0)))))</f>
        <v/>
      </c>
    </row>
    <row r="391" ht="15" customHeight="1" s="58">
      <c r="A391" s="37" t="n"/>
      <c r="B391" s="38" t="n"/>
      <c r="C391" s="39" t="n"/>
      <c r="D391" s="39" t="n"/>
      <c r="E391" s="34">
        <f t="array" ref="E391">IF($B391="","",IFERROR(INDEX(PERSONAL!$B$2:$B$80,MATCH($B391,PERSONAL!$A$2:$A$80,0)),"NO EXISTE"))</f>
        <v/>
      </c>
      <c r="F391" s="52">
        <f t="array" ref="F391">IF($B391="","",IFERROR(INDEX(PERSONAL!$C$2:$C$80,MATCH($B391,PERSONAL!$A$2:$A$80,0)),""))</f>
        <v/>
      </c>
      <c r="G391" s="52">
        <f>IF($A391="","",CHOOSE(WEEKDAY($A391,2),"LUNES","MARTES","MIÉRCOLES","JUEVES","VIERNES","SÁBADO","DOMINGO"))</f>
        <v/>
      </c>
      <c r="H391" s="34">
        <f>IF($A391="","",CHOOSE(MONTH($A391),"ENERO","FEBRERO","MARZO","ABRIL","MAYO","JUNIO","JULIO","AGOSTO","SEPTIEMBRE","OCTUBRE","NOVIEMBRE","DICIEMBRE"))</f>
        <v/>
      </c>
      <c r="I391" s="34">
        <f>IF($A391="","",IF(OR($G391="SÁBADO",$G391="DOMINGO"),"FIN","LV"))</f>
        <v/>
      </c>
      <c r="J391" s="34">
        <f>IF(OR($A391="",$B391=""),"",IF($L391&lt;&gt;"",UPPER($L391),IF($C391="","FALTA",IFERROR(IF($C391&gt;=$O391,"ROJO FUERTE",IF($C391&gt;=$N391,"ROJO",IF($C391&gt;=$M391,"AMARILLO","VERDE"))),"REVISAR"))))</f>
        <v/>
      </c>
      <c r="K391" s="36">
        <f>IF(OR($C391="",$D391=""),"",IF($D391&gt;=$C391,($D391-$C391)*24,(1-$C391+$D391)*24))</f>
        <v/>
      </c>
      <c r="L391" s="34" t="n"/>
      <c r="M391" s="53">
        <f t="array" ref="M391">IFERROR(INDEX(EXCEPCIONES_FECHA!$D$2:$D$201,MATCH(1,(EXCEPCIONES_FECHA!$A$2:$A$201=$A391)*(EXCEPCIONES_FECHA!$B$2:$B$201=$B391),0)),IFERROR(INDEX(EXCEPCIONES_FECHA!$D$2:$D$201,MATCH(1,(EXCEPCIONES_FECHA!$A$2:$A$201=$A391)*(EXCEPCIONES_FECHA!$B$2:$B$201=""),0)),IFERROR(INDEX(IF($I391="FIN",HISTORIAL_HORARIOS!$J$2:$J$201,HISTORIAL_HORARIOS!$F$2:$F$201),MATCH(1,(HISTORIAL_HORARIOS!$A$2:$A$201=$B391)*(HISTORIAL_HORARIOS!$C$2:$C$201&lt;=$A391)*(HISTORIAL_HORARIOS!$D$2:$D$201&gt;=$A391),0)),INDEX(IF($I391="FIN",PERSONAL!$J$2:$J$80,PERSONAL!$F$2:$F$80),MATCH($B391,PERSONAL!$A$2:$A$80,0)))))</f>
        <v/>
      </c>
      <c r="N391" s="53">
        <f t="array" ref="N391">IFERROR(INDEX(EXCEPCIONES_FECHA!$E$2:$E$201,MATCH(1,(EXCEPCIONES_FECHA!$A$2:$A$201=$A391)*(EXCEPCIONES_FECHA!$B$2:$B$201=$B391),0)),IFERROR(INDEX(EXCEPCIONES_FECHA!$E$2:$E$201,MATCH(1,(EXCEPCIONES_FECHA!$A$2:$A$201=$A391)*(EXCEPCIONES_FECHA!$B$2:$B$201=""),0)),IFERROR(INDEX(IF($I391="FIN",HISTORIAL_HORARIOS!$K$2:$K$201,HISTORIAL_HORARIOS!$G$2:$G$201),MATCH(1,(HISTORIAL_HORARIOS!$A$2:$A$201=$B391)*(HISTORIAL_HORARIOS!$C$2:$C$201&lt;=$A391)*(HISTORIAL_HORARIOS!$D$2:$D$201&gt;=$A391),0)),INDEX(IF($I391="FIN",PERSONAL!$K$2:$K$80,PERSONAL!$G$2:$G$80),MATCH($B391,PERSONAL!$A$2:$A$80,0)))))</f>
        <v/>
      </c>
      <c r="O391" s="53">
        <f t="array" ref="O391">IFERROR(INDEX(EXCEPCIONES_FECHA!$F$2:$F$201,MATCH(1,(EXCEPCIONES_FECHA!$A$2:$A$201=$A391)*(EXCEPCIONES_FECHA!$B$2:$B$201=$B391),0)),IFERROR(INDEX(EXCEPCIONES_FECHA!$F$2:$F$201,MATCH(1,(EXCEPCIONES_FECHA!$A$2:$A$201=$A391)*(EXCEPCIONES_FECHA!$B$2:$B$201=""),0)),IFERROR(INDEX(IF($I391="FIN",HISTORIAL_HORARIOS!$L$2:$L$201,HISTORIAL_HORARIOS!$H$2:$H$201),MATCH(1,(HISTORIAL_HORARIOS!$A$2:$A$201=$B391)*(HISTORIAL_HORARIOS!$C$2:$C$201&lt;=$A391)*(HISTORIAL_HORARIOS!$D$2:$D$201&gt;=$A391),0)),INDEX(IF($I391="FIN",PERSONAL!$L$2:$L$80,PERSONAL!$H$2:$H$80),MATCH($B391,PERSONAL!$A$2:$A$80,0)))))</f>
        <v/>
      </c>
    </row>
    <row r="392" ht="15" customHeight="1" s="58">
      <c r="A392" s="37" t="n"/>
      <c r="B392" s="38" t="n"/>
      <c r="C392" s="39" t="n"/>
      <c r="D392" s="39" t="n"/>
      <c r="E392" s="34">
        <f t="array" ref="E392">IF($B392="","",IFERROR(INDEX(PERSONAL!$B$2:$B$80,MATCH($B392,PERSONAL!$A$2:$A$80,0)),"NO EXISTE"))</f>
        <v/>
      </c>
      <c r="F392" s="52">
        <f t="array" ref="F392">IF($B392="","",IFERROR(INDEX(PERSONAL!$C$2:$C$80,MATCH($B392,PERSONAL!$A$2:$A$80,0)),""))</f>
        <v/>
      </c>
      <c r="G392" s="52">
        <f>IF($A392="","",CHOOSE(WEEKDAY($A392,2),"LUNES","MARTES","MIÉRCOLES","JUEVES","VIERNES","SÁBADO","DOMINGO"))</f>
        <v/>
      </c>
      <c r="H392" s="34">
        <f>IF($A392="","",CHOOSE(MONTH($A392),"ENERO","FEBRERO","MARZO","ABRIL","MAYO","JUNIO","JULIO","AGOSTO","SEPTIEMBRE","OCTUBRE","NOVIEMBRE","DICIEMBRE"))</f>
        <v/>
      </c>
      <c r="I392" s="34">
        <f>IF($A392="","",IF(OR($G392="SÁBADO",$G392="DOMINGO"),"FIN","LV"))</f>
        <v/>
      </c>
      <c r="J392" s="34">
        <f>IF(OR($A392="",$B392=""),"",IF($L392&lt;&gt;"",UPPER($L392),IF($C392="","FALTA",IFERROR(IF($C392&gt;=$O392,"ROJO FUERTE",IF($C392&gt;=$N392,"ROJO",IF($C392&gt;=$M392,"AMARILLO","VERDE"))),"REVISAR"))))</f>
        <v/>
      </c>
      <c r="K392" s="36">
        <f>IF(OR($C392="",$D392=""),"",IF($D392&gt;=$C392,($D392-$C392)*24,(1-$C392+$D392)*24))</f>
        <v/>
      </c>
      <c r="L392" s="34" t="n"/>
      <c r="M392" s="53">
        <f t="array" ref="M392">IFERROR(INDEX(EXCEPCIONES_FECHA!$D$2:$D$201,MATCH(1,(EXCEPCIONES_FECHA!$A$2:$A$201=$A392)*(EXCEPCIONES_FECHA!$B$2:$B$201=$B392),0)),IFERROR(INDEX(EXCEPCIONES_FECHA!$D$2:$D$201,MATCH(1,(EXCEPCIONES_FECHA!$A$2:$A$201=$A392)*(EXCEPCIONES_FECHA!$B$2:$B$201=""),0)),IFERROR(INDEX(IF($I392="FIN",HISTORIAL_HORARIOS!$J$2:$J$201,HISTORIAL_HORARIOS!$F$2:$F$201),MATCH(1,(HISTORIAL_HORARIOS!$A$2:$A$201=$B392)*(HISTORIAL_HORARIOS!$C$2:$C$201&lt;=$A392)*(HISTORIAL_HORARIOS!$D$2:$D$201&gt;=$A392),0)),INDEX(IF($I392="FIN",PERSONAL!$J$2:$J$80,PERSONAL!$F$2:$F$80),MATCH($B392,PERSONAL!$A$2:$A$80,0)))))</f>
        <v/>
      </c>
      <c r="N392" s="53">
        <f t="array" ref="N392">IFERROR(INDEX(EXCEPCIONES_FECHA!$E$2:$E$201,MATCH(1,(EXCEPCIONES_FECHA!$A$2:$A$201=$A392)*(EXCEPCIONES_FECHA!$B$2:$B$201=$B392),0)),IFERROR(INDEX(EXCEPCIONES_FECHA!$E$2:$E$201,MATCH(1,(EXCEPCIONES_FECHA!$A$2:$A$201=$A392)*(EXCEPCIONES_FECHA!$B$2:$B$201=""),0)),IFERROR(INDEX(IF($I392="FIN",HISTORIAL_HORARIOS!$K$2:$K$201,HISTORIAL_HORARIOS!$G$2:$G$201),MATCH(1,(HISTORIAL_HORARIOS!$A$2:$A$201=$B392)*(HISTORIAL_HORARIOS!$C$2:$C$201&lt;=$A392)*(HISTORIAL_HORARIOS!$D$2:$D$201&gt;=$A392),0)),INDEX(IF($I392="FIN",PERSONAL!$K$2:$K$80,PERSONAL!$G$2:$G$80),MATCH($B392,PERSONAL!$A$2:$A$80,0)))))</f>
        <v/>
      </c>
      <c r="O392" s="53">
        <f t="array" ref="O392">IFERROR(INDEX(EXCEPCIONES_FECHA!$F$2:$F$201,MATCH(1,(EXCEPCIONES_FECHA!$A$2:$A$201=$A392)*(EXCEPCIONES_FECHA!$B$2:$B$201=$B392),0)),IFERROR(INDEX(EXCEPCIONES_FECHA!$F$2:$F$201,MATCH(1,(EXCEPCIONES_FECHA!$A$2:$A$201=$A392)*(EXCEPCIONES_FECHA!$B$2:$B$201=""),0)),IFERROR(INDEX(IF($I392="FIN",HISTORIAL_HORARIOS!$L$2:$L$201,HISTORIAL_HORARIOS!$H$2:$H$201),MATCH(1,(HISTORIAL_HORARIOS!$A$2:$A$201=$B392)*(HISTORIAL_HORARIOS!$C$2:$C$201&lt;=$A392)*(HISTORIAL_HORARIOS!$D$2:$D$201&gt;=$A392),0)),INDEX(IF($I392="FIN",PERSONAL!$L$2:$L$80,PERSONAL!$H$2:$H$80),MATCH($B392,PERSONAL!$A$2:$A$80,0)))))</f>
        <v/>
      </c>
    </row>
    <row r="393" ht="15" customHeight="1" s="58">
      <c r="A393" s="37" t="n"/>
      <c r="B393" s="38" t="n"/>
      <c r="C393" s="39" t="n"/>
      <c r="D393" s="39" t="n"/>
      <c r="E393" s="34">
        <f t="array" ref="E393">IF($B393="","",IFERROR(INDEX(PERSONAL!$B$2:$B$80,MATCH($B393,PERSONAL!$A$2:$A$80,0)),"NO EXISTE"))</f>
        <v/>
      </c>
      <c r="F393" s="52">
        <f t="array" ref="F393">IF($B393="","",IFERROR(INDEX(PERSONAL!$C$2:$C$80,MATCH($B393,PERSONAL!$A$2:$A$80,0)),""))</f>
        <v/>
      </c>
      <c r="G393" s="52">
        <f>IF($A393="","",CHOOSE(WEEKDAY($A393,2),"LUNES","MARTES","MIÉRCOLES","JUEVES","VIERNES","SÁBADO","DOMINGO"))</f>
        <v/>
      </c>
      <c r="H393" s="34">
        <f>IF($A393="","",CHOOSE(MONTH($A393),"ENERO","FEBRERO","MARZO","ABRIL","MAYO","JUNIO","JULIO","AGOSTO","SEPTIEMBRE","OCTUBRE","NOVIEMBRE","DICIEMBRE"))</f>
        <v/>
      </c>
      <c r="I393" s="34">
        <f>IF($A393="","",IF(OR($G393="SÁBADO",$G393="DOMINGO"),"FIN","LV"))</f>
        <v/>
      </c>
      <c r="J393" s="34">
        <f>IF(OR($A393="",$B393=""),"",IF($L393&lt;&gt;"",UPPER($L393),IF($C393="","FALTA",IFERROR(IF($C393&gt;=$O393,"ROJO FUERTE",IF($C393&gt;=$N393,"ROJO",IF($C393&gt;=$M393,"AMARILLO","VERDE"))),"REVISAR"))))</f>
        <v/>
      </c>
      <c r="K393" s="36">
        <f>IF(OR($C393="",$D393=""),"",IF($D393&gt;=$C393,($D393-$C393)*24,(1-$C393+$D393)*24))</f>
        <v/>
      </c>
      <c r="L393" s="34" t="n"/>
      <c r="M393" s="53">
        <f t="array" ref="M393">IFERROR(INDEX(EXCEPCIONES_FECHA!$D$2:$D$201,MATCH(1,(EXCEPCIONES_FECHA!$A$2:$A$201=$A393)*(EXCEPCIONES_FECHA!$B$2:$B$201=$B393),0)),IFERROR(INDEX(EXCEPCIONES_FECHA!$D$2:$D$201,MATCH(1,(EXCEPCIONES_FECHA!$A$2:$A$201=$A393)*(EXCEPCIONES_FECHA!$B$2:$B$201=""),0)),IFERROR(INDEX(IF($I393="FIN",HISTORIAL_HORARIOS!$J$2:$J$201,HISTORIAL_HORARIOS!$F$2:$F$201),MATCH(1,(HISTORIAL_HORARIOS!$A$2:$A$201=$B393)*(HISTORIAL_HORARIOS!$C$2:$C$201&lt;=$A393)*(HISTORIAL_HORARIOS!$D$2:$D$201&gt;=$A393),0)),INDEX(IF($I393="FIN",PERSONAL!$J$2:$J$80,PERSONAL!$F$2:$F$80),MATCH($B393,PERSONAL!$A$2:$A$80,0)))))</f>
        <v/>
      </c>
      <c r="N393" s="53">
        <f t="array" ref="N393">IFERROR(INDEX(EXCEPCIONES_FECHA!$E$2:$E$201,MATCH(1,(EXCEPCIONES_FECHA!$A$2:$A$201=$A393)*(EXCEPCIONES_FECHA!$B$2:$B$201=$B393),0)),IFERROR(INDEX(EXCEPCIONES_FECHA!$E$2:$E$201,MATCH(1,(EXCEPCIONES_FECHA!$A$2:$A$201=$A393)*(EXCEPCIONES_FECHA!$B$2:$B$201=""),0)),IFERROR(INDEX(IF($I393="FIN",HISTORIAL_HORARIOS!$K$2:$K$201,HISTORIAL_HORARIOS!$G$2:$G$201),MATCH(1,(HISTORIAL_HORARIOS!$A$2:$A$201=$B393)*(HISTORIAL_HORARIOS!$C$2:$C$201&lt;=$A393)*(HISTORIAL_HORARIOS!$D$2:$D$201&gt;=$A393),0)),INDEX(IF($I393="FIN",PERSONAL!$K$2:$K$80,PERSONAL!$G$2:$G$80),MATCH($B393,PERSONAL!$A$2:$A$80,0)))))</f>
        <v/>
      </c>
      <c r="O393" s="53">
        <f t="array" ref="O393">IFERROR(INDEX(EXCEPCIONES_FECHA!$F$2:$F$201,MATCH(1,(EXCEPCIONES_FECHA!$A$2:$A$201=$A393)*(EXCEPCIONES_FECHA!$B$2:$B$201=$B393),0)),IFERROR(INDEX(EXCEPCIONES_FECHA!$F$2:$F$201,MATCH(1,(EXCEPCIONES_FECHA!$A$2:$A$201=$A393)*(EXCEPCIONES_FECHA!$B$2:$B$201=""),0)),IFERROR(INDEX(IF($I393="FIN",HISTORIAL_HORARIOS!$L$2:$L$201,HISTORIAL_HORARIOS!$H$2:$H$201),MATCH(1,(HISTORIAL_HORARIOS!$A$2:$A$201=$B393)*(HISTORIAL_HORARIOS!$C$2:$C$201&lt;=$A393)*(HISTORIAL_HORARIOS!$D$2:$D$201&gt;=$A393),0)),INDEX(IF($I393="FIN",PERSONAL!$L$2:$L$80,PERSONAL!$H$2:$H$80),MATCH($B393,PERSONAL!$A$2:$A$80,0)))))</f>
        <v/>
      </c>
    </row>
    <row r="394" ht="15" customHeight="1" s="58">
      <c r="A394" s="37" t="n"/>
      <c r="B394" s="38" t="n"/>
      <c r="C394" s="39" t="n"/>
      <c r="D394" s="39" t="n"/>
      <c r="E394" s="34">
        <f t="array" ref="E394">IF($B394="","",IFERROR(INDEX(PERSONAL!$B$2:$B$80,MATCH($B394,PERSONAL!$A$2:$A$80,0)),"NO EXISTE"))</f>
        <v/>
      </c>
      <c r="F394" s="52">
        <f t="array" ref="F394">IF($B394="","",IFERROR(INDEX(PERSONAL!$C$2:$C$80,MATCH($B394,PERSONAL!$A$2:$A$80,0)),""))</f>
        <v/>
      </c>
      <c r="G394" s="52">
        <f>IF($A394="","",CHOOSE(WEEKDAY($A394,2),"LUNES","MARTES","MIÉRCOLES","JUEVES","VIERNES","SÁBADO","DOMINGO"))</f>
        <v/>
      </c>
      <c r="H394" s="34">
        <f>IF($A394="","",CHOOSE(MONTH($A394),"ENERO","FEBRERO","MARZO","ABRIL","MAYO","JUNIO","JULIO","AGOSTO","SEPTIEMBRE","OCTUBRE","NOVIEMBRE","DICIEMBRE"))</f>
        <v/>
      </c>
      <c r="I394" s="34">
        <f>IF($A394="","",IF(OR($G394="SÁBADO",$G394="DOMINGO"),"FIN","LV"))</f>
        <v/>
      </c>
      <c r="J394" s="34">
        <f>IF(OR($A394="",$B394=""),"",IF($L394&lt;&gt;"",UPPER($L394),IF($C394="","FALTA",IFERROR(IF($C394&gt;=$O394,"ROJO FUERTE",IF($C394&gt;=$N394,"ROJO",IF($C394&gt;=$M394,"AMARILLO","VERDE"))),"REVISAR"))))</f>
        <v/>
      </c>
      <c r="K394" s="36">
        <f>IF(OR($C394="",$D394=""),"",IF($D394&gt;=$C394,($D394-$C394)*24,(1-$C394+$D394)*24))</f>
        <v/>
      </c>
      <c r="L394" s="34" t="n"/>
      <c r="M394" s="53">
        <f t="array" ref="M394">IFERROR(INDEX(EXCEPCIONES_FECHA!$D$2:$D$201,MATCH(1,(EXCEPCIONES_FECHA!$A$2:$A$201=$A394)*(EXCEPCIONES_FECHA!$B$2:$B$201=$B394),0)),IFERROR(INDEX(EXCEPCIONES_FECHA!$D$2:$D$201,MATCH(1,(EXCEPCIONES_FECHA!$A$2:$A$201=$A394)*(EXCEPCIONES_FECHA!$B$2:$B$201=""),0)),IFERROR(INDEX(IF($I394="FIN",HISTORIAL_HORARIOS!$J$2:$J$201,HISTORIAL_HORARIOS!$F$2:$F$201),MATCH(1,(HISTORIAL_HORARIOS!$A$2:$A$201=$B394)*(HISTORIAL_HORARIOS!$C$2:$C$201&lt;=$A394)*(HISTORIAL_HORARIOS!$D$2:$D$201&gt;=$A394),0)),INDEX(IF($I394="FIN",PERSONAL!$J$2:$J$80,PERSONAL!$F$2:$F$80),MATCH($B394,PERSONAL!$A$2:$A$80,0)))))</f>
        <v/>
      </c>
      <c r="N394" s="53">
        <f t="array" ref="N394">IFERROR(INDEX(EXCEPCIONES_FECHA!$E$2:$E$201,MATCH(1,(EXCEPCIONES_FECHA!$A$2:$A$201=$A394)*(EXCEPCIONES_FECHA!$B$2:$B$201=$B394),0)),IFERROR(INDEX(EXCEPCIONES_FECHA!$E$2:$E$201,MATCH(1,(EXCEPCIONES_FECHA!$A$2:$A$201=$A394)*(EXCEPCIONES_FECHA!$B$2:$B$201=""),0)),IFERROR(INDEX(IF($I394="FIN",HISTORIAL_HORARIOS!$K$2:$K$201,HISTORIAL_HORARIOS!$G$2:$G$201),MATCH(1,(HISTORIAL_HORARIOS!$A$2:$A$201=$B394)*(HISTORIAL_HORARIOS!$C$2:$C$201&lt;=$A394)*(HISTORIAL_HORARIOS!$D$2:$D$201&gt;=$A394),0)),INDEX(IF($I394="FIN",PERSONAL!$K$2:$K$80,PERSONAL!$G$2:$G$80),MATCH($B394,PERSONAL!$A$2:$A$80,0)))))</f>
        <v/>
      </c>
      <c r="O394" s="53">
        <f t="array" ref="O394">IFERROR(INDEX(EXCEPCIONES_FECHA!$F$2:$F$201,MATCH(1,(EXCEPCIONES_FECHA!$A$2:$A$201=$A394)*(EXCEPCIONES_FECHA!$B$2:$B$201=$B394),0)),IFERROR(INDEX(EXCEPCIONES_FECHA!$F$2:$F$201,MATCH(1,(EXCEPCIONES_FECHA!$A$2:$A$201=$A394)*(EXCEPCIONES_FECHA!$B$2:$B$201=""),0)),IFERROR(INDEX(IF($I394="FIN",HISTORIAL_HORARIOS!$L$2:$L$201,HISTORIAL_HORARIOS!$H$2:$H$201),MATCH(1,(HISTORIAL_HORARIOS!$A$2:$A$201=$B394)*(HISTORIAL_HORARIOS!$C$2:$C$201&lt;=$A394)*(HISTORIAL_HORARIOS!$D$2:$D$201&gt;=$A394),0)),INDEX(IF($I394="FIN",PERSONAL!$L$2:$L$80,PERSONAL!$H$2:$H$80),MATCH($B394,PERSONAL!$A$2:$A$80,0)))))</f>
        <v/>
      </c>
    </row>
    <row r="395" ht="15" customHeight="1" s="58">
      <c r="A395" s="37" t="n"/>
      <c r="B395" s="38" t="n"/>
      <c r="C395" s="39" t="n"/>
      <c r="D395" s="39" t="n"/>
      <c r="E395" s="34">
        <f t="array" ref="E395">IF($B395="","",IFERROR(INDEX(PERSONAL!$B$2:$B$80,MATCH($B395,PERSONAL!$A$2:$A$80,0)),"NO EXISTE"))</f>
        <v/>
      </c>
      <c r="F395" s="52">
        <f t="array" ref="F395">IF($B395="","",IFERROR(INDEX(PERSONAL!$C$2:$C$80,MATCH($B395,PERSONAL!$A$2:$A$80,0)),""))</f>
        <v/>
      </c>
      <c r="G395" s="52">
        <f>IF($A395="","",CHOOSE(WEEKDAY($A395,2),"LUNES","MARTES","MIÉRCOLES","JUEVES","VIERNES","SÁBADO","DOMINGO"))</f>
        <v/>
      </c>
      <c r="H395" s="34">
        <f>IF($A395="","",CHOOSE(MONTH($A395),"ENERO","FEBRERO","MARZO","ABRIL","MAYO","JUNIO","JULIO","AGOSTO","SEPTIEMBRE","OCTUBRE","NOVIEMBRE","DICIEMBRE"))</f>
        <v/>
      </c>
      <c r="I395" s="34">
        <f>IF($A395="","",IF(OR($G395="SÁBADO",$G395="DOMINGO"),"FIN","LV"))</f>
        <v/>
      </c>
      <c r="J395" s="34">
        <f>IF(OR($A395="",$B395=""),"",IF($L395&lt;&gt;"",UPPER($L395),IF($C395="","FALTA",IFERROR(IF($C395&gt;=$O395,"ROJO FUERTE",IF($C395&gt;=$N395,"ROJO",IF($C395&gt;=$M395,"AMARILLO","VERDE"))),"REVISAR"))))</f>
        <v/>
      </c>
      <c r="K395" s="36">
        <f>IF(OR($C395="",$D395=""),"",IF($D395&gt;=$C395,($D395-$C395)*24,(1-$C395+$D395)*24))</f>
        <v/>
      </c>
      <c r="L395" s="34" t="n"/>
      <c r="M395" s="53">
        <f t="array" ref="M395">IFERROR(INDEX(EXCEPCIONES_FECHA!$D$2:$D$201,MATCH(1,(EXCEPCIONES_FECHA!$A$2:$A$201=$A395)*(EXCEPCIONES_FECHA!$B$2:$B$201=$B395),0)),IFERROR(INDEX(EXCEPCIONES_FECHA!$D$2:$D$201,MATCH(1,(EXCEPCIONES_FECHA!$A$2:$A$201=$A395)*(EXCEPCIONES_FECHA!$B$2:$B$201=""),0)),IFERROR(INDEX(IF($I395="FIN",HISTORIAL_HORARIOS!$J$2:$J$201,HISTORIAL_HORARIOS!$F$2:$F$201),MATCH(1,(HISTORIAL_HORARIOS!$A$2:$A$201=$B395)*(HISTORIAL_HORARIOS!$C$2:$C$201&lt;=$A395)*(HISTORIAL_HORARIOS!$D$2:$D$201&gt;=$A395),0)),INDEX(IF($I395="FIN",PERSONAL!$J$2:$J$80,PERSONAL!$F$2:$F$80),MATCH($B395,PERSONAL!$A$2:$A$80,0)))))</f>
        <v/>
      </c>
      <c r="N395" s="53">
        <f t="array" ref="N395">IFERROR(INDEX(EXCEPCIONES_FECHA!$E$2:$E$201,MATCH(1,(EXCEPCIONES_FECHA!$A$2:$A$201=$A395)*(EXCEPCIONES_FECHA!$B$2:$B$201=$B395),0)),IFERROR(INDEX(EXCEPCIONES_FECHA!$E$2:$E$201,MATCH(1,(EXCEPCIONES_FECHA!$A$2:$A$201=$A395)*(EXCEPCIONES_FECHA!$B$2:$B$201=""),0)),IFERROR(INDEX(IF($I395="FIN",HISTORIAL_HORARIOS!$K$2:$K$201,HISTORIAL_HORARIOS!$G$2:$G$201),MATCH(1,(HISTORIAL_HORARIOS!$A$2:$A$201=$B395)*(HISTORIAL_HORARIOS!$C$2:$C$201&lt;=$A395)*(HISTORIAL_HORARIOS!$D$2:$D$201&gt;=$A395),0)),INDEX(IF($I395="FIN",PERSONAL!$K$2:$K$80,PERSONAL!$G$2:$G$80),MATCH($B395,PERSONAL!$A$2:$A$80,0)))))</f>
        <v/>
      </c>
      <c r="O395" s="53">
        <f t="array" ref="O395">IFERROR(INDEX(EXCEPCIONES_FECHA!$F$2:$F$201,MATCH(1,(EXCEPCIONES_FECHA!$A$2:$A$201=$A395)*(EXCEPCIONES_FECHA!$B$2:$B$201=$B395),0)),IFERROR(INDEX(EXCEPCIONES_FECHA!$F$2:$F$201,MATCH(1,(EXCEPCIONES_FECHA!$A$2:$A$201=$A395)*(EXCEPCIONES_FECHA!$B$2:$B$201=""),0)),IFERROR(INDEX(IF($I395="FIN",HISTORIAL_HORARIOS!$L$2:$L$201,HISTORIAL_HORARIOS!$H$2:$H$201),MATCH(1,(HISTORIAL_HORARIOS!$A$2:$A$201=$B395)*(HISTORIAL_HORARIOS!$C$2:$C$201&lt;=$A395)*(HISTORIAL_HORARIOS!$D$2:$D$201&gt;=$A395),0)),INDEX(IF($I395="FIN",PERSONAL!$L$2:$L$80,PERSONAL!$H$2:$H$80),MATCH($B395,PERSONAL!$A$2:$A$80,0)))))</f>
        <v/>
      </c>
    </row>
    <row r="396" ht="15" customHeight="1" s="58">
      <c r="A396" s="37" t="n"/>
      <c r="B396" s="38" t="n"/>
      <c r="C396" s="39" t="n"/>
      <c r="D396" s="39" t="n"/>
      <c r="E396" s="34">
        <f t="array" ref="E396">IF($B396="","",IFERROR(INDEX(PERSONAL!$B$2:$B$80,MATCH($B396,PERSONAL!$A$2:$A$80,0)),"NO EXISTE"))</f>
        <v/>
      </c>
      <c r="F396" s="52">
        <f t="array" ref="F396">IF($B396="","",IFERROR(INDEX(PERSONAL!$C$2:$C$80,MATCH($B396,PERSONAL!$A$2:$A$80,0)),""))</f>
        <v/>
      </c>
      <c r="G396" s="52">
        <f>IF($A396="","",CHOOSE(WEEKDAY($A396,2),"LUNES","MARTES","MIÉRCOLES","JUEVES","VIERNES","SÁBADO","DOMINGO"))</f>
        <v/>
      </c>
      <c r="H396" s="34">
        <f>IF($A396="","",CHOOSE(MONTH($A396),"ENERO","FEBRERO","MARZO","ABRIL","MAYO","JUNIO","JULIO","AGOSTO","SEPTIEMBRE","OCTUBRE","NOVIEMBRE","DICIEMBRE"))</f>
        <v/>
      </c>
      <c r="I396" s="34">
        <f>IF($A396="","",IF(OR($G396="SÁBADO",$G396="DOMINGO"),"FIN","LV"))</f>
        <v/>
      </c>
      <c r="J396" s="34">
        <f>IF(OR($A396="",$B396=""),"",IF($L396&lt;&gt;"",UPPER($L396),IF($C396="","FALTA",IFERROR(IF($C396&gt;=$O396,"ROJO FUERTE",IF($C396&gt;=$N396,"ROJO",IF($C396&gt;=$M396,"AMARILLO","VERDE"))),"REVISAR"))))</f>
        <v/>
      </c>
      <c r="K396" s="36">
        <f>IF(OR($C396="",$D396=""),"",IF($D396&gt;=$C396,($D396-$C396)*24,(1-$C396+$D396)*24))</f>
        <v/>
      </c>
      <c r="L396" s="34" t="n"/>
      <c r="M396" s="53">
        <f t="array" ref="M396">IFERROR(INDEX(EXCEPCIONES_FECHA!$D$2:$D$201,MATCH(1,(EXCEPCIONES_FECHA!$A$2:$A$201=$A396)*(EXCEPCIONES_FECHA!$B$2:$B$201=$B396),0)),IFERROR(INDEX(EXCEPCIONES_FECHA!$D$2:$D$201,MATCH(1,(EXCEPCIONES_FECHA!$A$2:$A$201=$A396)*(EXCEPCIONES_FECHA!$B$2:$B$201=""),0)),IFERROR(INDEX(IF($I396="FIN",HISTORIAL_HORARIOS!$J$2:$J$201,HISTORIAL_HORARIOS!$F$2:$F$201),MATCH(1,(HISTORIAL_HORARIOS!$A$2:$A$201=$B396)*(HISTORIAL_HORARIOS!$C$2:$C$201&lt;=$A396)*(HISTORIAL_HORARIOS!$D$2:$D$201&gt;=$A396),0)),INDEX(IF($I396="FIN",PERSONAL!$J$2:$J$80,PERSONAL!$F$2:$F$80),MATCH($B396,PERSONAL!$A$2:$A$80,0)))))</f>
        <v/>
      </c>
      <c r="N396" s="53">
        <f t="array" ref="N396">IFERROR(INDEX(EXCEPCIONES_FECHA!$E$2:$E$201,MATCH(1,(EXCEPCIONES_FECHA!$A$2:$A$201=$A396)*(EXCEPCIONES_FECHA!$B$2:$B$201=$B396),0)),IFERROR(INDEX(EXCEPCIONES_FECHA!$E$2:$E$201,MATCH(1,(EXCEPCIONES_FECHA!$A$2:$A$201=$A396)*(EXCEPCIONES_FECHA!$B$2:$B$201=""),0)),IFERROR(INDEX(IF($I396="FIN",HISTORIAL_HORARIOS!$K$2:$K$201,HISTORIAL_HORARIOS!$G$2:$G$201),MATCH(1,(HISTORIAL_HORARIOS!$A$2:$A$201=$B396)*(HISTORIAL_HORARIOS!$C$2:$C$201&lt;=$A396)*(HISTORIAL_HORARIOS!$D$2:$D$201&gt;=$A396),0)),INDEX(IF($I396="FIN",PERSONAL!$K$2:$K$80,PERSONAL!$G$2:$G$80),MATCH($B396,PERSONAL!$A$2:$A$80,0)))))</f>
        <v/>
      </c>
      <c r="O396" s="53">
        <f t="array" ref="O396">IFERROR(INDEX(EXCEPCIONES_FECHA!$F$2:$F$201,MATCH(1,(EXCEPCIONES_FECHA!$A$2:$A$201=$A396)*(EXCEPCIONES_FECHA!$B$2:$B$201=$B396),0)),IFERROR(INDEX(EXCEPCIONES_FECHA!$F$2:$F$201,MATCH(1,(EXCEPCIONES_FECHA!$A$2:$A$201=$A396)*(EXCEPCIONES_FECHA!$B$2:$B$201=""),0)),IFERROR(INDEX(IF($I396="FIN",HISTORIAL_HORARIOS!$L$2:$L$201,HISTORIAL_HORARIOS!$H$2:$H$201),MATCH(1,(HISTORIAL_HORARIOS!$A$2:$A$201=$B396)*(HISTORIAL_HORARIOS!$C$2:$C$201&lt;=$A396)*(HISTORIAL_HORARIOS!$D$2:$D$201&gt;=$A396),0)),INDEX(IF($I396="FIN",PERSONAL!$L$2:$L$80,PERSONAL!$H$2:$H$80),MATCH($B396,PERSONAL!$A$2:$A$80,0)))))</f>
        <v/>
      </c>
    </row>
    <row r="397" ht="15" customHeight="1" s="58">
      <c r="A397" s="37" t="n"/>
      <c r="B397" s="38" t="n"/>
      <c r="C397" s="39" t="n"/>
      <c r="D397" s="39" t="n"/>
      <c r="E397" s="34">
        <f t="array" ref="E397">IF($B397="","",IFERROR(INDEX(PERSONAL!$B$2:$B$80,MATCH($B397,PERSONAL!$A$2:$A$80,0)),"NO EXISTE"))</f>
        <v/>
      </c>
      <c r="F397" s="52">
        <f t="array" ref="F397">IF($B397="","",IFERROR(INDEX(PERSONAL!$C$2:$C$80,MATCH($B397,PERSONAL!$A$2:$A$80,0)),""))</f>
        <v/>
      </c>
      <c r="G397" s="52">
        <f>IF($A397="","",CHOOSE(WEEKDAY($A397,2),"LUNES","MARTES","MIÉRCOLES","JUEVES","VIERNES","SÁBADO","DOMINGO"))</f>
        <v/>
      </c>
      <c r="H397" s="34">
        <f>IF($A397="","",CHOOSE(MONTH($A397),"ENERO","FEBRERO","MARZO","ABRIL","MAYO","JUNIO","JULIO","AGOSTO","SEPTIEMBRE","OCTUBRE","NOVIEMBRE","DICIEMBRE"))</f>
        <v/>
      </c>
      <c r="I397" s="34">
        <f>IF($A397="","",IF(OR($G397="SÁBADO",$G397="DOMINGO"),"FIN","LV"))</f>
        <v/>
      </c>
      <c r="J397" s="34">
        <f>IF(OR($A397="",$B397=""),"",IF($L397&lt;&gt;"",UPPER($L397),IF($C397="","FALTA",IFERROR(IF($C397&gt;=$O397,"ROJO FUERTE",IF($C397&gt;=$N397,"ROJO",IF($C397&gt;=$M397,"AMARILLO","VERDE"))),"REVISAR"))))</f>
        <v/>
      </c>
      <c r="K397" s="36">
        <f>IF(OR($C397="",$D397=""),"",IF($D397&gt;=$C397,($D397-$C397)*24,(1-$C397+$D397)*24))</f>
        <v/>
      </c>
      <c r="L397" s="34" t="n"/>
      <c r="M397" s="53">
        <f t="array" ref="M397">IFERROR(INDEX(EXCEPCIONES_FECHA!$D$2:$D$201,MATCH(1,(EXCEPCIONES_FECHA!$A$2:$A$201=$A397)*(EXCEPCIONES_FECHA!$B$2:$B$201=$B397),0)),IFERROR(INDEX(EXCEPCIONES_FECHA!$D$2:$D$201,MATCH(1,(EXCEPCIONES_FECHA!$A$2:$A$201=$A397)*(EXCEPCIONES_FECHA!$B$2:$B$201=""),0)),IFERROR(INDEX(IF($I397="FIN",HISTORIAL_HORARIOS!$J$2:$J$201,HISTORIAL_HORARIOS!$F$2:$F$201),MATCH(1,(HISTORIAL_HORARIOS!$A$2:$A$201=$B397)*(HISTORIAL_HORARIOS!$C$2:$C$201&lt;=$A397)*(HISTORIAL_HORARIOS!$D$2:$D$201&gt;=$A397),0)),INDEX(IF($I397="FIN",PERSONAL!$J$2:$J$80,PERSONAL!$F$2:$F$80),MATCH($B397,PERSONAL!$A$2:$A$80,0)))))</f>
        <v/>
      </c>
      <c r="N397" s="53">
        <f t="array" ref="N397">IFERROR(INDEX(EXCEPCIONES_FECHA!$E$2:$E$201,MATCH(1,(EXCEPCIONES_FECHA!$A$2:$A$201=$A397)*(EXCEPCIONES_FECHA!$B$2:$B$201=$B397),0)),IFERROR(INDEX(EXCEPCIONES_FECHA!$E$2:$E$201,MATCH(1,(EXCEPCIONES_FECHA!$A$2:$A$201=$A397)*(EXCEPCIONES_FECHA!$B$2:$B$201=""),0)),IFERROR(INDEX(IF($I397="FIN",HISTORIAL_HORARIOS!$K$2:$K$201,HISTORIAL_HORARIOS!$G$2:$G$201),MATCH(1,(HISTORIAL_HORARIOS!$A$2:$A$201=$B397)*(HISTORIAL_HORARIOS!$C$2:$C$201&lt;=$A397)*(HISTORIAL_HORARIOS!$D$2:$D$201&gt;=$A397),0)),INDEX(IF($I397="FIN",PERSONAL!$K$2:$K$80,PERSONAL!$G$2:$G$80),MATCH($B397,PERSONAL!$A$2:$A$80,0)))))</f>
        <v/>
      </c>
      <c r="O397" s="53">
        <f t="array" ref="O397">IFERROR(INDEX(EXCEPCIONES_FECHA!$F$2:$F$201,MATCH(1,(EXCEPCIONES_FECHA!$A$2:$A$201=$A397)*(EXCEPCIONES_FECHA!$B$2:$B$201=$B397),0)),IFERROR(INDEX(EXCEPCIONES_FECHA!$F$2:$F$201,MATCH(1,(EXCEPCIONES_FECHA!$A$2:$A$201=$A397)*(EXCEPCIONES_FECHA!$B$2:$B$201=""),0)),IFERROR(INDEX(IF($I397="FIN",HISTORIAL_HORARIOS!$L$2:$L$201,HISTORIAL_HORARIOS!$H$2:$H$201),MATCH(1,(HISTORIAL_HORARIOS!$A$2:$A$201=$B397)*(HISTORIAL_HORARIOS!$C$2:$C$201&lt;=$A397)*(HISTORIAL_HORARIOS!$D$2:$D$201&gt;=$A397),0)),INDEX(IF($I397="FIN",PERSONAL!$L$2:$L$80,PERSONAL!$H$2:$H$80),MATCH($B397,PERSONAL!$A$2:$A$80,0)))))</f>
        <v/>
      </c>
    </row>
    <row r="398" ht="15" customHeight="1" s="58">
      <c r="A398" s="37" t="n"/>
      <c r="B398" s="38" t="n"/>
      <c r="C398" s="39" t="n"/>
      <c r="D398" s="39" t="n"/>
      <c r="E398" s="34">
        <f t="array" ref="E398">IF($B398="","",IFERROR(INDEX(PERSONAL!$B$2:$B$80,MATCH($B398,PERSONAL!$A$2:$A$80,0)),"NO EXISTE"))</f>
        <v/>
      </c>
      <c r="F398" s="52">
        <f t="array" ref="F398">IF($B398="","",IFERROR(INDEX(PERSONAL!$C$2:$C$80,MATCH($B398,PERSONAL!$A$2:$A$80,0)),""))</f>
        <v/>
      </c>
      <c r="G398" s="52">
        <f>IF($A398="","",CHOOSE(WEEKDAY($A398,2),"LUNES","MARTES","MIÉRCOLES","JUEVES","VIERNES","SÁBADO","DOMINGO"))</f>
        <v/>
      </c>
      <c r="H398" s="34">
        <f>IF($A398="","",CHOOSE(MONTH($A398),"ENERO","FEBRERO","MARZO","ABRIL","MAYO","JUNIO","JULIO","AGOSTO","SEPTIEMBRE","OCTUBRE","NOVIEMBRE","DICIEMBRE"))</f>
        <v/>
      </c>
      <c r="I398" s="34">
        <f>IF($A398="","",IF(OR($G398="SÁBADO",$G398="DOMINGO"),"FIN","LV"))</f>
        <v/>
      </c>
      <c r="J398" s="34">
        <f>IF(OR($A398="",$B398=""),"",IF($L398&lt;&gt;"",UPPER($L398),IF($C398="","FALTA",IFERROR(IF($C398&gt;=$O398,"ROJO FUERTE",IF($C398&gt;=$N398,"ROJO",IF($C398&gt;=$M398,"AMARILLO","VERDE"))),"REVISAR"))))</f>
        <v/>
      </c>
      <c r="K398" s="36">
        <f>IF(OR($C398="",$D398=""),"",IF($D398&gt;=$C398,($D398-$C398)*24,(1-$C398+$D398)*24))</f>
        <v/>
      </c>
      <c r="L398" s="34" t="n"/>
      <c r="M398" s="53">
        <f t="array" ref="M398">IFERROR(INDEX(EXCEPCIONES_FECHA!$D$2:$D$201,MATCH(1,(EXCEPCIONES_FECHA!$A$2:$A$201=$A398)*(EXCEPCIONES_FECHA!$B$2:$B$201=$B398),0)),IFERROR(INDEX(EXCEPCIONES_FECHA!$D$2:$D$201,MATCH(1,(EXCEPCIONES_FECHA!$A$2:$A$201=$A398)*(EXCEPCIONES_FECHA!$B$2:$B$201=""),0)),IFERROR(INDEX(IF($I398="FIN",HISTORIAL_HORARIOS!$J$2:$J$201,HISTORIAL_HORARIOS!$F$2:$F$201),MATCH(1,(HISTORIAL_HORARIOS!$A$2:$A$201=$B398)*(HISTORIAL_HORARIOS!$C$2:$C$201&lt;=$A398)*(HISTORIAL_HORARIOS!$D$2:$D$201&gt;=$A398),0)),INDEX(IF($I398="FIN",PERSONAL!$J$2:$J$80,PERSONAL!$F$2:$F$80),MATCH($B398,PERSONAL!$A$2:$A$80,0)))))</f>
        <v/>
      </c>
      <c r="N398" s="53">
        <f t="array" ref="N398">IFERROR(INDEX(EXCEPCIONES_FECHA!$E$2:$E$201,MATCH(1,(EXCEPCIONES_FECHA!$A$2:$A$201=$A398)*(EXCEPCIONES_FECHA!$B$2:$B$201=$B398),0)),IFERROR(INDEX(EXCEPCIONES_FECHA!$E$2:$E$201,MATCH(1,(EXCEPCIONES_FECHA!$A$2:$A$201=$A398)*(EXCEPCIONES_FECHA!$B$2:$B$201=""),0)),IFERROR(INDEX(IF($I398="FIN",HISTORIAL_HORARIOS!$K$2:$K$201,HISTORIAL_HORARIOS!$G$2:$G$201),MATCH(1,(HISTORIAL_HORARIOS!$A$2:$A$201=$B398)*(HISTORIAL_HORARIOS!$C$2:$C$201&lt;=$A398)*(HISTORIAL_HORARIOS!$D$2:$D$201&gt;=$A398),0)),INDEX(IF($I398="FIN",PERSONAL!$K$2:$K$80,PERSONAL!$G$2:$G$80),MATCH($B398,PERSONAL!$A$2:$A$80,0)))))</f>
        <v/>
      </c>
      <c r="O398" s="53">
        <f t="array" ref="O398">IFERROR(INDEX(EXCEPCIONES_FECHA!$F$2:$F$201,MATCH(1,(EXCEPCIONES_FECHA!$A$2:$A$201=$A398)*(EXCEPCIONES_FECHA!$B$2:$B$201=$B398),0)),IFERROR(INDEX(EXCEPCIONES_FECHA!$F$2:$F$201,MATCH(1,(EXCEPCIONES_FECHA!$A$2:$A$201=$A398)*(EXCEPCIONES_FECHA!$B$2:$B$201=""),0)),IFERROR(INDEX(IF($I398="FIN",HISTORIAL_HORARIOS!$L$2:$L$201,HISTORIAL_HORARIOS!$H$2:$H$201),MATCH(1,(HISTORIAL_HORARIOS!$A$2:$A$201=$B398)*(HISTORIAL_HORARIOS!$C$2:$C$201&lt;=$A398)*(HISTORIAL_HORARIOS!$D$2:$D$201&gt;=$A398),0)),INDEX(IF($I398="FIN",PERSONAL!$L$2:$L$80,PERSONAL!$H$2:$H$80),MATCH($B398,PERSONAL!$A$2:$A$80,0)))))</f>
        <v/>
      </c>
    </row>
    <row r="399" ht="15" customHeight="1" s="58">
      <c r="A399" s="37" t="n"/>
      <c r="B399" s="38" t="n"/>
      <c r="C399" s="39" t="n"/>
      <c r="D399" s="39" t="n"/>
      <c r="E399" s="34">
        <f t="array" ref="E399">IF($B399="","",IFERROR(INDEX(PERSONAL!$B$2:$B$80,MATCH($B399,PERSONAL!$A$2:$A$80,0)),"NO EXISTE"))</f>
        <v/>
      </c>
      <c r="F399" s="52">
        <f t="array" ref="F399">IF($B399="","",IFERROR(INDEX(PERSONAL!$C$2:$C$80,MATCH($B399,PERSONAL!$A$2:$A$80,0)),""))</f>
        <v/>
      </c>
      <c r="G399" s="52">
        <f>IF($A399="","",CHOOSE(WEEKDAY($A399,2),"LUNES","MARTES","MIÉRCOLES","JUEVES","VIERNES","SÁBADO","DOMINGO"))</f>
        <v/>
      </c>
      <c r="H399" s="34">
        <f>IF($A399="","",CHOOSE(MONTH($A399),"ENERO","FEBRERO","MARZO","ABRIL","MAYO","JUNIO","JULIO","AGOSTO","SEPTIEMBRE","OCTUBRE","NOVIEMBRE","DICIEMBRE"))</f>
        <v/>
      </c>
      <c r="I399" s="34">
        <f>IF($A399="","",IF(OR($G399="SÁBADO",$G399="DOMINGO"),"FIN","LV"))</f>
        <v/>
      </c>
      <c r="J399" s="34">
        <f>IF(OR($A399="",$B399=""),"",IF($L399&lt;&gt;"",UPPER($L399),IF($C399="","FALTA",IFERROR(IF($C399&gt;=$O399,"ROJO FUERTE",IF($C399&gt;=$N399,"ROJO",IF($C399&gt;=$M399,"AMARILLO","VERDE"))),"REVISAR"))))</f>
        <v/>
      </c>
      <c r="K399" s="36">
        <f>IF(OR($C399="",$D399=""),"",IF($D399&gt;=$C399,($D399-$C399)*24,(1-$C399+$D399)*24))</f>
        <v/>
      </c>
      <c r="L399" s="34" t="n"/>
      <c r="M399" s="53">
        <f t="array" ref="M399">IFERROR(INDEX(EXCEPCIONES_FECHA!$D$2:$D$201,MATCH(1,(EXCEPCIONES_FECHA!$A$2:$A$201=$A399)*(EXCEPCIONES_FECHA!$B$2:$B$201=$B399),0)),IFERROR(INDEX(EXCEPCIONES_FECHA!$D$2:$D$201,MATCH(1,(EXCEPCIONES_FECHA!$A$2:$A$201=$A399)*(EXCEPCIONES_FECHA!$B$2:$B$201=""),0)),IFERROR(INDEX(IF($I399="FIN",HISTORIAL_HORARIOS!$J$2:$J$201,HISTORIAL_HORARIOS!$F$2:$F$201),MATCH(1,(HISTORIAL_HORARIOS!$A$2:$A$201=$B399)*(HISTORIAL_HORARIOS!$C$2:$C$201&lt;=$A399)*(HISTORIAL_HORARIOS!$D$2:$D$201&gt;=$A399),0)),INDEX(IF($I399="FIN",PERSONAL!$J$2:$J$80,PERSONAL!$F$2:$F$80),MATCH($B399,PERSONAL!$A$2:$A$80,0)))))</f>
        <v/>
      </c>
      <c r="N399" s="53">
        <f t="array" ref="N399">IFERROR(INDEX(EXCEPCIONES_FECHA!$E$2:$E$201,MATCH(1,(EXCEPCIONES_FECHA!$A$2:$A$201=$A399)*(EXCEPCIONES_FECHA!$B$2:$B$201=$B399),0)),IFERROR(INDEX(EXCEPCIONES_FECHA!$E$2:$E$201,MATCH(1,(EXCEPCIONES_FECHA!$A$2:$A$201=$A399)*(EXCEPCIONES_FECHA!$B$2:$B$201=""),0)),IFERROR(INDEX(IF($I399="FIN",HISTORIAL_HORARIOS!$K$2:$K$201,HISTORIAL_HORARIOS!$G$2:$G$201),MATCH(1,(HISTORIAL_HORARIOS!$A$2:$A$201=$B399)*(HISTORIAL_HORARIOS!$C$2:$C$201&lt;=$A399)*(HISTORIAL_HORARIOS!$D$2:$D$201&gt;=$A399),0)),INDEX(IF($I399="FIN",PERSONAL!$K$2:$K$80,PERSONAL!$G$2:$G$80),MATCH($B399,PERSONAL!$A$2:$A$80,0)))))</f>
        <v/>
      </c>
      <c r="O399" s="53">
        <f t="array" ref="O399">IFERROR(INDEX(EXCEPCIONES_FECHA!$F$2:$F$201,MATCH(1,(EXCEPCIONES_FECHA!$A$2:$A$201=$A399)*(EXCEPCIONES_FECHA!$B$2:$B$201=$B399),0)),IFERROR(INDEX(EXCEPCIONES_FECHA!$F$2:$F$201,MATCH(1,(EXCEPCIONES_FECHA!$A$2:$A$201=$A399)*(EXCEPCIONES_FECHA!$B$2:$B$201=""),0)),IFERROR(INDEX(IF($I399="FIN",HISTORIAL_HORARIOS!$L$2:$L$201,HISTORIAL_HORARIOS!$H$2:$H$201),MATCH(1,(HISTORIAL_HORARIOS!$A$2:$A$201=$B399)*(HISTORIAL_HORARIOS!$C$2:$C$201&lt;=$A399)*(HISTORIAL_HORARIOS!$D$2:$D$201&gt;=$A399),0)),INDEX(IF($I399="FIN",PERSONAL!$L$2:$L$80,PERSONAL!$H$2:$H$80),MATCH($B399,PERSONAL!$A$2:$A$80,0)))))</f>
        <v/>
      </c>
    </row>
    <row r="400" ht="15" customHeight="1" s="58">
      <c r="A400" s="37" t="n"/>
      <c r="B400" s="38" t="n"/>
      <c r="C400" s="39" t="n"/>
      <c r="D400" s="39" t="n"/>
      <c r="E400" s="34">
        <f t="array" ref="E400">IF($B400="","",IFERROR(INDEX(PERSONAL!$B$2:$B$80,MATCH($B400,PERSONAL!$A$2:$A$80,0)),"NO EXISTE"))</f>
        <v/>
      </c>
      <c r="F400" s="52">
        <f t="array" ref="F400">IF($B400="","",IFERROR(INDEX(PERSONAL!$C$2:$C$80,MATCH($B400,PERSONAL!$A$2:$A$80,0)),""))</f>
        <v/>
      </c>
      <c r="G400" s="52">
        <f>IF($A400="","",CHOOSE(WEEKDAY($A400,2),"LUNES","MARTES","MIÉRCOLES","JUEVES","VIERNES","SÁBADO","DOMINGO"))</f>
        <v/>
      </c>
      <c r="H400" s="34">
        <f>IF($A400="","",CHOOSE(MONTH($A400),"ENERO","FEBRERO","MARZO","ABRIL","MAYO","JUNIO","JULIO","AGOSTO","SEPTIEMBRE","OCTUBRE","NOVIEMBRE","DICIEMBRE"))</f>
        <v/>
      </c>
      <c r="I400" s="34">
        <f>IF($A400="","",IF(OR($G400="SÁBADO",$G400="DOMINGO"),"FIN","LV"))</f>
        <v/>
      </c>
      <c r="J400" s="34">
        <f>IF(OR($A400="",$B400=""),"",IF($L400&lt;&gt;"",UPPER($L400),IF($C400="","FALTA",IFERROR(IF($C400&gt;=$O400,"ROJO FUERTE",IF($C400&gt;=$N400,"ROJO",IF($C400&gt;=$M400,"AMARILLO","VERDE"))),"REVISAR"))))</f>
        <v/>
      </c>
      <c r="K400" s="36">
        <f>IF(OR($C400="",$D400=""),"",IF($D400&gt;=$C400,($D400-$C400)*24,(1-$C400+$D400)*24))</f>
        <v/>
      </c>
      <c r="L400" s="34" t="n"/>
      <c r="M400" s="53">
        <f t="array" ref="M400">IFERROR(INDEX(EXCEPCIONES_FECHA!$D$2:$D$201,MATCH(1,(EXCEPCIONES_FECHA!$A$2:$A$201=$A400)*(EXCEPCIONES_FECHA!$B$2:$B$201=$B400),0)),IFERROR(INDEX(EXCEPCIONES_FECHA!$D$2:$D$201,MATCH(1,(EXCEPCIONES_FECHA!$A$2:$A$201=$A400)*(EXCEPCIONES_FECHA!$B$2:$B$201=""),0)),IFERROR(INDEX(IF($I400="FIN",HISTORIAL_HORARIOS!$J$2:$J$201,HISTORIAL_HORARIOS!$F$2:$F$201),MATCH(1,(HISTORIAL_HORARIOS!$A$2:$A$201=$B400)*(HISTORIAL_HORARIOS!$C$2:$C$201&lt;=$A400)*(HISTORIAL_HORARIOS!$D$2:$D$201&gt;=$A400),0)),INDEX(IF($I400="FIN",PERSONAL!$J$2:$J$80,PERSONAL!$F$2:$F$80),MATCH($B400,PERSONAL!$A$2:$A$80,0)))))</f>
        <v/>
      </c>
      <c r="N400" s="53">
        <f t="array" ref="N400">IFERROR(INDEX(EXCEPCIONES_FECHA!$E$2:$E$201,MATCH(1,(EXCEPCIONES_FECHA!$A$2:$A$201=$A400)*(EXCEPCIONES_FECHA!$B$2:$B$201=$B400),0)),IFERROR(INDEX(EXCEPCIONES_FECHA!$E$2:$E$201,MATCH(1,(EXCEPCIONES_FECHA!$A$2:$A$201=$A400)*(EXCEPCIONES_FECHA!$B$2:$B$201=""),0)),IFERROR(INDEX(IF($I400="FIN",HISTORIAL_HORARIOS!$K$2:$K$201,HISTORIAL_HORARIOS!$G$2:$G$201),MATCH(1,(HISTORIAL_HORARIOS!$A$2:$A$201=$B400)*(HISTORIAL_HORARIOS!$C$2:$C$201&lt;=$A400)*(HISTORIAL_HORARIOS!$D$2:$D$201&gt;=$A400),0)),INDEX(IF($I400="FIN",PERSONAL!$K$2:$K$80,PERSONAL!$G$2:$G$80),MATCH($B400,PERSONAL!$A$2:$A$80,0)))))</f>
        <v/>
      </c>
      <c r="O400" s="53">
        <f t="array" ref="O400">IFERROR(INDEX(EXCEPCIONES_FECHA!$F$2:$F$201,MATCH(1,(EXCEPCIONES_FECHA!$A$2:$A$201=$A400)*(EXCEPCIONES_FECHA!$B$2:$B$201=$B400),0)),IFERROR(INDEX(EXCEPCIONES_FECHA!$F$2:$F$201,MATCH(1,(EXCEPCIONES_FECHA!$A$2:$A$201=$A400)*(EXCEPCIONES_FECHA!$B$2:$B$201=""),0)),IFERROR(INDEX(IF($I400="FIN",HISTORIAL_HORARIOS!$L$2:$L$201,HISTORIAL_HORARIOS!$H$2:$H$201),MATCH(1,(HISTORIAL_HORARIOS!$A$2:$A$201=$B400)*(HISTORIAL_HORARIOS!$C$2:$C$201&lt;=$A400)*(HISTORIAL_HORARIOS!$D$2:$D$201&gt;=$A400),0)),INDEX(IF($I400="FIN",PERSONAL!$L$2:$L$80,PERSONAL!$H$2:$H$80),MATCH($B400,PERSONAL!$A$2:$A$80,0)))))</f>
        <v/>
      </c>
    </row>
    <row r="401" ht="15" customHeight="1" s="58">
      <c r="A401" s="37" t="n"/>
      <c r="B401" s="38" t="n"/>
      <c r="C401" s="39" t="n"/>
      <c r="D401" s="39" t="n"/>
      <c r="E401" s="34">
        <f t="array" ref="E401">IF($B401="","",IFERROR(INDEX(PERSONAL!$B$2:$B$80,MATCH($B401,PERSONAL!$A$2:$A$80,0)),"NO EXISTE"))</f>
        <v/>
      </c>
      <c r="F401" s="52">
        <f t="array" ref="F401">IF($B401="","",IFERROR(INDEX(PERSONAL!$C$2:$C$80,MATCH($B401,PERSONAL!$A$2:$A$80,0)),""))</f>
        <v/>
      </c>
      <c r="G401" s="52">
        <f>IF($A401="","",CHOOSE(WEEKDAY($A401,2),"LUNES","MARTES","MIÉRCOLES","JUEVES","VIERNES","SÁBADO","DOMINGO"))</f>
        <v/>
      </c>
      <c r="H401" s="34">
        <f>IF($A401="","",CHOOSE(MONTH($A401),"ENERO","FEBRERO","MARZO","ABRIL","MAYO","JUNIO","JULIO","AGOSTO","SEPTIEMBRE","OCTUBRE","NOVIEMBRE","DICIEMBRE"))</f>
        <v/>
      </c>
      <c r="I401" s="34">
        <f>IF($A401="","",IF(OR($G401="SÁBADO",$G401="DOMINGO"),"FIN","LV"))</f>
        <v/>
      </c>
      <c r="J401" s="34">
        <f>IF(OR($A401="",$B401=""),"",IF($L401&lt;&gt;"",UPPER($L401),IF($C401="","FALTA",IFERROR(IF($C401&gt;=$O401,"ROJO FUERTE",IF($C401&gt;=$N401,"ROJO",IF($C401&gt;=$M401,"AMARILLO","VERDE"))),"REVISAR"))))</f>
        <v/>
      </c>
      <c r="K401" s="36">
        <f>IF(OR($C401="",$D401=""),"",IF($D401&gt;=$C401,($D401-$C401)*24,(1-$C401+$D401)*24))</f>
        <v/>
      </c>
      <c r="L401" s="34" t="n"/>
      <c r="M401" s="53">
        <f t="array" ref="M401">IFERROR(INDEX(EXCEPCIONES_FECHA!$D$2:$D$201,MATCH(1,(EXCEPCIONES_FECHA!$A$2:$A$201=$A401)*(EXCEPCIONES_FECHA!$B$2:$B$201=$B401),0)),IFERROR(INDEX(EXCEPCIONES_FECHA!$D$2:$D$201,MATCH(1,(EXCEPCIONES_FECHA!$A$2:$A$201=$A401)*(EXCEPCIONES_FECHA!$B$2:$B$201=""),0)),IFERROR(INDEX(IF($I401="FIN",HISTORIAL_HORARIOS!$J$2:$J$201,HISTORIAL_HORARIOS!$F$2:$F$201),MATCH(1,(HISTORIAL_HORARIOS!$A$2:$A$201=$B401)*(HISTORIAL_HORARIOS!$C$2:$C$201&lt;=$A401)*(HISTORIAL_HORARIOS!$D$2:$D$201&gt;=$A401),0)),INDEX(IF($I401="FIN",PERSONAL!$J$2:$J$80,PERSONAL!$F$2:$F$80),MATCH($B401,PERSONAL!$A$2:$A$80,0)))))</f>
        <v/>
      </c>
      <c r="N401" s="53">
        <f t="array" ref="N401">IFERROR(INDEX(EXCEPCIONES_FECHA!$E$2:$E$201,MATCH(1,(EXCEPCIONES_FECHA!$A$2:$A$201=$A401)*(EXCEPCIONES_FECHA!$B$2:$B$201=$B401),0)),IFERROR(INDEX(EXCEPCIONES_FECHA!$E$2:$E$201,MATCH(1,(EXCEPCIONES_FECHA!$A$2:$A$201=$A401)*(EXCEPCIONES_FECHA!$B$2:$B$201=""),0)),IFERROR(INDEX(IF($I401="FIN",HISTORIAL_HORARIOS!$K$2:$K$201,HISTORIAL_HORARIOS!$G$2:$G$201),MATCH(1,(HISTORIAL_HORARIOS!$A$2:$A$201=$B401)*(HISTORIAL_HORARIOS!$C$2:$C$201&lt;=$A401)*(HISTORIAL_HORARIOS!$D$2:$D$201&gt;=$A401),0)),INDEX(IF($I401="FIN",PERSONAL!$K$2:$K$80,PERSONAL!$G$2:$G$80),MATCH($B401,PERSONAL!$A$2:$A$80,0)))))</f>
        <v/>
      </c>
      <c r="O401" s="53">
        <f t="array" ref="O401">IFERROR(INDEX(EXCEPCIONES_FECHA!$F$2:$F$201,MATCH(1,(EXCEPCIONES_FECHA!$A$2:$A$201=$A401)*(EXCEPCIONES_FECHA!$B$2:$B$201=$B401),0)),IFERROR(INDEX(EXCEPCIONES_FECHA!$F$2:$F$201,MATCH(1,(EXCEPCIONES_FECHA!$A$2:$A$201=$A401)*(EXCEPCIONES_FECHA!$B$2:$B$201=""),0)),IFERROR(INDEX(IF($I401="FIN",HISTORIAL_HORARIOS!$L$2:$L$201,HISTORIAL_HORARIOS!$H$2:$H$201),MATCH(1,(HISTORIAL_HORARIOS!$A$2:$A$201=$B401)*(HISTORIAL_HORARIOS!$C$2:$C$201&lt;=$A401)*(HISTORIAL_HORARIOS!$D$2:$D$201&gt;=$A401),0)),INDEX(IF($I401="FIN",PERSONAL!$L$2:$L$80,PERSONAL!$H$2:$H$80),MATCH($B401,PERSONAL!$A$2:$A$80,0)))))</f>
        <v/>
      </c>
    </row>
    <row r="402" ht="15" customHeight="1" s="58">
      <c r="A402" s="37" t="n"/>
      <c r="B402" s="38" t="n"/>
      <c r="C402" s="39" t="n"/>
      <c r="D402" s="39" t="n"/>
      <c r="E402" s="34">
        <f t="array" ref="E402">IF($B402="","",IFERROR(INDEX(PERSONAL!$B$2:$B$80,MATCH($B402,PERSONAL!$A$2:$A$80,0)),"NO EXISTE"))</f>
        <v/>
      </c>
      <c r="F402" s="52">
        <f t="array" ref="F402">IF($B402="","",IFERROR(INDEX(PERSONAL!$C$2:$C$80,MATCH($B402,PERSONAL!$A$2:$A$80,0)),""))</f>
        <v/>
      </c>
      <c r="G402" s="52">
        <f>IF($A402="","",CHOOSE(WEEKDAY($A402,2),"LUNES","MARTES","MIÉRCOLES","JUEVES","VIERNES","SÁBADO","DOMINGO"))</f>
        <v/>
      </c>
      <c r="H402" s="34">
        <f>IF($A402="","",CHOOSE(MONTH($A402),"ENERO","FEBRERO","MARZO","ABRIL","MAYO","JUNIO","JULIO","AGOSTO","SEPTIEMBRE","OCTUBRE","NOVIEMBRE","DICIEMBRE"))</f>
        <v/>
      </c>
      <c r="I402" s="34">
        <f>IF($A402="","",IF(OR($G402="SÁBADO",$G402="DOMINGO"),"FIN","LV"))</f>
        <v/>
      </c>
      <c r="J402" s="34">
        <f>IF(OR($A402="",$B402=""),"",IF($L402&lt;&gt;"",UPPER($L402),IF($C402="","FALTA",IFERROR(IF($C402&gt;=$O402,"ROJO FUERTE",IF($C402&gt;=$N402,"ROJO",IF($C402&gt;=$M402,"AMARILLO","VERDE"))),"REVISAR"))))</f>
        <v/>
      </c>
      <c r="K402" s="36">
        <f>IF(OR($C402="",$D402=""),"",IF($D402&gt;=$C402,($D402-$C402)*24,(1-$C402+$D402)*24))</f>
        <v/>
      </c>
      <c r="L402" s="34" t="n"/>
      <c r="M402" s="53">
        <f t="array" ref="M402">IFERROR(INDEX(EXCEPCIONES_FECHA!$D$2:$D$201,MATCH(1,(EXCEPCIONES_FECHA!$A$2:$A$201=$A402)*(EXCEPCIONES_FECHA!$B$2:$B$201=$B402),0)),IFERROR(INDEX(EXCEPCIONES_FECHA!$D$2:$D$201,MATCH(1,(EXCEPCIONES_FECHA!$A$2:$A$201=$A402)*(EXCEPCIONES_FECHA!$B$2:$B$201=""),0)),IFERROR(INDEX(IF($I402="FIN",HISTORIAL_HORARIOS!$J$2:$J$201,HISTORIAL_HORARIOS!$F$2:$F$201),MATCH(1,(HISTORIAL_HORARIOS!$A$2:$A$201=$B402)*(HISTORIAL_HORARIOS!$C$2:$C$201&lt;=$A402)*(HISTORIAL_HORARIOS!$D$2:$D$201&gt;=$A402),0)),INDEX(IF($I402="FIN",PERSONAL!$J$2:$J$80,PERSONAL!$F$2:$F$80),MATCH($B402,PERSONAL!$A$2:$A$80,0)))))</f>
        <v/>
      </c>
      <c r="N402" s="53">
        <f t="array" ref="N402">IFERROR(INDEX(EXCEPCIONES_FECHA!$E$2:$E$201,MATCH(1,(EXCEPCIONES_FECHA!$A$2:$A$201=$A402)*(EXCEPCIONES_FECHA!$B$2:$B$201=$B402),0)),IFERROR(INDEX(EXCEPCIONES_FECHA!$E$2:$E$201,MATCH(1,(EXCEPCIONES_FECHA!$A$2:$A$201=$A402)*(EXCEPCIONES_FECHA!$B$2:$B$201=""),0)),IFERROR(INDEX(IF($I402="FIN",HISTORIAL_HORARIOS!$K$2:$K$201,HISTORIAL_HORARIOS!$G$2:$G$201),MATCH(1,(HISTORIAL_HORARIOS!$A$2:$A$201=$B402)*(HISTORIAL_HORARIOS!$C$2:$C$201&lt;=$A402)*(HISTORIAL_HORARIOS!$D$2:$D$201&gt;=$A402),0)),INDEX(IF($I402="FIN",PERSONAL!$K$2:$K$80,PERSONAL!$G$2:$G$80),MATCH($B402,PERSONAL!$A$2:$A$80,0)))))</f>
        <v/>
      </c>
      <c r="O402" s="53">
        <f t="array" ref="O402">IFERROR(INDEX(EXCEPCIONES_FECHA!$F$2:$F$201,MATCH(1,(EXCEPCIONES_FECHA!$A$2:$A$201=$A402)*(EXCEPCIONES_FECHA!$B$2:$B$201=$B402),0)),IFERROR(INDEX(EXCEPCIONES_FECHA!$F$2:$F$201,MATCH(1,(EXCEPCIONES_FECHA!$A$2:$A$201=$A402)*(EXCEPCIONES_FECHA!$B$2:$B$201=""),0)),IFERROR(INDEX(IF($I402="FIN",HISTORIAL_HORARIOS!$L$2:$L$201,HISTORIAL_HORARIOS!$H$2:$H$201),MATCH(1,(HISTORIAL_HORARIOS!$A$2:$A$201=$B402)*(HISTORIAL_HORARIOS!$C$2:$C$201&lt;=$A402)*(HISTORIAL_HORARIOS!$D$2:$D$201&gt;=$A402),0)),INDEX(IF($I402="FIN",PERSONAL!$L$2:$L$80,PERSONAL!$H$2:$H$80),MATCH($B402,PERSONAL!$A$2:$A$80,0)))))</f>
        <v/>
      </c>
    </row>
    <row r="403" ht="15" customHeight="1" s="58">
      <c r="A403" s="37" t="n"/>
      <c r="B403" s="38" t="n"/>
      <c r="C403" s="39" t="n"/>
      <c r="D403" s="39" t="n"/>
      <c r="E403" s="34">
        <f t="array" ref="E403">IF($B403="","",IFERROR(INDEX(PERSONAL!$B$2:$B$80,MATCH($B403,PERSONAL!$A$2:$A$80,0)),"NO EXISTE"))</f>
        <v/>
      </c>
      <c r="F403" s="52">
        <f t="array" ref="F403">IF($B403="","",IFERROR(INDEX(PERSONAL!$C$2:$C$80,MATCH($B403,PERSONAL!$A$2:$A$80,0)),""))</f>
        <v/>
      </c>
      <c r="G403" s="52">
        <f>IF($A403="","",CHOOSE(WEEKDAY($A403,2),"LUNES","MARTES","MIÉRCOLES","JUEVES","VIERNES","SÁBADO","DOMINGO"))</f>
        <v/>
      </c>
      <c r="H403" s="34">
        <f>IF($A403="","",CHOOSE(MONTH($A403),"ENERO","FEBRERO","MARZO","ABRIL","MAYO","JUNIO","JULIO","AGOSTO","SEPTIEMBRE","OCTUBRE","NOVIEMBRE","DICIEMBRE"))</f>
        <v/>
      </c>
      <c r="I403" s="34">
        <f>IF($A403="","",IF(OR($G403="SÁBADO",$G403="DOMINGO"),"FIN","LV"))</f>
        <v/>
      </c>
      <c r="J403" s="34">
        <f>IF(OR($A403="",$B403=""),"",IF($L403&lt;&gt;"",UPPER($L403),IF($C403="","FALTA",IFERROR(IF($C403&gt;=$O403,"ROJO FUERTE",IF($C403&gt;=$N403,"ROJO",IF($C403&gt;=$M403,"AMARILLO","VERDE"))),"REVISAR"))))</f>
        <v/>
      </c>
      <c r="K403" s="36">
        <f>IF(OR($C403="",$D403=""),"",IF($D403&gt;=$C403,($D403-$C403)*24,(1-$C403+$D403)*24))</f>
        <v/>
      </c>
      <c r="L403" s="34" t="n"/>
      <c r="M403" s="53">
        <f t="array" ref="M403">IFERROR(INDEX(EXCEPCIONES_FECHA!$D$2:$D$201,MATCH(1,(EXCEPCIONES_FECHA!$A$2:$A$201=$A403)*(EXCEPCIONES_FECHA!$B$2:$B$201=$B403),0)),IFERROR(INDEX(EXCEPCIONES_FECHA!$D$2:$D$201,MATCH(1,(EXCEPCIONES_FECHA!$A$2:$A$201=$A403)*(EXCEPCIONES_FECHA!$B$2:$B$201=""),0)),IFERROR(INDEX(IF($I403="FIN",HISTORIAL_HORARIOS!$J$2:$J$201,HISTORIAL_HORARIOS!$F$2:$F$201),MATCH(1,(HISTORIAL_HORARIOS!$A$2:$A$201=$B403)*(HISTORIAL_HORARIOS!$C$2:$C$201&lt;=$A403)*(HISTORIAL_HORARIOS!$D$2:$D$201&gt;=$A403),0)),INDEX(IF($I403="FIN",PERSONAL!$J$2:$J$80,PERSONAL!$F$2:$F$80),MATCH($B403,PERSONAL!$A$2:$A$80,0)))))</f>
        <v/>
      </c>
      <c r="N403" s="53">
        <f t="array" ref="N403">IFERROR(INDEX(EXCEPCIONES_FECHA!$E$2:$E$201,MATCH(1,(EXCEPCIONES_FECHA!$A$2:$A$201=$A403)*(EXCEPCIONES_FECHA!$B$2:$B$201=$B403),0)),IFERROR(INDEX(EXCEPCIONES_FECHA!$E$2:$E$201,MATCH(1,(EXCEPCIONES_FECHA!$A$2:$A$201=$A403)*(EXCEPCIONES_FECHA!$B$2:$B$201=""),0)),IFERROR(INDEX(IF($I403="FIN",HISTORIAL_HORARIOS!$K$2:$K$201,HISTORIAL_HORARIOS!$G$2:$G$201),MATCH(1,(HISTORIAL_HORARIOS!$A$2:$A$201=$B403)*(HISTORIAL_HORARIOS!$C$2:$C$201&lt;=$A403)*(HISTORIAL_HORARIOS!$D$2:$D$201&gt;=$A403),0)),INDEX(IF($I403="FIN",PERSONAL!$K$2:$K$80,PERSONAL!$G$2:$G$80),MATCH($B403,PERSONAL!$A$2:$A$80,0)))))</f>
        <v/>
      </c>
      <c r="O403" s="53">
        <f t="array" ref="O403">IFERROR(INDEX(EXCEPCIONES_FECHA!$F$2:$F$201,MATCH(1,(EXCEPCIONES_FECHA!$A$2:$A$201=$A403)*(EXCEPCIONES_FECHA!$B$2:$B$201=$B403),0)),IFERROR(INDEX(EXCEPCIONES_FECHA!$F$2:$F$201,MATCH(1,(EXCEPCIONES_FECHA!$A$2:$A$201=$A403)*(EXCEPCIONES_FECHA!$B$2:$B$201=""),0)),IFERROR(INDEX(IF($I403="FIN",HISTORIAL_HORARIOS!$L$2:$L$201,HISTORIAL_HORARIOS!$H$2:$H$201),MATCH(1,(HISTORIAL_HORARIOS!$A$2:$A$201=$B403)*(HISTORIAL_HORARIOS!$C$2:$C$201&lt;=$A403)*(HISTORIAL_HORARIOS!$D$2:$D$201&gt;=$A403),0)),INDEX(IF($I403="FIN",PERSONAL!$L$2:$L$80,PERSONAL!$H$2:$H$80),MATCH($B403,PERSONAL!$A$2:$A$80,0)))))</f>
        <v/>
      </c>
    </row>
    <row r="404" ht="15" customHeight="1" s="58">
      <c r="A404" s="37" t="n"/>
      <c r="B404" s="38" t="n"/>
      <c r="C404" s="39" t="n"/>
      <c r="D404" s="39" t="n"/>
      <c r="E404" s="34">
        <f t="array" ref="E404">IF($B404="","",IFERROR(INDEX(PERSONAL!$B$2:$B$80,MATCH($B404,PERSONAL!$A$2:$A$80,0)),"NO EXISTE"))</f>
        <v/>
      </c>
      <c r="F404" s="52">
        <f t="array" ref="F404">IF($B404="","",IFERROR(INDEX(PERSONAL!$C$2:$C$80,MATCH($B404,PERSONAL!$A$2:$A$80,0)),""))</f>
        <v/>
      </c>
      <c r="G404" s="52">
        <f>IF($A404="","",CHOOSE(WEEKDAY($A404,2),"LUNES","MARTES","MIÉRCOLES","JUEVES","VIERNES","SÁBADO","DOMINGO"))</f>
        <v/>
      </c>
      <c r="H404" s="34">
        <f>IF($A404="","",CHOOSE(MONTH($A404),"ENERO","FEBRERO","MARZO","ABRIL","MAYO","JUNIO","JULIO","AGOSTO","SEPTIEMBRE","OCTUBRE","NOVIEMBRE","DICIEMBRE"))</f>
        <v/>
      </c>
      <c r="I404" s="34">
        <f>IF($A404="","",IF(OR($G404="SÁBADO",$G404="DOMINGO"),"FIN","LV"))</f>
        <v/>
      </c>
      <c r="J404" s="34">
        <f>IF(OR($A404="",$B404=""),"",IF($L404&lt;&gt;"",UPPER($L404),IF($C404="","FALTA",IFERROR(IF($C404&gt;=$O404,"ROJO FUERTE",IF($C404&gt;=$N404,"ROJO",IF($C404&gt;=$M404,"AMARILLO","VERDE"))),"REVISAR"))))</f>
        <v/>
      </c>
      <c r="K404" s="36">
        <f>IF(OR($C404="",$D404=""),"",IF($D404&gt;=$C404,($D404-$C404)*24,(1-$C404+$D404)*24))</f>
        <v/>
      </c>
      <c r="L404" s="34" t="n"/>
      <c r="M404" s="53">
        <f t="array" ref="M404">IFERROR(INDEX(EXCEPCIONES_FECHA!$D$2:$D$201,MATCH(1,(EXCEPCIONES_FECHA!$A$2:$A$201=$A404)*(EXCEPCIONES_FECHA!$B$2:$B$201=$B404),0)),IFERROR(INDEX(EXCEPCIONES_FECHA!$D$2:$D$201,MATCH(1,(EXCEPCIONES_FECHA!$A$2:$A$201=$A404)*(EXCEPCIONES_FECHA!$B$2:$B$201=""),0)),IFERROR(INDEX(IF($I404="FIN",HISTORIAL_HORARIOS!$J$2:$J$201,HISTORIAL_HORARIOS!$F$2:$F$201),MATCH(1,(HISTORIAL_HORARIOS!$A$2:$A$201=$B404)*(HISTORIAL_HORARIOS!$C$2:$C$201&lt;=$A404)*(HISTORIAL_HORARIOS!$D$2:$D$201&gt;=$A404),0)),INDEX(IF($I404="FIN",PERSONAL!$J$2:$J$80,PERSONAL!$F$2:$F$80),MATCH($B404,PERSONAL!$A$2:$A$80,0)))))</f>
        <v/>
      </c>
      <c r="N404" s="53">
        <f t="array" ref="N404">IFERROR(INDEX(EXCEPCIONES_FECHA!$E$2:$E$201,MATCH(1,(EXCEPCIONES_FECHA!$A$2:$A$201=$A404)*(EXCEPCIONES_FECHA!$B$2:$B$201=$B404),0)),IFERROR(INDEX(EXCEPCIONES_FECHA!$E$2:$E$201,MATCH(1,(EXCEPCIONES_FECHA!$A$2:$A$201=$A404)*(EXCEPCIONES_FECHA!$B$2:$B$201=""),0)),IFERROR(INDEX(IF($I404="FIN",HISTORIAL_HORARIOS!$K$2:$K$201,HISTORIAL_HORARIOS!$G$2:$G$201),MATCH(1,(HISTORIAL_HORARIOS!$A$2:$A$201=$B404)*(HISTORIAL_HORARIOS!$C$2:$C$201&lt;=$A404)*(HISTORIAL_HORARIOS!$D$2:$D$201&gt;=$A404),0)),INDEX(IF($I404="FIN",PERSONAL!$K$2:$K$80,PERSONAL!$G$2:$G$80),MATCH($B404,PERSONAL!$A$2:$A$80,0)))))</f>
        <v/>
      </c>
      <c r="O404" s="53">
        <f t="array" ref="O404">IFERROR(INDEX(EXCEPCIONES_FECHA!$F$2:$F$201,MATCH(1,(EXCEPCIONES_FECHA!$A$2:$A$201=$A404)*(EXCEPCIONES_FECHA!$B$2:$B$201=$B404),0)),IFERROR(INDEX(EXCEPCIONES_FECHA!$F$2:$F$201,MATCH(1,(EXCEPCIONES_FECHA!$A$2:$A$201=$A404)*(EXCEPCIONES_FECHA!$B$2:$B$201=""),0)),IFERROR(INDEX(IF($I404="FIN",HISTORIAL_HORARIOS!$L$2:$L$201,HISTORIAL_HORARIOS!$H$2:$H$201),MATCH(1,(HISTORIAL_HORARIOS!$A$2:$A$201=$B404)*(HISTORIAL_HORARIOS!$C$2:$C$201&lt;=$A404)*(HISTORIAL_HORARIOS!$D$2:$D$201&gt;=$A404),0)),INDEX(IF($I404="FIN",PERSONAL!$L$2:$L$80,PERSONAL!$H$2:$H$80),MATCH($B404,PERSONAL!$A$2:$A$80,0)))))</f>
        <v/>
      </c>
    </row>
    <row r="405" ht="15" customHeight="1" s="58">
      <c r="A405" s="37" t="n"/>
      <c r="B405" s="38" t="n"/>
      <c r="C405" s="39" t="n"/>
      <c r="D405" s="39" t="n"/>
      <c r="E405" s="34">
        <f t="array" ref="E405">IF($B405="","",IFERROR(INDEX(PERSONAL!$B$2:$B$80,MATCH($B405,PERSONAL!$A$2:$A$80,0)),"NO EXISTE"))</f>
        <v/>
      </c>
      <c r="F405" s="52">
        <f t="array" ref="F405">IF($B405="","",IFERROR(INDEX(PERSONAL!$C$2:$C$80,MATCH($B405,PERSONAL!$A$2:$A$80,0)),""))</f>
        <v/>
      </c>
      <c r="G405" s="52">
        <f>IF($A405="","",CHOOSE(WEEKDAY($A405,2),"LUNES","MARTES","MIÉRCOLES","JUEVES","VIERNES","SÁBADO","DOMINGO"))</f>
        <v/>
      </c>
      <c r="H405" s="34">
        <f>IF($A405="","",CHOOSE(MONTH($A405),"ENERO","FEBRERO","MARZO","ABRIL","MAYO","JUNIO","JULIO","AGOSTO","SEPTIEMBRE","OCTUBRE","NOVIEMBRE","DICIEMBRE"))</f>
        <v/>
      </c>
      <c r="I405" s="34">
        <f>IF($A405="","",IF(OR($G405="SÁBADO",$G405="DOMINGO"),"FIN","LV"))</f>
        <v/>
      </c>
      <c r="J405" s="34">
        <f>IF(OR($A405="",$B405=""),"",IF($L405&lt;&gt;"",UPPER($L405),IF($C405="","FALTA",IFERROR(IF($C405&gt;=$O405,"ROJO FUERTE",IF($C405&gt;=$N405,"ROJO",IF($C405&gt;=$M405,"AMARILLO","VERDE"))),"REVISAR"))))</f>
        <v/>
      </c>
      <c r="K405" s="36">
        <f>IF(OR($C405="",$D405=""),"",IF($D405&gt;=$C405,($D405-$C405)*24,(1-$C405+$D405)*24))</f>
        <v/>
      </c>
      <c r="L405" s="34" t="n"/>
      <c r="M405" s="53">
        <f t="array" ref="M405">IFERROR(INDEX(EXCEPCIONES_FECHA!$D$2:$D$201,MATCH(1,(EXCEPCIONES_FECHA!$A$2:$A$201=$A405)*(EXCEPCIONES_FECHA!$B$2:$B$201=$B405),0)),IFERROR(INDEX(EXCEPCIONES_FECHA!$D$2:$D$201,MATCH(1,(EXCEPCIONES_FECHA!$A$2:$A$201=$A405)*(EXCEPCIONES_FECHA!$B$2:$B$201=""),0)),IFERROR(INDEX(IF($I405="FIN",HISTORIAL_HORARIOS!$J$2:$J$201,HISTORIAL_HORARIOS!$F$2:$F$201),MATCH(1,(HISTORIAL_HORARIOS!$A$2:$A$201=$B405)*(HISTORIAL_HORARIOS!$C$2:$C$201&lt;=$A405)*(HISTORIAL_HORARIOS!$D$2:$D$201&gt;=$A405),0)),INDEX(IF($I405="FIN",PERSONAL!$J$2:$J$80,PERSONAL!$F$2:$F$80),MATCH($B405,PERSONAL!$A$2:$A$80,0)))))</f>
        <v/>
      </c>
      <c r="N405" s="53">
        <f t="array" ref="N405">IFERROR(INDEX(EXCEPCIONES_FECHA!$E$2:$E$201,MATCH(1,(EXCEPCIONES_FECHA!$A$2:$A$201=$A405)*(EXCEPCIONES_FECHA!$B$2:$B$201=$B405),0)),IFERROR(INDEX(EXCEPCIONES_FECHA!$E$2:$E$201,MATCH(1,(EXCEPCIONES_FECHA!$A$2:$A$201=$A405)*(EXCEPCIONES_FECHA!$B$2:$B$201=""),0)),IFERROR(INDEX(IF($I405="FIN",HISTORIAL_HORARIOS!$K$2:$K$201,HISTORIAL_HORARIOS!$G$2:$G$201),MATCH(1,(HISTORIAL_HORARIOS!$A$2:$A$201=$B405)*(HISTORIAL_HORARIOS!$C$2:$C$201&lt;=$A405)*(HISTORIAL_HORARIOS!$D$2:$D$201&gt;=$A405),0)),INDEX(IF($I405="FIN",PERSONAL!$K$2:$K$80,PERSONAL!$G$2:$G$80),MATCH($B405,PERSONAL!$A$2:$A$80,0)))))</f>
        <v/>
      </c>
      <c r="O405" s="53">
        <f t="array" ref="O405">IFERROR(INDEX(EXCEPCIONES_FECHA!$F$2:$F$201,MATCH(1,(EXCEPCIONES_FECHA!$A$2:$A$201=$A405)*(EXCEPCIONES_FECHA!$B$2:$B$201=$B405),0)),IFERROR(INDEX(EXCEPCIONES_FECHA!$F$2:$F$201,MATCH(1,(EXCEPCIONES_FECHA!$A$2:$A$201=$A405)*(EXCEPCIONES_FECHA!$B$2:$B$201=""),0)),IFERROR(INDEX(IF($I405="FIN",HISTORIAL_HORARIOS!$L$2:$L$201,HISTORIAL_HORARIOS!$H$2:$H$201),MATCH(1,(HISTORIAL_HORARIOS!$A$2:$A$201=$B405)*(HISTORIAL_HORARIOS!$C$2:$C$201&lt;=$A405)*(HISTORIAL_HORARIOS!$D$2:$D$201&gt;=$A405),0)),INDEX(IF($I405="FIN",PERSONAL!$L$2:$L$80,PERSONAL!$H$2:$H$80),MATCH($B405,PERSONAL!$A$2:$A$80,0)))))</f>
        <v/>
      </c>
    </row>
    <row r="406" ht="15" customHeight="1" s="58">
      <c r="A406" s="37" t="n"/>
      <c r="B406" s="38" t="n"/>
      <c r="C406" s="39" t="n"/>
      <c r="D406" s="39" t="n"/>
      <c r="E406" s="34">
        <f t="array" ref="E406">IF($B406="","",IFERROR(INDEX(PERSONAL!$B$2:$B$80,MATCH($B406,PERSONAL!$A$2:$A$80,0)),"NO EXISTE"))</f>
        <v/>
      </c>
      <c r="F406" s="52">
        <f t="array" ref="F406">IF($B406="","",IFERROR(INDEX(PERSONAL!$C$2:$C$80,MATCH($B406,PERSONAL!$A$2:$A$80,0)),""))</f>
        <v/>
      </c>
      <c r="G406" s="52">
        <f>IF($A406="","",CHOOSE(WEEKDAY($A406,2),"LUNES","MARTES","MIÉRCOLES","JUEVES","VIERNES","SÁBADO","DOMINGO"))</f>
        <v/>
      </c>
      <c r="H406" s="34">
        <f>IF($A406="","",CHOOSE(MONTH($A406),"ENERO","FEBRERO","MARZO","ABRIL","MAYO","JUNIO","JULIO","AGOSTO","SEPTIEMBRE","OCTUBRE","NOVIEMBRE","DICIEMBRE"))</f>
        <v/>
      </c>
      <c r="I406" s="34">
        <f>IF($A406="","",IF(OR($G406="SÁBADO",$G406="DOMINGO"),"FIN","LV"))</f>
        <v/>
      </c>
      <c r="J406" s="34">
        <f>IF(OR($A406="",$B406=""),"",IF($L406&lt;&gt;"",UPPER($L406),IF($C406="","FALTA",IFERROR(IF($C406&gt;=$O406,"ROJO FUERTE",IF($C406&gt;=$N406,"ROJO",IF($C406&gt;=$M406,"AMARILLO","VERDE"))),"REVISAR"))))</f>
        <v/>
      </c>
      <c r="K406" s="36">
        <f>IF(OR($C406="",$D406=""),"",IF($D406&gt;=$C406,($D406-$C406)*24,(1-$C406+$D406)*24))</f>
        <v/>
      </c>
      <c r="L406" s="34" t="n"/>
      <c r="M406" s="53">
        <f t="array" ref="M406">IFERROR(INDEX(EXCEPCIONES_FECHA!$D$2:$D$201,MATCH(1,(EXCEPCIONES_FECHA!$A$2:$A$201=$A406)*(EXCEPCIONES_FECHA!$B$2:$B$201=$B406),0)),IFERROR(INDEX(EXCEPCIONES_FECHA!$D$2:$D$201,MATCH(1,(EXCEPCIONES_FECHA!$A$2:$A$201=$A406)*(EXCEPCIONES_FECHA!$B$2:$B$201=""),0)),IFERROR(INDEX(IF($I406="FIN",HISTORIAL_HORARIOS!$J$2:$J$201,HISTORIAL_HORARIOS!$F$2:$F$201),MATCH(1,(HISTORIAL_HORARIOS!$A$2:$A$201=$B406)*(HISTORIAL_HORARIOS!$C$2:$C$201&lt;=$A406)*(HISTORIAL_HORARIOS!$D$2:$D$201&gt;=$A406),0)),INDEX(IF($I406="FIN",PERSONAL!$J$2:$J$80,PERSONAL!$F$2:$F$80),MATCH($B406,PERSONAL!$A$2:$A$80,0)))))</f>
        <v/>
      </c>
      <c r="N406" s="53">
        <f t="array" ref="N406">IFERROR(INDEX(EXCEPCIONES_FECHA!$E$2:$E$201,MATCH(1,(EXCEPCIONES_FECHA!$A$2:$A$201=$A406)*(EXCEPCIONES_FECHA!$B$2:$B$201=$B406),0)),IFERROR(INDEX(EXCEPCIONES_FECHA!$E$2:$E$201,MATCH(1,(EXCEPCIONES_FECHA!$A$2:$A$201=$A406)*(EXCEPCIONES_FECHA!$B$2:$B$201=""),0)),IFERROR(INDEX(IF($I406="FIN",HISTORIAL_HORARIOS!$K$2:$K$201,HISTORIAL_HORARIOS!$G$2:$G$201),MATCH(1,(HISTORIAL_HORARIOS!$A$2:$A$201=$B406)*(HISTORIAL_HORARIOS!$C$2:$C$201&lt;=$A406)*(HISTORIAL_HORARIOS!$D$2:$D$201&gt;=$A406),0)),INDEX(IF($I406="FIN",PERSONAL!$K$2:$K$80,PERSONAL!$G$2:$G$80),MATCH($B406,PERSONAL!$A$2:$A$80,0)))))</f>
        <v/>
      </c>
      <c r="O406" s="53">
        <f t="array" ref="O406">IFERROR(INDEX(EXCEPCIONES_FECHA!$F$2:$F$201,MATCH(1,(EXCEPCIONES_FECHA!$A$2:$A$201=$A406)*(EXCEPCIONES_FECHA!$B$2:$B$201=$B406),0)),IFERROR(INDEX(EXCEPCIONES_FECHA!$F$2:$F$201,MATCH(1,(EXCEPCIONES_FECHA!$A$2:$A$201=$A406)*(EXCEPCIONES_FECHA!$B$2:$B$201=""),0)),IFERROR(INDEX(IF($I406="FIN",HISTORIAL_HORARIOS!$L$2:$L$201,HISTORIAL_HORARIOS!$H$2:$H$201),MATCH(1,(HISTORIAL_HORARIOS!$A$2:$A$201=$B406)*(HISTORIAL_HORARIOS!$C$2:$C$201&lt;=$A406)*(HISTORIAL_HORARIOS!$D$2:$D$201&gt;=$A406),0)),INDEX(IF($I406="FIN",PERSONAL!$L$2:$L$80,PERSONAL!$H$2:$H$80),MATCH($B406,PERSONAL!$A$2:$A$80,0)))))</f>
        <v/>
      </c>
    </row>
    <row r="407" ht="15" customHeight="1" s="58">
      <c r="A407" s="37" t="n"/>
      <c r="B407" s="38" t="n"/>
      <c r="C407" s="39" t="n"/>
      <c r="D407" s="39" t="n"/>
      <c r="E407" s="34">
        <f t="array" ref="E407">IF($B407="","",IFERROR(INDEX(PERSONAL!$B$2:$B$80,MATCH($B407,PERSONAL!$A$2:$A$80,0)),"NO EXISTE"))</f>
        <v/>
      </c>
      <c r="F407" s="52">
        <f t="array" ref="F407">IF($B407="","",IFERROR(INDEX(PERSONAL!$C$2:$C$80,MATCH($B407,PERSONAL!$A$2:$A$80,0)),""))</f>
        <v/>
      </c>
      <c r="G407" s="52">
        <f>IF($A407="","",CHOOSE(WEEKDAY($A407,2),"LUNES","MARTES","MIÉRCOLES","JUEVES","VIERNES","SÁBADO","DOMINGO"))</f>
        <v/>
      </c>
      <c r="H407" s="34">
        <f>IF($A407="","",CHOOSE(MONTH($A407),"ENERO","FEBRERO","MARZO","ABRIL","MAYO","JUNIO","JULIO","AGOSTO","SEPTIEMBRE","OCTUBRE","NOVIEMBRE","DICIEMBRE"))</f>
        <v/>
      </c>
      <c r="I407" s="34">
        <f>IF($A407="","",IF(OR($G407="SÁBADO",$G407="DOMINGO"),"FIN","LV"))</f>
        <v/>
      </c>
      <c r="J407" s="34">
        <f>IF(OR($A407="",$B407=""),"",IF($L407&lt;&gt;"",UPPER($L407),IF($C407="","FALTA",IFERROR(IF($C407&gt;=$O407,"ROJO FUERTE",IF($C407&gt;=$N407,"ROJO",IF($C407&gt;=$M407,"AMARILLO","VERDE"))),"REVISAR"))))</f>
        <v/>
      </c>
      <c r="K407" s="36">
        <f>IF(OR($C407="",$D407=""),"",IF($D407&gt;=$C407,($D407-$C407)*24,(1-$C407+$D407)*24))</f>
        <v/>
      </c>
      <c r="L407" s="34" t="n"/>
      <c r="M407" s="53">
        <f t="array" ref="M407">IFERROR(INDEX(EXCEPCIONES_FECHA!$D$2:$D$201,MATCH(1,(EXCEPCIONES_FECHA!$A$2:$A$201=$A407)*(EXCEPCIONES_FECHA!$B$2:$B$201=$B407),0)),IFERROR(INDEX(EXCEPCIONES_FECHA!$D$2:$D$201,MATCH(1,(EXCEPCIONES_FECHA!$A$2:$A$201=$A407)*(EXCEPCIONES_FECHA!$B$2:$B$201=""),0)),IFERROR(INDEX(IF($I407="FIN",HISTORIAL_HORARIOS!$J$2:$J$201,HISTORIAL_HORARIOS!$F$2:$F$201),MATCH(1,(HISTORIAL_HORARIOS!$A$2:$A$201=$B407)*(HISTORIAL_HORARIOS!$C$2:$C$201&lt;=$A407)*(HISTORIAL_HORARIOS!$D$2:$D$201&gt;=$A407),0)),INDEX(IF($I407="FIN",PERSONAL!$J$2:$J$80,PERSONAL!$F$2:$F$80),MATCH($B407,PERSONAL!$A$2:$A$80,0)))))</f>
        <v/>
      </c>
      <c r="N407" s="53">
        <f t="array" ref="N407">IFERROR(INDEX(EXCEPCIONES_FECHA!$E$2:$E$201,MATCH(1,(EXCEPCIONES_FECHA!$A$2:$A$201=$A407)*(EXCEPCIONES_FECHA!$B$2:$B$201=$B407),0)),IFERROR(INDEX(EXCEPCIONES_FECHA!$E$2:$E$201,MATCH(1,(EXCEPCIONES_FECHA!$A$2:$A$201=$A407)*(EXCEPCIONES_FECHA!$B$2:$B$201=""),0)),IFERROR(INDEX(IF($I407="FIN",HISTORIAL_HORARIOS!$K$2:$K$201,HISTORIAL_HORARIOS!$G$2:$G$201),MATCH(1,(HISTORIAL_HORARIOS!$A$2:$A$201=$B407)*(HISTORIAL_HORARIOS!$C$2:$C$201&lt;=$A407)*(HISTORIAL_HORARIOS!$D$2:$D$201&gt;=$A407),0)),INDEX(IF($I407="FIN",PERSONAL!$K$2:$K$80,PERSONAL!$G$2:$G$80),MATCH($B407,PERSONAL!$A$2:$A$80,0)))))</f>
        <v/>
      </c>
      <c r="O407" s="53">
        <f t="array" ref="O407">IFERROR(INDEX(EXCEPCIONES_FECHA!$F$2:$F$201,MATCH(1,(EXCEPCIONES_FECHA!$A$2:$A$201=$A407)*(EXCEPCIONES_FECHA!$B$2:$B$201=$B407),0)),IFERROR(INDEX(EXCEPCIONES_FECHA!$F$2:$F$201,MATCH(1,(EXCEPCIONES_FECHA!$A$2:$A$201=$A407)*(EXCEPCIONES_FECHA!$B$2:$B$201=""),0)),IFERROR(INDEX(IF($I407="FIN",HISTORIAL_HORARIOS!$L$2:$L$201,HISTORIAL_HORARIOS!$H$2:$H$201),MATCH(1,(HISTORIAL_HORARIOS!$A$2:$A$201=$B407)*(HISTORIAL_HORARIOS!$C$2:$C$201&lt;=$A407)*(HISTORIAL_HORARIOS!$D$2:$D$201&gt;=$A407),0)),INDEX(IF($I407="FIN",PERSONAL!$L$2:$L$80,PERSONAL!$H$2:$H$80),MATCH($B407,PERSONAL!$A$2:$A$80,0)))))</f>
        <v/>
      </c>
    </row>
    <row r="408" ht="15" customHeight="1" s="58">
      <c r="A408" s="37" t="n"/>
      <c r="B408" s="38" t="n"/>
      <c r="C408" s="39" t="n"/>
      <c r="D408" s="39" t="n"/>
      <c r="E408" s="34">
        <f t="array" ref="E408">IF($B408="","",IFERROR(INDEX(PERSONAL!$B$2:$B$80,MATCH($B408,PERSONAL!$A$2:$A$80,0)),"NO EXISTE"))</f>
        <v/>
      </c>
      <c r="F408" s="52">
        <f t="array" ref="F408">IF($B408="","",IFERROR(INDEX(PERSONAL!$C$2:$C$80,MATCH($B408,PERSONAL!$A$2:$A$80,0)),""))</f>
        <v/>
      </c>
      <c r="G408" s="52">
        <f>IF($A408="","",CHOOSE(WEEKDAY($A408,2),"LUNES","MARTES","MIÉRCOLES","JUEVES","VIERNES","SÁBADO","DOMINGO"))</f>
        <v/>
      </c>
      <c r="H408" s="34">
        <f>IF($A408="","",CHOOSE(MONTH($A408),"ENERO","FEBRERO","MARZO","ABRIL","MAYO","JUNIO","JULIO","AGOSTO","SEPTIEMBRE","OCTUBRE","NOVIEMBRE","DICIEMBRE"))</f>
        <v/>
      </c>
      <c r="I408" s="34">
        <f>IF($A408="","",IF(OR($G408="SÁBADO",$G408="DOMINGO"),"FIN","LV"))</f>
        <v/>
      </c>
      <c r="J408" s="34">
        <f>IF(OR($A408="",$B408=""),"",IF($L408&lt;&gt;"",UPPER($L408),IF($C408="","FALTA",IFERROR(IF($C408&gt;=$O408,"ROJO FUERTE",IF($C408&gt;=$N408,"ROJO",IF($C408&gt;=$M408,"AMARILLO","VERDE"))),"REVISAR"))))</f>
        <v/>
      </c>
      <c r="K408" s="36">
        <f>IF(OR($C408="",$D408=""),"",IF($D408&gt;=$C408,($D408-$C408)*24,(1-$C408+$D408)*24))</f>
        <v/>
      </c>
      <c r="L408" s="34" t="n"/>
      <c r="M408" s="53">
        <f t="array" ref="M408">IFERROR(INDEX(EXCEPCIONES_FECHA!$D$2:$D$201,MATCH(1,(EXCEPCIONES_FECHA!$A$2:$A$201=$A408)*(EXCEPCIONES_FECHA!$B$2:$B$201=$B408),0)),IFERROR(INDEX(EXCEPCIONES_FECHA!$D$2:$D$201,MATCH(1,(EXCEPCIONES_FECHA!$A$2:$A$201=$A408)*(EXCEPCIONES_FECHA!$B$2:$B$201=""),0)),IFERROR(INDEX(IF($I408="FIN",HISTORIAL_HORARIOS!$J$2:$J$201,HISTORIAL_HORARIOS!$F$2:$F$201),MATCH(1,(HISTORIAL_HORARIOS!$A$2:$A$201=$B408)*(HISTORIAL_HORARIOS!$C$2:$C$201&lt;=$A408)*(HISTORIAL_HORARIOS!$D$2:$D$201&gt;=$A408),0)),INDEX(IF($I408="FIN",PERSONAL!$J$2:$J$80,PERSONAL!$F$2:$F$80),MATCH($B408,PERSONAL!$A$2:$A$80,0)))))</f>
        <v/>
      </c>
      <c r="N408" s="53">
        <f t="array" ref="N408">IFERROR(INDEX(EXCEPCIONES_FECHA!$E$2:$E$201,MATCH(1,(EXCEPCIONES_FECHA!$A$2:$A$201=$A408)*(EXCEPCIONES_FECHA!$B$2:$B$201=$B408),0)),IFERROR(INDEX(EXCEPCIONES_FECHA!$E$2:$E$201,MATCH(1,(EXCEPCIONES_FECHA!$A$2:$A$201=$A408)*(EXCEPCIONES_FECHA!$B$2:$B$201=""),0)),IFERROR(INDEX(IF($I408="FIN",HISTORIAL_HORARIOS!$K$2:$K$201,HISTORIAL_HORARIOS!$G$2:$G$201),MATCH(1,(HISTORIAL_HORARIOS!$A$2:$A$201=$B408)*(HISTORIAL_HORARIOS!$C$2:$C$201&lt;=$A408)*(HISTORIAL_HORARIOS!$D$2:$D$201&gt;=$A408),0)),INDEX(IF($I408="FIN",PERSONAL!$K$2:$K$80,PERSONAL!$G$2:$G$80),MATCH($B408,PERSONAL!$A$2:$A$80,0)))))</f>
        <v/>
      </c>
      <c r="O408" s="53">
        <f t="array" ref="O408">IFERROR(INDEX(EXCEPCIONES_FECHA!$F$2:$F$201,MATCH(1,(EXCEPCIONES_FECHA!$A$2:$A$201=$A408)*(EXCEPCIONES_FECHA!$B$2:$B$201=$B408),0)),IFERROR(INDEX(EXCEPCIONES_FECHA!$F$2:$F$201,MATCH(1,(EXCEPCIONES_FECHA!$A$2:$A$201=$A408)*(EXCEPCIONES_FECHA!$B$2:$B$201=""),0)),IFERROR(INDEX(IF($I408="FIN",HISTORIAL_HORARIOS!$L$2:$L$201,HISTORIAL_HORARIOS!$H$2:$H$201),MATCH(1,(HISTORIAL_HORARIOS!$A$2:$A$201=$B408)*(HISTORIAL_HORARIOS!$C$2:$C$201&lt;=$A408)*(HISTORIAL_HORARIOS!$D$2:$D$201&gt;=$A408),0)),INDEX(IF($I408="FIN",PERSONAL!$L$2:$L$80,PERSONAL!$H$2:$H$80),MATCH($B408,PERSONAL!$A$2:$A$80,0)))))</f>
        <v/>
      </c>
    </row>
    <row r="409" ht="15" customHeight="1" s="58">
      <c r="A409" s="37" t="n"/>
      <c r="B409" s="38" t="n"/>
      <c r="C409" s="39" t="n"/>
      <c r="D409" s="39" t="n"/>
      <c r="E409" s="34">
        <f t="array" ref="E409">IF($B409="","",IFERROR(INDEX(PERSONAL!$B$2:$B$80,MATCH($B409,PERSONAL!$A$2:$A$80,0)),"NO EXISTE"))</f>
        <v/>
      </c>
      <c r="F409" s="52">
        <f t="array" ref="F409">IF($B409="","",IFERROR(INDEX(PERSONAL!$C$2:$C$80,MATCH($B409,PERSONAL!$A$2:$A$80,0)),""))</f>
        <v/>
      </c>
      <c r="G409" s="52">
        <f>IF($A409="","",CHOOSE(WEEKDAY($A409,2),"LUNES","MARTES","MIÉRCOLES","JUEVES","VIERNES","SÁBADO","DOMINGO"))</f>
        <v/>
      </c>
      <c r="H409" s="34">
        <f>IF($A409="","",CHOOSE(MONTH($A409),"ENERO","FEBRERO","MARZO","ABRIL","MAYO","JUNIO","JULIO","AGOSTO","SEPTIEMBRE","OCTUBRE","NOVIEMBRE","DICIEMBRE"))</f>
        <v/>
      </c>
      <c r="I409" s="34">
        <f>IF($A409="","",IF(OR($G409="SÁBADO",$G409="DOMINGO"),"FIN","LV"))</f>
        <v/>
      </c>
      <c r="J409" s="34">
        <f>IF(OR($A409="",$B409=""),"",IF($L409&lt;&gt;"",UPPER($L409),IF($C409="","FALTA",IFERROR(IF($C409&gt;=$O409,"ROJO FUERTE",IF($C409&gt;=$N409,"ROJO",IF($C409&gt;=$M409,"AMARILLO","VERDE"))),"REVISAR"))))</f>
        <v/>
      </c>
      <c r="K409" s="36">
        <f>IF(OR($C409="",$D409=""),"",IF($D409&gt;=$C409,($D409-$C409)*24,(1-$C409+$D409)*24))</f>
        <v/>
      </c>
      <c r="L409" s="34" t="n"/>
      <c r="M409" s="53">
        <f t="array" ref="M409">IFERROR(INDEX(EXCEPCIONES_FECHA!$D$2:$D$201,MATCH(1,(EXCEPCIONES_FECHA!$A$2:$A$201=$A409)*(EXCEPCIONES_FECHA!$B$2:$B$201=$B409),0)),IFERROR(INDEX(EXCEPCIONES_FECHA!$D$2:$D$201,MATCH(1,(EXCEPCIONES_FECHA!$A$2:$A$201=$A409)*(EXCEPCIONES_FECHA!$B$2:$B$201=""),0)),IFERROR(INDEX(IF($I409="FIN",HISTORIAL_HORARIOS!$J$2:$J$201,HISTORIAL_HORARIOS!$F$2:$F$201),MATCH(1,(HISTORIAL_HORARIOS!$A$2:$A$201=$B409)*(HISTORIAL_HORARIOS!$C$2:$C$201&lt;=$A409)*(HISTORIAL_HORARIOS!$D$2:$D$201&gt;=$A409),0)),INDEX(IF($I409="FIN",PERSONAL!$J$2:$J$80,PERSONAL!$F$2:$F$80),MATCH($B409,PERSONAL!$A$2:$A$80,0)))))</f>
        <v/>
      </c>
      <c r="N409" s="53">
        <f t="array" ref="N409">IFERROR(INDEX(EXCEPCIONES_FECHA!$E$2:$E$201,MATCH(1,(EXCEPCIONES_FECHA!$A$2:$A$201=$A409)*(EXCEPCIONES_FECHA!$B$2:$B$201=$B409),0)),IFERROR(INDEX(EXCEPCIONES_FECHA!$E$2:$E$201,MATCH(1,(EXCEPCIONES_FECHA!$A$2:$A$201=$A409)*(EXCEPCIONES_FECHA!$B$2:$B$201=""),0)),IFERROR(INDEX(IF($I409="FIN",HISTORIAL_HORARIOS!$K$2:$K$201,HISTORIAL_HORARIOS!$G$2:$G$201),MATCH(1,(HISTORIAL_HORARIOS!$A$2:$A$201=$B409)*(HISTORIAL_HORARIOS!$C$2:$C$201&lt;=$A409)*(HISTORIAL_HORARIOS!$D$2:$D$201&gt;=$A409),0)),INDEX(IF($I409="FIN",PERSONAL!$K$2:$K$80,PERSONAL!$G$2:$G$80),MATCH($B409,PERSONAL!$A$2:$A$80,0)))))</f>
        <v/>
      </c>
      <c r="O409" s="53">
        <f t="array" ref="O409">IFERROR(INDEX(EXCEPCIONES_FECHA!$F$2:$F$201,MATCH(1,(EXCEPCIONES_FECHA!$A$2:$A$201=$A409)*(EXCEPCIONES_FECHA!$B$2:$B$201=$B409),0)),IFERROR(INDEX(EXCEPCIONES_FECHA!$F$2:$F$201,MATCH(1,(EXCEPCIONES_FECHA!$A$2:$A$201=$A409)*(EXCEPCIONES_FECHA!$B$2:$B$201=""),0)),IFERROR(INDEX(IF($I409="FIN",HISTORIAL_HORARIOS!$L$2:$L$201,HISTORIAL_HORARIOS!$H$2:$H$201),MATCH(1,(HISTORIAL_HORARIOS!$A$2:$A$201=$B409)*(HISTORIAL_HORARIOS!$C$2:$C$201&lt;=$A409)*(HISTORIAL_HORARIOS!$D$2:$D$201&gt;=$A409),0)),INDEX(IF($I409="FIN",PERSONAL!$L$2:$L$80,PERSONAL!$H$2:$H$80),MATCH($B409,PERSONAL!$A$2:$A$80,0)))))</f>
        <v/>
      </c>
    </row>
    <row r="410" ht="15" customHeight="1" s="58">
      <c r="A410" s="37" t="n"/>
      <c r="B410" s="38" t="n"/>
      <c r="C410" s="39" t="n"/>
      <c r="D410" s="39" t="n"/>
      <c r="E410" s="34">
        <f t="array" ref="E410">IF($B410="","",IFERROR(INDEX(PERSONAL!$B$2:$B$80,MATCH($B410,PERSONAL!$A$2:$A$80,0)),"NO EXISTE"))</f>
        <v/>
      </c>
      <c r="F410" s="52">
        <f t="array" ref="F410">IF($B410="","",IFERROR(INDEX(PERSONAL!$C$2:$C$80,MATCH($B410,PERSONAL!$A$2:$A$80,0)),""))</f>
        <v/>
      </c>
      <c r="G410" s="52">
        <f>IF($A410="","",CHOOSE(WEEKDAY($A410,2),"LUNES","MARTES","MIÉRCOLES","JUEVES","VIERNES","SÁBADO","DOMINGO"))</f>
        <v/>
      </c>
      <c r="H410" s="34">
        <f>IF($A410="","",CHOOSE(MONTH($A410),"ENERO","FEBRERO","MARZO","ABRIL","MAYO","JUNIO","JULIO","AGOSTO","SEPTIEMBRE","OCTUBRE","NOVIEMBRE","DICIEMBRE"))</f>
        <v/>
      </c>
      <c r="I410" s="34">
        <f>IF($A410="","",IF(OR($G410="SÁBADO",$G410="DOMINGO"),"FIN","LV"))</f>
        <v/>
      </c>
      <c r="J410" s="34">
        <f>IF(OR($A410="",$B410=""),"",IF($L410&lt;&gt;"",UPPER($L410),IF($C410="","FALTA",IFERROR(IF($C410&gt;=$O410,"ROJO FUERTE",IF($C410&gt;=$N410,"ROJO",IF($C410&gt;=$M410,"AMARILLO","VERDE"))),"REVISAR"))))</f>
        <v/>
      </c>
      <c r="K410" s="36">
        <f>IF(OR($C410="",$D410=""),"",IF($D410&gt;=$C410,($D410-$C410)*24,(1-$C410+$D410)*24))</f>
        <v/>
      </c>
      <c r="L410" s="34" t="n"/>
      <c r="M410" s="53">
        <f t="array" ref="M410">IFERROR(INDEX(EXCEPCIONES_FECHA!$D$2:$D$201,MATCH(1,(EXCEPCIONES_FECHA!$A$2:$A$201=$A410)*(EXCEPCIONES_FECHA!$B$2:$B$201=$B410),0)),IFERROR(INDEX(EXCEPCIONES_FECHA!$D$2:$D$201,MATCH(1,(EXCEPCIONES_FECHA!$A$2:$A$201=$A410)*(EXCEPCIONES_FECHA!$B$2:$B$201=""),0)),IFERROR(INDEX(IF($I410="FIN",HISTORIAL_HORARIOS!$J$2:$J$201,HISTORIAL_HORARIOS!$F$2:$F$201),MATCH(1,(HISTORIAL_HORARIOS!$A$2:$A$201=$B410)*(HISTORIAL_HORARIOS!$C$2:$C$201&lt;=$A410)*(HISTORIAL_HORARIOS!$D$2:$D$201&gt;=$A410),0)),INDEX(IF($I410="FIN",PERSONAL!$J$2:$J$80,PERSONAL!$F$2:$F$80),MATCH($B410,PERSONAL!$A$2:$A$80,0)))))</f>
        <v/>
      </c>
      <c r="N410" s="53">
        <f t="array" ref="N410">IFERROR(INDEX(EXCEPCIONES_FECHA!$E$2:$E$201,MATCH(1,(EXCEPCIONES_FECHA!$A$2:$A$201=$A410)*(EXCEPCIONES_FECHA!$B$2:$B$201=$B410),0)),IFERROR(INDEX(EXCEPCIONES_FECHA!$E$2:$E$201,MATCH(1,(EXCEPCIONES_FECHA!$A$2:$A$201=$A410)*(EXCEPCIONES_FECHA!$B$2:$B$201=""),0)),IFERROR(INDEX(IF($I410="FIN",HISTORIAL_HORARIOS!$K$2:$K$201,HISTORIAL_HORARIOS!$G$2:$G$201),MATCH(1,(HISTORIAL_HORARIOS!$A$2:$A$201=$B410)*(HISTORIAL_HORARIOS!$C$2:$C$201&lt;=$A410)*(HISTORIAL_HORARIOS!$D$2:$D$201&gt;=$A410),0)),INDEX(IF($I410="FIN",PERSONAL!$K$2:$K$80,PERSONAL!$G$2:$G$80),MATCH($B410,PERSONAL!$A$2:$A$80,0)))))</f>
        <v/>
      </c>
      <c r="O410" s="53">
        <f t="array" ref="O410">IFERROR(INDEX(EXCEPCIONES_FECHA!$F$2:$F$201,MATCH(1,(EXCEPCIONES_FECHA!$A$2:$A$201=$A410)*(EXCEPCIONES_FECHA!$B$2:$B$201=$B410),0)),IFERROR(INDEX(EXCEPCIONES_FECHA!$F$2:$F$201,MATCH(1,(EXCEPCIONES_FECHA!$A$2:$A$201=$A410)*(EXCEPCIONES_FECHA!$B$2:$B$201=""),0)),IFERROR(INDEX(IF($I410="FIN",HISTORIAL_HORARIOS!$L$2:$L$201,HISTORIAL_HORARIOS!$H$2:$H$201),MATCH(1,(HISTORIAL_HORARIOS!$A$2:$A$201=$B410)*(HISTORIAL_HORARIOS!$C$2:$C$201&lt;=$A410)*(HISTORIAL_HORARIOS!$D$2:$D$201&gt;=$A410),0)),INDEX(IF($I410="FIN",PERSONAL!$L$2:$L$80,PERSONAL!$H$2:$H$80),MATCH($B410,PERSONAL!$A$2:$A$80,0)))))</f>
        <v/>
      </c>
    </row>
    <row r="411" ht="15" customHeight="1" s="58">
      <c r="A411" s="37" t="n"/>
      <c r="B411" s="38" t="n"/>
      <c r="C411" s="39" t="n"/>
      <c r="D411" s="39" t="n"/>
      <c r="E411" s="34">
        <f t="array" ref="E411">IF($B411="","",IFERROR(INDEX(PERSONAL!$B$2:$B$80,MATCH($B411,PERSONAL!$A$2:$A$80,0)),"NO EXISTE"))</f>
        <v/>
      </c>
      <c r="F411" s="52">
        <f t="array" ref="F411">IF($B411="","",IFERROR(INDEX(PERSONAL!$C$2:$C$80,MATCH($B411,PERSONAL!$A$2:$A$80,0)),""))</f>
        <v/>
      </c>
      <c r="G411" s="52">
        <f>IF($A411="","",CHOOSE(WEEKDAY($A411,2),"LUNES","MARTES","MIÉRCOLES","JUEVES","VIERNES","SÁBADO","DOMINGO"))</f>
        <v/>
      </c>
      <c r="H411" s="34">
        <f>IF($A411="","",CHOOSE(MONTH($A411),"ENERO","FEBRERO","MARZO","ABRIL","MAYO","JUNIO","JULIO","AGOSTO","SEPTIEMBRE","OCTUBRE","NOVIEMBRE","DICIEMBRE"))</f>
        <v/>
      </c>
      <c r="I411" s="34">
        <f>IF($A411="","",IF(OR($G411="SÁBADO",$G411="DOMINGO"),"FIN","LV"))</f>
        <v/>
      </c>
      <c r="J411" s="34">
        <f>IF(OR($A411="",$B411=""),"",IF($L411&lt;&gt;"",UPPER($L411),IF($C411="","FALTA",IFERROR(IF($C411&gt;=$O411,"ROJO FUERTE",IF($C411&gt;=$N411,"ROJO",IF($C411&gt;=$M411,"AMARILLO","VERDE"))),"REVISAR"))))</f>
        <v/>
      </c>
      <c r="K411" s="36">
        <f>IF(OR($C411="",$D411=""),"",IF($D411&gt;=$C411,($D411-$C411)*24,(1-$C411+$D411)*24))</f>
        <v/>
      </c>
      <c r="L411" s="34" t="n"/>
      <c r="M411" s="53">
        <f t="array" ref="M411">IFERROR(INDEX(EXCEPCIONES_FECHA!$D$2:$D$201,MATCH(1,(EXCEPCIONES_FECHA!$A$2:$A$201=$A411)*(EXCEPCIONES_FECHA!$B$2:$B$201=$B411),0)),IFERROR(INDEX(EXCEPCIONES_FECHA!$D$2:$D$201,MATCH(1,(EXCEPCIONES_FECHA!$A$2:$A$201=$A411)*(EXCEPCIONES_FECHA!$B$2:$B$201=""),0)),IFERROR(INDEX(IF($I411="FIN",HISTORIAL_HORARIOS!$J$2:$J$201,HISTORIAL_HORARIOS!$F$2:$F$201),MATCH(1,(HISTORIAL_HORARIOS!$A$2:$A$201=$B411)*(HISTORIAL_HORARIOS!$C$2:$C$201&lt;=$A411)*(HISTORIAL_HORARIOS!$D$2:$D$201&gt;=$A411),0)),INDEX(IF($I411="FIN",PERSONAL!$J$2:$J$80,PERSONAL!$F$2:$F$80),MATCH($B411,PERSONAL!$A$2:$A$80,0)))))</f>
        <v/>
      </c>
      <c r="N411" s="53">
        <f t="array" ref="N411">IFERROR(INDEX(EXCEPCIONES_FECHA!$E$2:$E$201,MATCH(1,(EXCEPCIONES_FECHA!$A$2:$A$201=$A411)*(EXCEPCIONES_FECHA!$B$2:$B$201=$B411),0)),IFERROR(INDEX(EXCEPCIONES_FECHA!$E$2:$E$201,MATCH(1,(EXCEPCIONES_FECHA!$A$2:$A$201=$A411)*(EXCEPCIONES_FECHA!$B$2:$B$201=""),0)),IFERROR(INDEX(IF($I411="FIN",HISTORIAL_HORARIOS!$K$2:$K$201,HISTORIAL_HORARIOS!$G$2:$G$201),MATCH(1,(HISTORIAL_HORARIOS!$A$2:$A$201=$B411)*(HISTORIAL_HORARIOS!$C$2:$C$201&lt;=$A411)*(HISTORIAL_HORARIOS!$D$2:$D$201&gt;=$A411),0)),INDEX(IF($I411="FIN",PERSONAL!$K$2:$K$80,PERSONAL!$G$2:$G$80),MATCH($B411,PERSONAL!$A$2:$A$80,0)))))</f>
        <v/>
      </c>
      <c r="O411" s="53">
        <f t="array" ref="O411">IFERROR(INDEX(EXCEPCIONES_FECHA!$F$2:$F$201,MATCH(1,(EXCEPCIONES_FECHA!$A$2:$A$201=$A411)*(EXCEPCIONES_FECHA!$B$2:$B$201=$B411),0)),IFERROR(INDEX(EXCEPCIONES_FECHA!$F$2:$F$201,MATCH(1,(EXCEPCIONES_FECHA!$A$2:$A$201=$A411)*(EXCEPCIONES_FECHA!$B$2:$B$201=""),0)),IFERROR(INDEX(IF($I411="FIN",HISTORIAL_HORARIOS!$L$2:$L$201,HISTORIAL_HORARIOS!$H$2:$H$201),MATCH(1,(HISTORIAL_HORARIOS!$A$2:$A$201=$B411)*(HISTORIAL_HORARIOS!$C$2:$C$201&lt;=$A411)*(HISTORIAL_HORARIOS!$D$2:$D$201&gt;=$A411),0)),INDEX(IF($I411="FIN",PERSONAL!$L$2:$L$80,PERSONAL!$H$2:$H$80),MATCH($B411,PERSONAL!$A$2:$A$80,0)))))</f>
        <v/>
      </c>
    </row>
    <row r="412" ht="15" customHeight="1" s="58">
      <c r="A412" s="37" t="n"/>
      <c r="B412" s="38" t="n"/>
      <c r="C412" s="39" t="n"/>
      <c r="D412" s="39" t="n"/>
      <c r="E412" s="34">
        <f t="array" ref="E412">IF($B412="","",IFERROR(INDEX(PERSONAL!$B$2:$B$80,MATCH($B412,PERSONAL!$A$2:$A$80,0)),"NO EXISTE"))</f>
        <v/>
      </c>
      <c r="F412" s="52">
        <f t="array" ref="F412">IF($B412="","",IFERROR(INDEX(PERSONAL!$C$2:$C$80,MATCH($B412,PERSONAL!$A$2:$A$80,0)),""))</f>
        <v/>
      </c>
      <c r="G412" s="52">
        <f>IF($A412="","",CHOOSE(WEEKDAY($A412,2),"LUNES","MARTES","MIÉRCOLES","JUEVES","VIERNES","SÁBADO","DOMINGO"))</f>
        <v/>
      </c>
      <c r="H412" s="34">
        <f>IF($A412="","",CHOOSE(MONTH($A412),"ENERO","FEBRERO","MARZO","ABRIL","MAYO","JUNIO","JULIO","AGOSTO","SEPTIEMBRE","OCTUBRE","NOVIEMBRE","DICIEMBRE"))</f>
        <v/>
      </c>
      <c r="I412" s="34">
        <f>IF($A412="","",IF(OR($G412="SÁBADO",$G412="DOMINGO"),"FIN","LV"))</f>
        <v/>
      </c>
      <c r="J412" s="34">
        <f>IF(OR($A412="",$B412=""),"",IF($L412&lt;&gt;"",UPPER($L412),IF($C412="","FALTA",IFERROR(IF($C412&gt;=$O412,"ROJO FUERTE",IF($C412&gt;=$N412,"ROJO",IF($C412&gt;=$M412,"AMARILLO","VERDE"))),"REVISAR"))))</f>
        <v/>
      </c>
      <c r="K412" s="36">
        <f>IF(OR($C412="",$D412=""),"",IF($D412&gt;=$C412,($D412-$C412)*24,(1-$C412+$D412)*24))</f>
        <v/>
      </c>
      <c r="L412" s="34" t="n"/>
      <c r="M412" s="53">
        <f t="array" ref="M412">IFERROR(INDEX(EXCEPCIONES_FECHA!$D$2:$D$201,MATCH(1,(EXCEPCIONES_FECHA!$A$2:$A$201=$A412)*(EXCEPCIONES_FECHA!$B$2:$B$201=$B412),0)),IFERROR(INDEX(EXCEPCIONES_FECHA!$D$2:$D$201,MATCH(1,(EXCEPCIONES_FECHA!$A$2:$A$201=$A412)*(EXCEPCIONES_FECHA!$B$2:$B$201=""),0)),IFERROR(INDEX(IF($I412="FIN",HISTORIAL_HORARIOS!$J$2:$J$201,HISTORIAL_HORARIOS!$F$2:$F$201),MATCH(1,(HISTORIAL_HORARIOS!$A$2:$A$201=$B412)*(HISTORIAL_HORARIOS!$C$2:$C$201&lt;=$A412)*(HISTORIAL_HORARIOS!$D$2:$D$201&gt;=$A412),0)),INDEX(IF($I412="FIN",PERSONAL!$J$2:$J$80,PERSONAL!$F$2:$F$80),MATCH($B412,PERSONAL!$A$2:$A$80,0)))))</f>
        <v/>
      </c>
      <c r="N412" s="53">
        <f t="array" ref="N412">IFERROR(INDEX(EXCEPCIONES_FECHA!$E$2:$E$201,MATCH(1,(EXCEPCIONES_FECHA!$A$2:$A$201=$A412)*(EXCEPCIONES_FECHA!$B$2:$B$201=$B412),0)),IFERROR(INDEX(EXCEPCIONES_FECHA!$E$2:$E$201,MATCH(1,(EXCEPCIONES_FECHA!$A$2:$A$201=$A412)*(EXCEPCIONES_FECHA!$B$2:$B$201=""),0)),IFERROR(INDEX(IF($I412="FIN",HISTORIAL_HORARIOS!$K$2:$K$201,HISTORIAL_HORARIOS!$G$2:$G$201),MATCH(1,(HISTORIAL_HORARIOS!$A$2:$A$201=$B412)*(HISTORIAL_HORARIOS!$C$2:$C$201&lt;=$A412)*(HISTORIAL_HORARIOS!$D$2:$D$201&gt;=$A412),0)),INDEX(IF($I412="FIN",PERSONAL!$K$2:$K$80,PERSONAL!$G$2:$G$80),MATCH($B412,PERSONAL!$A$2:$A$80,0)))))</f>
        <v/>
      </c>
      <c r="O412" s="53">
        <f t="array" ref="O412">IFERROR(INDEX(EXCEPCIONES_FECHA!$F$2:$F$201,MATCH(1,(EXCEPCIONES_FECHA!$A$2:$A$201=$A412)*(EXCEPCIONES_FECHA!$B$2:$B$201=$B412),0)),IFERROR(INDEX(EXCEPCIONES_FECHA!$F$2:$F$201,MATCH(1,(EXCEPCIONES_FECHA!$A$2:$A$201=$A412)*(EXCEPCIONES_FECHA!$B$2:$B$201=""),0)),IFERROR(INDEX(IF($I412="FIN",HISTORIAL_HORARIOS!$L$2:$L$201,HISTORIAL_HORARIOS!$H$2:$H$201),MATCH(1,(HISTORIAL_HORARIOS!$A$2:$A$201=$B412)*(HISTORIAL_HORARIOS!$C$2:$C$201&lt;=$A412)*(HISTORIAL_HORARIOS!$D$2:$D$201&gt;=$A412),0)),INDEX(IF($I412="FIN",PERSONAL!$L$2:$L$80,PERSONAL!$H$2:$H$80),MATCH($B412,PERSONAL!$A$2:$A$80,0)))))</f>
        <v/>
      </c>
    </row>
    <row r="413" ht="15" customHeight="1" s="58">
      <c r="A413" s="37" t="n"/>
      <c r="B413" s="38" t="n"/>
      <c r="C413" s="39" t="n"/>
      <c r="D413" s="39" t="n"/>
      <c r="E413" s="34">
        <f t="array" ref="E413">IF($B413="","",IFERROR(INDEX(PERSONAL!$B$2:$B$80,MATCH($B413,PERSONAL!$A$2:$A$80,0)),"NO EXISTE"))</f>
        <v/>
      </c>
      <c r="F413" s="52">
        <f t="array" ref="F413">IF($B413="","",IFERROR(INDEX(PERSONAL!$C$2:$C$80,MATCH($B413,PERSONAL!$A$2:$A$80,0)),""))</f>
        <v/>
      </c>
      <c r="G413" s="52">
        <f>IF($A413="","",CHOOSE(WEEKDAY($A413,2),"LUNES","MARTES","MIÉRCOLES","JUEVES","VIERNES","SÁBADO","DOMINGO"))</f>
        <v/>
      </c>
      <c r="H413" s="34">
        <f>IF($A413="","",CHOOSE(MONTH($A413),"ENERO","FEBRERO","MARZO","ABRIL","MAYO","JUNIO","JULIO","AGOSTO","SEPTIEMBRE","OCTUBRE","NOVIEMBRE","DICIEMBRE"))</f>
        <v/>
      </c>
      <c r="I413" s="34">
        <f>IF($A413="","",IF(OR($G413="SÁBADO",$G413="DOMINGO"),"FIN","LV"))</f>
        <v/>
      </c>
      <c r="J413" s="34">
        <f>IF(OR($A413="",$B413=""),"",IF($L413&lt;&gt;"",UPPER($L413),IF($C413="","FALTA",IFERROR(IF($C413&gt;=$O413,"ROJO FUERTE",IF($C413&gt;=$N413,"ROJO",IF($C413&gt;=$M413,"AMARILLO","VERDE"))),"REVISAR"))))</f>
        <v/>
      </c>
      <c r="K413" s="36">
        <f>IF(OR($C413="",$D413=""),"",IF($D413&gt;=$C413,($D413-$C413)*24,(1-$C413+$D413)*24))</f>
        <v/>
      </c>
      <c r="L413" s="34" t="n"/>
      <c r="M413" s="53">
        <f t="array" ref="M413">IFERROR(INDEX(EXCEPCIONES_FECHA!$D$2:$D$201,MATCH(1,(EXCEPCIONES_FECHA!$A$2:$A$201=$A413)*(EXCEPCIONES_FECHA!$B$2:$B$201=$B413),0)),IFERROR(INDEX(EXCEPCIONES_FECHA!$D$2:$D$201,MATCH(1,(EXCEPCIONES_FECHA!$A$2:$A$201=$A413)*(EXCEPCIONES_FECHA!$B$2:$B$201=""),0)),IFERROR(INDEX(IF($I413="FIN",HISTORIAL_HORARIOS!$J$2:$J$201,HISTORIAL_HORARIOS!$F$2:$F$201),MATCH(1,(HISTORIAL_HORARIOS!$A$2:$A$201=$B413)*(HISTORIAL_HORARIOS!$C$2:$C$201&lt;=$A413)*(HISTORIAL_HORARIOS!$D$2:$D$201&gt;=$A413),0)),INDEX(IF($I413="FIN",PERSONAL!$J$2:$J$80,PERSONAL!$F$2:$F$80),MATCH($B413,PERSONAL!$A$2:$A$80,0)))))</f>
        <v/>
      </c>
      <c r="N413" s="53">
        <f t="array" ref="N413">IFERROR(INDEX(EXCEPCIONES_FECHA!$E$2:$E$201,MATCH(1,(EXCEPCIONES_FECHA!$A$2:$A$201=$A413)*(EXCEPCIONES_FECHA!$B$2:$B$201=$B413),0)),IFERROR(INDEX(EXCEPCIONES_FECHA!$E$2:$E$201,MATCH(1,(EXCEPCIONES_FECHA!$A$2:$A$201=$A413)*(EXCEPCIONES_FECHA!$B$2:$B$201=""),0)),IFERROR(INDEX(IF($I413="FIN",HISTORIAL_HORARIOS!$K$2:$K$201,HISTORIAL_HORARIOS!$G$2:$G$201),MATCH(1,(HISTORIAL_HORARIOS!$A$2:$A$201=$B413)*(HISTORIAL_HORARIOS!$C$2:$C$201&lt;=$A413)*(HISTORIAL_HORARIOS!$D$2:$D$201&gt;=$A413),0)),INDEX(IF($I413="FIN",PERSONAL!$K$2:$K$80,PERSONAL!$G$2:$G$80),MATCH($B413,PERSONAL!$A$2:$A$80,0)))))</f>
        <v/>
      </c>
      <c r="O413" s="53">
        <f t="array" ref="O413">IFERROR(INDEX(EXCEPCIONES_FECHA!$F$2:$F$201,MATCH(1,(EXCEPCIONES_FECHA!$A$2:$A$201=$A413)*(EXCEPCIONES_FECHA!$B$2:$B$201=$B413),0)),IFERROR(INDEX(EXCEPCIONES_FECHA!$F$2:$F$201,MATCH(1,(EXCEPCIONES_FECHA!$A$2:$A$201=$A413)*(EXCEPCIONES_FECHA!$B$2:$B$201=""),0)),IFERROR(INDEX(IF($I413="FIN",HISTORIAL_HORARIOS!$L$2:$L$201,HISTORIAL_HORARIOS!$H$2:$H$201),MATCH(1,(HISTORIAL_HORARIOS!$A$2:$A$201=$B413)*(HISTORIAL_HORARIOS!$C$2:$C$201&lt;=$A413)*(HISTORIAL_HORARIOS!$D$2:$D$201&gt;=$A413),0)),INDEX(IF($I413="FIN",PERSONAL!$L$2:$L$80,PERSONAL!$H$2:$H$80),MATCH($B413,PERSONAL!$A$2:$A$80,0)))))</f>
        <v/>
      </c>
    </row>
    <row r="414" ht="15" customHeight="1" s="58">
      <c r="A414" s="37" t="n"/>
      <c r="B414" s="38" t="n"/>
      <c r="C414" s="39" t="n"/>
      <c r="D414" s="39" t="n"/>
      <c r="E414" s="34">
        <f t="array" ref="E414">IF($B414="","",IFERROR(INDEX(PERSONAL!$B$2:$B$80,MATCH($B414,PERSONAL!$A$2:$A$80,0)),"NO EXISTE"))</f>
        <v/>
      </c>
      <c r="F414" s="52">
        <f t="array" ref="F414">IF($B414="","",IFERROR(INDEX(PERSONAL!$C$2:$C$80,MATCH($B414,PERSONAL!$A$2:$A$80,0)),""))</f>
        <v/>
      </c>
      <c r="G414" s="52">
        <f>IF($A414="","",CHOOSE(WEEKDAY($A414,2),"LUNES","MARTES","MIÉRCOLES","JUEVES","VIERNES","SÁBADO","DOMINGO"))</f>
        <v/>
      </c>
      <c r="H414" s="34">
        <f>IF($A414="","",CHOOSE(MONTH($A414),"ENERO","FEBRERO","MARZO","ABRIL","MAYO","JUNIO","JULIO","AGOSTO","SEPTIEMBRE","OCTUBRE","NOVIEMBRE","DICIEMBRE"))</f>
        <v/>
      </c>
      <c r="I414" s="34">
        <f>IF($A414="","",IF(OR($G414="SÁBADO",$G414="DOMINGO"),"FIN","LV"))</f>
        <v/>
      </c>
      <c r="J414" s="34">
        <f>IF(OR($A414="",$B414=""),"",IF($L414&lt;&gt;"",UPPER($L414),IF($C414="","FALTA",IFERROR(IF($C414&gt;=$O414,"ROJO FUERTE",IF($C414&gt;=$N414,"ROJO",IF($C414&gt;=$M414,"AMARILLO","VERDE"))),"REVISAR"))))</f>
        <v/>
      </c>
      <c r="K414" s="36">
        <f>IF(OR($C414="",$D414=""),"",IF($D414&gt;=$C414,($D414-$C414)*24,(1-$C414+$D414)*24))</f>
        <v/>
      </c>
      <c r="L414" s="34" t="n"/>
      <c r="M414" s="53">
        <f t="array" ref="M414">IFERROR(INDEX(EXCEPCIONES_FECHA!$D$2:$D$201,MATCH(1,(EXCEPCIONES_FECHA!$A$2:$A$201=$A414)*(EXCEPCIONES_FECHA!$B$2:$B$201=$B414),0)),IFERROR(INDEX(EXCEPCIONES_FECHA!$D$2:$D$201,MATCH(1,(EXCEPCIONES_FECHA!$A$2:$A$201=$A414)*(EXCEPCIONES_FECHA!$B$2:$B$201=""),0)),IFERROR(INDEX(IF($I414="FIN",HISTORIAL_HORARIOS!$J$2:$J$201,HISTORIAL_HORARIOS!$F$2:$F$201),MATCH(1,(HISTORIAL_HORARIOS!$A$2:$A$201=$B414)*(HISTORIAL_HORARIOS!$C$2:$C$201&lt;=$A414)*(HISTORIAL_HORARIOS!$D$2:$D$201&gt;=$A414),0)),INDEX(IF($I414="FIN",PERSONAL!$J$2:$J$80,PERSONAL!$F$2:$F$80),MATCH($B414,PERSONAL!$A$2:$A$80,0)))))</f>
        <v/>
      </c>
      <c r="N414" s="53">
        <f t="array" ref="N414">IFERROR(INDEX(EXCEPCIONES_FECHA!$E$2:$E$201,MATCH(1,(EXCEPCIONES_FECHA!$A$2:$A$201=$A414)*(EXCEPCIONES_FECHA!$B$2:$B$201=$B414),0)),IFERROR(INDEX(EXCEPCIONES_FECHA!$E$2:$E$201,MATCH(1,(EXCEPCIONES_FECHA!$A$2:$A$201=$A414)*(EXCEPCIONES_FECHA!$B$2:$B$201=""),0)),IFERROR(INDEX(IF($I414="FIN",HISTORIAL_HORARIOS!$K$2:$K$201,HISTORIAL_HORARIOS!$G$2:$G$201),MATCH(1,(HISTORIAL_HORARIOS!$A$2:$A$201=$B414)*(HISTORIAL_HORARIOS!$C$2:$C$201&lt;=$A414)*(HISTORIAL_HORARIOS!$D$2:$D$201&gt;=$A414),0)),INDEX(IF($I414="FIN",PERSONAL!$K$2:$K$80,PERSONAL!$G$2:$G$80),MATCH($B414,PERSONAL!$A$2:$A$80,0)))))</f>
        <v/>
      </c>
      <c r="O414" s="53">
        <f t="array" ref="O414">IFERROR(INDEX(EXCEPCIONES_FECHA!$F$2:$F$201,MATCH(1,(EXCEPCIONES_FECHA!$A$2:$A$201=$A414)*(EXCEPCIONES_FECHA!$B$2:$B$201=$B414),0)),IFERROR(INDEX(EXCEPCIONES_FECHA!$F$2:$F$201,MATCH(1,(EXCEPCIONES_FECHA!$A$2:$A$201=$A414)*(EXCEPCIONES_FECHA!$B$2:$B$201=""),0)),IFERROR(INDEX(IF($I414="FIN",HISTORIAL_HORARIOS!$L$2:$L$201,HISTORIAL_HORARIOS!$H$2:$H$201),MATCH(1,(HISTORIAL_HORARIOS!$A$2:$A$201=$B414)*(HISTORIAL_HORARIOS!$C$2:$C$201&lt;=$A414)*(HISTORIAL_HORARIOS!$D$2:$D$201&gt;=$A414),0)),INDEX(IF($I414="FIN",PERSONAL!$L$2:$L$80,PERSONAL!$H$2:$H$80),MATCH($B414,PERSONAL!$A$2:$A$80,0)))))</f>
        <v/>
      </c>
    </row>
    <row r="415" ht="15" customHeight="1" s="58">
      <c r="A415" s="37" t="n"/>
      <c r="B415" s="38" t="n"/>
      <c r="C415" s="39" t="n"/>
      <c r="D415" s="39" t="n"/>
      <c r="E415" s="34">
        <f t="array" ref="E415">IF($B415="","",IFERROR(INDEX(PERSONAL!$B$2:$B$80,MATCH($B415,PERSONAL!$A$2:$A$80,0)),"NO EXISTE"))</f>
        <v/>
      </c>
      <c r="F415" s="52">
        <f t="array" ref="F415">IF($B415="","",IFERROR(INDEX(PERSONAL!$C$2:$C$80,MATCH($B415,PERSONAL!$A$2:$A$80,0)),""))</f>
        <v/>
      </c>
      <c r="G415" s="52">
        <f>IF($A415="","",CHOOSE(WEEKDAY($A415,2),"LUNES","MARTES","MIÉRCOLES","JUEVES","VIERNES","SÁBADO","DOMINGO"))</f>
        <v/>
      </c>
      <c r="H415" s="34">
        <f>IF($A415="","",CHOOSE(MONTH($A415),"ENERO","FEBRERO","MARZO","ABRIL","MAYO","JUNIO","JULIO","AGOSTO","SEPTIEMBRE","OCTUBRE","NOVIEMBRE","DICIEMBRE"))</f>
        <v/>
      </c>
      <c r="I415" s="34">
        <f>IF($A415="","",IF(OR($G415="SÁBADO",$G415="DOMINGO"),"FIN","LV"))</f>
        <v/>
      </c>
      <c r="J415" s="34">
        <f>IF(OR($A415="",$B415=""),"",IF($L415&lt;&gt;"",UPPER($L415),IF($C415="","FALTA",IFERROR(IF($C415&gt;=$O415,"ROJO FUERTE",IF($C415&gt;=$N415,"ROJO",IF($C415&gt;=$M415,"AMARILLO","VERDE"))),"REVISAR"))))</f>
        <v/>
      </c>
      <c r="K415" s="36">
        <f>IF(OR($C415="",$D415=""),"",IF($D415&gt;=$C415,($D415-$C415)*24,(1-$C415+$D415)*24))</f>
        <v/>
      </c>
      <c r="L415" s="34" t="n"/>
      <c r="M415" s="53">
        <f t="array" ref="M415">IFERROR(INDEX(EXCEPCIONES_FECHA!$D$2:$D$201,MATCH(1,(EXCEPCIONES_FECHA!$A$2:$A$201=$A415)*(EXCEPCIONES_FECHA!$B$2:$B$201=$B415),0)),IFERROR(INDEX(EXCEPCIONES_FECHA!$D$2:$D$201,MATCH(1,(EXCEPCIONES_FECHA!$A$2:$A$201=$A415)*(EXCEPCIONES_FECHA!$B$2:$B$201=""),0)),IFERROR(INDEX(IF($I415="FIN",HISTORIAL_HORARIOS!$J$2:$J$201,HISTORIAL_HORARIOS!$F$2:$F$201),MATCH(1,(HISTORIAL_HORARIOS!$A$2:$A$201=$B415)*(HISTORIAL_HORARIOS!$C$2:$C$201&lt;=$A415)*(HISTORIAL_HORARIOS!$D$2:$D$201&gt;=$A415),0)),INDEX(IF($I415="FIN",PERSONAL!$J$2:$J$80,PERSONAL!$F$2:$F$80),MATCH($B415,PERSONAL!$A$2:$A$80,0)))))</f>
        <v/>
      </c>
      <c r="N415" s="53">
        <f t="array" ref="N415">IFERROR(INDEX(EXCEPCIONES_FECHA!$E$2:$E$201,MATCH(1,(EXCEPCIONES_FECHA!$A$2:$A$201=$A415)*(EXCEPCIONES_FECHA!$B$2:$B$201=$B415),0)),IFERROR(INDEX(EXCEPCIONES_FECHA!$E$2:$E$201,MATCH(1,(EXCEPCIONES_FECHA!$A$2:$A$201=$A415)*(EXCEPCIONES_FECHA!$B$2:$B$201=""),0)),IFERROR(INDEX(IF($I415="FIN",HISTORIAL_HORARIOS!$K$2:$K$201,HISTORIAL_HORARIOS!$G$2:$G$201),MATCH(1,(HISTORIAL_HORARIOS!$A$2:$A$201=$B415)*(HISTORIAL_HORARIOS!$C$2:$C$201&lt;=$A415)*(HISTORIAL_HORARIOS!$D$2:$D$201&gt;=$A415),0)),INDEX(IF($I415="FIN",PERSONAL!$K$2:$K$80,PERSONAL!$G$2:$G$80),MATCH($B415,PERSONAL!$A$2:$A$80,0)))))</f>
        <v/>
      </c>
      <c r="O415" s="53">
        <f t="array" ref="O415">IFERROR(INDEX(EXCEPCIONES_FECHA!$F$2:$F$201,MATCH(1,(EXCEPCIONES_FECHA!$A$2:$A$201=$A415)*(EXCEPCIONES_FECHA!$B$2:$B$201=$B415),0)),IFERROR(INDEX(EXCEPCIONES_FECHA!$F$2:$F$201,MATCH(1,(EXCEPCIONES_FECHA!$A$2:$A$201=$A415)*(EXCEPCIONES_FECHA!$B$2:$B$201=""),0)),IFERROR(INDEX(IF($I415="FIN",HISTORIAL_HORARIOS!$L$2:$L$201,HISTORIAL_HORARIOS!$H$2:$H$201),MATCH(1,(HISTORIAL_HORARIOS!$A$2:$A$201=$B415)*(HISTORIAL_HORARIOS!$C$2:$C$201&lt;=$A415)*(HISTORIAL_HORARIOS!$D$2:$D$201&gt;=$A415),0)),INDEX(IF($I415="FIN",PERSONAL!$L$2:$L$80,PERSONAL!$H$2:$H$80),MATCH($B415,PERSONAL!$A$2:$A$80,0)))))</f>
        <v/>
      </c>
    </row>
    <row r="416" ht="15" customHeight="1" s="58">
      <c r="A416" s="37" t="n"/>
      <c r="B416" s="38" t="n"/>
      <c r="C416" s="39" t="n"/>
      <c r="D416" s="39" t="n"/>
      <c r="E416" s="34">
        <f t="array" ref="E416">IF($B416="","",IFERROR(INDEX(PERSONAL!$B$2:$B$80,MATCH($B416,PERSONAL!$A$2:$A$80,0)),"NO EXISTE"))</f>
        <v/>
      </c>
      <c r="F416" s="52">
        <f t="array" ref="F416">IF($B416="","",IFERROR(INDEX(PERSONAL!$C$2:$C$80,MATCH($B416,PERSONAL!$A$2:$A$80,0)),""))</f>
        <v/>
      </c>
      <c r="G416" s="52">
        <f>IF($A416="","",CHOOSE(WEEKDAY($A416,2),"LUNES","MARTES","MIÉRCOLES","JUEVES","VIERNES","SÁBADO","DOMINGO"))</f>
        <v/>
      </c>
      <c r="H416" s="34">
        <f>IF($A416="","",CHOOSE(MONTH($A416),"ENERO","FEBRERO","MARZO","ABRIL","MAYO","JUNIO","JULIO","AGOSTO","SEPTIEMBRE","OCTUBRE","NOVIEMBRE","DICIEMBRE"))</f>
        <v/>
      </c>
      <c r="I416" s="34">
        <f>IF($A416="","",IF(OR($G416="SÁBADO",$G416="DOMINGO"),"FIN","LV"))</f>
        <v/>
      </c>
      <c r="J416" s="34">
        <f>IF(OR($A416="",$B416=""),"",IF($L416&lt;&gt;"",UPPER($L416),IF($C416="","FALTA",IFERROR(IF($C416&gt;=$O416,"ROJO FUERTE",IF($C416&gt;=$N416,"ROJO",IF($C416&gt;=$M416,"AMARILLO","VERDE"))),"REVISAR"))))</f>
        <v/>
      </c>
      <c r="K416" s="36">
        <f>IF(OR($C416="",$D416=""),"",IF($D416&gt;=$C416,($D416-$C416)*24,(1-$C416+$D416)*24))</f>
        <v/>
      </c>
      <c r="L416" s="34" t="n"/>
      <c r="M416" s="53">
        <f t="array" ref="M416">IFERROR(INDEX(EXCEPCIONES_FECHA!$D$2:$D$201,MATCH(1,(EXCEPCIONES_FECHA!$A$2:$A$201=$A416)*(EXCEPCIONES_FECHA!$B$2:$B$201=$B416),0)),IFERROR(INDEX(EXCEPCIONES_FECHA!$D$2:$D$201,MATCH(1,(EXCEPCIONES_FECHA!$A$2:$A$201=$A416)*(EXCEPCIONES_FECHA!$B$2:$B$201=""),0)),IFERROR(INDEX(IF($I416="FIN",HISTORIAL_HORARIOS!$J$2:$J$201,HISTORIAL_HORARIOS!$F$2:$F$201),MATCH(1,(HISTORIAL_HORARIOS!$A$2:$A$201=$B416)*(HISTORIAL_HORARIOS!$C$2:$C$201&lt;=$A416)*(HISTORIAL_HORARIOS!$D$2:$D$201&gt;=$A416),0)),INDEX(IF($I416="FIN",PERSONAL!$J$2:$J$80,PERSONAL!$F$2:$F$80),MATCH($B416,PERSONAL!$A$2:$A$80,0)))))</f>
        <v/>
      </c>
      <c r="N416" s="53">
        <f t="array" ref="N416">IFERROR(INDEX(EXCEPCIONES_FECHA!$E$2:$E$201,MATCH(1,(EXCEPCIONES_FECHA!$A$2:$A$201=$A416)*(EXCEPCIONES_FECHA!$B$2:$B$201=$B416),0)),IFERROR(INDEX(EXCEPCIONES_FECHA!$E$2:$E$201,MATCH(1,(EXCEPCIONES_FECHA!$A$2:$A$201=$A416)*(EXCEPCIONES_FECHA!$B$2:$B$201=""),0)),IFERROR(INDEX(IF($I416="FIN",HISTORIAL_HORARIOS!$K$2:$K$201,HISTORIAL_HORARIOS!$G$2:$G$201),MATCH(1,(HISTORIAL_HORARIOS!$A$2:$A$201=$B416)*(HISTORIAL_HORARIOS!$C$2:$C$201&lt;=$A416)*(HISTORIAL_HORARIOS!$D$2:$D$201&gt;=$A416),0)),INDEX(IF($I416="FIN",PERSONAL!$K$2:$K$80,PERSONAL!$G$2:$G$80),MATCH($B416,PERSONAL!$A$2:$A$80,0)))))</f>
        <v/>
      </c>
      <c r="O416" s="53">
        <f t="array" ref="O416">IFERROR(INDEX(EXCEPCIONES_FECHA!$F$2:$F$201,MATCH(1,(EXCEPCIONES_FECHA!$A$2:$A$201=$A416)*(EXCEPCIONES_FECHA!$B$2:$B$201=$B416),0)),IFERROR(INDEX(EXCEPCIONES_FECHA!$F$2:$F$201,MATCH(1,(EXCEPCIONES_FECHA!$A$2:$A$201=$A416)*(EXCEPCIONES_FECHA!$B$2:$B$201=""),0)),IFERROR(INDEX(IF($I416="FIN",HISTORIAL_HORARIOS!$L$2:$L$201,HISTORIAL_HORARIOS!$H$2:$H$201),MATCH(1,(HISTORIAL_HORARIOS!$A$2:$A$201=$B416)*(HISTORIAL_HORARIOS!$C$2:$C$201&lt;=$A416)*(HISTORIAL_HORARIOS!$D$2:$D$201&gt;=$A416),0)),INDEX(IF($I416="FIN",PERSONAL!$L$2:$L$80,PERSONAL!$H$2:$H$80),MATCH($B416,PERSONAL!$A$2:$A$80,0)))))</f>
        <v/>
      </c>
    </row>
    <row r="417" ht="15" customHeight="1" s="58">
      <c r="A417" s="37" t="n"/>
      <c r="B417" s="38" t="n"/>
      <c r="C417" s="39" t="n"/>
      <c r="D417" s="39" t="n"/>
      <c r="E417" s="34">
        <f t="array" ref="E417">IF($B417="","",IFERROR(INDEX(PERSONAL!$B$2:$B$80,MATCH($B417,PERSONAL!$A$2:$A$80,0)),"NO EXISTE"))</f>
        <v/>
      </c>
      <c r="F417" s="52">
        <f t="array" ref="F417">IF($B417="","",IFERROR(INDEX(PERSONAL!$C$2:$C$80,MATCH($B417,PERSONAL!$A$2:$A$80,0)),""))</f>
        <v/>
      </c>
      <c r="G417" s="52">
        <f>IF($A417="","",CHOOSE(WEEKDAY($A417,2),"LUNES","MARTES","MIÉRCOLES","JUEVES","VIERNES","SÁBADO","DOMINGO"))</f>
        <v/>
      </c>
      <c r="H417" s="34">
        <f>IF($A417="","",CHOOSE(MONTH($A417),"ENERO","FEBRERO","MARZO","ABRIL","MAYO","JUNIO","JULIO","AGOSTO","SEPTIEMBRE","OCTUBRE","NOVIEMBRE","DICIEMBRE"))</f>
        <v/>
      </c>
      <c r="I417" s="34">
        <f>IF($A417="","",IF(OR($G417="SÁBADO",$G417="DOMINGO"),"FIN","LV"))</f>
        <v/>
      </c>
      <c r="J417" s="34">
        <f>IF(OR($A417="",$B417=""),"",IF($L417&lt;&gt;"",UPPER($L417),IF($C417="","FALTA",IFERROR(IF($C417&gt;=$O417,"ROJO FUERTE",IF($C417&gt;=$N417,"ROJO",IF($C417&gt;=$M417,"AMARILLO","VERDE"))),"REVISAR"))))</f>
        <v/>
      </c>
      <c r="K417" s="36">
        <f>IF(OR($C417="",$D417=""),"",IF($D417&gt;=$C417,($D417-$C417)*24,(1-$C417+$D417)*24))</f>
        <v/>
      </c>
      <c r="L417" s="34" t="n"/>
      <c r="M417" s="53">
        <f t="array" ref="M417">IFERROR(INDEX(EXCEPCIONES_FECHA!$D$2:$D$201,MATCH(1,(EXCEPCIONES_FECHA!$A$2:$A$201=$A417)*(EXCEPCIONES_FECHA!$B$2:$B$201=$B417),0)),IFERROR(INDEX(EXCEPCIONES_FECHA!$D$2:$D$201,MATCH(1,(EXCEPCIONES_FECHA!$A$2:$A$201=$A417)*(EXCEPCIONES_FECHA!$B$2:$B$201=""),0)),IFERROR(INDEX(IF($I417="FIN",HISTORIAL_HORARIOS!$J$2:$J$201,HISTORIAL_HORARIOS!$F$2:$F$201),MATCH(1,(HISTORIAL_HORARIOS!$A$2:$A$201=$B417)*(HISTORIAL_HORARIOS!$C$2:$C$201&lt;=$A417)*(HISTORIAL_HORARIOS!$D$2:$D$201&gt;=$A417),0)),INDEX(IF($I417="FIN",PERSONAL!$J$2:$J$80,PERSONAL!$F$2:$F$80),MATCH($B417,PERSONAL!$A$2:$A$80,0)))))</f>
        <v/>
      </c>
      <c r="N417" s="53">
        <f t="array" ref="N417">IFERROR(INDEX(EXCEPCIONES_FECHA!$E$2:$E$201,MATCH(1,(EXCEPCIONES_FECHA!$A$2:$A$201=$A417)*(EXCEPCIONES_FECHA!$B$2:$B$201=$B417),0)),IFERROR(INDEX(EXCEPCIONES_FECHA!$E$2:$E$201,MATCH(1,(EXCEPCIONES_FECHA!$A$2:$A$201=$A417)*(EXCEPCIONES_FECHA!$B$2:$B$201=""),0)),IFERROR(INDEX(IF($I417="FIN",HISTORIAL_HORARIOS!$K$2:$K$201,HISTORIAL_HORARIOS!$G$2:$G$201),MATCH(1,(HISTORIAL_HORARIOS!$A$2:$A$201=$B417)*(HISTORIAL_HORARIOS!$C$2:$C$201&lt;=$A417)*(HISTORIAL_HORARIOS!$D$2:$D$201&gt;=$A417),0)),INDEX(IF($I417="FIN",PERSONAL!$K$2:$K$80,PERSONAL!$G$2:$G$80),MATCH($B417,PERSONAL!$A$2:$A$80,0)))))</f>
        <v/>
      </c>
      <c r="O417" s="53">
        <f t="array" ref="O417">IFERROR(INDEX(EXCEPCIONES_FECHA!$F$2:$F$201,MATCH(1,(EXCEPCIONES_FECHA!$A$2:$A$201=$A417)*(EXCEPCIONES_FECHA!$B$2:$B$201=$B417),0)),IFERROR(INDEX(EXCEPCIONES_FECHA!$F$2:$F$201,MATCH(1,(EXCEPCIONES_FECHA!$A$2:$A$201=$A417)*(EXCEPCIONES_FECHA!$B$2:$B$201=""),0)),IFERROR(INDEX(IF($I417="FIN",HISTORIAL_HORARIOS!$L$2:$L$201,HISTORIAL_HORARIOS!$H$2:$H$201),MATCH(1,(HISTORIAL_HORARIOS!$A$2:$A$201=$B417)*(HISTORIAL_HORARIOS!$C$2:$C$201&lt;=$A417)*(HISTORIAL_HORARIOS!$D$2:$D$201&gt;=$A417),0)),INDEX(IF($I417="FIN",PERSONAL!$L$2:$L$80,PERSONAL!$H$2:$H$80),MATCH($B417,PERSONAL!$A$2:$A$80,0)))))</f>
        <v/>
      </c>
    </row>
    <row r="418" ht="15" customHeight="1" s="58">
      <c r="A418" s="37" t="n"/>
      <c r="B418" s="38" t="n"/>
      <c r="C418" s="39" t="n"/>
      <c r="D418" s="39" t="n"/>
      <c r="E418" s="34">
        <f t="array" ref="E418">IF($B418="","",IFERROR(INDEX(PERSONAL!$B$2:$B$80,MATCH($B418,PERSONAL!$A$2:$A$80,0)),"NO EXISTE"))</f>
        <v/>
      </c>
      <c r="F418" s="52">
        <f t="array" ref="F418">IF($B418="","",IFERROR(INDEX(PERSONAL!$C$2:$C$80,MATCH($B418,PERSONAL!$A$2:$A$80,0)),""))</f>
        <v/>
      </c>
      <c r="G418" s="52">
        <f>IF($A418="","",CHOOSE(WEEKDAY($A418,2),"LUNES","MARTES","MIÉRCOLES","JUEVES","VIERNES","SÁBADO","DOMINGO"))</f>
        <v/>
      </c>
      <c r="H418" s="34">
        <f>IF($A418="","",CHOOSE(MONTH($A418),"ENERO","FEBRERO","MARZO","ABRIL","MAYO","JUNIO","JULIO","AGOSTO","SEPTIEMBRE","OCTUBRE","NOVIEMBRE","DICIEMBRE"))</f>
        <v/>
      </c>
      <c r="I418" s="34">
        <f>IF($A418="","",IF(OR($G418="SÁBADO",$G418="DOMINGO"),"FIN","LV"))</f>
        <v/>
      </c>
      <c r="J418" s="34">
        <f>IF(OR($A418="",$B418=""),"",IF($L418&lt;&gt;"",UPPER($L418),IF($C418="","FALTA",IFERROR(IF($C418&gt;=$O418,"ROJO FUERTE",IF($C418&gt;=$N418,"ROJO",IF($C418&gt;=$M418,"AMARILLO","VERDE"))),"REVISAR"))))</f>
        <v/>
      </c>
      <c r="K418" s="36">
        <f>IF(OR($C418="",$D418=""),"",IF($D418&gt;=$C418,($D418-$C418)*24,(1-$C418+$D418)*24))</f>
        <v/>
      </c>
      <c r="L418" s="34" t="n"/>
      <c r="M418" s="53">
        <f t="array" ref="M418">IFERROR(INDEX(EXCEPCIONES_FECHA!$D$2:$D$201,MATCH(1,(EXCEPCIONES_FECHA!$A$2:$A$201=$A418)*(EXCEPCIONES_FECHA!$B$2:$B$201=$B418),0)),IFERROR(INDEX(EXCEPCIONES_FECHA!$D$2:$D$201,MATCH(1,(EXCEPCIONES_FECHA!$A$2:$A$201=$A418)*(EXCEPCIONES_FECHA!$B$2:$B$201=""),0)),IFERROR(INDEX(IF($I418="FIN",HISTORIAL_HORARIOS!$J$2:$J$201,HISTORIAL_HORARIOS!$F$2:$F$201),MATCH(1,(HISTORIAL_HORARIOS!$A$2:$A$201=$B418)*(HISTORIAL_HORARIOS!$C$2:$C$201&lt;=$A418)*(HISTORIAL_HORARIOS!$D$2:$D$201&gt;=$A418),0)),INDEX(IF($I418="FIN",PERSONAL!$J$2:$J$80,PERSONAL!$F$2:$F$80),MATCH($B418,PERSONAL!$A$2:$A$80,0)))))</f>
        <v/>
      </c>
      <c r="N418" s="53">
        <f t="array" ref="N418">IFERROR(INDEX(EXCEPCIONES_FECHA!$E$2:$E$201,MATCH(1,(EXCEPCIONES_FECHA!$A$2:$A$201=$A418)*(EXCEPCIONES_FECHA!$B$2:$B$201=$B418),0)),IFERROR(INDEX(EXCEPCIONES_FECHA!$E$2:$E$201,MATCH(1,(EXCEPCIONES_FECHA!$A$2:$A$201=$A418)*(EXCEPCIONES_FECHA!$B$2:$B$201=""),0)),IFERROR(INDEX(IF($I418="FIN",HISTORIAL_HORARIOS!$K$2:$K$201,HISTORIAL_HORARIOS!$G$2:$G$201),MATCH(1,(HISTORIAL_HORARIOS!$A$2:$A$201=$B418)*(HISTORIAL_HORARIOS!$C$2:$C$201&lt;=$A418)*(HISTORIAL_HORARIOS!$D$2:$D$201&gt;=$A418),0)),INDEX(IF($I418="FIN",PERSONAL!$K$2:$K$80,PERSONAL!$G$2:$G$80),MATCH($B418,PERSONAL!$A$2:$A$80,0)))))</f>
        <v/>
      </c>
      <c r="O418" s="53">
        <f t="array" ref="O418">IFERROR(INDEX(EXCEPCIONES_FECHA!$F$2:$F$201,MATCH(1,(EXCEPCIONES_FECHA!$A$2:$A$201=$A418)*(EXCEPCIONES_FECHA!$B$2:$B$201=$B418),0)),IFERROR(INDEX(EXCEPCIONES_FECHA!$F$2:$F$201,MATCH(1,(EXCEPCIONES_FECHA!$A$2:$A$201=$A418)*(EXCEPCIONES_FECHA!$B$2:$B$201=""),0)),IFERROR(INDEX(IF($I418="FIN",HISTORIAL_HORARIOS!$L$2:$L$201,HISTORIAL_HORARIOS!$H$2:$H$201),MATCH(1,(HISTORIAL_HORARIOS!$A$2:$A$201=$B418)*(HISTORIAL_HORARIOS!$C$2:$C$201&lt;=$A418)*(HISTORIAL_HORARIOS!$D$2:$D$201&gt;=$A418),0)),INDEX(IF($I418="FIN",PERSONAL!$L$2:$L$80,PERSONAL!$H$2:$H$80),MATCH($B418,PERSONAL!$A$2:$A$80,0)))))</f>
        <v/>
      </c>
    </row>
    <row r="419" ht="15" customHeight="1" s="58">
      <c r="A419" s="37" t="n"/>
      <c r="B419" s="38" t="n"/>
      <c r="C419" s="39" t="n"/>
      <c r="D419" s="39" t="n"/>
      <c r="E419" s="34">
        <f t="array" ref="E419">IF($B419="","",IFERROR(INDEX(PERSONAL!$B$2:$B$80,MATCH($B419,PERSONAL!$A$2:$A$80,0)),"NO EXISTE"))</f>
        <v/>
      </c>
      <c r="F419" s="52">
        <f t="array" ref="F419">IF($B419="","",IFERROR(INDEX(PERSONAL!$C$2:$C$80,MATCH($B419,PERSONAL!$A$2:$A$80,0)),""))</f>
        <v/>
      </c>
      <c r="G419" s="52">
        <f>IF($A419="","",CHOOSE(WEEKDAY($A419,2),"LUNES","MARTES","MIÉRCOLES","JUEVES","VIERNES","SÁBADO","DOMINGO"))</f>
        <v/>
      </c>
      <c r="H419" s="34">
        <f>IF($A419="","",CHOOSE(MONTH($A419),"ENERO","FEBRERO","MARZO","ABRIL","MAYO","JUNIO","JULIO","AGOSTO","SEPTIEMBRE","OCTUBRE","NOVIEMBRE","DICIEMBRE"))</f>
        <v/>
      </c>
      <c r="I419" s="34">
        <f>IF($A419="","",IF(OR($G419="SÁBADO",$G419="DOMINGO"),"FIN","LV"))</f>
        <v/>
      </c>
      <c r="J419" s="34">
        <f>IF(OR($A419="",$B419=""),"",IF($L419&lt;&gt;"",UPPER($L419),IF($C419="","FALTA",IFERROR(IF($C419&gt;=$O419,"ROJO FUERTE",IF($C419&gt;=$N419,"ROJO",IF($C419&gt;=$M419,"AMARILLO","VERDE"))),"REVISAR"))))</f>
        <v/>
      </c>
      <c r="K419" s="36">
        <f>IF(OR($C419="",$D419=""),"",IF($D419&gt;=$C419,($D419-$C419)*24,(1-$C419+$D419)*24))</f>
        <v/>
      </c>
      <c r="L419" s="34" t="n"/>
      <c r="M419" s="53">
        <f t="array" ref="M419">IFERROR(INDEX(EXCEPCIONES_FECHA!$D$2:$D$201,MATCH(1,(EXCEPCIONES_FECHA!$A$2:$A$201=$A419)*(EXCEPCIONES_FECHA!$B$2:$B$201=$B419),0)),IFERROR(INDEX(EXCEPCIONES_FECHA!$D$2:$D$201,MATCH(1,(EXCEPCIONES_FECHA!$A$2:$A$201=$A419)*(EXCEPCIONES_FECHA!$B$2:$B$201=""),0)),IFERROR(INDEX(IF($I419="FIN",HISTORIAL_HORARIOS!$J$2:$J$201,HISTORIAL_HORARIOS!$F$2:$F$201),MATCH(1,(HISTORIAL_HORARIOS!$A$2:$A$201=$B419)*(HISTORIAL_HORARIOS!$C$2:$C$201&lt;=$A419)*(HISTORIAL_HORARIOS!$D$2:$D$201&gt;=$A419),0)),INDEX(IF($I419="FIN",PERSONAL!$J$2:$J$80,PERSONAL!$F$2:$F$80),MATCH($B419,PERSONAL!$A$2:$A$80,0)))))</f>
        <v/>
      </c>
      <c r="N419" s="53">
        <f t="array" ref="N419">IFERROR(INDEX(EXCEPCIONES_FECHA!$E$2:$E$201,MATCH(1,(EXCEPCIONES_FECHA!$A$2:$A$201=$A419)*(EXCEPCIONES_FECHA!$B$2:$B$201=$B419),0)),IFERROR(INDEX(EXCEPCIONES_FECHA!$E$2:$E$201,MATCH(1,(EXCEPCIONES_FECHA!$A$2:$A$201=$A419)*(EXCEPCIONES_FECHA!$B$2:$B$201=""),0)),IFERROR(INDEX(IF($I419="FIN",HISTORIAL_HORARIOS!$K$2:$K$201,HISTORIAL_HORARIOS!$G$2:$G$201),MATCH(1,(HISTORIAL_HORARIOS!$A$2:$A$201=$B419)*(HISTORIAL_HORARIOS!$C$2:$C$201&lt;=$A419)*(HISTORIAL_HORARIOS!$D$2:$D$201&gt;=$A419),0)),INDEX(IF($I419="FIN",PERSONAL!$K$2:$K$80,PERSONAL!$G$2:$G$80),MATCH($B419,PERSONAL!$A$2:$A$80,0)))))</f>
        <v/>
      </c>
      <c r="O419" s="53">
        <f t="array" ref="O419">IFERROR(INDEX(EXCEPCIONES_FECHA!$F$2:$F$201,MATCH(1,(EXCEPCIONES_FECHA!$A$2:$A$201=$A419)*(EXCEPCIONES_FECHA!$B$2:$B$201=$B419),0)),IFERROR(INDEX(EXCEPCIONES_FECHA!$F$2:$F$201,MATCH(1,(EXCEPCIONES_FECHA!$A$2:$A$201=$A419)*(EXCEPCIONES_FECHA!$B$2:$B$201=""),0)),IFERROR(INDEX(IF($I419="FIN",HISTORIAL_HORARIOS!$L$2:$L$201,HISTORIAL_HORARIOS!$H$2:$H$201),MATCH(1,(HISTORIAL_HORARIOS!$A$2:$A$201=$B419)*(HISTORIAL_HORARIOS!$C$2:$C$201&lt;=$A419)*(HISTORIAL_HORARIOS!$D$2:$D$201&gt;=$A419),0)),INDEX(IF($I419="FIN",PERSONAL!$L$2:$L$80,PERSONAL!$H$2:$H$80),MATCH($B419,PERSONAL!$A$2:$A$80,0)))))</f>
        <v/>
      </c>
    </row>
    <row r="420" ht="15" customHeight="1" s="58">
      <c r="A420" s="37" t="n"/>
      <c r="B420" s="38" t="n"/>
      <c r="C420" s="39" t="n"/>
      <c r="D420" s="39" t="n"/>
      <c r="E420" s="34">
        <f t="array" ref="E420">IF($B420="","",IFERROR(INDEX(PERSONAL!$B$2:$B$80,MATCH($B420,PERSONAL!$A$2:$A$80,0)),"NO EXISTE"))</f>
        <v/>
      </c>
      <c r="F420" s="52">
        <f t="array" ref="F420">IF($B420="","",IFERROR(INDEX(PERSONAL!$C$2:$C$80,MATCH($B420,PERSONAL!$A$2:$A$80,0)),""))</f>
        <v/>
      </c>
      <c r="G420" s="52">
        <f>IF($A420="","",CHOOSE(WEEKDAY($A420,2),"LUNES","MARTES","MIÉRCOLES","JUEVES","VIERNES","SÁBADO","DOMINGO"))</f>
        <v/>
      </c>
      <c r="H420" s="34">
        <f>IF($A420="","",CHOOSE(MONTH($A420),"ENERO","FEBRERO","MARZO","ABRIL","MAYO","JUNIO","JULIO","AGOSTO","SEPTIEMBRE","OCTUBRE","NOVIEMBRE","DICIEMBRE"))</f>
        <v/>
      </c>
      <c r="I420" s="34">
        <f>IF($A420="","",IF(OR($G420="SÁBADO",$G420="DOMINGO"),"FIN","LV"))</f>
        <v/>
      </c>
      <c r="J420" s="34">
        <f>IF(OR($A420="",$B420=""),"",IF($L420&lt;&gt;"",UPPER($L420),IF($C420="","FALTA",IFERROR(IF($C420&gt;=$O420,"ROJO FUERTE",IF($C420&gt;=$N420,"ROJO",IF($C420&gt;=$M420,"AMARILLO","VERDE"))),"REVISAR"))))</f>
        <v/>
      </c>
      <c r="K420" s="36">
        <f>IF(OR($C420="",$D420=""),"",IF($D420&gt;=$C420,($D420-$C420)*24,(1-$C420+$D420)*24))</f>
        <v/>
      </c>
      <c r="L420" s="34" t="n"/>
      <c r="M420" s="53">
        <f t="array" ref="M420">IFERROR(INDEX(EXCEPCIONES_FECHA!$D$2:$D$201,MATCH(1,(EXCEPCIONES_FECHA!$A$2:$A$201=$A420)*(EXCEPCIONES_FECHA!$B$2:$B$201=$B420),0)),IFERROR(INDEX(EXCEPCIONES_FECHA!$D$2:$D$201,MATCH(1,(EXCEPCIONES_FECHA!$A$2:$A$201=$A420)*(EXCEPCIONES_FECHA!$B$2:$B$201=""),0)),IFERROR(INDEX(IF($I420="FIN",HISTORIAL_HORARIOS!$J$2:$J$201,HISTORIAL_HORARIOS!$F$2:$F$201),MATCH(1,(HISTORIAL_HORARIOS!$A$2:$A$201=$B420)*(HISTORIAL_HORARIOS!$C$2:$C$201&lt;=$A420)*(HISTORIAL_HORARIOS!$D$2:$D$201&gt;=$A420),0)),INDEX(IF($I420="FIN",PERSONAL!$J$2:$J$80,PERSONAL!$F$2:$F$80),MATCH($B420,PERSONAL!$A$2:$A$80,0)))))</f>
        <v/>
      </c>
      <c r="N420" s="53">
        <f t="array" ref="N420">IFERROR(INDEX(EXCEPCIONES_FECHA!$E$2:$E$201,MATCH(1,(EXCEPCIONES_FECHA!$A$2:$A$201=$A420)*(EXCEPCIONES_FECHA!$B$2:$B$201=$B420),0)),IFERROR(INDEX(EXCEPCIONES_FECHA!$E$2:$E$201,MATCH(1,(EXCEPCIONES_FECHA!$A$2:$A$201=$A420)*(EXCEPCIONES_FECHA!$B$2:$B$201=""),0)),IFERROR(INDEX(IF($I420="FIN",HISTORIAL_HORARIOS!$K$2:$K$201,HISTORIAL_HORARIOS!$G$2:$G$201),MATCH(1,(HISTORIAL_HORARIOS!$A$2:$A$201=$B420)*(HISTORIAL_HORARIOS!$C$2:$C$201&lt;=$A420)*(HISTORIAL_HORARIOS!$D$2:$D$201&gt;=$A420),0)),INDEX(IF($I420="FIN",PERSONAL!$K$2:$K$80,PERSONAL!$G$2:$G$80),MATCH($B420,PERSONAL!$A$2:$A$80,0)))))</f>
        <v/>
      </c>
      <c r="O420" s="53">
        <f t="array" ref="O420">IFERROR(INDEX(EXCEPCIONES_FECHA!$F$2:$F$201,MATCH(1,(EXCEPCIONES_FECHA!$A$2:$A$201=$A420)*(EXCEPCIONES_FECHA!$B$2:$B$201=$B420),0)),IFERROR(INDEX(EXCEPCIONES_FECHA!$F$2:$F$201,MATCH(1,(EXCEPCIONES_FECHA!$A$2:$A$201=$A420)*(EXCEPCIONES_FECHA!$B$2:$B$201=""),0)),IFERROR(INDEX(IF($I420="FIN",HISTORIAL_HORARIOS!$L$2:$L$201,HISTORIAL_HORARIOS!$H$2:$H$201),MATCH(1,(HISTORIAL_HORARIOS!$A$2:$A$201=$B420)*(HISTORIAL_HORARIOS!$C$2:$C$201&lt;=$A420)*(HISTORIAL_HORARIOS!$D$2:$D$201&gt;=$A420),0)),INDEX(IF($I420="FIN",PERSONAL!$L$2:$L$80,PERSONAL!$H$2:$H$80),MATCH($B420,PERSONAL!$A$2:$A$80,0)))))</f>
        <v/>
      </c>
    </row>
    <row r="421" ht="15" customHeight="1" s="58">
      <c r="A421" s="37" t="n"/>
      <c r="B421" s="38" t="n"/>
      <c r="C421" s="39" t="n"/>
      <c r="D421" s="39" t="n"/>
      <c r="E421" s="34">
        <f t="array" ref="E421">IF($B421="","",IFERROR(INDEX(PERSONAL!$B$2:$B$80,MATCH($B421,PERSONAL!$A$2:$A$80,0)),"NO EXISTE"))</f>
        <v/>
      </c>
      <c r="F421" s="52">
        <f t="array" ref="F421">IF($B421="","",IFERROR(INDEX(PERSONAL!$C$2:$C$80,MATCH($B421,PERSONAL!$A$2:$A$80,0)),""))</f>
        <v/>
      </c>
      <c r="G421" s="52">
        <f>IF($A421="","",CHOOSE(WEEKDAY($A421,2),"LUNES","MARTES","MIÉRCOLES","JUEVES","VIERNES","SÁBADO","DOMINGO"))</f>
        <v/>
      </c>
      <c r="H421" s="34">
        <f>IF($A421="","",CHOOSE(MONTH($A421),"ENERO","FEBRERO","MARZO","ABRIL","MAYO","JUNIO","JULIO","AGOSTO","SEPTIEMBRE","OCTUBRE","NOVIEMBRE","DICIEMBRE"))</f>
        <v/>
      </c>
      <c r="I421" s="34">
        <f>IF($A421="","",IF(OR($G421="SÁBADO",$G421="DOMINGO"),"FIN","LV"))</f>
        <v/>
      </c>
      <c r="J421" s="34">
        <f>IF(OR($A421="",$B421=""),"",IF($L421&lt;&gt;"",UPPER($L421),IF($C421="","FALTA",IFERROR(IF($C421&gt;=$O421,"ROJO FUERTE",IF($C421&gt;=$N421,"ROJO",IF($C421&gt;=$M421,"AMARILLO","VERDE"))),"REVISAR"))))</f>
        <v/>
      </c>
      <c r="K421" s="36">
        <f>IF(OR($C421="",$D421=""),"",IF($D421&gt;=$C421,($D421-$C421)*24,(1-$C421+$D421)*24))</f>
        <v/>
      </c>
      <c r="L421" s="34" t="n"/>
      <c r="M421" s="53">
        <f t="array" ref="M421">IFERROR(INDEX(EXCEPCIONES_FECHA!$D$2:$D$201,MATCH(1,(EXCEPCIONES_FECHA!$A$2:$A$201=$A421)*(EXCEPCIONES_FECHA!$B$2:$B$201=$B421),0)),IFERROR(INDEX(EXCEPCIONES_FECHA!$D$2:$D$201,MATCH(1,(EXCEPCIONES_FECHA!$A$2:$A$201=$A421)*(EXCEPCIONES_FECHA!$B$2:$B$201=""),0)),IFERROR(INDEX(IF($I421="FIN",HISTORIAL_HORARIOS!$J$2:$J$201,HISTORIAL_HORARIOS!$F$2:$F$201),MATCH(1,(HISTORIAL_HORARIOS!$A$2:$A$201=$B421)*(HISTORIAL_HORARIOS!$C$2:$C$201&lt;=$A421)*(HISTORIAL_HORARIOS!$D$2:$D$201&gt;=$A421),0)),INDEX(IF($I421="FIN",PERSONAL!$J$2:$J$80,PERSONAL!$F$2:$F$80),MATCH($B421,PERSONAL!$A$2:$A$80,0)))))</f>
        <v/>
      </c>
      <c r="N421" s="53">
        <f t="array" ref="N421">IFERROR(INDEX(EXCEPCIONES_FECHA!$E$2:$E$201,MATCH(1,(EXCEPCIONES_FECHA!$A$2:$A$201=$A421)*(EXCEPCIONES_FECHA!$B$2:$B$201=$B421),0)),IFERROR(INDEX(EXCEPCIONES_FECHA!$E$2:$E$201,MATCH(1,(EXCEPCIONES_FECHA!$A$2:$A$201=$A421)*(EXCEPCIONES_FECHA!$B$2:$B$201=""),0)),IFERROR(INDEX(IF($I421="FIN",HISTORIAL_HORARIOS!$K$2:$K$201,HISTORIAL_HORARIOS!$G$2:$G$201),MATCH(1,(HISTORIAL_HORARIOS!$A$2:$A$201=$B421)*(HISTORIAL_HORARIOS!$C$2:$C$201&lt;=$A421)*(HISTORIAL_HORARIOS!$D$2:$D$201&gt;=$A421),0)),INDEX(IF($I421="FIN",PERSONAL!$K$2:$K$80,PERSONAL!$G$2:$G$80),MATCH($B421,PERSONAL!$A$2:$A$80,0)))))</f>
        <v/>
      </c>
      <c r="O421" s="53">
        <f t="array" ref="O421">IFERROR(INDEX(EXCEPCIONES_FECHA!$F$2:$F$201,MATCH(1,(EXCEPCIONES_FECHA!$A$2:$A$201=$A421)*(EXCEPCIONES_FECHA!$B$2:$B$201=$B421),0)),IFERROR(INDEX(EXCEPCIONES_FECHA!$F$2:$F$201,MATCH(1,(EXCEPCIONES_FECHA!$A$2:$A$201=$A421)*(EXCEPCIONES_FECHA!$B$2:$B$201=""),0)),IFERROR(INDEX(IF($I421="FIN",HISTORIAL_HORARIOS!$L$2:$L$201,HISTORIAL_HORARIOS!$H$2:$H$201),MATCH(1,(HISTORIAL_HORARIOS!$A$2:$A$201=$B421)*(HISTORIAL_HORARIOS!$C$2:$C$201&lt;=$A421)*(HISTORIAL_HORARIOS!$D$2:$D$201&gt;=$A421),0)),INDEX(IF($I421="FIN",PERSONAL!$L$2:$L$80,PERSONAL!$H$2:$H$80),MATCH($B421,PERSONAL!$A$2:$A$80,0)))))</f>
        <v/>
      </c>
    </row>
    <row r="422" ht="15" customHeight="1" s="58">
      <c r="A422" s="37" t="n"/>
      <c r="B422" s="38" t="n"/>
      <c r="C422" s="39" t="n"/>
      <c r="D422" s="39" t="n"/>
      <c r="E422" s="34">
        <f t="array" ref="E422">IF($B422="","",IFERROR(INDEX(PERSONAL!$B$2:$B$80,MATCH($B422,PERSONAL!$A$2:$A$80,0)),"NO EXISTE"))</f>
        <v/>
      </c>
      <c r="F422" s="52">
        <f t="array" ref="F422">IF($B422="","",IFERROR(INDEX(PERSONAL!$C$2:$C$80,MATCH($B422,PERSONAL!$A$2:$A$80,0)),""))</f>
        <v/>
      </c>
      <c r="G422" s="52">
        <f>IF($A422="","",CHOOSE(WEEKDAY($A422,2),"LUNES","MARTES","MIÉRCOLES","JUEVES","VIERNES","SÁBADO","DOMINGO"))</f>
        <v/>
      </c>
      <c r="H422" s="34">
        <f>IF($A422="","",CHOOSE(MONTH($A422),"ENERO","FEBRERO","MARZO","ABRIL","MAYO","JUNIO","JULIO","AGOSTO","SEPTIEMBRE","OCTUBRE","NOVIEMBRE","DICIEMBRE"))</f>
        <v/>
      </c>
      <c r="I422" s="34">
        <f>IF($A422="","",IF(OR($G422="SÁBADO",$G422="DOMINGO"),"FIN","LV"))</f>
        <v/>
      </c>
      <c r="J422" s="34">
        <f>IF(OR($A422="",$B422=""),"",IF($L422&lt;&gt;"",UPPER($L422),IF($C422="","FALTA",IFERROR(IF($C422&gt;=$O422,"ROJO FUERTE",IF($C422&gt;=$N422,"ROJO",IF($C422&gt;=$M422,"AMARILLO","VERDE"))),"REVISAR"))))</f>
        <v/>
      </c>
      <c r="K422" s="36">
        <f>IF(OR($C422="",$D422=""),"",IF($D422&gt;=$C422,($D422-$C422)*24,(1-$C422+$D422)*24))</f>
        <v/>
      </c>
      <c r="L422" s="34" t="n"/>
      <c r="M422" s="53">
        <f t="array" ref="M422">IFERROR(INDEX(EXCEPCIONES_FECHA!$D$2:$D$201,MATCH(1,(EXCEPCIONES_FECHA!$A$2:$A$201=$A422)*(EXCEPCIONES_FECHA!$B$2:$B$201=$B422),0)),IFERROR(INDEX(EXCEPCIONES_FECHA!$D$2:$D$201,MATCH(1,(EXCEPCIONES_FECHA!$A$2:$A$201=$A422)*(EXCEPCIONES_FECHA!$B$2:$B$201=""),0)),IFERROR(INDEX(IF($I422="FIN",HISTORIAL_HORARIOS!$J$2:$J$201,HISTORIAL_HORARIOS!$F$2:$F$201),MATCH(1,(HISTORIAL_HORARIOS!$A$2:$A$201=$B422)*(HISTORIAL_HORARIOS!$C$2:$C$201&lt;=$A422)*(HISTORIAL_HORARIOS!$D$2:$D$201&gt;=$A422),0)),INDEX(IF($I422="FIN",PERSONAL!$J$2:$J$80,PERSONAL!$F$2:$F$80),MATCH($B422,PERSONAL!$A$2:$A$80,0)))))</f>
        <v/>
      </c>
      <c r="N422" s="53">
        <f t="array" ref="N422">IFERROR(INDEX(EXCEPCIONES_FECHA!$E$2:$E$201,MATCH(1,(EXCEPCIONES_FECHA!$A$2:$A$201=$A422)*(EXCEPCIONES_FECHA!$B$2:$B$201=$B422),0)),IFERROR(INDEX(EXCEPCIONES_FECHA!$E$2:$E$201,MATCH(1,(EXCEPCIONES_FECHA!$A$2:$A$201=$A422)*(EXCEPCIONES_FECHA!$B$2:$B$201=""),0)),IFERROR(INDEX(IF($I422="FIN",HISTORIAL_HORARIOS!$K$2:$K$201,HISTORIAL_HORARIOS!$G$2:$G$201),MATCH(1,(HISTORIAL_HORARIOS!$A$2:$A$201=$B422)*(HISTORIAL_HORARIOS!$C$2:$C$201&lt;=$A422)*(HISTORIAL_HORARIOS!$D$2:$D$201&gt;=$A422),0)),INDEX(IF($I422="FIN",PERSONAL!$K$2:$K$80,PERSONAL!$G$2:$G$80),MATCH($B422,PERSONAL!$A$2:$A$80,0)))))</f>
        <v/>
      </c>
      <c r="O422" s="53">
        <f t="array" ref="O422">IFERROR(INDEX(EXCEPCIONES_FECHA!$F$2:$F$201,MATCH(1,(EXCEPCIONES_FECHA!$A$2:$A$201=$A422)*(EXCEPCIONES_FECHA!$B$2:$B$201=$B422),0)),IFERROR(INDEX(EXCEPCIONES_FECHA!$F$2:$F$201,MATCH(1,(EXCEPCIONES_FECHA!$A$2:$A$201=$A422)*(EXCEPCIONES_FECHA!$B$2:$B$201=""),0)),IFERROR(INDEX(IF($I422="FIN",HISTORIAL_HORARIOS!$L$2:$L$201,HISTORIAL_HORARIOS!$H$2:$H$201),MATCH(1,(HISTORIAL_HORARIOS!$A$2:$A$201=$B422)*(HISTORIAL_HORARIOS!$C$2:$C$201&lt;=$A422)*(HISTORIAL_HORARIOS!$D$2:$D$201&gt;=$A422),0)),INDEX(IF($I422="FIN",PERSONAL!$L$2:$L$80,PERSONAL!$H$2:$H$80),MATCH($B422,PERSONAL!$A$2:$A$80,0)))))</f>
        <v/>
      </c>
    </row>
    <row r="423" ht="15" customHeight="1" s="58">
      <c r="A423" s="37" t="n"/>
      <c r="B423" s="38" t="n"/>
      <c r="C423" s="39" t="n"/>
      <c r="D423" s="39" t="n"/>
      <c r="E423" s="34">
        <f t="array" ref="E423">IF($B423="","",IFERROR(INDEX(PERSONAL!$B$2:$B$80,MATCH($B423,PERSONAL!$A$2:$A$80,0)),"NO EXISTE"))</f>
        <v/>
      </c>
      <c r="F423" s="52">
        <f t="array" ref="F423">IF($B423="","",IFERROR(INDEX(PERSONAL!$C$2:$C$80,MATCH($B423,PERSONAL!$A$2:$A$80,0)),""))</f>
        <v/>
      </c>
      <c r="G423" s="52">
        <f>IF($A423="","",CHOOSE(WEEKDAY($A423,2),"LUNES","MARTES","MIÉRCOLES","JUEVES","VIERNES","SÁBADO","DOMINGO"))</f>
        <v/>
      </c>
      <c r="H423" s="34">
        <f>IF($A423="","",CHOOSE(MONTH($A423),"ENERO","FEBRERO","MARZO","ABRIL","MAYO","JUNIO","JULIO","AGOSTO","SEPTIEMBRE","OCTUBRE","NOVIEMBRE","DICIEMBRE"))</f>
        <v/>
      </c>
      <c r="I423" s="34">
        <f>IF($A423="","",IF(OR($G423="SÁBADO",$G423="DOMINGO"),"FIN","LV"))</f>
        <v/>
      </c>
      <c r="J423" s="34">
        <f>IF(OR($A423="",$B423=""),"",IF($L423&lt;&gt;"",UPPER($L423),IF($C423="","FALTA",IFERROR(IF($C423&gt;=$O423,"ROJO FUERTE",IF($C423&gt;=$N423,"ROJO",IF($C423&gt;=$M423,"AMARILLO","VERDE"))),"REVISAR"))))</f>
        <v/>
      </c>
      <c r="K423" s="36">
        <f>IF(OR($C423="",$D423=""),"",IF($D423&gt;=$C423,($D423-$C423)*24,(1-$C423+$D423)*24))</f>
        <v/>
      </c>
      <c r="L423" s="34" t="n"/>
      <c r="M423" s="53">
        <f t="array" ref="M423">IFERROR(INDEX(EXCEPCIONES_FECHA!$D$2:$D$201,MATCH(1,(EXCEPCIONES_FECHA!$A$2:$A$201=$A423)*(EXCEPCIONES_FECHA!$B$2:$B$201=$B423),0)),IFERROR(INDEX(EXCEPCIONES_FECHA!$D$2:$D$201,MATCH(1,(EXCEPCIONES_FECHA!$A$2:$A$201=$A423)*(EXCEPCIONES_FECHA!$B$2:$B$201=""),0)),IFERROR(INDEX(IF($I423="FIN",HISTORIAL_HORARIOS!$J$2:$J$201,HISTORIAL_HORARIOS!$F$2:$F$201),MATCH(1,(HISTORIAL_HORARIOS!$A$2:$A$201=$B423)*(HISTORIAL_HORARIOS!$C$2:$C$201&lt;=$A423)*(HISTORIAL_HORARIOS!$D$2:$D$201&gt;=$A423),0)),INDEX(IF($I423="FIN",PERSONAL!$J$2:$J$80,PERSONAL!$F$2:$F$80),MATCH($B423,PERSONAL!$A$2:$A$80,0)))))</f>
        <v/>
      </c>
      <c r="N423" s="53">
        <f t="array" ref="N423">IFERROR(INDEX(EXCEPCIONES_FECHA!$E$2:$E$201,MATCH(1,(EXCEPCIONES_FECHA!$A$2:$A$201=$A423)*(EXCEPCIONES_FECHA!$B$2:$B$201=$B423),0)),IFERROR(INDEX(EXCEPCIONES_FECHA!$E$2:$E$201,MATCH(1,(EXCEPCIONES_FECHA!$A$2:$A$201=$A423)*(EXCEPCIONES_FECHA!$B$2:$B$201=""),0)),IFERROR(INDEX(IF($I423="FIN",HISTORIAL_HORARIOS!$K$2:$K$201,HISTORIAL_HORARIOS!$G$2:$G$201),MATCH(1,(HISTORIAL_HORARIOS!$A$2:$A$201=$B423)*(HISTORIAL_HORARIOS!$C$2:$C$201&lt;=$A423)*(HISTORIAL_HORARIOS!$D$2:$D$201&gt;=$A423),0)),INDEX(IF($I423="FIN",PERSONAL!$K$2:$K$80,PERSONAL!$G$2:$G$80),MATCH($B423,PERSONAL!$A$2:$A$80,0)))))</f>
        <v/>
      </c>
      <c r="O423" s="53">
        <f t="array" ref="O423">IFERROR(INDEX(EXCEPCIONES_FECHA!$F$2:$F$201,MATCH(1,(EXCEPCIONES_FECHA!$A$2:$A$201=$A423)*(EXCEPCIONES_FECHA!$B$2:$B$201=$B423),0)),IFERROR(INDEX(EXCEPCIONES_FECHA!$F$2:$F$201,MATCH(1,(EXCEPCIONES_FECHA!$A$2:$A$201=$A423)*(EXCEPCIONES_FECHA!$B$2:$B$201=""),0)),IFERROR(INDEX(IF($I423="FIN",HISTORIAL_HORARIOS!$L$2:$L$201,HISTORIAL_HORARIOS!$H$2:$H$201),MATCH(1,(HISTORIAL_HORARIOS!$A$2:$A$201=$B423)*(HISTORIAL_HORARIOS!$C$2:$C$201&lt;=$A423)*(HISTORIAL_HORARIOS!$D$2:$D$201&gt;=$A423),0)),INDEX(IF($I423="FIN",PERSONAL!$L$2:$L$80,PERSONAL!$H$2:$H$80),MATCH($B423,PERSONAL!$A$2:$A$80,0)))))</f>
        <v/>
      </c>
    </row>
    <row r="424" ht="15" customHeight="1" s="58">
      <c r="A424" s="37" t="n"/>
      <c r="B424" s="38" t="n"/>
      <c r="C424" s="39" t="n"/>
      <c r="D424" s="39" t="n"/>
      <c r="E424" s="34">
        <f t="array" ref="E424">IF($B424="","",IFERROR(INDEX(PERSONAL!$B$2:$B$80,MATCH($B424,PERSONAL!$A$2:$A$80,0)),"NO EXISTE"))</f>
        <v/>
      </c>
      <c r="F424" s="52">
        <f t="array" ref="F424">IF($B424="","",IFERROR(INDEX(PERSONAL!$C$2:$C$80,MATCH($B424,PERSONAL!$A$2:$A$80,0)),""))</f>
        <v/>
      </c>
      <c r="G424" s="52">
        <f>IF($A424="","",CHOOSE(WEEKDAY($A424,2),"LUNES","MARTES","MIÉRCOLES","JUEVES","VIERNES","SÁBADO","DOMINGO"))</f>
        <v/>
      </c>
      <c r="H424" s="34">
        <f>IF($A424="","",CHOOSE(MONTH($A424),"ENERO","FEBRERO","MARZO","ABRIL","MAYO","JUNIO","JULIO","AGOSTO","SEPTIEMBRE","OCTUBRE","NOVIEMBRE","DICIEMBRE"))</f>
        <v/>
      </c>
      <c r="I424" s="34">
        <f>IF($A424="","",IF(OR($G424="SÁBADO",$G424="DOMINGO"),"FIN","LV"))</f>
        <v/>
      </c>
      <c r="J424" s="34">
        <f>IF(OR($A424="",$B424=""),"",IF($L424&lt;&gt;"",UPPER($L424),IF($C424="","FALTA",IFERROR(IF($C424&gt;=$O424,"ROJO FUERTE",IF($C424&gt;=$N424,"ROJO",IF($C424&gt;=$M424,"AMARILLO","VERDE"))),"REVISAR"))))</f>
        <v/>
      </c>
      <c r="K424" s="36">
        <f>IF(OR($C424="",$D424=""),"",IF($D424&gt;=$C424,($D424-$C424)*24,(1-$C424+$D424)*24))</f>
        <v/>
      </c>
      <c r="L424" s="34" t="n"/>
      <c r="M424" s="53">
        <f t="array" ref="M424">IFERROR(INDEX(EXCEPCIONES_FECHA!$D$2:$D$201,MATCH(1,(EXCEPCIONES_FECHA!$A$2:$A$201=$A424)*(EXCEPCIONES_FECHA!$B$2:$B$201=$B424),0)),IFERROR(INDEX(EXCEPCIONES_FECHA!$D$2:$D$201,MATCH(1,(EXCEPCIONES_FECHA!$A$2:$A$201=$A424)*(EXCEPCIONES_FECHA!$B$2:$B$201=""),0)),IFERROR(INDEX(IF($I424="FIN",HISTORIAL_HORARIOS!$J$2:$J$201,HISTORIAL_HORARIOS!$F$2:$F$201),MATCH(1,(HISTORIAL_HORARIOS!$A$2:$A$201=$B424)*(HISTORIAL_HORARIOS!$C$2:$C$201&lt;=$A424)*(HISTORIAL_HORARIOS!$D$2:$D$201&gt;=$A424),0)),INDEX(IF($I424="FIN",PERSONAL!$J$2:$J$80,PERSONAL!$F$2:$F$80),MATCH($B424,PERSONAL!$A$2:$A$80,0)))))</f>
        <v/>
      </c>
      <c r="N424" s="53">
        <f t="array" ref="N424">IFERROR(INDEX(EXCEPCIONES_FECHA!$E$2:$E$201,MATCH(1,(EXCEPCIONES_FECHA!$A$2:$A$201=$A424)*(EXCEPCIONES_FECHA!$B$2:$B$201=$B424),0)),IFERROR(INDEX(EXCEPCIONES_FECHA!$E$2:$E$201,MATCH(1,(EXCEPCIONES_FECHA!$A$2:$A$201=$A424)*(EXCEPCIONES_FECHA!$B$2:$B$201=""),0)),IFERROR(INDEX(IF($I424="FIN",HISTORIAL_HORARIOS!$K$2:$K$201,HISTORIAL_HORARIOS!$G$2:$G$201),MATCH(1,(HISTORIAL_HORARIOS!$A$2:$A$201=$B424)*(HISTORIAL_HORARIOS!$C$2:$C$201&lt;=$A424)*(HISTORIAL_HORARIOS!$D$2:$D$201&gt;=$A424),0)),INDEX(IF($I424="FIN",PERSONAL!$K$2:$K$80,PERSONAL!$G$2:$G$80),MATCH($B424,PERSONAL!$A$2:$A$80,0)))))</f>
        <v/>
      </c>
      <c r="O424" s="53">
        <f t="array" ref="O424">IFERROR(INDEX(EXCEPCIONES_FECHA!$F$2:$F$201,MATCH(1,(EXCEPCIONES_FECHA!$A$2:$A$201=$A424)*(EXCEPCIONES_FECHA!$B$2:$B$201=$B424),0)),IFERROR(INDEX(EXCEPCIONES_FECHA!$F$2:$F$201,MATCH(1,(EXCEPCIONES_FECHA!$A$2:$A$201=$A424)*(EXCEPCIONES_FECHA!$B$2:$B$201=""),0)),IFERROR(INDEX(IF($I424="FIN",HISTORIAL_HORARIOS!$L$2:$L$201,HISTORIAL_HORARIOS!$H$2:$H$201),MATCH(1,(HISTORIAL_HORARIOS!$A$2:$A$201=$B424)*(HISTORIAL_HORARIOS!$C$2:$C$201&lt;=$A424)*(HISTORIAL_HORARIOS!$D$2:$D$201&gt;=$A424),0)),INDEX(IF($I424="FIN",PERSONAL!$L$2:$L$80,PERSONAL!$H$2:$H$80),MATCH($B424,PERSONAL!$A$2:$A$80,0)))))</f>
        <v/>
      </c>
    </row>
    <row r="425" ht="15" customHeight="1" s="58">
      <c r="A425" s="37" t="n"/>
      <c r="B425" s="38" t="n"/>
      <c r="C425" s="39" t="n"/>
      <c r="D425" s="39" t="n"/>
      <c r="E425" s="34">
        <f t="array" ref="E425">IF($B425="","",IFERROR(INDEX(PERSONAL!$B$2:$B$80,MATCH($B425,PERSONAL!$A$2:$A$80,0)),"NO EXISTE"))</f>
        <v/>
      </c>
      <c r="F425" s="52">
        <f t="array" ref="F425">IF($B425="","",IFERROR(INDEX(PERSONAL!$C$2:$C$80,MATCH($B425,PERSONAL!$A$2:$A$80,0)),""))</f>
        <v/>
      </c>
      <c r="G425" s="52">
        <f>IF($A425="","",CHOOSE(WEEKDAY($A425,2),"LUNES","MARTES","MIÉRCOLES","JUEVES","VIERNES","SÁBADO","DOMINGO"))</f>
        <v/>
      </c>
      <c r="H425" s="34">
        <f>IF($A425="","",CHOOSE(MONTH($A425),"ENERO","FEBRERO","MARZO","ABRIL","MAYO","JUNIO","JULIO","AGOSTO","SEPTIEMBRE","OCTUBRE","NOVIEMBRE","DICIEMBRE"))</f>
        <v/>
      </c>
      <c r="I425" s="34">
        <f>IF($A425="","",IF(OR($G425="SÁBADO",$G425="DOMINGO"),"FIN","LV"))</f>
        <v/>
      </c>
      <c r="J425" s="34">
        <f>IF(OR($A425="",$B425=""),"",IF($L425&lt;&gt;"",UPPER($L425),IF($C425="","FALTA",IFERROR(IF($C425&gt;=$O425,"ROJO FUERTE",IF($C425&gt;=$N425,"ROJO",IF($C425&gt;=$M425,"AMARILLO","VERDE"))),"REVISAR"))))</f>
        <v/>
      </c>
      <c r="K425" s="36">
        <f>IF(OR($C425="",$D425=""),"",IF($D425&gt;=$C425,($D425-$C425)*24,(1-$C425+$D425)*24))</f>
        <v/>
      </c>
      <c r="L425" s="34" t="n"/>
      <c r="M425" s="53">
        <f t="array" ref="M425">IFERROR(INDEX(EXCEPCIONES_FECHA!$D$2:$D$201,MATCH(1,(EXCEPCIONES_FECHA!$A$2:$A$201=$A425)*(EXCEPCIONES_FECHA!$B$2:$B$201=$B425),0)),IFERROR(INDEX(EXCEPCIONES_FECHA!$D$2:$D$201,MATCH(1,(EXCEPCIONES_FECHA!$A$2:$A$201=$A425)*(EXCEPCIONES_FECHA!$B$2:$B$201=""),0)),IFERROR(INDEX(IF($I425="FIN",HISTORIAL_HORARIOS!$J$2:$J$201,HISTORIAL_HORARIOS!$F$2:$F$201),MATCH(1,(HISTORIAL_HORARIOS!$A$2:$A$201=$B425)*(HISTORIAL_HORARIOS!$C$2:$C$201&lt;=$A425)*(HISTORIAL_HORARIOS!$D$2:$D$201&gt;=$A425),0)),INDEX(IF($I425="FIN",PERSONAL!$J$2:$J$80,PERSONAL!$F$2:$F$80),MATCH($B425,PERSONAL!$A$2:$A$80,0)))))</f>
        <v/>
      </c>
      <c r="N425" s="53">
        <f t="array" ref="N425">IFERROR(INDEX(EXCEPCIONES_FECHA!$E$2:$E$201,MATCH(1,(EXCEPCIONES_FECHA!$A$2:$A$201=$A425)*(EXCEPCIONES_FECHA!$B$2:$B$201=$B425),0)),IFERROR(INDEX(EXCEPCIONES_FECHA!$E$2:$E$201,MATCH(1,(EXCEPCIONES_FECHA!$A$2:$A$201=$A425)*(EXCEPCIONES_FECHA!$B$2:$B$201=""),0)),IFERROR(INDEX(IF($I425="FIN",HISTORIAL_HORARIOS!$K$2:$K$201,HISTORIAL_HORARIOS!$G$2:$G$201),MATCH(1,(HISTORIAL_HORARIOS!$A$2:$A$201=$B425)*(HISTORIAL_HORARIOS!$C$2:$C$201&lt;=$A425)*(HISTORIAL_HORARIOS!$D$2:$D$201&gt;=$A425),0)),INDEX(IF($I425="FIN",PERSONAL!$K$2:$K$80,PERSONAL!$G$2:$G$80),MATCH($B425,PERSONAL!$A$2:$A$80,0)))))</f>
        <v/>
      </c>
      <c r="O425" s="53">
        <f t="array" ref="O425">IFERROR(INDEX(EXCEPCIONES_FECHA!$F$2:$F$201,MATCH(1,(EXCEPCIONES_FECHA!$A$2:$A$201=$A425)*(EXCEPCIONES_FECHA!$B$2:$B$201=$B425),0)),IFERROR(INDEX(EXCEPCIONES_FECHA!$F$2:$F$201,MATCH(1,(EXCEPCIONES_FECHA!$A$2:$A$201=$A425)*(EXCEPCIONES_FECHA!$B$2:$B$201=""),0)),IFERROR(INDEX(IF($I425="FIN",HISTORIAL_HORARIOS!$L$2:$L$201,HISTORIAL_HORARIOS!$H$2:$H$201),MATCH(1,(HISTORIAL_HORARIOS!$A$2:$A$201=$B425)*(HISTORIAL_HORARIOS!$C$2:$C$201&lt;=$A425)*(HISTORIAL_HORARIOS!$D$2:$D$201&gt;=$A425),0)),INDEX(IF($I425="FIN",PERSONAL!$L$2:$L$80,PERSONAL!$H$2:$H$80),MATCH($B425,PERSONAL!$A$2:$A$80,0)))))</f>
        <v/>
      </c>
    </row>
    <row r="426" ht="15" customHeight="1" s="58">
      <c r="A426" s="37" t="n"/>
      <c r="B426" s="38" t="n"/>
      <c r="C426" s="39" t="n"/>
      <c r="D426" s="39" t="n"/>
      <c r="E426" s="34">
        <f t="array" ref="E426">IF($B426="","",IFERROR(INDEX(PERSONAL!$B$2:$B$80,MATCH($B426,PERSONAL!$A$2:$A$80,0)),"NO EXISTE"))</f>
        <v/>
      </c>
      <c r="F426" s="52">
        <f t="array" ref="F426">IF($B426="","",IFERROR(INDEX(PERSONAL!$C$2:$C$80,MATCH($B426,PERSONAL!$A$2:$A$80,0)),""))</f>
        <v/>
      </c>
      <c r="G426" s="52">
        <f>IF($A426="","",CHOOSE(WEEKDAY($A426,2),"LUNES","MARTES","MIÉRCOLES","JUEVES","VIERNES","SÁBADO","DOMINGO"))</f>
        <v/>
      </c>
      <c r="H426" s="34">
        <f>IF($A426="","",CHOOSE(MONTH($A426),"ENERO","FEBRERO","MARZO","ABRIL","MAYO","JUNIO","JULIO","AGOSTO","SEPTIEMBRE","OCTUBRE","NOVIEMBRE","DICIEMBRE"))</f>
        <v/>
      </c>
      <c r="I426" s="34">
        <f>IF($A426="","",IF(OR($G426="SÁBADO",$G426="DOMINGO"),"FIN","LV"))</f>
        <v/>
      </c>
      <c r="J426" s="34">
        <f>IF(OR($A426="",$B426=""),"",IF($L426&lt;&gt;"",UPPER($L426),IF($C426="","FALTA",IFERROR(IF($C426&gt;=$O426,"ROJO FUERTE",IF($C426&gt;=$N426,"ROJO",IF($C426&gt;=$M426,"AMARILLO","VERDE"))),"REVISAR"))))</f>
        <v/>
      </c>
      <c r="K426" s="36">
        <f>IF(OR($C426="",$D426=""),"",IF($D426&gt;=$C426,($D426-$C426)*24,(1-$C426+$D426)*24))</f>
        <v/>
      </c>
      <c r="L426" s="34" t="n"/>
      <c r="M426" s="53">
        <f t="array" ref="M426">IFERROR(INDEX(EXCEPCIONES_FECHA!$D$2:$D$201,MATCH(1,(EXCEPCIONES_FECHA!$A$2:$A$201=$A426)*(EXCEPCIONES_FECHA!$B$2:$B$201=$B426),0)),IFERROR(INDEX(EXCEPCIONES_FECHA!$D$2:$D$201,MATCH(1,(EXCEPCIONES_FECHA!$A$2:$A$201=$A426)*(EXCEPCIONES_FECHA!$B$2:$B$201=""),0)),IFERROR(INDEX(IF($I426="FIN",HISTORIAL_HORARIOS!$J$2:$J$201,HISTORIAL_HORARIOS!$F$2:$F$201),MATCH(1,(HISTORIAL_HORARIOS!$A$2:$A$201=$B426)*(HISTORIAL_HORARIOS!$C$2:$C$201&lt;=$A426)*(HISTORIAL_HORARIOS!$D$2:$D$201&gt;=$A426),0)),INDEX(IF($I426="FIN",PERSONAL!$J$2:$J$80,PERSONAL!$F$2:$F$80),MATCH($B426,PERSONAL!$A$2:$A$80,0)))))</f>
        <v/>
      </c>
      <c r="N426" s="53">
        <f t="array" ref="N426">IFERROR(INDEX(EXCEPCIONES_FECHA!$E$2:$E$201,MATCH(1,(EXCEPCIONES_FECHA!$A$2:$A$201=$A426)*(EXCEPCIONES_FECHA!$B$2:$B$201=$B426),0)),IFERROR(INDEX(EXCEPCIONES_FECHA!$E$2:$E$201,MATCH(1,(EXCEPCIONES_FECHA!$A$2:$A$201=$A426)*(EXCEPCIONES_FECHA!$B$2:$B$201=""),0)),IFERROR(INDEX(IF($I426="FIN",HISTORIAL_HORARIOS!$K$2:$K$201,HISTORIAL_HORARIOS!$G$2:$G$201),MATCH(1,(HISTORIAL_HORARIOS!$A$2:$A$201=$B426)*(HISTORIAL_HORARIOS!$C$2:$C$201&lt;=$A426)*(HISTORIAL_HORARIOS!$D$2:$D$201&gt;=$A426),0)),INDEX(IF($I426="FIN",PERSONAL!$K$2:$K$80,PERSONAL!$G$2:$G$80),MATCH($B426,PERSONAL!$A$2:$A$80,0)))))</f>
        <v/>
      </c>
      <c r="O426" s="53">
        <f t="array" ref="O426">IFERROR(INDEX(EXCEPCIONES_FECHA!$F$2:$F$201,MATCH(1,(EXCEPCIONES_FECHA!$A$2:$A$201=$A426)*(EXCEPCIONES_FECHA!$B$2:$B$201=$B426),0)),IFERROR(INDEX(EXCEPCIONES_FECHA!$F$2:$F$201,MATCH(1,(EXCEPCIONES_FECHA!$A$2:$A$201=$A426)*(EXCEPCIONES_FECHA!$B$2:$B$201=""),0)),IFERROR(INDEX(IF($I426="FIN",HISTORIAL_HORARIOS!$L$2:$L$201,HISTORIAL_HORARIOS!$H$2:$H$201),MATCH(1,(HISTORIAL_HORARIOS!$A$2:$A$201=$B426)*(HISTORIAL_HORARIOS!$C$2:$C$201&lt;=$A426)*(HISTORIAL_HORARIOS!$D$2:$D$201&gt;=$A426),0)),INDEX(IF($I426="FIN",PERSONAL!$L$2:$L$80,PERSONAL!$H$2:$H$80),MATCH($B426,PERSONAL!$A$2:$A$80,0)))))</f>
        <v/>
      </c>
    </row>
    <row r="427" ht="15" customHeight="1" s="58">
      <c r="A427" s="37" t="n"/>
      <c r="B427" s="38" t="n"/>
      <c r="C427" s="39" t="n"/>
      <c r="D427" s="39" t="n"/>
      <c r="E427" s="34">
        <f t="array" ref="E427">IF($B427="","",IFERROR(INDEX(PERSONAL!$B$2:$B$80,MATCH($B427,PERSONAL!$A$2:$A$80,0)),"NO EXISTE"))</f>
        <v/>
      </c>
      <c r="F427" s="52">
        <f t="array" ref="F427">IF($B427="","",IFERROR(INDEX(PERSONAL!$C$2:$C$80,MATCH($B427,PERSONAL!$A$2:$A$80,0)),""))</f>
        <v/>
      </c>
      <c r="G427" s="52">
        <f>IF($A427="","",CHOOSE(WEEKDAY($A427,2),"LUNES","MARTES","MIÉRCOLES","JUEVES","VIERNES","SÁBADO","DOMINGO"))</f>
        <v/>
      </c>
      <c r="H427" s="34">
        <f>IF($A427="","",CHOOSE(MONTH($A427),"ENERO","FEBRERO","MARZO","ABRIL","MAYO","JUNIO","JULIO","AGOSTO","SEPTIEMBRE","OCTUBRE","NOVIEMBRE","DICIEMBRE"))</f>
        <v/>
      </c>
      <c r="I427" s="34">
        <f>IF($A427="","",IF(OR($G427="SÁBADO",$G427="DOMINGO"),"FIN","LV"))</f>
        <v/>
      </c>
      <c r="J427" s="34">
        <f>IF(OR($A427="",$B427=""),"",IF($L427&lt;&gt;"",UPPER($L427),IF($C427="","FALTA",IFERROR(IF($C427&gt;=$O427,"ROJO FUERTE",IF($C427&gt;=$N427,"ROJO",IF($C427&gt;=$M427,"AMARILLO","VERDE"))),"REVISAR"))))</f>
        <v/>
      </c>
      <c r="K427" s="36">
        <f>IF(OR($C427="",$D427=""),"",IF($D427&gt;=$C427,($D427-$C427)*24,(1-$C427+$D427)*24))</f>
        <v/>
      </c>
      <c r="L427" s="34" t="n"/>
      <c r="M427" s="53">
        <f t="array" ref="M427">IFERROR(INDEX(EXCEPCIONES_FECHA!$D$2:$D$201,MATCH(1,(EXCEPCIONES_FECHA!$A$2:$A$201=$A427)*(EXCEPCIONES_FECHA!$B$2:$B$201=$B427),0)),IFERROR(INDEX(EXCEPCIONES_FECHA!$D$2:$D$201,MATCH(1,(EXCEPCIONES_FECHA!$A$2:$A$201=$A427)*(EXCEPCIONES_FECHA!$B$2:$B$201=""),0)),IFERROR(INDEX(IF($I427="FIN",HISTORIAL_HORARIOS!$J$2:$J$201,HISTORIAL_HORARIOS!$F$2:$F$201),MATCH(1,(HISTORIAL_HORARIOS!$A$2:$A$201=$B427)*(HISTORIAL_HORARIOS!$C$2:$C$201&lt;=$A427)*(HISTORIAL_HORARIOS!$D$2:$D$201&gt;=$A427),0)),INDEX(IF($I427="FIN",PERSONAL!$J$2:$J$80,PERSONAL!$F$2:$F$80),MATCH($B427,PERSONAL!$A$2:$A$80,0)))))</f>
        <v/>
      </c>
      <c r="N427" s="53">
        <f t="array" ref="N427">IFERROR(INDEX(EXCEPCIONES_FECHA!$E$2:$E$201,MATCH(1,(EXCEPCIONES_FECHA!$A$2:$A$201=$A427)*(EXCEPCIONES_FECHA!$B$2:$B$201=$B427),0)),IFERROR(INDEX(EXCEPCIONES_FECHA!$E$2:$E$201,MATCH(1,(EXCEPCIONES_FECHA!$A$2:$A$201=$A427)*(EXCEPCIONES_FECHA!$B$2:$B$201=""),0)),IFERROR(INDEX(IF($I427="FIN",HISTORIAL_HORARIOS!$K$2:$K$201,HISTORIAL_HORARIOS!$G$2:$G$201),MATCH(1,(HISTORIAL_HORARIOS!$A$2:$A$201=$B427)*(HISTORIAL_HORARIOS!$C$2:$C$201&lt;=$A427)*(HISTORIAL_HORARIOS!$D$2:$D$201&gt;=$A427),0)),INDEX(IF($I427="FIN",PERSONAL!$K$2:$K$80,PERSONAL!$G$2:$G$80),MATCH($B427,PERSONAL!$A$2:$A$80,0)))))</f>
        <v/>
      </c>
      <c r="O427" s="53">
        <f t="array" ref="O427">IFERROR(INDEX(EXCEPCIONES_FECHA!$F$2:$F$201,MATCH(1,(EXCEPCIONES_FECHA!$A$2:$A$201=$A427)*(EXCEPCIONES_FECHA!$B$2:$B$201=$B427),0)),IFERROR(INDEX(EXCEPCIONES_FECHA!$F$2:$F$201,MATCH(1,(EXCEPCIONES_FECHA!$A$2:$A$201=$A427)*(EXCEPCIONES_FECHA!$B$2:$B$201=""),0)),IFERROR(INDEX(IF($I427="FIN",HISTORIAL_HORARIOS!$L$2:$L$201,HISTORIAL_HORARIOS!$H$2:$H$201),MATCH(1,(HISTORIAL_HORARIOS!$A$2:$A$201=$B427)*(HISTORIAL_HORARIOS!$C$2:$C$201&lt;=$A427)*(HISTORIAL_HORARIOS!$D$2:$D$201&gt;=$A427),0)),INDEX(IF($I427="FIN",PERSONAL!$L$2:$L$80,PERSONAL!$H$2:$H$80),MATCH($B427,PERSONAL!$A$2:$A$80,0)))))</f>
        <v/>
      </c>
    </row>
    <row r="428" ht="15" customHeight="1" s="58">
      <c r="A428" s="37" t="n"/>
      <c r="B428" s="38" t="n"/>
      <c r="C428" s="39" t="n"/>
      <c r="D428" s="39" t="n"/>
      <c r="E428" s="34">
        <f t="array" ref="E428">IF($B428="","",IFERROR(INDEX(PERSONAL!$B$2:$B$80,MATCH($B428,PERSONAL!$A$2:$A$80,0)),"NO EXISTE"))</f>
        <v/>
      </c>
      <c r="F428" s="52">
        <f t="array" ref="F428">IF($B428="","",IFERROR(INDEX(PERSONAL!$C$2:$C$80,MATCH($B428,PERSONAL!$A$2:$A$80,0)),""))</f>
        <v/>
      </c>
      <c r="G428" s="52">
        <f>IF($A428="","",CHOOSE(WEEKDAY($A428,2),"LUNES","MARTES","MIÉRCOLES","JUEVES","VIERNES","SÁBADO","DOMINGO"))</f>
        <v/>
      </c>
      <c r="H428" s="34">
        <f>IF($A428="","",CHOOSE(MONTH($A428),"ENERO","FEBRERO","MARZO","ABRIL","MAYO","JUNIO","JULIO","AGOSTO","SEPTIEMBRE","OCTUBRE","NOVIEMBRE","DICIEMBRE"))</f>
        <v/>
      </c>
      <c r="I428" s="34">
        <f>IF($A428="","",IF(OR($G428="SÁBADO",$G428="DOMINGO"),"FIN","LV"))</f>
        <v/>
      </c>
      <c r="J428" s="34">
        <f>IF(OR($A428="",$B428=""),"",IF($L428&lt;&gt;"",UPPER($L428),IF($C428="","FALTA",IFERROR(IF($C428&gt;=$O428,"ROJO FUERTE",IF($C428&gt;=$N428,"ROJO",IF($C428&gt;=$M428,"AMARILLO","VERDE"))),"REVISAR"))))</f>
        <v/>
      </c>
      <c r="K428" s="36">
        <f>IF(OR($C428="",$D428=""),"",IF($D428&gt;=$C428,($D428-$C428)*24,(1-$C428+$D428)*24))</f>
        <v/>
      </c>
      <c r="L428" s="34" t="n"/>
      <c r="M428" s="53">
        <f t="array" ref="M428">IFERROR(INDEX(EXCEPCIONES_FECHA!$D$2:$D$201,MATCH(1,(EXCEPCIONES_FECHA!$A$2:$A$201=$A428)*(EXCEPCIONES_FECHA!$B$2:$B$201=$B428),0)),IFERROR(INDEX(EXCEPCIONES_FECHA!$D$2:$D$201,MATCH(1,(EXCEPCIONES_FECHA!$A$2:$A$201=$A428)*(EXCEPCIONES_FECHA!$B$2:$B$201=""),0)),IFERROR(INDEX(IF($I428="FIN",HISTORIAL_HORARIOS!$J$2:$J$201,HISTORIAL_HORARIOS!$F$2:$F$201),MATCH(1,(HISTORIAL_HORARIOS!$A$2:$A$201=$B428)*(HISTORIAL_HORARIOS!$C$2:$C$201&lt;=$A428)*(HISTORIAL_HORARIOS!$D$2:$D$201&gt;=$A428),0)),INDEX(IF($I428="FIN",PERSONAL!$J$2:$J$80,PERSONAL!$F$2:$F$80),MATCH($B428,PERSONAL!$A$2:$A$80,0)))))</f>
        <v/>
      </c>
      <c r="N428" s="53">
        <f t="array" ref="N428">IFERROR(INDEX(EXCEPCIONES_FECHA!$E$2:$E$201,MATCH(1,(EXCEPCIONES_FECHA!$A$2:$A$201=$A428)*(EXCEPCIONES_FECHA!$B$2:$B$201=$B428),0)),IFERROR(INDEX(EXCEPCIONES_FECHA!$E$2:$E$201,MATCH(1,(EXCEPCIONES_FECHA!$A$2:$A$201=$A428)*(EXCEPCIONES_FECHA!$B$2:$B$201=""),0)),IFERROR(INDEX(IF($I428="FIN",HISTORIAL_HORARIOS!$K$2:$K$201,HISTORIAL_HORARIOS!$G$2:$G$201),MATCH(1,(HISTORIAL_HORARIOS!$A$2:$A$201=$B428)*(HISTORIAL_HORARIOS!$C$2:$C$201&lt;=$A428)*(HISTORIAL_HORARIOS!$D$2:$D$201&gt;=$A428),0)),INDEX(IF($I428="FIN",PERSONAL!$K$2:$K$80,PERSONAL!$G$2:$G$80),MATCH($B428,PERSONAL!$A$2:$A$80,0)))))</f>
        <v/>
      </c>
      <c r="O428" s="53">
        <f t="array" ref="O428">IFERROR(INDEX(EXCEPCIONES_FECHA!$F$2:$F$201,MATCH(1,(EXCEPCIONES_FECHA!$A$2:$A$201=$A428)*(EXCEPCIONES_FECHA!$B$2:$B$201=$B428),0)),IFERROR(INDEX(EXCEPCIONES_FECHA!$F$2:$F$201,MATCH(1,(EXCEPCIONES_FECHA!$A$2:$A$201=$A428)*(EXCEPCIONES_FECHA!$B$2:$B$201=""),0)),IFERROR(INDEX(IF($I428="FIN",HISTORIAL_HORARIOS!$L$2:$L$201,HISTORIAL_HORARIOS!$H$2:$H$201),MATCH(1,(HISTORIAL_HORARIOS!$A$2:$A$201=$B428)*(HISTORIAL_HORARIOS!$C$2:$C$201&lt;=$A428)*(HISTORIAL_HORARIOS!$D$2:$D$201&gt;=$A428),0)),INDEX(IF($I428="FIN",PERSONAL!$L$2:$L$80,PERSONAL!$H$2:$H$80),MATCH($B428,PERSONAL!$A$2:$A$80,0)))))</f>
        <v/>
      </c>
    </row>
    <row r="429" ht="15" customHeight="1" s="58">
      <c r="A429" s="37" t="n"/>
      <c r="B429" s="38" t="n"/>
      <c r="C429" s="39" t="n"/>
      <c r="D429" s="39" t="n"/>
      <c r="E429" s="34">
        <f t="array" ref="E429">IF($B429="","",IFERROR(INDEX(PERSONAL!$B$2:$B$80,MATCH($B429,PERSONAL!$A$2:$A$80,0)),"NO EXISTE"))</f>
        <v/>
      </c>
      <c r="F429" s="52">
        <f t="array" ref="F429">IF($B429="","",IFERROR(INDEX(PERSONAL!$C$2:$C$80,MATCH($B429,PERSONAL!$A$2:$A$80,0)),""))</f>
        <v/>
      </c>
      <c r="G429" s="52">
        <f>IF($A429="","",CHOOSE(WEEKDAY($A429,2),"LUNES","MARTES","MIÉRCOLES","JUEVES","VIERNES","SÁBADO","DOMINGO"))</f>
        <v/>
      </c>
      <c r="H429" s="34">
        <f>IF($A429="","",CHOOSE(MONTH($A429),"ENERO","FEBRERO","MARZO","ABRIL","MAYO","JUNIO","JULIO","AGOSTO","SEPTIEMBRE","OCTUBRE","NOVIEMBRE","DICIEMBRE"))</f>
        <v/>
      </c>
      <c r="I429" s="34">
        <f>IF($A429="","",IF(OR($G429="SÁBADO",$G429="DOMINGO"),"FIN","LV"))</f>
        <v/>
      </c>
      <c r="J429" s="34">
        <f>IF(OR($A429="",$B429=""),"",IF($L429&lt;&gt;"",UPPER($L429),IF($C429="","FALTA",IFERROR(IF($C429&gt;=$O429,"ROJO FUERTE",IF($C429&gt;=$N429,"ROJO",IF($C429&gt;=$M429,"AMARILLO","VERDE"))),"REVISAR"))))</f>
        <v/>
      </c>
      <c r="K429" s="36">
        <f>IF(OR($C429="",$D429=""),"",IF($D429&gt;=$C429,($D429-$C429)*24,(1-$C429+$D429)*24))</f>
        <v/>
      </c>
      <c r="L429" s="34" t="n"/>
      <c r="M429" s="53">
        <f t="array" ref="M429">IFERROR(INDEX(EXCEPCIONES_FECHA!$D$2:$D$201,MATCH(1,(EXCEPCIONES_FECHA!$A$2:$A$201=$A429)*(EXCEPCIONES_FECHA!$B$2:$B$201=$B429),0)),IFERROR(INDEX(EXCEPCIONES_FECHA!$D$2:$D$201,MATCH(1,(EXCEPCIONES_FECHA!$A$2:$A$201=$A429)*(EXCEPCIONES_FECHA!$B$2:$B$201=""),0)),IFERROR(INDEX(IF($I429="FIN",HISTORIAL_HORARIOS!$J$2:$J$201,HISTORIAL_HORARIOS!$F$2:$F$201),MATCH(1,(HISTORIAL_HORARIOS!$A$2:$A$201=$B429)*(HISTORIAL_HORARIOS!$C$2:$C$201&lt;=$A429)*(HISTORIAL_HORARIOS!$D$2:$D$201&gt;=$A429),0)),INDEX(IF($I429="FIN",PERSONAL!$J$2:$J$80,PERSONAL!$F$2:$F$80),MATCH($B429,PERSONAL!$A$2:$A$80,0)))))</f>
        <v/>
      </c>
      <c r="N429" s="53">
        <f t="array" ref="N429">IFERROR(INDEX(EXCEPCIONES_FECHA!$E$2:$E$201,MATCH(1,(EXCEPCIONES_FECHA!$A$2:$A$201=$A429)*(EXCEPCIONES_FECHA!$B$2:$B$201=$B429),0)),IFERROR(INDEX(EXCEPCIONES_FECHA!$E$2:$E$201,MATCH(1,(EXCEPCIONES_FECHA!$A$2:$A$201=$A429)*(EXCEPCIONES_FECHA!$B$2:$B$201=""),0)),IFERROR(INDEX(IF($I429="FIN",HISTORIAL_HORARIOS!$K$2:$K$201,HISTORIAL_HORARIOS!$G$2:$G$201),MATCH(1,(HISTORIAL_HORARIOS!$A$2:$A$201=$B429)*(HISTORIAL_HORARIOS!$C$2:$C$201&lt;=$A429)*(HISTORIAL_HORARIOS!$D$2:$D$201&gt;=$A429),0)),INDEX(IF($I429="FIN",PERSONAL!$K$2:$K$80,PERSONAL!$G$2:$G$80),MATCH($B429,PERSONAL!$A$2:$A$80,0)))))</f>
        <v/>
      </c>
      <c r="O429" s="53">
        <f t="array" ref="O429">IFERROR(INDEX(EXCEPCIONES_FECHA!$F$2:$F$201,MATCH(1,(EXCEPCIONES_FECHA!$A$2:$A$201=$A429)*(EXCEPCIONES_FECHA!$B$2:$B$201=$B429),0)),IFERROR(INDEX(EXCEPCIONES_FECHA!$F$2:$F$201,MATCH(1,(EXCEPCIONES_FECHA!$A$2:$A$201=$A429)*(EXCEPCIONES_FECHA!$B$2:$B$201=""),0)),IFERROR(INDEX(IF($I429="FIN",HISTORIAL_HORARIOS!$L$2:$L$201,HISTORIAL_HORARIOS!$H$2:$H$201),MATCH(1,(HISTORIAL_HORARIOS!$A$2:$A$201=$B429)*(HISTORIAL_HORARIOS!$C$2:$C$201&lt;=$A429)*(HISTORIAL_HORARIOS!$D$2:$D$201&gt;=$A429),0)),INDEX(IF($I429="FIN",PERSONAL!$L$2:$L$80,PERSONAL!$H$2:$H$80),MATCH($B429,PERSONAL!$A$2:$A$80,0)))))</f>
        <v/>
      </c>
    </row>
    <row r="430" ht="15" customHeight="1" s="58">
      <c r="A430" s="37" t="n"/>
      <c r="B430" s="38" t="n"/>
      <c r="C430" s="39" t="n"/>
      <c r="D430" s="39" t="n"/>
      <c r="E430" s="34">
        <f t="array" ref="E430">IF($B430="","",IFERROR(INDEX(PERSONAL!$B$2:$B$80,MATCH($B430,PERSONAL!$A$2:$A$80,0)),"NO EXISTE"))</f>
        <v/>
      </c>
      <c r="F430" s="52">
        <f t="array" ref="F430">IF($B430="","",IFERROR(INDEX(PERSONAL!$C$2:$C$80,MATCH($B430,PERSONAL!$A$2:$A$80,0)),""))</f>
        <v/>
      </c>
      <c r="G430" s="52">
        <f>IF($A430="","",CHOOSE(WEEKDAY($A430,2),"LUNES","MARTES","MIÉRCOLES","JUEVES","VIERNES","SÁBADO","DOMINGO"))</f>
        <v/>
      </c>
      <c r="H430" s="34">
        <f>IF($A430="","",CHOOSE(MONTH($A430),"ENERO","FEBRERO","MARZO","ABRIL","MAYO","JUNIO","JULIO","AGOSTO","SEPTIEMBRE","OCTUBRE","NOVIEMBRE","DICIEMBRE"))</f>
        <v/>
      </c>
      <c r="I430" s="34">
        <f>IF($A430="","",IF(OR($G430="SÁBADO",$G430="DOMINGO"),"FIN","LV"))</f>
        <v/>
      </c>
      <c r="J430" s="34">
        <f>IF(OR($A430="",$B430=""),"",IF($L430&lt;&gt;"",UPPER($L430),IF($C430="","FALTA",IFERROR(IF($C430&gt;=$O430,"ROJO FUERTE",IF($C430&gt;=$N430,"ROJO",IF($C430&gt;=$M430,"AMARILLO","VERDE"))),"REVISAR"))))</f>
        <v/>
      </c>
      <c r="K430" s="36">
        <f>IF(OR($C430="",$D430=""),"",IF($D430&gt;=$C430,($D430-$C430)*24,(1-$C430+$D430)*24))</f>
        <v/>
      </c>
      <c r="L430" s="34" t="n"/>
      <c r="M430" s="53">
        <f t="array" ref="M430">IFERROR(INDEX(EXCEPCIONES_FECHA!$D$2:$D$201,MATCH(1,(EXCEPCIONES_FECHA!$A$2:$A$201=$A430)*(EXCEPCIONES_FECHA!$B$2:$B$201=$B430),0)),IFERROR(INDEX(EXCEPCIONES_FECHA!$D$2:$D$201,MATCH(1,(EXCEPCIONES_FECHA!$A$2:$A$201=$A430)*(EXCEPCIONES_FECHA!$B$2:$B$201=""),0)),IFERROR(INDEX(IF($I430="FIN",HISTORIAL_HORARIOS!$J$2:$J$201,HISTORIAL_HORARIOS!$F$2:$F$201),MATCH(1,(HISTORIAL_HORARIOS!$A$2:$A$201=$B430)*(HISTORIAL_HORARIOS!$C$2:$C$201&lt;=$A430)*(HISTORIAL_HORARIOS!$D$2:$D$201&gt;=$A430),0)),INDEX(IF($I430="FIN",PERSONAL!$J$2:$J$80,PERSONAL!$F$2:$F$80),MATCH($B430,PERSONAL!$A$2:$A$80,0)))))</f>
        <v/>
      </c>
      <c r="N430" s="53">
        <f t="array" ref="N430">IFERROR(INDEX(EXCEPCIONES_FECHA!$E$2:$E$201,MATCH(1,(EXCEPCIONES_FECHA!$A$2:$A$201=$A430)*(EXCEPCIONES_FECHA!$B$2:$B$201=$B430),0)),IFERROR(INDEX(EXCEPCIONES_FECHA!$E$2:$E$201,MATCH(1,(EXCEPCIONES_FECHA!$A$2:$A$201=$A430)*(EXCEPCIONES_FECHA!$B$2:$B$201=""),0)),IFERROR(INDEX(IF($I430="FIN",HISTORIAL_HORARIOS!$K$2:$K$201,HISTORIAL_HORARIOS!$G$2:$G$201),MATCH(1,(HISTORIAL_HORARIOS!$A$2:$A$201=$B430)*(HISTORIAL_HORARIOS!$C$2:$C$201&lt;=$A430)*(HISTORIAL_HORARIOS!$D$2:$D$201&gt;=$A430),0)),INDEX(IF($I430="FIN",PERSONAL!$K$2:$K$80,PERSONAL!$G$2:$G$80),MATCH($B430,PERSONAL!$A$2:$A$80,0)))))</f>
        <v/>
      </c>
      <c r="O430" s="53">
        <f t="array" ref="O430">IFERROR(INDEX(EXCEPCIONES_FECHA!$F$2:$F$201,MATCH(1,(EXCEPCIONES_FECHA!$A$2:$A$201=$A430)*(EXCEPCIONES_FECHA!$B$2:$B$201=$B430),0)),IFERROR(INDEX(EXCEPCIONES_FECHA!$F$2:$F$201,MATCH(1,(EXCEPCIONES_FECHA!$A$2:$A$201=$A430)*(EXCEPCIONES_FECHA!$B$2:$B$201=""),0)),IFERROR(INDEX(IF($I430="FIN",HISTORIAL_HORARIOS!$L$2:$L$201,HISTORIAL_HORARIOS!$H$2:$H$201),MATCH(1,(HISTORIAL_HORARIOS!$A$2:$A$201=$B430)*(HISTORIAL_HORARIOS!$C$2:$C$201&lt;=$A430)*(HISTORIAL_HORARIOS!$D$2:$D$201&gt;=$A430),0)),INDEX(IF($I430="FIN",PERSONAL!$L$2:$L$80,PERSONAL!$H$2:$H$80),MATCH($B430,PERSONAL!$A$2:$A$80,0)))))</f>
        <v/>
      </c>
    </row>
    <row r="431" ht="15" customHeight="1" s="58">
      <c r="A431" s="37" t="n"/>
      <c r="B431" s="38" t="n"/>
      <c r="C431" s="39" t="n"/>
      <c r="D431" s="39" t="n"/>
      <c r="E431" s="34">
        <f t="array" ref="E431">IF($B431="","",IFERROR(INDEX(PERSONAL!$B$2:$B$80,MATCH($B431,PERSONAL!$A$2:$A$80,0)),"NO EXISTE"))</f>
        <v/>
      </c>
      <c r="F431" s="52">
        <f t="array" ref="F431">IF($B431="","",IFERROR(INDEX(PERSONAL!$C$2:$C$80,MATCH($B431,PERSONAL!$A$2:$A$80,0)),""))</f>
        <v/>
      </c>
      <c r="G431" s="52">
        <f>IF($A431="","",CHOOSE(WEEKDAY($A431,2),"LUNES","MARTES","MIÉRCOLES","JUEVES","VIERNES","SÁBADO","DOMINGO"))</f>
        <v/>
      </c>
      <c r="H431" s="34">
        <f>IF($A431="","",CHOOSE(MONTH($A431),"ENERO","FEBRERO","MARZO","ABRIL","MAYO","JUNIO","JULIO","AGOSTO","SEPTIEMBRE","OCTUBRE","NOVIEMBRE","DICIEMBRE"))</f>
        <v/>
      </c>
      <c r="I431" s="34">
        <f>IF($A431="","",IF(OR($G431="SÁBADO",$G431="DOMINGO"),"FIN","LV"))</f>
        <v/>
      </c>
      <c r="J431" s="34">
        <f>IF(OR($A431="",$B431=""),"",IF($L431&lt;&gt;"",UPPER($L431),IF($C431="","FALTA",IFERROR(IF($C431&gt;=$O431,"ROJO FUERTE",IF($C431&gt;=$N431,"ROJO",IF($C431&gt;=$M431,"AMARILLO","VERDE"))),"REVISAR"))))</f>
        <v/>
      </c>
      <c r="K431" s="36">
        <f>IF(OR($C431="",$D431=""),"",IF($D431&gt;=$C431,($D431-$C431)*24,(1-$C431+$D431)*24))</f>
        <v/>
      </c>
      <c r="L431" s="34" t="n"/>
      <c r="M431" s="53">
        <f t="array" ref="M431">IFERROR(INDEX(EXCEPCIONES_FECHA!$D$2:$D$201,MATCH(1,(EXCEPCIONES_FECHA!$A$2:$A$201=$A431)*(EXCEPCIONES_FECHA!$B$2:$B$201=$B431),0)),IFERROR(INDEX(EXCEPCIONES_FECHA!$D$2:$D$201,MATCH(1,(EXCEPCIONES_FECHA!$A$2:$A$201=$A431)*(EXCEPCIONES_FECHA!$B$2:$B$201=""),0)),IFERROR(INDEX(IF($I431="FIN",HISTORIAL_HORARIOS!$J$2:$J$201,HISTORIAL_HORARIOS!$F$2:$F$201),MATCH(1,(HISTORIAL_HORARIOS!$A$2:$A$201=$B431)*(HISTORIAL_HORARIOS!$C$2:$C$201&lt;=$A431)*(HISTORIAL_HORARIOS!$D$2:$D$201&gt;=$A431),0)),INDEX(IF($I431="FIN",PERSONAL!$J$2:$J$80,PERSONAL!$F$2:$F$80),MATCH($B431,PERSONAL!$A$2:$A$80,0)))))</f>
        <v/>
      </c>
      <c r="N431" s="53">
        <f t="array" ref="N431">IFERROR(INDEX(EXCEPCIONES_FECHA!$E$2:$E$201,MATCH(1,(EXCEPCIONES_FECHA!$A$2:$A$201=$A431)*(EXCEPCIONES_FECHA!$B$2:$B$201=$B431),0)),IFERROR(INDEX(EXCEPCIONES_FECHA!$E$2:$E$201,MATCH(1,(EXCEPCIONES_FECHA!$A$2:$A$201=$A431)*(EXCEPCIONES_FECHA!$B$2:$B$201=""),0)),IFERROR(INDEX(IF($I431="FIN",HISTORIAL_HORARIOS!$K$2:$K$201,HISTORIAL_HORARIOS!$G$2:$G$201),MATCH(1,(HISTORIAL_HORARIOS!$A$2:$A$201=$B431)*(HISTORIAL_HORARIOS!$C$2:$C$201&lt;=$A431)*(HISTORIAL_HORARIOS!$D$2:$D$201&gt;=$A431),0)),INDEX(IF($I431="FIN",PERSONAL!$K$2:$K$80,PERSONAL!$G$2:$G$80),MATCH($B431,PERSONAL!$A$2:$A$80,0)))))</f>
        <v/>
      </c>
      <c r="O431" s="53">
        <f t="array" ref="O431">IFERROR(INDEX(EXCEPCIONES_FECHA!$F$2:$F$201,MATCH(1,(EXCEPCIONES_FECHA!$A$2:$A$201=$A431)*(EXCEPCIONES_FECHA!$B$2:$B$201=$B431),0)),IFERROR(INDEX(EXCEPCIONES_FECHA!$F$2:$F$201,MATCH(1,(EXCEPCIONES_FECHA!$A$2:$A$201=$A431)*(EXCEPCIONES_FECHA!$B$2:$B$201=""),0)),IFERROR(INDEX(IF($I431="FIN",HISTORIAL_HORARIOS!$L$2:$L$201,HISTORIAL_HORARIOS!$H$2:$H$201),MATCH(1,(HISTORIAL_HORARIOS!$A$2:$A$201=$B431)*(HISTORIAL_HORARIOS!$C$2:$C$201&lt;=$A431)*(HISTORIAL_HORARIOS!$D$2:$D$201&gt;=$A431),0)),INDEX(IF($I431="FIN",PERSONAL!$L$2:$L$80,PERSONAL!$H$2:$H$80),MATCH($B431,PERSONAL!$A$2:$A$80,0)))))</f>
        <v/>
      </c>
    </row>
    <row r="432" ht="15" customHeight="1" s="58">
      <c r="A432" s="37" t="n"/>
      <c r="B432" s="38" t="n"/>
      <c r="C432" s="39" t="n"/>
      <c r="D432" s="39" t="n"/>
      <c r="E432" s="34">
        <f t="array" ref="E432">IF($B432="","",IFERROR(INDEX(PERSONAL!$B$2:$B$80,MATCH($B432,PERSONAL!$A$2:$A$80,0)),"NO EXISTE"))</f>
        <v/>
      </c>
      <c r="F432" s="52">
        <f t="array" ref="F432">IF($B432="","",IFERROR(INDEX(PERSONAL!$C$2:$C$80,MATCH($B432,PERSONAL!$A$2:$A$80,0)),""))</f>
        <v/>
      </c>
      <c r="G432" s="52">
        <f>IF($A432="","",CHOOSE(WEEKDAY($A432,2),"LUNES","MARTES","MIÉRCOLES","JUEVES","VIERNES","SÁBADO","DOMINGO"))</f>
        <v/>
      </c>
      <c r="H432" s="34">
        <f>IF($A432="","",CHOOSE(MONTH($A432),"ENERO","FEBRERO","MARZO","ABRIL","MAYO","JUNIO","JULIO","AGOSTO","SEPTIEMBRE","OCTUBRE","NOVIEMBRE","DICIEMBRE"))</f>
        <v/>
      </c>
      <c r="I432" s="34">
        <f>IF($A432="","",IF(OR($G432="SÁBADO",$G432="DOMINGO"),"FIN","LV"))</f>
        <v/>
      </c>
      <c r="J432" s="34">
        <f>IF(OR($A432="",$B432=""),"",IF($L432&lt;&gt;"",UPPER($L432),IF($C432="","FALTA",IFERROR(IF($C432&gt;=$O432,"ROJO FUERTE",IF($C432&gt;=$N432,"ROJO",IF($C432&gt;=$M432,"AMARILLO","VERDE"))),"REVISAR"))))</f>
        <v/>
      </c>
      <c r="K432" s="36">
        <f>IF(OR($C432="",$D432=""),"",IF($D432&gt;=$C432,($D432-$C432)*24,(1-$C432+$D432)*24))</f>
        <v/>
      </c>
      <c r="L432" s="34" t="n"/>
      <c r="M432" s="53">
        <f t="array" ref="M432">IFERROR(INDEX(EXCEPCIONES_FECHA!$D$2:$D$201,MATCH(1,(EXCEPCIONES_FECHA!$A$2:$A$201=$A432)*(EXCEPCIONES_FECHA!$B$2:$B$201=$B432),0)),IFERROR(INDEX(EXCEPCIONES_FECHA!$D$2:$D$201,MATCH(1,(EXCEPCIONES_FECHA!$A$2:$A$201=$A432)*(EXCEPCIONES_FECHA!$B$2:$B$201=""),0)),IFERROR(INDEX(IF($I432="FIN",HISTORIAL_HORARIOS!$J$2:$J$201,HISTORIAL_HORARIOS!$F$2:$F$201),MATCH(1,(HISTORIAL_HORARIOS!$A$2:$A$201=$B432)*(HISTORIAL_HORARIOS!$C$2:$C$201&lt;=$A432)*(HISTORIAL_HORARIOS!$D$2:$D$201&gt;=$A432),0)),INDEX(IF($I432="FIN",PERSONAL!$J$2:$J$80,PERSONAL!$F$2:$F$80),MATCH($B432,PERSONAL!$A$2:$A$80,0)))))</f>
        <v/>
      </c>
      <c r="N432" s="53">
        <f t="array" ref="N432">IFERROR(INDEX(EXCEPCIONES_FECHA!$E$2:$E$201,MATCH(1,(EXCEPCIONES_FECHA!$A$2:$A$201=$A432)*(EXCEPCIONES_FECHA!$B$2:$B$201=$B432),0)),IFERROR(INDEX(EXCEPCIONES_FECHA!$E$2:$E$201,MATCH(1,(EXCEPCIONES_FECHA!$A$2:$A$201=$A432)*(EXCEPCIONES_FECHA!$B$2:$B$201=""),0)),IFERROR(INDEX(IF($I432="FIN",HISTORIAL_HORARIOS!$K$2:$K$201,HISTORIAL_HORARIOS!$G$2:$G$201),MATCH(1,(HISTORIAL_HORARIOS!$A$2:$A$201=$B432)*(HISTORIAL_HORARIOS!$C$2:$C$201&lt;=$A432)*(HISTORIAL_HORARIOS!$D$2:$D$201&gt;=$A432),0)),INDEX(IF($I432="FIN",PERSONAL!$K$2:$K$80,PERSONAL!$G$2:$G$80),MATCH($B432,PERSONAL!$A$2:$A$80,0)))))</f>
        <v/>
      </c>
      <c r="O432" s="53">
        <f t="array" ref="O432">IFERROR(INDEX(EXCEPCIONES_FECHA!$F$2:$F$201,MATCH(1,(EXCEPCIONES_FECHA!$A$2:$A$201=$A432)*(EXCEPCIONES_FECHA!$B$2:$B$201=$B432),0)),IFERROR(INDEX(EXCEPCIONES_FECHA!$F$2:$F$201,MATCH(1,(EXCEPCIONES_FECHA!$A$2:$A$201=$A432)*(EXCEPCIONES_FECHA!$B$2:$B$201=""),0)),IFERROR(INDEX(IF($I432="FIN",HISTORIAL_HORARIOS!$L$2:$L$201,HISTORIAL_HORARIOS!$H$2:$H$201),MATCH(1,(HISTORIAL_HORARIOS!$A$2:$A$201=$B432)*(HISTORIAL_HORARIOS!$C$2:$C$201&lt;=$A432)*(HISTORIAL_HORARIOS!$D$2:$D$201&gt;=$A432),0)),INDEX(IF($I432="FIN",PERSONAL!$L$2:$L$80,PERSONAL!$H$2:$H$80),MATCH($B432,PERSONAL!$A$2:$A$80,0)))))</f>
        <v/>
      </c>
    </row>
    <row r="433" ht="15" customHeight="1" s="58">
      <c r="A433" s="37" t="n"/>
      <c r="B433" s="38" t="n"/>
      <c r="C433" s="39" t="n"/>
      <c r="D433" s="39" t="n"/>
      <c r="E433" s="34">
        <f t="array" ref="E433">IF($B433="","",IFERROR(INDEX(PERSONAL!$B$2:$B$80,MATCH($B433,PERSONAL!$A$2:$A$80,0)),"NO EXISTE"))</f>
        <v/>
      </c>
      <c r="F433" s="52">
        <f t="array" ref="F433">IF($B433="","",IFERROR(INDEX(PERSONAL!$C$2:$C$80,MATCH($B433,PERSONAL!$A$2:$A$80,0)),""))</f>
        <v/>
      </c>
      <c r="G433" s="52">
        <f>IF($A433="","",CHOOSE(WEEKDAY($A433,2),"LUNES","MARTES","MIÉRCOLES","JUEVES","VIERNES","SÁBADO","DOMINGO"))</f>
        <v/>
      </c>
      <c r="H433" s="34">
        <f>IF($A433="","",CHOOSE(MONTH($A433),"ENERO","FEBRERO","MARZO","ABRIL","MAYO","JUNIO","JULIO","AGOSTO","SEPTIEMBRE","OCTUBRE","NOVIEMBRE","DICIEMBRE"))</f>
        <v/>
      </c>
      <c r="I433" s="34">
        <f>IF($A433="","",IF(OR($G433="SÁBADO",$G433="DOMINGO"),"FIN","LV"))</f>
        <v/>
      </c>
      <c r="J433" s="34">
        <f>IF(OR($A433="",$B433=""),"",IF($L433&lt;&gt;"",UPPER($L433),IF($C433="","FALTA",IFERROR(IF($C433&gt;=$O433,"ROJO FUERTE",IF($C433&gt;=$N433,"ROJO",IF($C433&gt;=$M433,"AMARILLO","VERDE"))),"REVISAR"))))</f>
        <v/>
      </c>
      <c r="K433" s="36">
        <f>IF(OR($C433="",$D433=""),"",IF($D433&gt;=$C433,($D433-$C433)*24,(1-$C433+$D433)*24))</f>
        <v/>
      </c>
      <c r="L433" s="34" t="n"/>
      <c r="M433" s="53">
        <f t="array" ref="M433">IFERROR(INDEX(EXCEPCIONES_FECHA!$D$2:$D$201,MATCH(1,(EXCEPCIONES_FECHA!$A$2:$A$201=$A433)*(EXCEPCIONES_FECHA!$B$2:$B$201=$B433),0)),IFERROR(INDEX(EXCEPCIONES_FECHA!$D$2:$D$201,MATCH(1,(EXCEPCIONES_FECHA!$A$2:$A$201=$A433)*(EXCEPCIONES_FECHA!$B$2:$B$201=""),0)),IFERROR(INDEX(IF($I433="FIN",HISTORIAL_HORARIOS!$J$2:$J$201,HISTORIAL_HORARIOS!$F$2:$F$201),MATCH(1,(HISTORIAL_HORARIOS!$A$2:$A$201=$B433)*(HISTORIAL_HORARIOS!$C$2:$C$201&lt;=$A433)*(HISTORIAL_HORARIOS!$D$2:$D$201&gt;=$A433),0)),INDEX(IF($I433="FIN",PERSONAL!$J$2:$J$80,PERSONAL!$F$2:$F$80),MATCH($B433,PERSONAL!$A$2:$A$80,0)))))</f>
        <v/>
      </c>
      <c r="N433" s="53">
        <f t="array" ref="N433">IFERROR(INDEX(EXCEPCIONES_FECHA!$E$2:$E$201,MATCH(1,(EXCEPCIONES_FECHA!$A$2:$A$201=$A433)*(EXCEPCIONES_FECHA!$B$2:$B$201=$B433),0)),IFERROR(INDEX(EXCEPCIONES_FECHA!$E$2:$E$201,MATCH(1,(EXCEPCIONES_FECHA!$A$2:$A$201=$A433)*(EXCEPCIONES_FECHA!$B$2:$B$201=""),0)),IFERROR(INDEX(IF($I433="FIN",HISTORIAL_HORARIOS!$K$2:$K$201,HISTORIAL_HORARIOS!$G$2:$G$201),MATCH(1,(HISTORIAL_HORARIOS!$A$2:$A$201=$B433)*(HISTORIAL_HORARIOS!$C$2:$C$201&lt;=$A433)*(HISTORIAL_HORARIOS!$D$2:$D$201&gt;=$A433),0)),INDEX(IF($I433="FIN",PERSONAL!$K$2:$K$80,PERSONAL!$G$2:$G$80),MATCH($B433,PERSONAL!$A$2:$A$80,0)))))</f>
        <v/>
      </c>
      <c r="O433" s="53">
        <f t="array" ref="O433">IFERROR(INDEX(EXCEPCIONES_FECHA!$F$2:$F$201,MATCH(1,(EXCEPCIONES_FECHA!$A$2:$A$201=$A433)*(EXCEPCIONES_FECHA!$B$2:$B$201=$B433),0)),IFERROR(INDEX(EXCEPCIONES_FECHA!$F$2:$F$201,MATCH(1,(EXCEPCIONES_FECHA!$A$2:$A$201=$A433)*(EXCEPCIONES_FECHA!$B$2:$B$201=""),0)),IFERROR(INDEX(IF($I433="FIN",HISTORIAL_HORARIOS!$L$2:$L$201,HISTORIAL_HORARIOS!$H$2:$H$201),MATCH(1,(HISTORIAL_HORARIOS!$A$2:$A$201=$B433)*(HISTORIAL_HORARIOS!$C$2:$C$201&lt;=$A433)*(HISTORIAL_HORARIOS!$D$2:$D$201&gt;=$A433),0)),INDEX(IF($I433="FIN",PERSONAL!$L$2:$L$80,PERSONAL!$H$2:$H$80),MATCH($B433,PERSONAL!$A$2:$A$80,0)))))</f>
        <v/>
      </c>
    </row>
    <row r="434" ht="15" customHeight="1" s="58">
      <c r="A434" s="37" t="n"/>
      <c r="B434" s="38" t="n"/>
      <c r="C434" s="39" t="n"/>
      <c r="D434" s="39" t="n"/>
      <c r="E434" s="34">
        <f t="array" ref="E434">IF($B434="","",IFERROR(INDEX(PERSONAL!$B$2:$B$80,MATCH($B434,PERSONAL!$A$2:$A$80,0)),"NO EXISTE"))</f>
        <v/>
      </c>
      <c r="F434" s="52">
        <f t="array" ref="F434">IF($B434="","",IFERROR(INDEX(PERSONAL!$C$2:$C$80,MATCH($B434,PERSONAL!$A$2:$A$80,0)),""))</f>
        <v/>
      </c>
      <c r="G434" s="52">
        <f>IF($A434="","",CHOOSE(WEEKDAY($A434,2),"LUNES","MARTES","MIÉRCOLES","JUEVES","VIERNES","SÁBADO","DOMINGO"))</f>
        <v/>
      </c>
      <c r="H434" s="34">
        <f>IF($A434="","",CHOOSE(MONTH($A434),"ENERO","FEBRERO","MARZO","ABRIL","MAYO","JUNIO","JULIO","AGOSTO","SEPTIEMBRE","OCTUBRE","NOVIEMBRE","DICIEMBRE"))</f>
        <v/>
      </c>
      <c r="I434" s="34">
        <f>IF($A434="","",IF(OR($G434="SÁBADO",$G434="DOMINGO"),"FIN","LV"))</f>
        <v/>
      </c>
      <c r="J434" s="34">
        <f>IF(OR($A434="",$B434=""),"",IF($L434&lt;&gt;"",UPPER($L434),IF($C434="","FALTA",IFERROR(IF($C434&gt;=$O434,"ROJO FUERTE",IF($C434&gt;=$N434,"ROJO",IF($C434&gt;=$M434,"AMARILLO","VERDE"))),"REVISAR"))))</f>
        <v/>
      </c>
      <c r="K434" s="36">
        <f>IF(OR($C434="",$D434=""),"",IF($D434&gt;=$C434,($D434-$C434)*24,(1-$C434+$D434)*24))</f>
        <v/>
      </c>
      <c r="L434" s="34" t="n"/>
      <c r="M434" s="53">
        <f t="array" ref="M434">IFERROR(INDEX(EXCEPCIONES_FECHA!$D$2:$D$201,MATCH(1,(EXCEPCIONES_FECHA!$A$2:$A$201=$A434)*(EXCEPCIONES_FECHA!$B$2:$B$201=$B434),0)),IFERROR(INDEX(EXCEPCIONES_FECHA!$D$2:$D$201,MATCH(1,(EXCEPCIONES_FECHA!$A$2:$A$201=$A434)*(EXCEPCIONES_FECHA!$B$2:$B$201=""),0)),IFERROR(INDEX(IF($I434="FIN",HISTORIAL_HORARIOS!$J$2:$J$201,HISTORIAL_HORARIOS!$F$2:$F$201),MATCH(1,(HISTORIAL_HORARIOS!$A$2:$A$201=$B434)*(HISTORIAL_HORARIOS!$C$2:$C$201&lt;=$A434)*(HISTORIAL_HORARIOS!$D$2:$D$201&gt;=$A434),0)),INDEX(IF($I434="FIN",PERSONAL!$J$2:$J$80,PERSONAL!$F$2:$F$80),MATCH($B434,PERSONAL!$A$2:$A$80,0)))))</f>
        <v/>
      </c>
      <c r="N434" s="53">
        <f t="array" ref="N434">IFERROR(INDEX(EXCEPCIONES_FECHA!$E$2:$E$201,MATCH(1,(EXCEPCIONES_FECHA!$A$2:$A$201=$A434)*(EXCEPCIONES_FECHA!$B$2:$B$201=$B434),0)),IFERROR(INDEX(EXCEPCIONES_FECHA!$E$2:$E$201,MATCH(1,(EXCEPCIONES_FECHA!$A$2:$A$201=$A434)*(EXCEPCIONES_FECHA!$B$2:$B$201=""),0)),IFERROR(INDEX(IF($I434="FIN",HISTORIAL_HORARIOS!$K$2:$K$201,HISTORIAL_HORARIOS!$G$2:$G$201),MATCH(1,(HISTORIAL_HORARIOS!$A$2:$A$201=$B434)*(HISTORIAL_HORARIOS!$C$2:$C$201&lt;=$A434)*(HISTORIAL_HORARIOS!$D$2:$D$201&gt;=$A434),0)),INDEX(IF($I434="FIN",PERSONAL!$K$2:$K$80,PERSONAL!$G$2:$G$80),MATCH($B434,PERSONAL!$A$2:$A$80,0)))))</f>
        <v/>
      </c>
      <c r="O434" s="53">
        <f t="array" ref="O434">IFERROR(INDEX(EXCEPCIONES_FECHA!$F$2:$F$201,MATCH(1,(EXCEPCIONES_FECHA!$A$2:$A$201=$A434)*(EXCEPCIONES_FECHA!$B$2:$B$201=$B434),0)),IFERROR(INDEX(EXCEPCIONES_FECHA!$F$2:$F$201,MATCH(1,(EXCEPCIONES_FECHA!$A$2:$A$201=$A434)*(EXCEPCIONES_FECHA!$B$2:$B$201=""),0)),IFERROR(INDEX(IF($I434="FIN",HISTORIAL_HORARIOS!$L$2:$L$201,HISTORIAL_HORARIOS!$H$2:$H$201),MATCH(1,(HISTORIAL_HORARIOS!$A$2:$A$201=$B434)*(HISTORIAL_HORARIOS!$C$2:$C$201&lt;=$A434)*(HISTORIAL_HORARIOS!$D$2:$D$201&gt;=$A434),0)),INDEX(IF($I434="FIN",PERSONAL!$L$2:$L$80,PERSONAL!$H$2:$H$80),MATCH($B434,PERSONAL!$A$2:$A$80,0)))))</f>
        <v/>
      </c>
    </row>
    <row r="435" ht="15" customHeight="1" s="58">
      <c r="A435" s="37" t="n"/>
      <c r="B435" s="38" t="n"/>
      <c r="C435" s="39" t="n"/>
      <c r="D435" s="39" t="n"/>
      <c r="E435" s="34">
        <f t="array" ref="E435">IF($B435="","",IFERROR(INDEX(PERSONAL!$B$2:$B$80,MATCH($B435,PERSONAL!$A$2:$A$80,0)),"NO EXISTE"))</f>
        <v/>
      </c>
      <c r="F435" s="52">
        <f t="array" ref="F435">IF($B435="","",IFERROR(INDEX(PERSONAL!$C$2:$C$80,MATCH($B435,PERSONAL!$A$2:$A$80,0)),""))</f>
        <v/>
      </c>
      <c r="G435" s="52">
        <f>IF($A435="","",CHOOSE(WEEKDAY($A435,2),"LUNES","MARTES","MIÉRCOLES","JUEVES","VIERNES","SÁBADO","DOMINGO"))</f>
        <v/>
      </c>
      <c r="H435" s="34">
        <f>IF($A435="","",CHOOSE(MONTH($A435),"ENERO","FEBRERO","MARZO","ABRIL","MAYO","JUNIO","JULIO","AGOSTO","SEPTIEMBRE","OCTUBRE","NOVIEMBRE","DICIEMBRE"))</f>
        <v/>
      </c>
      <c r="I435" s="34">
        <f>IF($A435="","",IF(OR($G435="SÁBADO",$G435="DOMINGO"),"FIN","LV"))</f>
        <v/>
      </c>
      <c r="J435" s="34">
        <f>IF(OR($A435="",$B435=""),"",IF($L435&lt;&gt;"",UPPER($L435),IF($C435="","FALTA",IFERROR(IF($C435&gt;=$O435,"ROJO FUERTE",IF($C435&gt;=$N435,"ROJO",IF($C435&gt;=$M435,"AMARILLO","VERDE"))),"REVISAR"))))</f>
        <v/>
      </c>
      <c r="K435" s="36">
        <f>IF(OR($C435="",$D435=""),"",IF($D435&gt;=$C435,($D435-$C435)*24,(1-$C435+$D435)*24))</f>
        <v/>
      </c>
      <c r="L435" s="34" t="n"/>
      <c r="M435" s="53">
        <f t="array" ref="M435">IFERROR(INDEX(EXCEPCIONES_FECHA!$D$2:$D$201,MATCH(1,(EXCEPCIONES_FECHA!$A$2:$A$201=$A435)*(EXCEPCIONES_FECHA!$B$2:$B$201=$B435),0)),IFERROR(INDEX(EXCEPCIONES_FECHA!$D$2:$D$201,MATCH(1,(EXCEPCIONES_FECHA!$A$2:$A$201=$A435)*(EXCEPCIONES_FECHA!$B$2:$B$201=""),0)),IFERROR(INDEX(IF($I435="FIN",HISTORIAL_HORARIOS!$J$2:$J$201,HISTORIAL_HORARIOS!$F$2:$F$201),MATCH(1,(HISTORIAL_HORARIOS!$A$2:$A$201=$B435)*(HISTORIAL_HORARIOS!$C$2:$C$201&lt;=$A435)*(HISTORIAL_HORARIOS!$D$2:$D$201&gt;=$A435),0)),INDEX(IF($I435="FIN",PERSONAL!$J$2:$J$80,PERSONAL!$F$2:$F$80),MATCH($B435,PERSONAL!$A$2:$A$80,0)))))</f>
        <v/>
      </c>
      <c r="N435" s="53">
        <f t="array" ref="N435">IFERROR(INDEX(EXCEPCIONES_FECHA!$E$2:$E$201,MATCH(1,(EXCEPCIONES_FECHA!$A$2:$A$201=$A435)*(EXCEPCIONES_FECHA!$B$2:$B$201=$B435),0)),IFERROR(INDEX(EXCEPCIONES_FECHA!$E$2:$E$201,MATCH(1,(EXCEPCIONES_FECHA!$A$2:$A$201=$A435)*(EXCEPCIONES_FECHA!$B$2:$B$201=""),0)),IFERROR(INDEX(IF($I435="FIN",HISTORIAL_HORARIOS!$K$2:$K$201,HISTORIAL_HORARIOS!$G$2:$G$201),MATCH(1,(HISTORIAL_HORARIOS!$A$2:$A$201=$B435)*(HISTORIAL_HORARIOS!$C$2:$C$201&lt;=$A435)*(HISTORIAL_HORARIOS!$D$2:$D$201&gt;=$A435),0)),INDEX(IF($I435="FIN",PERSONAL!$K$2:$K$80,PERSONAL!$G$2:$G$80),MATCH($B435,PERSONAL!$A$2:$A$80,0)))))</f>
        <v/>
      </c>
      <c r="O435" s="53">
        <f t="array" ref="O435">IFERROR(INDEX(EXCEPCIONES_FECHA!$F$2:$F$201,MATCH(1,(EXCEPCIONES_FECHA!$A$2:$A$201=$A435)*(EXCEPCIONES_FECHA!$B$2:$B$201=$B435),0)),IFERROR(INDEX(EXCEPCIONES_FECHA!$F$2:$F$201,MATCH(1,(EXCEPCIONES_FECHA!$A$2:$A$201=$A435)*(EXCEPCIONES_FECHA!$B$2:$B$201=""),0)),IFERROR(INDEX(IF($I435="FIN",HISTORIAL_HORARIOS!$L$2:$L$201,HISTORIAL_HORARIOS!$H$2:$H$201),MATCH(1,(HISTORIAL_HORARIOS!$A$2:$A$201=$B435)*(HISTORIAL_HORARIOS!$C$2:$C$201&lt;=$A435)*(HISTORIAL_HORARIOS!$D$2:$D$201&gt;=$A435),0)),INDEX(IF($I435="FIN",PERSONAL!$L$2:$L$80,PERSONAL!$H$2:$H$80),MATCH($B435,PERSONAL!$A$2:$A$80,0)))))</f>
        <v/>
      </c>
    </row>
    <row r="436" ht="15" customHeight="1" s="58">
      <c r="A436" s="37" t="n"/>
      <c r="B436" s="38" t="n"/>
      <c r="C436" s="39" t="n"/>
      <c r="D436" s="39" t="n"/>
      <c r="E436" s="34">
        <f t="array" ref="E436">IF($B436="","",IFERROR(INDEX(PERSONAL!$B$2:$B$80,MATCH($B436,PERSONAL!$A$2:$A$80,0)),"NO EXISTE"))</f>
        <v/>
      </c>
      <c r="F436" s="52">
        <f t="array" ref="F436">IF($B436="","",IFERROR(INDEX(PERSONAL!$C$2:$C$80,MATCH($B436,PERSONAL!$A$2:$A$80,0)),""))</f>
        <v/>
      </c>
      <c r="G436" s="52">
        <f>IF($A436="","",CHOOSE(WEEKDAY($A436,2),"LUNES","MARTES","MIÉRCOLES","JUEVES","VIERNES","SÁBADO","DOMINGO"))</f>
        <v/>
      </c>
      <c r="H436" s="34">
        <f>IF($A436="","",CHOOSE(MONTH($A436),"ENERO","FEBRERO","MARZO","ABRIL","MAYO","JUNIO","JULIO","AGOSTO","SEPTIEMBRE","OCTUBRE","NOVIEMBRE","DICIEMBRE"))</f>
        <v/>
      </c>
      <c r="I436" s="34">
        <f>IF($A436="","",IF(OR($G436="SÁBADO",$G436="DOMINGO"),"FIN","LV"))</f>
        <v/>
      </c>
      <c r="J436" s="34">
        <f>IF(OR($A436="",$B436=""),"",IF($L436&lt;&gt;"",UPPER($L436),IF($C436="","FALTA",IFERROR(IF($C436&gt;=$O436,"ROJO FUERTE",IF($C436&gt;=$N436,"ROJO",IF($C436&gt;=$M436,"AMARILLO","VERDE"))),"REVISAR"))))</f>
        <v/>
      </c>
      <c r="K436" s="36">
        <f>IF(OR($C436="",$D436=""),"",IF($D436&gt;=$C436,($D436-$C436)*24,(1-$C436+$D436)*24))</f>
        <v/>
      </c>
      <c r="L436" s="34" t="n"/>
      <c r="M436" s="53">
        <f t="array" ref="M436">IFERROR(INDEX(EXCEPCIONES_FECHA!$D$2:$D$201,MATCH(1,(EXCEPCIONES_FECHA!$A$2:$A$201=$A436)*(EXCEPCIONES_FECHA!$B$2:$B$201=$B436),0)),IFERROR(INDEX(EXCEPCIONES_FECHA!$D$2:$D$201,MATCH(1,(EXCEPCIONES_FECHA!$A$2:$A$201=$A436)*(EXCEPCIONES_FECHA!$B$2:$B$201=""),0)),IFERROR(INDEX(IF($I436="FIN",HISTORIAL_HORARIOS!$J$2:$J$201,HISTORIAL_HORARIOS!$F$2:$F$201),MATCH(1,(HISTORIAL_HORARIOS!$A$2:$A$201=$B436)*(HISTORIAL_HORARIOS!$C$2:$C$201&lt;=$A436)*(HISTORIAL_HORARIOS!$D$2:$D$201&gt;=$A436),0)),INDEX(IF($I436="FIN",PERSONAL!$J$2:$J$80,PERSONAL!$F$2:$F$80),MATCH($B436,PERSONAL!$A$2:$A$80,0)))))</f>
        <v/>
      </c>
      <c r="N436" s="53">
        <f t="array" ref="N436">IFERROR(INDEX(EXCEPCIONES_FECHA!$E$2:$E$201,MATCH(1,(EXCEPCIONES_FECHA!$A$2:$A$201=$A436)*(EXCEPCIONES_FECHA!$B$2:$B$201=$B436),0)),IFERROR(INDEX(EXCEPCIONES_FECHA!$E$2:$E$201,MATCH(1,(EXCEPCIONES_FECHA!$A$2:$A$201=$A436)*(EXCEPCIONES_FECHA!$B$2:$B$201=""),0)),IFERROR(INDEX(IF($I436="FIN",HISTORIAL_HORARIOS!$K$2:$K$201,HISTORIAL_HORARIOS!$G$2:$G$201),MATCH(1,(HISTORIAL_HORARIOS!$A$2:$A$201=$B436)*(HISTORIAL_HORARIOS!$C$2:$C$201&lt;=$A436)*(HISTORIAL_HORARIOS!$D$2:$D$201&gt;=$A436),0)),INDEX(IF($I436="FIN",PERSONAL!$K$2:$K$80,PERSONAL!$G$2:$G$80),MATCH($B436,PERSONAL!$A$2:$A$80,0)))))</f>
        <v/>
      </c>
      <c r="O436" s="53">
        <f t="array" ref="O436">IFERROR(INDEX(EXCEPCIONES_FECHA!$F$2:$F$201,MATCH(1,(EXCEPCIONES_FECHA!$A$2:$A$201=$A436)*(EXCEPCIONES_FECHA!$B$2:$B$201=$B436),0)),IFERROR(INDEX(EXCEPCIONES_FECHA!$F$2:$F$201,MATCH(1,(EXCEPCIONES_FECHA!$A$2:$A$201=$A436)*(EXCEPCIONES_FECHA!$B$2:$B$201=""),0)),IFERROR(INDEX(IF($I436="FIN",HISTORIAL_HORARIOS!$L$2:$L$201,HISTORIAL_HORARIOS!$H$2:$H$201),MATCH(1,(HISTORIAL_HORARIOS!$A$2:$A$201=$B436)*(HISTORIAL_HORARIOS!$C$2:$C$201&lt;=$A436)*(HISTORIAL_HORARIOS!$D$2:$D$201&gt;=$A436),0)),INDEX(IF($I436="FIN",PERSONAL!$L$2:$L$80,PERSONAL!$H$2:$H$80),MATCH($B436,PERSONAL!$A$2:$A$80,0)))))</f>
        <v/>
      </c>
    </row>
    <row r="437" ht="15" customHeight="1" s="58">
      <c r="A437" s="37" t="n"/>
      <c r="B437" s="38" t="n"/>
      <c r="C437" s="39" t="n"/>
      <c r="D437" s="39" t="n"/>
      <c r="E437" s="34">
        <f t="array" ref="E437">IF($B437="","",IFERROR(INDEX(PERSONAL!$B$2:$B$80,MATCH($B437,PERSONAL!$A$2:$A$80,0)),"NO EXISTE"))</f>
        <v/>
      </c>
      <c r="F437" s="52">
        <f t="array" ref="F437">IF($B437="","",IFERROR(INDEX(PERSONAL!$C$2:$C$80,MATCH($B437,PERSONAL!$A$2:$A$80,0)),""))</f>
        <v/>
      </c>
      <c r="G437" s="52">
        <f>IF($A437="","",CHOOSE(WEEKDAY($A437,2),"LUNES","MARTES","MIÉRCOLES","JUEVES","VIERNES","SÁBADO","DOMINGO"))</f>
        <v/>
      </c>
      <c r="H437" s="34">
        <f>IF($A437="","",CHOOSE(MONTH($A437),"ENERO","FEBRERO","MARZO","ABRIL","MAYO","JUNIO","JULIO","AGOSTO","SEPTIEMBRE","OCTUBRE","NOVIEMBRE","DICIEMBRE"))</f>
        <v/>
      </c>
      <c r="I437" s="34">
        <f>IF($A437="","",IF(OR($G437="SÁBADO",$G437="DOMINGO"),"FIN","LV"))</f>
        <v/>
      </c>
      <c r="J437" s="34">
        <f>IF(OR($A437="",$B437=""),"",IF($L437&lt;&gt;"",UPPER($L437),IF($C437="","FALTA",IFERROR(IF($C437&gt;=$O437,"ROJO FUERTE",IF($C437&gt;=$N437,"ROJO",IF($C437&gt;=$M437,"AMARILLO","VERDE"))),"REVISAR"))))</f>
        <v/>
      </c>
      <c r="K437" s="36">
        <f>IF(OR($C437="",$D437=""),"",IF($D437&gt;=$C437,($D437-$C437)*24,(1-$C437+$D437)*24))</f>
        <v/>
      </c>
      <c r="L437" s="34" t="n"/>
      <c r="M437" s="53">
        <f t="array" ref="M437">IFERROR(INDEX(EXCEPCIONES_FECHA!$D$2:$D$201,MATCH(1,(EXCEPCIONES_FECHA!$A$2:$A$201=$A437)*(EXCEPCIONES_FECHA!$B$2:$B$201=$B437),0)),IFERROR(INDEX(EXCEPCIONES_FECHA!$D$2:$D$201,MATCH(1,(EXCEPCIONES_FECHA!$A$2:$A$201=$A437)*(EXCEPCIONES_FECHA!$B$2:$B$201=""),0)),IFERROR(INDEX(IF($I437="FIN",HISTORIAL_HORARIOS!$J$2:$J$201,HISTORIAL_HORARIOS!$F$2:$F$201),MATCH(1,(HISTORIAL_HORARIOS!$A$2:$A$201=$B437)*(HISTORIAL_HORARIOS!$C$2:$C$201&lt;=$A437)*(HISTORIAL_HORARIOS!$D$2:$D$201&gt;=$A437),0)),INDEX(IF($I437="FIN",PERSONAL!$J$2:$J$80,PERSONAL!$F$2:$F$80),MATCH($B437,PERSONAL!$A$2:$A$80,0)))))</f>
        <v/>
      </c>
      <c r="N437" s="53">
        <f t="array" ref="N437">IFERROR(INDEX(EXCEPCIONES_FECHA!$E$2:$E$201,MATCH(1,(EXCEPCIONES_FECHA!$A$2:$A$201=$A437)*(EXCEPCIONES_FECHA!$B$2:$B$201=$B437),0)),IFERROR(INDEX(EXCEPCIONES_FECHA!$E$2:$E$201,MATCH(1,(EXCEPCIONES_FECHA!$A$2:$A$201=$A437)*(EXCEPCIONES_FECHA!$B$2:$B$201=""),0)),IFERROR(INDEX(IF($I437="FIN",HISTORIAL_HORARIOS!$K$2:$K$201,HISTORIAL_HORARIOS!$G$2:$G$201),MATCH(1,(HISTORIAL_HORARIOS!$A$2:$A$201=$B437)*(HISTORIAL_HORARIOS!$C$2:$C$201&lt;=$A437)*(HISTORIAL_HORARIOS!$D$2:$D$201&gt;=$A437),0)),INDEX(IF($I437="FIN",PERSONAL!$K$2:$K$80,PERSONAL!$G$2:$G$80),MATCH($B437,PERSONAL!$A$2:$A$80,0)))))</f>
        <v/>
      </c>
      <c r="O437" s="53">
        <f t="array" ref="O437">IFERROR(INDEX(EXCEPCIONES_FECHA!$F$2:$F$201,MATCH(1,(EXCEPCIONES_FECHA!$A$2:$A$201=$A437)*(EXCEPCIONES_FECHA!$B$2:$B$201=$B437),0)),IFERROR(INDEX(EXCEPCIONES_FECHA!$F$2:$F$201,MATCH(1,(EXCEPCIONES_FECHA!$A$2:$A$201=$A437)*(EXCEPCIONES_FECHA!$B$2:$B$201=""),0)),IFERROR(INDEX(IF($I437="FIN",HISTORIAL_HORARIOS!$L$2:$L$201,HISTORIAL_HORARIOS!$H$2:$H$201),MATCH(1,(HISTORIAL_HORARIOS!$A$2:$A$201=$B437)*(HISTORIAL_HORARIOS!$C$2:$C$201&lt;=$A437)*(HISTORIAL_HORARIOS!$D$2:$D$201&gt;=$A437),0)),INDEX(IF($I437="FIN",PERSONAL!$L$2:$L$80,PERSONAL!$H$2:$H$80),MATCH($B437,PERSONAL!$A$2:$A$80,0)))))</f>
        <v/>
      </c>
    </row>
    <row r="438" ht="15" customHeight="1" s="58">
      <c r="A438" s="37" t="n"/>
      <c r="B438" s="38" t="n"/>
      <c r="C438" s="39" t="n"/>
      <c r="D438" s="39" t="n"/>
      <c r="E438" s="34">
        <f t="array" ref="E438">IF($B438="","",IFERROR(INDEX(PERSONAL!$B$2:$B$80,MATCH($B438,PERSONAL!$A$2:$A$80,0)),"NO EXISTE"))</f>
        <v/>
      </c>
      <c r="F438" s="52">
        <f t="array" ref="F438">IF($B438="","",IFERROR(INDEX(PERSONAL!$C$2:$C$80,MATCH($B438,PERSONAL!$A$2:$A$80,0)),""))</f>
        <v/>
      </c>
      <c r="G438" s="52">
        <f>IF($A438="","",CHOOSE(WEEKDAY($A438,2),"LUNES","MARTES","MIÉRCOLES","JUEVES","VIERNES","SÁBADO","DOMINGO"))</f>
        <v/>
      </c>
      <c r="H438" s="34">
        <f>IF($A438="","",CHOOSE(MONTH($A438),"ENERO","FEBRERO","MARZO","ABRIL","MAYO","JUNIO","JULIO","AGOSTO","SEPTIEMBRE","OCTUBRE","NOVIEMBRE","DICIEMBRE"))</f>
        <v/>
      </c>
      <c r="I438" s="34">
        <f>IF($A438="","",IF(OR($G438="SÁBADO",$G438="DOMINGO"),"FIN","LV"))</f>
        <v/>
      </c>
      <c r="J438" s="34">
        <f>IF(OR($A438="",$B438=""),"",IF($L438&lt;&gt;"",UPPER($L438),IF($C438="","FALTA",IFERROR(IF($C438&gt;=$O438,"ROJO FUERTE",IF($C438&gt;=$N438,"ROJO",IF($C438&gt;=$M438,"AMARILLO","VERDE"))),"REVISAR"))))</f>
        <v/>
      </c>
      <c r="K438" s="36">
        <f>IF(OR($C438="",$D438=""),"",IF($D438&gt;=$C438,($D438-$C438)*24,(1-$C438+$D438)*24))</f>
        <v/>
      </c>
      <c r="L438" s="34" t="n"/>
      <c r="M438" s="53">
        <f t="array" ref="M438">IFERROR(INDEX(EXCEPCIONES_FECHA!$D$2:$D$201,MATCH(1,(EXCEPCIONES_FECHA!$A$2:$A$201=$A438)*(EXCEPCIONES_FECHA!$B$2:$B$201=$B438),0)),IFERROR(INDEX(EXCEPCIONES_FECHA!$D$2:$D$201,MATCH(1,(EXCEPCIONES_FECHA!$A$2:$A$201=$A438)*(EXCEPCIONES_FECHA!$B$2:$B$201=""),0)),IFERROR(INDEX(IF($I438="FIN",HISTORIAL_HORARIOS!$J$2:$J$201,HISTORIAL_HORARIOS!$F$2:$F$201),MATCH(1,(HISTORIAL_HORARIOS!$A$2:$A$201=$B438)*(HISTORIAL_HORARIOS!$C$2:$C$201&lt;=$A438)*(HISTORIAL_HORARIOS!$D$2:$D$201&gt;=$A438),0)),INDEX(IF($I438="FIN",PERSONAL!$J$2:$J$80,PERSONAL!$F$2:$F$80),MATCH($B438,PERSONAL!$A$2:$A$80,0)))))</f>
        <v/>
      </c>
      <c r="N438" s="53">
        <f t="array" ref="N438">IFERROR(INDEX(EXCEPCIONES_FECHA!$E$2:$E$201,MATCH(1,(EXCEPCIONES_FECHA!$A$2:$A$201=$A438)*(EXCEPCIONES_FECHA!$B$2:$B$201=$B438),0)),IFERROR(INDEX(EXCEPCIONES_FECHA!$E$2:$E$201,MATCH(1,(EXCEPCIONES_FECHA!$A$2:$A$201=$A438)*(EXCEPCIONES_FECHA!$B$2:$B$201=""),0)),IFERROR(INDEX(IF($I438="FIN",HISTORIAL_HORARIOS!$K$2:$K$201,HISTORIAL_HORARIOS!$G$2:$G$201),MATCH(1,(HISTORIAL_HORARIOS!$A$2:$A$201=$B438)*(HISTORIAL_HORARIOS!$C$2:$C$201&lt;=$A438)*(HISTORIAL_HORARIOS!$D$2:$D$201&gt;=$A438),0)),INDEX(IF($I438="FIN",PERSONAL!$K$2:$K$80,PERSONAL!$G$2:$G$80),MATCH($B438,PERSONAL!$A$2:$A$80,0)))))</f>
        <v/>
      </c>
      <c r="O438" s="53">
        <f t="array" ref="O438">IFERROR(INDEX(EXCEPCIONES_FECHA!$F$2:$F$201,MATCH(1,(EXCEPCIONES_FECHA!$A$2:$A$201=$A438)*(EXCEPCIONES_FECHA!$B$2:$B$201=$B438),0)),IFERROR(INDEX(EXCEPCIONES_FECHA!$F$2:$F$201,MATCH(1,(EXCEPCIONES_FECHA!$A$2:$A$201=$A438)*(EXCEPCIONES_FECHA!$B$2:$B$201=""),0)),IFERROR(INDEX(IF($I438="FIN",HISTORIAL_HORARIOS!$L$2:$L$201,HISTORIAL_HORARIOS!$H$2:$H$201),MATCH(1,(HISTORIAL_HORARIOS!$A$2:$A$201=$B438)*(HISTORIAL_HORARIOS!$C$2:$C$201&lt;=$A438)*(HISTORIAL_HORARIOS!$D$2:$D$201&gt;=$A438),0)),INDEX(IF($I438="FIN",PERSONAL!$L$2:$L$80,PERSONAL!$H$2:$H$80),MATCH($B438,PERSONAL!$A$2:$A$80,0)))))</f>
        <v/>
      </c>
    </row>
    <row r="439" ht="15" customHeight="1" s="58">
      <c r="A439" s="37" t="n"/>
      <c r="B439" s="38" t="n"/>
      <c r="C439" s="39" t="n"/>
      <c r="D439" s="39" t="n"/>
      <c r="E439" s="34">
        <f t="array" ref="E439">IF($B439="","",IFERROR(INDEX(PERSONAL!$B$2:$B$80,MATCH($B439,PERSONAL!$A$2:$A$80,0)),"NO EXISTE"))</f>
        <v/>
      </c>
      <c r="F439" s="52">
        <f t="array" ref="F439">IF($B439="","",IFERROR(INDEX(PERSONAL!$C$2:$C$80,MATCH($B439,PERSONAL!$A$2:$A$80,0)),""))</f>
        <v/>
      </c>
      <c r="G439" s="52">
        <f>IF($A439="","",CHOOSE(WEEKDAY($A439,2),"LUNES","MARTES","MIÉRCOLES","JUEVES","VIERNES","SÁBADO","DOMINGO"))</f>
        <v/>
      </c>
      <c r="H439" s="34">
        <f>IF($A439="","",CHOOSE(MONTH($A439),"ENERO","FEBRERO","MARZO","ABRIL","MAYO","JUNIO","JULIO","AGOSTO","SEPTIEMBRE","OCTUBRE","NOVIEMBRE","DICIEMBRE"))</f>
        <v/>
      </c>
      <c r="I439" s="34">
        <f>IF($A439="","",IF(OR($G439="SÁBADO",$G439="DOMINGO"),"FIN","LV"))</f>
        <v/>
      </c>
      <c r="J439" s="34">
        <f>IF(OR($A439="",$B439=""),"",IF($L439&lt;&gt;"",UPPER($L439),IF($C439="","FALTA",IFERROR(IF($C439&gt;=$O439,"ROJO FUERTE",IF($C439&gt;=$N439,"ROJO",IF($C439&gt;=$M439,"AMARILLO","VERDE"))),"REVISAR"))))</f>
        <v/>
      </c>
      <c r="K439" s="36">
        <f>IF(OR($C439="",$D439=""),"",IF($D439&gt;=$C439,($D439-$C439)*24,(1-$C439+$D439)*24))</f>
        <v/>
      </c>
      <c r="L439" s="34" t="n"/>
      <c r="M439" s="53">
        <f t="array" ref="M439">IFERROR(INDEX(EXCEPCIONES_FECHA!$D$2:$D$201,MATCH(1,(EXCEPCIONES_FECHA!$A$2:$A$201=$A439)*(EXCEPCIONES_FECHA!$B$2:$B$201=$B439),0)),IFERROR(INDEX(EXCEPCIONES_FECHA!$D$2:$D$201,MATCH(1,(EXCEPCIONES_FECHA!$A$2:$A$201=$A439)*(EXCEPCIONES_FECHA!$B$2:$B$201=""),0)),IFERROR(INDEX(IF($I439="FIN",HISTORIAL_HORARIOS!$J$2:$J$201,HISTORIAL_HORARIOS!$F$2:$F$201),MATCH(1,(HISTORIAL_HORARIOS!$A$2:$A$201=$B439)*(HISTORIAL_HORARIOS!$C$2:$C$201&lt;=$A439)*(HISTORIAL_HORARIOS!$D$2:$D$201&gt;=$A439),0)),INDEX(IF($I439="FIN",PERSONAL!$J$2:$J$80,PERSONAL!$F$2:$F$80),MATCH($B439,PERSONAL!$A$2:$A$80,0)))))</f>
        <v/>
      </c>
      <c r="N439" s="53">
        <f t="array" ref="N439">IFERROR(INDEX(EXCEPCIONES_FECHA!$E$2:$E$201,MATCH(1,(EXCEPCIONES_FECHA!$A$2:$A$201=$A439)*(EXCEPCIONES_FECHA!$B$2:$B$201=$B439),0)),IFERROR(INDEX(EXCEPCIONES_FECHA!$E$2:$E$201,MATCH(1,(EXCEPCIONES_FECHA!$A$2:$A$201=$A439)*(EXCEPCIONES_FECHA!$B$2:$B$201=""),0)),IFERROR(INDEX(IF($I439="FIN",HISTORIAL_HORARIOS!$K$2:$K$201,HISTORIAL_HORARIOS!$G$2:$G$201),MATCH(1,(HISTORIAL_HORARIOS!$A$2:$A$201=$B439)*(HISTORIAL_HORARIOS!$C$2:$C$201&lt;=$A439)*(HISTORIAL_HORARIOS!$D$2:$D$201&gt;=$A439),0)),INDEX(IF($I439="FIN",PERSONAL!$K$2:$K$80,PERSONAL!$G$2:$G$80),MATCH($B439,PERSONAL!$A$2:$A$80,0)))))</f>
        <v/>
      </c>
      <c r="O439" s="53">
        <f t="array" ref="O439">IFERROR(INDEX(EXCEPCIONES_FECHA!$F$2:$F$201,MATCH(1,(EXCEPCIONES_FECHA!$A$2:$A$201=$A439)*(EXCEPCIONES_FECHA!$B$2:$B$201=$B439),0)),IFERROR(INDEX(EXCEPCIONES_FECHA!$F$2:$F$201,MATCH(1,(EXCEPCIONES_FECHA!$A$2:$A$201=$A439)*(EXCEPCIONES_FECHA!$B$2:$B$201=""),0)),IFERROR(INDEX(IF($I439="FIN",HISTORIAL_HORARIOS!$L$2:$L$201,HISTORIAL_HORARIOS!$H$2:$H$201),MATCH(1,(HISTORIAL_HORARIOS!$A$2:$A$201=$B439)*(HISTORIAL_HORARIOS!$C$2:$C$201&lt;=$A439)*(HISTORIAL_HORARIOS!$D$2:$D$201&gt;=$A439),0)),INDEX(IF($I439="FIN",PERSONAL!$L$2:$L$80,PERSONAL!$H$2:$H$80),MATCH($B439,PERSONAL!$A$2:$A$80,0)))))</f>
        <v/>
      </c>
    </row>
    <row r="440" ht="15" customHeight="1" s="58">
      <c r="A440" s="37" t="n"/>
      <c r="B440" s="38" t="n"/>
      <c r="C440" s="39" t="n"/>
      <c r="D440" s="39" t="n"/>
      <c r="E440" s="34">
        <f t="array" ref="E440">IF($B440="","",IFERROR(INDEX(PERSONAL!$B$2:$B$80,MATCH($B440,PERSONAL!$A$2:$A$80,0)),"NO EXISTE"))</f>
        <v/>
      </c>
      <c r="F440" s="52">
        <f t="array" ref="F440">IF($B440="","",IFERROR(INDEX(PERSONAL!$C$2:$C$80,MATCH($B440,PERSONAL!$A$2:$A$80,0)),""))</f>
        <v/>
      </c>
      <c r="G440" s="52">
        <f>IF($A440="","",CHOOSE(WEEKDAY($A440,2),"LUNES","MARTES","MIÉRCOLES","JUEVES","VIERNES","SÁBADO","DOMINGO"))</f>
        <v/>
      </c>
      <c r="H440" s="34">
        <f>IF($A440="","",CHOOSE(MONTH($A440),"ENERO","FEBRERO","MARZO","ABRIL","MAYO","JUNIO","JULIO","AGOSTO","SEPTIEMBRE","OCTUBRE","NOVIEMBRE","DICIEMBRE"))</f>
        <v/>
      </c>
      <c r="I440" s="34">
        <f>IF($A440="","",IF(OR($G440="SÁBADO",$G440="DOMINGO"),"FIN","LV"))</f>
        <v/>
      </c>
      <c r="J440" s="34">
        <f>IF(OR($A440="",$B440=""),"",IF($L440&lt;&gt;"",UPPER($L440),IF($C440="","FALTA",IFERROR(IF($C440&gt;=$O440,"ROJO FUERTE",IF($C440&gt;=$N440,"ROJO",IF($C440&gt;=$M440,"AMARILLO","VERDE"))),"REVISAR"))))</f>
        <v/>
      </c>
      <c r="K440" s="36">
        <f>IF(OR($C440="",$D440=""),"",IF($D440&gt;=$C440,($D440-$C440)*24,(1-$C440+$D440)*24))</f>
        <v/>
      </c>
      <c r="L440" s="34" t="n"/>
      <c r="M440" s="53">
        <f t="array" ref="M440">IFERROR(INDEX(EXCEPCIONES_FECHA!$D$2:$D$201,MATCH(1,(EXCEPCIONES_FECHA!$A$2:$A$201=$A440)*(EXCEPCIONES_FECHA!$B$2:$B$201=$B440),0)),IFERROR(INDEX(EXCEPCIONES_FECHA!$D$2:$D$201,MATCH(1,(EXCEPCIONES_FECHA!$A$2:$A$201=$A440)*(EXCEPCIONES_FECHA!$B$2:$B$201=""),0)),IFERROR(INDEX(IF($I440="FIN",HISTORIAL_HORARIOS!$J$2:$J$201,HISTORIAL_HORARIOS!$F$2:$F$201),MATCH(1,(HISTORIAL_HORARIOS!$A$2:$A$201=$B440)*(HISTORIAL_HORARIOS!$C$2:$C$201&lt;=$A440)*(HISTORIAL_HORARIOS!$D$2:$D$201&gt;=$A440),0)),INDEX(IF($I440="FIN",PERSONAL!$J$2:$J$80,PERSONAL!$F$2:$F$80),MATCH($B440,PERSONAL!$A$2:$A$80,0)))))</f>
        <v/>
      </c>
      <c r="N440" s="53">
        <f t="array" ref="N440">IFERROR(INDEX(EXCEPCIONES_FECHA!$E$2:$E$201,MATCH(1,(EXCEPCIONES_FECHA!$A$2:$A$201=$A440)*(EXCEPCIONES_FECHA!$B$2:$B$201=$B440),0)),IFERROR(INDEX(EXCEPCIONES_FECHA!$E$2:$E$201,MATCH(1,(EXCEPCIONES_FECHA!$A$2:$A$201=$A440)*(EXCEPCIONES_FECHA!$B$2:$B$201=""),0)),IFERROR(INDEX(IF($I440="FIN",HISTORIAL_HORARIOS!$K$2:$K$201,HISTORIAL_HORARIOS!$G$2:$G$201),MATCH(1,(HISTORIAL_HORARIOS!$A$2:$A$201=$B440)*(HISTORIAL_HORARIOS!$C$2:$C$201&lt;=$A440)*(HISTORIAL_HORARIOS!$D$2:$D$201&gt;=$A440),0)),INDEX(IF($I440="FIN",PERSONAL!$K$2:$K$80,PERSONAL!$G$2:$G$80),MATCH($B440,PERSONAL!$A$2:$A$80,0)))))</f>
        <v/>
      </c>
      <c r="O440" s="53">
        <f t="array" ref="O440">IFERROR(INDEX(EXCEPCIONES_FECHA!$F$2:$F$201,MATCH(1,(EXCEPCIONES_FECHA!$A$2:$A$201=$A440)*(EXCEPCIONES_FECHA!$B$2:$B$201=$B440),0)),IFERROR(INDEX(EXCEPCIONES_FECHA!$F$2:$F$201,MATCH(1,(EXCEPCIONES_FECHA!$A$2:$A$201=$A440)*(EXCEPCIONES_FECHA!$B$2:$B$201=""),0)),IFERROR(INDEX(IF($I440="FIN",HISTORIAL_HORARIOS!$L$2:$L$201,HISTORIAL_HORARIOS!$H$2:$H$201),MATCH(1,(HISTORIAL_HORARIOS!$A$2:$A$201=$B440)*(HISTORIAL_HORARIOS!$C$2:$C$201&lt;=$A440)*(HISTORIAL_HORARIOS!$D$2:$D$201&gt;=$A440),0)),INDEX(IF($I440="FIN",PERSONAL!$L$2:$L$80,PERSONAL!$H$2:$H$80),MATCH($B440,PERSONAL!$A$2:$A$80,0)))))</f>
        <v/>
      </c>
    </row>
    <row r="441" ht="15" customHeight="1" s="58">
      <c r="A441" s="37" t="n"/>
      <c r="B441" s="38" t="n"/>
      <c r="C441" s="39" t="n"/>
      <c r="D441" s="39" t="n"/>
      <c r="E441" s="34">
        <f t="array" ref="E441">IF($B441="","",IFERROR(INDEX(PERSONAL!$B$2:$B$80,MATCH($B441,PERSONAL!$A$2:$A$80,0)),"NO EXISTE"))</f>
        <v/>
      </c>
      <c r="F441" s="52">
        <f t="array" ref="F441">IF($B441="","",IFERROR(INDEX(PERSONAL!$C$2:$C$80,MATCH($B441,PERSONAL!$A$2:$A$80,0)),""))</f>
        <v/>
      </c>
      <c r="G441" s="52">
        <f>IF($A441="","",CHOOSE(WEEKDAY($A441,2),"LUNES","MARTES","MIÉRCOLES","JUEVES","VIERNES","SÁBADO","DOMINGO"))</f>
        <v/>
      </c>
      <c r="H441" s="34">
        <f>IF($A441="","",CHOOSE(MONTH($A441),"ENERO","FEBRERO","MARZO","ABRIL","MAYO","JUNIO","JULIO","AGOSTO","SEPTIEMBRE","OCTUBRE","NOVIEMBRE","DICIEMBRE"))</f>
        <v/>
      </c>
      <c r="I441" s="34">
        <f>IF($A441="","",IF(OR($G441="SÁBADO",$G441="DOMINGO"),"FIN","LV"))</f>
        <v/>
      </c>
      <c r="J441" s="34">
        <f>IF(OR($A441="",$B441=""),"",IF($L441&lt;&gt;"",UPPER($L441),IF($C441="","FALTA",IFERROR(IF($C441&gt;=$O441,"ROJO FUERTE",IF($C441&gt;=$N441,"ROJO",IF($C441&gt;=$M441,"AMARILLO","VERDE"))),"REVISAR"))))</f>
        <v/>
      </c>
      <c r="K441" s="36">
        <f>IF(OR($C441="",$D441=""),"",IF($D441&gt;=$C441,($D441-$C441)*24,(1-$C441+$D441)*24))</f>
        <v/>
      </c>
      <c r="L441" s="34" t="n"/>
      <c r="M441" s="53">
        <f t="array" ref="M441">IFERROR(INDEX(EXCEPCIONES_FECHA!$D$2:$D$201,MATCH(1,(EXCEPCIONES_FECHA!$A$2:$A$201=$A441)*(EXCEPCIONES_FECHA!$B$2:$B$201=$B441),0)),IFERROR(INDEX(EXCEPCIONES_FECHA!$D$2:$D$201,MATCH(1,(EXCEPCIONES_FECHA!$A$2:$A$201=$A441)*(EXCEPCIONES_FECHA!$B$2:$B$201=""),0)),IFERROR(INDEX(IF($I441="FIN",HISTORIAL_HORARIOS!$J$2:$J$201,HISTORIAL_HORARIOS!$F$2:$F$201),MATCH(1,(HISTORIAL_HORARIOS!$A$2:$A$201=$B441)*(HISTORIAL_HORARIOS!$C$2:$C$201&lt;=$A441)*(HISTORIAL_HORARIOS!$D$2:$D$201&gt;=$A441),0)),INDEX(IF($I441="FIN",PERSONAL!$J$2:$J$80,PERSONAL!$F$2:$F$80),MATCH($B441,PERSONAL!$A$2:$A$80,0)))))</f>
        <v/>
      </c>
      <c r="N441" s="53">
        <f t="array" ref="N441">IFERROR(INDEX(EXCEPCIONES_FECHA!$E$2:$E$201,MATCH(1,(EXCEPCIONES_FECHA!$A$2:$A$201=$A441)*(EXCEPCIONES_FECHA!$B$2:$B$201=$B441),0)),IFERROR(INDEX(EXCEPCIONES_FECHA!$E$2:$E$201,MATCH(1,(EXCEPCIONES_FECHA!$A$2:$A$201=$A441)*(EXCEPCIONES_FECHA!$B$2:$B$201=""),0)),IFERROR(INDEX(IF($I441="FIN",HISTORIAL_HORARIOS!$K$2:$K$201,HISTORIAL_HORARIOS!$G$2:$G$201),MATCH(1,(HISTORIAL_HORARIOS!$A$2:$A$201=$B441)*(HISTORIAL_HORARIOS!$C$2:$C$201&lt;=$A441)*(HISTORIAL_HORARIOS!$D$2:$D$201&gt;=$A441),0)),INDEX(IF($I441="FIN",PERSONAL!$K$2:$K$80,PERSONAL!$G$2:$G$80),MATCH($B441,PERSONAL!$A$2:$A$80,0)))))</f>
        <v/>
      </c>
      <c r="O441" s="53">
        <f t="array" ref="O441">IFERROR(INDEX(EXCEPCIONES_FECHA!$F$2:$F$201,MATCH(1,(EXCEPCIONES_FECHA!$A$2:$A$201=$A441)*(EXCEPCIONES_FECHA!$B$2:$B$201=$B441),0)),IFERROR(INDEX(EXCEPCIONES_FECHA!$F$2:$F$201,MATCH(1,(EXCEPCIONES_FECHA!$A$2:$A$201=$A441)*(EXCEPCIONES_FECHA!$B$2:$B$201=""),0)),IFERROR(INDEX(IF($I441="FIN",HISTORIAL_HORARIOS!$L$2:$L$201,HISTORIAL_HORARIOS!$H$2:$H$201),MATCH(1,(HISTORIAL_HORARIOS!$A$2:$A$201=$B441)*(HISTORIAL_HORARIOS!$C$2:$C$201&lt;=$A441)*(HISTORIAL_HORARIOS!$D$2:$D$201&gt;=$A441),0)),INDEX(IF($I441="FIN",PERSONAL!$L$2:$L$80,PERSONAL!$H$2:$H$80),MATCH($B441,PERSONAL!$A$2:$A$80,0)))))</f>
        <v/>
      </c>
    </row>
    <row r="442" ht="15" customHeight="1" s="58">
      <c r="A442" s="37" t="n"/>
      <c r="B442" s="38" t="n"/>
      <c r="C442" s="39" t="n"/>
      <c r="D442" s="39" t="n"/>
      <c r="E442" s="34">
        <f t="array" ref="E442">IF($B442="","",IFERROR(INDEX(PERSONAL!$B$2:$B$80,MATCH($B442,PERSONAL!$A$2:$A$80,0)),"NO EXISTE"))</f>
        <v/>
      </c>
      <c r="F442" s="52">
        <f t="array" ref="F442">IF($B442="","",IFERROR(INDEX(PERSONAL!$C$2:$C$80,MATCH($B442,PERSONAL!$A$2:$A$80,0)),""))</f>
        <v/>
      </c>
      <c r="G442" s="52">
        <f>IF($A442="","",CHOOSE(WEEKDAY($A442,2),"LUNES","MARTES","MIÉRCOLES","JUEVES","VIERNES","SÁBADO","DOMINGO"))</f>
        <v/>
      </c>
      <c r="H442" s="34">
        <f>IF($A442="","",CHOOSE(MONTH($A442),"ENERO","FEBRERO","MARZO","ABRIL","MAYO","JUNIO","JULIO","AGOSTO","SEPTIEMBRE","OCTUBRE","NOVIEMBRE","DICIEMBRE"))</f>
        <v/>
      </c>
      <c r="I442" s="34">
        <f>IF($A442="","",IF(OR($G442="SÁBADO",$G442="DOMINGO"),"FIN","LV"))</f>
        <v/>
      </c>
      <c r="J442" s="34">
        <f>IF(OR($A442="",$B442=""),"",IF($L442&lt;&gt;"",UPPER($L442),IF($C442="","FALTA",IFERROR(IF($C442&gt;=$O442,"ROJO FUERTE",IF($C442&gt;=$N442,"ROJO",IF($C442&gt;=$M442,"AMARILLO","VERDE"))),"REVISAR"))))</f>
        <v/>
      </c>
      <c r="K442" s="36">
        <f>IF(OR($C442="",$D442=""),"",IF($D442&gt;=$C442,($D442-$C442)*24,(1-$C442+$D442)*24))</f>
        <v/>
      </c>
      <c r="L442" s="34" t="n"/>
      <c r="M442" s="53">
        <f t="array" ref="M442">IFERROR(INDEX(EXCEPCIONES_FECHA!$D$2:$D$201,MATCH(1,(EXCEPCIONES_FECHA!$A$2:$A$201=$A442)*(EXCEPCIONES_FECHA!$B$2:$B$201=$B442),0)),IFERROR(INDEX(EXCEPCIONES_FECHA!$D$2:$D$201,MATCH(1,(EXCEPCIONES_FECHA!$A$2:$A$201=$A442)*(EXCEPCIONES_FECHA!$B$2:$B$201=""),0)),IFERROR(INDEX(IF($I442="FIN",HISTORIAL_HORARIOS!$J$2:$J$201,HISTORIAL_HORARIOS!$F$2:$F$201),MATCH(1,(HISTORIAL_HORARIOS!$A$2:$A$201=$B442)*(HISTORIAL_HORARIOS!$C$2:$C$201&lt;=$A442)*(HISTORIAL_HORARIOS!$D$2:$D$201&gt;=$A442),0)),INDEX(IF($I442="FIN",PERSONAL!$J$2:$J$80,PERSONAL!$F$2:$F$80),MATCH($B442,PERSONAL!$A$2:$A$80,0)))))</f>
        <v/>
      </c>
      <c r="N442" s="53">
        <f t="array" ref="N442">IFERROR(INDEX(EXCEPCIONES_FECHA!$E$2:$E$201,MATCH(1,(EXCEPCIONES_FECHA!$A$2:$A$201=$A442)*(EXCEPCIONES_FECHA!$B$2:$B$201=$B442),0)),IFERROR(INDEX(EXCEPCIONES_FECHA!$E$2:$E$201,MATCH(1,(EXCEPCIONES_FECHA!$A$2:$A$201=$A442)*(EXCEPCIONES_FECHA!$B$2:$B$201=""),0)),IFERROR(INDEX(IF($I442="FIN",HISTORIAL_HORARIOS!$K$2:$K$201,HISTORIAL_HORARIOS!$G$2:$G$201),MATCH(1,(HISTORIAL_HORARIOS!$A$2:$A$201=$B442)*(HISTORIAL_HORARIOS!$C$2:$C$201&lt;=$A442)*(HISTORIAL_HORARIOS!$D$2:$D$201&gt;=$A442),0)),INDEX(IF($I442="FIN",PERSONAL!$K$2:$K$80,PERSONAL!$G$2:$G$80),MATCH($B442,PERSONAL!$A$2:$A$80,0)))))</f>
        <v/>
      </c>
      <c r="O442" s="53">
        <f t="array" ref="O442">IFERROR(INDEX(EXCEPCIONES_FECHA!$F$2:$F$201,MATCH(1,(EXCEPCIONES_FECHA!$A$2:$A$201=$A442)*(EXCEPCIONES_FECHA!$B$2:$B$201=$B442),0)),IFERROR(INDEX(EXCEPCIONES_FECHA!$F$2:$F$201,MATCH(1,(EXCEPCIONES_FECHA!$A$2:$A$201=$A442)*(EXCEPCIONES_FECHA!$B$2:$B$201=""),0)),IFERROR(INDEX(IF($I442="FIN",HISTORIAL_HORARIOS!$L$2:$L$201,HISTORIAL_HORARIOS!$H$2:$H$201),MATCH(1,(HISTORIAL_HORARIOS!$A$2:$A$201=$B442)*(HISTORIAL_HORARIOS!$C$2:$C$201&lt;=$A442)*(HISTORIAL_HORARIOS!$D$2:$D$201&gt;=$A442),0)),INDEX(IF($I442="FIN",PERSONAL!$L$2:$L$80,PERSONAL!$H$2:$H$80),MATCH($B442,PERSONAL!$A$2:$A$80,0)))))</f>
        <v/>
      </c>
    </row>
    <row r="443" ht="15" customHeight="1" s="58">
      <c r="A443" s="37" t="n"/>
      <c r="B443" s="38" t="n"/>
      <c r="C443" s="39" t="n"/>
      <c r="D443" s="39" t="n"/>
      <c r="E443" s="34">
        <f t="array" ref="E443">IF($B443="","",IFERROR(INDEX(PERSONAL!$B$2:$B$80,MATCH($B443,PERSONAL!$A$2:$A$80,0)),"NO EXISTE"))</f>
        <v/>
      </c>
      <c r="F443" s="52">
        <f t="array" ref="F443">IF($B443="","",IFERROR(INDEX(PERSONAL!$C$2:$C$80,MATCH($B443,PERSONAL!$A$2:$A$80,0)),""))</f>
        <v/>
      </c>
      <c r="G443" s="52">
        <f>IF($A443="","",CHOOSE(WEEKDAY($A443,2),"LUNES","MARTES","MIÉRCOLES","JUEVES","VIERNES","SÁBADO","DOMINGO"))</f>
        <v/>
      </c>
      <c r="H443" s="34">
        <f>IF($A443="","",CHOOSE(MONTH($A443),"ENERO","FEBRERO","MARZO","ABRIL","MAYO","JUNIO","JULIO","AGOSTO","SEPTIEMBRE","OCTUBRE","NOVIEMBRE","DICIEMBRE"))</f>
        <v/>
      </c>
      <c r="I443" s="34">
        <f>IF($A443="","",IF(OR($G443="SÁBADO",$G443="DOMINGO"),"FIN","LV"))</f>
        <v/>
      </c>
      <c r="J443" s="34">
        <f>IF(OR($A443="",$B443=""),"",IF($L443&lt;&gt;"",UPPER($L443),IF($C443="","FALTA",IFERROR(IF($C443&gt;=$O443,"ROJO FUERTE",IF($C443&gt;=$N443,"ROJO",IF($C443&gt;=$M443,"AMARILLO","VERDE"))),"REVISAR"))))</f>
        <v/>
      </c>
      <c r="K443" s="36">
        <f>IF(OR($C443="",$D443=""),"",IF($D443&gt;=$C443,($D443-$C443)*24,(1-$C443+$D443)*24))</f>
        <v/>
      </c>
      <c r="L443" s="34" t="n"/>
      <c r="M443" s="53">
        <f t="array" ref="M443">IFERROR(INDEX(EXCEPCIONES_FECHA!$D$2:$D$201,MATCH(1,(EXCEPCIONES_FECHA!$A$2:$A$201=$A443)*(EXCEPCIONES_FECHA!$B$2:$B$201=$B443),0)),IFERROR(INDEX(EXCEPCIONES_FECHA!$D$2:$D$201,MATCH(1,(EXCEPCIONES_FECHA!$A$2:$A$201=$A443)*(EXCEPCIONES_FECHA!$B$2:$B$201=""),0)),IFERROR(INDEX(IF($I443="FIN",HISTORIAL_HORARIOS!$J$2:$J$201,HISTORIAL_HORARIOS!$F$2:$F$201),MATCH(1,(HISTORIAL_HORARIOS!$A$2:$A$201=$B443)*(HISTORIAL_HORARIOS!$C$2:$C$201&lt;=$A443)*(HISTORIAL_HORARIOS!$D$2:$D$201&gt;=$A443),0)),INDEX(IF($I443="FIN",PERSONAL!$J$2:$J$80,PERSONAL!$F$2:$F$80),MATCH($B443,PERSONAL!$A$2:$A$80,0)))))</f>
        <v/>
      </c>
      <c r="N443" s="53">
        <f t="array" ref="N443">IFERROR(INDEX(EXCEPCIONES_FECHA!$E$2:$E$201,MATCH(1,(EXCEPCIONES_FECHA!$A$2:$A$201=$A443)*(EXCEPCIONES_FECHA!$B$2:$B$201=$B443),0)),IFERROR(INDEX(EXCEPCIONES_FECHA!$E$2:$E$201,MATCH(1,(EXCEPCIONES_FECHA!$A$2:$A$201=$A443)*(EXCEPCIONES_FECHA!$B$2:$B$201=""),0)),IFERROR(INDEX(IF($I443="FIN",HISTORIAL_HORARIOS!$K$2:$K$201,HISTORIAL_HORARIOS!$G$2:$G$201),MATCH(1,(HISTORIAL_HORARIOS!$A$2:$A$201=$B443)*(HISTORIAL_HORARIOS!$C$2:$C$201&lt;=$A443)*(HISTORIAL_HORARIOS!$D$2:$D$201&gt;=$A443),0)),INDEX(IF($I443="FIN",PERSONAL!$K$2:$K$80,PERSONAL!$G$2:$G$80),MATCH($B443,PERSONAL!$A$2:$A$80,0)))))</f>
        <v/>
      </c>
      <c r="O443" s="53">
        <f t="array" ref="O443">IFERROR(INDEX(EXCEPCIONES_FECHA!$F$2:$F$201,MATCH(1,(EXCEPCIONES_FECHA!$A$2:$A$201=$A443)*(EXCEPCIONES_FECHA!$B$2:$B$201=$B443),0)),IFERROR(INDEX(EXCEPCIONES_FECHA!$F$2:$F$201,MATCH(1,(EXCEPCIONES_FECHA!$A$2:$A$201=$A443)*(EXCEPCIONES_FECHA!$B$2:$B$201=""),0)),IFERROR(INDEX(IF($I443="FIN",HISTORIAL_HORARIOS!$L$2:$L$201,HISTORIAL_HORARIOS!$H$2:$H$201),MATCH(1,(HISTORIAL_HORARIOS!$A$2:$A$201=$B443)*(HISTORIAL_HORARIOS!$C$2:$C$201&lt;=$A443)*(HISTORIAL_HORARIOS!$D$2:$D$201&gt;=$A443),0)),INDEX(IF($I443="FIN",PERSONAL!$L$2:$L$80,PERSONAL!$H$2:$H$80),MATCH($B443,PERSONAL!$A$2:$A$80,0)))))</f>
        <v/>
      </c>
    </row>
    <row r="444" ht="15" customHeight="1" s="58">
      <c r="A444" s="37" t="n"/>
      <c r="B444" s="38" t="n"/>
      <c r="C444" s="39" t="n"/>
      <c r="D444" s="39" t="n"/>
      <c r="E444" s="34">
        <f t="array" ref="E444">IF($B444="","",IFERROR(INDEX(PERSONAL!$B$2:$B$80,MATCH($B444,PERSONAL!$A$2:$A$80,0)),"NO EXISTE"))</f>
        <v/>
      </c>
      <c r="F444" s="52">
        <f t="array" ref="F444">IF($B444="","",IFERROR(INDEX(PERSONAL!$C$2:$C$80,MATCH($B444,PERSONAL!$A$2:$A$80,0)),""))</f>
        <v/>
      </c>
      <c r="G444" s="52">
        <f>IF($A444="","",CHOOSE(WEEKDAY($A444,2),"LUNES","MARTES","MIÉRCOLES","JUEVES","VIERNES","SÁBADO","DOMINGO"))</f>
        <v/>
      </c>
      <c r="H444" s="34">
        <f>IF($A444="","",CHOOSE(MONTH($A444),"ENERO","FEBRERO","MARZO","ABRIL","MAYO","JUNIO","JULIO","AGOSTO","SEPTIEMBRE","OCTUBRE","NOVIEMBRE","DICIEMBRE"))</f>
        <v/>
      </c>
      <c r="I444" s="34">
        <f>IF($A444="","",IF(OR($G444="SÁBADO",$G444="DOMINGO"),"FIN","LV"))</f>
        <v/>
      </c>
      <c r="J444" s="34">
        <f>IF(OR($A444="",$B444=""),"",IF($L444&lt;&gt;"",UPPER($L444),IF($C444="","FALTA",IFERROR(IF($C444&gt;=$O444,"ROJO FUERTE",IF($C444&gt;=$N444,"ROJO",IF($C444&gt;=$M444,"AMARILLO","VERDE"))),"REVISAR"))))</f>
        <v/>
      </c>
      <c r="K444" s="36">
        <f>IF(OR($C444="",$D444=""),"",IF($D444&gt;=$C444,($D444-$C444)*24,(1-$C444+$D444)*24))</f>
        <v/>
      </c>
      <c r="L444" s="34" t="n"/>
      <c r="M444" s="53">
        <f t="array" ref="M444">IFERROR(INDEX(EXCEPCIONES_FECHA!$D$2:$D$201,MATCH(1,(EXCEPCIONES_FECHA!$A$2:$A$201=$A444)*(EXCEPCIONES_FECHA!$B$2:$B$201=$B444),0)),IFERROR(INDEX(EXCEPCIONES_FECHA!$D$2:$D$201,MATCH(1,(EXCEPCIONES_FECHA!$A$2:$A$201=$A444)*(EXCEPCIONES_FECHA!$B$2:$B$201=""),0)),IFERROR(INDEX(IF($I444="FIN",HISTORIAL_HORARIOS!$J$2:$J$201,HISTORIAL_HORARIOS!$F$2:$F$201),MATCH(1,(HISTORIAL_HORARIOS!$A$2:$A$201=$B444)*(HISTORIAL_HORARIOS!$C$2:$C$201&lt;=$A444)*(HISTORIAL_HORARIOS!$D$2:$D$201&gt;=$A444),0)),INDEX(IF($I444="FIN",PERSONAL!$J$2:$J$80,PERSONAL!$F$2:$F$80),MATCH($B444,PERSONAL!$A$2:$A$80,0)))))</f>
        <v/>
      </c>
      <c r="N444" s="53">
        <f t="array" ref="N444">IFERROR(INDEX(EXCEPCIONES_FECHA!$E$2:$E$201,MATCH(1,(EXCEPCIONES_FECHA!$A$2:$A$201=$A444)*(EXCEPCIONES_FECHA!$B$2:$B$201=$B444),0)),IFERROR(INDEX(EXCEPCIONES_FECHA!$E$2:$E$201,MATCH(1,(EXCEPCIONES_FECHA!$A$2:$A$201=$A444)*(EXCEPCIONES_FECHA!$B$2:$B$201=""),0)),IFERROR(INDEX(IF($I444="FIN",HISTORIAL_HORARIOS!$K$2:$K$201,HISTORIAL_HORARIOS!$G$2:$G$201),MATCH(1,(HISTORIAL_HORARIOS!$A$2:$A$201=$B444)*(HISTORIAL_HORARIOS!$C$2:$C$201&lt;=$A444)*(HISTORIAL_HORARIOS!$D$2:$D$201&gt;=$A444),0)),INDEX(IF($I444="FIN",PERSONAL!$K$2:$K$80,PERSONAL!$G$2:$G$80),MATCH($B444,PERSONAL!$A$2:$A$80,0)))))</f>
        <v/>
      </c>
      <c r="O444" s="53">
        <f t="array" ref="O444">IFERROR(INDEX(EXCEPCIONES_FECHA!$F$2:$F$201,MATCH(1,(EXCEPCIONES_FECHA!$A$2:$A$201=$A444)*(EXCEPCIONES_FECHA!$B$2:$B$201=$B444),0)),IFERROR(INDEX(EXCEPCIONES_FECHA!$F$2:$F$201,MATCH(1,(EXCEPCIONES_FECHA!$A$2:$A$201=$A444)*(EXCEPCIONES_FECHA!$B$2:$B$201=""),0)),IFERROR(INDEX(IF($I444="FIN",HISTORIAL_HORARIOS!$L$2:$L$201,HISTORIAL_HORARIOS!$H$2:$H$201),MATCH(1,(HISTORIAL_HORARIOS!$A$2:$A$201=$B444)*(HISTORIAL_HORARIOS!$C$2:$C$201&lt;=$A444)*(HISTORIAL_HORARIOS!$D$2:$D$201&gt;=$A444),0)),INDEX(IF($I444="FIN",PERSONAL!$L$2:$L$80,PERSONAL!$H$2:$H$80),MATCH($B444,PERSONAL!$A$2:$A$80,0)))))</f>
        <v/>
      </c>
    </row>
    <row r="445" ht="15" customHeight="1" s="58">
      <c r="A445" s="37" t="n"/>
      <c r="B445" s="38" t="n"/>
      <c r="C445" s="39" t="n"/>
      <c r="D445" s="39" t="n"/>
      <c r="E445" s="34">
        <f t="array" ref="E445">IF($B445="","",IFERROR(INDEX(PERSONAL!$B$2:$B$80,MATCH($B445,PERSONAL!$A$2:$A$80,0)),"NO EXISTE"))</f>
        <v/>
      </c>
      <c r="F445" s="52">
        <f t="array" ref="F445">IF($B445="","",IFERROR(INDEX(PERSONAL!$C$2:$C$80,MATCH($B445,PERSONAL!$A$2:$A$80,0)),""))</f>
        <v/>
      </c>
      <c r="G445" s="52">
        <f>IF($A445="","",CHOOSE(WEEKDAY($A445,2),"LUNES","MARTES","MIÉRCOLES","JUEVES","VIERNES","SÁBADO","DOMINGO"))</f>
        <v/>
      </c>
      <c r="H445" s="34">
        <f>IF($A445="","",CHOOSE(MONTH($A445),"ENERO","FEBRERO","MARZO","ABRIL","MAYO","JUNIO","JULIO","AGOSTO","SEPTIEMBRE","OCTUBRE","NOVIEMBRE","DICIEMBRE"))</f>
        <v/>
      </c>
      <c r="I445" s="34">
        <f>IF($A445="","",IF(OR($G445="SÁBADO",$G445="DOMINGO"),"FIN","LV"))</f>
        <v/>
      </c>
      <c r="J445" s="34">
        <f>IF(OR($A445="",$B445=""),"",IF($L445&lt;&gt;"",UPPER($L445),IF($C445="","FALTA",IFERROR(IF($C445&gt;=$O445,"ROJO FUERTE",IF($C445&gt;=$N445,"ROJO",IF($C445&gt;=$M445,"AMARILLO","VERDE"))),"REVISAR"))))</f>
        <v/>
      </c>
      <c r="K445" s="36">
        <f>IF(OR($C445="",$D445=""),"",IF($D445&gt;=$C445,($D445-$C445)*24,(1-$C445+$D445)*24))</f>
        <v/>
      </c>
      <c r="L445" s="34" t="n"/>
      <c r="M445" s="53">
        <f t="array" ref="M445">IFERROR(INDEX(EXCEPCIONES_FECHA!$D$2:$D$201,MATCH(1,(EXCEPCIONES_FECHA!$A$2:$A$201=$A445)*(EXCEPCIONES_FECHA!$B$2:$B$201=$B445),0)),IFERROR(INDEX(EXCEPCIONES_FECHA!$D$2:$D$201,MATCH(1,(EXCEPCIONES_FECHA!$A$2:$A$201=$A445)*(EXCEPCIONES_FECHA!$B$2:$B$201=""),0)),IFERROR(INDEX(IF($I445="FIN",HISTORIAL_HORARIOS!$J$2:$J$201,HISTORIAL_HORARIOS!$F$2:$F$201),MATCH(1,(HISTORIAL_HORARIOS!$A$2:$A$201=$B445)*(HISTORIAL_HORARIOS!$C$2:$C$201&lt;=$A445)*(HISTORIAL_HORARIOS!$D$2:$D$201&gt;=$A445),0)),INDEX(IF($I445="FIN",PERSONAL!$J$2:$J$80,PERSONAL!$F$2:$F$80),MATCH($B445,PERSONAL!$A$2:$A$80,0)))))</f>
        <v/>
      </c>
      <c r="N445" s="53">
        <f t="array" ref="N445">IFERROR(INDEX(EXCEPCIONES_FECHA!$E$2:$E$201,MATCH(1,(EXCEPCIONES_FECHA!$A$2:$A$201=$A445)*(EXCEPCIONES_FECHA!$B$2:$B$201=$B445),0)),IFERROR(INDEX(EXCEPCIONES_FECHA!$E$2:$E$201,MATCH(1,(EXCEPCIONES_FECHA!$A$2:$A$201=$A445)*(EXCEPCIONES_FECHA!$B$2:$B$201=""),0)),IFERROR(INDEX(IF($I445="FIN",HISTORIAL_HORARIOS!$K$2:$K$201,HISTORIAL_HORARIOS!$G$2:$G$201),MATCH(1,(HISTORIAL_HORARIOS!$A$2:$A$201=$B445)*(HISTORIAL_HORARIOS!$C$2:$C$201&lt;=$A445)*(HISTORIAL_HORARIOS!$D$2:$D$201&gt;=$A445),0)),INDEX(IF($I445="FIN",PERSONAL!$K$2:$K$80,PERSONAL!$G$2:$G$80),MATCH($B445,PERSONAL!$A$2:$A$80,0)))))</f>
        <v/>
      </c>
      <c r="O445" s="53">
        <f t="array" ref="O445">IFERROR(INDEX(EXCEPCIONES_FECHA!$F$2:$F$201,MATCH(1,(EXCEPCIONES_FECHA!$A$2:$A$201=$A445)*(EXCEPCIONES_FECHA!$B$2:$B$201=$B445),0)),IFERROR(INDEX(EXCEPCIONES_FECHA!$F$2:$F$201,MATCH(1,(EXCEPCIONES_FECHA!$A$2:$A$201=$A445)*(EXCEPCIONES_FECHA!$B$2:$B$201=""),0)),IFERROR(INDEX(IF($I445="FIN",HISTORIAL_HORARIOS!$L$2:$L$201,HISTORIAL_HORARIOS!$H$2:$H$201),MATCH(1,(HISTORIAL_HORARIOS!$A$2:$A$201=$B445)*(HISTORIAL_HORARIOS!$C$2:$C$201&lt;=$A445)*(HISTORIAL_HORARIOS!$D$2:$D$201&gt;=$A445),0)),INDEX(IF($I445="FIN",PERSONAL!$L$2:$L$80,PERSONAL!$H$2:$H$80),MATCH($B445,PERSONAL!$A$2:$A$80,0)))))</f>
        <v/>
      </c>
    </row>
    <row r="446" ht="15" customHeight="1" s="58">
      <c r="A446" s="37" t="n"/>
      <c r="B446" s="38" t="n"/>
      <c r="C446" s="39" t="n"/>
      <c r="D446" s="39" t="n"/>
      <c r="E446" s="34">
        <f t="array" ref="E446">IF($B446="","",IFERROR(INDEX(PERSONAL!$B$2:$B$80,MATCH($B446,PERSONAL!$A$2:$A$80,0)),"NO EXISTE"))</f>
        <v/>
      </c>
      <c r="F446" s="52">
        <f t="array" ref="F446">IF($B446="","",IFERROR(INDEX(PERSONAL!$C$2:$C$80,MATCH($B446,PERSONAL!$A$2:$A$80,0)),""))</f>
        <v/>
      </c>
      <c r="G446" s="52">
        <f>IF($A446="","",CHOOSE(WEEKDAY($A446,2),"LUNES","MARTES","MIÉRCOLES","JUEVES","VIERNES","SÁBADO","DOMINGO"))</f>
        <v/>
      </c>
      <c r="H446" s="34">
        <f>IF($A446="","",CHOOSE(MONTH($A446),"ENERO","FEBRERO","MARZO","ABRIL","MAYO","JUNIO","JULIO","AGOSTO","SEPTIEMBRE","OCTUBRE","NOVIEMBRE","DICIEMBRE"))</f>
        <v/>
      </c>
      <c r="I446" s="34">
        <f>IF($A446="","",IF(OR($G446="SÁBADO",$G446="DOMINGO"),"FIN","LV"))</f>
        <v/>
      </c>
      <c r="J446" s="34">
        <f>IF(OR($A446="",$B446=""),"",IF($L446&lt;&gt;"",UPPER($L446),IF($C446="","FALTA",IFERROR(IF($C446&gt;=$O446,"ROJO FUERTE",IF($C446&gt;=$N446,"ROJO",IF($C446&gt;=$M446,"AMARILLO","VERDE"))),"REVISAR"))))</f>
        <v/>
      </c>
      <c r="K446" s="36">
        <f>IF(OR($C446="",$D446=""),"",IF($D446&gt;=$C446,($D446-$C446)*24,(1-$C446+$D446)*24))</f>
        <v/>
      </c>
      <c r="L446" s="34" t="n"/>
      <c r="M446" s="53">
        <f t="array" ref="M446">IFERROR(INDEX(EXCEPCIONES_FECHA!$D$2:$D$201,MATCH(1,(EXCEPCIONES_FECHA!$A$2:$A$201=$A446)*(EXCEPCIONES_FECHA!$B$2:$B$201=$B446),0)),IFERROR(INDEX(EXCEPCIONES_FECHA!$D$2:$D$201,MATCH(1,(EXCEPCIONES_FECHA!$A$2:$A$201=$A446)*(EXCEPCIONES_FECHA!$B$2:$B$201=""),0)),IFERROR(INDEX(IF($I446="FIN",HISTORIAL_HORARIOS!$J$2:$J$201,HISTORIAL_HORARIOS!$F$2:$F$201),MATCH(1,(HISTORIAL_HORARIOS!$A$2:$A$201=$B446)*(HISTORIAL_HORARIOS!$C$2:$C$201&lt;=$A446)*(HISTORIAL_HORARIOS!$D$2:$D$201&gt;=$A446),0)),INDEX(IF($I446="FIN",PERSONAL!$J$2:$J$80,PERSONAL!$F$2:$F$80),MATCH($B446,PERSONAL!$A$2:$A$80,0)))))</f>
        <v/>
      </c>
      <c r="N446" s="53">
        <f t="array" ref="N446">IFERROR(INDEX(EXCEPCIONES_FECHA!$E$2:$E$201,MATCH(1,(EXCEPCIONES_FECHA!$A$2:$A$201=$A446)*(EXCEPCIONES_FECHA!$B$2:$B$201=$B446),0)),IFERROR(INDEX(EXCEPCIONES_FECHA!$E$2:$E$201,MATCH(1,(EXCEPCIONES_FECHA!$A$2:$A$201=$A446)*(EXCEPCIONES_FECHA!$B$2:$B$201=""),0)),IFERROR(INDEX(IF($I446="FIN",HISTORIAL_HORARIOS!$K$2:$K$201,HISTORIAL_HORARIOS!$G$2:$G$201),MATCH(1,(HISTORIAL_HORARIOS!$A$2:$A$201=$B446)*(HISTORIAL_HORARIOS!$C$2:$C$201&lt;=$A446)*(HISTORIAL_HORARIOS!$D$2:$D$201&gt;=$A446),0)),INDEX(IF($I446="FIN",PERSONAL!$K$2:$K$80,PERSONAL!$G$2:$G$80),MATCH($B446,PERSONAL!$A$2:$A$80,0)))))</f>
        <v/>
      </c>
      <c r="O446" s="53">
        <f t="array" ref="O446">IFERROR(INDEX(EXCEPCIONES_FECHA!$F$2:$F$201,MATCH(1,(EXCEPCIONES_FECHA!$A$2:$A$201=$A446)*(EXCEPCIONES_FECHA!$B$2:$B$201=$B446),0)),IFERROR(INDEX(EXCEPCIONES_FECHA!$F$2:$F$201,MATCH(1,(EXCEPCIONES_FECHA!$A$2:$A$201=$A446)*(EXCEPCIONES_FECHA!$B$2:$B$201=""),0)),IFERROR(INDEX(IF($I446="FIN",HISTORIAL_HORARIOS!$L$2:$L$201,HISTORIAL_HORARIOS!$H$2:$H$201),MATCH(1,(HISTORIAL_HORARIOS!$A$2:$A$201=$B446)*(HISTORIAL_HORARIOS!$C$2:$C$201&lt;=$A446)*(HISTORIAL_HORARIOS!$D$2:$D$201&gt;=$A446),0)),INDEX(IF($I446="FIN",PERSONAL!$L$2:$L$80,PERSONAL!$H$2:$H$80),MATCH($B446,PERSONAL!$A$2:$A$80,0)))))</f>
        <v/>
      </c>
    </row>
    <row r="447" ht="15" customHeight="1" s="58">
      <c r="A447" s="37" t="n"/>
      <c r="B447" s="38" t="n"/>
      <c r="C447" s="39" t="n"/>
      <c r="D447" s="39" t="n"/>
      <c r="E447" s="34">
        <f t="array" ref="E447">IF($B447="","",IFERROR(INDEX(PERSONAL!$B$2:$B$80,MATCH($B447,PERSONAL!$A$2:$A$80,0)),"NO EXISTE"))</f>
        <v/>
      </c>
      <c r="F447" s="52">
        <f t="array" ref="F447">IF($B447="","",IFERROR(INDEX(PERSONAL!$C$2:$C$80,MATCH($B447,PERSONAL!$A$2:$A$80,0)),""))</f>
        <v/>
      </c>
      <c r="G447" s="52">
        <f>IF($A447="","",CHOOSE(WEEKDAY($A447,2),"LUNES","MARTES","MIÉRCOLES","JUEVES","VIERNES","SÁBADO","DOMINGO"))</f>
        <v/>
      </c>
      <c r="H447" s="34">
        <f>IF($A447="","",CHOOSE(MONTH($A447),"ENERO","FEBRERO","MARZO","ABRIL","MAYO","JUNIO","JULIO","AGOSTO","SEPTIEMBRE","OCTUBRE","NOVIEMBRE","DICIEMBRE"))</f>
        <v/>
      </c>
      <c r="I447" s="34">
        <f>IF($A447="","",IF(OR($G447="SÁBADO",$G447="DOMINGO"),"FIN","LV"))</f>
        <v/>
      </c>
      <c r="J447" s="34">
        <f>IF(OR($A447="",$B447=""),"",IF($L447&lt;&gt;"",UPPER($L447),IF($C447="","FALTA",IFERROR(IF($C447&gt;=$O447,"ROJO FUERTE",IF($C447&gt;=$N447,"ROJO",IF($C447&gt;=$M447,"AMARILLO","VERDE"))),"REVISAR"))))</f>
        <v/>
      </c>
      <c r="K447" s="36">
        <f>IF(OR($C447="",$D447=""),"",IF($D447&gt;=$C447,($D447-$C447)*24,(1-$C447+$D447)*24))</f>
        <v/>
      </c>
      <c r="L447" s="34" t="n"/>
      <c r="M447" s="53">
        <f t="array" ref="M447">IFERROR(INDEX(EXCEPCIONES_FECHA!$D$2:$D$201,MATCH(1,(EXCEPCIONES_FECHA!$A$2:$A$201=$A447)*(EXCEPCIONES_FECHA!$B$2:$B$201=$B447),0)),IFERROR(INDEX(EXCEPCIONES_FECHA!$D$2:$D$201,MATCH(1,(EXCEPCIONES_FECHA!$A$2:$A$201=$A447)*(EXCEPCIONES_FECHA!$B$2:$B$201=""),0)),IFERROR(INDEX(IF($I447="FIN",HISTORIAL_HORARIOS!$J$2:$J$201,HISTORIAL_HORARIOS!$F$2:$F$201),MATCH(1,(HISTORIAL_HORARIOS!$A$2:$A$201=$B447)*(HISTORIAL_HORARIOS!$C$2:$C$201&lt;=$A447)*(HISTORIAL_HORARIOS!$D$2:$D$201&gt;=$A447),0)),INDEX(IF($I447="FIN",PERSONAL!$J$2:$J$80,PERSONAL!$F$2:$F$80),MATCH($B447,PERSONAL!$A$2:$A$80,0)))))</f>
        <v/>
      </c>
      <c r="N447" s="53">
        <f t="array" ref="N447">IFERROR(INDEX(EXCEPCIONES_FECHA!$E$2:$E$201,MATCH(1,(EXCEPCIONES_FECHA!$A$2:$A$201=$A447)*(EXCEPCIONES_FECHA!$B$2:$B$201=$B447),0)),IFERROR(INDEX(EXCEPCIONES_FECHA!$E$2:$E$201,MATCH(1,(EXCEPCIONES_FECHA!$A$2:$A$201=$A447)*(EXCEPCIONES_FECHA!$B$2:$B$201=""),0)),IFERROR(INDEX(IF($I447="FIN",HISTORIAL_HORARIOS!$K$2:$K$201,HISTORIAL_HORARIOS!$G$2:$G$201),MATCH(1,(HISTORIAL_HORARIOS!$A$2:$A$201=$B447)*(HISTORIAL_HORARIOS!$C$2:$C$201&lt;=$A447)*(HISTORIAL_HORARIOS!$D$2:$D$201&gt;=$A447),0)),INDEX(IF($I447="FIN",PERSONAL!$K$2:$K$80,PERSONAL!$G$2:$G$80),MATCH($B447,PERSONAL!$A$2:$A$80,0)))))</f>
        <v/>
      </c>
      <c r="O447" s="53">
        <f t="array" ref="O447">IFERROR(INDEX(EXCEPCIONES_FECHA!$F$2:$F$201,MATCH(1,(EXCEPCIONES_FECHA!$A$2:$A$201=$A447)*(EXCEPCIONES_FECHA!$B$2:$B$201=$B447),0)),IFERROR(INDEX(EXCEPCIONES_FECHA!$F$2:$F$201,MATCH(1,(EXCEPCIONES_FECHA!$A$2:$A$201=$A447)*(EXCEPCIONES_FECHA!$B$2:$B$201=""),0)),IFERROR(INDEX(IF($I447="FIN",HISTORIAL_HORARIOS!$L$2:$L$201,HISTORIAL_HORARIOS!$H$2:$H$201),MATCH(1,(HISTORIAL_HORARIOS!$A$2:$A$201=$B447)*(HISTORIAL_HORARIOS!$C$2:$C$201&lt;=$A447)*(HISTORIAL_HORARIOS!$D$2:$D$201&gt;=$A447),0)),INDEX(IF($I447="FIN",PERSONAL!$L$2:$L$80,PERSONAL!$H$2:$H$80),MATCH($B447,PERSONAL!$A$2:$A$80,0)))))</f>
        <v/>
      </c>
    </row>
    <row r="448" ht="15" customHeight="1" s="58">
      <c r="A448" s="37" t="n"/>
      <c r="B448" s="38" t="n"/>
      <c r="C448" s="39" t="n"/>
      <c r="D448" s="39" t="n"/>
      <c r="E448" s="34">
        <f t="array" ref="E448">IF($B448="","",IFERROR(INDEX(PERSONAL!$B$2:$B$80,MATCH($B448,PERSONAL!$A$2:$A$80,0)),"NO EXISTE"))</f>
        <v/>
      </c>
      <c r="F448" s="52">
        <f t="array" ref="F448">IF($B448="","",IFERROR(INDEX(PERSONAL!$C$2:$C$80,MATCH($B448,PERSONAL!$A$2:$A$80,0)),""))</f>
        <v/>
      </c>
      <c r="G448" s="52">
        <f>IF($A448="","",CHOOSE(WEEKDAY($A448,2),"LUNES","MARTES","MIÉRCOLES","JUEVES","VIERNES","SÁBADO","DOMINGO"))</f>
        <v/>
      </c>
      <c r="H448" s="34">
        <f>IF($A448="","",CHOOSE(MONTH($A448),"ENERO","FEBRERO","MARZO","ABRIL","MAYO","JUNIO","JULIO","AGOSTO","SEPTIEMBRE","OCTUBRE","NOVIEMBRE","DICIEMBRE"))</f>
        <v/>
      </c>
      <c r="I448" s="34">
        <f>IF($A448="","",IF(OR($G448="SÁBADO",$G448="DOMINGO"),"FIN","LV"))</f>
        <v/>
      </c>
      <c r="J448" s="34">
        <f>IF(OR($A448="",$B448=""),"",IF($L448&lt;&gt;"",UPPER($L448),IF($C448="","FALTA",IFERROR(IF($C448&gt;=$O448,"ROJO FUERTE",IF($C448&gt;=$N448,"ROJO",IF($C448&gt;=$M448,"AMARILLO","VERDE"))),"REVISAR"))))</f>
        <v/>
      </c>
      <c r="K448" s="36">
        <f>IF(OR($C448="",$D448=""),"",IF($D448&gt;=$C448,($D448-$C448)*24,(1-$C448+$D448)*24))</f>
        <v/>
      </c>
      <c r="L448" s="34" t="n"/>
      <c r="M448" s="53">
        <f t="array" ref="M448">IFERROR(INDEX(EXCEPCIONES_FECHA!$D$2:$D$201,MATCH(1,(EXCEPCIONES_FECHA!$A$2:$A$201=$A448)*(EXCEPCIONES_FECHA!$B$2:$B$201=$B448),0)),IFERROR(INDEX(EXCEPCIONES_FECHA!$D$2:$D$201,MATCH(1,(EXCEPCIONES_FECHA!$A$2:$A$201=$A448)*(EXCEPCIONES_FECHA!$B$2:$B$201=""),0)),IFERROR(INDEX(IF($I448="FIN",HISTORIAL_HORARIOS!$J$2:$J$201,HISTORIAL_HORARIOS!$F$2:$F$201),MATCH(1,(HISTORIAL_HORARIOS!$A$2:$A$201=$B448)*(HISTORIAL_HORARIOS!$C$2:$C$201&lt;=$A448)*(HISTORIAL_HORARIOS!$D$2:$D$201&gt;=$A448),0)),INDEX(IF($I448="FIN",PERSONAL!$J$2:$J$80,PERSONAL!$F$2:$F$80),MATCH($B448,PERSONAL!$A$2:$A$80,0)))))</f>
        <v/>
      </c>
      <c r="N448" s="53">
        <f t="array" ref="N448">IFERROR(INDEX(EXCEPCIONES_FECHA!$E$2:$E$201,MATCH(1,(EXCEPCIONES_FECHA!$A$2:$A$201=$A448)*(EXCEPCIONES_FECHA!$B$2:$B$201=$B448),0)),IFERROR(INDEX(EXCEPCIONES_FECHA!$E$2:$E$201,MATCH(1,(EXCEPCIONES_FECHA!$A$2:$A$201=$A448)*(EXCEPCIONES_FECHA!$B$2:$B$201=""),0)),IFERROR(INDEX(IF($I448="FIN",HISTORIAL_HORARIOS!$K$2:$K$201,HISTORIAL_HORARIOS!$G$2:$G$201),MATCH(1,(HISTORIAL_HORARIOS!$A$2:$A$201=$B448)*(HISTORIAL_HORARIOS!$C$2:$C$201&lt;=$A448)*(HISTORIAL_HORARIOS!$D$2:$D$201&gt;=$A448),0)),INDEX(IF($I448="FIN",PERSONAL!$K$2:$K$80,PERSONAL!$G$2:$G$80),MATCH($B448,PERSONAL!$A$2:$A$80,0)))))</f>
        <v/>
      </c>
      <c r="O448" s="53">
        <f t="array" ref="O448">IFERROR(INDEX(EXCEPCIONES_FECHA!$F$2:$F$201,MATCH(1,(EXCEPCIONES_FECHA!$A$2:$A$201=$A448)*(EXCEPCIONES_FECHA!$B$2:$B$201=$B448),0)),IFERROR(INDEX(EXCEPCIONES_FECHA!$F$2:$F$201,MATCH(1,(EXCEPCIONES_FECHA!$A$2:$A$201=$A448)*(EXCEPCIONES_FECHA!$B$2:$B$201=""),0)),IFERROR(INDEX(IF($I448="FIN",HISTORIAL_HORARIOS!$L$2:$L$201,HISTORIAL_HORARIOS!$H$2:$H$201),MATCH(1,(HISTORIAL_HORARIOS!$A$2:$A$201=$B448)*(HISTORIAL_HORARIOS!$C$2:$C$201&lt;=$A448)*(HISTORIAL_HORARIOS!$D$2:$D$201&gt;=$A448),0)),INDEX(IF($I448="FIN",PERSONAL!$L$2:$L$80,PERSONAL!$H$2:$H$80),MATCH($B448,PERSONAL!$A$2:$A$80,0)))))</f>
        <v/>
      </c>
    </row>
    <row r="449" ht="15" customHeight="1" s="58">
      <c r="A449" s="37" t="n"/>
      <c r="B449" s="38" t="n"/>
      <c r="C449" s="39" t="n"/>
      <c r="D449" s="39" t="n"/>
      <c r="E449" s="34">
        <f t="array" ref="E449">IF($B449="","",IFERROR(INDEX(PERSONAL!$B$2:$B$80,MATCH($B449,PERSONAL!$A$2:$A$80,0)),"NO EXISTE"))</f>
        <v/>
      </c>
      <c r="F449" s="52">
        <f t="array" ref="F449">IF($B449="","",IFERROR(INDEX(PERSONAL!$C$2:$C$80,MATCH($B449,PERSONAL!$A$2:$A$80,0)),""))</f>
        <v/>
      </c>
      <c r="G449" s="52">
        <f>IF($A449="","",CHOOSE(WEEKDAY($A449,2),"LUNES","MARTES","MIÉRCOLES","JUEVES","VIERNES","SÁBADO","DOMINGO"))</f>
        <v/>
      </c>
      <c r="H449" s="34">
        <f>IF($A449="","",CHOOSE(MONTH($A449),"ENERO","FEBRERO","MARZO","ABRIL","MAYO","JUNIO","JULIO","AGOSTO","SEPTIEMBRE","OCTUBRE","NOVIEMBRE","DICIEMBRE"))</f>
        <v/>
      </c>
      <c r="I449" s="34">
        <f>IF($A449="","",IF(OR($G449="SÁBADO",$G449="DOMINGO"),"FIN","LV"))</f>
        <v/>
      </c>
      <c r="J449" s="34">
        <f>IF(OR($A449="",$B449=""),"",IF($L449&lt;&gt;"",UPPER($L449),IF($C449="","FALTA",IFERROR(IF($C449&gt;=$O449,"ROJO FUERTE",IF($C449&gt;=$N449,"ROJO",IF($C449&gt;=$M449,"AMARILLO","VERDE"))),"REVISAR"))))</f>
        <v/>
      </c>
      <c r="K449" s="36">
        <f>IF(OR($C449="",$D449=""),"",IF($D449&gt;=$C449,($D449-$C449)*24,(1-$C449+$D449)*24))</f>
        <v/>
      </c>
      <c r="L449" s="34" t="n"/>
      <c r="M449" s="53">
        <f t="array" ref="M449">IFERROR(INDEX(EXCEPCIONES_FECHA!$D$2:$D$201,MATCH(1,(EXCEPCIONES_FECHA!$A$2:$A$201=$A449)*(EXCEPCIONES_FECHA!$B$2:$B$201=$B449),0)),IFERROR(INDEX(EXCEPCIONES_FECHA!$D$2:$D$201,MATCH(1,(EXCEPCIONES_FECHA!$A$2:$A$201=$A449)*(EXCEPCIONES_FECHA!$B$2:$B$201=""),0)),IFERROR(INDEX(IF($I449="FIN",HISTORIAL_HORARIOS!$J$2:$J$201,HISTORIAL_HORARIOS!$F$2:$F$201),MATCH(1,(HISTORIAL_HORARIOS!$A$2:$A$201=$B449)*(HISTORIAL_HORARIOS!$C$2:$C$201&lt;=$A449)*(HISTORIAL_HORARIOS!$D$2:$D$201&gt;=$A449),0)),INDEX(IF($I449="FIN",PERSONAL!$J$2:$J$80,PERSONAL!$F$2:$F$80),MATCH($B449,PERSONAL!$A$2:$A$80,0)))))</f>
        <v/>
      </c>
      <c r="N449" s="53">
        <f t="array" ref="N449">IFERROR(INDEX(EXCEPCIONES_FECHA!$E$2:$E$201,MATCH(1,(EXCEPCIONES_FECHA!$A$2:$A$201=$A449)*(EXCEPCIONES_FECHA!$B$2:$B$201=$B449),0)),IFERROR(INDEX(EXCEPCIONES_FECHA!$E$2:$E$201,MATCH(1,(EXCEPCIONES_FECHA!$A$2:$A$201=$A449)*(EXCEPCIONES_FECHA!$B$2:$B$201=""),0)),IFERROR(INDEX(IF($I449="FIN",HISTORIAL_HORARIOS!$K$2:$K$201,HISTORIAL_HORARIOS!$G$2:$G$201),MATCH(1,(HISTORIAL_HORARIOS!$A$2:$A$201=$B449)*(HISTORIAL_HORARIOS!$C$2:$C$201&lt;=$A449)*(HISTORIAL_HORARIOS!$D$2:$D$201&gt;=$A449),0)),INDEX(IF($I449="FIN",PERSONAL!$K$2:$K$80,PERSONAL!$G$2:$G$80),MATCH($B449,PERSONAL!$A$2:$A$80,0)))))</f>
        <v/>
      </c>
      <c r="O449" s="53">
        <f t="array" ref="O449">IFERROR(INDEX(EXCEPCIONES_FECHA!$F$2:$F$201,MATCH(1,(EXCEPCIONES_FECHA!$A$2:$A$201=$A449)*(EXCEPCIONES_FECHA!$B$2:$B$201=$B449),0)),IFERROR(INDEX(EXCEPCIONES_FECHA!$F$2:$F$201,MATCH(1,(EXCEPCIONES_FECHA!$A$2:$A$201=$A449)*(EXCEPCIONES_FECHA!$B$2:$B$201=""),0)),IFERROR(INDEX(IF($I449="FIN",HISTORIAL_HORARIOS!$L$2:$L$201,HISTORIAL_HORARIOS!$H$2:$H$201),MATCH(1,(HISTORIAL_HORARIOS!$A$2:$A$201=$B449)*(HISTORIAL_HORARIOS!$C$2:$C$201&lt;=$A449)*(HISTORIAL_HORARIOS!$D$2:$D$201&gt;=$A449),0)),INDEX(IF($I449="FIN",PERSONAL!$L$2:$L$80,PERSONAL!$H$2:$H$80),MATCH($B449,PERSONAL!$A$2:$A$80,0)))))</f>
        <v/>
      </c>
    </row>
    <row r="450" ht="15" customHeight="1" s="58">
      <c r="A450" s="37" t="n"/>
      <c r="B450" s="38" t="n"/>
      <c r="C450" s="39" t="n"/>
      <c r="D450" s="39" t="n"/>
      <c r="E450" s="34">
        <f t="array" ref="E450">IF($B450="","",IFERROR(INDEX(PERSONAL!$B$2:$B$80,MATCH($B450,PERSONAL!$A$2:$A$80,0)),"NO EXISTE"))</f>
        <v/>
      </c>
      <c r="F450" s="52">
        <f t="array" ref="F450">IF($B450="","",IFERROR(INDEX(PERSONAL!$C$2:$C$80,MATCH($B450,PERSONAL!$A$2:$A$80,0)),""))</f>
        <v/>
      </c>
      <c r="G450" s="52">
        <f>IF($A450="","",CHOOSE(WEEKDAY($A450,2),"LUNES","MARTES","MIÉRCOLES","JUEVES","VIERNES","SÁBADO","DOMINGO"))</f>
        <v/>
      </c>
      <c r="H450" s="34">
        <f>IF($A450="","",CHOOSE(MONTH($A450),"ENERO","FEBRERO","MARZO","ABRIL","MAYO","JUNIO","JULIO","AGOSTO","SEPTIEMBRE","OCTUBRE","NOVIEMBRE","DICIEMBRE"))</f>
        <v/>
      </c>
      <c r="I450" s="34">
        <f>IF($A450="","",IF(OR($G450="SÁBADO",$G450="DOMINGO"),"FIN","LV"))</f>
        <v/>
      </c>
      <c r="J450" s="34">
        <f>IF(OR($A450="",$B450=""),"",IF($L450&lt;&gt;"",UPPER($L450),IF($C450="","FALTA",IFERROR(IF($C450&gt;=$O450,"ROJO FUERTE",IF($C450&gt;=$N450,"ROJO",IF($C450&gt;=$M450,"AMARILLO","VERDE"))),"REVISAR"))))</f>
        <v/>
      </c>
      <c r="K450" s="36">
        <f>IF(OR($C450="",$D450=""),"",IF($D450&gt;=$C450,($D450-$C450)*24,(1-$C450+$D450)*24))</f>
        <v/>
      </c>
      <c r="L450" s="34" t="n"/>
      <c r="M450" s="53">
        <f t="array" ref="M450">IFERROR(INDEX(EXCEPCIONES_FECHA!$D$2:$D$201,MATCH(1,(EXCEPCIONES_FECHA!$A$2:$A$201=$A450)*(EXCEPCIONES_FECHA!$B$2:$B$201=$B450),0)),IFERROR(INDEX(EXCEPCIONES_FECHA!$D$2:$D$201,MATCH(1,(EXCEPCIONES_FECHA!$A$2:$A$201=$A450)*(EXCEPCIONES_FECHA!$B$2:$B$201=""),0)),IFERROR(INDEX(IF($I450="FIN",HISTORIAL_HORARIOS!$J$2:$J$201,HISTORIAL_HORARIOS!$F$2:$F$201),MATCH(1,(HISTORIAL_HORARIOS!$A$2:$A$201=$B450)*(HISTORIAL_HORARIOS!$C$2:$C$201&lt;=$A450)*(HISTORIAL_HORARIOS!$D$2:$D$201&gt;=$A450),0)),INDEX(IF($I450="FIN",PERSONAL!$J$2:$J$80,PERSONAL!$F$2:$F$80),MATCH($B450,PERSONAL!$A$2:$A$80,0)))))</f>
        <v/>
      </c>
      <c r="N450" s="53">
        <f t="array" ref="N450">IFERROR(INDEX(EXCEPCIONES_FECHA!$E$2:$E$201,MATCH(1,(EXCEPCIONES_FECHA!$A$2:$A$201=$A450)*(EXCEPCIONES_FECHA!$B$2:$B$201=$B450),0)),IFERROR(INDEX(EXCEPCIONES_FECHA!$E$2:$E$201,MATCH(1,(EXCEPCIONES_FECHA!$A$2:$A$201=$A450)*(EXCEPCIONES_FECHA!$B$2:$B$201=""),0)),IFERROR(INDEX(IF($I450="FIN",HISTORIAL_HORARIOS!$K$2:$K$201,HISTORIAL_HORARIOS!$G$2:$G$201),MATCH(1,(HISTORIAL_HORARIOS!$A$2:$A$201=$B450)*(HISTORIAL_HORARIOS!$C$2:$C$201&lt;=$A450)*(HISTORIAL_HORARIOS!$D$2:$D$201&gt;=$A450),0)),INDEX(IF($I450="FIN",PERSONAL!$K$2:$K$80,PERSONAL!$G$2:$G$80),MATCH($B450,PERSONAL!$A$2:$A$80,0)))))</f>
        <v/>
      </c>
      <c r="O450" s="53">
        <f t="array" ref="O450">IFERROR(INDEX(EXCEPCIONES_FECHA!$F$2:$F$201,MATCH(1,(EXCEPCIONES_FECHA!$A$2:$A$201=$A450)*(EXCEPCIONES_FECHA!$B$2:$B$201=$B450),0)),IFERROR(INDEX(EXCEPCIONES_FECHA!$F$2:$F$201,MATCH(1,(EXCEPCIONES_FECHA!$A$2:$A$201=$A450)*(EXCEPCIONES_FECHA!$B$2:$B$201=""),0)),IFERROR(INDEX(IF($I450="FIN",HISTORIAL_HORARIOS!$L$2:$L$201,HISTORIAL_HORARIOS!$H$2:$H$201),MATCH(1,(HISTORIAL_HORARIOS!$A$2:$A$201=$B450)*(HISTORIAL_HORARIOS!$C$2:$C$201&lt;=$A450)*(HISTORIAL_HORARIOS!$D$2:$D$201&gt;=$A450),0)),INDEX(IF($I450="FIN",PERSONAL!$L$2:$L$80,PERSONAL!$H$2:$H$80),MATCH($B450,PERSONAL!$A$2:$A$80,0)))))</f>
        <v/>
      </c>
    </row>
    <row r="451" ht="15" customHeight="1" s="58">
      <c r="A451" s="37" t="n"/>
      <c r="B451" s="38" t="n"/>
      <c r="C451" s="39" t="n"/>
      <c r="D451" s="39" t="n"/>
      <c r="E451" s="34">
        <f t="array" ref="E451">IF($B451="","",IFERROR(INDEX(PERSONAL!$B$2:$B$80,MATCH($B451,PERSONAL!$A$2:$A$80,0)),"NO EXISTE"))</f>
        <v/>
      </c>
      <c r="F451" s="52">
        <f t="array" ref="F451">IF($B451="","",IFERROR(INDEX(PERSONAL!$C$2:$C$80,MATCH($B451,PERSONAL!$A$2:$A$80,0)),""))</f>
        <v/>
      </c>
      <c r="G451" s="52">
        <f>IF($A451="","",CHOOSE(WEEKDAY($A451,2),"LUNES","MARTES","MIÉRCOLES","JUEVES","VIERNES","SÁBADO","DOMINGO"))</f>
        <v/>
      </c>
      <c r="H451" s="34">
        <f>IF($A451="","",CHOOSE(MONTH($A451),"ENERO","FEBRERO","MARZO","ABRIL","MAYO","JUNIO","JULIO","AGOSTO","SEPTIEMBRE","OCTUBRE","NOVIEMBRE","DICIEMBRE"))</f>
        <v/>
      </c>
      <c r="I451" s="34">
        <f>IF($A451="","",IF(OR($G451="SÁBADO",$G451="DOMINGO"),"FIN","LV"))</f>
        <v/>
      </c>
      <c r="J451" s="34">
        <f>IF(OR($A451="",$B451=""),"",IF($L451&lt;&gt;"",UPPER($L451),IF($C451="","FALTA",IFERROR(IF($C451&gt;=$O451,"ROJO FUERTE",IF($C451&gt;=$N451,"ROJO",IF($C451&gt;=$M451,"AMARILLO","VERDE"))),"REVISAR"))))</f>
        <v/>
      </c>
      <c r="K451" s="36">
        <f>IF(OR($C451="",$D451=""),"",IF($D451&gt;=$C451,($D451-$C451)*24,(1-$C451+$D451)*24))</f>
        <v/>
      </c>
      <c r="L451" s="34" t="n"/>
      <c r="M451" s="53">
        <f t="array" ref="M451">IFERROR(INDEX(EXCEPCIONES_FECHA!$D$2:$D$201,MATCH(1,(EXCEPCIONES_FECHA!$A$2:$A$201=$A451)*(EXCEPCIONES_FECHA!$B$2:$B$201=$B451),0)),IFERROR(INDEX(EXCEPCIONES_FECHA!$D$2:$D$201,MATCH(1,(EXCEPCIONES_FECHA!$A$2:$A$201=$A451)*(EXCEPCIONES_FECHA!$B$2:$B$201=""),0)),IFERROR(INDEX(IF($I451="FIN",HISTORIAL_HORARIOS!$J$2:$J$201,HISTORIAL_HORARIOS!$F$2:$F$201),MATCH(1,(HISTORIAL_HORARIOS!$A$2:$A$201=$B451)*(HISTORIAL_HORARIOS!$C$2:$C$201&lt;=$A451)*(HISTORIAL_HORARIOS!$D$2:$D$201&gt;=$A451),0)),INDEX(IF($I451="FIN",PERSONAL!$J$2:$J$80,PERSONAL!$F$2:$F$80),MATCH($B451,PERSONAL!$A$2:$A$80,0)))))</f>
        <v/>
      </c>
      <c r="N451" s="53">
        <f t="array" ref="N451">IFERROR(INDEX(EXCEPCIONES_FECHA!$E$2:$E$201,MATCH(1,(EXCEPCIONES_FECHA!$A$2:$A$201=$A451)*(EXCEPCIONES_FECHA!$B$2:$B$201=$B451),0)),IFERROR(INDEX(EXCEPCIONES_FECHA!$E$2:$E$201,MATCH(1,(EXCEPCIONES_FECHA!$A$2:$A$201=$A451)*(EXCEPCIONES_FECHA!$B$2:$B$201=""),0)),IFERROR(INDEX(IF($I451="FIN",HISTORIAL_HORARIOS!$K$2:$K$201,HISTORIAL_HORARIOS!$G$2:$G$201),MATCH(1,(HISTORIAL_HORARIOS!$A$2:$A$201=$B451)*(HISTORIAL_HORARIOS!$C$2:$C$201&lt;=$A451)*(HISTORIAL_HORARIOS!$D$2:$D$201&gt;=$A451),0)),INDEX(IF($I451="FIN",PERSONAL!$K$2:$K$80,PERSONAL!$G$2:$G$80),MATCH($B451,PERSONAL!$A$2:$A$80,0)))))</f>
        <v/>
      </c>
      <c r="O451" s="53">
        <f t="array" ref="O451">IFERROR(INDEX(EXCEPCIONES_FECHA!$F$2:$F$201,MATCH(1,(EXCEPCIONES_FECHA!$A$2:$A$201=$A451)*(EXCEPCIONES_FECHA!$B$2:$B$201=$B451),0)),IFERROR(INDEX(EXCEPCIONES_FECHA!$F$2:$F$201,MATCH(1,(EXCEPCIONES_FECHA!$A$2:$A$201=$A451)*(EXCEPCIONES_FECHA!$B$2:$B$201=""),0)),IFERROR(INDEX(IF($I451="FIN",HISTORIAL_HORARIOS!$L$2:$L$201,HISTORIAL_HORARIOS!$H$2:$H$201),MATCH(1,(HISTORIAL_HORARIOS!$A$2:$A$201=$B451)*(HISTORIAL_HORARIOS!$C$2:$C$201&lt;=$A451)*(HISTORIAL_HORARIOS!$D$2:$D$201&gt;=$A451),0)),INDEX(IF($I451="FIN",PERSONAL!$L$2:$L$80,PERSONAL!$H$2:$H$80),MATCH($B451,PERSONAL!$A$2:$A$80,0)))))</f>
        <v/>
      </c>
    </row>
    <row r="452" ht="15" customHeight="1" s="58">
      <c r="A452" s="37" t="n"/>
      <c r="B452" s="38" t="n"/>
      <c r="C452" s="39" t="n"/>
      <c r="D452" s="39" t="n"/>
      <c r="E452" s="34">
        <f t="array" ref="E452">IF($B452="","",IFERROR(INDEX(PERSONAL!$B$2:$B$80,MATCH($B452,PERSONAL!$A$2:$A$80,0)),"NO EXISTE"))</f>
        <v/>
      </c>
      <c r="F452" s="52">
        <f t="array" ref="F452">IF($B452="","",IFERROR(INDEX(PERSONAL!$C$2:$C$80,MATCH($B452,PERSONAL!$A$2:$A$80,0)),""))</f>
        <v/>
      </c>
      <c r="G452" s="52">
        <f>IF($A452="","",CHOOSE(WEEKDAY($A452,2),"LUNES","MARTES","MIÉRCOLES","JUEVES","VIERNES","SÁBADO","DOMINGO"))</f>
        <v/>
      </c>
      <c r="H452" s="34">
        <f>IF($A452="","",CHOOSE(MONTH($A452),"ENERO","FEBRERO","MARZO","ABRIL","MAYO","JUNIO","JULIO","AGOSTO","SEPTIEMBRE","OCTUBRE","NOVIEMBRE","DICIEMBRE"))</f>
        <v/>
      </c>
      <c r="I452" s="34">
        <f>IF($A452="","",IF(OR($G452="SÁBADO",$G452="DOMINGO"),"FIN","LV"))</f>
        <v/>
      </c>
      <c r="J452" s="34">
        <f>IF(OR($A452="",$B452=""),"",IF($L452&lt;&gt;"",UPPER($L452),IF($C452="","FALTA",IFERROR(IF($C452&gt;=$O452,"ROJO FUERTE",IF($C452&gt;=$N452,"ROJO",IF($C452&gt;=$M452,"AMARILLO","VERDE"))),"REVISAR"))))</f>
        <v/>
      </c>
      <c r="K452" s="36">
        <f>IF(OR($C452="",$D452=""),"",IF($D452&gt;=$C452,($D452-$C452)*24,(1-$C452+$D452)*24))</f>
        <v/>
      </c>
      <c r="L452" s="34" t="n"/>
      <c r="M452" s="53">
        <f t="array" ref="M452">IFERROR(INDEX(EXCEPCIONES_FECHA!$D$2:$D$201,MATCH(1,(EXCEPCIONES_FECHA!$A$2:$A$201=$A452)*(EXCEPCIONES_FECHA!$B$2:$B$201=$B452),0)),IFERROR(INDEX(EXCEPCIONES_FECHA!$D$2:$D$201,MATCH(1,(EXCEPCIONES_FECHA!$A$2:$A$201=$A452)*(EXCEPCIONES_FECHA!$B$2:$B$201=""),0)),IFERROR(INDEX(IF($I452="FIN",HISTORIAL_HORARIOS!$J$2:$J$201,HISTORIAL_HORARIOS!$F$2:$F$201),MATCH(1,(HISTORIAL_HORARIOS!$A$2:$A$201=$B452)*(HISTORIAL_HORARIOS!$C$2:$C$201&lt;=$A452)*(HISTORIAL_HORARIOS!$D$2:$D$201&gt;=$A452),0)),INDEX(IF($I452="FIN",PERSONAL!$J$2:$J$80,PERSONAL!$F$2:$F$80),MATCH($B452,PERSONAL!$A$2:$A$80,0)))))</f>
        <v/>
      </c>
      <c r="N452" s="53">
        <f t="array" ref="N452">IFERROR(INDEX(EXCEPCIONES_FECHA!$E$2:$E$201,MATCH(1,(EXCEPCIONES_FECHA!$A$2:$A$201=$A452)*(EXCEPCIONES_FECHA!$B$2:$B$201=$B452),0)),IFERROR(INDEX(EXCEPCIONES_FECHA!$E$2:$E$201,MATCH(1,(EXCEPCIONES_FECHA!$A$2:$A$201=$A452)*(EXCEPCIONES_FECHA!$B$2:$B$201=""),0)),IFERROR(INDEX(IF($I452="FIN",HISTORIAL_HORARIOS!$K$2:$K$201,HISTORIAL_HORARIOS!$G$2:$G$201),MATCH(1,(HISTORIAL_HORARIOS!$A$2:$A$201=$B452)*(HISTORIAL_HORARIOS!$C$2:$C$201&lt;=$A452)*(HISTORIAL_HORARIOS!$D$2:$D$201&gt;=$A452),0)),INDEX(IF($I452="FIN",PERSONAL!$K$2:$K$80,PERSONAL!$G$2:$G$80),MATCH($B452,PERSONAL!$A$2:$A$80,0)))))</f>
        <v/>
      </c>
      <c r="O452" s="53">
        <f t="array" ref="O452">IFERROR(INDEX(EXCEPCIONES_FECHA!$F$2:$F$201,MATCH(1,(EXCEPCIONES_FECHA!$A$2:$A$201=$A452)*(EXCEPCIONES_FECHA!$B$2:$B$201=$B452),0)),IFERROR(INDEX(EXCEPCIONES_FECHA!$F$2:$F$201,MATCH(1,(EXCEPCIONES_FECHA!$A$2:$A$201=$A452)*(EXCEPCIONES_FECHA!$B$2:$B$201=""),0)),IFERROR(INDEX(IF($I452="FIN",HISTORIAL_HORARIOS!$L$2:$L$201,HISTORIAL_HORARIOS!$H$2:$H$201),MATCH(1,(HISTORIAL_HORARIOS!$A$2:$A$201=$B452)*(HISTORIAL_HORARIOS!$C$2:$C$201&lt;=$A452)*(HISTORIAL_HORARIOS!$D$2:$D$201&gt;=$A452),0)),INDEX(IF($I452="FIN",PERSONAL!$L$2:$L$80,PERSONAL!$H$2:$H$80),MATCH($B452,PERSONAL!$A$2:$A$80,0)))))</f>
        <v/>
      </c>
    </row>
    <row r="453" ht="15" customHeight="1" s="58">
      <c r="A453" s="37" t="n"/>
      <c r="B453" s="38" t="n"/>
      <c r="C453" s="39" t="n"/>
      <c r="D453" s="39" t="n"/>
      <c r="E453" s="34">
        <f t="array" ref="E453">IF($B453="","",IFERROR(INDEX(PERSONAL!$B$2:$B$80,MATCH($B453,PERSONAL!$A$2:$A$80,0)),"NO EXISTE"))</f>
        <v/>
      </c>
      <c r="F453" s="52">
        <f t="array" ref="F453">IF($B453="","",IFERROR(INDEX(PERSONAL!$C$2:$C$80,MATCH($B453,PERSONAL!$A$2:$A$80,0)),""))</f>
        <v/>
      </c>
      <c r="G453" s="52">
        <f>IF($A453="","",CHOOSE(WEEKDAY($A453,2),"LUNES","MARTES","MIÉRCOLES","JUEVES","VIERNES","SÁBADO","DOMINGO"))</f>
        <v/>
      </c>
      <c r="H453" s="34">
        <f>IF($A453="","",CHOOSE(MONTH($A453),"ENERO","FEBRERO","MARZO","ABRIL","MAYO","JUNIO","JULIO","AGOSTO","SEPTIEMBRE","OCTUBRE","NOVIEMBRE","DICIEMBRE"))</f>
        <v/>
      </c>
      <c r="I453" s="34">
        <f>IF($A453="","",IF(OR($G453="SÁBADO",$G453="DOMINGO"),"FIN","LV"))</f>
        <v/>
      </c>
      <c r="J453" s="34">
        <f>IF(OR($A453="",$B453=""),"",IF($L453&lt;&gt;"",UPPER($L453),IF($C453="","FALTA",IFERROR(IF($C453&gt;=$O453,"ROJO FUERTE",IF($C453&gt;=$N453,"ROJO",IF($C453&gt;=$M453,"AMARILLO","VERDE"))),"REVISAR"))))</f>
        <v/>
      </c>
      <c r="K453" s="36">
        <f>IF(OR($C453="",$D453=""),"",IF($D453&gt;=$C453,($D453-$C453)*24,(1-$C453+$D453)*24))</f>
        <v/>
      </c>
      <c r="L453" s="34" t="n"/>
      <c r="M453" s="53">
        <f t="array" ref="M453">IFERROR(INDEX(EXCEPCIONES_FECHA!$D$2:$D$201,MATCH(1,(EXCEPCIONES_FECHA!$A$2:$A$201=$A453)*(EXCEPCIONES_FECHA!$B$2:$B$201=$B453),0)),IFERROR(INDEX(EXCEPCIONES_FECHA!$D$2:$D$201,MATCH(1,(EXCEPCIONES_FECHA!$A$2:$A$201=$A453)*(EXCEPCIONES_FECHA!$B$2:$B$201=""),0)),IFERROR(INDEX(IF($I453="FIN",HISTORIAL_HORARIOS!$J$2:$J$201,HISTORIAL_HORARIOS!$F$2:$F$201),MATCH(1,(HISTORIAL_HORARIOS!$A$2:$A$201=$B453)*(HISTORIAL_HORARIOS!$C$2:$C$201&lt;=$A453)*(HISTORIAL_HORARIOS!$D$2:$D$201&gt;=$A453),0)),INDEX(IF($I453="FIN",PERSONAL!$J$2:$J$80,PERSONAL!$F$2:$F$80),MATCH($B453,PERSONAL!$A$2:$A$80,0)))))</f>
        <v/>
      </c>
      <c r="N453" s="53">
        <f t="array" ref="N453">IFERROR(INDEX(EXCEPCIONES_FECHA!$E$2:$E$201,MATCH(1,(EXCEPCIONES_FECHA!$A$2:$A$201=$A453)*(EXCEPCIONES_FECHA!$B$2:$B$201=$B453),0)),IFERROR(INDEX(EXCEPCIONES_FECHA!$E$2:$E$201,MATCH(1,(EXCEPCIONES_FECHA!$A$2:$A$201=$A453)*(EXCEPCIONES_FECHA!$B$2:$B$201=""),0)),IFERROR(INDEX(IF($I453="FIN",HISTORIAL_HORARIOS!$K$2:$K$201,HISTORIAL_HORARIOS!$G$2:$G$201),MATCH(1,(HISTORIAL_HORARIOS!$A$2:$A$201=$B453)*(HISTORIAL_HORARIOS!$C$2:$C$201&lt;=$A453)*(HISTORIAL_HORARIOS!$D$2:$D$201&gt;=$A453),0)),INDEX(IF($I453="FIN",PERSONAL!$K$2:$K$80,PERSONAL!$G$2:$G$80),MATCH($B453,PERSONAL!$A$2:$A$80,0)))))</f>
        <v/>
      </c>
      <c r="O453" s="53">
        <f t="array" ref="O453">IFERROR(INDEX(EXCEPCIONES_FECHA!$F$2:$F$201,MATCH(1,(EXCEPCIONES_FECHA!$A$2:$A$201=$A453)*(EXCEPCIONES_FECHA!$B$2:$B$201=$B453),0)),IFERROR(INDEX(EXCEPCIONES_FECHA!$F$2:$F$201,MATCH(1,(EXCEPCIONES_FECHA!$A$2:$A$201=$A453)*(EXCEPCIONES_FECHA!$B$2:$B$201=""),0)),IFERROR(INDEX(IF($I453="FIN",HISTORIAL_HORARIOS!$L$2:$L$201,HISTORIAL_HORARIOS!$H$2:$H$201),MATCH(1,(HISTORIAL_HORARIOS!$A$2:$A$201=$B453)*(HISTORIAL_HORARIOS!$C$2:$C$201&lt;=$A453)*(HISTORIAL_HORARIOS!$D$2:$D$201&gt;=$A453),0)),INDEX(IF($I453="FIN",PERSONAL!$L$2:$L$80,PERSONAL!$H$2:$H$80),MATCH($B453,PERSONAL!$A$2:$A$80,0)))))</f>
        <v/>
      </c>
    </row>
    <row r="454" ht="15" customHeight="1" s="58">
      <c r="A454" s="37" t="n"/>
      <c r="B454" s="38" t="n"/>
      <c r="C454" s="39" t="n"/>
      <c r="D454" s="39" t="n"/>
      <c r="E454" s="34">
        <f t="array" ref="E454">IF($B454="","",IFERROR(INDEX(PERSONAL!$B$2:$B$80,MATCH($B454,PERSONAL!$A$2:$A$80,0)),"NO EXISTE"))</f>
        <v/>
      </c>
      <c r="F454" s="52">
        <f t="array" ref="F454">IF($B454="","",IFERROR(INDEX(PERSONAL!$C$2:$C$80,MATCH($B454,PERSONAL!$A$2:$A$80,0)),""))</f>
        <v/>
      </c>
      <c r="G454" s="52">
        <f>IF($A454="","",CHOOSE(WEEKDAY($A454,2),"LUNES","MARTES","MIÉRCOLES","JUEVES","VIERNES","SÁBADO","DOMINGO"))</f>
        <v/>
      </c>
      <c r="H454" s="34">
        <f>IF($A454="","",CHOOSE(MONTH($A454),"ENERO","FEBRERO","MARZO","ABRIL","MAYO","JUNIO","JULIO","AGOSTO","SEPTIEMBRE","OCTUBRE","NOVIEMBRE","DICIEMBRE"))</f>
        <v/>
      </c>
      <c r="I454" s="34">
        <f>IF($A454="","",IF(OR($G454="SÁBADO",$G454="DOMINGO"),"FIN","LV"))</f>
        <v/>
      </c>
      <c r="J454" s="34">
        <f>IF(OR($A454="",$B454=""),"",IF($L454&lt;&gt;"",UPPER($L454),IF($C454="","FALTA",IFERROR(IF($C454&gt;=$O454,"ROJO FUERTE",IF($C454&gt;=$N454,"ROJO",IF($C454&gt;=$M454,"AMARILLO","VERDE"))),"REVISAR"))))</f>
        <v/>
      </c>
      <c r="K454" s="36">
        <f>IF(OR($C454="",$D454=""),"",IF($D454&gt;=$C454,($D454-$C454)*24,(1-$C454+$D454)*24))</f>
        <v/>
      </c>
      <c r="L454" s="34" t="n"/>
      <c r="M454" s="53">
        <f t="array" ref="M454">IFERROR(INDEX(EXCEPCIONES_FECHA!$D$2:$D$201,MATCH(1,(EXCEPCIONES_FECHA!$A$2:$A$201=$A454)*(EXCEPCIONES_FECHA!$B$2:$B$201=$B454),0)),IFERROR(INDEX(EXCEPCIONES_FECHA!$D$2:$D$201,MATCH(1,(EXCEPCIONES_FECHA!$A$2:$A$201=$A454)*(EXCEPCIONES_FECHA!$B$2:$B$201=""),0)),IFERROR(INDEX(IF($I454="FIN",HISTORIAL_HORARIOS!$J$2:$J$201,HISTORIAL_HORARIOS!$F$2:$F$201),MATCH(1,(HISTORIAL_HORARIOS!$A$2:$A$201=$B454)*(HISTORIAL_HORARIOS!$C$2:$C$201&lt;=$A454)*(HISTORIAL_HORARIOS!$D$2:$D$201&gt;=$A454),0)),INDEX(IF($I454="FIN",PERSONAL!$J$2:$J$80,PERSONAL!$F$2:$F$80),MATCH($B454,PERSONAL!$A$2:$A$80,0)))))</f>
        <v/>
      </c>
      <c r="N454" s="53">
        <f t="array" ref="N454">IFERROR(INDEX(EXCEPCIONES_FECHA!$E$2:$E$201,MATCH(1,(EXCEPCIONES_FECHA!$A$2:$A$201=$A454)*(EXCEPCIONES_FECHA!$B$2:$B$201=$B454),0)),IFERROR(INDEX(EXCEPCIONES_FECHA!$E$2:$E$201,MATCH(1,(EXCEPCIONES_FECHA!$A$2:$A$201=$A454)*(EXCEPCIONES_FECHA!$B$2:$B$201=""),0)),IFERROR(INDEX(IF($I454="FIN",HISTORIAL_HORARIOS!$K$2:$K$201,HISTORIAL_HORARIOS!$G$2:$G$201),MATCH(1,(HISTORIAL_HORARIOS!$A$2:$A$201=$B454)*(HISTORIAL_HORARIOS!$C$2:$C$201&lt;=$A454)*(HISTORIAL_HORARIOS!$D$2:$D$201&gt;=$A454),0)),INDEX(IF($I454="FIN",PERSONAL!$K$2:$K$80,PERSONAL!$G$2:$G$80),MATCH($B454,PERSONAL!$A$2:$A$80,0)))))</f>
        <v/>
      </c>
      <c r="O454" s="53">
        <f t="array" ref="O454">IFERROR(INDEX(EXCEPCIONES_FECHA!$F$2:$F$201,MATCH(1,(EXCEPCIONES_FECHA!$A$2:$A$201=$A454)*(EXCEPCIONES_FECHA!$B$2:$B$201=$B454),0)),IFERROR(INDEX(EXCEPCIONES_FECHA!$F$2:$F$201,MATCH(1,(EXCEPCIONES_FECHA!$A$2:$A$201=$A454)*(EXCEPCIONES_FECHA!$B$2:$B$201=""),0)),IFERROR(INDEX(IF($I454="FIN",HISTORIAL_HORARIOS!$L$2:$L$201,HISTORIAL_HORARIOS!$H$2:$H$201),MATCH(1,(HISTORIAL_HORARIOS!$A$2:$A$201=$B454)*(HISTORIAL_HORARIOS!$C$2:$C$201&lt;=$A454)*(HISTORIAL_HORARIOS!$D$2:$D$201&gt;=$A454),0)),INDEX(IF($I454="FIN",PERSONAL!$L$2:$L$80,PERSONAL!$H$2:$H$80),MATCH($B454,PERSONAL!$A$2:$A$80,0)))))</f>
        <v/>
      </c>
    </row>
    <row r="455" ht="15" customHeight="1" s="58">
      <c r="A455" s="37" t="n"/>
      <c r="B455" s="38" t="n"/>
      <c r="C455" s="39" t="n"/>
      <c r="D455" s="39" t="n"/>
      <c r="E455" s="34">
        <f t="array" ref="E455">IF($B455="","",IFERROR(INDEX(PERSONAL!$B$2:$B$80,MATCH($B455,PERSONAL!$A$2:$A$80,0)),"NO EXISTE"))</f>
        <v/>
      </c>
      <c r="F455" s="52">
        <f t="array" ref="F455">IF($B455="","",IFERROR(INDEX(PERSONAL!$C$2:$C$80,MATCH($B455,PERSONAL!$A$2:$A$80,0)),""))</f>
        <v/>
      </c>
      <c r="G455" s="52">
        <f>IF($A455="","",CHOOSE(WEEKDAY($A455,2),"LUNES","MARTES","MIÉRCOLES","JUEVES","VIERNES","SÁBADO","DOMINGO"))</f>
        <v/>
      </c>
      <c r="H455" s="34">
        <f>IF($A455="","",CHOOSE(MONTH($A455),"ENERO","FEBRERO","MARZO","ABRIL","MAYO","JUNIO","JULIO","AGOSTO","SEPTIEMBRE","OCTUBRE","NOVIEMBRE","DICIEMBRE"))</f>
        <v/>
      </c>
      <c r="I455" s="34">
        <f>IF($A455="","",IF(OR($G455="SÁBADO",$G455="DOMINGO"),"FIN","LV"))</f>
        <v/>
      </c>
      <c r="J455" s="34">
        <f>IF(OR($A455="",$B455=""),"",IF($L455&lt;&gt;"",UPPER($L455),IF($C455="","FALTA",IFERROR(IF($C455&gt;=$O455,"ROJO FUERTE",IF($C455&gt;=$N455,"ROJO",IF($C455&gt;=$M455,"AMARILLO","VERDE"))),"REVISAR"))))</f>
        <v/>
      </c>
      <c r="K455" s="36">
        <f>IF(OR($C455="",$D455=""),"",IF($D455&gt;=$C455,($D455-$C455)*24,(1-$C455+$D455)*24))</f>
        <v/>
      </c>
      <c r="L455" s="34" t="n"/>
      <c r="M455" s="53">
        <f t="array" ref="M455">IFERROR(INDEX(EXCEPCIONES_FECHA!$D$2:$D$201,MATCH(1,(EXCEPCIONES_FECHA!$A$2:$A$201=$A455)*(EXCEPCIONES_FECHA!$B$2:$B$201=$B455),0)),IFERROR(INDEX(EXCEPCIONES_FECHA!$D$2:$D$201,MATCH(1,(EXCEPCIONES_FECHA!$A$2:$A$201=$A455)*(EXCEPCIONES_FECHA!$B$2:$B$201=""),0)),IFERROR(INDEX(IF($I455="FIN",HISTORIAL_HORARIOS!$J$2:$J$201,HISTORIAL_HORARIOS!$F$2:$F$201),MATCH(1,(HISTORIAL_HORARIOS!$A$2:$A$201=$B455)*(HISTORIAL_HORARIOS!$C$2:$C$201&lt;=$A455)*(HISTORIAL_HORARIOS!$D$2:$D$201&gt;=$A455),0)),INDEX(IF($I455="FIN",PERSONAL!$J$2:$J$80,PERSONAL!$F$2:$F$80),MATCH($B455,PERSONAL!$A$2:$A$80,0)))))</f>
        <v/>
      </c>
      <c r="N455" s="53">
        <f t="array" ref="N455">IFERROR(INDEX(EXCEPCIONES_FECHA!$E$2:$E$201,MATCH(1,(EXCEPCIONES_FECHA!$A$2:$A$201=$A455)*(EXCEPCIONES_FECHA!$B$2:$B$201=$B455),0)),IFERROR(INDEX(EXCEPCIONES_FECHA!$E$2:$E$201,MATCH(1,(EXCEPCIONES_FECHA!$A$2:$A$201=$A455)*(EXCEPCIONES_FECHA!$B$2:$B$201=""),0)),IFERROR(INDEX(IF($I455="FIN",HISTORIAL_HORARIOS!$K$2:$K$201,HISTORIAL_HORARIOS!$G$2:$G$201),MATCH(1,(HISTORIAL_HORARIOS!$A$2:$A$201=$B455)*(HISTORIAL_HORARIOS!$C$2:$C$201&lt;=$A455)*(HISTORIAL_HORARIOS!$D$2:$D$201&gt;=$A455),0)),INDEX(IF($I455="FIN",PERSONAL!$K$2:$K$80,PERSONAL!$G$2:$G$80),MATCH($B455,PERSONAL!$A$2:$A$80,0)))))</f>
        <v/>
      </c>
      <c r="O455" s="53">
        <f t="array" ref="O455">IFERROR(INDEX(EXCEPCIONES_FECHA!$F$2:$F$201,MATCH(1,(EXCEPCIONES_FECHA!$A$2:$A$201=$A455)*(EXCEPCIONES_FECHA!$B$2:$B$201=$B455),0)),IFERROR(INDEX(EXCEPCIONES_FECHA!$F$2:$F$201,MATCH(1,(EXCEPCIONES_FECHA!$A$2:$A$201=$A455)*(EXCEPCIONES_FECHA!$B$2:$B$201=""),0)),IFERROR(INDEX(IF($I455="FIN",HISTORIAL_HORARIOS!$L$2:$L$201,HISTORIAL_HORARIOS!$H$2:$H$201),MATCH(1,(HISTORIAL_HORARIOS!$A$2:$A$201=$B455)*(HISTORIAL_HORARIOS!$C$2:$C$201&lt;=$A455)*(HISTORIAL_HORARIOS!$D$2:$D$201&gt;=$A455),0)),INDEX(IF($I455="FIN",PERSONAL!$L$2:$L$80,PERSONAL!$H$2:$H$80),MATCH($B455,PERSONAL!$A$2:$A$80,0)))))</f>
        <v/>
      </c>
    </row>
    <row r="456" ht="15" customHeight="1" s="58">
      <c r="A456" s="37" t="n"/>
      <c r="B456" s="38" t="n"/>
      <c r="C456" s="39" t="n"/>
      <c r="D456" s="39" t="n"/>
      <c r="E456" s="34">
        <f t="array" ref="E456">IF($B456="","",IFERROR(INDEX(PERSONAL!$B$2:$B$80,MATCH($B456,PERSONAL!$A$2:$A$80,0)),"NO EXISTE"))</f>
        <v/>
      </c>
      <c r="F456" s="52">
        <f t="array" ref="F456">IF($B456="","",IFERROR(INDEX(PERSONAL!$C$2:$C$80,MATCH($B456,PERSONAL!$A$2:$A$80,0)),""))</f>
        <v/>
      </c>
      <c r="G456" s="52">
        <f>IF($A456="","",CHOOSE(WEEKDAY($A456,2),"LUNES","MARTES","MIÉRCOLES","JUEVES","VIERNES","SÁBADO","DOMINGO"))</f>
        <v/>
      </c>
      <c r="H456" s="34">
        <f>IF($A456="","",CHOOSE(MONTH($A456),"ENERO","FEBRERO","MARZO","ABRIL","MAYO","JUNIO","JULIO","AGOSTO","SEPTIEMBRE","OCTUBRE","NOVIEMBRE","DICIEMBRE"))</f>
        <v/>
      </c>
      <c r="I456" s="34">
        <f>IF($A456="","",IF(OR($G456="SÁBADO",$G456="DOMINGO"),"FIN","LV"))</f>
        <v/>
      </c>
      <c r="J456" s="34">
        <f>IF(OR($A456="",$B456=""),"",IF($L456&lt;&gt;"",UPPER($L456),IF($C456="","FALTA",IFERROR(IF($C456&gt;=$O456,"ROJO FUERTE",IF($C456&gt;=$N456,"ROJO",IF($C456&gt;=$M456,"AMARILLO","VERDE"))),"REVISAR"))))</f>
        <v/>
      </c>
      <c r="K456" s="36">
        <f>IF(OR($C456="",$D456=""),"",IF($D456&gt;=$C456,($D456-$C456)*24,(1-$C456+$D456)*24))</f>
        <v/>
      </c>
      <c r="L456" s="34" t="n"/>
      <c r="M456" s="53">
        <f t="array" ref="M456">IFERROR(INDEX(EXCEPCIONES_FECHA!$D$2:$D$201,MATCH(1,(EXCEPCIONES_FECHA!$A$2:$A$201=$A456)*(EXCEPCIONES_FECHA!$B$2:$B$201=$B456),0)),IFERROR(INDEX(EXCEPCIONES_FECHA!$D$2:$D$201,MATCH(1,(EXCEPCIONES_FECHA!$A$2:$A$201=$A456)*(EXCEPCIONES_FECHA!$B$2:$B$201=""),0)),IFERROR(INDEX(IF($I456="FIN",HISTORIAL_HORARIOS!$J$2:$J$201,HISTORIAL_HORARIOS!$F$2:$F$201),MATCH(1,(HISTORIAL_HORARIOS!$A$2:$A$201=$B456)*(HISTORIAL_HORARIOS!$C$2:$C$201&lt;=$A456)*(HISTORIAL_HORARIOS!$D$2:$D$201&gt;=$A456),0)),INDEX(IF($I456="FIN",PERSONAL!$J$2:$J$80,PERSONAL!$F$2:$F$80),MATCH($B456,PERSONAL!$A$2:$A$80,0)))))</f>
        <v/>
      </c>
      <c r="N456" s="53">
        <f t="array" ref="N456">IFERROR(INDEX(EXCEPCIONES_FECHA!$E$2:$E$201,MATCH(1,(EXCEPCIONES_FECHA!$A$2:$A$201=$A456)*(EXCEPCIONES_FECHA!$B$2:$B$201=$B456),0)),IFERROR(INDEX(EXCEPCIONES_FECHA!$E$2:$E$201,MATCH(1,(EXCEPCIONES_FECHA!$A$2:$A$201=$A456)*(EXCEPCIONES_FECHA!$B$2:$B$201=""),0)),IFERROR(INDEX(IF($I456="FIN",HISTORIAL_HORARIOS!$K$2:$K$201,HISTORIAL_HORARIOS!$G$2:$G$201),MATCH(1,(HISTORIAL_HORARIOS!$A$2:$A$201=$B456)*(HISTORIAL_HORARIOS!$C$2:$C$201&lt;=$A456)*(HISTORIAL_HORARIOS!$D$2:$D$201&gt;=$A456),0)),INDEX(IF($I456="FIN",PERSONAL!$K$2:$K$80,PERSONAL!$G$2:$G$80),MATCH($B456,PERSONAL!$A$2:$A$80,0)))))</f>
        <v/>
      </c>
      <c r="O456" s="53">
        <f t="array" ref="O456">IFERROR(INDEX(EXCEPCIONES_FECHA!$F$2:$F$201,MATCH(1,(EXCEPCIONES_FECHA!$A$2:$A$201=$A456)*(EXCEPCIONES_FECHA!$B$2:$B$201=$B456),0)),IFERROR(INDEX(EXCEPCIONES_FECHA!$F$2:$F$201,MATCH(1,(EXCEPCIONES_FECHA!$A$2:$A$201=$A456)*(EXCEPCIONES_FECHA!$B$2:$B$201=""),0)),IFERROR(INDEX(IF($I456="FIN",HISTORIAL_HORARIOS!$L$2:$L$201,HISTORIAL_HORARIOS!$H$2:$H$201),MATCH(1,(HISTORIAL_HORARIOS!$A$2:$A$201=$B456)*(HISTORIAL_HORARIOS!$C$2:$C$201&lt;=$A456)*(HISTORIAL_HORARIOS!$D$2:$D$201&gt;=$A456),0)),INDEX(IF($I456="FIN",PERSONAL!$L$2:$L$80,PERSONAL!$H$2:$H$80),MATCH($B456,PERSONAL!$A$2:$A$80,0)))))</f>
        <v/>
      </c>
    </row>
    <row r="457" ht="15" customHeight="1" s="58">
      <c r="A457" s="37" t="n"/>
      <c r="B457" s="38" t="n"/>
      <c r="C457" s="39" t="n"/>
      <c r="D457" s="39" t="n"/>
      <c r="E457" s="34">
        <f t="array" ref="E457">IF($B457="","",IFERROR(INDEX(PERSONAL!$B$2:$B$80,MATCH($B457,PERSONAL!$A$2:$A$80,0)),"NO EXISTE"))</f>
        <v/>
      </c>
      <c r="F457" s="52">
        <f t="array" ref="F457">IF($B457="","",IFERROR(INDEX(PERSONAL!$C$2:$C$80,MATCH($B457,PERSONAL!$A$2:$A$80,0)),""))</f>
        <v/>
      </c>
      <c r="G457" s="52">
        <f>IF($A457="","",CHOOSE(WEEKDAY($A457,2),"LUNES","MARTES","MIÉRCOLES","JUEVES","VIERNES","SÁBADO","DOMINGO"))</f>
        <v/>
      </c>
      <c r="H457" s="34">
        <f>IF($A457="","",CHOOSE(MONTH($A457),"ENERO","FEBRERO","MARZO","ABRIL","MAYO","JUNIO","JULIO","AGOSTO","SEPTIEMBRE","OCTUBRE","NOVIEMBRE","DICIEMBRE"))</f>
        <v/>
      </c>
      <c r="I457" s="34">
        <f>IF($A457="","",IF(OR($G457="SÁBADO",$G457="DOMINGO"),"FIN","LV"))</f>
        <v/>
      </c>
      <c r="J457" s="34">
        <f>IF(OR($A457="",$B457=""),"",IF($L457&lt;&gt;"",UPPER($L457),IF($C457="","FALTA",IFERROR(IF($C457&gt;=$O457,"ROJO FUERTE",IF($C457&gt;=$N457,"ROJO",IF($C457&gt;=$M457,"AMARILLO","VERDE"))),"REVISAR"))))</f>
        <v/>
      </c>
      <c r="K457" s="36">
        <f>IF(OR($C457="",$D457=""),"",IF($D457&gt;=$C457,($D457-$C457)*24,(1-$C457+$D457)*24))</f>
        <v/>
      </c>
      <c r="L457" s="34" t="n"/>
      <c r="M457" s="53">
        <f t="array" ref="M457">IFERROR(INDEX(EXCEPCIONES_FECHA!$D$2:$D$201,MATCH(1,(EXCEPCIONES_FECHA!$A$2:$A$201=$A457)*(EXCEPCIONES_FECHA!$B$2:$B$201=$B457),0)),IFERROR(INDEX(EXCEPCIONES_FECHA!$D$2:$D$201,MATCH(1,(EXCEPCIONES_FECHA!$A$2:$A$201=$A457)*(EXCEPCIONES_FECHA!$B$2:$B$201=""),0)),IFERROR(INDEX(IF($I457="FIN",HISTORIAL_HORARIOS!$J$2:$J$201,HISTORIAL_HORARIOS!$F$2:$F$201),MATCH(1,(HISTORIAL_HORARIOS!$A$2:$A$201=$B457)*(HISTORIAL_HORARIOS!$C$2:$C$201&lt;=$A457)*(HISTORIAL_HORARIOS!$D$2:$D$201&gt;=$A457),0)),INDEX(IF($I457="FIN",PERSONAL!$J$2:$J$80,PERSONAL!$F$2:$F$80),MATCH($B457,PERSONAL!$A$2:$A$80,0)))))</f>
        <v/>
      </c>
      <c r="N457" s="53">
        <f t="array" ref="N457">IFERROR(INDEX(EXCEPCIONES_FECHA!$E$2:$E$201,MATCH(1,(EXCEPCIONES_FECHA!$A$2:$A$201=$A457)*(EXCEPCIONES_FECHA!$B$2:$B$201=$B457),0)),IFERROR(INDEX(EXCEPCIONES_FECHA!$E$2:$E$201,MATCH(1,(EXCEPCIONES_FECHA!$A$2:$A$201=$A457)*(EXCEPCIONES_FECHA!$B$2:$B$201=""),0)),IFERROR(INDEX(IF($I457="FIN",HISTORIAL_HORARIOS!$K$2:$K$201,HISTORIAL_HORARIOS!$G$2:$G$201),MATCH(1,(HISTORIAL_HORARIOS!$A$2:$A$201=$B457)*(HISTORIAL_HORARIOS!$C$2:$C$201&lt;=$A457)*(HISTORIAL_HORARIOS!$D$2:$D$201&gt;=$A457),0)),INDEX(IF($I457="FIN",PERSONAL!$K$2:$K$80,PERSONAL!$G$2:$G$80),MATCH($B457,PERSONAL!$A$2:$A$80,0)))))</f>
        <v/>
      </c>
      <c r="O457" s="53">
        <f t="array" ref="O457">IFERROR(INDEX(EXCEPCIONES_FECHA!$F$2:$F$201,MATCH(1,(EXCEPCIONES_FECHA!$A$2:$A$201=$A457)*(EXCEPCIONES_FECHA!$B$2:$B$201=$B457),0)),IFERROR(INDEX(EXCEPCIONES_FECHA!$F$2:$F$201,MATCH(1,(EXCEPCIONES_FECHA!$A$2:$A$201=$A457)*(EXCEPCIONES_FECHA!$B$2:$B$201=""),0)),IFERROR(INDEX(IF($I457="FIN",HISTORIAL_HORARIOS!$L$2:$L$201,HISTORIAL_HORARIOS!$H$2:$H$201),MATCH(1,(HISTORIAL_HORARIOS!$A$2:$A$201=$B457)*(HISTORIAL_HORARIOS!$C$2:$C$201&lt;=$A457)*(HISTORIAL_HORARIOS!$D$2:$D$201&gt;=$A457),0)),INDEX(IF($I457="FIN",PERSONAL!$L$2:$L$80,PERSONAL!$H$2:$H$80),MATCH($B457,PERSONAL!$A$2:$A$80,0)))))</f>
        <v/>
      </c>
    </row>
    <row r="458" ht="15" customHeight="1" s="58">
      <c r="A458" s="37" t="n"/>
      <c r="B458" s="38" t="n"/>
      <c r="C458" s="39" t="n"/>
      <c r="D458" s="39" t="n"/>
      <c r="E458" s="34">
        <f t="array" ref="E458">IF($B458="","",IFERROR(INDEX(PERSONAL!$B$2:$B$80,MATCH($B458,PERSONAL!$A$2:$A$80,0)),"NO EXISTE"))</f>
        <v/>
      </c>
      <c r="F458" s="52">
        <f t="array" ref="F458">IF($B458="","",IFERROR(INDEX(PERSONAL!$C$2:$C$80,MATCH($B458,PERSONAL!$A$2:$A$80,0)),""))</f>
        <v/>
      </c>
      <c r="G458" s="52">
        <f>IF($A458="","",CHOOSE(WEEKDAY($A458,2),"LUNES","MARTES","MIÉRCOLES","JUEVES","VIERNES","SÁBADO","DOMINGO"))</f>
        <v/>
      </c>
      <c r="H458" s="34">
        <f>IF($A458="","",CHOOSE(MONTH($A458),"ENERO","FEBRERO","MARZO","ABRIL","MAYO","JUNIO","JULIO","AGOSTO","SEPTIEMBRE","OCTUBRE","NOVIEMBRE","DICIEMBRE"))</f>
        <v/>
      </c>
      <c r="I458" s="34">
        <f>IF($A458="","",IF(OR($G458="SÁBADO",$G458="DOMINGO"),"FIN","LV"))</f>
        <v/>
      </c>
      <c r="J458" s="34">
        <f>IF(OR($A458="",$B458=""),"",IF($L458&lt;&gt;"",UPPER($L458),IF($C458="","FALTA",IFERROR(IF($C458&gt;=$O458,"ROJO FUERTE",IF($C458&gt;=$N458,"ROJO",IF($C458&gt;=$M458,"AMARILLO","VERDE"))),"REVISAR"))))</f>
        <v/>
      </c>
      <c r="K458" s="36">
        <f>IF(OR($C458="",$D458=""),"",IF($D458&gt;=$C458,($D458-$C458)*24,(1-$C458+$D458)*24))</f>
        <v/>
      </c>
      <c r="L458" s="34" t="n"/>
      <c r="M458" s="53">
        <f t="array" ref="M458">IFERROR(INDEX(EXCEPCIONES_FECHA!$D$2:$D$201,MATCH(1,(EXCEPCIONES_FECHA!$A$2:$A$201=$A458)*(EXCEPCIONES_FECHA!$B$2:$B$201=$B458),0)),IFERROR(INDEX(EXCEPCIONES_FECHA!$D$2:$D$201,MATCH(1,(EXCEPCIONES_FECHA!$A$2:$A$201=$A458)*(EXCEPCIONES_FECHA!$B$2:$B$201=""),0)),IFERROR(INDEX(IF($I458="FIN",HISTORIAL_HORARIOS!$J$2:$J$201,HISTORIAL_HORARIOS!$F$2:$F$201),MATCH(1,(HISTORIAL_HORARIOS!$A$2:$A$201=$B458)*(HISTORIAL_HORARIOS!$C$2:$C$201&lt;=$A458)*(HISTORIAL_HORARIOS!$D$2:$D$201&gt;=$A458),0)),INDEX(IF($I458="FIN",PERSONAL!$J$2:$J$80,PERSONAL!$F$2:$F$80),MATCH($B458,PERSONAL!$A$2:$A$80,0)))))</f>
        <v/>
      </c>
      <c r="N458" s="53">
        <f t="array" ref="N458">IFERROR(INDEX(EXCEPCIONES_FECHA!$E$2:$E$201,MATCH(1,(EXCEPCIONES_FECHA!$A$2:$A$201=$A458)*(EXCEPCIONES_FECHA!$B$2:$B$201=$B458),0)),IFERROR(INDEX(EXCEPCIONES_FECHA!$E$2:$E$201,MATCH(1,(EXCEPCIONES_FECHA!$A$2:$A$201=$A458)*(EXCEPCIONES_FECHA!$B$2:$B$201=""),0)),IFERROR(INDEX(IF($I458="FIN",HISTORIAL_HORARIOS!$K$2:$K$201,HISTORIAL_HORARIOS!$G$2:$G$201),MATCH(1,(HISTORIAL_HORARIOS!$A$2:$A$201=$B458)*(HISTORIAL_HORARIOS!$C$2:$C$201&lt;=$A458)*(HISTORIAL_HORARIOS!$D$2:$D$201&gt;=$A458),0)),INDEX(IF($I458="FIN",PERSONAL!$K$2:$K$80,PERSONAL!$G$2:$G$80),MATCH($B458,PERSONAL!$A$2:$A$80,0)))))</f>
        <v/>
      </c>
      <c r="O458" s="53">
        <f t="array" ref="O458">IFERROR(INDEX(EXCEPCIONES_FECHA!$F$2:$F$201,MATCH(1,(EXCEPCIONES_FECHA!$A$2:$A$201=$A458)*(EXCEPCIONES_FECHA!$B$2:$B$201=$B458),0)),IFERROR(INDEX(EXCEPCIONES_FECHA!$F$2:$F$201,MATCH(1,(EXCEPCIONES_FECHA!$A$2:$A$201=$A458)*(EXCEPCIONES_FECHA!$B$2:$B$201=""),0)),IFERROR(INDEX(IF($I458="FIN",HISTORIAL_HORARIOS!$L$2:$L$201,HISTORIAL_HORARIOS!$H$2:$H$201),MATCH(1,(HISTORIAL_HORARIOS!$A$2:$A$201=$B458)*(HISTORIAL_HORARIOS!$C$2:$C$201&lt;=$A458)*(HISTORIAL_HORARIOS!$D$2:$D$201&gt;=$A458),0)),INDEX(IF($I458="FIN",PERSONAL!$L$2:$L$80,PERSONAL!$H$2:$H$80),MATCH($B458,PERSONAL!$A$2:$A$80,0)))))</f>
        <v/>
      </c>
    </row>
    <row r="459" ht="15" customHeight="1" s="58">
      <c r="A459" s="37" t="n"/>
      <c r="B459" s="38" t="n"/>
      <c r="C459" s="39" t="n"/>
      <c r="D459" s="39" t="n"/>
      <c r="E459" s="34">
        <f t="array" ref="E459">IF($B459="","",IFERROR(INDEX(PERSONAL!$B$2:$B$80,MATCH($B459,PERSONAL!$A$2:$A$80,0)),"NO EXISTE"))</f>
        <v/>
      </c>
      <c r="F459" s="52">
        <f t="array" ref="F459">IF($B459="","",IFERROR(INDEX(PERSONAL!$C$2:$C$80,MATCH($B459,PERSONAL!$A$2:$A$80,0)),""))</f>
        <v/>
      </c>
      <c r="G459" s="52">
        <f>IF($A459="","",CHOOSE(WEEKDAY($A459,2),"LUNES","MARTES","MIÉRCOLES","JUEVES","VIERNES","SÁBADO","DOMINGO"))</f>
        <v/>
      </c>
      <c r="H459" s="34">
        <f>IF($A459="","",CHOOSE(MONTH($A459),"ENERO","FEBRERO","MARZO","ABRIL","MAYO","JUNIO","JULIO","AGOSTO","SEPTIEMBRE","OCTUBRE","NOVIEMBRE","DICIEMBRE"))</f>
        <v/>
      </c>
      <c r="I459" s="34">
        <f>IF($A459="","",IF(OR($G459="SÁBADO",$G459="DOMINGO"),"FIN","LV"))</f>
        <v/>
      </c>
      <c r="J459" s="34">
        <f>IF(OR($A459="",$B459=""),"",IF($L459&lt;&gt;"",UPPER($L459),IF($C459="","FALTA",IFERROR(IF($C459&gt;=$O459,"ROJO FUERTE",IF($C459&gt;=$N459,"ROJO",IF($C459&gt;=$M459,"AMARILLO","VERDE"))),"REVISAR"))))</f>
        <v/>
      </c>
      <c r="K459" s="36">
        <f>IF(OR($C459="",$D459=""),"",IF($D459&gt;=$C459,($D459-$C459)*24,(1-$C459+$D459)*24))</f>
        <v/>
      </c>
      <c r="L459" s="34" t="n"/>
      <c r="M459" s="53">
        <f t="array" ref="M459">IFERROR(INDEX(EXCEPCIONES_FECHA!$D$2:$D$201,MATCH(1,(EXCEPCIONES_FECHA!$A$2:$A$201=$A459)*(EXCEPCIONES_FECHA!$B$2:$B$201=$B459),0)),IFERROR(INDEX(EXCEPCIONES_FECHA!$D$2:$D$201,MATCH(1,(EXCEPCIONES_FECHA!$A$2:$A$201=$A459)*(EXCEPCIONES_FECHA!$B$2:$B$201=""),0)),IFERROR(INDEX(IF($I459="FIN",HISTORIAL_HORARIOS!$J$2:$J$201,HISTORIAL_HORARIOS!$F$2:$F$201),MATCH(1,(HISTORIAL_HORARIOS!$A$2:$A$201=$B459)*(HISTORIAL_HORARIOS!$C$2:$C$201&lt;=$A459)*(HISTORIAL_HORARIOS!$D$2:$D$201&gt;=$A459),0)),INDEX(IF($I459="FIN",PERSONAL!$J$2:$J$80,PERSONAL!$F$2:$F$80),MATCH($B459,PERSONAL!$A$2:$A$80,0)))))</f>
        <v/>
      </c>
      <c r="N459" s="53">
        <f t="array" ref="N459">IFERROR(INDEX(EXCEPCIONES_FECHA!$E$2:$E$201,MATCH(1,(EXCEPCIONES_FECHA!$A$2:$A$201=$A459)*(EXCEPCIONES_FECHA!$B$2:$B$201=$B459),0)),IFERROR(INDEX(EXCEPCIONES_FECHA!$E$2:$E$201,MATCH(1,(EXCEPCIONES_FECHA!$A$2:$A$201=$A459)*(EXCEPCIONES_FECHA!$B$2:$B$201=""),0)),IFERROR(INDEX(IF($I459="FIN",HISTORIAL_HORARIOS!$K$2:$K$201,HISTORIAL_HORARIOS!$G$2:$G$201),MATCH(1,(HISTORIAL_HORARIOS!$A$2:$A$201=$B459)*(HISTORIAL_HORARIOS!$C$2:$C$201&lt;=$A459)*(HISTORIAL_HORARIOS!$D$2:$D$201&gt;=$A459),0)),INDEX(IF($I459="FIN",PERSONAL!$K$2:$K$80,PERSONAL!$G$2:$G$80),MATCH($B459,PERSONAL!$A$2:$A$80,0)))))</f>
        <v/>
      </c>
      <c r="O459" s="53">
        <f t="array" ref="O459">IFERROR(INDEX(EXCEPCIONES_FECHA!$F$2:$F$201,MATCH(1,(EXCEPCIONES_FECHA!$A$2:$A$201=$A459)*(EXCEPCIONES_FECHA!$B$2:$B$201=$B459),0)),IFERROR(INDEX(EXCEPCIONES_FECHA!$F$2:$F$201,MATCH(1,(EXCEPCIONES_FECHA!$A$2:$A$201=$A459)*(EXCEPCIONES_FECHA!$B$2:$B$201=""),0)),IFERROR(INDEX(IF($I459="FIN",HISTORIAL_HORARIOS!$L$2:$L$201,HISTORIAL_HORARIOS!$H$2:$H$201),MATCH(1,(HISTORIAL_HORARIOS!$A$2:$A$201=$B459)*(HISTORIAL_HORARIOS!$C$2:$C$201&lt;=$A459)*(HISTORIAL_HORARIOS!$D$2:$D$201&gt;=$A459),0)),INDEX(IF($I459="FIN",PERSONAL!$L$2:$L$80,PERSONAL!$H$2:$H$80),MATCH($B459,PERSONAL!$A$2:$A$80,0)))))</f>
        <v/>
      </c>
    </row>
    <row r="460" ht="15" customHeight="1" s="58">
      <c r="A460" s="37" t="n"/>
      <c r="B460" s="38" t="n"/>
      <c r="C460" s="39" t="n"/>
      <c r="D460" s="39" t="n"/>
      <c r="E460" s="34">
        <f t="array" ref="E460">IF($B460="","",IFERROR(INDEX(PERSONAL!$B$2:$B$80,MATCH($B460,PERSONAL!$A$2:$A$80,0)),"NO EXISTE"))</f>
        <v/>
      </c>
      <c r="F460" s="52">
        <f t="array" ref="F460">IF($B460="","",IFERROR(INDEX(PERSONAL!$C$2:$C$80,MATCH($B460,PERSONAL!$A$2:$A$80,0)),""))</f>
        <v/>
      </c>
      <c r="G460" s="52">
        <f>IF($A460="","",CHOOSE(WEEKDAY($A460,2),"LUNES","MARTES","MIÉRCOLES","JUEVES","VIERNES","SÁBADO","DOMINGO"))</f>
        <v/>
      </c>
      <c r="H460" s="34">
        <f>IF($A460="","",CHOOSE(MONTH($A460),"ENERO","FEBRERO","MARZO","ABRIL","MAYO","JUNIO","JULIO","AGOSTO","SEPTIEMBRE","OCTUBRE","NOVIEMBRE","DICIEMBRE"))</f>
        <v/>
      </c>
      <c r="I460" s="34">
        <f>IF($A460="","",IF(OR($G460="SÁBADO",$G460="DOMINGO"),"FIN","LV"))</f>
        <v/>
      </c>
      <c r="J460" s="34">
        <f>IF(OR($A460="",$B460=""),"",IF($L460&lt;&gt;"",UPPER($L460),IF($C460="","FALTA",IFERROR(IF($C460&gt;=$O460,"ROJO FUERTE",IF($C460&gt;=$N460,"ROJO",IF($C460&gt;=$M460,"AMARILLO","VERDE"))),"REVISAR"))))</f>
        <v/>
      </c>
      <c r="K460" s="36">
        <f>IF(OR($C460="",$D460=""),"",IF($D460&gt;=$C460,($D460-$C460)*24,(1-$C460+$D460)*24))</f>
        <v/>
      </c>
      <c r="L460" s="34" t="n"/>
      <c r="M460" s="53">
        <f t="array" ref="M460">IFERROR(INDEX(EXCEPCIONES_FECHA!$D$2:$D$201,MATCH(1,(EXCEPCIONES_FECHA!$A$2:$A$201=$A460)*(EXCEPCIONES_FECHA!$B$2:$B$201=$B460),0)),IFERROR(INDEX(EXCEPCIONES_FECHA!$D$2:$D$201,MATCH(1,(EXCEPCIONES_FECHA!$A$2:$A$201=$A460)*(EXCEPCIONES_FECHA!$B$2:$B$201=""),0)),IFERROR(INDEX(IF($I460="FIN",HISTORIAL_HORARIOS!$J$2:$J$201,HISTORIAL_HORARIOS!$F$2:$F$201),MATCH(1,(HISTORIAL_HORARIOS!$A$2:$A$201=$B460)*(HISTORIAL_HORARIOS!$C$2:$C$201&lt;=$A460)*(HISTORIAL_HORARIOS!$D$2:$D$201&gt;=$A460),0)),INDEX(IF($I460="FIN",PERSONAL!$J$2:$J$80,PERSONAL!$F$2:$F$80),MATCH($B460,PERSONAL!$A$2:$A$80,0)))))</f>
        <v/>
      </c>
      <c r="N460" s="53">
        <f t="array" ref="N460">IFERROR(INDEX(EXCEPCIONES_FECHA!$E$2:$E$201,MATCH(1,(EXCEPCIONES_FECHA!$A$2:$A$201=$A460)*(EXCEPCIONES_FECHA!$B$2:$B$201=$B460),0)),IFERROR(INDEX(EXCEPCIONES_FECHA!$E$2:$E$201,MATCH(1,(EXCEPCIONES_FECHA!$A$2:$A$201=$A460)*(EXCEPCIONES_FECHA!$B$2:$B$201=""),0)),IFERROR(INDEX(IF($I460="FIN",HISTORIAL_HORARIOS!$K$2:$K$201,HISTORIAL_HORARIOS!$G$2:$G$201),MATCH(1,(HISTORIAL_HORARIOS!$A$2:$A$201=$B460)*(HISTORIAL_HORARIOS!$C$2:$C$201&lt;=$A460)*(HISTORIAL_HORARIOS!$D$2:$D$201&gt;=$A460),0)),INDEX(IF($I460="FIN",PERSONAL!$K$2:$K$80,PERSONAL!$G$2:$G$80),MATCH($B460,PERSONAL!$A$2:$A$80,0)))))</f>
        <v/>
      </c>
      <c r="O460" s="53">
        <f t="array" ref="O460">IFERROR(INDEX(EXCEPCIONES_FECHA!$F$2:$F$201,MATCH(1,(EXCEPCIONES_FECHA!$A$2:$A$201=$A460)*(EXCEPCIONES_FECHA!$B$2:$B$201=$B460),0)),IFERROR(INDEX(EXCEPCIONES_FECHA!$F$2:$F$201,MATCH(1,(EXCEPCIONES_FECHA!$A$2:$A$201=$A460)*(EXCEPCIONES_FECHA!$B$2:$B$201=""),0)),IFERROR(INDEX(IF($I460="FIN",HISTORIAL_HORARIOS!$L$2:$L$201,HISTORIAL_HORARIOS!$H$2:$H$201),MATCH(1,(HISTORIAL_HORARIOS!$A$2:$A$201=$B460)*(HISTORIAL_HORARIOS!$C$2:$C$201&lt;=$A460)*(HISTORIAL_HORARIOS!$D$2:$D$201&gt;=$A460),0)),INDEX(IF($I460="FIN",PERSONAL!$L$2:$L$80,PERSONAL!$H$2:$H$80),MATCH($B460,PERSONAL!$A$2:$A$80,0)))))</f>
        <v/>
      </c>
    </row>
    <row r="461" ht="15" customHeight="1" s="58">
      <c r="A461" s="37" t="n"/>
      <c r="B461" s="38" t="n"/>
      <c r="C461" s="39" t="n"/>
      <c r="D461" s="39" t="n"/>
      <c r="E461" s="34">
        <f t="array" ref="E461">IF($B461="","",IFERROR(INDEX(PERSONAL!$B$2:$B$80,MATCH($B461,PERSONAL!$A$2:$A$80,0)),"NO EXISTE"))</f>
        <v/>
      </c>
      <c r="F461" s="52">
        <f t="array" ref="F461">IF($B461="","",IFERROR(INDEX(PERSONAL!$C$2:$C$80,MATCH($B461,PERSONAL!$A$2:$A$80,0)),""))</f>
        <v/>
      </c>
      <c r="G461" s="52">
        <f>IF($A461="","",CHOOSE(WEEKDAY($A461,2),"LUNES","MARTES","MIÉRCOLES","JUEVES","VIERNES","SÁBADO","DOMINGO"))</f>
        <v/>
      </c>
      <c r="H461" s="34">
        <f>IF($A461="","",CHOOSE(MONTH($A461),"ENERO","FEBRERO","MARZO","ABRIL","MAYO","JUNIO","JULIO","AGOSTO","SEPTIEMBRE","OCTUBRE","NOVIEMBRE","DICIEMBRE"))</f>
        <v/>
      </c>
      <c r="I461" s="34">
        <f>IF($A461="","",IF(OR($G461="SÁBADO",$G461="DOMINGO"),"FIN","LV"))</f>
        <v/>
      </c>
      <c r="J461" s="34">
        <f>IF(OR($A461="",$B461=""),"",IF($L461&lt;&gt;"",UPPER($L461),IF($C461="","FALTA",IFERROR(IF($C461&gt;=$O461,"ROJO FUERTE",IF($C461&gt;=$N461,"ROJO",IF($C461&gt;=$M461,"AMARILLO","VERDE"))),"REVISAR"))))</f>
        <v/>
      </c>
      <c r="K461" s="36">
        <f>IF(OR($C461="",$D461=""),"",IF($D461&gt;=$C461,($D461-$C461)*24,(1-$C461+$D461)*24))</f>
        <v/>
      </c>
      <c r="L461" s="34" t="n"/>
      <c r="M461" s="53">
        <f t="array" ref="M461">IFERROR(INDEX(EXCEPCIONES_FECHA!$D$2:$D$201,MATCH(1,(EXCEPCIONES_FECHA!$A$2:$A$201=$A461)*(EXCEPCIONES_FECHA!$B$2:$B$201=$B461),0)),IFERROR(INDEX(EXCEPCIONES_FECHA!$D$2:$D$201,MATCH(1,(EXCEPCIONES_FECHA!$A$2:$A$201=$A461)*(EXCEPCIONES_FECHA!$B$2:$B$201=""),0)),IFERROR(INDEX(IF($I461="FIN",HISTORIAL_HORARIOS!$J$2:$J$201,HISTORIAL_HORARIOS!$F$2:$F$201),MATCH(1,(HISTORIAL_HORARIOS!$A$2:$A$201=$B461)*(HISTORIAL_HORARIOS!$C$2:$C$201&lt;=$A461)*(HISTORIAL_HORARIOS!$D$2:$D$201&gt;=$A461),0)),INDEX(IF($I461="FIN",PERSONAL!$J$2:$J$80,PERSONAL!$F$2:$F$80),MATCH($B461,PERSONAL!$A$2:$A$80,0)))))</f>
        <v/>
      </c>
      <c r="N461" s="53">
        <f t="array" ref="N461">IFERROR(INDEX(EXCEPCIONES_FECHA!$E$2:$E$201,MATCH(1,(EXCEPCIONES_FECHA!$A$2:$A$201=$A461)*(EXCEPCIONES_FECHA!$B$2:$B$201=$B461),0)),IFERROR(INDEX(EXCEPCIONES_FECHA!$E$2:$E$201,MATCH(1,(EXCEPCIONES_FECHA!$A$2:$A$201=$A461)*(EXCEPCIONES_FECHA!$B$2:$B$201=""),0)),IFERROR(INDEX(IF($I461="FIN",HISTORIAL_HORARIOS!$K$2:$K$201,HISTORIAL_HORARIOS!$G$2:$G$201),MATCH(1,(HISTORIAL_HORARIOS!$A$2:$A$201=$B461)*(HISTORIAL_HORARIOS!$C$2:$C$201&lt;=$A461)*(HISTORIAL_HORARIOS!$D$2:$D$201&gt;=$A461),0)),INDEX(IF($I461="FIN",PERSONAL!$K$2:$K$80,PERSONAL!$G$2:$G$80),MATCH($B461,PERSONAL!$A$2:$A$80,0)))))</f>
        <v/>
      </c>
      <c r="O461" s="53">
        <f t="array" ref="O461">IFERROR(INDEX(EXCEPCIONES_FECHA!$F$2:$F$201,MATCH(1,(EXCEPCIONES_FECHA!$A$2:$A$201=$A461)*(EXCEPCIONES_FECHA!$B$2:$B$201=$B461),0)),IFERROR(INDEX(EXCEPCIONES_FECHA!$F$2:$F$201,MATCH(1,(EXCEPCIONES_FECHA!$A$2:$A$201=$A461)*(EXCEPCIONES_FECHA!$B$2:$B$201=""),0)),IFERROR(INDEX(IF($I461="FIN",HISTORIAL_HORARIOS!$L$2:$L$201,HISTORIAL_HORARIOS!$H$2:$H$201),MATCH(1,(HISTORIAL_HORARIOS!$A$2:$A$201=$B461)*(HISTORIAL_HORARIOS!$C$2:$C$201&lt;=$A461)*(HISTORIAL_HORARIOS!$D$2:$D$201&gt;=$A461),0)),INDEX(IF($I461="FIN",PERSONAL!$L$2:$L$80,PERSONAL!$H$2:$H$80),MATCH($B461,PERSONAL!$A$2:$A$80,0)))))</f>
        <v/>
      </c>
    </row>
    <row r="462" ht="15" customHeight="1" s="58">
      <c r="A462" s="37" t="n"/>
      <c r="B462" s="38" t="n"/>
      <c r="C462" s="39" t="n"/>
      <c r="D462" s="39" t="n"/>
      <c r="E462" s="34">
        <f t="array" ref="E462">IF($B462="","",IFERROR(INDEX(PERSONAL!$B$2:$B$80,MATCH($B462,PERSONAL!$A$2:$A$80,0)),"NO EXISTE"))</f>
        <v/>
      </c>
      <c r="F462" s="52">
        <f t="array" ref="F462">IF($B462="","",IFERROR(INDEX(PERSONAL!$C$2:$C$80,MATCH($B462,PERSONAL!$A$2:$A$80,0)),""))</f>
        <v/>
      </c>
      <c r="G462" s="52">
        <f>IF($A462="","",CHOOSE(WEEKDAY($A462,2),"LUNES","MARTES","MIÉRCOLES","JUEVES","VIERNES","SÁBADO","DOMINGO"))</f>
        <v/>
      </c>
      <c r="H462" s="34">
        <f>IF($A462="","",CHOOSE(MONTH($A462),"ENERO","FEBRERO","MARZO","ABRIL","MAYO","JUNIO","JULIO","AGOSTO","SEPTIEMBRE","OCTUBRE","NOVIEMBRE","DICIEMBRE"))</f>
        <v/>
      </c>
      <c r="I462" s="34">
        <f>IF($A462="","",IF(OR($G462="SÁBADO",$G462="DOMINGO"),"FIN","LV"))</f>
        <v/>
      </c>
      <c r="J462" s="34">
        <f>IF(OR($A462="",$B462=""),"",IF($L462&lt;&gt;"",UPPER($L462),IF($C462="","FALTA",IFERROR(IF($C462&gt;=$O462,"ROJO FUERTE",IF($C462&gt;=$N462,"ROJO",IF($C462&gt;=$M462,"AMARILLO","VERDE"))),"REVISAR"))))</f>
        <v/>
      </c>
      <c r="K462" s="36">
        <f>IF(OR($C462="",$D462=""),"",IF($D462&gt;=$C462,($D462-$C462)*24,(1-$C462+$D462)*24))</f>
        <v/>
      </c>
      <c r="L462" s="34" t="n"/>
      <c r="M462" s="53">
        <f t="array" ref="M462">IFERROR(INDEX(EXCEPCIONES_FECHA!$D$2:$D$201,MATCH(1,(EXCEPCIONES_FECHA!$A$2:$A$201=$A462)*(EXCEPCIONES_FECHA!$B$2:$B$201=$B462),0)),IFERROR(INDEX(EXCEPCIONES_FECHA!$D$2:$D$201,MATCH(1,(EXCEPCIONES_FECHA!$A$2:$A$201=$A462)*(EXCEPCIONES_FECHA!$B$2:$B$201=""),0)),IFERROR(INDEX(IF($I462="FIN",HISTORIAL_HORARIOS!$J$2:$J$201,HISTORIAL_HORARIOS!$F$2:$F$201),MATCH(1,(HISTORIAL_HORARIOS!$A$2:$A$201=$B462)*(HISTORIAL_HORARIOS!$C$2:$C$201&lt;=$A462)*(HISTORIAL_HORARIOS!$D$2:$D$201&gt;=$A462),0)),INDEX(IF($I462="FIN",PERSONAL!$J$2:$J$80,PERSONAL!$F$2:$F$80),MATCH($B462,PERSONAL!$A$2:$A$80,0)))))</f>
        <v/>
      </c>
      <c r="N462" s="53">
        <f t="array" ref="N462">IFERROR(INDEX(EXCEPCIONES_FECHA!$E$2:$E$201,MATCH(1,(EXCEPCIONES_FECHA!$A$2:$A$201=$A462)*(EXCEPCIONES_FECHA!$B$2:$B$201=$B462),0)),IFERROR(INDEX(EXCEPCIONES_FECHA!$E$2:$E$201,MATCH(1,(EXCEPCIONES_FECHA!$A$2:$A$201=$A462)*(EXCEPCIONES_FECHA!$B$2:$B$201=""),0)),IFERROR(INDEX(IF($I462="FIN",HISTORIAL_HORARIOS!$K$2:$K$201,HISTORIAL_HORARIOS!$G$2:$G$201),MATCH(1,(HISTORIAL_HORARIOS!$A$2:$A$201=$B462)*(HISTORIAL_HORARIOS!$C$2:$C$201&lt;=$A462)*(HISTORIAL_HORARIOS!$D$2:$D$201&gt;=$A462),0)),INDEX(IF($I462="FIN",PERSONAL!$K$2:$K$80,PERSONAL!$G$2:$G$80),MATCH($B462,PERSONAL!$A$2:$A$80,0)))))</f>
        <v/>
      </c>
      <c r="O462" s="53">
        <f t="array" ref="O462">IFERROR(INDEX(EXCEPCIONES_FECHA!$F$2:$F$201,MATCH(1,(EXCEPCIONES_FECHA!$A$2:$A$201=$A462)*(EXCEPCIONES_FECHA!$B$2:$B$201=$B462),0)),IFERROR(INDEX(EXCEPCIONES_FECHA!$F$2:$F$201,MATCH(1,(EXCEPCIONES_FECHA!$A$2:$A$201=$A462)*(EXCEPCIONES_FECHA!$B$2:$B$201=""),0)),IFERROR(INDEX(IF($I462="FIN",HISTORIAL_HORARIOS!$L$2:$L$201,HISTORIAL_HORARIOS!$H$2:$H$201),MATCH(1,(HISTORIAL_HORARIOS!$A$2:$A$201=$B462)*(HISTORIAL_HORARIOS!$C$2:$C$201&lt;=$A462)*(HISTORIAL_HORARIOS!$D$2:$D$201&gt;=$A462),0)),INDEX(IF($I462="FIN",PERSONAL!$L$2:$L$80,PERSONAL!$H$2:$H$80),MATCH($B462,PERSONAL!$A$2:$A$80,0)))))</f>
        <v/>
      </c>
    </row>
    <row r="463" ht="15" customHeight="1" s="58">
      <c r="A463" s="37" t="n"/>
      <c r="B463" s="38" t="n"/>
      <c r="C463" s="39" t="n"/>
      <c r="D463" s="39" t="n"/>
      <c r="E463" s="34">
        <f t="array" ref="E463">IF($B463="","",IFERROR(INDEX(PERSONAL!$B$2:$B$80,MATCH($B463,PERSONAL!$A$2:$A$80,0)),"NO EXISTE"))</f>
        <v/>
      </c>
      <c r="F463" s="52">
        <f t="array" ref="F463">IF($B463="","",IFERROR(INDEX(PERSONAL!$C$2:$C$80,MATCH($B463,PERSONAL!$A$2:$A$80,0)),""))</f>
        <v/>
      </c>
      <c r="G463" s="52">
        <f>IF($A463="","",CHOOSE(WEEKDAY($A463,2),"LUNES","MARTES","MIÉRCOLES","JUEVES","VIERNES","SÁBADO","DOMINGO"))</f>
        <v/>
      </c>
      <c r="H463" s="34">
        <f>IF($A463="","",CHOOSE(MONTH($A463),"ENERO","FEBRERO","MARZO","ABRIL","MAYO","JUNIO","JULIO","AGOSTO","SEPTIEMBRE","OCTUBRE","NOVIEMBRE","DICIEMBRE"))</f>
        <v/>
      </c>
      <c r="I463" s="34">
        <f>IF($A463="","",IF(OR($G463="SÁBADO",$G463="DOMINGO"),"FIN","LV"))</f>
        <v/>
      </c>
      <c r="J463" s="34">
        <f>IF(OR($A463="",$B463=""),"",IF($L463&lt;&gt;"",UPPER($L463),IF($C463="","FALTA",IFERROR(IF($C463&gt;=$O463,"ROJO FUERTE",IF($C463&gt;=$N463,"ROJO",IF($C463&gt;=$M463,"AMARILLO","VERDE"))),"REVISAR"))))</f>
        <v/>
      </c>
      <c r="K463" s="36">
        <f>IF(OR($C463="",$D463=""),"",IF($D463&gt;=$C463,($D463-$C463)*24,(1-$C463+$D463)*24))</f>
        <v/>
      </c>
      <c r="L463" s="34" t="n"/>
      <c r="M463" s="53">
        <f t="array" ref="M463">IFERROR(INDEX(EXCEPCIONES_FECHA!$D$2:$D$201,MATCH(1,(EXCEPCIONES_FECHA!$A$2:$A$201=$A463)*(EXCEPCIONES_FECHA!$B$2:$B$201=$B463),0)),IFERROR(INDEX(EXCEPCIONES_FECHA!$D$2:$D$201,MATCH(1,(EXCEPCIONES_FECHA!$A$2:$A$201=$A463)*(EXCEPCIONES_FECHA!$B$2:$B$201=""),0)),IFERROR(INDEX(IF($I463="FIN",HISTORIAL_HORARIOS!$J$2:$J$201,HISTORIAL_HORARIOS!$F$2:$F$201),MATCH(1,(HISTORIAL_HORARIOS!$A$2:$A$201=$B463)*(HISTORIAL_HORARIOS!$C$2:$C$201&lt;=$A463)*(HISTORIAL_HORARIOS!$D$2:$D$201&gt;=$A463),0)),INDEX(IF($I463="FIN",PERSONAL!$J$2:$J$80,PERSONAL!$F$2:$F$80),MATCH($B463,PERSONAL!$A$2:$A$80,0)))))</f>
        <v/>
      </c>
      <c r="N463" s="53">
        <f t="array" ref="N463">IFERROR(INDEX(EXCEPCIONES_FECHA!$E$2:$E$201,MATCH(1,(EXCEPCIONES_FECHA!$A$2:$A$201=$A463)*(EXCEPCIONES_FECHA!$B$2:$B$201=$B463),0)),IFERROR(INDEX(EXCEPCIONES_FECHA!$E$2:$E$201,MATCH(1,(EXCEPCIONES_FECHA!$A$2:$A$201=$A463)*(EXCEPCIONES_FECHA!$B$2:$B$201=""),0)),IFERROR(INDEX(IF($I463="FIN",HISTORIAL_HORARIOS!$K$2:$K$201,HISTORIAL_HORARIOS!$G$2:$G$201),MATCH(1,(HISTORIAL_HORARIOS!$A$2:$A$201=$B463)*(HISTORIAL_HORARIOS!$C$2:$C$201&lt;=$A463)*(HISTORIAL_HORARIOS!$D$2:$D$201&gt;=$A463),0)),INDEX(IF($I463="FIN",PERSONAL!$K$2:$K$80,PERSONAL!$G$2:$G$80),MATCH($B463,PERSONAL!$A$2:$A$80,0)))))</f>
        <v/>
      </c>
      <c r="O463" s="53">
        <f t="array" ref="O463">IFERROR(INDEX(EXCEPCIONES_FECHA!$F$2:$F$201,MATCH(1,(EXCEPCIONES_FECHA!$A$2:$A$201=$A463)*(EXCEPCIONES_FECHA!$B$2:$B$201=$B463),0)),IFERROR(INDEX(EXCEPCIONES_FECHA!$F$2:$F$201,MATCH(1,(EXCEPCIONES_FECHA!$A$2:$A$201=$A463)*(EXCEPCIONES_FECHA!$B$2:$B$201=""),0)),IFERROR(INDEX(IF($I463="FIN",HISTORIAL_HORARIOS!$L$2:$L$201,HISTORIAL_HORARIOS!$H$2:$H$201),MATCH(1,(HISTORIAL_HORARIOS!$A$2:$A$201=$B463)*(HISTORIAL_HORARIOS!$C$2:$C$201&lt;=$A463)*(HISTORIAL_HORARIOS!$D$2:$D$201&gt;=$A463),0)),INDEX(IF($I463="FIN",PERSONAL!$L$2:$L$80,PERSONAL!$H$2:$H$80),MATCH($B463,PERSONAL!$A$2:$A$80,0)))))</f>
        <v/>
      </c>
    </row>
    <row r="464" ht="15" customHeight="1" s="58">
      <c r="A464" s="37" t="n"/>
      <c r="B464" s="38" t="n"/>
      <c r="C464" s="39" t="n"/>
      <c r="D464" s="39" t="n"/>
      <c r="E464" s="34">
        <f t="array" ref="E464">IF($B464="","",IFERROR(INDEX(PERSONAL!$B$2:$B$80,MATCH($B464,PERSONAL!$A$2:$A$80,0)),"NO EXISTE"))</f>
        <v/>
      </c>
      <c r="F464" s="52">
        <f t="array" ref="F464">IF($B464="","",IFERROR(INDEX(PERSONAL!$C$2:$C$80,MATCH($B464,PERSONAL!$A$2:$A$80,0)),""))</f>
        <v/>
      </c>
      <c r="G464" s="52">
        <f>IF($A464="","",CHOOSE(WEEKDAY($A464,2),"LUNES","MARTES","MIÉRCOLES","JUEVES","VIERNES","SÁBADO","DOMINGO"))</f>
        <v/>
      </c>
      <c r="H464" s="34">
        <f>IF($A464="","",CHOOSE(MONTH($A464),"ENERO","FEBRERO","MARZO","ABRIL","MAYO","JUNIO","JULIO","AGOSTO","SEPTIEMBRE","OCTUBRE","NOVIEMBRE","DICIEMBRE"))</f>
        <v/>
      </c>
      <c r="I464" s="34">
        <f>IF($A464="","",IF(OR($G464="SÁBADO",$G464="DOMINGO"),"FIN","LV"))</f>
        <v/>
      </c>
      <c r="J464" s="34">
        <f>IF(OR($A464="",$B464=""),"",IF($L464&lt;&gt;"",UPPER($L464),IF($C464="","FALTA",IFERROR(IF($C464&gt;=$O464,"ROJO FUERTE",IF($C464&gt;=$N464,"ROJO",IF($C464&gt;=$M464,"AMARILLO","VERDE"))),"REVISAR"))))</f>
        <v/>
      </c>
      <c r="K464" s="36">
        <f>IF(OR($C464="",$D464=""),"",IF($D464&gt;=$C464,($D464-$C464)*24,(1-$C464+$D464)*24))</f>
        <v/>
      </c>
      <c r="L464" s="34" t="n"/>
      <c r="M464" s="53">
        <f t="array" ref="M464">IFERROR(INDEX(EXCEPCIONES_FECHA!$D$2:$D$201,MATCH(1,(EXCEPCIONES_FECHA!$A$2:$A$201=$A464)*(EXCEPCIONES_FECHA!$B$2:$B$201=$B464),0)),IFERROR(INDEX(EXCEPCIONES_FECHA!$D$2:$D$201,MATCH(1,(EXCEPCIONES_FECHA!$A$2:$A$201=$A464)*(EXCEPCIONES_FECHA!$B$2:$B$201=""),0)),IFERROR(INDEX(IF($I464="FIN",HISTORIAL_HORARIOS!$J$2:$J$201,HISTORIAL_HORARIOS!$F$2:$F$201),MATCH(1,(HISTORIAL_HORARIOS!$A$2:$A$201=$B464)*(HISTORIAL_HORARIOS!$C$2:$C$201&lt;=$A464)*(HISTORIAL_HORARIOS!$D$2:$D$201&gt;=$A464),0)),INDEX(IF($I464="FIN",PERSONAL!$J$2:$J$80,PERSONAL!$F$2:$F$80),MATCH($B464,PERSONAL!$A$2:$A$80,0)))))</f>
        <v/>
      </c>
      <c r="N464" s="53">
        <f t="array" ref="N464">IFERROR(INDEX(EXCEPCIONES_FECHA!$E$2:$E$201,MATCH(1,(EXCEPCIONES_FECHA!$A$2:$A$201=$A464)*(EXCEPCIONES_FECHA!$B$2:$B$201=$B464),0)),IFERROR(INDEX(EXCEPCIONES_FECHA!$E$2:$E$201,MATCH(1,(EXCEPCIONES_FECHA!$A$2:$A$201=$A464)*(EXCEPCIONES_FECHA!$B$2:$B$201=""),0)),IFERROR(INDEX(IF($I464="FIN",HISTORIAL_HORARIOS!$K$2:$K$201,HISTORIAL_HORARIOS!$G$2:$G$201),MATCH(1,(HISTORIAL_HORARIOS!$A$2:$A$201=$B464)*(HISTORIAL_HORARIOS!$C$2:$C$201&lt;=$A464)*(HISTORIAL_HORARIOS!$D$2:$D$201&gt;=$A464),0)),INDEX(IF($I464="FIN",PERSONAL!$K$2:$K$80,PERSONAL!$G$2:$G$80),MATCH($B464,PERSONAL!$A$2:$A$80,0)))))</f>
        <v/>
      </c>
      <c r="O464" s="53">
        <f t="array" ref="O464">IFERROR(INDEX(EXCEPCIONES_FECHA!$F$2:$F$201,MATCH(1,(EXCEPCIONES_FECHA!$A$2:$A$201=$A464)*(EXCEPCIONES_FECHA!$B$2:$B$201=$B464),0)),IFERROR(INDEX(EXCEPCIONES_FECHA!$F$2:$F$201,MATCH(1,(EXCEPCIONES_FECHA!$A$2:$A$201=$A464)*(EXCEPCIONES_FECHA!$B$2:$B$201=""),0)),IFERROR(INDEX(IF($I464="FIN",HISTORIAL_HORARIOS!$L$2:$L$201,HISTORIAL_HORARIOS!$H$2:$H$201),MATCH(1,(HISTORIAL_HORARIOS!$A$2:$A$201=$B464)*(HISTORIAL_HORARIOS!$C$2:$C$201&lt;=$A464)*(HISTORIAL_HORARIOS!$D$2:$D$201&gt;=$A464),0)),INDEX(IF($I464="FIN",PERSONAL!$L$2:$L$80,PERSONAL!$H$2:$H$80),MATCH($B464,PERSONAL!$A$2:$A$80,0)))))</f>
        <v/>
      </c>
    </row>
    <row r="465" ht="15" customHeight="1" s="58">
      <c r="A465" s="37" t="n"/>
      <c r="B465" s="38" t="n"/>
      <c r="C465" s="39" t="n"/>
      <c r="D465" s="39" t="n"/>
      <c r="E465" s="34">
        <f t="array" ref="E465">IF($B465="","",IFERROR(INDEX(PERSONAL!$B$2:$B$80,MATCH($B465,PERSONAL!$A$2:$A$80,0)),"NO EXISTE"))</f>
        <v/>
      </c>
      <c r="F465" s="52">
        <f t="array" ref="F465">IF($B465="","",IFERROR(INDEX(PERSONAL!$C$2:$C$80,MATCH($B465,PERSONAL!$A$2:$A$80,0)),""))</f>
        <v/>
      </c>
      <c r="G465" s="52">
        <f>IF($A465="","",CHOOSE(WEEKDAY($A465,2),"LUNES","MARTES","MIÉRCOLES","JUEVES","VIERNES","SÁBADO","DOMINGO"))</f>
        <v/>
      </c>
      <c r="H465" s="34">
        <f>IF($A465="","",CHOOSE(MONTH($A465),"ENERO","FEBRERO","MARZO","ABRIL","MAYO","JUNIO","JULIO","AGOSTO","SEPTIEMBRE","OCTUBRE","NOVIEMBRE","DICIEMBRE"))</f>
        <v/>
      </c>
      <c r="I465" s="34">
        <f>IF($A465="","",IF(OR($G465="SÁBADO",$G465="DOMINGO"),"FIN","LV"))</f>
        <v/>
      </c>
      <c r="J465" s="34">
        <f>IF(OR($A465="",$B465=""),"",IF($L465&lt;&gt;"",UPPER($L465),IF($C465="","FALTA",IFERROR(IF($C465&gt;=$O465,"ROJO FUERTE",IF($C465&gt;=$N465,"ROJO",IF($C465&gt;=$M465,"AMARILLO","VERDE"))),"REVISAR"))))</f>
        <v/>
      </c>
      <c r="K465" s="36">
        <f>IF(OR($C465="",$D465=""),"",IF($D465&gt;=$C465,($D465-$C465)*24,(1-$C465+$D465)*24))</f>
        <v/>
      </c>
      <c r="L465" s="34" t="n"/>
      <c r="M465" s="53">
        <f t="array" ref="M465">IFERROR(INDEX(EXCEPCIONES_FECHA!$D$2:$D$201,MATCH(1,(EXCEPCIONES_FECHA!$A$2:$A$201=$A465)*(EXCEPCIONES_FECHA!$B$2:$B$201=$B465),0)),IFERROR(INDEX(EXCEPCIONES_FECHA!$D$2:$D$201,MATCH(1,(EXCEPCIONES_FECHA!$A$2:$A$201=$A465)*(EXCEPCIONES_FECHA!$B$2:$B$201=""),0)),IFERROR(INDEX(IF($I465="FIN",HISTORIAL_HORARIOS!$J$2:$J$201,HISTORIAL_HORARIOS!$F$2:$F$201),MATCH(1,(HISTORIAL_HORARIOS!$A$2:$A$201=$B465)*(HISTORIAL_HORARIOS!$C$2:$C$201&lt;=$A465)*(HISTORIAL_HORARIOS!$D$2:$D$201&gt;=$A465),0)),INDEX(IF($I465="FIN",PERSONAL!$J$2:$J$80,PERSONAL!$F$2:$F$80),MATCH($B465,PERSONAL!$A$2:$A$80,0)))))</f>
        <v/>
      </c>
      <c r="N465" s="53">
        <f t="array" ref="N465">IFERROR(INDEX(EXCEPCIONES_FECHA!$E$2:$E$201,MATCH(1,(EXCEPCIONES_FECHA!$A$2:$A$201=$A465)*(EXCEPCIONES_FECHA!$B$2:$B$201=$B465),0)),IFERROR(INDEX(EXCEPCIONES_FECHA!$E$2:$E$201,MATCH(1,(EXCEPCIONES_FECHA!$A$2:$A$201=$A465)*(EXCEPCIONES_FECHA!$B$2:$B$201=""),0)),IFERROR(INDEX(IF($I465="FIN",HISTORIAL_HORARIOS!$K$2:$K$201,HISTORIAL_HORARIOS!$G$2:$G$201),MATCH(1,(HISTORIAL_HORARIOS!$A$2:$A$201=$B465)*(HISTORIAL_HORARIOS!$C$2:$C$201&lt;=$A465)*(HISTORIAL_HORARIOS!$D$2:$D$201&gt;=$A465),0)),INDEX(IF($I465="FIN",PERSONAL!$K$2:$K$80,PERSONAL!$G$2:$G$80),MATCH($B465,PERSONAL!$A$2:$A$80,0)))))</f>
        <v/>
      </c>
      <c r="O465" s="53">
        <f t="array" ref="O465">IFERROR(INDEX(EXCEPCIONES_FECHA!$F$2:$F$201,MATCH(1,(EXCEPCIONES_FECHA!$A$2:$A$201=$A465)*(EXCEPCIONES_FECHA!$B$2:$B$201=$B465),0)),IFERROR(INDEX(EXCEPCIONES_FECHA!$F$2:$F$201,MATCH(1,(EXCEPCIONES_FECHA!$A$2:$A$201=$A465)*(EXCEPCIONES_FECHA!$B$2:$B$201=""),0)),IFERROR(INDEX(IF($I465="FIN",HISTORIAL_HORARIOS!$L$2:$L$201,HISTORIAL_HORARIOS!$H$2:$H$201),MATCH(1,(HISTORIAL_HORARIOS!$A$2:$A$201=$B465)*(HISTORIAL_HORARIOS!$C$2:$C$201&lt;=$A465)*(HISTORIAL_HORARIOS!$D$2:$D$201&gt;=$A465),0)),INDEX(IF($I465="FIN",PERSONAL!$L$2:$L$80,PERSONAL!$H$2:$H$80),MATCH($B465,PERSONAL!$A$2:$A$80,0)))))</f>
        <v/>
      </c>
    </row>
    <row r="466" ht="15" customHeight="1" s="58">
      <c r="A466" s="37" t="n"/>
      <c r="B466" s="38" t="n"/>
      <c r="C466" s="39" t="n"/>
      <c r="D466" s="39" t="n"/>
      <c r="E466" s="34">
        <f t="array" ref="E466">IF($B466="","",IFERROR(INDEX(PERSONAL!$B$2:$B$80,MATCH($B466,PERSONAL!$A$2:$A$80,0)),"NO EXISTE"))</f>
        <v/>
      </c>
      <c r="F466" s="52">
        <f t="array" ref="F466">IF($B466="","",IFERROR(INDEX(PERSONAL!$C$2:$C$80,MATCH($B466,PERSONAL!$A$2:$A$80,0)),""))</f>
        <v/>
      </c>
      <c r="G466" s="52">
        <f>IF($A466="","",CHOOSE(WEEKDAY($A466,2),"LUNES","MARTES","MIÉRCOLES","JUEVES","VIERNES","SÁBADO","DOMINGO"))</f>
        <v/>
      </c>
      <c r="H466" s="34">
        <f>IF($A466="","",CHOOSE(MONTH($A466),"ENERO","FEBRERO","MARZO","ABRIL","MAYO","JUNIO","JULIO","AGOSTO","SEPTIEMBRE","OCTUBRE","NOVIEMBRE","DICIEMBRE"))</f>
        <v/>
      </c>
      <c r="I466" s="34">
        <f>IF($A466="","",IF(OR($G466="SÁBADO",$G466="DOMINGO"),"FIN","LV"))</f>
        <v/>
      </c>
      <c r="J466" s="34">
        <f>IF(OR($A466="",$B466=""),"",IF($L466&lt;&gt;"",UPPER($L466),IF($C466="","FALTA",IFERROR(IF($C466&gt;=$O466,"ROJO FUERTE",IF($C466&gt;=$N466,"ROJO",IF($C466&gt;=$M466,"AMARILLO","VERDE"))),"REVISAR"))))</f>
        <v/>
      </c>
      <c r="K466" s="36">
        <f>IF(OR($C466="",$D466=""),"",IF($D466&gt;=$C466,($D466-$C466)*24,(1-$C466+$D466)*24))</f>
        <v/>
      </c>
      <c r="L466" s="34" t="n"/>
      <c r="M466" s="53">
        <f t="array" ref="M466">IFERROR(INDEX(EXCEPCIONES_FECHA!$D$2:$D$201,MATCH(1,(EXCEPCIONES_FECHA!$A$2:$A$201=$A466)*(EXCEPCIONES_FECHA!$B$2:$B$201=$B466),0)),IFERROR(INDEX(EXCEPCIONES_FECHA!$D$2:$D$201,MATCH(1,(EXCEPCIONES_FECHA!$A$2:$A$201=$A466)*(EXCEPCIONES_FECHA!$B$2:$B$201=""),0)),IFERROR(INDEX(IF($I466="FIN",HISTORIAL_HORARIOS!$J$2:$J$201,HISTORIAL_HORARIOS!$F$2:$F$201),MATCH(1,(HISTORIAL_HORARIOS!$A$2:$A$201=$B466)*(HISTORIAL_HORARIOS!$C$2:$C$201&lt;=$A466)*(HISTORIAL_HORARIOS!$D$2:$D$201&gt;=$A466),0)),INDEX(IF($I466="FIN",PERSONAL!$J$2:$J$80,PERSONAL!$F$2:$F$80),MATCH($B466,PERSONAL!$A$2:$A$80,0)))))</f>
        <v/>
      </c>
      <c r="N466" s="53">
        <f t="array" ref="N466">IFERROR(INDEX(EXCEPCIONES_FECHA!$E$2:$E$201,MATCH(1,(EXCEPCIONES_FECHA!$A$2:$A$201=$A466)*(EXCEPCIONES_FECHA!$B$2:$B$201=$B466),0)),IFERROR(INDEX(EXCEPCIONES_FECHA!$E$2:$E$201,MATCH(1,(EXCEPCIONES_FECHA!$A$2:$A$201=$A466)*(EXCEPCIONES_FECHA!$B$2:$B$201=""),0)),IFERROR(INDEX(IF($I466="FIN",HISTORIAL_HORARIOS!$K$2:$K$201,HISTORIAL_HORARIOS!$G$2:$G$201),MATCH(1,(HISTORIAL_HORARIOS!$A$2:$A$201=$B466)*(HISTORIAL_HORARIOS!$C$2:$C$201&lt;=$A466)*(HISTORIAL_HORARIOS!$D$2:$D$201&gt;=$A466),0)),INDEX(IF($I466="FIN",PERSONAL!$K$2:$K$80,PERSONAL!$G$2:$G$80),MATCH($B466,PERSONAL!$A$2:$A$80,0)))))</f>
        <v/>
      </c>
      <c r="O466" s="53">
        <f t="array" ref="O466">IFERROR(INDEX(EXCEPCIONES_FECHA!$F$2:$F$201,MATCH(1,(EXCEPCIONES_FECHA!$A$2:$A$201=$A466)*(EXCEPCIONES_FECHA!$B$2:$B$201=$B466),0)),IFERROR(INDEX(EXCEPCIONES_FECHA!$F$2:$F$201,MATCH(1,(EXCEPCIONES_FECHA!$A$2:$A$201=$A466)*(EXCEPCIONES_FECHA!$B$2:$B$201=""),0)),IFERROR(INDEX(IF($I466="FIN",HISTORIAL_HORARIOS!$L$2:$L$201,HISTORIAL_HORARIOS!$H$2:$H$201),MATCH(1,(HISTORIAL_HORARIOS!$A$2:$A$201=$B466)*(HISTORIAL_HORARIOS!$C$2:$C$201&lt;=$A466)*(HISTORIAL_HORARIOS!$D$2:$D$201&gt;=$A466),0)),INDEX(IF($I466="FIN",PERSONAL!$L$2:$L$80,PERSONAL!$H$2:$H$80),MATCH($B466,PERSONAL!$A$2:$A$80,0)))))</f>
        <v/>
      </c>
    </row>
    <row r="467" ht="15" customHeight="1" s="58">
      <c r="A467" s="37" t="n"/>
      <c r="B467" s="38" t="n"/>
      <c r="C467" s="39" t="n"/>
      <c r="D467" s="39" t="n"/>
      <c r="E467" s="34">
        <f t="array" ref="E467">IF($B467="","",IFERROR(INDEX(PERSONAL!$B$2:$B$80,MATCH($B467,PERSONAL!$A$2:$A$80,0)),"NO EXISTE"))</f>
        <v/>
      </c>
      <c r="F467" s="52">
        <f t="array" ref="F467">IF($B467="","",IFERROR(INDEX(PERSONAL!$C$2:$C$80,MATCH($B467,PERSONAL!$A$2:$A$80,0)),""))</f>
        <v/>
      </c>
      <c r="G467" s="52">
        <f>IF($A467="","",CHOOSE(WEEKDAY($A467,2),"LUNES","MARTES","MIÉRCOLES","JUEVES","VIERNES","SÁBADO","DOMINGO"))</f>
        <v/>
      </c>
      <c r="H467" s="34">
        <f>IF($A467="","",CHOOSE(MONTH($A467),"ENERO","FEBRERO","MARZO","ABRIL","MAYO","JUNIO","JULIO","AGOSTO","SEPTIEMBRE","OCTUBRE","NOVIEMBRE","DICIEMBRE"))</f>
        <v/>
      </c>
      <c r="I467" s="34">
        <f>IF($A467="","",IF(OR($G467="SÁBADO",$G467="DOMINGO"),"FIN","LV"))</f>
        <v/>
      </c>
      <c r="J467" s="34">
        <f>IF(OR($A467="",$B467=""),"",IF($L467&lt;&gt;"",UPPER($L467),IF($C467="","FALTA",IFERROR(IF($C467&gt;=$O467,"ROJO FUERTE",IF($C467&gt;=$N467,"ROJO",IF($C467&gt;=$M467,"AMARILLO","VERDE"))),"REVISAR"))))</f>
        <v/>
      </c>
      <c r="K467" s="36">
        <f>IF(OR($C467="",$D467=""),"",IF($D467&gt;=$C467,($D467-$C467)*24,(1-$C467+$D467)*24))</f>
        <v/>
      </c>
      <c r="L467" s="34" t="n"/>
      <c r="M467" s="53">
        <f t="array" ref="M467">IFERROR(INDEX(EXCEPCIONES_FECHA!$D$2:$D$201,MATCH(1,(EXCEPCIONES_FECHA!$A$2:$A$201=$A467)*(EXCEPCIONES_FECHA!$B$2:$B$201=$B467),0)),IFERROR(INDEX(EXCEPCIONES_FECHA!$D$2:$D$201,MATCH(1,(EXCEPCIONES_FECHA!$A$2:$A$201=$A467)*(EXCEPCIONES_FECHA!$B$2:$B$201=""),0)),IFERROR(INDEX(IF($I467="FIN",HISTORIAL_HORARIOS!$J$2:$J$201,HISTORIAL_HORARIOS!$F$2:$F$201),MATCH(1,(HISTORIAL_HORARIOS!$A$2:$A$201=$B467)*(HISTORIAL_HORARIOS!$C$2:$C$201&lt;=$A467)*(HISTORIAL_HORARIOS!$D$2:$D$201&gt;=$A467),0)),INDEX(IF($I467="FIN",PERSONAL!$J$2:$J$80,PERSONAL!$F$2:$F$80),MATCH($B467,PERSONAL!$A$2:$A$80,0)))))</f>
        <v/>
      </c>
      <c r="N467" s="53">
        <f t="array" ref="N467">IFERROR(INDEX(EXCEPCIONES_FECHA!$E$2:$E$201,MATCH(1,(EXCEPCIONES_FECHA!$A$2:$A$201=$A467)*(EXCEPCIONES_FECHA!$B$2:$B$201=$B467),0)),IFERROR(INDEX(EXCEPCIONES_FECHA!$E$2:$E$201,MATCH(1,(EXCEPCIONES_FECHA!$A$2:$A$201=$A467)*(EXCEPCIONES_FECHA!$B$2:$B$201=""),0)),IFERROR(INDEX(IF($I467="FIN",HISTORIAL_HORARIOS!$K$2:$K$201,HISTORIAL_HORARIOS!$G$2:$G$201),MATCH(1,(HISTORIAL_HORARIOS!$A$2:$A$201=$B467)*(HISTORIAL_HORARIOS!$C$2:$C$201&lt;=$A467)*(HISTORIAL_HORARIOS!$D$2:$D$201&gt;=$A467),0)),INDEX(IF($I467="FIN",PERSONAL!$K$2:$K$80,PERSONAL!$G$2:$G$80),MATCH($B467,PERSONAL!$A$2:$A$80,0)))))</f>
        <v/>
      </c>
      <c r="O467" s="53">
        <f t="array" ref="O467">IFERROR(INDEX(EXCEPCIONES_FECHA!$F$2:$F$201,MATCH(1,(EXCEPCIONES_FECHA!$A$2:$A$201=$A467)*(EXCEPCIONES_FECHA!$B$2:$B$201=$B467),0)),IFERROR(INDEX(EXCEPCIONES_FECHA!$F$2:$F$201,MATCH(1,(EXCEPCIONES_FECHA!$A$2:$A$201=$A467)*(EXCEPCIONES_FECHA!$B$2:$B$201=""),0)),IFERROR(INDEX(IF($I467="FIN",HISTORIAL_HORARIOS!$L$2:$L$201,HISTORIAL_HORARIOS!$H$2:$H$201),MATCH(1,(HISTORIAL_HORARIOS!$A$2:$A$201=$B467)*(HISTORIAL_HORARIOS!$C$2:$C$201&lt;=$A467)*(HISTORIAL_HORARIOS!$D$2:$D$201&gt;=$A467),0)),INDEX(IF($I467="FIN",PERSONAL!$L$2:$L$80,PERSONAL!$H$2:$H$80),MATCH($B467,PERSONAL!$A$2:$A$80,0)))))</f>
        <v/>
      </c>
    </row>
    <row r="468" ht="15" customHeight="1" s="58">
      <c r="A468" s="37" t="n"/>
      <c r="B468" s="38" t="n"/>
      <c r="C468" s="39" t="n"/>
      <c r="D468" s="39" t="n"/>
      <c r="E468" s="34">
        <f t="array" ref="E468">IF($B468="","",IFERROR(INDEX(PERSONAL!$B$2:$B$80,MATCH($B468,PERSONAL!$A$2:$A$80,0)),"NO EXISTE"))</f>
        <v/>
      </c>
      <c r="F468" s="52">
        <f t="array" ref="F468">IF($B468="","",IFERROR(INDEX(PERSONAL!$C$2:$C$80,MATCH($B468,PERSONAL!$A$2:$A$80,0)),""))</f>
        <v/>
      </c>
      <c r="G468" s="52">
        <f>IF($A468="","",CHOOSE(WEEKDAY($A468,2),"LUNES","MARTES","MIÉRCOLES","JUEVES","VIERNES","SÁBADO","DOMINGO"))</f>
        <v/>
      </c>
      <c r="H468" s="34">
        <f>IF($A468="","",CHOOSE(MONTH($A468),"ENERO","FEBRERO","MARZO","ABRIL","MAYO","JUNIO","JULIO","AGOSTO","SEPTIEMBRE","OCTUBRE","NOVIEMBRE","DICIEMBRE"))</f>
        <v/>
      </c>
      <c r="I468" s="34">
        <f>IF($A468="","",IF(OR($G468="SÁBADO",$G468="DOMINGO"),"FIN","LV"))</f>
        <v/>
      </c>
      <c r="J468" s="34">
        <f>IF(OR($A468="",$B468=""),"",IF($L468&lt;&gt;"",UPPER($L468),IF($C468="","FALTA",IFERROR(IF($C468&gt;=$O468,"ROJO FUERTE",IF($C468&gt;=$N468,"ROJO",IF($C468&gt;=$M468,"AMARILLO","VERDE"))),"REVISAR"))))</f>
        <v/>
      </c>
      <c r="K468" s="36">
        <f>IF(OR($C468="",$D468=""),"",IF($D468&gt;=$C468,($D468-$C468)*24,(1-$C468+$D468)*24))</f>
        <v/>
      </c>
      <c r="L468" s="34" t="n"/>
      <c r="M468" s="53">
        <f t="array" ref="M468">IFERROR(INDEX(EXCEPCIONES_FECHA!$D$2:$D$201,MATCH(1,(EXCEPCIONES_FECHA!$A$2:$A$201=$A468)*(EXCEPCIONES_FECHA!$B$2:$B$201=$B468),0)),IFERROR(INDEX(EXCEPCIONES_FECHA!$D$2:$D$201,MATCH(1,(EXCEPCIONES_FECHA!$A$2:$A$201=$A468)*(EXCEPCIONES_FECHA!$B$2:$B$201=""),0)),IFERROR(INDEX(IF($I468="FIN",HISTORIAL_HORARIOS!$J$2:$J$201,HISTORIAL_HORARIOS!$F$2:$F$201),MATCH(1,(HISTORIAL_HORARIOS!$A$2:$A$201=$B468)*(HISTORIAL_HORARIOS!$C$2:$C$201&lt;=$A468)*(HISTORIAL_HORARIOS!$D$2:$D$201&gt;=$A468),0)),INDEX(IF($I468="FIN",PERSONAL!$J$2:$J$80,PERSONAL!$F$2:$F$80),MATCH($B468,PERSONAL!$A$2:$A$80,0)))))</f>
        <v/>
      </c>
      <c r="N468" s="53">
        <f t="array" ref="N468">IFERROR(INDEX(EXCEPCIONES_FECHA!$E$2:$E$201,MATCH(1,(EXCEPCIONES_FECHA!$A$2:$A$201=$A468)*(EXCEPCIONES_FECHA!$B$2:$B$201=$B468),0)),IFERROR(INDEX(EXCEPCIONES_FECHA!$E$2:$E$201,MATCH(1,(EXCEPCIONES_FECHA!$A$2:$A$201=$A468)*(EXCEPCIONES_FECHA!$B$2:$B$201=""),0)),IFERROR(INDEX(IF($I468="FIN",HISTORIAL_HORARIOS!$K$2:$K$201,HISTORIAL_HORARIOS!$G$2:$G$201),MATCH(1,(HISTORIAL_HORARIOS!$A$2:$A$201=$B468)*(HISTORIAL_HORARIOS!$C$2:$C$201&lt;=$A468)*(HISTORIAL_HORARIOS!$D$2:$D$201&gt;=$A468),0)),INDEX(IF($I468="FIN",PERSONAL!$K$2:$K$80,PERSONAL!$G$2:$G$80),MATCH($B468,PERSONAL!$A$2:$A$80,0)))))</f>
        <v/>
      </c>
      <c r="O468" s="53">
        <f t="array" ref="O468">IFERROR(INDEX(EXCEPCIONES_FECHA!$F$2:$F$201,MATCH(1,(EXCEPCIONES_FECHA!$A$2:$A$201=$A468)*(EXCEPCIONES_FECHA!$B$2:$B$201=$B468),0)),IFERROR(INDEX(EXCEPCIONES_FECHA!$F$2:$F$201,MATCH(1,(EXCEPCIONES_FECHA!$A$2:$A$201=$A468)*(EXCEPCIONES_FECHA!$B$2:$B$201=""),0)),IFERROR(INDEX(IF($I468="FIN",HISTORIAL_HORARIOS!$L$2:$L$201,HISTORIAL_HORARIOS!$H$2:$H$201),MATCH(1,(HISTORIAL_HORARIOS!$A$2:$A$201=$B468)*(HISTORIAL_HORARIOS!$C$2:$C$201&lt;=$A468)*(HISTORIAL_HORARIOS!$D$2:$D$201&gt;=$A468),0)),INDEX(IF($I468="FIN",PERSONAL!$L$2:$L$80,PERSONAL!$H$2:$H$80),MATCH($B468,PERSONAL!$A$2:$A$80,0)))))</f>
        <v/>
      </c>
    </row>
    <row r="469" ht="15" customHeight="1" s="58">
      <c r="A469" s="37" t="n"/>
      <c r="B469" s="38" t="n"/>
      <c r="C469" s="39" t="n"/>
      <c r="D469" s="39" t="n"/>
      <c r="E469" s="34">
        <f t="array" ref="E469">IF($B469="","",IFERROR(INDEX(PERSONAL!$B$2:$B$80,MATCH($B469,PERSONAL!$A$2:$A$80,0)),"NO EXISTE"))</f>
        <v/>
      </c>
      <c r="F469" s="52">
        <f t="array" ref="F469">IF($B469="","",IFERROR(INDEX(PERSONAL!$C$2:$C$80,MATCH($B469,PERSONAL!$A$2:$A$80,0)),""))</f>
        <v/>
      </c>
      <c r="G469" s="52">
        <f>IF($A469="","",CHOOSE(WEEKDAY($A469,2),"LUNES","MARTES","MIÉRCOLES","JUEVES","VIERNES","SÁBADO","DOMINGO"))</f>
        <v/>
      </c>
      <c r="H469" s="34">
        <f>IF($A469="","",CHOOSE(MONTH($A469),"ENERO","FEBRERO","MARZO","ABRIL","MAYO","JUNIO","JULIO","AGOSTO","SEPTIEMBRE","OCTUBRE","NOVIEMBRE","DICIEMBRE"))</f>
        <v/>
      </c>
      <c r="I469" s="34">
        <f>IF($A469="","",IF(OR($G469="SÁBADO",$G469="DOMINGO"),"FIN","LV"))</f>
        <v/>
      </c>
      <c r="J469" s="34">
        <f>IF(OR($A469="",$B469=""),"",IF($L469&lt;&gt;"",UPPER($L469),IF($C469="","FALTA",IFERROR(IF($C469&gt;=$O469,"ROJO FUERTE",IF($C469&gt;=$N469,"ROJO",IF($C469&gt;=$M469,"AMARILLO","VERDE"))),"REVISAR"))))</f>
        <v/>
      </c>
      <c r="K469" s="36">
        <f>IF(OR($C469="",$D469=""),"",IF($D469&gt;=$C469,($D469-$C469)*24,(1-$C469+$D469)*24))</f>
        <v/>
      </c>
      <c r="L469" s="34" t="n"/>
      <c r="M469" s="53">
        <f t="array" ref="M469">IFERROR(INDEX(EXCEPCIONES_FECHA!$D$2:$D$201,MATCH(1,(EXCEPCIONES_FECHA!$A$2:$A$201=$A469)*(EXCEPCIONES_FECHA!$B$2:$B$201=$B469),0)),IFERROR(INDEX(EXCEPCIONES_FECHA!$D$2:$D$201,MATCH(1,(EXCEPCIONES_FECHA!$A$2:$A$201=$A469)*(EXCEPCIONES_FECHA!$B$2:$B$201=""),0)),IFERROR(INDEX(IF($I469="FIN",HISTORIAL_HORARIOS!$J$2:$J$201,HISTORIAL_HORARIOS!$F$2:$F$201),MATCH(1,(HISTORIAL_HORARIOS!$A$2:$A$201=$B469)*(HISTORIAL_HORARIOS!$C$2:$C$201&lt;=$A469)*(HISTORIAL_HORARIOS!$D$2:$D$201&gt;=$A469),0)),INDEX(IF($I469="FIN",PERSONAL!$J$2:$J$80,PERSONAL!$F$2:$F$80),MATCH($B469,PERSONAL!$A$2:$A$80,0)))))</f>
        <v/>
      </c>
      <c r="N469" s="53">
        <f t="array" ref="N469">IFERROR(INDEX(EXCEPCIONES_FECHA!$E$2:$E$201,MATCH(1,(EXCEPCIONES_FECHA!$A$2:$A$201=$A469)*(EXCEPCIONES_FECHA!$B$2:$B$201=$B469),0)),IFERROR(INDEX(EXCEPCIONES_FECHA!$E$2:$E$201,MATCH(1,(EXCEPCIONES_FECHA!$A$2:$A$201=$A469)*(EXCEPCIONES_FECHA!$B$2:$B$201=""),0)),IFERROR(INDEX(IF($I469="FIN",HISTORIAL_HORARIOS!$K$2:$K$201,HISTORIAL_HORARIOS!$G$2:$G$201),MATCH(1,(HISTORIAL_HORARIOS!$A$2:$A$201=$B469)*(HISTORIAL_HORARIOS!$C$2:$C$201&lt;=$A469)*(HISTORIAL_HORARIOS!$D$2:$D$201&gt;=$A469),0)),INDEX(IF($I469="FIN",PERSONAL!$K$2:$K$80,PERSONAL!$G$2:$G$80),MATCH($B469,PERSONAL!$A$2:$A$80,0)))))</f>
        <v/>
      </c>
      <c r="O469" s="53">
        <f t="array" ref="O469">IFERROR(INDEX(EXCEPCIONES_FECHA!$F$2:$F$201,MATCH(1,(EXCEPCIONES_FECHA!$A$2:$A$201=$A469)*(EXCEPCIONES_FECHA!$B$2:$B$201=$B469),0)),IFERROR(INDEX(EXCEPCIONES_FECHA!$F$2:$F$201,MATCH(1,(EXCEPCIONES_FECHA!$A$2:$A$201=$A469)*(EXCEPCIONES_FECHA!$B$2:$B$201=""),0)),IFERROR(INDEX(IF($I469="FIN",HISTORIAL_HORARIOS!$L$2:$L$201,HISTORIAL_HORARIOS!$H$2:$H$201),MATCH(1,(HISTORIAL_HORARIOS!$A$2:$A$201=$B469)*(HISTORIAL_HORARIOS!$C$2:$C$201&lt;=$A469)*(HISTORIAL_HORARIOS!$D$2:$D$201&gt;=$A469),0)),INDEX(IF($I469="FIN",PERSONAL!$L$2:$L$80,PERSONAL!$H$2:$H$80),MATCH($B469,PERSONAL!$A$2:$A$80,0)))))</f>
        <v/>
      </c>
    </row>
    <row r="470" ht="15" customHeight="1" s="58">
      <c r="A470" s="37" t="n"/>
      <c r="B470" s="38" t="n"/>
      <c r="C470" s="39" t="n"/>
      <c r="D470" s="39" t="n"/>
      <c r="E470" s="34">
        <f t="array" ref="E470">IF($B470="","",IFERROR(INDEX(PERSONAL!$B$2:$B$80,MATCH($B470,PERSONAL!$A$2:$A$80,0)),"NO EXISTE"))</f>
        <v/>
      </c>
      <c r="F470" s="52">
        <f t="array" ref="F470">IF($B470="","",IFERROR(INDEX(PERSONAL!$C$2:$C$80,MATCH($B470,PERSONAL!$A$2:$A$80,0)),""))</f>
        <v/>
      </c>
      <c r="G470" s="52">
        <f>IF($A470="","",CHOOSE(WEEKDAY($A470,2),"LUNES","MARTES","MIÉRCOLES","JUEVES","VIERNES","SÁBADO","DOMINGO"))</f>
        <v/>
      </c>
      <c r="H470" s="34">
        <f>IF($A470="","",CHOOSE(MONTH($A470),"ENERO","FEBRERO","MARZO","ABRIL","MAYO","JUNIO","JULIO","AGOSTO","SEPTIEMBRE","OCTUBRE","NOVIEMBRE","DICIEMBRE"))</f>
        <v/>
      </c>
      <c r="I470" s="34">
        <f>IF($A470="","",IF(OR($G470="SÁBADO",$G470="DOMINGO"),"FIN","LV"))</f>
        <v/>
      </c>
      <c r="J470" s="34">
        <f>IF(OR($A470="",$B470=""),"",IF($L470&lt;&gt;"",UPPER($L470),IF($C470="","FALTA",IFERROR(IF($C470&gt;=$O470,"ROJO FUERTE",IF($C470&gt;=$N470,"ROJO",IF($C470&gt;=$M470,"AMARILLO","VERDE"))),"REVISAR"))))</f>
        <v/>
      </c>
      <c r="K470" s="36">
        <f>IF(OR($C470="",$D470=""),"",IF($D470&gt;=$C470,($D470-$C470)*24,(1-$C470+$D470)*24))</f>
        <v/>
      </c>
      <c r="L470" s="34" t="n"/>
      <c r="M470" s="53">
        <f t="array" ref="M470">IFERROR(INDEX(EXCEPCIONES_FECHA!$D$2:$D$201,MATCH(1,(EXCEPCIONES_FECHA!$A$2:$A$201=$A470)*(EXCEPCIONES_FECHA!$B$2:$B$201=$B470),0)),IFERROR(INDEX(EXCEPCIONES_FECHA!$D$2:$D$201,MATCH(1,(EXCEPCIONES_FECHA!$A$2:$A$201=$A470)*(EXCEPCIONES_FECHA!$B$2:$B$201=""),0)),IFERROR(INDEX(IF($I470="FIN",HISTORIAL_HORARIOS!$J$2:$J$201,HISTORIAL_HORARIOS!$F$2:$F$201),MATCH(1,(HISTORIAL_HORARIOS!$A$2:$A$201=$B470)*(HISTORIAL_HORARIOS!$C$2:$C$201&lt;=$A470)*(HISTORIAL_HORARIOS!$D$2:$D$201&gt;=$A470),0)),INDEX(IF($I470="FIN",PERSONAL!$J$2:$J$80,PERSONAL!$F$2:$F$80),MATCH($B470,PERSONAL!$A$2:$A$80,0)))))</f>
        <v/>
      </c>
      <c r="N470" s="53">
        <f t="array" ref="N470">IFERROR(INDEX(EXCEPCIONES_FECHA!$E$2:$E$201,MATCH(1,(EXCEPCIONES_FECHA!$A$2:$A$201=$A470)*(EXCEPCIONES_FECHA!$B$2:$B$201=$B470),0)),IFERROR(INDEX(EXCEPCIONES_FECHA!$E$2:$E$201,MATCH(1,(EXCEPCIONES_FECHA!$A$2:$A$201=$A470)*(EXCEPCIONES_FECHA!$B$2:$B$201=""),0)),IFERROR(INDEX(IF($I470="FIN",HISTORIAL_HORARIOS!$K$2:$K$201,HISTORIAL_HORARIOS!$G$2:$G$201),MATCH(1,(HISTORIAL_HORARIOS!$A$2:$A$201=$B470)*(HISTORIAL_HORARIOS!$C$2:$C$201&lt;=$A470)*(HISTORIAL_HORARIOS!$D$2:$D$201&gt;=$A470),0)),INDEX(IF($I470="FIN",PERSONAL!$K$2:$K$80,PERSONAL!$G$2:$G$80),MATCH($B470,PERSONAL!$A$2:$A$80,0)))))</f>
        <v/>
      </c>
      <c r="O470" s="53">
        <f t="array" ref="O470">IFERROR(INDEX(EXCEPCIONES_FECHA!$F$2:$F$201,MATCH(1,(EXCEPCIONES_FECHA!$A$2:$A$201=$A470)*(EXCEPCIONES_FECHA!$B$2:$B$201=$B470),0)),IFERROR(INDEX(EXCEPCIONES_FECHA!$F$2:$F$201,MATCH(1,(EXCEPCIONES_FECHA!$A$2:$A$201=$A470)*(EXCEPCIONES_FECHA!$B$2:$B$201=""),0)),IFERROR(INDEX(IF($I470="FIN",HISTORIAL_HORARIOS!$L$2:$L$201,HISTORIAL_HORARIOS!$H$2:$H$201),MATCH(1,(HISTORIAL_HORARIOS!$A$2:$A$201=$B470)*(HISTORIAL_HORARIOS!$C$2:$C$201&lt;=$A470)*(HISTORIAL_HORARIOS!$D$2:$D$201&gt;=$A470),0)),INDEX(IF($I470="FIN",PERSONAL!$L$2:$L$80,PERSONAL!$H$2:$H$80),MATCH($B470,PERSONAL!$A$2:$A$80,0)))))</f>
        <v/>
      </c>
    </row>
    <row r="471" ht="15" customHeight="1" s="58">
      <c r="A471" s="37" t="n"/>
      <c r="B471" s="38" t="n"/>
      <c r="C471" s="39" t="n"/>
      <c r="D471" s="39" t="n"/>
      <c r="E471" s="34">
        <f t="array" ref="E471">IF($B471="","",IFERROR(INDEX(PERSONAL!$B$2:$B$80,MATCH($B471,PERSONAL!$A$2:$A$80,0)),"NO EXISTE"))</f>
        <v/>
      </c>
      <c r="F471" s="52">
        <f t="array" ref="F471">IF($B471="","",IFERROR(INDEX(PERSONAL!$C$2:$C$80,MATCH($B471,PERSONAL!$A$2:$A$80,0)),""))</f>
        <v/>
      </c>
      <c r="G471" s="52">
        <f>IF($A471="","",CHOOSE(WEEKDAY($A471,2),"LUNES","MARTES","MIÉRCOLES","JUEVES","VIERNES","SÁBADO","DOMINGO"))</f>
        <v/>
      </c>
      <c r="H471" s="34">
        <f>IF($A471="","",CHOOSE(MONTH($A471),"ENERO","FEBRERO","MARZO","ABRIL","MAYO","JUNIO","JULIO","AGOSTO","SEPTIEMBRE","OCTUBRE","NOVIEMBRE","DICIEMBRE"))</f>
        <v/>
      </c>
      <c r="I471" s="34">
        <f>IF($A471="","",IF(OR($G471="SÁBADO",$G471="DOMINGO"),"FIN","LV"))</f>
        <v/>
      </c>
      <c r="J471" s="34">
        <f>IF(OR($A471="",$B471=""),"",IF($L471&lt;&gt;"",UPPER($L471),IF($C471="","FALTA",IFERROR(IF($C471&gt;=$O471,"ROJO FUERTE",IF($C471&gt;=$N471,"ROJO",IF($C471&gt;=$M471,"AMARILLO","VERDE"))),"REVISAR"))))</f>
        <v/>
      </c>
      <c r="K471" s="36">
        <f>IF(OR($C471="",$D471=""),"",IF($D471&gt;=$C471,($D471-$C471)*24,(1-$C471+$D471)*24))</f>
        <v/>
      </c>
      <c r="L471" s="34" t="n"/>
      <c r="M471" s="53">
        <f t="array" ref="M471">IFERROR(INDEX(EXCEPCIONES_FECHA!$D$2:$D$201,MATCH(1,(EXCEPCIONES_FECHA!$A$2:$A$201=$A471)*(EXCEPCIONES_FECHA!$B$2:$B$201=$B471),0)),IFERROR(INDEX(EXCEPCIONES_FECHA!$D$2:$D$201,MATCH(1,(EXCEPCIONES_FECHA!$A$2:$A$201=$A471)*(EXCEPCIONES_FECHA!$B$2:$B$201=""),0)),IFERROR(INDEX(IF($I471="FIN",HISTORIAL_HORARIOS!$J$2:$J$201,HISTORIAL_HORARIOS!$F$2:$F$201),MATCH(1,(HISTORIAL_HORARIOS!$A$2:$A$201=$B471)*(HISTORIAL_HORARIOS!$C$2:$C$201&lt;=$A471)*(HISTORIAL_HORARIOS!$D$2:$D$201&gt;=$A471),0)),INDEX(IF($I471="FIN",PERSONAL!$J$2:$J$80,PERSONAL!$F$2:$F$80),MATCH($B471,PERSONAL!$A$2:$A$80,0)))))</f>
        <v/>
      </c>
      <c r="N471" s="53">
        <f t="array" ref="N471">IFERROR(INDEX(EXCEPCIONES_FECHA!$E$2:$E$201,MATCH(1,(EXCEPCIONES_FECHA!$A$2:$A$201=$A471)*(EXCEPCIONES_FECHA!$B$2:$B$201=$B471),0)),IFERROR(INDEX(EXCEPCIONES_FECHA!$E$2:$E$201,MATCH(1,(EXCEPCIONES_FECHA!$A$2:$A$201=$A471)*(EXCEPCIONES_FECHA!$B$2:$B$201=""),0)),IFERROR(INDEX(IF($I471="FIN",HISTORIAL_HORARIOS!$K$2:$K$201,HISTORIAL_HORARIOS!$G$2:$G$201),MATCH(1,(HISTORIAL_HORARIOS!$A$2:$A$201=$B471)*(HISTORIAL_HORARIOS!$C$2:$C$201&lt;=$A471)*(HISTORIAL_HORARIOS!$D$2:$D$201&gt;=$A471),0)),INDEX(IF($I471="FIN",PERSONAL!$K$2:$K$80,PERSONAL!$G$2:$G$80),MATCH($B471,PERSONAL!$A$2:$A$80,0)))))</f>
        <v/>
      </c>
      <c r="O471" s="53">
        <f t="array" ref="O471">IFERROR(INDEX(EXCEPCIONES_FECHA!$F$2:$F$201,MATCH(1,(EXCEPCIONES_FECHA!$A$2:$A$201=$A471)*(EXCEPCIONES_FECHA!$B$2:$B$201=$B471),0)),IFERROR(INDEX(EXCEPCIONES_FECHA!$F$2:$F$201,MATCH(1,(EXCEPCIONES_FECHA!$A$2:$A$201=$A471)*(EXCEPCIONES_FECHA!$B$2:$B$201=""),0)),IFERROR(INDEX(IF($I471="FIN",HISTORIAL_HORARIOS!$L$2:$L$201,HISTORIAL_HORARIOS!$H$2:$H$201),MATCH(1,(HISTORIAL_HORARIOS!$A$2:$A$201=$B471)*(HISTORIAL_HORARIOS!$C$2:$C$201&lt;=$A471)*(HISTORIAL_HORARIOS!$D$2:$D$201&gt;=$A471),0)),INDEX(IF($I471="FIN",PERSONAL!$L$2:$L$80,PERSONAL!$H$2:$H$80),MATCH($B471,PERSONAL!$A$2:$A$80,0)))))</f>
        <v/>
      </c>
    </row>
    <row r="472" ht="15" customHeight="1" s="58">
      <c r="A472" s="37" t="n"/>
      <c r="B472" s="38" t="n"/>
      <c r="C472" s="39" t="n"/>
      <c r="D472" s="39" t="n"/>
      <c r="E472" s="34">
        <f t="array" ref="E472">IF($B472="","",IFERROR(INDEX(PERSONAL!$B$2:$B$80,MATCH($B472,PERSONAL!$A$2:$A$80,0)),"NO EXISTE"))</f>
        <v/>
      </c>
      <c r="F472" s="52">
        <f t="array" ref="F472">IF($B472="","",IFERROR(INDEX(PERSONAL!$C$2:$C$80,MATCH($B472,PERSONAL!$A$2:$A$80,0)),""))</f>
        <v/>
      </c>
      <c r="G472" s="52">
        <f>IF($A472="","",CHOOSE(WEEKDAY($A472,2),"LUNES","MARTES","MIÉRCOLES","JUEVES","VIERNES","SÁBADO","DOMINGO"))</f>
        <v/>
      </c>
      <c r="H472" s="34">
        <f>IF($A472="","",CHOOSE(MONTH($A472),"ENERO","FEBRERO","MARZO","ABRIL","MAYO","JUNIO","JULIO","AGOSTO","SEPTIEMBRE","OCTUBRE","NOVIEMBRE","DICIEMBRE"))</f>
        <v/>
      </c>
      <c r="I472" s="34">
        <f>IF($A472="","",IF(OR($G472="SÁBADO",$G472="DOMINGO"),"FIN","LV"))</f>
        <v/>
      </c>
      <c r="J472" s="34">
        <f>IF(OR($A472="",$B472=""),"",IF($L472&lt;&gt;"",UPPER($L472),IF($C472="","FALTA",IFERROR(IF($C472&gt;=$O472,"ROJO FUERTE",IF($C472&gt;=$N472,"ROJO",IF($C472&gt;=$M472,"AMARILLO","VERDE"))),"REVISAR"))))</f>
        <v/>
      </c>
      <c r="K472" s="36">
        <f>IF(OR($C472="",$D472=""),"",IF($D472&gt;=$C472,($D472-$C472)*24,(1-$C472+$D472)*24))</f>
        <v/>
      </c>
      <c r="L472" s="34" t="n"/>
      <c r="M472" s="53">
        <f t="array" ref="M472">IFERROR(INDEX(EXCEPCIONES_FECHA!$D$2:$D$201,MATCH(1,(EXCEPCIONES_FECHA!$A$2:$A$201=$A472)*(EXCEPCIONES_FECHA!$B$2:$B$201=$B472),0)),IFERROR(INDEX(EXCEPCIONES_FECHA!$D$2:$D$201,MATCH(1,(EXCEPCIONES_FECHA!$A$2:$A$201=$A472)*(EXCEPCIONES_FECHA!$B$2:$B$201=""),0)),IFERROR(INDEX(IF($I472="FIN",HISTORIAL_HORARIOS!$J$2:$J$201,HISTORIAL_HORARIOS!$F$2:$F$201),MATCH(1,(HISTORIAL_HORARIOS!$A$2:$A$201=$B472)*(HISTORIAL_HORARIOS!$C$2:$C$201&lt;=$A472)*(HISTORIAL_HORARIOS!$D$2:$D$201&gt;=$A472),0)),INDEX(IF($I472="FIN",PERSONAL!$J$2:$J$80,PERSONAL!$F$2:$F$80),MATCH($B472,PERSONAL!$A$2:$A$80,0)))))</f>
        <v/>
      </c>
      <c r="N472" s="53">
        <f t="array" ref="N472">IFERROR(INDEX(EXCEPCIONES_FECHA!$E$2:$E$201,MATCH(1,(EXCEPCIONES_FECHA!$A$2:$A$201=$A472)*(EXCEPCIONES_FECHA!$B$2:$B$201=$B472),0)),IFERROR(INDEX(EXCEPCIONES_FECHA!$E$2:$E$201,MATCH(1,(EXCEPCIONES_FECHA!$A$2:$A$201=$A472)*(EXCEPCIONES_FECHA!$B$2:$B$201=""),0)),IFERROR(INDEX(IF($I472="FIN",HISTORIAL_HORARIOS!$K$2:$K$201,HISTORIAL_HORARIOS!$G$2:$G$201),MATCH(1,(HISTORIAL_HORARIOS!$A$2:$A$201=$B472)*(HISTORIAL_HORARIOS!$C$2:$C$201&lt;=$A472)*(HISTORIAL_HORARIOS!$D$2:$D$201&gt;=$A472),0)),INDEX(IF($I472="FIN",PERSONAL!$K$2:$K$80,PERSONAL!$G$2:$G$80),MATCH($B472,PERSONAL!$A$2:$A$80,0)))))</f>
        <v/>
      </c>
      <c r="O472" s="53">
        <f t="array" ref="O472">IFERROR(INDEX(EXCEPCIONES_FECHA!$F$2:$F$201,MATCH(1,(EXCEPCIONES_FECHA!$A$2:$A$201=$A472)*(EXCEPCIONES_FECHA!$B$2:$B$201=$B472),0)),IFERROR(INDEX(EXCEPCIONES_FECHA!$F$2:$F$201,MATCH(1,(EXCEPCIONES_FECHA!$A$2:$A$201=$A472)*(EXCEPCIONES_FECHA!$B$2:$B$201=""),0)),IFERROR(INDEX(IF($I472="FIN",HISTORIAL_HORARIOS!$L$2:$L$201,HISTORIAL_HORARIOS!$H$2:$H$201),MATCH(1,(HISTORIAL_HORARIOS!$A$2:$A$201=$B472)*(HISTORIAL_HORARIOS!$C$2:$C$201&lt;=$A472)*(HISTORIAL_HORARIOS!$D$2:$D$201&gt;=$A472),0)),INDEX(IF($I472="FIN",PERSONAL!$L$2:$L$80,PERSONAL!$H$2:$H$80),MATCH($B472,PERSONAL!$A$2:$A$80,0)))))</f>
        <v/>
      </c>
    </row>
    <row r="473" ht="15" customHeight="1" s="58">
      <c r="A473" s="37" t="n"/>
      <c r="B473" s="38" t="n"/>
      <c r="C473" s="39" t="n"/>
      <c r="D473" s="39" t="n"/>
      <c r="E473" s="34">
        <f t="array" ref="E473">IF($B473="","",IFERROR(INDEX(PERSONAL!$B$2:$B$80,MATCH($B473,PERSONAL!$A$2:$A$80,0)),"NO EXISTE"))</f>
        <v/>
      </c>
      <c r="F473" s="52">
        <f t="array" ref="F473">IF($B473="","",IFERROR(INDEX(PERSONAL!$C$2:$C$80,MATCH($B473,PERSONAL!$A$2:$A$80,0)),""))</f>
        <v/>
      </c>
      <c r="G473" s="52">
        <f>IF($A473="","",CHOOSE(WEEKDAY($A473,2),"LUNES","MARTES","MIÉRCOLES","JUEVES","VIERNES","SÁBADO","DOMINGO"))</f>
        <v/>
      </c>
      <c r="H473" s="34">
        <f>IF($A473="","",CHOOSE(MONTH($A473),"ENERO","FEBRERO","MARZO","ABRIL","MAYO","JUNIO","JULIO","AGOSTO","SEPTIEMBRE","OCTUBRE","NOVIEMBRE","DICIEMBRE"))</f>
        <v/>
      </c>
      <c r="I473" s="34">
        <f>IF($A473="","",IF(OR($G473="SÁBADO",$G473="DOMINGO"),"FIN","LV"))</f>
        <v/>
      </c>
      <c r="J473" s="34">
        <f>IF(OR($A473="",$B473=""),"",IF($L473&lt;&gt;"",UPPER($L473),IF($C473="","FALTA",IFERROR(IF($C473&gt;=$O473,"ROJO FUERTE",IF($C473&gt;=$N473,"ROJO",IF($C473&gt;=$M473,"AMARILLO","VERDE"))),"REVISAR"))))</f>
        <v/>
      </c>
      <c r="K473" s="36">
        <f>IF(OR($C473="",$D473=""),"",IF($D473&gt;=$C473,($D473-$C473)*24,(1-$C473+$D473)*24))</f>
        <v/>
      </c>
      <c r="L473" s="34" t="n"/>
      <c r="M473" s="53">
        <f t="array" ref="M473">IFERROR(INDEX(EXCEPCIONES_FECHA!$D$2:$D$201,MATCH(1,(EXCEPCIONES_FECHA!$A$2:$A$201=$A473)*(EXCEPCIONES_FECHA!$B$2:$B$201=$B473),0)),IFERROR(INDEX(EXCEPCIONES_FECHA!$D$2:$D$201,MATCH(1,(EXCEPCIONES_FECHA!$A$2:$A$201=$A473)*(EXCEPCIONES_FECHA!$B$2:$B$201=""),0)),IFERROR(INDEX(IF($I473="FIN",HISTORIAL_HORARIOS!$J$2:$J$201,HISTORIAL_HORARIOS!$F$2:$F$201),MATCH(1,(HISTORIAL_HORARIOS!$A$2:$A$201=$B473)*(HISTORIAL_HORARIOS!$C$2:$C$201&lt;=$A473)*(HISTORIAL_HORARIOS!$D$2:$D$201&gt;=$A473),0)),INDEX(IF($I473="FIN",PERSONAL!$J$2:$J$80,PERSONAL!$F$2:$F$80),MATCH($B473,PERSONAL!$A$2:$A$80,0)))))</f>
        <v/>
      </c>
      <c r="N473" s="53">
        <f t="array" ref="N473">IFERROR(INDEX(EXCEPCIONES_FECHA!$E$2:$E$201,MATCH(1,(EXCEPCIONES_FECHA!$A$2:$A$201=$A473)*(EXCEPCIONES_FECHA!$B$2:$B$201=$B473),0)),IFERROR(INDEX(EXCEPCIONES_FECHA!$E$2:$E$201,MATCH(1,(EXCEPCIONES_FECHA!$A$2:$A$201=$A473)*(EXCEPCIONES_FECHA!$B$2:$B$201=""),0)),IFERROR(INDEX(IF($I473="FIN",HISTORIAL_HORARIOS!$K$2:$K$201,HISTORIAL_HORARIOS!$G$2:$G$201),MATCH(1,(HISTORIAL_HORARIOS!$A$2:$A$201=$B473)*(HISTORIAL_HORARIOS!$C$2:$C$201&lt;=$A473)*(HISTORIAL_HORARIOS!$D$2:$D$201&gt;=$A473),0)),INDEX(IF($I473="FIN",PERSONAL!$K$2:$K$80,PERSONAL!$G$2:$G$80),MATCH($B473,PERSONAL!$A$2:$A$80,0)))))</f>
        <v/>
      </c>
      <c r="O473" s="53">
        <f t="array" ref="O473">IFERROR(INDEX(EXCEPCIONES_FECHA!$F$2:$F$201,MATCH(1,(EXCEPCIONES_FECHA!$A$2:$A$201=$A473)*(EXCEPCIONES_FECHA!$B$2:$B$201=$B473),0)),IFERROR(INDEX(EXCEPCIONES_FECHA!$F$2:$F$201,MATCH(1,(EXCEPCIONES_FECHA!$A$2:$A$201=$A473)*(EXCEPCIONES_FECHA!$B$2:$B$201=""),0)),IFERROR(INDEX(IF($I473="FIN",HISTORIAL_HORARIOS!$L$2:$L$201,HISTORIAL_HORARIOS!$H$2:$H$201),MATCH(1,(HISTORIAL_HORARIOS!$A$2:$A$201=$B473)*(HISTORIAL_HORARIOS!$C$2:$C$201&lt;=$A473)*(HISTORIAL_HORARIOS!$D$2:$D$201&gt;=$A473),0)),INDEX(IF($I473="FIN",PERSONAL!$L$2:$L$80,PERSONAL!$H$2:$H$80),MATCH($B473,PERSONAL!$A$2:$A$80,0)))))</f>
        <v/>
      </c>
    </row>
    <row r="474" ht="15" customHeight="1" s="58">
      <c r="A474" s="37" t="n"/>
      <c r="B474" s="38" t="n"/>
      <c r="C474" s="39" t="n"/>
      <c r="D474" s="39" t="n"/>
      <c r="E474" s="34">
        <f t="array" ref="E474">IF($B474="","",IFERROR(INDEX(PERSONAL!$B$2:$B$80,MATCH($B474,PERSONAL!$A$2:$A$80,0)),"NO EXISTE"))</f>
        <v/>
      </c>
      <c r="F474" s="52">
        <f t="array" ref="F474">IF($B474="","",IFERROR(INDEX(PERSONAL!$C$2:$C$80,MATCH($B474,PERSONAL!$A$2:$A$80,0)),""))</f>
        <v/>
      </c>
      <c r="G474" s="52">
        <f>IF($A474="","",CHOOSE(WEEKDAY($A474,2),"LUNES","MARTES","MIÉRCOLES","JUEVES","VIERNES","SÁBADO","DOMINGO"))</f>
        <v/>
      </c>
      <c r="H474" s="34">
        <f>IF($A474="","",CHOOSE(MONTH($A474),"ENERO","FEBRERO","MARZO","ABRIL","MAYO","JUNIO","JULIO","AGOSTO","SEPTIEMBRE","OCTUBRE","NOVIEMBRE","DICIEMBRE"))</f>
        <v/>
      </c>
      <c r="I474" s="34">
        <f>IF($A474="","",IF(OR($G474="SÁBADO",$G474="DOMINGO"),"FIN","LV"))</f>
        <v/>
      </c>
      <c r="J474" s="34">
        <f>IF(OR($A474="",$B474=""),"",IF($L474&lt;&gt;"",UPPER($L474),IF($C474="","FALTA",IFERROR(IF($C474&gt;=$O474,"ROJO FUERTE",IF($C474&gt;=$N474,"ROJO",IF($C474&gt;=$M474,"AMARILLO","VERDE"))),"REVISAR"))))</f>
        <v/>
      </c>
      <c r="K474" s="36">
        <f>IF(OR($C474="",$D474=""),"",IF($D474&gt;=$C474,($D474-$C474)*24,(1-$C474+$D474)*24))</f>
        <v/>
      </c>
      <c r="L474" s="34" t="n"/>
      <c r="M474" s="53">
        <f t="array" ref="M474">IFERROR(INDEX(EXCEPCIONES_FECHA!$D$2:$D$201,MATCH(1,(EXCEPCIONES_FECHA!$A$2:$A$201=$A474)*(EXCEPCIONES_FECHA!$B$2:$B$201=$B474),0)),IFERROR(INDEX(EXCEPCIONES_FECHA!$D$2:$D$201,MATCH(1,(EXCEPCIONES_FECHA!$A$2:$A$201=$A474)*(EXCEPCIONES_FECHA!$B$2:$B$201=""),0)),IFERROR(INDEX(IF($I474="FIN",HISTORIAL_HORARIOS!$J$2:$J$201,HISTORIAL_HORARIOS!$F$2:$F$201),MATCH(1,(HISTORIAL_HORARIOS!$A$2:$A$201=$B474)*(HISTORIAL_HORARIOS!$C$2:$C$201&lt;=$A474)*(HISTORIAL_HORARIOS!$D$2:$D$201&gt;=$A474),0)),INDEX(IF($I474="FIN",PERSONAL!$J$2:$J$80,PERSONAL!$F$2:$F$80),MATCH($B474,PERSONAL!$A$2:$A$80,0)))))</f>
        <v/>
      </c>
      <c r="N474" s="53">
        <f t="array" ref="N474">IFERROR(INDEX(EXCEPCIONES_FECHA!$E$2:$E$201,MATCH(1,(EXCEPCIONES_FECHA!$A$2:$A$201=$A474)*(EXCEPCIONES_FECHA!$B$2:$B$201=$B474),0)),IFERROR(INDEX(EXCEPCIONES_FECHA!$E$2:$E$201,MATCH(1,(EXCEPCIONES_FECHA!$A$2:$A$201=$A474)*(EXCEPCIONES_FECHA!$B$2:$B$201=""),0)),IFERROR(INDEX(IF($I474="FIN",HISTORIAL_HORARIOS!$K$2:$K$201,HISTORIAL_HORARIOS!$G$2:$G$201),MATCH(1,(HISTORIAL_HORARIOS!$A$2:$A$201=$B474)*(HISTORIAL_HORARIOS!$C$2:$C$201&lt;=$A474)*(HISTORIAL_HORARIOS!$D$2:$D$201&gt;=$A474),0)),INDEX(IF($I474="FIN",PERSONAL!$K$2:$K$80,PERSONAL!$G$2:$G$80),MATCH($B474,PERSONAL!$A$2:$A$80,0)))))</f>
        <v/>
      </c>
      <c r="O474" s="53">
        <f t="array" ref="O474">IFERROR(INDEX(EXCEPCIONES_FECHA!$F$2:$F$201,MATCH(1,(EXCEPCIONES_FECHA!$A$2:$A$201=$A474)*(EXCEPCIONES_FECHA!$B$2:$B$201=$B474),0)),IFERROR(INDEX(EXCEPCIONES_FECHA!$F$2:$F$201,MATCH(1,(EXCEPCIONES_FECHA!$A$2:$A$201=$A474)*(EXCEPCIONES_FECHA!$B$2:$B$201=""),0)),IFERROR(INDEX(IF($I474="FIN",HISTORIAL_HORARIOS!$L$2:$L$201,HISTORIAL_HORARIOS!$H$2:$H$201),MATCH(1,(HISTORIAL_HORARIOS!$A$2:$A$201=$B474)*(HISTORIAL_HORARIOS!$C$2:$C$201&lt;=$A474)*(HISTORIAL_HORARIOS!$D$2:$D$201&gt;=$A474),0)),INDEX(IF($I474="FIN",PERSONAL!$L$2:$L$80,PERSONAL!$H$2:$H$80),MATCH($B474,PERSONAL!$A$2:$A$80,0)))))</f>
        <v/>
      </c>
    </row>
    <row r="475" ht="15" customHeight="1" s="58">
      <c r="A475" s="37" t="n"/>
      <c r="B475" s="38" t="n"/>
      <c r="C475" s="39" t="n"/>
      <c r="D475" s="39" t="n"/>
      <c r="E475" s="34">
        <f t="array" ref="E475">IF($B475="","",IFERROR(INDEX(PERSONAL!$B$2:$B$80,MATCH($B475,PERSONAL!$A$2:$A$80,0)),"NO EXISTE"))</f>
        <v/>
      </c>
      <c r="F475" s="52">
        <f t="array" ref="F475">IF($B475="","",IFERROR(INDEX(PERSONAL!$C$2:$C$80,MATCH($B475,PERSONAL!$A$2:$A$80,0)),""))</f>
        <v/>
      </c>
      <c r="G475" s="52">
        <f>IF($A475="","",CHOOSE(WEEKDAY($A475,2),"LUNES","MARTES","MIÉRCOLES","JUEVES","VIERNES","SÁBADO","DOMINGO"))</f>
        <v/>
      </c>
      <c r="H475" s="34">
        <f>IF($A475="","",CHOOSE(MONTH($A475),"ENERO","FEBRERO","MARZO","ABRIL","MAYO","JUNIO","JULIO","AGOSTO","SEPTIEMBRE","OCTUBRE","NOVIEMBRE","DICIEMBRE"))</f>
        <v/>
      </c>
      <c r="I475" s="34">
        <f>IF($A475="","",IF(OR($G475="SÁBADO",$G475="DOMINGO"),"FIN","LV"))</f>
        <v/>
      </c>
      <c r="J475" s="34">
        <f>IF(OR($A475="",$B475=""),"",IF($L475&lt;&gt;"",UPPER($L475),IF($C475="","FALTA",IFERROR(IF($C475&gt;=$O475,"ROJO FUERTE",IF($C475&gt;=$N475,"ROJO",IF($C475&gt;=$M475,"AMARILLO","VERDE"))),"REVISAR"))))</f>
        <v/>
      </c>
      <c r="K475" s="36">
        <f>IF(OR($C475="",$D475=""),"",IF($D475&gt;=$C475,($D475-$C475)*24,(1-$C475+$D475)*24))</f>
        <v/>
      </c>
      <c r="L475" s="34" t="n"/>
      <c r="M475" s="53">
        <f t="array" ref="M475">IFERROR(INDEX(EXCEPCIONES_FECHA!$D$2:$D$201,MATCH(1,(EXCEPCIONES_FECHA!$A$2:$A$201=$A475)*(EXCEPCIONES_FECHA!$B$2:$B$201=$B475),0)),IFERROR(INDEX(EXCEPCIONES_FECHA!$D$2:$D$201,MATCH(1,(EXCEPCIONES_FECHA!$A$2:$A$201=$A475)*(EXCEPCIONES_FECHA!$B$2:$B$201=""),0)),IFERROR(INDEX(IF($I475="FIN",HISTORIAL_HORARIOS!$J$2:$J$201,HISTORIAL_HORARIOS!$F$2:$F$201),MATCH(1,(HISTORIAL_HORARIOS!$A$2:$A$201=$B475)*(HISTORIAL_HORARIOS!$C$2:$C$201&lt;=$A475)*(HISTORIAL_HORARIOS!$D$2:$D$201&gt;=$A475),0)),INDEX(IF($I475="FIN",PERSONAL!$J$2:$J$80,PERSONAL!$F$2:$F$80),MATCH($B475,PERSONAL!$A$2:$A$80,0)))))</f>
        <v/>
      </c>
      <c r="N475" s="53">
        <f t="array" ref="N475">IFERROR(INDEX(EXCEPCIONES_FECHA!$E$2:$E$201,MATCH(1,(EXCEPCIONES_FECHA!$A$2:$A$201=$A475)*(EXCEPCIONES_FECHA!$B$2:$B$201=$B475),0)),IFERROR(INDEX(EXCEPCIONES_FECHA!$E$2:$E$201,MATCH(1,(EXCEPCIONES_FECHA!$A$2:$A$201=$A475)*(EXCEPCIONES_FECHA!$B$2:$B$201=""),0)),IFERROR(INDEX(IF($I475="FIN",HISTORIAL_HORARIOS!$K$2:$K$201,HISTORIAL_HORARIOS!$G$2:$G$201),MATCH(1,(HISTORIAL_HORARIOS!$A$2:$A$201=$B475)*(HISTORIAL_HORARIOS!$C$2:$C$201&lt;=$A475)*(HISTORIAL_HORARIOS!$D$2:$D$201&gt;=$A475),0)),INDEX(IF($I475="FIN",PERSONAL!$K$2:$K$80,PERSONAL!$G$2:$G$80),MATCH($B475,PERSONAL!$A$2:$A$80,0)))))</f>
        <v/>
      </c>
      <c r="O475" s="53">
        <f t="array" ref="O475">IFERROR(INDEX(EXCEPCIONES_FECHA!$F$2:$F$201,MATCH(1,(EXCEPCIONES_FECHA!$A$2:$A$201=$A475)*(EXCEPCIONES_FECHA!$B$2:$B$201=$B475),0)),IFERROR(INDEX(EXCEPCIONES_FECHA!$F$2:$F$201,MATCH(1,(EXCEPCIONES_FECHA!$A$2:$A$201=$A475)*(EXCEPCIONES_FECHA!$B$2:$B$201=""),0)),IFERROR(INDEX(IF($I475="FIN",HISTORIAL_HORARIOS!$L$2:$L$201,HISTORIAL_HORARIOS!$H$2:$H$201),MATCH(1,(HISTORIAL_HORARIOS!$A$2:$A$201=$B475)*(HISTORIAL_HORARIOS!$C$2:$C$201&lt;=$A475)*(HISTORIAL_HORARIOS!$D$2:$D$201&gt;=$A475),0)),INDEX(IF($I475="FIN",PERSONAL!$L$2:$L$80,PERSONAL!$H$2:$H$80),MATCH($B475,PERSONAL!$A$2:$A$80,0)))))</f>
        <v/>
      </c>
    </row>
    <row r="476" ht="15" customHeight="1" s="58">
      <c r="A476" s="37" t="n"/>
      <c r="B476" s="38" t="n"/>
      <c r="C476" s="39" t="n"/>
      <c r="D476" s="39" t="n"/>
      <c r="E476" s="34">
        <f t="array" ref="E476">IF($B476="","",IFERROR(INDEX(PERSONAL!$B$2:$B$80,MATCH($B476,PERSONAL!$A$2:$A$80,0)),"NO EXISTE"))</f>
        <v/>
      </c>
      <c r="F476" s="52">
        <f t="array" ref="F476">IF($B476="","",IFERROR(INDEX(PERSONAL!$C$2:$C$80,MATCH($B476,PERSONAL!$A$2:$A$80,0)),""))</f>
        <v/>
      </c>
      <c r="G476" s="52">
        <f>IF($A476="","",CHOOSE(WEEKDAY($A476,2),"LUNES","MARTES","MIÉRCOLES","JUEVES","VIERNES","SÁBADO","DOMINGO"))</f>
        <v/>
      </c>
      <c r="H476" s="34">
        <f>IF($A476="","",CHOOSE(MONTH($A476),"ENERO","FEBRERO","MARZO","ABRIL","MAYO","JUNIO","JULIO","AGOSTO","SEPTIEMBRE","OCTUBRE","NOVIEMBRE","DICIEMBRE"))</f>
        <v/>
      </c>
      <c r="I476" s="34">
        <f>IF($A476="","",IF(OR($G476="SÁBADO",$G476="DOMINGO"),"FIN","LV"))</f>
        <v/>
      </c>
      <c r="J476" s="34">
        <f>IF(OR($A476="",$B476=""),"",IF($L476&lt;&gt;"",UPPER($L476),IF($C476="","FALTA",IFERROR(IF($C476&gt;=$O476,"ROJO FUERTE",IF($C476&gt;=$N476,"ROJO",IF($C476&gt;=$M476,"AMARILLO","VERDE"))),"REVISAR"))))</f>
        <v/>
      </c>
      <c r="K476" s="36">
        <f>IF(OR($C476="",$D476=""),"",IF($D476&gt;=$C476,($D476-$C476)*24,(1-$C476+$D476)*24))</f>
        <v/>
      </c>
      <c r="L476" s="34" t="n"/>
      <c r="M476" s="53">
        <f t="array" ref="M476">IFERROR(INDEX(EXCEPCIONES_FECHA!$D$2:$D$201,MATCH(1,(EXCEPCIONES_FECHA!$A$2:$A$201=$A476)*(EXCEPCIONES_FECHA!$B$2:$B$201=$B476),0)),IFERROR(INDEX(EXCEPCIONES_FECHA!$D$2:$D$201,MATCH(1,(EXCEPCIONES_FECHA!$A$2:$A$201=$A476)*(EXCEPCIONES_FECHA!$B$2:$B$201=""),0)),IFERROR(INDEX(IF($I476="FIN",HISTORIAL_HORARIOS!$J$2:$J$201,HISTORIAL_HORARIOS!$F$2:$F$201),MATCH(1,(HISTORIAL_HORARIOS!$A$2:$A$201=$B476)*(HISTORIAL_HORARIOS!$C$2:$C$201&lt;=$A476)*(HISTORIAL_HORARIOS!$D$2:$D$201&gt;=$A476),0)),INDEX(IF($I476="FIN",PERSONAL!$J$2:$J$80,PERSONAL!$F$2:$F$80),MATCH($B476,PERSONAL!$A$2:$A$80,0)))))</f>
        <v/>
      </c>
      <c r="N476" s="53">
        <f t="array" ref="N476">IFERROR(INDEX(EXCEPCIONES_FECHA!$E$2:$E$201,MATCH(1,(EXCEPCIONES_FECHA!$A$2:$A$201=$A476)*(EXCEPCIONES_FECHA!$B$2:$B$201=$B476),0)),IFERROR(INDEX(EXCEPCIONES_FECHA!$E$2:$E$201,MATCH(1,(EXCEPCIONES_FECHA!$A$2:$A$201=$A476)*(EXCEPCIONES_FECHA!$B$2:$B$201=""),0)),IFERROR(INDEX(IF($I476="FIN",HISTORIAL_HORARIOS!$K$2:$K$201,HISTORIAL_HORARIOS!$G$2:$G$201),MATCH(1,(HISTORIAL_HORARIOS!$A$2:$A$201=$B476)*(HISTORIAL_HORARIOS!$C$2:$C$201&lt;=$A476)*(HISTORIAL_HORARIOS!$D$2:$D$201&gt;=$A476),0)),INDEX(IF($I476="FIN",PERSONAL!$K$2:$K$80,PERSONAL!$G$2:$G$80),MATCH($B476,PERSONAL!$A$2:$A$80,0)))))</f>
        <v/>
      </c>
      <c r="O476" s="53">
        <f t="array" ref="O476">IFERROR(INDEX(EXCEPCIONES_FECHA!$F$2:$F$201,MATCH(1,(EXCEPCIONES_FECHA!$A$2:$A$201=$A476)*(EXCEPCIONES_FECHA!$B$2:$B$201=$B476),0)),IFERROR(INDEX(EXCEPCIONES_FECHA!$F$2:$F$201,MATCH(1,(EXCEPCIONES_FECHA!$A$2:$A$201=$A476)*(EXCEPCIONES_FECHA!$B$2:$B$201=""),0)),IFERROR(INDEX(IF($I476="FIN",HISTORIAL_HORARIOS!$L$2:$L$201,HISTORIAL_HORARIOS!$H$2:$H$201),MATCH(1,(HISTORIAL_HORARIOS!$A$2:$A$201=$B476)*(HISTORIAL_HORARIOS!$C$2:$C$201&lt;=$A476)*(HISTORIAL_HORARIOS!$D$2:$D$201&gt;=$A476),0)),INDEX(IF($I476="FIN",PERSONAL!$L$2:$L$80,PERSONAL!$H$2:$H$80),MATCH($B476,PERSONAL!$A$2:$A$80,0)))))</f>
        <v/>
      </c>
    </row>
    <row r="477" ht="15" customHeight="1" s="58">
      <c r="A477" s="37" t="n"/>
      <c r="B477" s="38" t="n"/>
      <c r="C477" s="39" t="n"/>
      <c r="D477" s="39" t="n"/>
      <c r="E477" s="34">
        <f t="array" ref="E477">IF($B477="","",IFERROR(INDEX(PERSONAL!$B$2:$B$80,MATCH($B477,PERSONAL!$A$2:$A$80,0)),"NO EXISTE"))</f>
        <v/>
      </c>
      <c r="F477" s="52">
        <f t="array" ref="F477">IF($B477="","",IFERROR(INDEX(PERSONAL!$C$2:$C$80,MATCH($B477,PERSONAL!$A$2:$A$80,0)),""))</f>
        <v/>
      </c>
      <c r="G477" s="52">
        <f>IF($A477="","",CHOOSE(WEEKDAY($A477,2),"LUNES","MARTES","MIÉRCOLES","JUEVES","VIERNES","SÁBADO","DOMINGO"))</f>
        <v/>
      </c>
      <c r="H477" s="34">
        <f>IF($A477="","",CHOOSE(MONTH($A477),"ENERO","FEBRERO","MARZO","ABRIL","MAYO","JUNIO","JULIO","AGOSTO","SEPTIEMBRE","OCTUBRE","NOVIEMBRE","DICIEMBRE"))</f>
        <v/>
      </c>
      <c r="I477" s="34">
        <f>IF($A477="","",IF(OR($G477="SÁBADO",$G477="DOMINGO"),"FIN","LV"))</f>
        <v/>
      </c>
      <c r="J477" s="34">
        <f>IF(OR($A477="",$B477=""),"",IF($L477&lt;&gt;"",UPPER($L477),IF($C477="","FALTA",IFERROR(IF($C477&gt;=$O477,"ROJO FUERTE",IF($C477&gt;=$N477,"ROJO",IF($C477&gt;=$M477,"AMARILLO","VERDE"))),"REVISAR"))))</f>
        <v/>
      </c>
      <c r="K477" s="36">
        <f>IF(OR($C477="",$D477=""),"",IF($D477&gt;=$C477,($D477-$C477)*24,(1-$C477+$D477)*24))</f>
        <v/>
      </c>
      <c r="L477" s="34" t="n"/>
      <c r="M477" s="53">
        <f t="array" ref="M477">IFERROR(INDEX(EXCEPCIONES_FECHA!$D$2:$D$201,MATCH(1,(EXCEPCIONES_FECHA!$A$2:$A$201=$A477)*(EXCEPCIONES_FECHA!$B$2:$B$201=$B477),0)),IFERROR(INDEX(EXCEPCIONES_FECHA!$D$2:$D$201,MATCH(1,(EXCEPCIONES_FECHA!$A$2:$A$201=$A477)*(EXCEPCIONES_FECHA!$B$2:$B$201=""),0)),IFERROR(INDEX(IF($I477="FIN",HISTORIAL_HORARIOS!$J$2:$J$201,HISTORIAL_HORARIOS!$F$2:$F$201),MATCH(1,(HISTORIAL_HORARIOS!$A$2:$A$201=$B477)*(HISTORIAL_HORARIOS!$C$2:$C$201&lt;=$A477)*(HISTORIAL_HORARIOS!$D$2:$D$201&gt;=$A477),0)),INDEX(IF($I477="FIN",PERSONAL!$J$2:$J$80,PERSONAL!$F$2:$F$80),MATCH($B477,PERSONAL!$A$2:$A$80,0)))))</f>
        <v/>
      </c>
      <c r="N477" s="53">
        <f t="array" ref="N477">IFERROR(INDEX(EXCEPCIONES_FECHA!$E$2:$E$201,MATCH(1,(EXCEPCIONES_FECHA!$A$2:$A$201=$A477)*(EXCEPCIONES_FECHA!$B$2:$B$201=$B477),0)),IFERROR(INDEX(EXCEPCIONES_FECHA!$E$2:$E$201,MATCH(1,(EXCEPCIONES_FECHA!$A$2:$A$201=$A477)*(EXCEPCIONES_FECHA!$B$2:$B$201=""),0)),IFERROR(INDEX(IF($I477="FIN",HISTORIAL_HORARIOS!$K$2:$K$201,HISTORIAL_HORARIOS!$G$2:$G$201),MATCH(1,(HISTORIAL_HORARIOS!$A$2:$A$201=$B477)*(HISTORIAL_HORARIOS!$C$2:$C$201&lt;=$A477)*(HISTORIAL_HORARIOS!$D$2:$D$201&gt;=$A477),0)),INDEX(IF($I477="FIN",PERSONAL!$K$2:$K$80,PERSONAL!$G$2:$G$80),MATCH($B477,PERSONAL!$A$2:$A$80,0)))))</f>
        <v/>
      </c>
      <c r="O477" s="53">
        <f t="array" ref="O477">IFERROR(INDEX(EXCEPCIONES_FECHA!$F$2:$F$201,MATCH(1,(EXCEPCIONES_FECHA!$A$2:$A$201=$A477)*(EXCEPCIONES_FECHA!$B$2:$B$201=$B477),0)),IFERROR(INDEX(EXCEPCIONES_FECHA!$F$2:$F$201,MATCH(1,(EXCEPCIONES_FECHA!$A$2:$A$201=$A477)*(EXCEPCIONES_FECHA!$B$2:$B$201=""),0)),IFERROR(INDEX(IF($I477="FIN",HISTORIAL_HORARIOS!$L$2:$L$201,HISTORIAL_HORARIOS!$H$2:$H$201),MATCH(1,(HISTORIAL_HORARIOS!$A$2:$A$201=$B477)*(HISTORIAL_HORARIOS!$C$2:$C$201&lt;=$A477)*(HISTORIAL_HORARIOS!$D$2:$D$201&gt;=$A477),0)),INDEX(IF($I477="FIN",PERSONAL!$L$2:$L$80,PERSONAL!$H$2:$H$80),MATCH($B477,PERSONAL!$A$2:$A$80,0)))))</f>
        <v/>
      </c>
    </row>
    <row r="478" ht="15" customHeight="1" s="58">
      <c r="A478" s="37" t="n"/>
      <c r="B478" s="38" t="n"/>
      <c r="C478" s="39" t="n"/>
      <c r="D478" s="39" t="n"/>
      <c r="E478" s="34">
        <f t="array" ref="E478">IF($B478="","",IFERROR(INDEX(PERSONAL!$B$2:$B$80,MATCH($B478,PERSONAL!$A$2:$A$80,0)),"NO EXISTE"))</f>
        <v/>
      </c>
      <c r="F478" s="52">
        <f t="array" ref="F478">IF($B478="","",IFERROR(INDEX(PERSONAL!$C$2:$C$80,MATCH($B478,PERSONAL!$A$2:$A$80,0)),""))</f>
        <v/>
      </c>
      <c r="G478" s="52">
        <f>IF($A478="","",CHOOSE(WEEKDAY($A478,2),"LUNES","MARTES","MIÉRCOLES","JUEVES","VIERNES","SÁBADO","DOMINGO"))</f>
        <v/>
      </c>
      <c r="H478" s="34">
        <f>IF($A478="","",CHOOSE(MONTH($A478),"ENERO","FEBRERO","MARZO","ABRIL","MAYO","JUNIO","JULIO","AGOSTO","SEPTIEMBRE","OCTUBRE","NOVIEMBRE","DICIEMBRE"))</f>
        <v/>
      </c>
      <c r="I478" s="34">
        <f>IF($A478="","",IF(OR($G478="SÁBADO",$G478="DOMINGO"),"FIN","LV"))</f>
        <v/>
      </c>
      <c r="J478" s="34">
        <f>IF(OR($A478="",$B478=""),"",IF($L478&lt;&gt;"",UPPER($L478),IF($C478="","FALTA",IFERROR(IF($C478&gt;=$O478,"ROJO FUERTE",IF($C478&gt;=$N478,"ROJO",IF($C478&gt;=$M478,"AMARILLO","VERDE"))),"REVISAR"))))</f>
        <v/>
      </c>
      <c r="K478" s="36">
        <f>IF(OR($C478="",$D478=""),"",IF($D478&gt;=$C478,($D478-$C478)*24,(1-$C478+$D478)*24))</f>
        <v/>
      </c>
      <c r="L478" s="34" t="n"/>
      <c r="M478" s="53">
        <f t="array" ref="M478">IFERROR(INDEX(EXCEPCIONES_FECHA!$D$2:$D$201,MATCH(1,(EXCEPCIONES_FECHA!$A$2:$A$201=$A478)*(EXCEPCIONES_FECHA!$B$2:$B$201=$B478),0)),IFERROR(INDEX(EXCEPCIONES_FECHA!$D$2:$D$201,MATCH(1,(EXCEPCIONES_FECHA!$A$2:$A$201=$A478)*(EXCEPCIONES_FECHA!$B$2:$B$201=""),0)),IFERROR(INDEX(IF($I478="FIN",HISTORIAL_HORARIOS!$J$2:$J$201,HISTORIAL_HORARIOS!$F$2:$F$201),MATCH(1,(HISTORIAL_HORARIOS!$A$2:$A$201=$B478)*(HISTORIAL_HORARIOS!$C$2:$C$201&lt;=$A478)*(HISTORIAL_HORARIOS!$D$2:$D$201&gt;=$A478),0)),INDEX(IF($I478="FIN",PERSONAL!$J$2:$J$80,PERSONAL!$F$2:$F$80),MATCH($B478,PERSONAL!$A$2:$A$80,0)))))</f>
        <v/>
      </c>
      <c r="N478" s="53">
        <f t="array" ref="N478">IFERROR(INDEX(EXCEPCIONES_FECHA!$E$2:$E$201,MATCH(1,(EXCEPCIONES_FECHA!$A$2:$A$201=$A478)*(EXCEPCIONES_FECHA!$B$2:$B$201=$B478),0)),IFERROR(INDEX(EXCEPCIONES_FECHA!$E$2:$E$201,MATCH(1,(EXCEPCIONES_FECHA!$A$2:$A$201=$A478)*(EXCEPCIONES_FECHA!$B$2:$B$201=""),0)),IFERROR(INDEX(IF($I478="FIN",HISTORIAL_HORARIOS!$K$2:$K$201,HISTORIAL_HORARIOS!$G$2:$G$201),MATCH(1,(HISTORIAL_HORARIOS!$A$2:$A$201=$B478)*(HISTORIAL_HORARIOS!$C$2:$C$201&lt;=$A478)*(HISTORIAL_HORARIOS!$D$2:$D$201&gt;=$A478),0)),INDEX(IF($I478="FIN",PERSONAL!$K$2:$K$80,PERSONAL!$G$2:$G$80),MATCH($B478,PERSONAL!$A$2:$A$80,0)))))</f>
        <v/>
      </c>
      <c r="O478" s="53">
        <f t="array" ref="O478">IFERROR(INDEX(EXCEPCIONES_FECHA!$F$2:$F$201,MATCH(1,(EXCEPCIONES_FECHA!$A$2:$A$201=$A478)*(EXCEPCIONES_FECHA!$B$2:$B$201=$B478),0)),IFERROR(INDEX(EXCEPCIONES_FECHA!$F$2:$F$201,MATCH(1,(EXCEPCIONES_FECHA!$A$2:$A$201=$A478)*(EXCEPCIONES_FECHA!$B$2:$B$201=""),0)),IFERROR(INDEX(IF($I478="FIN",HISTORIAL_HORARIOS!$L$2:$L$201,HISTORIAL_HORARIOS!$H$2:$H$201),MATCH(1,(HISTORIAL_HORARIOS!$A$2:$A$201=$B478)*(HISTORIAL_HORARIOS!$C$2:$C$201&lt;=$A478)*(HISTORIAL_HORARIOS!$D$2:$D$201&gt;=$A478),0)),INDEX(IF($I478="FIN",PERSONAL!$L$2:$L$80,PERSONAL!$H$2:$H$80),MATCH($B478,PERSONAL!$A$2:$A$80,0)))))</f>
        <v/>
      </c>
    </row>
    <row r="479" ht="15" customHeight="1" s="58">
      <c r="A479" s="37" t="n"/>
      <c r="B479" s="38" t="n"/>
      <c r="C479" s="39" t="n"/>
      <c r="D479" s="39" t="n"/>
      <c r="E479" s="34">
        <f t="array" ref="E479">IF($B479="","",IFERROR(INDEX(PERSONAL!$B$2:$B$80,MATCH($B479,PERSONAL!$A$2:$A$80,0)),"NO EXISTE"))</f>
        <v/>
      </c>
      <c r="F479" s="52">
        <f t="array" ref="F479">IF($B479="","",IFERROR(INDEX(PERSONAL!$C$2:$C$80,MATCH($B479,PERSONAL!$A$2:$A$80,0)),""))</f>
        <v/>
      </c>
      <c r="G479" s="52">
        <f>IF($A479="","",CHOOSE(WEEKDAY($A479,2),"LUNES","MARTES","MIÉRCOLES","JUEVES","VIERNES","SÁBADO","DOMINGO"))</f>
        <v/>
      </c>
      <c r="H479" s="34">
        <f>IF($A479="","",CHOOSE(MONTH($A479),"ENERO","FEBRERO","MARZO","ABRIL","MAYO","JUNIO","JULIO","AGOSTO","SEPTIEMBRE","OCTUBRE","NOVIEMBRE","DICIEMBRE"))</f>
        <v/>
      </c>
      <c r="I479" s="34">
        <f>IF($A479="","",IF(OR($G479="SÁBADO",$G479="DOMINGO"),"FIN","LV"))</f>
        <v/>
      </c>
      <c r="J479" s="34">
        <f>IF(OR($A479="",$B479=""),"",IF($L479&lt;&gt;"",UPPER($L479),IF($C479="","FALTA",IFERROR(IF($C479&gt;=$O479,"ROJO FUERTE",IF($C479&gt;=$N479,"ROJO",IF($C479&gt;=$M479,"AMARILLO","VERDE"))),"REVISAR"))))</f>
        <v/>
      </c>
      <c r="K479" s="36">
        <f>IF(OR($C479="",$D479=""),"",IF($D479&gt;=$C479,($D479-$C479)*24,(1-$C479+$D479)*24))</f>
        <v/>
      </c>
      <c r="L479" s="34" t="n"/>
      <c r="M479" s="53">
        <f t="array" ref="M479">IFERROR(INDEX(EXCEPCIONES_FECHA!$D$2:$D$201,MATCH(1,(EXCEPCIONES_FECHA!$A$2:$A$201=$A479)*(EXCEPCIONES_FECHA!$B$2:$B$201=$B479),0)),IFERROR(INDEX(EXCEPCIONES_FECHA!$D$2:$D$201,MATCH(1,(EXCEPCIONES_FECHA!$A$2:$A$201=$A479)*(EXCEPCIONES_FECHA!$B$2:$B$201=""),0)),IFERROR(INDEX(IF($I479="FIN",HISTORIAL_HORARIOS!$J$2:$J$201,HISTORIAL_HORARIOS!$F$2:$F$201),MATCH(1,(HISTORIAL_HORARIOS!$A$2:$A$201=$B479)*(HISTORIAL_HORARIOS!$C$2:$C$201&lt;=$A479)*(HISTORIAL_HORARIOS!$D$2:$D$201&gt;=$A479),0)),INDEX(IF($I479="FIN",PERSONAL!$J$2:$J$80,PERSONAL!$F$2:$F$80),MATCH($B479,PERSONAL!$A$2:$A$80,0)))))</f>
        <v/>
      </c>
      <c r="N479" s="53">
        <f t="array" ref="N479">IFERROR(INDEX(EXCEPCIONES_FECHA!$E$2:$E$201,MATCH(1,(EXCEPCIONES_FECHA!$A$2:$A$201=$A479)*(EXCEPCIONES_FECHA!$B$2:$B$201=$B479),0)),IFERROR(INDEX(EXCEPCIONES_FECHA!$E$2:$E$201,MATCH(1,(EXCEPCIONES_FECHA!$A$2:$A$201=$A479)*(EXCEPCIONES_FECHA!$B$2:$B$201=""),0)),IFERROR(INDEX(IF($I479="FIN",HISTORIAL_HORARIOS!$K$2:$K$201,HISTORIAL_HORARIOS!$G$2:$G$201),MATCH(1,(HISTORIAL_HORARIOS!$A$2:$A$201=$B479)*(HISTORIAL_HORARIOS!$C$2:$C$201&lt;=$A479)*(HISTORIAL_HORARIOS!$D$2:$D$201&gt;=$A479),0)),INDEX(IF($I479="FIN",PERSONAL!$K$2:$K$80,PERSONAL!$G$2:$G$80),MATCH($B479,PERSONAL!$A$2:$A$80,0)))))</f>
        <v/>
      </c>
      <c r="O479" s="53">
        <f t="array" ref="O479">IFERROR(INDEX(EXCEPCIONES_FECHA!$F$2:$F$201,MATCH(1,(EXCEPCIONES_FECHA!$A$2:$A$201=$A479)*(EXCEPCIONES_FECHA!$B$2:$B$201=$B479),0)),IFERROR(INDEX(EXCEPCIONES_FECHA!$F$2:$F$201,MATCH(1,(EXCEPCIONES_FECHA!$A$2:$A$201=$A479)*(EXCEPCIONES_FECHA!$B$2:$B$201=""),0)),IFERROR(INDEX(IF($I479="FIN",HISTORIAL_HORARIOS!$L$2:$L$201,HISTORIAL_HORARIOS!$H$2:$H$201),MATCH(1,(HISTORIAL_HORARIOS!$A$2:$A$201=$B479)*(HISTORIAL_HORARIOS!$C$2:$C$201&lt;=$A479)*(HISTORIAL_HORARIOS!$D$2:$D$201&gt;=$A479),0)),INDEX(IF($I479="FIN",PERSONAL!$L$2:$L$80,PERSONAL!$H$2:$H$80),MATCH($B479,PERSONAL!$A$2:$A$80,0)))))</f>
        <v/>
      </c>
    </row>
    <row r="480" ht="15" customHeight="1" s="58">
      <c r="A480" s="37" t="n"/>
      <c r="B480" s="38" t="n"/>
      <c r="C480" s="39" t="n"/>
      <c r="D480" s="39" t="n"/>
      <c r="E480" s="34">
        <f t="array" ref="E480">IF($B480="","",IFERROR(INDEX(PERSONAL!$B$2:$B$80,MATCH($B480,PERSONAL!$A$2:$A$80,0)),"NO EXISTE"))</f>
        <v/>
      </c>
      <c r="F480" s="52">
        <f t="array" ref="F480">IF($B480="","",IFERROR(INDEX(PERSONAL!$C$2:$C$80,MATCH($B480,PERSONAL!$A$2:$A$80,0)),""))</f>
        <v/>
      </c>
      <c r="G480" s="52">
        <f>IF($A480="","",CHOOSE(WEEKDAY($A480,2),"LUNES","MARTES","MIÉRCOLES","JUEVES","VIERNES","SÁBADO","DOMINGO"))</f>
        <v/>
      </c>
      <c r="H480" s="34">
        <f>IF($A480="","",CHOOSE(MONTH($A480),"ENERO","FEBRERO","MARZO","ABRIL","MAYO","JUNIO","JULIO","AGOSTO","SEPTIEMBRE","OCTUBRE","NOVIEMBRE","DICIEMBRE"))</f>
        <v/>
      </c>
      <c r="I480" s="34">
        <f>IF($A480="","",IF(OR($G480="SÁBADO",$G480="DOMINGO"),"FIN","LV"))</f>
        <v/>
      </c>
      <c r="J480" s="34">
        <f>IF(OR($A480="",$B480=""),"",IF($L480&lt;&gt;"",UPPER($L480),IF($C480="","FALTA",IFERROR(IF($C480&gt;=$O480,"ROJO FUERTE",IF($C480&gt;=$N480,"ROJO",IF($C480&gt;=$M480,"AMARILLO","VERDE"))),"REVISAR"))))</f>
        <v/>
      </c>
      <c r="K480" s="36">
        <f>IF(OR($C480="",$D480=""),"",IF($D480&gt;=$C480,($D480-$C480)*24,(1-$C480+$D480)*24))</f>
        <v/>
      </c>
      <c r="L480" s="34" t="n"/>
      <c r="M480" s="53">
        <f t="array" ref="M480">IFERROR(INDEX(EXCEPCIONES_FECHA!$D$2:$D$201,MATCH(1,(EXCEPCIONES_FECHA!$A$2:$A$201=$A480)*(EXCEPCIONES_FECHA!$B$2:$B$201=$B480),0)),IFERROR(INDEX(EXCEPCIONES_FECHA!$D$2:$D$201,MATCH(1,(EXCEPCIONES_FECHA!$A$2:$A$201=$A480)*(EXCEPCIONES_FECHA!$B$2:$B$201=""),0)),IFERROR(INDEX(IF($I480="FIN",HISTORIAL_HORARIOS!$J$2:$J$201,HISTORIAL_HORARIOS!$F$2:$F$201),MATCH(1,(HISTORIAL_HORARIOS!$A$2:$A$201=$B480)*(HISTORIAL_HORARIOS!$C$2:$C$201&lt;=$A480)*(HISTORIAL_HORARIOS!$D$2:$D$201&gt;=$A480),0)),INDEX(IF($I480="FIN",PERSONAL!$J$2:$J$80,PERSONAL!$F$2:$F$80),MATCH($B480,PERSONAL!$A$2:$A$80,0)))))</f>
        <v/>
      </c>
      <c r="N480" s="53">
        <f t="array" ref="N480">IFERROR(INDEX(EXCEPCIONES_FECHA!$E$2:$E$201,MATCH(1,(EXCEPCIONES_FECHA!$A$2:$A$201=$A480)*(EXCEPCIONES_FECHA!$B$2:$B$201=$B480),0)),IFERROR(INDEX(EXCEPCIONES_FECHA!$E$2:$E$201,MATCH(1,(EXCEPCIONES_FECHA!$A$2:$A$201=$A480)*(EXCEPCIONES_FECHA!$B$2:$B$201=""),0)),IFERROR(INDEX(IF($I480="FIN",HISTORIAL_HORARIOS!$K$2:$K$201,HISTORIAL_HORARIOS!$G$2:$G$201),MATCH(1,(HISTORIAL_HORARIOS!$A$2:$A$201=$B480)*(HISTORIAL_HORARIOS!$C$2:$C$201&lt;=$A480)*(HISTORIAL_HORARIOS!$D$2:$D$201&gt;=$A480),0)),INDEX(IF($I480="FIN",PERSONAL!$K$2:$K$80,PERSONAL!$G$2:$G$80),MATCH($B480,PERSONAL!$A$2:$A$80,0)))))</f>
        <v/>
      </c>
      <c r="O480" s="53">
        <f t="array" ref="O480">IFERROR(INDEX(EXCEPCIONES_FECHA!$F$2:$F$201,MATCH(1,(EXCEPCIONES_FECHA!$A$2:$A$201=$A480)*(EXCEPCIONES_FECHA!$B$2:$B$201=$B480),0)),IFERROR(INDEX(EXCEPCIONES_FECHA!$F$2:$F$201,MATCH(1,(EXCEPCIONES_FECHA!$A$2:$A$201=$A480)*(EXCEPCIONES_FECHA!$B$2:$B$201=""),0)),IFERROR(INDEX(IF($I480="FIN",HISTORIAL_HORARIOS!$L$2:$L$201,HISTORIAL_HORARIOS!$H$2:$H$201),MATCH(1,(HISTORIAL_HORARIOS!$A$2:$A$201=$B480)*(HISTORIAL_HORARIOS!$C$2:$C$201&lt;=$A480)*(HISTORIAL_HORARIOS!$D$2:$D$201&gt;=$A480),0)),INDEX(IF($I480="FIN",PERSONAL!$L$2:$L$80,PERSONAL!$H$2:$H$80),MATCH($B480,PERSONAL!$A$2:$A$80,0)))))</f>
        <v/>
      </c>
    </row>
    <row r="481" ht="15" customHeight="1" s="58">
      <c r="A481" s="37" t="n"/>
      <c r="B481" s="38" t="n"/>
      <c r="C481" s="39" t="n"/>
      <c r="D481" s="39" t="n"/>
      <c r="E481" s="34">
        <f t="array" ref="E481">IF($B481="","",IFERROR(INDEX(PERSONAL!$B$2:$B$80,MATCH($B481,PERSONAL!$A$2:$A$80,0)),"NO EXISTE"))</f>
        <v/>
      </c>
      <c r="F481" s="52">
        <f t="array" ref="F481">IF($B481="","",IFERROR(INDEX(PERSONAL!$C$2:$C$80,MATCH($B481,PERSONAL!$A$2:$A$80,0)),""))</f>
        <v/>
      </c>
      <c r="G481" s="52">
        <f>IF($A481="","",CHOOSE(WEEKDAY($A481,2),"LUNES","MARTES","MIÉRCOLES","JUEVES","VIERNES","SÁBADO","DOMINGO"))</f>
        <v/>
      </c>
      <c r="H481" s="34">
        <f>IF($A481="","",CHOOSE(MONTH($A481),"ENERO","FEBRERO","MARZO","ABRIL","MAYO","JUNIO","JULIO","AGOSTO","SEPTIEMBRE","OCTUBRE","NOVIEMBRE","DICIEMBRE"))</f>
        <v/>
      </c>
      <c r="I481" s="34">
        <f>IF($A481="","",IF(OR($G481="SÁBADO",$G481="DOMINGO"),"FIN","LV"))</f>
        <v/>
      </c>
      <c r="J481" s="34">
        <f>IF(OR($A481="",$B481=""),"",IF($L481&lt;&gt;"",UPPER($L481),IF($C481="","FALTA",IFERROR(IF($C481&gt;=$O481,"ROJO FUERTE",IF($C481&gt;=$N481,"ROJO",IF($C481&gt;=$M481,"AMARILLO","VERDE"))),"REVISAR"))))</f>
        <v/>
      </c>
      <c r="K481" s="36">
        <f>IF(OR($C481="",$D481=""),"",IF($D481&gt;=$C481,($D481-$C481)*24,(1-$C481+$D481)*24))</f>
        <v/>
      </c>
      <c r="L481" s="34" t="n"/>
      <c r="M481" s="53">
        <f t="array" ref="M481">IFERROR(INDEX(EXCEPCIONES_FECHA!$D$2:$D$201,MATCH(1,(EXCEPCIONES_FECHA!$A$2:$A$201=$A481)*(EXCEPCIONES_FECHA!$B$2:$B$201=$B481),0)),IFERROR(INDEX(EXCEPCIONES_FECHA!$D$2:$D$201,MATCH(1,(EXCEPCIONES_FECHA!$A$2:$A$201=$A481)*(EXCEPCIONES_FECHA!$B$2:$B$201=""),0)),IFERROR(INDEX(IF($I481="FIN",HISTORIAL_HORARIOS!$J$2:$J$201,HISTORIAL_HORARIOS!$F$2:$F$201),MATCH(1,(HISTORIAL_HORARIOS!$A$2:$A$201=$B481)*(HISTORIAL_HORARIOS!$C$2:$C$201&lt;=$A481)*(HISTORIAL_HORARIOS!$D$2:$D$201&gt;=$A481),0)),INDEX(IF($I481="FIN",PERSONAL!$J$2:$J$80,PERSONAL!$F$2:$F$80),MATCH($B481,PERSONAL!$A$2:$A$80,0)))))</f>
        <v/>
      </c>
      <c r="N481" s="53">
        <f t="array" ref="N481">IFERROR(INDEX(EXCEPCIONES_FECHA!$E$2:$E$201,MATCH(1,(EXCEPCIONES_FECHA!$A$2:$A$201=$A481)*(EXCEPCIONES_FECHA!$B$2:$B$201=$B481),0)),IFERROR(INDEX(EXCEPCIONES_FECHA!$E$2:$E$201,MATCH(1,(EXCEPCIONES_FECHA!$A$2:$A$201=$A481)*(EXCEPCIONES_FECHA!$B$2:$B$201=""),0)),IFERROR(INDEX(IF($I481="FIN",HISTORIAL_HORARIOS!$K$2:$K$201,HISTORIAL_HORARIOS!$G$2:$G$201),MATCH(1,(HISTORIAL_HORARIOS!$A$2:$A$201=$B481)*(HISTORIAL_HORARIOS!$C$2:$C$201&lt;=$A481)*(HISTORIAL_HORARIOS!$D$2:$D$201&gt;=$A481),0)),INDEX(IF($I481="FIN",PERSONAL!$K$2:$K$80,PERSONAL!$G$2:$G$80),MATCH($B481,PERSONAL!$A$2:$A$80,0)))))</f>
        <v/>
      </c>
      <c r="O481" s="53">
        <f t="array" ref="O481">IFERROR(INDEX(EXCEPCIONES_FECHA!$F$2:$F$201,MATCH(1,(EXCEPCIONES_FECHA!$A$2:$A$201=$A481)*(EXCEPCIONES_FECHA!$B$2:$B$201=$B481),0)),IFERROR(INDEX(EXCEPCIONES_FECHA!$F$2:$F$201,MATCH(1,(EXCEPCIONES_FECHA!$A$2:$A$201=$A481)*(EXCEPCIONES_FECHA!$B$2:$B$201=""),0)),IFERROR(INDEX(IF($I481="FIN",HISTORIAL_HORARIOS!$L$2:$L$201,HISTORIAL_HORARIOS!$H$2:$H$201),MATCH(1,(HISTORIAL_HORARIOS!$A$2:$A$201=$B481)*(HISTORIAL_HORARIOS!$C$2:$C$201&lt;=$A481)*(HISTORIAL_HORARIOS!$D$2:$D$201&gt;=$A481),0)),INDEX(IF($I481="FIN",PERSONAL!$L$2:$L$80,PERSONAL!$H$2:$H$80),MATCH($B481,PERSONAL!$A$2:$A$80,0)))))</f>
        <v/>
      </c>
    </row>
    <row r="482" ht="15" customHeight="1" s="58">
      <c r="A482" s="37" t="n"/>
      <c r="B482" s="38" t="n"/>
      <c r="C482" s="39" t="n"/>
      <c r="D482" s="39" t="n"/>
      <c r="E482" s="34">
        <f t="array" ref="E482">IF($B482="","",IFERROR(INDEX(PERSONAL!$B$2:$B$80,MATCH($B482,PERSONAL!$A$2:$A$80,0)),"NO EXISTE"))</f>
        <v/>
      </c>
      <c r="F482" s="52">
        <f t="array" ref="F482">IF($B482="","",IFERROR(INDEX(PERSONAL!$C$2:$C$80,MATCH($B482,PERSONAL!$A$2:$A$80,0)),""))</f>
        <v/>
      </c>
      <c r="G482" s="52">
        <f>IF($A482="","",CHOOSE(WEEKDAY($A482,2),"LUNES","MARTES","MIÉRCOLES","JUEVES","VIERNES","SÁBADO","DOMINGO"))</f>
        <v/>
      </c>
      <c r="H482" s="34">
        <f>IF($A482="","",CHOOSE(MONTH($A482),"ENERO","FEBRERO","MARZO","ABRIL","MAYO","JUNIO","JULIO","AGOSTO","SEPTIEMBRE","OCTUBRE","NOVIEMBRE","DICIEMBRE"))</f>
        <v/>
      </c>
      <c r="I482" s="34">
        <f>IF($A482="","",IF(OR($G482="SÁBADO",$G482="DOMINGO"),"FIN","LV"))</f>
        <v/>
      </c>
      <c r="J482" s="34">
        <f>IF(OR($A482="",$B482=""),"",IF($L482&lt;&gt;"",UPPER($L482),IF($C482="","FALTA",IFERROR(IF($C482&gt;=$O482,"ROJO FUERTE",IF($C482&gt;=$N482,"ROJO",IF($C482&gt;=$M482,"AMARILLO","VERDE"))),"REVISAR"))))</f>
        <v/>
      </c>
      <c r="K482" s="36">
        <f>IF(OR($C482="",$D482=""),"",IF($D482&gt;=$C482,($D482-$C482)*24,(1-$C482+$D482)*24))</f>
        <v/>
      </c>
      <c r="L482" s="34" t="n"/>
      <c r="M482" s="53">
        <f t="array" ref="M482">IFERROR(INDEX(EXCEPCIONES_FECHA!$D$2:$D$201,MATCH(1,(EXCEPCIONES_FECHA!$A$2:$A$201=$A482)*(EXCEPCIONES_FECHA!$B$2:$B$201=$B482),0)),IFERROR(INDEX(EXCEPCIONES_FECHA!$D$2:$D$201,MATCH(1,(EXCEPCIONES_FECHA!$A$2:$A$201=$A482)*(EXCEPCIONES_FECHA!$B$2:$B$201=""),0)),IFERROR(INDEX(IF($I482="FIN",HISTORIAL_HORARIOS!$J$2:$J$201,HISTORIAL_HORARIOS!$F$2:$F$201),MATCH(1,(HISTORIAL_HORARIOS!$A$2:$A$201=$B482)*(HISTORIAL_HORARIOS!$C$2:$C$201&lt;=$A482)*(HISTORIAL_HORARIOS!$D$2:$D$201&gt;=$A482),0)),INDEX(IF($I482="FIN",PERSONAL!$J$2:$J$80,PERSONAL!$F$2:$F$80),MATCH($B482,PERSONAL!$A$2:$A$80,0)))))</f>
        <v/>
      </c>
      <c r="N482" s="53">
        <f t="array" ref="N482">IFERROR(INDEX(EXCEPCIONES_FECHA!$E$2:$E$201,MATCH(1,(EXCEPCIONES_FECHA!$A$2:$A$201=$A482)*(EXCEPCIONES_FECHA!$B$2:$B$201=$B482),0)),IFERROR(INDEX(EXCEPCIONES_FECHA!$E$2:$E$201,MATCH(1,(EXCEPCIONES_FECHA!$A$2:$A$201=$A482)*(EXCEPCIONES_FECHA!$B$2:$B$201=""),0)),IFERROR(INDEX(IF($I482="FIN",HISTORIAL_HORARIOS!$K$2:$K$201,HISTORIAL_HORARIOS!$G$2:$G$201),MATCH(1,(HISTORIAL_HORARIOS!$A$2:$A$201=$B482)*(HISTORIAL_HORARIOS!$C$2:$C$201&lt;=$A482)*(HISTORIAL_HORARIOS!$D$2:$D$201&gt;=$A482),0)),INDEX(IF($I482="FIN",PERSONAL!$K$2:$K$80,PERSONAL!$G$2:$G$80),MATCH($B482,PERSONAL!$A$2:$A$80,0)))))</f>
        <v/>
      </c>
      <c r="O482" s="53">
        <f t="array" ref="O482">IFERROR(INDEX(EXCEPCIONES_FECHA!$F$2:$F$201,MATCH(1,(EXCEPCIONES_FECHA!$A$2:$A$201=$A482)*(EXCEPCIONES_FECHA!$B$2:$B$201=$B482),0)),IFERROR(INDEX(EXCEPCIONES_FECHA!$F$2:$F$201,MATCH(1,(EXCEPCIONES_FECHA!$A$2:$A$201=$A482)*(EXCEPCIONES_FECHA!$B$2:$B$201=""),0)),IFERROR(INDEX(IF($I482="FIN",HISTORIAL_HORARIOS!$L$2:$L$201,HISTORIAL_HORARIOS!$H$2:$H$201),MATCH(1,(HISTORIAL_HORARIOS!$A$2:$A$201=$B482)*(HISTORIAL_HORARIOS!$C$2:$C$201&lt;=$A482)*(HISTORIAL_HORARIOS!$D$2:$D$201&gt;=$A482),0)),INDEX(IF($I482="FIN",PERSONAL!$L$2:$L$80,PERSONAL!$H$2:$H$80),MATCH($B482,PERSONAL!$A$2:$A$80,0)))))</f>
        <v/>
      </c>
    </row>
    <row r="483" ht="15" customHeight="1" s="58">
      <c r="A483" s="37" t="n"/>
      <c r="B483" s="38" t="n"/>
      <c r="C483" s="39" t="n"/>
      <c r="D483" s="39" t="n"/>
      <c r="E483" s="34">
        <f t="array" ref="E483">IF($B483="","",IFERROR(INDEX(PERSONAL!$B$2:$B$80,MATCH($B483,PERSONAL!$A$2:$A$80,0)),"NO EXISTE"))</f>
        <v/>
      </c>
      <c r="F483" s="52">
        <f t="array" ref="F483">IF($B483="","",IFERROR(INDEX(PERSONAL!$C$2:$C$80,MATCH($B483,PERSONAL!$A$2:$A$80,0)),""))</f>
        <v/>
      </c>
      <c r="G483" s="52">
        <f>IF($A483="","",CHOOSE(WEEKDAY($A483,2),"LUNES","MARTES","MIÉRCOLES","JUEVES","VIERNES","SÁBADO","DOMINGO"))</f>
        <v/>
      </c>
      <c r="H483" s="34">
        <f>IF($A483="","",CHOOSE(MONTH($A483),"ENERO","FEBRERO","MARZO","ABRIL","MAYO","JUNIO","JULIO","AGOSTO","SEPTIEMBRE","OCTUBRE","NOVIEMBRE","DICIEMBRE"))</f>
        <v/>
      </c>
      <c r="I483" s="34">
        <f>IF($A483="","",IF(OR($G483="SÁBADO",$G483="DOMINGO"),"FIN","LV"))</f>
        <v/>
      </c>
      <c r="J483" s="34">
        <f>IF(OR($A483="",$B483=""),"",IF($L483&lt;&gt;"",UPPER($L483),IF($C483="","FALTA",IFERROR(IF($C483&gt;=$O483,"ROJO FUERTE",IF($C483&gt;=$N483,"ROJO",IF($C483&gt;=$M483,"AMARILLO","VERDE"))),"REVISAR"))))</f>
        <v/>
      </c>
      <c r="K483" s="36">
        <f>IF(OR($C483="",$D483=""),"",IF($D483&gt;=$C483,($D483-$C483)*24,(1-$C483+$D483)*24))</f>
        <v/>
      </c>
      <c r="L483" s="34" t="n"/>
      <c r="M483" s="53">
        <f t="array" ref="M483">IFERROR(INDEX(EXCEPCIONES_FECHA!$D$2:$D$201,MATCH(1,(EXCEPCIONES_FECHA!$A$2:$A$201=$A483)*(EXCEPCIONES_FECHA!$B$2:$B$201=$B483),0)),IFERROR(INDEX(EXCEPCIONES_FECHA!$D$2:$D$201,MATCH(1,(EXCEPCIONES_FECHA!$A$2:$A$201=$A483)*(EXCEPCIONES_FECHA!$B$2:$B$201=""),0)),IFERROR(INDEX(IF($I483="FIN",HISTORIAL_HORARIOS!$J$2:$J$201,HISTORIAL_HORARIOS!$F$2:$F$201),MATCH(1,(HISTORIAL_HORARIOS!$A$2:$A$201=$B483)*(HISTORIAL_HORARIOS!$C$2:$C$201&lt;=$A483)*(HISTORIAL_HORARIOS!$D$2:$D$201&gt;=$A483),0)),INDEX(IF($I483="FIN",PERSONAL!$J$2:$J$80,PERSONAL!$F$2:$F$80),MATCH($B483,PERSONAL!$A$2:$A$80,0)))))</f>
        <v/>
      </c>
      <c r="N483" s="53">
        <f t="array" ref="N483">IFERROR(INDEX(EXCEPCIONES_FECHA!$E$2:$E$201,MATCH(1,(EXCEPCIONES_FECHA!$A$2:$A$201=$A483)*(EXCEPCIONES_FECHA!$B$2:$B$201=$B483),0)),IFERROR(INDEX(EXCEPCIONES_FECHA!$E$2:$E$201,MATCH(1,(EXCEPCIONES_FECHA!$A$2:$A$201=$A483)*(EXCEPCIONES_FECHA!$B$2:$B$201=""),0)),IFERROR(INDEX(IF($I483="FIN",HISTORIAL_HORARIOS!$K$2:$K$201,HISTORIAL_HORARIOS!$G$2:$G$201),MATCH(1,(HISTORIAL_HORARIOS!$A$2:$A$201=$B483)*(HISTORIAL_HORARIOS!$C$2:$C$201&lt;=$A483)*(HISTORIAL_HORARIOS!$D$2:$D$201&gt;=$A483),0)),INDEX(IF($I483="FIN",PERSONAL!$K$2:$K$80,PERSONAL!$G$2:$G$80),MATCH($B483,PERSONAL!$A$2:$A$80,0)))))</f>
        <v/>
      </c>
      <c r="O483" s="53">
        <f t="array" ref="O483">IFERROR(INDEX(EXCEPCIONES_FECHA!$F$2:$F$201,MATCH(1,(EXCEPCIONES_FECHA!$A$2:$A$201=$A483)*(EXCEPCIONES_FECHA!$B$2:$B$201=$B483),0)),IFERROR(INDEX(EXCEPCIONES_FECHA!$F$2:$F$201,MATCH(1,(EXCEPCIONES_FECHA!$A$2:$A$201=$A483)*(EXCEPCIONES_FECHA!$B$2:$B$201=""),0)),IFERROR(INDEX(IF($I483="FIN",HISTORIAL_HORARIOS!$L$2:$L$201,HISTORIAL_HORARIOS!$H$2:$H$201),MATCH(1,(HISTORIAL_HORARIOS!$A$2:$A$201=$B483)*(HISTORIAL_HORARIOS!$C$2:$C$201&lt;=$A483)*(HISTORIAL_HORARIOS!$D$2:$D$201&gt;=$A483),0)),INDEX(IF($I483="FIN",PERSONAL!$L$2:$L$80,PERSONAL!$H$2:$H$80),MATCH($B483,PERSONAL!$A$2:$A$80,0)))))</f>
        <v/>
      </c>
    </row>
    <row r="484" ht="15" customHeight="1" s="58">
      <c r="A484" s="37" t="n"/>
      <c r="B484" s="38" t="n"/>
      <c r="C484" s="39" t="n"/>
      <c r="D484" s="39" t="n"/>
      <c r="E484" s="34">
        <f t="array" ref="E484">IF($B484="","",IFERROR(INDEX(PERSONAL!$B$2:$B$80,MATCH($B484,PERSONAL!$A$2:$A$80,0)),"NO EXISTE"))</f>
        <v/>
      </c>
      <c r="F484" s="52">
        <f t="array" ref="F484">IF($B484="","",IFERROR(INDEX(PERSONAL!$C$2:$C$80,MATCH($B484,PERSONAL!$A$2:$A$80,0)),""))</f>
        <v/>
      </c>
      <c r="G484" s="52">
        <f>IF($A484="","",CHOOSE(WEEKDAY($A484,2),"LUNES","MARTES","MIÉRCOLES","JUEVES","VIERNES","SÁBADO","DOMINGO"))</f>
        <v/>
      </c>
      <c r="H484" s="34">
        <f>IF($A484="","",CHOOSE(MONTH($A484),"ENERO","FEBRERO","MARZO","ABRIL","MAYO","JUNIO","JULIO","AGOSTO","SEPTIEMBRE","OCTUBRE","NOVIEMBRE","DICIEMBRE"))</f>
        <v/>
      </c>
      <c r="I484" s="34">
        <f>IF($A484="","",IF(OR($G484="SÁBADO",$G484="DOMINGO"),"FIN","LV"))</f>
        <v/>
      </c>
      <c r="J484" s="34">
        <f>IF(OR($A484="",$B484=""),"",IF($L484&lt;&gt;"",UPPER($L484),IF($C484="","FALTA",IFERROR(IF($C484&gt;=$O484,"ROJO FUERTE",IF($C484&gt;=$N484,"ROJO",IF($C484&gt;=$M484,"AMARILLO","VERDE"))),"REVISAR"))))</f>
        <v/>
      </c>
      <c r="K484" s="36">
        <f>IF(OR($C484="",$D484=""),"",IF($D484&gt;=$C484,($D484-$C484)*24,(1-$C484+$D484)*24))</f>
        <v/>
      </c>
      <c r="L484" s="34" t="n"/>
      <c r="M484" s="53">
        <f t="array" ref="M484">IFERROR(INDEX(EXCEPCIONES_FECHA!$D$2:$D$201,MATCH(1,(EXCEPCIONES_FECHA!$A$2:$A$201=$A484)*(EXCEPCIONES_FECHA!$B$2:$B$201=$B484),0)),IFERROR(INDEX(EXCEPCIONES_FECHA!$D$2:$D$201,MATCH(1,(EXCEPCIONES_FECHA!$A$2:$A$201=$A484)*(EXCEPCIONES_FECHA!$B$2:$B$201=""),0)),IFERROR(INDEX(IF($I484="FIN",HISTORIAL_HORARIOS!$J$2:$J$201,HISTORIAL_HORARIOS!$F$2:$F$201),MATCH(1,(HISTORIAL_HORARIOS!$A$2:$A$201=$B484)*(HISTORIAL_HORARIOS!$C$2:$C$201&lt;=$A484)*(HISTORIAL_HORARIOS!$D$2:$D$201&gt;=$A484),0)),INDEX(IF($I484="FIN",PERSONAL!$J$2:$J$80,PERSONAL!$F$2:$F$80),MATCH($B484,PERSONAL!$A$2:$A$80,0)))))</f>
        <v/>
      </c>
      <c r="N484" s="53">
        <f t="array" ref="N484">IFERROR(INDEX(EXCEPCIONES_FECHA!$E$2:$E$201,MATCH(1,(EXCEPCIONES_FECHA!$A$2:$A$201=$A484)*(EXCEPCIONES_FECHA!$B$2:$B$201=$B484),0)),IFERROR(INDEX(EXCEPCIONES_FECHA!$E$2:$E$201,MATCH(1,(EXCEPCIONES_FECHA!$A$2:$A$201=$A484)*(EXCEPCIONES_FECHA!$B$2:$B$201=""),0)),IFERROR(INDEX(IF($I484="FIN",HISTORIAL_HORARIOS!$K$2:$K$201,HISTORIAL_HORARIOS!$G$2:$G$201),MATCH(1,(HISTORIAL_HORARIOS!$A$2:$A$201=$B484)*(HISTORIAL_HORARIOS!$C$2:$C$201&lt;=$A484)*(HISTORIAL_HORARIOS!$D$2:$D$201&gt;=$A484),0)),INDEX(IF($I484="FIN",PERSONAL!$K$2:$K$80,PERSONAL!$G$2:$G$80),MATCH($B484,PERSONAL!$A$2:$A$80,0)))))</f>
        <v/>
      </c>
      <c r="O484" s="53">
        <f t="array" ref="O484">IFERROR(INDEX(EXCEPCIONES_FECHA!$F$2:$F$201,MATCH(1,(EXCEPCIONES_FECHA!$A$2:$A$201=$A484)*(EXCEPCIONES_FECHA!$B$2:$B$201=$B484),0)),IFERROR(INDEX(EXCEPCIONES_FECHA!$F$2:$F$201,MATCH(1,(EXCEPCIONES_FECHA!$A$2:$A$201=$A484)*(EXCEPCIONES_FECHA!$B$2:$B$201=""),0)),IFERROR(INDEX(IF($I484="FIN",HISTORIAL_HORARIOS!$L$2:$L$201,HISTORIAL_HORARIOS!$H$2:$H$201),MATCH(1,(HISTORIAL_HORARIOS!$A$2:$A$201=$B484)*(HISTORIAL_HORARIOS!$C$2:$C$201&lt;=$A484)*(HISTORIAL_HORARIOS!$D$2:$D$201&gt;=$A484),0)),INDEX(IF($I484="FIN",PERSONAL!$L$2:$L$80,PERSONAL!$H$2:$H$80),MATCH($B484,PERSONAL!$A$2:$A$80,0)))))</f>
        <v/>
      </c>
    </row>
    <row r="485" ht="15" customHeight="1" s="58">
      <c r="A485" s="37" t="n"/>
      <c r="B485" s="38" t="n"/>
      <c r="C485" s="39" t="n"/>
      <c r="D485" s="39" t="n"/>
      <c r="E485" s="34">
        <f t="array" ref="E485">IF($B485="","",IFERROR(INDEX(PERSONAL!$B$2:$B$80,MATCH($B485,PERSONAL!$A$2:$A$80,0)),"NO EXISTE"))</f>
        <v/>
      </c>
      <c r="F485" s="52">
        <f t="array" ref="F485">IF($B485="","",IFERROR(INDEX(PERSONAL!$C$2:$C$80,MATCH($B485,PERSONAL!$A$2:$A$80,0)),""))</f>
        <v/>
      </c>
      <c r="G485" s="52">
        <f>IF($A485="","",CHOOSE(WEEKDAY($A485,2),"LUNES","MARTES","MIÉRCOLES","JUEVES","VIERNES","SÁBADO","DOMINGO"))</f>
        <v/>
      </c>
      <c r="H485" s="34">
        <f>IF($A485="","",CHOOSE(MONTH($A485),"ENERO","FEBRERO","MARZO","ABRIL","MAYO","JUNIO","JULIO","AGOSTO","SEPTIEMBRE","OCTUBRE","NOVIEMBRE","DICIEMBRE"))</f>
        <v/>
      </c>
      <c r="I485" s="34">
        <f>IF($A485="","",IF(OR($G485="SÁBADO",$G485="DOMINGO"),"FIN","LV"))</f>
        <v/>
      </c>
      <c r="J485" s="34">
        <f>IF(OR($A485="",$B485=""),"",IF($L485&lt;&gt;"",UPPER($L485),IF($C485="","FALTA",IFERROR(IF($C485&gt;=$O485,"ROJO FUERTE",IF($C485&gt;=$N485,"ROJO",IF($C485&gt;=$M485,"AMARILLO","VERDE"))),"REVISAR"))))</f>
        <v/>
      </c>
      <c r="K485" s="36">
        <f>IF(OR($C485="",$D485=""),"",IF($D485&gt;=$C485,($D485-$C485)*24,(1-$C485+$D485)*24))</f>
        <v/>
      </c>
      <c r="L485" s="34" t="n"/>
      <c r="M485" s="53">
        <f t="array" ref="M485">IFERROR(INDEX(EXCEPCIONES_FECHA!$D$2:$D$201,MATCH(1,(EXCEPCIONES_FECHA!$A$2:$A$201=$A485)*(EXCEPCIONES_FECHA!$B$2:$B$201=$B485),0)),IFERROR(INDEX(EXCEPCIONES_FECHA!$D$2:$D$201,MATCH(1,(EXCEPCIONES_FECHA!$A$2:$A$201=$A485)*(EXCEPCIONES_FECHA!$B$2:$B$201=""),0)),IFERROR(INDEX(IF($I485="FIN",HISTORIAL_HORARIOS!$J$2:$J$201,HISTORIAL_HORARIOS!$F$2:$F$201),MATCH(1,(HISTORIAL_HORARIOS!$A$2:$A$201=$B485)*(HISTORIAL_HORARIOS!$C$2:$C$201&lt;=$A485)*(HISTORIAL_HORARIOS!$D$2:$D$201&gt;=$A485),0)),INDEX(IF($I485="FIN",PERSONAL!$J$2:$J$80,PERSONAL!$F$2:$F$80),MATCH($B485,PERSONAL!$A$2:$A$80,0)))))</f>
        <v/>
      </c>
      <c r="N485" s="53">
        <f t="array" ref="N485">IFERROR(INDEX(EXCEPCIONES_FECHA!$E$2:$E$201,MATCH(1,(EXCEPCIONES_FECHA!$A$2:$A$201=$A485)*(EXCEPCIONES_FECHA!$B$2:$B$201=$B485),0)),IFERROR(INDEX(EXCEPCIONES_FECHA!$E$2:$E$201,MATCH(1,(EXCEPCIONES_FECHA!$A$2:$A$201=$A485)*(EXCEPCIONES_FECHA!$B$2:$B$201=""),0)),IFERROR(INDEX(IF($I485="FIN",HISTORIAL_HORARIOS!$K$2:$K$201,HISTORIAL_HORARIOS!$G$2:$G$201),MATCH(1,(HISTORIAL_HORARIOS!$A$2:$A$201=$B485)*(HISTORIAL_HORARIOS!$C$2:$C$201&lt;=$A485)*(HISTORIAL_HORARIOS!$D$2:$D$201&gt;=$A485),0)),INDEX(IF($I485="FIN",PERSONAL!$K$2:$K$80,PERSONAL!$G$2:$G$80),MATCH($B485,PERSONAL!$A$2:$A$80,0)))))</f>
        <v/>
      </c>
      <c r="O485" s="53">
        <f t="array" ref="O485">IFERROR(INDEX(EXCEPCIONES_FECHA!$F$2:$F$201,MATCH(1,(EXCEPCIONES_FECHA!$A$2:$A$201=$A485)*(EXCEPCIONES_FECHA!$B$2:$B$201=$B485),0)),IFERROR(INDEX(EXCEPCIONES_FECHA!$F$2:$F$201,MATCH(1,(EXCEPCIONES_FECHA!$A$2:$A$201=$A485)*(EXCEPCIONES_FECHA!$B$2:$B$201=""),0)),IFERROR(INDEX(IF($I485="FIN",HISTORIAL_HORARIOS!$L$2:$L$201,HISTORIAL_HORARIOS!$H$2:$H$201),MATCH(1,(HISTORIAL_HORARIOS!$A$2:$A$201=$B485)*(HISTORIAL_HORARIOS!$C$2:$C$201&lt;=$A485)*(HISTORIAL_HORARIOS!$D$2:$D$201&gt;=$A485),0)),INDEX(IF($I485="FIN",PERSONAL!$L$2:$L$80,PERSONAL!$H$2:$H$80),MATCH($B485,PERSONAL!$A$2:$A$80,0)))))</f>
        <v/>
      </c>
    </row>
    <row r="486" ht="15" customHeight="1" s="58">
      <c r="A486" s="37" t="n"/>
      <c r="B486" s="38" t="n"/>
      <c r="C486" s="39" t="n"/>
      <c r="D486" s="39" t="n"/>
      <c r="E486" s="34">
        <f t="array" ref="E486">IF($B486="","",IFERROR(INDEX(PERSONAL!$B$2:$B$80,MATCH($B486,PERSONAL!$A$2:$A$80,0)),"NO EXISTE"))</f>
        <v/>
      </c>
      <c r="F486" s="52">
        <f t="array" ref="F486">IF($B486="","",IFERROR(INDEX(PERSONAL!$C$2:$C$80,MATCH($B486,PERSONAL!$A$2:$A$80,0)),""))</f>
        <v/>
      </c>
      <c r="G486" s="52">
        <f>IF($A486="","",CHOOSE(WEEKDAY($A486,2),"LUNES","MARTES","MIÉRCOLES","JUEVES","VIERNES","SÁBADO","DOMINGO"))</f>
        <v/>
      </c>
      <c r="H486" s="34">
        <f>IF($A486="","",CHOOSE(MONTH($A486),"ENERO","FEBRERO","MARZO","ABRIL","MAYO","JUNIO","JULIO","AGOSTO","SEPTIEMBRE","OCTUBRE","NOVIEMBRE","DICIEMBRE"))</f>
        <v/>
      </c>
      <c r="I486" s="34">
        <f>IF($A486="","",IF(OR($G486="SÁBADO",$G486="DOMINGO"),"FIN","LV"))</f>
        <v/>
      </c>
      <c r="J486" s="34">
        <f>IF(OR($A486="",$B486=""),"",IF($L486&lt;&gt;"",UPPER($L486),IF($C486="","FALTA",IFERROR(IF($C486&gt;=$O486,"ROJO FUERTE",IF($C486&gt;=$N486,"ROJO",IF($C486&gt;=$M486,"AMARILLO","VERDE"))),"REVISAR"))))</f>
        <v/>
      </c>
      <c r="K486" s="36">
        <f>IF(OR($C486="",$D486=""),"",IF($D486&gt;=$C486,($D486-$C486)*24,(1-$C486+$D486)*24))</f>
        <v/>
      </c>
      <c r="L486" s="34" t="n"/>
      <c r="M486" s="53">
        <f t="array" ref="M486">IFERROR(INDEX(EXCEPCIONES_FECHA!$D$2:$D$201,MATCH(1,(EXCEPCIONES_FECHA!$A$2:$A$201=$A486)*(EXCEPCIONES_FECHA!$B$2:$B$201=$B486),0)),IFERROR(INDEX(EXCEPCIONES_FECHA!$D$2:$D$201,MATCH(1,(EXCEPCIONES_FECHA!$A$2:$A$201=$A486)*(EXCEPCIONES_FECHA!$B$2:$B$201=""),0)),IFERROR(INDEX(IF($I486="FIN",HISTORIAL_HORARIOS!$J$2:$J$201,HISTORIAL_HORARIOS!$F$2:$F$201),MATCH(1,(HISTORIAL_HORARIOS!$A$2:$A$201=$B486)*(HISTORIAL_HORARIOS!$C$2:$C$201&lt;=$A486)*(HISTORIAL_HORARIOS!$D$2:$D$201&gt;=$A486),0)),INDEX(IF($I486="FIN",PERSONAL!$J$2:$J$80,PERSONAL!$F$2:$F$80),MATCH($B486,PERSONAL!$A$2:$A$80,0)))))</f>
        <v/>
      </c>
      <c r="N486" s="53">
        <f t="array" ref="N486">IFERROR(INDEX(EXCEPCIONES_FECHA!$E$2:$E$201,MATCH(1,(EXCEPCIONES_FECHA!$A$2:$A$201=$A486)*(EXCEPCIONES_FECHA!$B$2:$B$201=$B486),0)),IFERROR(INDEX(EXCEPCIONES_FECHA!$E$2:$E$201,MATCH(1,(EXCEPCIONES_FECHA!$A$2:$A$201=$A486)*(EXCEPCIONES_FECHA!$B$2:$B$201=""),0)),IFERROR(INDEX(IF($I486="FIN",HISTORIAL_HORARIOS!$K$2:$K$201,HISTORIAL_HORARIOS!$G$2:$G$201),MATCH(1,(HISTORIAL_HORARIOS!$A$2:$A$201=$B486)*(HISTORIAL_HORARIOS!$C$2:$C$201&lt;=$A486)*(HISTORIAL_HORARIOS!$D$2:$D$201&gt;=$A486),0)),INDEX(IF($I486="FIN",PERSONAL!$K$2:$K$80,PERSONAL!$G$2:$G$80),MATCH($B486,PERSONAL!$A$2:$A$80,0)))))</f>
        <v/>
      </c>
      <c r="O486" s="53">
        <f t="array" ref="O486">IFERROR(INDEX(EXCEPCIONES_FECHA!$F$2:$F$201,MATCH(1,(EXCEPCIONES_FECHA!$A$2:$A$201=$A486)*(EXCEPCIONES_FECHA!$B$2:$B$201=$B486),0)),IFERROR(INDEX(EXCEPCIONES_FECHA!$F$2:$F$201,MATCH(1,(EXCEPCIONES_FECHA!$A$2:$A$201=$A486)*(EXCEPCIONES_FECHA!$B$2:$B$201=""),0)),IFERROR(INDEX(IF($I486="FIN",HISTORIAL_HORARIOS!$L$2:$L$201,HISTORIAL_HORARIOS!$H$2:$H$201),MATCH(1,(HISTORIAL_HORARIOS!$A$2:$A$201=$B486)*(HISTORIAL_HORARIOS!$C$2:$C$201&lt;=$A486)*(HISTORIAL_HORARIOS!$D$2:$D$201&gt;=$A486),0)),INDEX(IF($I486="FIN",PERSONAL!$L$2:$L$80,PERSONAL!$H$2:$H$80),MATCH($B486,PERSONAL!$A$2:$A$80,0)))))</f>
        <v/>
      </c>
    </row>
    <row r="487" ht="15" customHeight="1" s="58">
      <c r="A487" s="37" t="n"/>
      <c r="B487" s="38" t="n"/>
      <c r="C487" s="39" t="n"/>
      <c r="D487" s="39" t="n"/>
      <c r="E487" s="34">
        <f t="array" ref="E487">IF($B487="","",IFERROR(INDEX(PERSONAL!$B$2:$B$80,MATCH($B487,PERSONAL!$A$2:$A$80,0)),"NO EXISTE"))</f>
        <v/>
      </c>
      <c r="F487" s="52">
        <f t="array" ref="F487">IF($B487="","",IFERROR(INDEX(PERSONAL!$C$2:$C$80,MATCH($B487,PERSONAL!$A$2:$A$80,0)),""))</f>
        <v/>
      </c>
      <c r="G487" s="52">
        <f>IF($A487="","",CHOOSE(WEEKDAY($A487,2),"LUNES","MARTES","MIÉRCOLES","JUEVES","VIERNES","SÁBADO","DOMINGO"))</f>
        <v/>
      </c>
      <c r="H487" s="34">
        <f>IF($A487="","",CHOOSE(MONTH($A487),"ENERO","FEBRERO","MARZO","ABRIL","MAYO","JUNIO","JULIO","AGOSTO","SEPTIEMBRE","OCTUBRE","NOVIEMBRE","DICIEMBRE"))</f>
        <v/>
      </c>
      <c r="I487" s="34">
        <f>IF($A487="","",IF(OR($G487="SÁBADO",$G487="DOMINGO"),"FIN","LV"))</f>
        <v/>
      </c>
      <c r="J487" s="34">
        <f>IF(OR($A487="",$B487=""),"",IF($L487&lt;&gt;"",UPPER($L487),IF($C487="","FALTA",IFERROR(IF($C487&gt;=$O487,"ROJO FUERTE",IF($C487&gt;=$N487,"ROJO",IF($C487&gt;=$M487,"AMARILLO","VERDE"))),"REVISAR"))))</f>
        <v/>
      </c>
      <c r="K487" s="36">
        <f>IF(OR($C487="",$D487=""),"",IF($D487&gt;=$C487,($D487-$C487)*24,(1-$C487+$D487)*24))</f>
        <v/>
      </c>
      <c r="L487" s="34" t="n"/>
      <c r="M487" s="53">
        <f t="array" ref="M487">IFERROR(INDEX(EXCEPCIONES_FECHA!$D$2:$D$201,MATCH(1,(EXCEPCIONES_FECHA!$A$2:$A$201=$A487)*(EXCEPCIONES_FECHA!$B$2:$B$201=$B487),0)),IFERROR(INDEX(EXCEPCIONES_FECHA!$D$2:$D$201,MATCH(1,(EXCEPCIONES_FECHA!$A$2:$A$201=$A487)*(EXCEPCIONES_FECHA!$B$2:$B$201=""),0)),IFERROR(INDEX(IF($I487="FIN",HISTORIAL_HORARIOS!$J$2:$J$201,HISTORIAL_HORARIOS!$F$2:$F$201),MATCH(1,(HISTORIAL_HORARIOS!$A$2:$A$201=$B487)*(HISTORIAL_HORARIOS!$C$2:$C$201&lt;=$A487)*(HISTORIAL_HORARIOS!$D$2:$D$201&gt;=$A487),0)),INDEX(IF($I487="FIN",PERSONAL!$J$2:$J$80,PERSONAL!$F$2:$F$80),MATCH($B487,PERSONAL!$A$2:$A$80,0)))))</f>
        <v/>
      </c>
      <c r="N487" s="53">
        <f t="array" ref="N487">IFERROR(INDEX(EXCEPCIONES_FECHA!$E$2:$E$201,MATCH(1,(EXCEPCIONES_FECHA!$A$2:$A$201=$A487)*(EXCEPCIONES_FECHA!$B$2:$B$201=$B487),0)),IFERROR(INDEX(EXCEPCIONES_FECHA!$E$2:$E$201,MATCH(1,(EXCEPCIONES_FECHA!$A$2:$A$201=$A487)*(EXCEPCIONES_FECHA!$B$2:$B$201=""),0)),IFERROR(INDEX(IF($I487="FIN",HISTORIAL_HORARIOS!$K$2:$K$201,HISTORIAL_HORARIOS!$G$2:$G$201),MATCH(1,(HISTORIAL_HORARIOS!$A$2:$A$201=$B487)*(HISTORIAL_HORARIOS!$C$2:$C$201&lt;=$A487)*(HISTORIAL_HORARIOS!$D$2:$D$201&gt;=$A487),0)),INDEX(IF($I487="FIN",PERSONAL!$K$2:$K$80,PERSONAL!$G$2:$G$80),MATCH($B487,PERSONAL!$A$2:$A$80,0)))))</f>
        <v/>
      </c>
      <c r="O487" s="53">
        <f t="array" ref="O487">IFERROR(INDEX(EXCEPCIONES_FECHA!$F$2:$F$201,MATCH(1,(EXCEPCIONES_FECHA!$A$2:$A$201=$A487)*(EXCEPCIONES_FECHA!$B$2:$B$201=$B487),0)),IFERROR(INDEX(EXCEPCIONES_FECHA!$F$2:$F$201,MATCH(1,(EXCEPCIONES_FECHA!$A$2:$A$201=$A487)*(EXCEPCIONES_FECHA!$B$2:$B$201=""),0)),IFERROR(INDEX(IF($I487="FIN",HISTORIAL_HORARIOS!$L$2:$L$201,HISTORIAL_HORARIOS!$H$2:$H$201),MATCH(1,(HISTORIAL_HORARIOS!$A$2:$A$201=$B487)*(HISTORIAL_HORARIOS!$C$2:$C$201&lt;=$A487)*(HISTORIAL_HORARIOS!$D$2:$D$201&gt;=$A487),0)),INDEX(IF($I487="FIN",PERSONAL!$L$2:$L$80,PERSONAL!$H$2:$H$80),MATCH($B487,PERSONAL!$A$2:$A$80,0)))))</f>
        <v/>
      </c>
    </row>
    <row r="488" ht="15" customHeight="1" s="58">
      <c r="A488" s="37" t="n"/>
      <c r="B488" s="38" t="n"/>
      <c r="C488" s="39" t="n"/>
      <c r="D488" s="39" t="n"/>
      <c r="E488" s="34">
        <f t="array" ref="E488">IF($B488="","",IFERROR(INDEX(PERSONAL!$B$2:$B$80,MATCH($B488,PERSONAL!$A$2:$A$80,0)),"NO EXISTE"))</f>
        <v/>
      </c>
      <c r="F488" s="52">
        <f t="array" ref="F488">IF($B488="","",IFERROR(INDEX(PERSONAL!$C$2:$C$80,MATCH($B488,PERSONAL!$A$2:$A$80,0)),""))</f>
        <v/>
      </c>
      <c r="G488" s="52">
        <f>IF($A488="","",CHOOSE(WEEKDAY($A488,2),"LUNES","MARTES","MIÉRCOLES","JUEVES","VIERNES","SÁBADO","DOMINGO"))</f>
        <v/>
      </c>
      <c r="H488" s="34">
        <f>IF($A488="","",CHOOSE(MONTH($A488),"ENERO","FEBRERO","MARZO","ABRIL","MAYO","JUNIO","JULIO","AGOSTO","SEPTIEMBRE","OCTUBRE","NOVIEMBRE","DICIEMBRE"))</f>
        <v/>
      </c>
      <c r="I488" s="34">
        <f>IF($A488="","",IF(OR($G488="SÁBADO",$G488="DOMINGO"),"FIN","LV"))</f>
        <v/>
      </c>
      <c r="J488" s="34">
        <f>IF(OR($A488="",$B488=""),"",IF($L488&lt;&gt;"",UPPER($L488),IF($C488="","FALTA",IFERROR(IF($C488&gt;=$O488,"ROJO FUERTE",IF($C488&gt;=$N488,"ROJO",IF($C488&gt;=$M488,"AMARILLO","VERDE"))),"REVISAR"))))</f>
        <v/>
      </c>
      <c r="K488" s="36">
        <f>IF(OR($C488="",$D488=""),"",IF($D488&gt;=$C488,($D488-$C488)*24,(1-$C488+$D488)*24))</f>
        <v/>
      </c>
      <c r="L488" s="34" t="n"/>
      <c r="M488" s="53">
        <f t="array" ref="M488">IFERROR(INDEX(EXCEPCIONES_FECHA!$D$2:$D$201,MATCH(1,(EXCEPCIONES_FECHA!$A$2:$A$201=$A488)*(EXCEPCIONES_FECHA!$B$2:$B$201=$B488),0)),IFERROR(INDEX(EXCEPCIONES_FECHA!$D$2:$D$201,MATCH(1,(EXCEPCIONES_FECHA!$A$2:$A$201=$A488)*(EXCEPCIONES_FECHA!$B$2:$B$201=""),0)),IFERROR(INDEX(IF($I488="FIN",HISTORIAL_HORARIOS!$J$2:$J$201,HISTORIAL_HORARIOS!$F$2:$F$201),MATCH(1,(HISTORIAL_HORARIOS!$A$2:$A$201=$B488)*(HISTORIAL_HORARIOS!$C$2:$C$201&lt;=$A488)*(HISTORIAL_HORARIOS!$D$2:$D$201&gt;=$A488),0)),INDEX(IF($I488="FIN",PERSONAL!$J$2:$J$80,PERSONAL!$F$2:$F$80),MATCH($B488,PERSONAL!$A$2:$A$80,0)))))</f>
        <v/>
      </c>
      <c r="N488" s="53">
        <f t="array" ref="N488">IFERROR(INDEX(EXCEPCIONES_FECHA!$E$2:$E$201,MATCH(1,(EXCEPCIONES_FECHA!$A$2:$A$201=$A488)*(EXCEPCIONES_FECHA!$B$2:$B$201=$B488),0)),IFERROR(INDEX(EXCEPCIONES_FECHA!$E$2:$E$201,MATCH(1,(EXCEPCIONES_FECHA!$A$2:$A$201=$A488)*(EXCEPCIONES_FECHA!$B$2:$B$201=""),0)),IFERROR(INDEX(IF($I488="FIN",HISTORIAL_HORARIOS!$K$2:$K$201,HISTORIAL_HORARIOS!$G$2:$G$201),MATCH(1,(HISTORIAL_HORARIOS!$A$2:$A$201=$B488)*(HISTORIAL_HORARIOS!$C$2:$C$201&lt;=$A488)*(HISTORIAL_HORARIOS!$D$2:$D$201&gt;=$A488),0)),INDEX(IF($I488="FIN",PERSONAL!$K$2:$K$80,PERSONAL!$G$2:$G$80),MATCH($B488,PERSONAL!$A$2:$A$80,0)))))</f>
        <v/>
      </c>
      <c r="O488" s="53">
        <f t="array" ref="O488">IFERROR(INDEX(EXCEPCIONES_FECHA!$F$2:$F$201,MATCH(1,(EXCEPCIONES_FECHA!$A$2:$A$201=$A488)*(EXCEPCIONES_FECHA!$B$2:$B$201=$B488),0)),IFERROR(INDEX(EXCEPCIONES_FECHA!$F$2:$F$201,MATCH(1,(EXCEPCIONES_FECHA!$A$2:$A$201=$A488)*(EXCEPCIONES_FECHA!$B$2:$B$201=""),0)),IFERROR(INDEX(IF($I488="FIN",HISTORIAL_HORARIOS!$L$2:$L$201,HISTORIAL_HORARIOS!$H$2:$H$201),MATCH(1,(HISTORIAL_HORARIOS!$A$2:$A$201=$B488)*(HISTORIAL_HORARIOS!$C$2:$C$201&lt;=$A488)*(HISTORIAL_HORARIOS!$D$2:$D$201&gt;=$A488),0)),INDEX(IF($I488="FIN",PERSONAL!$L$2:$L$80,PERSONAL!$H$2:$H$80),MATCH($B488,PERSONAL!$A$2:$A$80,0)))))</f>
        <v/>
      </c>
    </row>
    <row r="489" ht="15" customHeight="1" s="58">
      <c r="A489" s="37" t="n"/>
      <c r="B489" s="38" t="n"/>
      <c r="C489" s="39" t="n"/>
      <c r="D489" s="39" t="n"/>
      <c r="E489" s="34">
        <f t="array" ref="E489">IF($B489="","",IFERROR(INDEX(PERSONAL!$B$2:$B$80,MATCH($B489,PERSONAL!$A$2:$A$80,0)),"NO EXISTE"))</f>
        <v/>
      </c>
      <c r="F489" s="52">
        <f t="array" ref="F489">IF($B489="","",IFERROR(INDEX(PERSONAL!$C$2:$C$80,MATCH($B489,PERSONAL!$A$2:$A$80,0)),""))</f>
        <v/>
      </c>
      <c r="G489" s="52">
        <f>IF($A489="","",CHOOSE(WEEKDAY($A489,2),"LUNES","MARTES","MIÉRCOLES","JUEVES","VIERNES","SÁBADO","DOMINGO"))</f>
        <v/>
      </c>
      <c r="H489" s="34">
        <f>IF($A489="","",CHOOSE(MONTH($A489),"ENERO","FEBRERO","MARZO","ABRIL","MAYO","JUNIO","JULIO","AGOSTO","SEPTIEMBRE","OCTUBRE","NOVIEMBRE","DICIEMBRE"))</f>
        <v/>
      </c>
      <c r="I489" s="34">
        <f>IF($A489="","",IF(OR($G489="SÁBADO",$G489="DOMINGO"),"FIN","LV"))</f>
        <v/>
      </c>
      <c r="J489" s="34">
        <f>IF(OR($A489="",$B489=""),"",IF($L489&lt;&gt;"",UPPER($L489),IF($C489="","FALTA",IFERROR(IF($C489&gt;=$O489,"ROJO FUERTE",IF($C489&gt;=$N489,"ROJO",IF($C489&gt;=$M489,"AMARILLO","VERDE"))),"REVISAR"))))</f>
        <v/>
      </c>
      <c r="K489" s="36">
        <f>IF(OR($C489="",$D489=""),"",IF($D489&gt;=$C489,($D489-$C489)*24,(1-$C489+$D489)*24))</f>
        <v/>
      </c>
      <c r="L489" s="34" t="n"/>
      <c r="M489" s="53">
        <f t="array" ref="M489">IFERROR(INDEX(EXCEPCIONES_FECHA!$D$2:$D$201,MATCH(1,(EXCEPCIONES_FECHA!$A$2:$A$201=$A489)*(EXCEPCIONES_FECHA!$B$2:$B$201=$B489),0)),IFERROR(INDEX(EXCEPCIONES_FECHA!$D$2:$D$201,MATCH(1,(EXCEPCIONES_FECHA!$A$2:$A$201=$A489)*(EXCEPCIONES_FECHA!$B$2:$B$201=""),0)),IFERROR(INDEX(IF($I489="FIN",HISTORIAL_HORARIOS!$J$2:$J$201,HISTORIAL_HORARIOS!$F$2:$F$201),MATCH(1,(HISTORIAL_HORARIOS!$A$2:$A$201=$B489)*(HISTORIAL_HORARIOS!$C$2:$C$201&lt;=$A489)*(HISTORIAL_HORARIOS!$D$2:$D$201&gt;=$A489),0)),INDEX(IF($I489="FIN",PERSONAL!$J$2:$J$80,PERSONAL!$F$2:$F$80),MATCH($B489,PERSONAL!$A$2:$A$80,0)))))</f>
        <v/>
      </c>
      <c r="N489" s="53">
        <f t="array" ref="N489">IFERROR(INDEX(EXCEPCIONES_FECHA!$E$2:$E$201,MATCH(1,(EXCEPCIONES_FECHA!$A$2:$A$201=$A489)*(EXCEPCIONES_FECHA!$B$2:$B$201=$B489),0)),IFERROR(INDEX(EXCEPCIONES_FECHA!$E$2:$E$201,MATCH(1,(EXCEPCIONES_FECHA!$A$2:$A$201=$A489)*(EXCEPCIONES_FECHA!$B$2:$B$201=""),0)),IFERROR(INDEX(IF($I489="FIN",HISTORIAL_HORARIOS!$K$2:$K$201,HISTORIAL_HORARIOS!$G$2:$G$201),MATCH(1,(HISTORIAL_HORARIOS!$A$2:$A$201=$B489)*(HISTORIAL_HORARIOS!$C$2:$C$201&lt;=$A489)*(HISTORIAL_HORARIOS!$D$2:$D$201&gt;=$A489),0)),INDEX(IF($I489="FIN",PERSONAL!$K$2:$K$80,PERSONAL!$G$2:$G$80),MATCH($B489,PERSONAL!$A$2:$A$80,0)))))</f>
        <v/>
      </c>
      <c r="O489" s="53">
        <f t="array" ref="O489">IFERROR(INDEX(EXCEPCIONES_FECHA!$F$2:$F$201,MATCH(1,(EXCEPCIONES_FECHA!$A$2:$A$201=$A489)*(EXCEPCIONES_FECHA!$B$2:$B$201=$B489),0)),IFERROR(INDEX(EXCEPCIONES_FECHA!$F$2:$F$201,MATCH(1,(EXCEPCIONES_FECHA!$A$2:$A$201=$A489)*(EXCEPCIONES_FECHA!$B$2:$B$201=""),0)),IFERROR(INDEX(IF($I489="FIN",HISTORIAL_HORARIOS!$L$2:$L$201,HISTORIAL_HORARIOS!$H$2:$H$201),MATCH(1,(HISTORIAL_HORARIOS!$A$2:$A$201=$B489)*(HISTORIAL_HORARIOS!$C$2:$C$201&lt;=$A489)*(HISTORIAL_HORARIOS!$D$2:$D$201&gt;=$A489),0)),INDEX(IF($I489="FIN",PERSONAL!$L$2:$L$80,PERSONAL!$H$2:$H$80),MATCH($B489,PERSONAL!$A$2:$A$80,0)))))</f>
        <v/>
      </c>
    </row>
    <row r="490" ht="15" customHeight="1" s="58">
      <c r="A490" s="37" t="n"/>
      <c r="B490" s="38" t="n"/>
      <c r="C490" s="39" t="n"/>
      <c r="D490" s="39" t="n"/>
      <c r="E490" s="34">
        <f t="array" ref="E490">IF($B490="","",IFERROR(INDEX(PERSONAL!$B$2:$B$80,MATCH($B490,PERSONAL!$A$2:$A$80,0)),"NO EXISTE"))</f>
        <v/>
      </c>
      <c r="F490" s="52">
        <f t="array" ref="F490">IF($B490="","",IFERROR(INDEX(PERSONAL!$C$2:$C$80,MATCH($B490,PERSONAL!$A$2:$A$80,0)),""))</f>
        <v/>
      </c>
      <c r="G490" s="52">
        <f>IF($A490="","",CHOOSE(WEEKDAY($A490,2),"LUNES","MARTES","MIÉRCOLES","JUEVES","VIERNES","SÁBADO","DOMINGO"))</f>
        <v/>
      </c>
      <c r="H490" s="34">
        <f>IF($A490="","",CHOOSE(MONTH($A490),"ENERO","FEBRERO","MARZO","ABRIL","MAYO","JUNIO","JULIO","AGOSTO","SEPTIEMBRE","OCTUBRE","NOVIEMBRE","DICIEMBRE"))</f>
        <v/>
      </c>
      <c r="I490" s="34">
        <f>IF($A490="","",IF(OR($G490="SÁBADO",$G490="DOMINGO"),"FIN","LV"))</f>
        <v/>
      </c>
      <c r="J490" s="34">
        <f>IF(OR($A490="",$B490=""),"",IF($L490&lt;&gt;"",UPPER($L490),IF($C490="","FALTA",IFERROR(IF($C490&gt;=$O490,"ROJO FUERTE",IF($C490&gt;=$N490,"ROJO",IF($C490&gt;=$M490,"AMARILLO","VERDE"))),"REVISAR"))))</f>
        <v/>
      </c>
      <c r="K490" s="36">
        <f>IF(OR($C490="",$D490=""),"",IF($D490&gt;=$C490,($D490-$C490)*24,(1-$C490+$D490)*24))</f>
        <v/>
      </c>
      <c r="L490" s="34" t="n"/>
      <c r="M490" s="53">
        <f t="array" ref="M490">IFERROR(INDEX(EXCEPCIONES_FECHA!$D$2:$D$201,MATCH(1,(EXCEPCIONES_FECHA!$A$2:$A$201=$A490)*(EXCEPCIONES_FECHA!$B$2:$B$201=$B490),0)),IFERROR(INDEX(EXCEPCIONES_FECHA!$D$2:$D$201,MATCH(1,(EXCEPCIONES_FECHA!$A$2:$A$201=$A490)*(EXCEPCIONES_FECHA!$B$2:$B$201=""),0)),IFERROR(INDEX(IF($I490="FIN",HISTORIAL_HORARIOS!$J$2:$J$201,HISTORIAL_HORARIOS!$F$2:$F$201),MATCH(1,(HISTORIAL_HORARIOS!$A$2:$A$201=$B490)*(HISTORIAL_HORARIOS!$C$2:$C$201&lt;=$A490)*(HISTORIAL_HORARIOS!$D$2:$D$201&gt;=$A490),0)),INDEX(IF($I490="FIN",PERSONAL!$J$2:$J$80,PERSONAL!$F$2:$F$80),MATCH($B490,PERSONAL!$A$2:$A$80,0)))))</f>
        <v/>
      </c>
      <c r="N490" s="53">
        <f t="array" ref="N490">IFERROR(INDEX(EXCEPCIONES_FECHA!$E$2:$E$201,MATCH(1,(EXCEPCIONES_FECHA!$A$2:$A$201=$A490)*(EXCEPCIONES_FECHA!$B$2:$B$201=$B490),0)),IFERROR(INDEX(EXCEPCIONES_FECHA!$E$2:$E$201,MATCH(1,(EXCEPCIONES_FECHA!$A$2:$A$201=$A490)*(EXCEPCIONES_FECHA!$B$2:$B$201=""),0)),IFERROR(INDEX(IF($I490="FIN",HISTORIAL_HORARIOS!$K$2:$K$201,HISTORIAL_HORARIOS!$G$2:$G$201),MATCH(1,(HISTORIAL_HORARIOS!$A$2:$A$201=$B490)*(HISTORIAL_HORARIOS!$C$2:$C$201&lt;=$A490)*(HISTORIAL_HORARIOS!$D$2:$D$201&gt;=$A490),0)),INDEX(IF($I490="FIN",PERSONAL!$K$2:$K$80,PERSONAL!$G$2:$G$80),MATCH($B490,PERSONAL!$A$2:$A$80,0)))))</f>
        <v/>
      </c>
      <c r="O490" s="53">
        <f t="array" ref="O490">IFERROR(INDEX(EXCEPCIONES_FECHA!$F$2:$F$201,MATCH(1,(EXCEPCIONES_FECHA!$A$2:$A$201=$A490)*(EXCEPCIONES_FECHA!$B$2:$B$201=$B490),0)),IFERROR(INDEX(EXCEPCIONES_FECHA!$F$2:$F$201,MATCH(1,(EXCEPCIONES_FECHA!$A$2:$A$201=$A490)*(EXCEPCIONES_FECHA!$B$2:$B$201=""),0)),IFERROR(INDEX(IF($I490="FIN",HISTORIAL_HORARIOS!$L$2:$L$201,HISTORIAL_HORARIOS!$H$2:$H$201),MATCH(1,(HISTORIAL_HORARIOS!$A$2:$A$201=$B490)*(HISTORIAL_HORARIOS!$C$2:$C$201&lt;=$A490)*(HISTORIAL_HORARIOS!$D$2:$D$201&gt;=$A490),0)),INDEX(IF($I490="FIN",PERSONAL!$L$2:$L$80,PERSONAL!$H$2:$H$80),MATCH($B490,PERSONAL!$A$2:$A$80,0)))))</f>
        <v/>
      </c>
    </row>
    <row r="491" ht="15" customHeight="1" s="58">
      <c r="A491" s="37" t="n"/>
      <c r="B491" s="38" t="n"/>
      <c r="C491" s="39" t="n"/>
      <c r="D491" s="39" t="n"/>
      <c r="E491" s="34">
        <f t="array" ref="E491">IF($B491="","",IFERROR(INDEX(PERSONAL!$B$2:$B$80,MATCH($B491,PERSONAL!$A$2:$A$80,0)),"NO EXISTE"))</f>
        <v/>
      </c>
      <c r="F491" s="52">
        <f t="array" ref="F491">IF($B491="","",IFERROR(INDEX(PERSONAL!$C$2:$C$80,MATCH($B491,PERSONAL!$A$2:$A$80,0)),""))</f>
        <v/>
      </c>
      <c r="G491" s="52">
        <f>IF($A491="","",CHOOSE(WEEKDAY($A491,2),"LUNES","MARTES","MIÉRCOLES","JUEVES","VIERNES","SÁBADO","DOMINGO"))</f>
        <v/>
      </c>
      <c r="H491" s="34">
        <f>IF($A491="","",CHOOSE(MONTH($A491),"ENERO","FEBRERO","MARZO","ABRIL","MAYO","JUNIO","JULIO","AGOSTO","SEPTIEMBRE","OCTUBRE","NOVIEMBRE","DICIEMBRE"))</f>
        <v/>
      </c>
      <c r="I491" s="34">
        <f>IF($A491="","",IF(OR($G491="SÁBADO",$G491="DOMINGO"),"FIN","LV"))</f>
        <v/>
      </c>
      <c r="J491" s="34">
        <f>IF(OR($A491="",$B491=""),"",IF($L491&lt;&gt;"",UPPER($L491),IF($C491="","FALTA",IFERROR(IF($C491&gt;=$O491,"ROJO FUERTE",IF($C491&gt;=$N491,"ROJO",IF($C491&gt;=$M491,"AMARILLO","VERDE"))),"REVISAR"))))</f>
        <v/>
      </c>
      <c r="K491" s="36">
        <f>IF(OR($C491="",$D491=""),"",IF($D491&gt;=$C491,($D491-$C491)*24,(1-$C491+$D491)*24))</f>
        <v/>
      </c>
      <c r="L491" s="34" t="n"/>
      <c r="M491" s="53">
        <f t="array" ref="M491">IFERROR(INDEX(EXCEPCIONES_FECHA!$D$2:$D$201,MATCH(1,(EXCEPCIONES_FECHA!$A$2:$A$201=$A491)*(EXCEPCIONES_FECHA!$B$2:$B$201=$B491),0)),IFERROR(INDEX(EXCEPCIONES_FECHA!$D$2:$D$201,MATCH(1,(EXCEPCIONES_FECHA!$A$2:$A$201=$A491)*(EXCEPCIONES_FECHA!$B$2:$B$201=""),0)),IFERROR(INDEX(IF($I491="FIN",HISTORIAL_HORARIOS!$J$2:$J$201,HISTORIAL_HORARIOS!$F$2:$F$201),MATCH(1,(HISTORIAL_HORARIOS!$A$2:$A$201=$B491)*(HISTORIAL_HORARIOS!$C$2:$C$201&lt;=$A491)*(HISTORIAL_HORARIOS!$D$2:$D$201&gt;=$A491),0)),INDEX(IF($I491="FIN",PERSONAL!$J$2:$J$80,PERSONAL!$F$2:$F$80),MATCH($B491,PERSONAL!$A$2:$A$80,0)))))</f>
        <v/>
      </c>
      <c r="N491" s="53">
        <f t="array" ref="N491">IFERROR(INDEX(EXCEPCIONES_FECHA!$E$2:$E$201,MATCH(1,(EXCEPCIONES_FECHA!$A$2:$A$201=$A491)*(EXCEPCIONES_FECHA!$B$2:$B$201=$B491),0)),IFERROR(INDEX(EXCEPCIONES_FECHA!$E$2:$E$201,MATCH(1,(EXCEPCIONES_FECHA!$A$2:$A$201=$A491)*(EXCEPCIONES_FECHA!$B$2:$B$201=""),0)),IFERROR(INDEX(IF($I491="FIN",HISTORIAL_HORARIOS!$K$2:$K$201,HISTORIAL_HORARIOS!$G$2:$G$201),MATCH(1,(HISTORIAL_HORARIOS!$A$2:$A$201=$B491)*(HISTORIAL_HORARIOS!$C$2:$C$201&lt;=$A491)*(HISTORIAL_HORARIOS!$D$2:$D$201&gt;=$A491),0)),INDEX(IF($I491="FIN",PERSONAL!$K$2:$K$80,PERSONAL!$G$2:$G$80),MATCH($B491,PERSONAL!$A$2:$A$80,0)))))</f>
        <v/>
      </c>
      <c r="O491" s="53">
        <f t="array" ref="O491">IFERROR(INDEX(EXCEPCIONES_FECHA!$F$2:$F$201,MATCH(1,(EXCEPCIONES_FECHA!$A$2:$A$201=$A491)*(EXCEPCIONES_FECHA!$B$2:$B$201=$B491),0)),IFERROR(INDEX(EXCEPCIONES_FECHA!$F$2:$F$201,MATCH(1,(EXCEPCIONES_FECHA!$A$2:$A$201=$A491)*(EXCEPCIONES_FECHA!$B$2:$B$201=""),0)),IFERROR(INDEX(IF($I491="FIN",HISTORIAL_HORARIOS!$L$2:$L$201,HISTORIAL_HORARIOS!$H$2:$H$201),MATCH(1,(HISTORIAL_HORARIOS!$A$2:$A$201=$B491)*(HISTORIAL_HORARIOS!$C$2:$C$201&lt;=$A491)*(HISTORIAL_HORARIOS!$D$2:$D$201&gt;=$A491),0)),INDEX(IF($I491="FIN",PERSONAL!$L$2:$L$80,PERSONAL!$H$2:$H$80),MATCH($B491,PERSONAL!$A$2:$A$80,0)))))</f>
        <v/>
      </c>
    </row>
    <row r="492" ht="15" customHeight="1" s="58">
      <c r="A492" s="37" t="n"/>
      <c r="B492" s="38" t="n"/>
      <c r="C492" s="39" t="n"/>
      <c r="D492" s="39" t="n"/>
      <c r="E492" s="34">
        <f t="array" ref="E492">IF($B492="","",IFERROR(INDEX(PERSONAL!$B$2:$B$80,MATCH($B492,PERSONAL!$A$2:$A$80,0)),"NO EXISTE"))</f>
        <v/>
      </c>
      <c r="F492" s="52">
        <f t="array" ref="F492">IF($B492="","",IFERROR(INDEX(PERSONAL!$C$2:$C$80,MATCH($B492,PERSONAL!$A$2:$A$80,0)),""))</f>
        <v/>
      </c>
      <c r="G492" s="52">
        <f>IF($A492="","",CHOOSE(WEEKDAY($A492,2),"LUNES","MARTES","MIÉRCOLES","JUEVES","VIERNES","SÁBADO","DOMINGO"))</f>
        <v/>
      </c>
      <c r="H492" s="34">
        <f>IF($A492="","",CHOOSE(MONTH($A492),"ENERO","FEBRERO","MARZO","ABRIL","MAYO","JUNIO","JULIO","AGOSTO","SEPTIEMBRE","OCTUBRE","NOVIEMBRE","DICIEMBRE"))</f>
        <v/>
      </c>
      <c r="I492" s="34">
        <f>IF($A492="","",IF(OR($G492="SÁBADO",$G492="DOMINGO"),"FIN","LV"))</f>
        <v/>
      </c>
      <c r="J492" s="34">
        <f>IF(OR($A492="",$B492=""),"",IF($L492&lt;&gt;"",UPPER($L492),IF($C492="","FALTA",IFERROR(IF($C492&gt;=$O492,"ROJO FUERTE",IF($C492&gt;=$N492,"ROJO",IF($C492&gt;=$M492,"AMARILLO","VERDE"))),"REVISAR"))))</f>
        <v/>
      </c>
      <c r="K492" s="36">
        <f>IF(OR($C492="",$D492=""),"",IF($D492&gt;=$C492,($D492-$C492)*24,(1-$C492+$D492)*24))</f>
        <v/>
      </c>
      <c r="L492" s="34" t="n"/>
      <c r="M492" s="53">
        <f t="array" ref="M492">IFERROR(INDEX(EXCEPCIONES_FECHA!$D$2:$D$201,MATCH(1,(EXCEPCIONES_FECHA!$A$2:$A$201=$A492)*(EXCEPCIONES_FECHA!$B$2:$B$201=$B492),0)),IFERROR(INDEX(EXCEPCIONES_FECHA!$D$2:$D$201,MATCH(1,(EXCEPCIONES_FECHA!$A$2:$A$201=$A492)*(EXCEPCIONES_FECHA!$B$2:$B$201=""),0)),IFERROR(INDEX(IF($I492="FIN",HISTORIAL_HORARIOS!$J$2:$J$201,HISTORIAL_HORARIOS!$F$2:$F$201),MATCH(1,(HISTORIAL_HORARIOS!$A$2:$A$201=$B492)*(HISTORIAL_HORARIOS!$C$2:$C$201&lt;=$A492)*(HISTORIAL_HORARIOS!$D$2:$D$201&gt;=$A492),0)),INDEX(IF($I492="FIN",PERSONAL!$J$2:$J$80,PERSONAL!$F$2:$F$80),MATCH($B492,PERSONAL!$A$2:$A$80,0)))))</f>
        <v/>
      </c>
      <c r="N492" s="53">
        <f t="array" ref="N492">IFERROR(INDEX(EXCEPCIONES_FECHA!$E$2:$E$201,MATCH(1,(EXCEPCIONES_FECHA!$A$2:$A$201=$A492)*(EXCEPCIONES_FECHA!$B$2:$B$201=$B492),0)),IFERROR(INDEX(EXCEPCIONES_FECHA!$E$2:$E$201,MATCH(1,(EXCEPCIONES_FECHA!$A$2:$A$201=$A492)*(EXCEPCIONES_FECHA!$B$2:$B$201=""),0)),IFERROR(INDEX(IF($I492="FIN",HISTORIAL_HORARIOS!$K$2:$K$201,HISTORIAL_HORARIOS!$G$2:$G$201),MATCH(1,(HISTORIAL_HORARIOS!$A$2:$A$201=$B492)*(HISTORIAL_HORARIOS!$C$2:$C$201&lt;=$A492)*(HISTORIAL_HORARIOS!$D$2:$D$201&gt;=$A492),0)),INDEX(IF($I492="FIN",PERSONAL!$K$2:$K$80,PERSONAL!$G$2:$G$80),MATCH($B492,PERSONAL!$A$2:$A$80,0)))))</f>
        <v/>
      </c>
      <c r="O492" s="53">
        <f t="array" ref="O492">IFERROR(INDEX(EXCEPCIONES_FECHA!$F$2:$F$201,MATCH(1,(EXCEPCIONES_FECHA!$A$2:$A$201=$A492)*(EXCEPCIONES_FECHA!$B$2:$B$201=$B492),0)),IFERROR(INDEX(EXCEPCIONES_FECHA!$F$2:$F$201,MATCH(1,(EXCEPCIONES_FECHA!$A$2:$A$201=$A492)*(EXCEPCIONES_FECHA!$B$2:$B$201=""),0)),IFERROR(INDEX(IF($I492="FIN",HISTORIAL_HORARIOS!$L$2:$L$201,HISTORIAL_HORARIOS!$H$2:$H$201),MATCH(1,(HISTORIAL_HORARIOS!$A$2:$A$201=$B492)*(HISTORIAL_HORARIOS!$C$2:$C$201&lt;=$A492)*(HISTORIAL_HORARIOS!$D$2:$D$201&gt;=$A492),0)),INDEX(IF($I492="FIN",PERSONAL!$L$2:$L$80,PERSONAL!$H$2:$H$80),MATCH($B492,PERSONAL!$A$2:$A$80,0)))))</f>
        <v/>
      </c>
    </row>
    <row r="493" ht="15" customHeight="1" s="58">
      <c r="A493" s="37" t="n"/>
      <c r="B493" s="38" t="n"/>
      <c r="C493" s="39" t="n"/>
      <c r="D493" s="39" t="n"/>
      <c r="E493" s="34">
        <f t="array" ref="E493">IF($B493="","",IFERROR(INDEX(PERSONAL!$B$2:$B$80,MATCH($B493,PERSONAL!$A$2:$A$80,0)),"NO EXISTE"))</f>
        <v/>
      </c>
      <c r="F493" s="52">
        <f t="array" ref="F493">IF($B493="","",IFERROR(INDEX(PERSONAL!$C$2:$C$80,MATCH($B493,PERSONAL!$A$2:$A$80,0)),""))</f>
        <v/>
      </c>
      <c r="G493" s="52">
        <f>IF($A493="","",CHOOSE(WEEKDAY($A493,2),"LUNES","MARTES","MIÉRCOLES","JUEVES","VIERNES","SÁBADO","DOMINGO"))</f>
        <v/>
      </c>
      <c r="H493" s="34">
        <f>IF($A493="","",CHOOSE(MONTH($A493),"ENERO","FEBRERO","MARZO","ABRIL","MAYO","JUNIO","JULIO","AGOSTO","SEPTIEMBRE","OCTUBRE","NOVIEMBRE","DICIEMBRE"))</f>
        <v/>
      </c>
      <c r="I493" s="34">
        <f>IF($A493="","",IF(OR($G493="SÁBADO",$G493="DOMINGO"),"FIN","LV"))</f>
        <v/>
      </c>
      <c r="J493" s="34">
        <f>IF(OR($A493="",$B493=""),"",IF($L493&lt;&gt;"",UPPER($L493),IF($C493="","FALTA",IFERROR(IF($C493&gt;=$O493,"ROJO FUERTE",IF($C493&gt;=$N493,"ROJO",IF($C493&gt;=$M493,"AMARILLO","VERDE"))),"REVISAR"))))</f>
        <v/>
      </c>
      <c r="K493" s="36">
        <f>IF(OR($C493="",$D493=""),"",IF($D493&gt;=$C493,($D493-$C493)*24,(1-$C493+$D493)*24))</f>
        <v/>
      </c>
      <c r="L493" s="34" t="n"/>
      <c r="M493" s="53">
        <f t="array" ref="M493">IFERROR(INDEX(EXCEPCIONES_FECHA!$D$2:$D$201,MATCH(1,(EXCEPCIONES_FECHA!$A$2:$A$201=$A493)*(EXCEPCIONES_FECHA!$B$2:$B$201=$B493),0)),IFERROR(INDEX(EXCEPCIONES_FECHA!$D$2:$D$201,MATCH(1,(EXCEPCIONES_FECHA!$A$2:$A$201=$A493)*(EXCEPCIONES_FECHA!$B$2:$B$201=""),0)),IFERROR(INDEX(IF($I493="FIN",HISTORIAL_HORARIOS!$J$2:$J$201,HISTORIAL_HORARIOS!$F$2:$F$201),MATCH(1,(HISTORIAL_HORARIOS!$A$2:$A$201=$B493)*(HISTORIAL_HORARIOS!$C$2:$C$201&lt;=$A493)*(HISTORIAL_HORARIOS!$D$2:$D$201&gt;=$A493),0)),INDEX(IF($I493="FIN",PERSONAL!$J$2:$J$80,PERSONAL!$F$2:$F$80),MATCH($B493,PERSONAL!$A$2:$A$80,0)))))</f>
        <v/>
      </c>
      <c r="N493" s="53">
        <f t="array" ref="N493">IFERROR(INDEX(EXCEPCIONES_FECHA!$E$2:$E$201,MATCH(1,(EXCEPCIONES_FECHA!$A$2:$A$201=$A493)*(EXCEPCIONES_FECHA!$B$2:$B$201=$B493),0)),IFERROR(INDEX(EXCEPCIONES_FECHA!$E$2:$E$201,MATCH(1,(EXCEPCIONES_FECHA!$A$2:$A$201=$A493)*(EXCEPCIONES_FECHA!$B$2:$B$201=""),0)),IFERROR(INDEX(IF($I493="FIN",HISTORIAL_HORARIOS!$K$2:$K$201,HISTORIAL_HORARIOS!$G$2:$G$201),MATCH(1,(HISTORIAL_HORARIOS!$A$2:$A$201=$B493)*(HISTORIAL_HORARIOS!$C$2:$C$201&lt;=$A493)*(HISTORIAL_HORARIOS!$D$2:$D$201&gt;=$A493),0)),INDEX(IF($I493="FIN",PERSONAL!$K$2:$K$80,PERSONAL!$G$2:$G$80),MATCH($B493,PERSONAL!$A$2:$A$80,0)))))</f>
        <v/>
      </c>
      <c r="O493" s="53">
        <f t="array" ref="O493">IFERROR(INDEX(EXCEPCIONES_FECHA!$F$2:$F$201,MATCH(1,(EXCEPCIONES_FECHA!$A$2:$A$201=$A493)*(EXCEPCIONES_FECHA!$B$2:$B$201=$B493),0)),IFERROR(INDEX(EXCEPCIONES_FECHA!$F$2:$F$201,MATCH(1,(EXCEPCIONES_FECHA!$A$2:$A$201=$A493)*(EXCEPCIONES_FECHA!$B$2:$B$201=""),0)),IFERROR(INDEX(IF($I493="FIN",HISTORIAL_HORARIOS!$L$2:$L$201,HISTORIAL_HORARIOS!$H$2:$H$201),MATCH(1,(HISTORIAL_HORARIOS!$A$2:$A$201=$B493)*(HISTORIAL_HORARIOS!$C$2:$C$201&lt;=$A493)*(HISTORIAL_HORARIOS!$D$2:$D$201&gt;=$A493),0)),INDEX(IF($I493="FIN",PERSONAL!$L$2:$L$80,PERSONAL!$H$2:$H$80),MATCH($B493,PERSONAL!$A$2:$A$80,0)))))</f>
        <v/>
      </c>
    </row>
    <row r="494" ht="15" customHeight="1" s="58">
      <c r="A494" s="37" t="n"/>
      <c r="B494" s="38" t="n"/>
      <c r="C494" s="39" t="n"/>
      <c r="D494" s="39" t="n"/>
      <c r="E494" s="34">
        <f t="array" ref="E494">IF($B494="","",IFERROR(INDEX(PERSONAL!$B$2:$B$80,MATCH($B494,PERSONAL!$A$2:$A$80,0)),"NO EXISTE"))</f>
        <v/>
      </c>
      <c r="F494" s="52">
        <f t="array" ref="F494">IF($B494="","",IFERROR(INDEX(PERSONAL!$C$2:$C$80,MATCH($B494,PERSONAL!$A$2:$A$80,0)),""))</f>
        <v/>
      </c>
      <c r="G494" s="52">
        <f>IF($A494="","",CHOOSE(WEEKDAY($A494,2),"LUNES","MARTES","MIÉRCOLES","JUEVES","VIERNES","SÁBADO","DOMINGO"))</f>
        <v/>
      </c>
      <c r="H494" s="34">
        <f>IF($A494="","",CHOOSE(MONTH($A494),"ENERO","FEBRERO","MARZO","ABRIL","MAYO","JUNIO","JULIO","AGOSTO","SEPTIEMBRE","OCTUBRE","NOVIEMBRE","DICIEMBRE"))</f>
        <v/>
      </c>
      <c r="I494" s="34">
        <f>IF($A494="","",IF(OR($G494="SÁBADO",$G494="DOMINGO"),"FIN","LV"))</f>
        <v/>
      </c>
      <c r="J494" s="34">
        <f>IF(OR($A494="",$B494=""),"",IF($L494&lt;&gt;"",UPPER($L494),IF($C494="","FALTA",IFERROR(IF($C494&gt;=$O494,"ROJO FUERTE",IF($C494&gt;=$N494,"ROJO",IF($C494&gt;=$M494,"AMARILLO","VERDE"))),"REVISAR"))))</f>
        <v/>
      </c>
      <c r="K494" s="36">
        <f>IF(OR($C494="",$D494=""),"",IF($D494&gt;=$C494,($D494-$C494)*24,(1-$C494+$D494)*24))</f>
        <v/>
      </c>
      <c r="L494" s="34" t="n"/>
      <c r="M494" s="53">
        <f t="array" ref="M494">IFERROR(INDEX(EXCEPCIONES_FECHA!$D$2:$D$201,MATCH(1,(EXCEPCIONES_FECHA!$A$2:$A$201=$A494)*(EXCEPCIONES_FECHA!$B$2:$B$201=$B494),0)),IFERROR(INDEX(EXCEPCIONES_FECHA!$D$2:$D$201,MATCH(1,(EXCEPCIONES_FECHA!$A$2:$A$201=$A494)*(EXCEPCIONES_FECHA!$B$2:$B$201=""),0)),IFERROR(INDEX(IF($I494="FIN",HISTORIAL_HORARIOS!$J$2:$J$201,HISTORIAL_HORARIOS!$F$2:$F$201),MATCH(1,(HISTORIAL_HORARIOS!$A$2:$A$201=$B494)*(HISTORIAL_HORARIOS!$C$2:$C$201&lt;=$A494)*(HISTORIAL_HORARIOS!$D$2:$D$201&gt;=$A494),0)),INDEX(IF($I494="FIN",PERSONAL!$J$2:$J$80,PERSONAL!$F$2:$F$80),MATCH($B494,PERSONAL!$A$2:$A$80,0)))))</f>
        <v/>
      </c>
      <c r="N494" s="53">
        <f t="array" ref="N494">IFERROR(INDEX(EXCEPCIONES_FECHA!$E$2:$E$201,MATCH(1,(EXCEPCIONES_FECHA!$A$2:$A$201=$A494)*(EXCEPCIONES_FECHA!$B$2:$B$201=$B494),0)),IFERROR(INDEX(EXCEPCIONES_FECHA!$E$2:$E$201,MATCH(1,(EXCEPCIONES_FECHA!$A$2:$A$201=$A494)*(EXCEPCIONES_FECHA!$B$2:$B$201=""),0)),IFERROR(INDEX(IF($I494="FIN",HISTORIAL_HORARIOS!$K$2:$K$201,HISTORIAL_HORARIOS!$G$2:$G$201),MATCH(1,(HISTORIAL_HORARIOS!$A$2:$A$201=$B494)*(HISTORIAL_HORARIOS!$C$2:$C$201&lt;=$A494)*(HISTORIAL_HORARIOS!$D$2:$D$201&gt;=$A494),0)),INDEX(IF($I494="FIN",PERSONAL!$K$2:$K$80,PERSONAL!$G$2:$G$80),MATCH($B494,PERSONAL!$A$2:$A$80,0)))))</f>
        <v/>
      </c>
      <c r="O494" s="53">
        <f t="array" ref="O494">IFERROR(INDEX(EXCEPCIONES_FECHA!$F$2:$F$201,MATCH(1,(EXCEPCIONES_FECHA!$A$2:$A$201=$A494)*(EXCEPCIONES_FECHA!$B$2:$B$201=$B494),0)),IFERROR(INDEX(EXCEPCIONES_FECHA!$F$2:$F$201,MATCH(1,(EXCEPCIONES_FECHA!$A$2:$A$201=$A494)*(EXCEPCIONES_FECHA!$B$2:$B$201=""),0)),IFERROR(INDEX(IF($I494="FIN",HISTORIAL_HORARIOS!$L$2:$L$201,HISTORIAL_HORARIOS!$H$2:$H$201),MATCH(1,(HISTORIAL_HORARIOS!$A$2:$A$201=$B494)*(HISTORIAL_HORARIOS!$C$2:$C$201&lt;=$A494)*(HISTORIAL_HORARIOS!$D$2:$D$201&gt;=$A494),0)),INDEX(IF($I494="FIN",PERSONAL!$L$2:$L$80,PERSONAL!$H$2:$H$80),MATCH($B494,PERSONAL!$A$2:$A$80,0)))))</f>
        <v/>
      </c>
    </row>
    <row r="495" ht="15" customHeight="1" s="58">
      <c r="A495" s="37" t="n"/>
      <c r="B495" s="38" t="n"/>
      <c r="C495" s="39" t="n"/>
      <c r="D495" s="39" t="n"/>
      <c r="E495" s="34">
        <f t="array" ref="E495">IF($B495="","",IFERROR(INDEX(PERSONAL!$B$2:$B$80,MATCH($B495,PERSONAL!$A$2:$A$80,0)),"NO EXISTE"))</f>
        <v/>
      </c>
      <c r="F495" s="52">
        <f t="array" ref="F495">IF($B495="","",IFERROR(INDEX(PERSONAL!$C$2:$C$80,MATCH($B495,PERSONAL!$A$2:$A$80,0)),""))</f>
        <v/>
      </c>
      <c r="G495" s="52">
        <f>IF($A495="","",CHOOSE(WEEKDAY($A495,2),"LUNES","MARTES","MIÉRCOLES","JUEVES","VIERNES","SÁBADO","DOMINGO"))</f>
        <v/>
      </c>
      <c r="H495" s="34">
        <f>IF($A495="","",CHOOSE(MONTH($A495),"ENERO","FEBRERO","MARZO","ABRIL","MAYO","JUNIO","JULIO","AGOSTO","SEPTIEMBRE","OCTUBRE","NOVIEMBRE","DICIEMBRE"))</f>
        <v/>
      </c>
      <c r="I495" s="34">
        <f>IF($A495="","",IF(OR($G495="SÁBADO",$G495="DOMINGO"),"FIN","LV"))</f>
        <v/>
      </c>
      <c r="J495" s="34">
        <f>IF(OR($A495="",$B495=""),"",IF($L495&lt;&gt;"",UPPER($L495),IF($C495="","FALTA",IFERROR(IF($C495&gt;=$O495,"ROJO FUERTE",IF($C495&gt;=$N495,"ROJO",IF($C495&gt;=$M495,"AMARILLO","VERDE"))),"REVISAR"))))</f>
        <v/>
      </c>
      <c r="K495" s="36">
        <f>IF(OR($C495="",$D495=""),"",IF($D495&gt;=$C495,($D495-$C495)*24,(1-$C495+$D495)*24))</f>
        <v/>
      </c>
      <c r="L495" s="34" t="n"/>
      <c r="M495" s="53">
        <f t="array" ref="M495">IFERROR(INDEX(EXCEPCIONES_FECHA!$D$2:$D$201,MATCH(1,(EXCEPCIONES_FECHA!$A$2:$A$201=$A495)*(EXCEPCIONES_FECHA!$B$2:$B$201=$B495),0)),IFERROR(INDEX(EXCEPCIONES_FECHA!$D$2:$D$201,MATCH(1,(EXCEPCIONES_FECHA!$A$2:$A$201=$A495)*(EXCEPCIONES_FECHA!$B$2:$B$201=""),0)),IFERROR(INDEX(IF($I495="FIN",HISTORIAL_HORARIOS!$J$2:$J$201,HISTORIAL_HORARIOS!$F$2:$F$201),MATCH(1,(HISTORIAL_HORARIOS!$A$2:$A$201=$B495)*(HISTORIAL_HORARIOS!$C$2:$C$201&lt;=$A495)*(HISTORIAL_HORARIOS!$D$2:$D$201&gt;=$A495),0)),INDEX(IF($I495="FIN",PERSONAL!$J$2:$J$80,PERSONAL!$F$2:$F$80),MATCH($B495,PERSONAL!$A$2:$A$80,0)))))</f>
        <v/>
      </c>
      <c r="N495" s="53">
        <f t="array" ref="N495">IFERROR(INDEX(EXCEPCIONES_FECHA!$E$2:$E$201,MATCH(1,(EXCEPCIONES_FECHA!$A$2:$A$201=$A495)*(EXCEPCIONES_FECHA!$B$2:$B$201=$B495),0)),IFERROR(INDEX(EXCEPCIONES_FECHA!$E$2:$E$201,MATCH(1,(EXCEPCIONES_FECHA!$A$2:$A$201=$A495)*(EXCEPCIONES_FECHA!$B$2:$B$201=""),0)),IFERROR(INDEX(IF($I495="FIN",HISTORIAL_HORARIOS!$K$2:$K$201,HISTORIAL_HORARIOS!$G$2:$G$201),MATCH(1,(HISTORIAL_HORARIOS!$A$2:$A$201=$B495)*(HISTORIAL_HORARIOS!$C$2:$C$201&lt;=$A495)*(HISTORIAL_HORARIOS!$D$2:$D$201&gt;=$A495),0)),INDEX(IF($I495="FIN",PERSONAL!$K$2:$K$80,PERSONAL!$G$2:$G$80),MATCH($B495,PERSONAL!$A$2:$A$80,0)))))</f>
        <v/>
      </c>
      <c r="O495" s="53">
        <f t="array" ref="O495">IFERROR(INDEX(EXCEPCIONES_FECHA!$F$2:$F$201,MATCH(1,(EXCEPCIONES_FECHA!$A$2:$A$201=$A495)*(EXCEPCIONES_FECHA!$B$2:$B$201=$B495),0)),IFERROR(INDEX(EXCEPCIONES_FECHA!$F$2:$F$201,MATCH(1,(EXCEPCIONES_FECHA!$A$2:$A$201=$A495)*(EXCEPCIONES_FECHA!$B$2:$B$201=""),0)),IFERROR(INDEX(IF($I495="FIN",HISTORIAL_HORARIOS!$L$2:$L$201,HISTORIAL_HORARIOS!$H$2:$H$201),MATCH(1,(HISTORIAL_HORARIOS!$A$2:$A$201=$B495)*(HISTORIAL_HORARIOS!$C$2:$C$201&lt;=$A495)*(HISTORIAL_HORARIOS!$D$2:$D$201&gt;=$A495),0)),INDEX(IF($I495="FIN",PERSONAL!$L$2:$L$80,PERSONAL!$H$2:$H$80),MATCH($B495,PERSONAL!$A$2:$A$80,0)))))</f>
        <v/>
      </c>
    </row>
    <row r="496" ht="15" customHeight="1" s="58">
      <c r="A496" s="37" t="n"/>
      <c r="B496" s="38" t="n"/>
      <c r="C496" s="39" t="n"/>
      <c r="D496" s="39" t="n"/>
      <c r="E496" s="34">
        <f t="array" ref="E496">IF($B496="","",IFERROR(INDEX(PERSONAL!$B$2:$B$80,MATCH($B496,PERSONAL!$A$2:$A$80,0)),"NO EXISTE"))</f>
        <v/>
      </c>
      <c r="F496" s="52">
        <f t="array" ref="F496">IF($B496="","",IFERROR(INDEX(PERSONAL!$C$2:$C$80,MATCH($B496,PERSONAL!$A$2:$A$80,0)),""))</f>
        <v/>
      </c>
      <c r="G496" s="52">
        <f>IF($A496="","",CHOOSE(WEEKDAY($A496,2),"LUNES","MARTES","MIÉRCOLES","JUEVES","VIERNES","SÁBADO","DOMINGO"))</f>
        <v/>
      </c>
      <c r="H496" s="34">
        <f>IF($A496="","",CHOOSE(MONTH($A496),"ENERO","FEBRERO","MARZO","ABRIL","MAYO","JUNIO","JULIO","AGOSTO","SEPTIEMBRE","OCTUBRE","NOVIEMBRE","DICIEMBRE"))</f>
        <v/>
      </c>
      <c r="I496" s="34">
        <f>IF($A496="","",IF(OR($G496="SÁBADO",$G496="DOMINGO"),"FIN","LV"))</f>
        <v/>
      </c>
      <c r="J496" s="34">
        <f>IF(OR($A496="",$B496=""),"",IF($L496&lt;&gt;"",UPPER($L496),IF($C496="","FALTA",IFERROR(IF($C496&gt;=$O496,"ROJO FUERTE",IF($C496&gt;=$N496,"ROJO",IF($C496&gt;=$M496,"AMARILLO","VERDE"))),"REVISAR"))))</f>
        <v/>
      </c>
      <c r="K496" s="36">
        <f>IF(OR($C496="",$D496=""),"",IF($D496&gt;=$C496,($D496-$C496)*24,(1-$C496+$D496)*24))</f>
        <v/>
      </c>
      <c r="L496" s="34" t="n"/>
      <c r="M496" s="53">
        <f t="array" ref="M496">IFERROR(INDEX(EXCEPCIONES_FECHA!$D$2:$D$201,MATCH(1,(EXCEPCIONES_FECHA!$A$2:$A$201=$A496)*(EXCEPCIONES_FECHA!$B$2:$B$201=$B496),0)),IFERROR(INDEX(EXCEPCIONES_FECHA!$D$2:$D$201,MATCH(1,(EXCEPCIONES_FECHA!$A$2:$A$201=$A496)*(EXCEPCIONES_FECHA!$B$2:$B$201=""),0)),IFERROR(INDEX(IF($I496="FIN",HISTORIAL_HORARIOS!$J$2:$J$201,HISTORIAL_HORARIOS!$F$2:$F$201),MATCH(1,(HISTORIAL_HORARIOS!$A$2:$A$201=$B496)*(HISTORIAL_HORARIOS!$C$2:$C$201&lt;=$A496)*(HISTORIAL_HORARIOS!$D$2:$D$201&gt;=$A496),0)),INDEX(IF($I496="FIN",PERSONAL!$J$2:$J$80,PERSONAL!$F$2:$F$80),MATCH($B496,PERSONAL!$A$2:$A$80,0)))))</f>
        <v/>
      </c>
      <c r="N496" s="53">
        <f t="array" ref="N496">IFERROR(INDEX(EXCEPCIONES_FECHA!$E$2:$E$201,MATCH(1,(EXCEPCIONES_FECHA!$A$2:$A$201=$A496)*(EXCEPCIONES_FECHA!$B$2:$B$201=$B496),0)),IFERROR(INDEX(EXCEPCIONES_FECHA!$E$2:$E$201,MATCH(1,(EXCEPCIONES_FECHA!$A$2:$A$201=$A496)*(EXCEPCIONES_FECHA!$B$2:$B$201=""),0)),IFERROR(INDEX(IF($I496="FIN",HISTORIAL_HORARIOS!$K$2:$K$201,HISTORIAL_HORARIOS!$G$2:$G$201),MATCH(1,(HISTORIAL_HORARIOS!$A$2:$A$201=$B496)*(HISTORIAL_HORARIOS!$C$2:$C$201&lt;=$A496)*(HISTORIAL_HORARIOS!$D$2:$D$201&gt;=$A496),0)),INDEX(IF($I496="FIN",PERSONAL!$K$2:$K$80,PERSONAL!$G$2:$G$80),MATCH($B496,PERSONAL!$A$2:$A$80,0)))))</f>
        <v/>
      </c>
      <c r="O496" s="53">
        <f t="array" ref="O496">IFERROR(INDEX(EXCEPCIONES_FECHA!$F$2:$F$201,MATCH(1,(EXCEPCIONES_FECHA!$A$2:$A$201=$A496)*(EXCEPCIONES_FECHA!$B$2:$B$201=$B496),0)),IFERROR(INDEX(EXCEPCIONES_FECHA!$F$2:$F$201,MATCH(1,(EXCEPCIONES_FECHA!$A$2:$A$201=$A496)*(EXCEPCIONES_FECHA!$B$2:$B$201=""),0)),IFERROR(INDEX(IF($I496="FIN",HISTORIAL_HORARIOS!$L$2:$L$201,HISTORIAL_HORARIOS!$H$2:$H$201),MATCH(1,(HISTORIAL_HORARIOS!$A$2:$A$201=$B496)*(HISTORIAL_HORARIOS!$C$2:$C$201&lt;=$A496)*(HISTORIAL_HORARIOS!$D$2:$D$201&gt;=$A496),0)),INDEX(IF($I496="FIN",PERSONAL!$L$2:$L$80,PERSONAL!$H$2:$H$80),MATCH($B496,PERSONAL!$A$2:$A$80,0)))))</f>
        <v/>
      </c>
    </row>
    <row r="497" ht="15" customHeight="1" s="58">
      <c r="A497" s="37" t="n"/>
      <c r="B497" s="38" t="n"/>
      <c r="C497" s="39" t="n"/>
      <c r="D497" s="39" t="n"/>
      <c r="E497" s="34">
        <f t="array" ref="E497">IF($B497="","",IFERROR(INDEX(PERSONAL!$B$2:$B$80,MATCH($B497,PERSONAL!$A$2:$A$80,0)),"NO EXISTE"))</f>
        <v/>
      </c>
      <c r="F497" s="52">
        <f t="array" ref="F497">IF($B497="","",IFERROR(INDEX(PERSONAL!$C$2:$C$80,MATCH($B497,PERSONAL!$A$2:$A$80,0)),""))</f>
        <v/>
      </c>
      <c r="G497" s="52">
        <f>IF($A497="","",CHOOSE(WEEKDAY($A497,2),"LUNES","MARTES","MIÉRCOLES","JUEVES","VIERNES","SÁBADO","DOMINGO"))</f>
        <v/>
      </c>
      <c r="H497" s="34">
        <f>IF($A497="","",CHOOSE(MONTH($A497),"ENERO","FEBRERO","MARZO","ABRIL","MAYO","JUNIO","JULIO","AGOSTO","SEPTIEMBRE","OCTUBRE","NOVIEMBRE","DICIEMBRE"))</f>
        <v/>
      </c>
      <c r="I497" s="34">
        <f>IF($A497="","",IF(OR($G497="SÁBADO",$G497="DOMINGO"),"FIN","LV"))</f>
        <v/>
      </c>
      <c r="J497" s="34">
        <f>IF(OR($A497="",$B497=""),"",IF($L497&lt;&gt;"",UPPER($L497),IF($C497="","FALTA",IFERROR(IF($C497&gt;=$O497,"ROJO FUERTE",IF($C497&gt;=$N497,"ROJO",IF($C497&gt;=$M497,"AMARILLO","VERDE"))),"REVISAR"))))</f>
        <v/>
      </c>
      <c r="K497" s="36">
        <f>IF(OR($C497="",$D497=""),"",IF($D497&gt;=$C497,($D497-$C497)*24,(1-$C497+$D497)*24))</f>
        <v/>
      </c>
      <c r="L497" s="34" t="n"/>
      <c r="M497" s="53">
        <f t="array" ref="M497">IFERROR(INDEX(EXCEPCIONES_FECHA!$D$2:$D$201,MATCH(1,(EXCEPCIONES_FECHA!$A$2:$A$201=$A497)*(EXCEPCIONES_FECHA!$B$2:$B$201=$B497),0)),IFERROR(INDEX(EXCEPCIONES_FECHA!$D$2:$D$201,MATCH(1,(EXCEPCIONES_FECHA!$A$2:$A$201=$A497)*(EXCEPCIONES_FECHA!$B$2:$B$201=""),0)),IFERROR(INDEX(IF($I497="FIN",HISTORIAL_HORARIOS!$J$2:$J$201,HISTORIAL_HORARIOS!$F$2:$F$201),MATCH(1,(HISTORIAL_HORARIOS!$A$2:$A$201=$B497)*(HISTORIAL_HORARIOS!$C$2:$C$201&lt;=$A497)*(HISTORIAL_HORARIOS!$D$2:$D$201&gt;=$A497),0)),INDEX(IF($I497="FIN",PERSONAL!$J$2:$J$80,PERSONAL!$F$2:$F$80),MATCH($B497,PERSONAL!$A$2:$A$80,0)))))</f>
        <v/>
      </c>
      <c r="N497" s="53">
        <f t="array" ref="N497">IFERROR(INDEX(EXCEPCIONES_FECHA!$E$2:$E$201,MATCH(1,(EXCEPCIONES_FECHA!$A$2:$A$201=$A497)*(EXCEPCIONES_FECHA!$B$2:$B$201=$B497),0)),IFERROR(INDEX(EXCEPCIONES_FECHA!$E$2:$E$201,MATCH(1,(EXCEPCIONES_FECHA!$A$2:$A$201=$A497)*(EXCEPCIONES_FECHA!$B$2:$B$201=""),0)),IFERROR(INDEX(IF($I497="FIN",HISTORIAL_HORARIOS!$K$2:$K$201,HISTORIAL_HORARIOS!$G$2:$G$201),MATCH(1,(HISTORIAL_HORARIOS!$A$2:$A$201=$B497)*(HISTORIAL_HORARIOS!$C$2:$C$201&lt;=$A497)*(HISTORIAL_HORARIOS!$D$2:$D$201&gt;=$A497),0)),INDEX(IF($I497="FIN",PERSONAL!$K$2:$K$80,PERSONAL!$G$2:$G$80),MATCH($B497,PERSONAL!$A$2:$A$80,0)))))</f>
        <v/>
      </c>
      <c r="O497" s="53">
        <f t="array" ref="O497">IFERROR(INDEX(EXCEPCIONES_FECHA!$F$2:$F$201,MATCH(1,(EXCEPCIONES_FECHA!$A$2:$A$201=$A497)*(EXCEPCIONES_FECHA!$B$2:$B$201=$B497),0)),IFERROR(INDEX(EXCEPCIONES_FECHA!$F$2:$F$201,MATCH(1,(EXCEPCIONES_FECHA!$A$2:$A$201=$A497)*(EXCEPCIONES_FECHA!$B$2:$B$201=""),0)),IFERROR(INDEX(IF($I497="FIN",HISTORIAL_HORARIOS!$L$2:$L$201,HISTORIAL_HORARIOS!$H$2:$H$201),MATCH(1,(HISTORIAL_HORARIOS!$A$2:$A$201=$B497)*(HISTORIAL_HORARIOS!$C$2:$C$201&lt;=$A497)*(HISTORIAL_HORARIOS!$D$2:$D$201&gt;=$A497),0)),INDEX(IF($I497="FIN",PERSONAL!$L$2:$L$80,PERSONAL!$H$2:$H$80),MATCH($B497,PERSONAL!$A$2:$A$80,0)))))</f>
        <v/>
      </c>
    </row>
    <row r="498" ht="15" customHeight="1" s="58">
      <c r="A498" s="37" t="n"/>
      <c r="B498" s="38" t="n"/>
      <c r="C498" s="39" t="n"/>
      <c r="D498" s="39" t="n"/>
      <c r="E498" s="34">
        <f t="array" ref="E498">IF($B498="","",IFERROR(INDEX(PERSONAL!$B$2:$B$80,MATCH($B498,PERSONAL!$A$2:$A$80,0)),"NO EXISTE"))</f>
        <v/>
      </c>
      <c r="F498" s="52">
        <f t="array" ref="F498">IF($B498="","",IFERROR(INDEX(PERSONAL!$C$2:$C$80,MATCH($B498,PERSONAL!$A$2:$A$80,0)),""))</f>
        <v/>
      </c>
      <c r="G498" s="52">
        <f>IF($A498="","",CHOOSE(WEEKDAY($A498,2),"LUNES","MARTES","MIÉRCOLES","JUEVES","VIERNES","SÁBADO","DOMINGO"))</f>
        <v/>
      </c>
      <c r="H498" s="34">
        <f>IF($A498="","",CHOOSE(MONTH($A498),"ENERO","FEBRERO","MARZO","ABRIL","MAYO","JUNIO","JULIO","AGOSTO","SEPTIEMBRE","OCTUBRE","NOVIEMBRE","DICIEMBRE"))</f>
        <v/>
      </c>
      <c r="I498" s="34">
        <f>IF($A498="","",IF(OR($G498="SÁBADO",$G498="DOMINGO"),"FIN","LV"))</f>
        <v/>
      </c>
      <c r="J498" s="34">
        <f>IF(OR($A498="",$B498=""),"",IF($L498&lt;&gt;"",UPPER($L498),IF($C498="","FALTA",IFERROR(IF($C498&gt;=$O498,"ROJO FUERTE",IF($C498&gt;=$N498,"ROJO",IF($C498&gt;=$M498,"AMARILLO","VERDE"))),"REVISAR"))))</f>
        <v/>
      </c>
      <c r="K498" s="36">
        <f>IF(OR($C498="",$D498=""),"",IF($D498&gt;=$C498,($D498-$C498)*24,(1-$C498+$D498)*24))</f>
        <v/>
      </c>
      <c r="L498" s="34" t="n"/>
      <c r="M498" s="53">
        <f t="array" ref="M498">IFERROR(INDEX(EXCEPCIONES_FECHA!$D$2:$D$201,MATCH(1,(EXCEPCIONES_FECHA!$A$2:$A$201=$A498)*(EXCEPCIONES_FECHA!$B$2:$B$201=$B498),0)),IFERROR(INDEX(EXCEPCIONES_FECHA!$D$2:$D$201,MATCH(1,(EXCEPCIONES_FECHA!$A$2:$A$201=$A498)*(EXCEPCIONES_FECHA!$B$2:$B$201=""),0)),IFERROR(INDEX(IF($I498="FIN",HISTORIAL_HORARIOS!$J$2:$J$201,HISTORIAL_HORARIOS!$F$2:$F$201),MATCH(1,(HISTORIAL_HORARIOS!$A$2:$A$201=$B498)*(HISTORIAL_HORARIOS!$C$2:$C$201&lt;=$A498)*(HISTORIAL_HORARIOS!$D$2:$D$201&gt;=$A498),0)),INDEX(IF($I498="FIN",PERSONAL!$J$2:$J$80,PERSONAL!$F$2:$F$80),MATCH($B498,PERSONAL!$A$2:$A$80,0)))))</f>
        <v/>
      </c>
      <c r="N498" s="53">
        <f t="array" ref="N498">IFERROR(INDEX(EXCEPCIONES_FECHA!$E$2:$E$201,MATCH(1,(EXCEPCIONES_FECHA!$A$2:$A$201=$A498)*(EXCEPCIONES_FECHA!$B$2:$B$201=$B498),0)),IFERROR(INDEX(EXCEPCIONES_FECHA!$E$2:$E$201,MATCH(1,(EXCEPCIONES_FECHA!$A$2:$A$201=$A498)*(EXCEPCIONES_FECHA!$B$2:$B$201=""),0)),IFERROR(INDEX(IF($I498="FIN",HISTORIAL_HORARIOS!$K$2:$K$201,HISTORIAL_HORARIOS!$G$2:$G$201),MATCH(1,(HISTORIAL_HORARIOS!$A$2:$A$201=$B498)*(HISTORIAL_HORARIOS!$C$2:$C$201&lt;=$A498)*(HISTORIAL_HORARIOS!$D$2:$D$201&gt;=$A498),0)),INDEX(IF($I498="FIN",PERSONAL!$K$2:$K$80,PERSONAL!$G$2:$G$80),MATCH($B498,PERSONAL!$A$2:$A$80,0)))))</f>
        <v/>
      </c>
      <c r="O498" s="53">
        <f t="array" ref="O498">IFERROR(INDEX(EXCEPCIONES_FECHA!$F$2:$F$201,MATCH(1,(EXCEPCIONES_FECHA!$A$2:$A$201=$A498)*(EXCEPCIONES_FECHA!$B$2:$B$201=$B498),0)),IFERROR(INDEX(EXCEPCIONES_FECHA!$F$2:$F$201,MATCH(1,(EXCEPCIONES_FECHA!$A$2:$A$201=$A498)*(EXCEPCIONES_FECHA!$B$2:$B$201=""),0)),IFERROR(INDEX(IF($I498="FIN",HISTORIAL_HORARIOS!$L$2:$L$201,HISTORIAL_HORARIOS!$H$2:$H$201),MATCH(1,(HISTORIAL_HORARIOS!$A$2:$A$201=$B498)*(HISTORIAL_HORARIOS!$C$2:$C$201&lt;=$A498)*(HISTORIAL_HORARIOS!$D$2:$D$201&gt;=$A498),0)),INDEX(IF($I498="FIN",PERSONAL!$L$2:$L$80,PERSONAL!$H$2:$H$80),MATCH($B498,PERSONAL!$A$2:$A$80,0)))))</f>
        <v/>
      </c>
    </row>
    <row r="499" ht="15" customHeight="1" s="58">
      <c r="A499" s="37" t="n"/>
      <c r="B499" s="38" t="n"/>
      <c r="C499" s="39" t="n"/>
      <c r="D499" s="39" t="n"/>
      <c r="E499" s="34">
        <f t="array" ref="E499">IF($B499="","",IFERROR(INDEX(PERSONAL!$B$2:$B$80,MATCH($B499,PERSONAL!$A$2:$A$80,0)),"NO EXISTE"))</f>
        <v/>
      </c>
      <c r="F499" s="52">
        <f t="array" ref="F499">IF($B499="","",IFERROR(INDEX(PERSONAL!$C$2:$C$80,MATCH($B499,PERSONAL!$A$2:$A$80,0)),""))</f>
        <v/>
      </c>
      <c r="G499" s="52">
        <f>IF($A499="","",CHOOSE(WEEKDAY($A499,2),"LUNES","MARTES","MIÉRCOLES","JUEVES","VIERNES","SÁBADO","DOMINGO"))</f>
        <v/>
      </c>
      <c r="H499" s="34">
        <f>IF($A499="","",CHOOSE(MONTH($A499),"ENERO","FEBRERO","MARZO","ABRIL","MAYO","JUNIO","JULIO","AGOSTO","SEPTIEMBRE","OCTUBRE","NOVIEMBRE","DICIEMBRE"))</f>
        <v/>
      </c>
      <c r="I499" s="34">
        <f>IF($A499="","",IF(OR($G499="SÁBADO",$G499="DOMINGO"),"FIN","LV"))</f>
        <v/>
      </c>
      <c r="J499" s="34">
        <f>IF(OR($A499="",$B499=""),"",IF($L499&lt;&gt;"",UPPER($L499),IF($C499="","FALTA",IFERROR(IF($C499&gt;=$O499,"ROJO FUERTE",IF($C499&gt;=$N499,"ROJO",IF($C499&gt;=$M499,"AMARILLO","VERDE"))),"REVISAR"))))</f>
        <v/>
      </c>
      <c r="K499" s="36">
        <f>IF(OR($C499="",$D499=""),"",IF($D499&gt;=$C499,($D499-$C499)*24,(1-$C499+$D499)*24))</f>
        <v/>
      </c>
      <c r="L499" s="34" t="n"/>
      <c r="M499" s="53">
        <f t="array" ref="M499">IFERROR(INDEX(EXCEPCIONES_FECHA!$D$2:$D$201,MATCH(1,(EXCEPCIONES_FECHA!$A$2:$A$201=$A499)*(EXCEPCIONES_FECHA!$B$2:$B$201=$B499),0)),IFERROR(INDEX(EXCEPCIONES_FECHA!$D$2:$D$201,MATCH(1,(EXCEPCIONES_FECHA!$A$2:$A$201=$A499)*(EXCEPCIONES_FECHA!$B$2:$B$201=""),0)),IFERROR(INDEX(IF($I499="FIN",HISTORIAL_HORARIOS!$J$2:$J$201,HISTORIAL_HORARIOS!$F$2:$F$201),MATCH(1,(HISTORIAL_HORARIOS!$A$2:$A$201=$B499)*(HISTORIAL_HORARIOS!$C$2:$C$201&lt;=$A499)*(HISTORIAL_HORARIOS!$D$2:$D$201&gt;=$A499),0)),INDEX(IF($I499="FIN",PERSONAL!$J$2:$J$80,PERSONAL!$F$2:$F$80),MATCH($B499,PERSONAL!$A$2:$A$80,0)))))</f>
        <v/>
      </c>
      <c r="N499" s="53">
        <f t="array" ref="N499">IFERROR(INDEX(EXCEPCIONES_FECHA!$E$2:$E$201,MATCH(1,(EXCEPCIONES_FECHA!$A$2:$A$201=$A499)*(EXCEPCIONES_FECHA!$B$2:$B$201=$B499),0)),IFERROR(INDEX(EXCEPCIONES_FECHA!$E$2:$E$201,MATCH(1,(EXCEPCIONES_FECHA!$A$2:$A$201=$A499)*(EXCEPCIONES_FECHA!$B$2:$B$201=""),0)),IFERROR(INDEX(IF($I499="FIN",HISTORIAL_HORARIOS!$K$2:$K$201,HISTORIAL_HORARIOS!$G$2:$G$201),MATCH(1,(HISTORIAL_HORARIOS!$A$2:$A$201=$B499)*(HISTORIAL_HORARIOS!$C$2:$C$201&lt;=$A499)*(HISTORIAL_HORARIOS!$D$2:$D$201&gt;=$A499),0)),INDEX(IF($I499="FIN",PERSONAL!$K$2:$K$80,PERSONAL!$G$2:$G$80),MATCH($B499,PERSONAL!$A$2:$A$80,0)))))</f>
        <v/>
      </c>
      <c r="O499" s="53">
        <f t="array" ref="O499">IFERROR(INDEX(EXCEPCIONES_FECHA!$F$2:$F$201,MATCH(1,(EXCEPCIONES_FECHA!$A$2:$A$201=$A499)*(EXCEPCIONES_FECHA!$B$2:$B$201=$B499),0)),IFERROR(INDEX(EXCEPCIONES_FECHA!$F$2:$F$201,MATCH(1,(EXCEPCIONES_FECHA!$A$2:$A$201=$A499)*(EXCEPCIONES_FECHA!$B$2:$B$201=""),0)),IFERROR(INDEX(IF($I499="FIN",HISTORIAL_HORARIOS!$L$2:$L$201,HISTORIAL_HORARIOS!$H$2:$H$201),MATCH(1,(HISTORIAL_HORARIOS!$A$2:$A$201=$B499)*(HISTORIAL_HORARIOS!$C$2:$C$201&lt;=$A499)*(HISTORIAL_HORARIOS!$D$2:$D$201&gt;=$A499),0)),INDEX(IF($I499="FIN",PERSONAL!$L$2:$L$80,PERSONAL!$H$2:$H$80),MATCH($B499,PERSONAL!$A$2:$A$80,0)))))</f>
        <v/>
      </c>
    </row>
    <row r="500" ht="15" customHeight="1" s="58">
      <c r="A500" s="37" t="n"/>
      <c r="B500" s="38" t="n"/>
      <c r="C500" s="39" t="n"/>
      <c r="D500" s="39" t="n"/>
      <c r="E500" s="34">
        <f t="array" ref="E500">IF($B500="","",IFERROR(INDEX(PERSONAL!$B$2:$B$80,MATCH($B500,PERSONAL!$A$2:$A$80,0)),"NO EXISTE"))</f>
        <v/>
      </c>
      <c r="F500" s="52">
        <f t="array" ref="F500">IF($B500="","",IFERROR(INDEX(PERSONAL!$C$2:$C$80,MATCH($B500,PERSONAL!$A$2:$A$80,0)),""))</f>
        <v/>
      </c>
      <c r="G500" s="52">
        <f>IF($A500="","",CHOOSE(WEEKDAY($A500,2),"LUNES","MARTES","MIÉRCOLES","JUEVES","VIERNES","SÁBADO","DOMINGO"))</f>
        <v/>
      </c>
      <c r="H500" s="34">
        <f>IF($A500="","",CHOOSE(MONTH($A500),"ENERO","FEBRERO","MARZO","ABRIL","MAYO","JUNIO","JULIO","AGOSTO","SEPTIEMBRE","OCTUBRE","NOVIEMBRE","DICIEMBRE"))</f>
        <v/>
      </c>
      <c r="I500" s="34">
        <f>IF($A500="","",IF(OR($G500="SÁBADO",$G500="DOMINGO"),"FIN","LV"))</f>
        <v/>
      </c>
      <c r="J500" s="34">
        <f>IF(OR($A500="",$B500=""),"",IF($L500&lt;&gt;"",UPPER($L500),IF($C500="","FALTA",IFERROR(IF($C500&gt;=$O500,"ROJO FUERTE",IF($C500&gt;=$N500,"ROJO",IF($C500&gt;=$M500,"AMARILLO","VERDE"))),"REVISAR"))))</f>
        <v/>
      </c>
      <c r="K500" s="36">
        <f>IF(OR($C500="",$D500=""),"",IF($D500&gt;=$C500,($D500-$C500)*24,(1-$C500+$D500)*24))</f>
        <v/>
      </c>
      <c r="L500" s="34" t="n"/>
      <c r="M500" s="53">
        <f t="array" ref="M500">IFERROR(INDEX(EXCEPCIONES_FECHA!$D$2:$D$201,MATCH(1,(EXCEPCIONES_FECHA!$A$2:$A$201=$A500)*(EXCEPCIONES_FECHA!$B$2:$B$201=$B500),0)),IFERROR(INDEX(EXCEPCIONES_FECHA!$D$2:$D$201,MATCH(1,(EXCEPCIONES_FECHA!$A$2:$A$201=$A500)*(EXCEPCIONES_FECHA!$B$2:$B$201=""),0)),IFERROR(INDEX(IF($I500="FIN",HISTORIAL_HORARIOS!$J$2:$J$201,HISTORIAL_HORARIOS!$F$2:$F$201),MATCH(1,(HISTORIAL_HORARIOS!$A$2:$A$201=$B500)*(HISTORIAL_HORARIOS!$C$2:$C$201&lt;=$A500)*(HISTORIAL_HORARIOS!$D$2:$D$201&gt;=$A500),0)),INDEX(IF($I500="FIN",PERSONAL!$J$2:$J$80,PERSONAL!$F$2:$F$80),MATCH($B500,PERSONAL!$A$2:$A$80,0)))))</f>
        <v/>
      </c>
      <c r="N500" s="53">
        <f t="array" ref="N500">IFERROR(INDEX(EXCEPCIONES_FECHA!$E$2:$E$201,MATCH(1,(EXCEPCIONES_FECHA!$A$2:$A$201=$A500)*(EXCEPCIONES_FECHA!$B$2:$B$201=$B500),0)),IFERROR(INDEX(EXCEPCIONES_FECHA!$E$2:$E$201,MATCH(1,(EXCEPCIONES_FECHA!$A$2:$A$201=$A500)*(EXCEPCIONES_FECHA!$B$2:$B$201=""),0)),IFERROR(INDEX(IF($I500="FIN",HISTORIAL_HORARIOS!$K$2:$K$201,HISTORIAL_HORARIOS!$G$2:$G$201),MATCH(1,(HISTORIAL_HORARIOS!$A$2:$A$201=$B500)*(HISTORIAL_HORARIOS!$C$2:$C$201&lt;=$A500)*(HISTORIAL_HORARIOS!$D$2:$D$201&gt;=$A500),0)),INDEX(IF($I500="FIN",PERSONAL!$K$2:$K$80,PERSONAL!$G$2:$G$80),MATCH($B500,PERSONAL!$A$2:$A$80,0)))))</f>
        <v/>
      </c>
      <c r="O500" s="53">
        <f t="array" ref="O500">IFERROR(INDEX(EXCEPCIONES_FECHA!$F$2:$F$201,MATCH(1,(EXCEPCIONES_FECHA!$A$2:$A$201=$A500)*(EXCEPCIONES_FECHA!$B$2:$B$201=$B500),0)),IFERROR(INDEX(EXCEPCIONES_FECHA!$F$2:$F$201,MATCH(1,(EXCEPCIONES_FECHA!$A$2:$A$201=$A500)*(EXCEPCIONES_FECHA!$B$2:$B$201=""),0)),IFERROR(INDEX(IF($I500="FIN",HISTORIAL_HORARIOS!$L$2:$L$201,HISTORIAL_HORARIOS!$H$2:$H$201),MATCH(1,(HISTORIAL_HORARIOS!$A$2:$A$201=$B500)*(HISTORIAL_HORARIOS!$C$2:$C$201&lt;=$A500)*(HISTORIAL_HORARIOS!$D$2:$D$201&gt;=$A500),0)),INDEX(IF($I500="FIN",PERSONAL!$L$2:$L$80,PERSONAL!$H$2:$H$80),MATCH($B500,PERSONAL!$A$2:$A$80,0)))))</f>
        <v/>
      </c>
    </row>
    <row r="501" ht="15" customHeight="1" s="58">
      <c r="A501" s="37" t="n"/>
      <c r="B501" s="38" t="n"/>
      <c r="C501" s="39" t="n"/>
      <c r="D501" s="39" t="n"/>
      <c r="E501" s="34">
        <f t="array" ref="E501">IF($B501="","",IFERROR(INDEX(PERSONAL!$B$2:$B$80,MATCH($B501,PERSONAL!$A$2:$A$80,0)),"NO EXISTE"))</f>
        <v/>
      </c>
      <c r="F501" s="52">
        <f t="array" ref="F501">IF($B501="","",IFERROR(INDEX(PERSONAL!$C$2:$C$80,MATCH($B501,PERSONAL!$A$2:$A$80,0)),""))</f>
        <v/>
      </c>
      <c r="G501" s="52">
        <f>IF($A501="","",CHOOSE(WEEKDAY($A501,2),"LUNES","MARTES","MIÉRCOLES","JUEVES","VIERNES","SÁBADO","DOMINGO"))</f>
        <v/>
      </c>
      <c r="H501" s="34">
        <f>IF($A501="","",CHOOSE(MONTH($A501),"ENERO","FEBRERO","MARZO","ABRIL","MAYO","JUNIO","JULIO","AGOSTO","SEPTIEMBRE","OCTUBRE","NOVIEMBRE","DICIEMBRE"))</f>
        <v/>
      </c>
      <c r="I501" s="34">
        <f>IF($A501="","",IF(OR($G501="SÁBADO",$G501="DOMINGO"),"FIN","LV"))</f>
        <v/>
      </c>
      <c r="J501" s="34">
        <f>IF(OR($A501="",$B501=""),"",IF($L501&lt;&gt;"",UPPER($L501),IF($C501="","FALTA",IFERROR(IF($C501&gt;=$O501,"ROJO FUERTE",IF($C501&gt;=$N501,"ROJO",IF($C501&gt;=$M501,"AMARILLO","VERDE"))),"REVISAR"))))</f>
        <v/>
      </c>
      <c r="K501" s="36">
        <f>IF(OR($C501="",$D501=""),"",IF($D501&gt;=$C501,($D501-$C501)*24,(1-$C501+$D501)*24))</f>
        <v/>
      </c>
      <c r="L501" s="34" t="n"/>
      <c r="M501" s="53">
        <f t="array" ref="M501">IFERROR(INDEX(EXCEPCIONES_FECHA!$D$2:$D$201,MATCH(1,(EXCEPCIONES_FECHA!$A$2:$A$201=$A501)*(EXCEPCIONES_FECHA!$B$2:$B$201=$B501),0)),IFERROR(INDEX(EXCEPCIONES_FECHA!$D$2:$D$201,MATCH(1,(EXCEPCIONES_FECHA!$A$2:$A$201=$A501)*(EXCEPCIONES_FECHA!$B$2:$B$201=""),0)),IFERROR(INDEX(IF($I501="FIN",HISTORIAL_HORARIOS!$J$2:$J$201,HISTORIAL_HORARIOS!$F$2:$F$201),MATCH(1,(HISTORIAL_HORARIOS!$A$2:$A$201=$B501)*(HISTORIAL_HORARIOS!$C$2:$C$201&lt;=$A501)*(HISTORIAL_HORARIOS!$D$2:$D$201&gt;=$A501),0)),INDEX(IF($I501="FIN",PERSONAL!$J$2:$J$80,PERSONAL!$F$2:$F$80),MATCH($B501,PERSONAL!$A$2:$A$80,0)))))</f>
        <v/>
      </c>
      <c r="N501" s="53">
        <f t="array" ref="N501">IFERROR(INDEX(EXCEPCIONES_FECHA!$E$2:$E$201,MATCH(1,(EXCEPCIONES_FECHA!$A$2:$A$201=$A501)*(EXCEPCIONES_FECHA!$B$2:$B$201=$B501),0)),IFERROR(INDEX(EXCEPCIONES_FECHA!$E$2:$E$201,MATCH(1,(EXCEPCIONES_FECHA!$A$2:$A$201=$A501)*(EXCEPCIONES_FECHA!$B$2:$B$201=""),0)),IFERROR(INDEX(IF($I501="FIN",HISTORIAL_HORARIOS!$K$2:$K$201,HISTORIAL_HORARIOS!$G$2:$G$201),MATCH(1,(HISTORIAL_HORARIOS!$A$2:$A$201=$B501)*(HISTORIAL_HORARIOS!$C$2:$C$201&lt;=$A501)*(HISTORIAL_HORARIOS!$D$2:$D$201&gt;=$A501),0)),INDEX(IF($I501="FIN",PERSONAL!$K$2:$K$80,PERSONAL!$G$2:$G$80),MATCH($B501,PERSONAL!$A$2:$A$80,0)))))</f>
        <v/>
      </c>
      <c r="O501" s="53">
        <f t="array" ref="O501">IFERROR(INDEX(EXCEPCIONES_FECHA!$F$2:$F$201,MATCH(1,(EXCEPCIONES_FECHA!$A$2:$A$201=$A501)*(EXCEPCIONES_FECHA!$B$2:$B$201=$B501),0)),IFERROR(INDEX(EXCEPCIONES_FECHA!$F$2:$F$201,MATCH(1,(EXCEPCIONES_FECHA!$A$2:$A$201=$A501)*(EXCEPCIONES_FECHA!$B$2:$B$201=""),0)),IFERROR(INDEX(IF($I501="FIN",HISTORIAL_HORARIOS!$L$2:$L$201,HISTORIAL_HORARIOS!$H$2:$H$201),MATCH(1,(HISTORIAL_HORARIOS!$A$2:$A$201=$B501)*(HISTORIAL_HORARIOS!$C$2:$C$201&lt;=$A501)*(HISTORIAL_HORARIOS!$D$2:$D$201&gt;=$A501),0)),INDEX(IF($I501="FIN",PERSONAL!$L$2:$L$80,PERSONAL!$H$2:$H$80),MATCH($B501,PERSONAL!$A$2:$A$80,0)))))</f>
        <v/>
      </c>
    </row>
    <row r="502" ht="15" customHeight="1" s="58">
      <c r="A502" s="37" t="n"/>
      <c r="B502" s="38" t="n"/>
      <c r="C502" s="39" t="n"/>
      <c r="D502" s="39" t="n"/>
      <c r="E502" s="34">
        <f t="array" ref="E502">IF($B502="","",IFERROR(INDEX(PERSONAL!$B$2:$B$80,MATCH($B502,PERSONAL!$A$2:$A$80,0)),"NO EXISTE"))</f>
        <v/>
      </c>
      <c r="F502" s="52">
        <f t="array" ref="F502">IF($B502="","",IFERROR(INDEX(PERSONAL!$C$2:$C$80,MATCH($B502,PERSONAL!$A$2:$A$80,0)),""))</f>
        <v/>
      </c>
      <c r="G502" s="52">
        <f>IF($A502="","",CHOOSE(WEEKDAY($A502,2),"LUNES","MARTES","MIÉRCOLES","JUEVES","VIERNES","SÁBADO","DOMINGO"))</f>
        <v/>
      </c>
      <c r="H502" s="34">
        <f>IF($A502="","",CHOOSE(MONTH($A502),"ENERO","FEBRERO","MARZO","ABRIL","MAYO","JUNIO","JULIO","AGOSTO","SEPTIEMBRE","OCTUBRE","NOVIEMBRE","DICIEMBRE"))</f>
        <v/>
      </c>
      <c r="I502" s="34">
        <f>IF($A502="","",IF(OR($G502="SÁBADO",$G502="DOMINGO"),"FIN","LV"))</f>
        <v/>
      </c>
      <c r="J502" s="34">
        <f>IF(OR($A502="",$B502=""),"",IF($L502&lt;&gt;"",UPPER($L502),IF($C502="","FALTA",IFERROR(IF($C502&gt;=$O502,"ROJO FUERTE",IF($C502&gt;=$N502,"ROJO",IF($C502&gt;=$M502,"AMARILLO","VERDE"))),"REVISAR"))))</f>
        <v/>
      </c>
      <c r="K502" s="36">
        <f>IF(OR($C502="",$D502=""),"",IF($D502&gt;=$C502,($D502-$C502)*24,(1-$C502+$D502)*24))</f>
        <v/>
      </c>
      <c r="L502" s="34" t="n"/>
      <c r="M502" s="53">
        <f t="array" ref="M502">IFERROR(INDEX(EXCEPCIONES_FECHA!$D$2:$D$201,MATCH(1,(EXCEPCIONES_FECHA!$A$2:$A$201=$A502)*(EXCEPCIONES_FECHA!$B$2:$B$201=$B502),0)),IFERROR(INDEX(EXCEPCIONES_FECHA!$D$2:$D$201,MATCH(1,(EXCEPCIONES_FECHA!$A$2:$A$201=$A502)*(EXCEPCIONES_FECHA!$B$2:$B$201=""),0)),IFERROR(INDEX(IF($I502="FIN",HISTORIAL_HORARIOS!$J$2:$J$201,HISTORIAL_HORARIOS!$F$2:$F$201),MATCH(1,(HISTORIAL_HORARIOS!$A$2:$A$201=$B502)*(HISTORIAL_HORARIOS!$C$2:$C$201&lt;=$A502)*(HISTORIAL_HORARIOS!$D$2:$D$201&gt;=$A502),0)),INDEX(IF($I502="FIN",PERSONAL!$J$2:$J$80,PERSONAL!$F$2:$F$80),MATCH($B502,PERSONAL!$A$2:$A$80,0)))))</f>
        <v/>
      </c>
      <c r="N502" s="53">
        <f t="array" ref="N502">IFERROR(INDEX(EXCEPCIONES_FECHA!$E$2:$E$201,MATCH(1,(EXCEPCIONES_FECHA!$A$2:$A$201=$A502)*(EXCEPCIONES_FECHA!$B$2:$B$201=$B502),0)),IFERROR(INDEX(EXCEPCIONES_FECHA!$E$2:$E$201,MATCH(1,(EXCEPCIONES_FECHA!$A$2:$A$201=$A502)*(EXCEPCIONES_FECHA!$B$2:$B$201=""),0)),IFERROR(INDEX(IF($I502="FIN",HISTORIAL_HORARIOS!$K$2:$K$201,HISTORIAL_HORARIOS!$G$2:$G$201),MATCH(1,(HISTORIAL_HORARIOS!$A$2:$A$201=$B502)*(HISTORIAL_HORARIOS!$C$2:$C$201&lt;=$A502)*(HISTORIAL_HORARIOS!$D$2:$D$201&gt;=$A502),0)),INDEX(IF($I502="FIN",PERSONAL!$K$2:$K$80,PERSONAL!$G$2:$G$80),MATCH($B502,PERSONAL!$A$2:$A$80,0)))))</f>
        <v/>
      </c>
      <c r="O502" s="53">
        <f t="array" ref="O502">IFERROR(INDEX(EXCEPCIONES_FECHA!$F$2:$F$201,MATCH(1,(EXCEPCIONES_FECHA!$A$2:$A$201=$A502)*(EXCEPCIONES_FECHA!$B$2:$B$201=$B502),0)),IFERROR(INDEX(EXCEPCIONES_FECHA!$F$2:$F$201,MATCH(1,(EXCEPCIONES_FECHA!$A$2:$A$201=$A502)*(EXCEPCIONES_FECHA!$B$2:$B$201=""),0)),IFERROR(INDEX(IF($I502="FIN",HISTORIAL_HORARIOS!$L$2:$L$201,HISTORIAL_HORARIOS!$H$2:$H$201),MATCH(1,(HISTORIAL_HORARIOS!$A$2:$A$201=$B502)*(HISTORIAL_HORARIOS!$C$2:$C$201&lt;=$A502)*(HISTORIAL_HORARIOS!$D$2:$D$201&gt;=$A502),0)),INDEX(IF($I502="FIN",PERSONAL!$L$2:$L$80,PERSONAL!$H$2:$H$80),MATCH($B502,PERSONAL!$A$2:$A$80,0)))))</f>
        <v/>
      </c>
    </row>
    <row r="503" ht="15" customHeight="1" s="58">
      <c r="A503" s="37" t="n"/>
      <c r="B503" s="38" t="n"/>
      <c r="C503" s="39" t="n"/>
      <c r="D503" s="39" t="n"/>
      <c r="E503" s="34">
        <f t="array" ref="E503">IF($B503="","",IFERROR(INDEX(PERSONAL!$B$2:$B$80,MATCH($B503,PERSONAL!$A$2:$A$80,0)),"NO EXISTE"))</f>
        <v/>
      </c>
      <c r="F503" s="52">
        <f t="array" ref="F503">IF($B503="","",IFERROR(INDEX(PERSONAL!$C$2:$C$80,MATCH($B503,PERSONAL!$A$2:$A$80,0)),""))</f>
        <v/>
      </c>
      <c r="G503" s="52">
        <f>IF($A503="","",CHOOSE(WEEKDAY($A503,2),"LUNES","MARTES","MIÉRCOLES","JUEVES","VIERNES","SÁBADO","DOMINGO"))</f>
        <v/>
      </c>
      <c r="H503" s="34">
        <f>IF($A503="","",CHOOSE(MONTH($A503),"ENERO","FEBRERO","MARZO","ABRIL","MAYO","JUNIO","JULIO","AGOSTO","SEPTIEMBRE","OCTUBRE","NOVIEMBRE","DICIEMBRE"))</f>
        <v/>
      </c>
      <c r="I503" s="34">
        <f>IF($A503="","",IF(OR($G503="SÁBADO",$G503="DOMINGO"),"FIN","LV"))</f>
        <v/>
      </c>
      <c r="J503" s="34">
        <f>IF(OR($A503="",$B503=""),"",IF($L503&lt;&gt;"",UPPER($L503),IF($C503="","FALTA",IFERROR(IF($C503&gt;=$O503,"ROJO FUERTE",IF($C503&gt;=$N503,"ROJO",IF($C503&gt;=$M503,"AMARILLO","VERDE"))),"REVISAR"))))</f>
        <v/>
      </c>
      <c r="K503" s="36">
        <f>IF(OR($C503="",$D503=""),"",IF($D503&gt;=$C503,($D503-$C503)*24,(1-$C503+$D503)*24))</f>
        <v/>
      </c>
      <c r="L503" s="34" t="n"/>
      <c r="M503" s="53">
        <f t="array" ref="M503">IFERROR(INDEX(EXCEPCIONES_FECHA!$D$2:$D$201,MATCH(1,(EXCEPCIONES_FECHA!$A$2:$A$201=$A503)*(EXCEPCIONES_FECHA!$B$2:$B$201=$B503),0)),IFERROR(INDEX(EXCEPCIONES_FECHA!$D$2:$D$201,MATCH(1,(EXCEPCIONES_FECHA!$A$2:$A$201=$A503)*(EXCEPCIONES_FECHA!$B$2:$B$201=""),0)),IFERROR(INDEX(IF($I503="FIN",HISTORIAL_HORARIOS!$J$2:$J$201,HISTORIAL_HORARIOS!$F$2:$F$201),MATCH(1,(HISTORIAL_HORARIOS!$A$2:$A$201=$B503)*(HISTORIAL_HORARIOS!$C$2:$C$201&lt;=$A503)*(HISTORIAL_HORARIOS!$D$2:$D$201&gt;=$A503),0)),INDEX(IF($I503="FIN",PERSONAL!$J$2:$J$80,PERSONAL!$F$2:$F$80),MATCH($B503,PERSONAL!$A$2:$A$80,0)))))</f>
        <v/>
      </c>
      <c r="N503" s="53">
        <f t="array" ref="N503">IFERROR(INDEX(EXCEPCIONES_FECHA!$E$2:$E$201,MATCH(1,(EXCEPCIONES_FECHA!$A$2:$A$201=$A503)*(EXCEPCIONES_FECHA!$B$2:$B$201=$B503),0)),IFERROR(INDEX(EXCEPCIONES_FECHA!$E$2:$E$201,MATCH(1,(EXCEPCIONES_FECHA!$A$2:$A$201=$A503)*(EXCEPCIONES_FECHA!$B$2:$B$201=""),0)),IFERROR(INDEX(IF($I503="FIN",HISTORIAL_HORARIOS!$K$2:$K$201,HISTORIAL_HORARIOS!$G$2:$G$201),MATCH(1,(HISTORIAL_HORARIOS!$A$2:$A$201=$B503)*(HISTORIAL_HORARIOS!$C$2:$C$201&lt;=$A503)*(HISTORIAL_HORARIOS!$D$2:$D$201&gt;=$A503),0)),INDEX(IF($I503="FIN",PERSONAL!$K$2:$K$80,PERSONAL!$G$2:$G$80),MATCH($B503,PERSONAL!$A$2:$A$80,0)))))</f>
        <v/>
      </c>
      <c r="O503" s="53">
        <f t="array" ref="O503">IFERROR(INDEX(EXCEPCIONES_FECHA!$F$2:$F$201,MATCH(1,(EXCEPCIONES_FECHA!$A$2:$A$201=$A503)*(EXCEPCIONES_FECHA!$B$2:$B$201=$B503),0)),IFERROR(INDEX(EXCEPCIONES_FECHA!$F$2:$F$201,MATCH(1,(EXCEPCIONES_FECHA!$A$2:$A$201=$A503)*(EXCEPCIONES_FECHA!$B$2:$B$201=""),0)),IFERROR(INDEX(IF($I503="FIN",HISTORIAL_HORARIOS!$L$2:$L$201,HISTORIAL_HORARIOS!$H$2:$H$201),MATCH(1,(HISTORIAL_HORARIOS!$A$2:$A$201=$B503)*(HISTORIAL_HORARIOS!$C$2:$C$201&lt;=$A503)*(HISTORIAL_HORARIOS!$D$2:$D$201&gt;=$A503),0)),INDEX(IF($I503="FIN",PERSONAL!$L$2:$L$80,PERSONAL!$H$2:$H$80),MATCH($B503,PERSONAL!$A$2:$A$80,0)))))</f>
        <v/>
      </c>
    </row>
    <row r="504" ht="15" customHeight="1" s="58">
      <c r="A504" s="37" t="n"/>
      <c r="B504" s="38" t="n"/>
      <c r="C504" s="39" t="n"/>
      <c r="D504" s="39" t="n"/>
      <c r="E504" s="34">
        <f t="array" ref="E504">IF($B504="","",IFERROR(INDEX(PERSONAL!$B$2:$B$80,MATCH($B504,PERSONAL!$A$2:$A$80,0)),"NO EXISTE"))</f>
        <v/>
      </c>
      <c r="F504" s="52">
        <f t="array" ref="F504">IF($B504="","",IFERROR(INDEX(PERSONAL!$C$2:$C$80,MATCH($B504,PERSONAL!$A$2:$A$80,0)),""))</f>
        <v/>
      </c>
      <c r="G504" s="52">
        <f>IF($A504="","",CHOOSE(WEEKDAY($A504,2),"LUNES","MARTES","MIÉRCOLES","JUEVES","VIERNES","SÁBADO","DOMINGO"))</f>
        <v/>
      </c>
      <c r="H504" s="34">
        <f>IF($A504="","",CHOOSE(MONTH($A504),"ENERO","FEBRERO","MARZO","ABRIL","MAYO","JUNIO","JULIO","AGOSTO","SEPTIEMBRE","OCTUBRE","NOVIEMBRE","DICIEMBRE"))</f>
        <v/>
      </c>
      <c r="I504" s="34">
        <f>IF($A504="","",IF(OR($G504="SÁBADO",$G504="DOMINGO"),"FIN","LV"))</f>
        <v/>
      </c>
      <c r="J504" s="34">
        <f>IF(OR($A504="",$B504=""),"",IF($L504&lt;&gt;"",UPPER($L504),IF($C504="","FALTA",IFERROR(IF($C504&gt;=$O504,"ROJO FUERTE",IF($C504&gt;=$N504,"ROJO",IF($C504&gt;=$M504,"AMARILLO","VERDE"))),"REVISAR"))))</f>
        <v/>
      </c>
      <c r="K504" s="36">
        <f>IF(OR($C504="",$D504=""),"",IF($D504&gt;=$C504,($D504-$C504)*24,(1-$C504+$D504)*24))</f>
        <v/>
      </c>
      <c r="L504" s="34" t="n"/>
      <c r="M504" s="53">
        <f t="array" ref="M504">IFERROR(INDEX(EXCEPCIONES_FECHA!$D$2:$D$201,MATCH(1,(EXCEPCIONES_FECHA!$A$2:$A$201=$A504)*(EXCEPCIONES_FECHA!$B$2:$B$201=$B504),0)),IFERROR(INDEX(EXCEPCIONES_FECHA!$D$2:$D$201,MATCH(1,(EXCEPCIONES_FECHA!$A$2:$A$201=$A504)*(EXCEPCIONES_FECHA!$B$2:$B$201=""),0)),IFERROR(INDEX(IF($I504="FIN",HISTORIAL_HORARIOS!$J$2:$J$201,HISTORIAL_HORARIOS!$F$2:$F$201),MATCH(1,(HISTORIAL_HORARIOS!$A$2:$A$201=$B504)*(HISTORIAL_HORARIOS!$C$2:$C$201&lt;=$A504)*(HISTORIAL_HORARIOS!$D$2:$D$201&gt;=$A504),0)),INDEX(IF($I504="FIN",PERSONAL!$J$2:$J$80,PERSONAL!$F$2:$F$80),MATCH($B504,PERSONAL!$A$2:$A$80,0)))))</f>
        <v/>
      </c>
      <c r="N504" s="53">
        <f t="array" ref="N504">IFERROR(INDEX(EXCEPCIONES_FECHA!$E$2:$E$201,MATCH(1,(EXCEPCIONES_FECHA!$A$2:$A$201=$A504)*(EXCEPCIONES_FECHA!$B$2:$B$201=$B504),0)),IFERROR(INDEX(EXCEPCIONES_FECHA!$E$2:$E$201,MATCH(1,(EXCEPCIONES_FECHA!$A$2:$A$201=$A504)*(EXCEPCIONES_FECHA!$B$2:$B$201=""),0)),IFERROR(INDEX(IF($I504="FIN",HISTORIAL_HORARIOS!$K$2:$K$201,HISTORIAL_HORARIOS!$G$2:$G$201),MATCH(1,(HISTORIAL_HORARIOS!$A$2:$A$201=$B504)*(HISTORIAL_HORARIOS!$C$2:$C$201&lt;=$A504)*(HISTORIAL_HORARIOS!$D$2:$D$201&gt;=$A504),0)),INDEX(IF($I504="FIN",PERSONAL!$K$2:$K$80,PERSONAL!$G$2:$G$80),MATCH($B504,PERSONAL!$A$2:$A$80,0)))))</f>
        <v/>
      </c>
      <c r="O504" s="53">
        <f t="array" ref="O504">IFERROR(INDEX(EXCEPCIONES_FECHA!$F$2:$F$201,MATCH(1,(EXCEPCIONES_FECHA!$A$2:$A$201=$A504)*(EXCEPCIONES_FECHA!$B$2:$B$201=$B504),0)),IFERROR(INDEX(EXCEPCIONES_FECHA!$F$2:$F$201,MATCH(1,(EXCEPCIONES_FECHA!$A$2:$A$201=$A504)*(EXCEPCIONES_FECHA!$B$2:$B$201=""),0)),IFERROR(INDEX(IF($I504="FIN",HISTORIAL_HORARIOS!$L$2:$L$201,HISTORIAL_HORARIOS!$H$2:$H$201),MATCH(1,(HISTORIAL_HORARIOS!$A$2:$A$201=$B504)*(HISTORIAL_HORARIOS!$C$2:$C$201&lt;=$A504)*(HISTORIAL_HORARIOS!$D$2:$D$201&gt;=$A504),0)),INDEX(IF($I504="FIN",PERSONAL!$L$2:$L$80,PERSONAL!$H$2:$H$80),MATCH($B504,PERSONAL!$A$2:$A$80,0)))))</f>
        <v/>
      </c>
    </row>
    <row r="505" ht="15" customHeight="1" s="58">
      <c r="A505" s="37" t="n"/>
      <c r="B505" s="38" t="n"/>
      <c r="C505" s="39" t="n"/>
      <c r="D505" s="39" t="n"/>
      <c r="E505" s="34">
        <f t="array" ref="E505">IF($B505="","",IFERROR(INDEX(PERSONAL!$B$2:$B$80,MATCH($B505,PERSONAL!$A$2:$A$80,0)),"NO EXISTE"))</f>
        <v/>
      </c>
      <c r="F505" s="52">
        <f t="array" ref="F505">IF($B505="","",IFERROR(INDEX(PERSONAL!$C$2:$C$80,MATCH($B505,PERSONAL!$A$2:$A$80,0)),""))</f>
        <v/>
      </c>
      <c r="G505" s="52">
        <f>IF($A505="","",CHOOSE(WEEKDAY($A505,2),"LUNES","MARTES","MIÉRCOLES","JUEVES","VIERNES","SÁBADO","DOMINGO"))</f>
        <v/>
      </c>
      <c r="H505" s="34">
        <f>IF($A505="","",CHOOSE(MONTH($A505),"ENERO","FEBRERO","MARZO","ABRIL","MAYO","JUNIO","JULIO","AGOSTO","SEPTIEMBRE","OCTUBRE","NOVIEMBRE","DICIEMBRE"))</f>
        <v/>
      </c>
      <c r="I505" s="34">
        <f>IF($A505="","",IF(OR($G505="SÁBADO",$G505="DOMINGO"),"FIN","LV"))</f>
        <v/>
      </c>
      <c r="J505" s="34">
        <f>IF(OR($A505="",$B505=""),"",IF($L505&lt;&gt;"",UPPER($L505),IF($C505="","FALTA",IFERROR(IF($C505&gt;=$O505,"ROJO FUERTE",IF($C505&gt;=$N505,"ROJO",IF($C505&gt;=$M505,"AMARILLO","VERDE"))),"REVISAR"))))</f>
        <v/>
      </c>
      <c r="K505" s="36">
        <f>IF(OR($C505="",$D505=""),"",IF($D505&gt;=$C505,($D505-$C505)*24,(1-$C505+$D505)*24))</f>
        <v/>
      </c>
      <c r="L505" s="34" t="n"/>
      <c r="M505" s="53">
        <f t="array" ref="M505">IFERROR(INDEX(EXCEPCIONES_FECHA!$D$2:$D$201,MATCH(1,(EXCEPCIONES_FECHA!$A$2:$A$201=$A505)*(EXCEPCIONES_FECHA!$B$2:$B$201=$B505),0)),IFERROR(INDEX(EXCEPCIONES_FECHA!$D$2:$D$201,MATCH(1,(EXCEPCIONES_FECHA!$A$2:$A$201=$A505)*(EXCEPCIONES_FECHA!$B$2:$B$201=""),0)),IFERROR(INDEX(IF($I505="FIN",HISTORIAL_HORARIOS!$J$2:$J$201,HISTORIAL_HORARIOS!$F$2:$F$201),MATCH(1,(HISTORIAL_HORARIOS!$A$2:$A$201=$B505)*(HISTORIAL_HORARIOS!$C$2:$C$201&lt;=$A505)*(HISTORIAL_HORARIOS!$D$2:$D$201&gt;=$A505),0)),INDEX(IF($I505="FIN",PERSONAL!$J$2:$J$80,PERSONAL!$F$2:$F$80),MATCH($B505,PERSONAL!$A$2:$A$80,0)))))</f>
        <v/>
      </c>
      <c r="N505" s="53">
        <f t="array" ref="N505">IFERROR(INDEX(EXCEPCIONES_FECHA!$E$2:$E$201,MATCH(1,(EXCEPCIONES_FECHA!$A$2:$A$201=$A505)*(EXCEPCIONES_FECHA!$B$2:$B$201=$B505),0)),IFERROR(INDEX(EXCEPCIONES_FECHA!$E$2:$E$201,MATCH(1,(EXCEPCIONES_FECHA!$A$2:$A$201=$A505)*(EXCEPCIONES_FECHA!$B$2:$B$201=""),0)),IFERROR(INDEX(IF($I505="FIN",HISTORIAL_HORARIOS!$K$2:$K$201,HISTORIAL_HORARIOS!$G$2:$G$201),MATCH(1,(HISTORIAL_HORARIOS!$A$2:$A$201=$B505)*(HISTORIAL_HORARIOS!$C$2:$C$201&lt;=$A505)*(HISTORIAL_HORARIOS!$D$2:$D$201&gt;=$A505),0)),INDEX(IF($I505="FIN",PERSONAL!$K$2:$K$80,PERSONAL!$G$2:$G$80),MATCH($B505,PERSONAL!$A$2:$A$80,0)))))</f>
        <v/>
      </c>
      <c r="O505" s="53">
        <f t="array" ref="O505">IFERROR(INDEX(EXCEPCIONES_FECHA!$F$2:$F$201,MATCH(1,(EXCEPCIONES_FECHA!$A$2:$A$201=$A505)*(EXCEPCIONES_FECHA!$B$2:$B$201=$B505),0)),IFERROR(INDEX(EXCEPCIONES_FECHA!$F$2:$F$201,MATCH(1,(EXCEPCIONES_FECHA!$A$2:$A$201=$A505)*(EXCEPCIONES_FECHA!$B$2:$B$201=""),0)),IFERROR(INDEX(IF($I505="FIN",HISTORIAL_HORARIOS!$L$2:$L$201,HISTORIAL_HORARIOS!$H$2:$H$201),MATCH(1,(HISTORIAL_HORARIOS!$A$2:$A$201=$B505)*(HISTORIAL_HORARIOS!$C$2:$C$201&lt;=$A505)*(HISTORIAL_HORARIOS!$D$2:$D$201&gt;=$A505),0)),INDEX(IF($I505="FIN",PERSONAL!$L$2:$L$80,PERSONAL!$H$2:$H$80),MATCH($B505,PERSONAL!$A$2:$A$80,0)))))</f>
        <v/>
      </c>
    </row>
    <row r="506" ht="15" customHeight="1" s="58">
      <c r="A506" s="37" t="n"/>
      <c r="B506" s="38" t="n"/>
      <c r="C506" s="39" t="n"/>
      <c r="D506" s="39" t="n"/>
      <c r="E506" s="34">
        <f t="array" ref="E506">IF($B506="","",IFERROR(INDEX(PERSONAL!$B$2:$B$80,MATCH($B506,PERSONAL!$A$2:$A$80,0)),"NO EXISTE"))</f>
        <v/>
      </c>
      <c r="F506" s="52">
        <f t="array" ref="F506">IF($B506="","",IFERROR(INDEX(PERSONAL!$C$2:$C$80,MATCH($B506,PERSONAL!$A$2:$A$80,0)),""))</f>
        <v/>
      </c>
      <c r="G506" s="52">
        <f>IF($A506="","",CHOOSE(WEEKDAY($A506,2),"LUNES","MARTES","MIÉRCOLES","JUEVES","VIERNES","SÁBADO","DOMINGO"))</f>
        <v/>
      </c>
      <c r="H506" s="34">
        <f>IF($A506="","",CHOOSE(MONTH($A506),"ENERO","FEBRERO","MARZO","ABRIL","MAYO","JUNIO","JULIO","AGOSTO","SEPTIEMBRE","OCTUBRE","NOVIEMBRE","DICIEMBRE"))</f>
        <v/>
      </c>
      <c r="I506" s="34">
        <f>IF($A506="","",IF(OR($G506="SÁBADO",$G506="DOMINGO"),"FIN","LV"))</f>
        <v/>
      </c>
      <c r="J506" s="34">
        <f>IF(OR($A506="",$B506=""),"",IF($L506&lt;&gt;"",UPPER($L506),IF($C506="","FALTA",IFERROR(IF($C506&gt;=$O506,"ROJO FUERTE",IF($C506&gt;=$N506,"ROJO",IF($C506&gt;=$M506,"AMARILLO","VERDE"))),"REVISAR"))))</f>
        <v/>
      </c>
      <c r="K506" s="36">
        <f>IF(OR($C506="",$D506=""),"",IF($D506&gt;=$C506,($D506-$C506)*24,(1-$C506+$D506)*24))</f>
        <v/>
      </c>
      <c r="L506" s="34" t="n"/>
      <c r="M506" s="53">
        <f t="array" ref="M506">IFERROR(INDEX(EXCEPCIONES_FECHA!$D$2:$D$201,MATCH(1,(EXCEPCIONES_FECHA!$A$2:$A$201=$A506)*(EXCEPCIONES_FECHA!$B$2:$B$201=$B506),0)),IFERROR(INDEX(EXCEPCIONES_FECHA!$D$2:$D$201,MATCH(1,(EXCEPCIONES_FECHA!$A$2:$A$201=$A506)*(EXCEPCIONES_FECHA!$B$2:$B$201=""),0)),IFERROR(INDEX(IF($I506="FIN",HISTORIAL_HORARIOS!$J$2:$J$201,HISTORIAL_HORARIOS!$F$2:$F$201),MATCH(1,(HISTORIAL_HORARIOS!$A$2:$A$201=$B506)*(HISTORIAL_HORARIOS!$C$2:$C$201&lt;=$A506)*(HISTORIAL_HORARIOS!$D$2:$D$201&gt;=$A506),0)),INDEX(IF($I506="FIN",PERSONAL!$J$2:$J$80,PERSONAL!$F$2:$F$80),MATCH($B506,PERSONAL!$A$2:$A$80,0)))))</f>
        <v/>
      </c>
      <c r="N506" s="53">
        <f t="array" ref="N506">IFERROR(INDEX(EXCEPCIONES_FECHA!$E$2:$E$201,MATCH(1,(EXCEPCIONES_FECHA!$A$2:$A$201=$A506)*(EXCEPCIONES_FECHA!$B$2:$B$201=$B506),0)),IFERROR(INDEX(EXCEPCIONES_FECHA!$E$2:$E$201,MATCH(1,(EXCEPCIONES_FECHA!$A$2:$A$201=$A506)*(EXCEPCIONES_FECHA!$B$2:$B$201=""),0)),IFERROR(INDEX(IF($I506="FIN",HISTORIAL_HORARIOS!$K$2:$K$201,HISTORIAL_HORARIOS!$G$2:$G$201),MATCH(1,(HISTORIAL_HORARIOS!$A$2:$A$201=$B506)*(HISTORIAL_HORARIOS!$C$2:$C$201&lt;=$A506)*(HISTORIAL_HORARIOS!$D$2:$D$201&gt;=$A506),0)),INDEX(IF($I506="FIN",PERSONAL!$K$2:$K$80,PERSONAL!$G$2:$G$80),MATCH($B506,PERSONAL!$A$2:$A$80,0)))))</f>
        <v/>
      </c>
      <c r="O506" s="53">
        <f t="array" ref="O506">IFERROR(INDEX(EXCEPCIONES_FECHA!$F$2:$F$201,MATCH(1,(EXCEPCIONES_FECHA!$A$2:$A$201=$A506)*(EXCEPCIONES_FECHA!$B$2:$B$201=$B506),0)),IFERROR(INDEX(EXCEPCIONES_FECHA!$F$2:$F$201,MATCH(1,(EXCEPCIONES_FECHA!$A$2:$A$201=$A506)*(EXCEPCIONES_FECHA!$B$2:$B$201=""),0)),IFERROR(INDEX(IF($I506="FIN",HISTORIAL_HORARIOS!$L$2:$L$201,HISTORIAL_HORARIOS!$H$2:$H$201),MATCH(1,(HISTORIAL_HORARIOS!$A$2:$A$201=$B506)*(HISTORIAL_HORARIOS!$C$2:$C$201&lt;=$A506)*(HISTORIAL_HORARIOS!$D$2:$D$201&gt;=$A506),0)),INDEX(IF($I506="FIN",PERSONAL!$L$2:$L$80,PERSONAL!$H$2:$H$80),MATCH($B506,PERSONAL!$A$2:$A$80,0)))))</f>
        <v/>
      </c>
    </row>
    <row r="507" ht="15" customHeight="1" s="58">
      <c r="A507" s="37" t="n"/>
      <c r="B507" s="38" t="n"/>
      <c r="C507" s="39" t="n"/>
      <c r="D507" s="39" t="n"/>
      <c r="E507" s="34">
        <f t="array" ref="E507">IF($B507="","",IFERROR(INDEX(PERSONAL!$B$2:$B$80,MATCH($B507,PERSONAL!$A$2:$A$80,0)),"NO EXISTE"))</f>
        <v/>
      </c>
      <c r="F507" s="52">
        <f t="array" ref="F507">IF($B507="","",IFERROR(INDEX(PERSONAL!$C$2:$C$80,MATCH($B507,PERSONAL!$A$2:$A$80,0)),""))</f>
        <v/>
      </c>
      <c r="G507" s="52">
        <f>IF($A507="","",CHOOSE(WEEKDAY($A507,2),"LUNES","MARTES","MIÉRCOLES","JUEVES","VIERNES","SÁBADO","DOMINGO"))</f>
        <v/>
      </c>
      <c r="H507" s="34">
        <f>IF($A507="","",CHOOSE(MONTH($A507),"ENERO","FEBRERO","MARZO","ABRIL","MAYO","JUNIO","JULIO","AGOSTO","SEPTIEMBRE","OCTUBRE","NOVIEMBRE","DICIEMBRE"))</f>
        <v/>
      </c>
      <c r="I507" s="34">
        <f>IF($A507="","",IF(OR($G507="SÁBADO",$G507="DOMINGO"),"FIN","LV"))</f>
        <v/>
      </c>
      <c r="J507" s="34">
        <f>IF(OR($A507="",$B507=""),"",IF($L507&lt;&gt;"",UPPER($L507),IF($C507="","FALTA",IFERROR(IF($C507&gt;=$O507,"ROJO FUERTE",IF($C507&gt;=$N507,"ROJO",IF($C507&gt;=$M507,"AMARILLO","VERDE"))),"REVISAR"))))</f>
        <v/>
      </c>
      <c r="K507" s="36">
        <f>IF(OR($C507="",$D507=""),"",IF($D507&gt;=$C507,($D507-$C507)*24,(1-$C507+$D507)*24))</f>
        <v/>
      </c>
      <c r="L507" s="34" t="n"/>
      <c r="M507" s="53">
        <f t="array" ref="M507">IFERROR(INDEX(EXCEPCIONES_FECHA!$D$2:$D$201,MATCH(1,(EXCEPCIONES_FECHA!$A$2:$A$201=$A507)*(EXCEPCIONES_FECHA!$B$2:$B$201=$B507),0)),IFERROR(INDEX(EXCEPCIONES_FECHA!$D$2:$D$201,MATCH(1,(EXCEPCIONES_FECHA!$A$2:$A$201=$A507)*(EXCEPCIONES_FECHA!$B$2:$B$201=""),0)),IFERROR(INDEX(IF($I507="FIN",HISTORIAL_HORARIOS!$J$2:$J$201,HISTORIAL_HORARIOS!$F$2:$F$201),MATCH(1,(HISTORIAL_HORARIOS!$A$2:$A$201=$B507)*(HISTORIAL_HORARIOS!$C$2:$C$201&lt;=$A507)*(HISTORIAL_HORARIOS!$D$2:$D$201&gt;=$A507),0)),INDEX(IF($I507="FIN",PERSONAL!$J$2:$J$80,PERSONAL!$F$2:$F$80),MATCH($B507,PERSONAL!$A$2:$A$80,0)))))</f>
        <v/>
      </c>
      <c r="N507" s="53">
        <f t="array" ref="N507">IFERROR(INDEX(EXCEPCIONES_FECHA!$E$2:$E$201,MATCH(1,(EXCEPCIONES_FECHA!$A$2:$A$201=$A507)*(EXCEPCIONES_FECHA!$B$2:$B$201=$B507),0)),IFERROR(INDEX(EXCEPCIONES_FECHA!$E$2:$E$201,MATCH(1,(EXCEPCIONES_FECHA!$A$2:$A$201=$A507)*(EXCEPCIONES_FECHA!$B$2:$B$201=""),0)),IFERROR(INDEX(IF($I507="FIN",HISTORIAL_HORARIOS!$K$2:$K$201,HISTORIAL_HORARIOS!$G$2:$G$201),MATCH(1,(HISTORIAL_HORARIOS!$A$2:$A$201=$B507)*(HISTORIAL_HORARIOS!$C$2:$C$201&lt;=$A507)*(HISTORIAL_HORARIOS!$D$2:$D$201&gt;=$A507),0)),INDEX(IF($I507="FIN",PERSONAL!$K$2:$K$80,PERSONAL!$G$2:$G$80),MATCH($B507,PERSONAL!$A$2:$A$80,0)))))</f>
        <v/>
      </c>
      <c r="O507" s="53">
        <f t="array" ref="O507">IFERROR(INDEX(EXCEPCIONES_FECHA!$F$2:$F$201,MATCH(1,(EXCEPCIONES_FECHA!$A$2:$A$201=$A507)*(EXCEPCIONES_FECHA!$B$2:$B$201=$B507),0)),IFERROR(INDEX(EXCEPCIONES_FECHA!$F$2:$F$201,MATCH(1,(EXCEPCIONES_FECHA!$A$2:$A$201=$A507)*(EXCEPCIONES_FECHA!$B$2:$B$201=""),0)),IFERROR(INDEX(IF($I507="FIN",HISTORIAL_HORARIOS!$L$2:$L$201,HISTORIAL_HORARIOS!$H$2:$H$201),MATCH(1,(HISTORIAL_HORARIOS!$A$2:$A$201=$B507)*(HISTORIAL_HORARIOS!$C$2:$C$201&lt;=$A507)*(HISTORIAL_HORARIOS!$D$2:$D$201&gt;=$A507),0)),INDEX(IF($I507="FIN",PERSONAL!$L$2:$L$80,PERSONAL!$H$2:$H$80),MATCH($B507,PERSONAL!$A$2:$A$80,0)))))</f>
        <v/>
      </c>
    </row>
    <row r="508" ht="15" customHeight="1" s="58">
      <c r="A508" s="37" t="n"/>
      <c r="B508" s="38" t="n"/>
      <c r="C508" s="39" t="n"/>
      <c r="D508" s="39" t="n"/>
      <c r="E508" s="34">
        <f t="array" ref="E508">IF($B508="","",IFERROR(INDEX(PERSONAL!$B$2:$B$80,MATCH($B508,PERSONAL!$A$2:$A$80,0)),"NO EXISTE"))</f>
        <v/>
      </c>
      <c r="F508" s="52">
        <f t="array" ref="F508">IF($B508="","",IFERROR(INDEX(PERSONAL!$C$2:$C$80,MATCH($B508,PERSONAL!$A$2:$A$80,0)),""))</f>
        <v/>
      </c>
      <c r="G508" s="52">
        <f>IF($A508="","",CHOOSE(WEEKDAY($A508,2),"LUNES","MARTES","MIÉRCOLES","JUEVES","VIERNES","SÁBADO","DOMINGO"))</f>
        <v/>
      </c>
      <c r="H508" s="34">
        <f>IF($A508="","",CHOOSE(MONTH($A508),"ENERO","FEBRERO","MARZO","ABRIL","MAYO","JUNIO","JULIO","AGOSTO","SEPTIEMBRE","OCTUBRE","NOVIEMBRE","DICIEMBRE"))</f>
        <v/>
      </c>
      <c r="I508" s="34">
        <f>IF($A508="","",IF(OR($G508="SÁBADO",$G508="DOMINGO"),"FIN","LV"))</f>
        <v/>
      </c>
      <c r="J508" s="34">
        <f>IF(OR($A508="",$B508=""),"",IF($L508&lt;&gt;"",UPPER($L508),IF($C508="","FALTA",IFERROR(IF($C508&gt;=$O508,"ROJO FUERTE",IF($C508&gt;=$N508,"ROJO",IF($C508&gt;=$M508,"AMARILLO","VERDE"))),"REVISAR"))))</f>
        <v/>
      </c>
      <c r="K508" s="36">
        <f>IF(OR($C508="",$D508=""),"",IF($D508&gt;=$C508,($D508-$C508)*24,(1-$C508+$D508)*24))</f>
        <v/>
      </c>
      <c r="L508" s="34" t="n"/>
      <c r="M508" s="53">
        <f t="array" ref="M508">IFERROR(INDEX(EXCEPCIONES_FECHA!$D$2:$D$201,MATCH(1,(EXCEPCIONES_FECHA!$A$2:$A$201=$A508)*(EXCEPCIONES_FECHA!$B$2:$B$201=$B508),0)),IFERROR(INDEX(EXCEPCIONES_FECHA!$D$2:$D$201,MATCH(1,(EXCEPCIONES_FECHA!$A$2:$A$201=$A508)*(EXCEPCIONES_FECHA!$B$2:$B$201=""),0)),IFERROR(INDEX(IF($I508="FIN",HISTORIAL_HORARIOS!$J$2:$J$201,HISTORIAL_HORARIOS!$F$2:$F$201),MATCH(1,(HISTORIAL_HORARIOS!$A$2:$A$201=$B508)*(HISTORIAL_HORARIOS!$C$2:$C$201&lt;=$A508)*(HISTORIAL_HORARIOS!$D$2:$D$201&gt;=$A508),0)),INDEX(IF($I508="FIN",PERSONAL!$J$2:$J$80,PERSONAL!$F$2:$F$80),MATCH($B508,PERSONAL!$A$2:$A$80,0)))))</f>
        <v/>
      </c>
      <c r="N508" s="53">
        <f t="array" ref="N508">IFERROR(INDEX(EXCEPCIONES_FECHA!$E$2:$E$201,MATCH(1,(EXCEPCIONES_FECHA!$A$2:$A$201=$A508)*(EXCEPCIONES_FECHA!$B$2:$B$201=$B508),0)),IFERROR(INDEX(EXCEPCIONES_FECHA!$E$2:$E$201,MATCH(1,(EXCEPCIONES_FECHA!$A$2:$A$201=$A508)*(EXCEPCIONES_FECHA!$B$2:$B$201=""),0)),IFERROR(INDEX(IF($I508="FIN",HISTORIAL_HORARIOS!$K$2:$K$201,HISTORIAL_HORARIOS!$G$2:$G$201),MATCH(1,(HISTORIAL_HORARIOS!$A$2:$A$201=$B508)*(HISTORIAL_HORARIOS!$C$2:$C$201&lt;=$A508)*(HISTORIAL_HORARIOS!$D$2:$D$201&gt;=$A508),0)),INDEX(IF($I508="FIN",PERSONAL!$K$2:$K$80,PERSONAL!$G$2:$G$80),MATCH($B508,PERSONAL!$A$2:$A$80,0)))))</f>
        <v/>
      </c>
      <c r="O508" s="53">
        <f t="array" ref="O508">IFERROR(INDEX(EXCEPCIONES_FECHA!$F$2:$F$201,MATCH(1,(EXCEPCIONES_FECHA!$A$2:$A$201=$A508)*(EXCEPCIONES_FECHA!$B$2:$B$201=$B508),0)),IFERROR(INDEX(EXCEPCIONES_FECHA!$F$2:$F$201,MATCH(1,(EXCEPCIONES_FECHA!$A$2:$A$201=$A508)*(EXCEPCIONES_FECHA!$B$2:$B$201=""),0)),IFERROR(INDEX(IF($I508="FIN",HISTORIAL_HORARIOS!$L$2:$L$201,HISTORIAL_HORARIOS!$H$2:$H$201),MATCH(1,(HISTORIAL_HORARIOS!$A$2:$A$201=$B508)*(HISTORIAL_HORARIOS!$C$2:$C$201&lt;=$A508)*(HISTORIAL_HORARIOS!$D$2:$D$201&gt;=$A508),0)),INDEX(IF($I508="FIN",PERSONAL!$L$2:$L$80,PERSONAL!$H$2:$H$80),MATCH($B508,PERSONAL!$A$2:$A$80,0)))))</f>
        <v/>
      </c>
    </row>
    <row r="509" ht="15" customHeight="1" s="58">
      <c r="A509" s="37" t="n"/>
      <c r="B509" s="38" t="n"/>
      <c r="C509" s="39" t="n"/>
      <c r="D509" s="39" t="n"/>
      <c r="E509" s="34">
        <f t="array" ref="E509">IF($B509="","",IFERROR(INDEX(PERSONAL!$B$2:$B$80,MATCH($B509,PERSONAL!$A$2:$A$80,0)),"NO EXISTE"))</f>
        <v/>
      </c>
      <c r="F509" s="52">
        <f t="array" ref="F509">IF($B509="","",IFERROR(INDEX(PERSONAL!$C$2:$C$80,MATCH($B509,PERSONAL!$A$2:$A$80,0)),""))</f>
        <v/>
      </c>
      <c r="G509" s="52">
        <f>IF($A509="","",CHOOSE(WEEKDAY($A509,2),"LUNES","MARTES","MIÉRCOLES","JUEVES","VIERNES","SÁBADO","DOMINGO"))</f>
        <v/>
      </c>
      <c r="H509" s="34">
        <f>IF($A509="","",CHOOSE(MONTH($A509),"ENERO","FEBRERO","MARZO","ABRIL","MAYO","JUNIO","JULIO","AGOSTO","SEPTIEMBRE","OCTUBRE","NOVIEMBRE","DICIEMBRE"))</f>
        <v/>
      </c>
      <c r="I509" s="34">
        <f>IF($A509="","",IF(OR($G509="SÁBADO",$G509="DOMINGO"),"FIN","LV"))</f>
        <v/>
      </c>
      <c r="J509" s="34">
        <f>IF(OR($A509="",$B509=""),"",IF($L509&lt;&gt;"",UPPER($L509),IF($C509="","FALTA",IFERROR(IF($C509&gt;=$O509,"ROJO FUERTE",IF($C509&gt;=$N509,"ROJO",IF($C509&gt;=$M509,"AMARILLO","VERDE"))),"REVISAR"))))</f>
        <v/>
      </c>
      <c r="K509" s="36">
        <f>IF(OR($C509="",$D509=""),"",IF($D509&gt;=$C509,($D509-$C509)*24,(1-$C509+$D509)*24))</f>
        <v/>
      </c>
      <c r="L509" s="34" t="n"/>
      <c r="M509" s="53">
        <f t="array" ref="M509">IFERROR(INDEX(EXCEPCIONES_FECHA!$D$2:$D$201,MATCH(1,(EXCEPCIONES_FECHA!$A$2:$A$201=$A509)*(EXCEPCIONES_FECHA!$B$2:$B$201=$B509),0)),IFERROR(INDEX(EXCEPCIONES_FECHA!$D$2:$D$201,MATCH(1,(EXCEPCIONES_FECHA!$A$2:$A$201=$A509)*(EXCEPCIONES_FECHA!$B$2:$B$201=""),0)),IFERROR(INDEX(IF($I509="FIN",HISTORIAL_HORARIOS!$J$2:$J$201,HISTORIAL_HORARIOS!$F$2:$F$201),MATCH(1,(HISTORIAL_HORARIOS!$A$2:$A$201=$B509)*(HISTORIAL_HORARIOS!$C$2:$C$201&lt;=$A509)*(HISTORIAL_HORARIOS!$D$2:$D$201&gt;=$A509),0)),INDEX(IF($I509="FIN",PERSONAL!$J$2:$J$80,PERSONAL!$F$2:$F$80),MATCH($B509,PERSONAL!$A$2:$A$80,0)))))</f>
        <v/>
      </c>
      <c r="N509" s="53">
        <f t="array" ref="N509">IFERROR(INDEX(EXCEPCIONES_FECHA!$E$2:$E$201,MATCH(1,(EXCEPCIONES_FECHA!$A$2:$A$201=$A509)*(EXCEPCIONES_FECHA!$B$2:$B$201=$B509),0)),IFERROR(INDEX(EXCEPCIONES_FECHA!$E$2:$E$201,MATCH(1,(EXCEPCIONES_FECHA!$A$2:$A$201=$A509)*(EXCEPCIONES_FECHA!$B$2:$B$201=""),0)),IFERROR(INDEX(IF($I509="FIN",HISTORIAL_HORARIOS!$K$2:$K$201,HISTORIAL_HORARIOS!$G$2:$G$201),MATCH(1,(HISTORIAL_HORARIOS!$A$2:$A$201=$B509)*(HISTORIAL_HORARIOS!$C$2:$C$201&lt;=$A509)*(HISTORIAL_HORARIOS!$D$2:$D$201&gt;=$A509),0)),INDEX(IF($I509="FIN",PERSONAL!$K$2:$K$80,PERSONAL!$G$2:$G$80),MATCH($B509,PERSONAL!$A$2:$A$80,0)))))</f>
        <v/>
      </c>
      <c r="O509" s="53">
        <f t="array" ref="O509">IFERROR(INDEX(EXCEPCIONES_FECHA!$F$2:$F$201,MATCH(1,(EXCEPCIONES_FECHA!$A$2:$A$201=$A509)*(EXCEPCIONES_FECHA!$B$2:$B$201=$B509),0)),IFERROR(INDEX(EXCEPCIONES_FECHA!$F$2:$F$201,MATCH(1,(EXCEPCIONES_FECHA!$A$2:$A$201=$A509)*(EXCEPCIONES_FECHA!$B$2:$B$201=""),0)),IFERROR(INDEX(IF($I509="FIN",HISTORIAL_HORARIOS!$L$2:$L$201,HISTORIAL_HORARIOS!$H$2:$H$201),MATCH(1,(HISTORIAL_HORARIOS!$A$2:$A$201=$B509)*(HISTORIAL_HORARIOS!$C$2:$C$201&lt;=$A509)*(HISTORIAL_HORARIOS!$D$2:$D$201&gt;=$A509),0)),INDEX(IF($I509="FIN",PERSONAL!$L$2:$L$80,PERSONAL!$H$2:$H$80),MATCH($B509,PERSONAL!$A$2:$A$80,0)))))</f>
        <v/>
      </c>
    </row>
    <row r="510" ht="15" customHeight="1" s="58">
      <c r="A510" s="37" t="n"/>
      <c r="B510" s="38" t="n"/>
      <c r="C510" s="39" t="n"/>
      <c r="D510" s="39" t="n"/>
      <c r="E510" s="34">
        <f t="array" ref="E510">IF($B510="","",IFERROR(INDEX(PERSONAL!$B$2:$B$80,MATCH($B510,PERSONAL!$A$2:$A$80,0)),"NO EXISTE"))</f>
        <v/>
      </c>
      <c r="F510" s="52">
        <f t="array" ref="F510">IF($B510="","",IFERROR(INDEX(PERSONAL!$C$2:$C$80,MATCH($B510,PERSONAL!$A$2:$A$80,0)),""))</f>
        <v/>
      </c>
      <c r="G510" s="52">
        <f>IF($A510="","",CHOOSE(WEEKDAY($A510,2),"LUNES","MARTES","MIÉRCOLES","JUEVES","VIERNES","SÁBADO","DOMINGO"))</f>
        <v/>
      </c>
      <c r="H510" s="34">
        <f>IF($A510="","",CHOOSE(MONTH($A510),"ENERO","FEBRERO","MARZO","ABRIL","MAYO","JUNIO","JULIO","AGOSTO","SEPTIEMBRE","OCTUBRE","NOVIEMBRE","DICIEMBRE"))</f>
        <v/>
      </c>
      <c r="I510" s="34">
        <f>IF($A510="","",IF(OR($G510="SÁBADO",$G510="DOMINGO"),"FIN","LV"))</f>
        <v/>
      </c>
      <c r="J510" s="34">
        <f>IF(OR($A510="",$B510=""),"",IF($L510&lt;&gt;"",UPPER($L510),IF($C510="","FALTA",IFERROR(IF($C510&gt;=$O510,"ROJO FUERTE",IF($C510&gt;=$N510,"ROJO",IF($C510&gt;=$M510,"AMARILLO","VERDE"))),"REVISAR"))))</f>
        <v/>
      </c>
      <c r="K510" s="36">
        <f>IF(OR($C510="",$D510=""),"",IF($D510&gt;=$C510,($D510-$C510)*24,(1-$C510+$D510)*24))</f>
        <v/>
      </c>
      <c r="L510" s="34" t="n"/>
      <c r="M510" s="53">
        <f t="array" ref="M510">IFERROR(INDEX(EXCEPCIONES_FECHA!$D$2:$D$201,MATCH(1,(EXCEPCIONES_FECHA!$A$2:$A$201=$A510)*(EXCEPCIONES_FECHA!$B$2:$B$201=$B510),0)),IFERROR(INDEX(EXCEPCIONES_FECHA!$D$2:$D$201,MATCH(1,(EXCEPCIONES_FECHA!$A$2:$A$201=$A510)*(EXCEPCIONES_FECHA!$B$2:$B$201=""),0)),IFERROR(INDEX(IF($I510="FIN",HISTORIAL_HORARIOS!$J$2:$J$201,HISTORIAL_HORARIOS!$F$2:$F$201),MATCH(1,(HISTORIAL_HORARIOS!$A$2:$A$201=$B510)*(HISTORIAL_HORARIOS!$C$2:$C$201&lt;=$A510)*(HISTORIAL_HORARIOS!$D$2:$D$201&gt;=$A510),0)),INDEX(IF($I510="FIN",PERSONAL!$J$2:$J$80,PERSONAL!$F$2:$F$80),MATCH($B510,PERSONAL!$A$2:$A$80,0)))))</f>
        <v/>
      </c>
      <c r="N510" s="53">
        <f t="array" ref="N510">IFERROR(INDEX(EXCEPCIONES_FECHA!$E$2:$E$201,MATCH(1,(EXCEPCIONES_FECHA!$A$2:$A$201=$A510)*(EXCEPCIONES_FECHA!$B$2:$B$201=$B510),0)),IFERROR(INDEX(EXCEPCIONES_FECHA!$E$2:$E$201,MATCH(1,(EXCEPCIONES_FECHA!$A$2:$A$201=$A510)*(EXCEPCIONES_FECHA!$B$2:$B$201=""),0)),IFERROR(INDEX(IF($I510="FIN",HISTORIAL_HORARIOS!$K$2:$K$201,HISTORIAL_HORARIOS!$G$2:$G$201),MATCH(1,(HISTORIAL_HORARIOS!$A$2:$A$201=$B510)*(HISTORIAL_HORARIOS!$C$2:$C$201&lt;=$A510)*(HISTORIAL_HORARIOS!$D$2:$D$201&gt;=$A510),0)),INDEX(IF($I510="FIN",PERSONAL!$K$2:$K$80,PERSONAL!$G$2:$G$80),MATCH($B510,PERSONAL!$A$2:$A$80,0)))))</f>
        <v/>
      </c>
      <c r="O510" s="53">
        <f t="array" ref="O510">IFERROR(INDEX(EXCEPCIONES_FECHA!$F$2:$F$201,MATCH(1,(EXCEPCIONES_FECHA!$A$2:$A$201=$A510)*(EXCEPCIONES_FECHA!$B$2:$B$201=$B510),0)),IFERROR(INDEX(EXCEPCIONES_FECHA!$F$2:$F$201,MATCH(1,(EXCEPCIONES_FECHA!$A$2:$A$201=$A510)*(EXCEPCIONES_FECHA!$B$2:$B$201=""),0)),IFERROR(INDEX(IF($I510="FIN",HISTORIAL_HORARIOS!$L$2:$L$201,HISTORIAL_HORARIOS!$H$2:$H$201),MATCH(1,(HISTORIAL_HORARIOS!$A$2:$A$201=$B510)*(HISTORIAL_HORARIOS!$C$2:$C$201&lt;=$A510)*(HISTORIAL_HORARIOS!$D$2:$D$201&gt;=$A510),0)),INDEX(IF($I510="FIN",PERSONAL!$L$2:$L$80,PERSONAL!$H$2:$H$80),MATCH($B510,PERSONAL!$A$2:$A$80,0)))))</f>
        <v/>
      </c>
    </row>
    <row r="511" ht="15" customHeight="1" s="58">
      <c r="A511" s="37" t="n"/>
      <c r="B511" s="38" t="n"/>
      <c r="C511" s="39" t="n"/>
      <c r="D511" s="39" t="n"/>
      <c r="E511" s="34">
        <f t="array" ref="E511">IF($B511="","",IFERROR(INDEX(PERSONAL!$B$2:$B$80,MATCH($B511,PERSONAL!$A$2:$A$80,0)),"NO EXISTE"))</f>
        <v/>
      </c>
      <c r="F511" s="52">
        <f t="array" ref="F511">IF($B511="","",IFERROR(INDEX(PERSONAL!$C$2:$C$80,MATCH($B511,PERSONAL!$A$2:$A$80,0)),""))</f>
        <v/>
      </c>
      <c r="G511" s="52">
        <f>IF($A511="","",CHOOSE(WEEKDAY($A511,2),"LUNES","MARTES","MIÉRCOLES","JUEVES","VIERNES","SÁBADO","DOMINGO"))</f>
        <v/>
      </c>
      <c r="H511" s="34">
        <f>IF($A511="","",CHOOSE(MONTH($A511),"ENERO","FEBRERO","MARZO","ABRIL","MAYO","JUNIO","JULIO","AGOSTO","SEPTIEMBRE","OCTUBRE","NOVIEMBRE","DICIEMBRE"))</f>
        <v/>
      </c>
      <c r="I511" s="34">
        <f>IF($A511="","",IF(OR($G511="SÁBADO",$G511="DOMINGO"),"FIN","LV"))</f>
        <v/>
      </c>
      <c r="J511" s="34">
        <f>IF(OR($A511="",$B511=""),"",IF($L511&lt;&gt;"",UPPER($L511),IF($C511="","FALTA",IFERROR(IF($C511&gt;=$O511,"ROJO FUERTE",IF($C511&gt;=$N511,"ROJO",IF($C511&gt;=$M511,"AMARILLO","VERDE"))),"REVISAR"))))</f>
        <v/>
      </c>
      <c r="K511" s="36">
        <f>IF(OR($C511="",$D511=""),"",IF($D511&gt;=$C511,($D511-$C511)*24,(1-$C511+$D511)*24))</f>
        <v/>
      </c>
      <c r="L511" s="34" t="n"/>
      <c r="M511" s="53">
        <f t="array" ref="M511">IFERROR(INDEX(EXCEPCIONES_FECHA!$D$2:$D$201,MATCH(1,(EXCEPCIONES_FECHA!$A$2:$A$201=$A511)*(EXCEPCIONES_FECHA!$B$2:$B$201=$B511),0)),IFERROR(INDEX(EXCEPCIONES_FECHA!$D$2:$D$201,MATCH(1,(EXCEPCIONES_FECHA!$A$2:$A$201=$A511)*(EXCEPCIONES_FECHA!$B$2:$B$201=""),0)),IFERROR(INDEX(IF($I511="FIN",HISTORIAL_HORARIOS!$J$2:$J$201,HISTORIAL_HORARIOS!$F$2:$F$201),MATCH(1,(HISTORIAL_HORARIOS!$A$2:$A$201=$B511)*(HISTORIAL_HORARIOS!$C$2:$C$201&lt;=$A511)*(HISTORIAL_HORARIOS!$D$2:$D$201&gt;=$A511),0)),INDEX(IF($I511="FIN",PERSONAL!$J$2:$J$80,PERSONAL!$F$2:$F$80),MATCH($B511,PERSONAL!$A$2:$A$80,0)))))</f>
        <v/>
      </c>
      <c r="N511" s="53">
        <f t="array" ref="N511">IFERROR(INDEX(EXCEPCIONES_FECHA!$E$2:$E$201,MATCH(1,(EXCEPCIONES_FECHA!$A$2:$A$201=$A511)*(EXCEPCIONES_FECHA!$B$2:$B$201=$B511),0)),IFERROR(INDEX(EXCEPCIONES_FECHA!$E$2:$E$201,MATCH(1,(EXCEPCIONES_FECHA!$A$2:$A$201=$A511)*(EXCEPCIONES_FECHA!$B$2:$B$201=""),0)),IFERROR(INDEX(IF($I511="FIN",HISTORIAL_HORARIOS!$K$2:$K$201,HISTORIAL_HORARIOS!$G$2:$G$201),MATCH(1,(HISTORIAL_HORARIOS!$A$2:$A$201=$B511)*(HISTORIAL_HORARIOS!$C$2:$C$201&lt;=$A511)*(HISTORIAL_HORARIOS!$D$2:$D$201&gt;=$A511),0)),INDEX(IF($I511="FIN",PERSONAL!$K$2:$K$80,PERSONAL!$G$2:$G$80),MATCH($B511,PERSONAL!$A$2:$A$80,0)))))</f>
        <v/>
      </c>
      <c r="O511" s="53">
        <f t="array" ref="O511">IFERROR(INDEX(EXCEPCIONES_FECHA!$F$2:$F$201,MATCH(1,(EXCEPCIONES_FECHA!$A$2:$A$201=$A511)*(EXCEPCIONES_FECHA!$B$2:$B$201=$B511),0)),IFERROR(INDEX(EXCEPCIONES_FECHA!$F$2:$F$201,MATCH(1,(EXCEPCIONES_FECHA!$A$2:$A$201=$A511)*(EXCEPCIONES_FECHA!$B$2:$B$201=""),0)),IFERROR(INDEX(IF($I511="FIN",HISTORIAL_HORARIOS!$L$2:$L$201,HISTORIAL_HORARIOS!$H$2:$H$201),MATCH(1,(HISTORIAL_HORARIOS!$A$2:$A$201=$B511)*(HISTORIAL_HORARIOS!$C$2:$C$201&lt;=$A511)*(HISTORIAL_HORARIOS!$D$2:$D$201&gt;=$A511),0)),INDEX(IF($I511="FIN",PERSONAL!$L$2:$L$80,PERSONAL!$H$2:$H$80),MATCH($B511,PERSONAL!$A$2:$A$80,0)))))</f>
        <v/>
      </c>
    </row>
    <row r="512" ht="15" customHeight="1" s="58">
      <c r="A512" s="37" t="n"/>
      <c r="B512" s="38" t="n"/>
      <c r="C512" s="39" t="n"/>
      <c r="D512" s="39" t="n"/>
      <c r="E512" s="34">
        <f t="array" ref="E512">IF($B512="","",IFERROR(INDEX(PERSONAL!$B$2:$B$80,MATCH($B512,PERSONAL!$A$2:$A$80,0)),"NO EXISTE"))</f>
        <v/>
      </c>
      <c r="F512" s="52">
        <f t="array" ref="F512">IF($B512="","",IFERROR(INDEX(PERSONAL!$C$2:$C$80,MATCH($B512,PERSONAL!$A$2:$A$80,0)),""))</f>
        <v/>
      </c>
      <c r="G512" s="52">
        <f>IF($A512="","",CHOOSE(WEEKDAY($A512,2),"LUNES","MARTES","MIÉRCOLES","JUEVES","VIERNES","SÁBADO","DOMINGO"))</f>
        <v/>
      </c>
      <c r="H512" s="34">
        <f>IF($A512="","",CHOOSE(MONTH($A512),"ENERO","FEBRERO","MARZO","ABRIL","MAYO","JUNIO","JULIO","AGOSTO","SEPTIEMBRE","OCTUBRE","NOVIEMBRE","DICIEMBRE"))</f>
        <v/>
      </c>
      <c r="I512" s="34">
        <f>IF($A512="","",IF(OR($G512="SÁBADO",$G512="DOMINGO"),"FIN","LV"))</f>
        <v/>
      </c>
      <c r="J512" s="34">
        <f>IF(OR($A512="",$B512=""),"",IF($L512&lt;&gt;"",UPPER($L512),IF($C512="","FALTA",IFERROR(IF($C512&gt;=$O512,"ROJO FUERTE",IF($C512&gt;=$N512,"ROJO",IF($C512&gt;=$M512,"AMARILLO","VERDE"))),"REVISAR"))))</f>
        <v/>
      </c>
      <c r="K512" s="36">
        <f>IF(OR($C512="",$D512=""),"",IF($D512&gt;=$C512,($D512-$C512)*24,(1-$C512+$D512)*24))</f>
        <v/>
      </c>
      <c r="L512" s="34" t="n"/>
      <c r="M512" s="53">
        <f t="array" ref="M512">IFERROR(INDEX(EXCEPCIONES_FECHA!$D$2:$D$201,MATCH(1,(EXCEPCIONES_FECHA!$A$2:$A$201=$A512)*(EXCEPCIONES_FECHA!$B$2:$B$201=$B512),0)),IFERROR(INDEX(EXCEPCIONES_FECHA!$D$2:$D$201,MATCH(1,(EXCEPCIONES_FECHA!$A$2:$A$201=$A512)*(EXCEPCIONES_FECHA!$B$2:$B$201=""),0)),IFERROR(INDEX(IF($I512="FIN",HISTORIAL_HORARIOS!$J$2:$J$201,HISTORIAL_HORARIOS!$F$2:$F$201),MATCH(1,(HISTORIAL_HORARIOS!$A$2:$A$201=$B512)*(HISTORIAL_HORARIOS!$C$2:$C$201&lt;=$A512)*(HISTORIAL_HORARIOS!$D$2:$D$201&gt;=$A512),0)),INDEX(IF($I512="FIN",PERSONAL!$J$2:$J$80,PERSONAL!$F$2:$F$80),MATCH($B512,PERSONAL!$A$2:$A$80,0)))))</f>
        <v/>
      </c>
      <c r="N512" s="53">
        <f t="array" ref="N512">IFERROR(INDEX(EXCEPCIONES_FECHA!$E$2:$E$201,MATCH(1,(EXCEPCIONES_FECHA!$A$2:$A$201=$A512)*(EXCEPCIONES_FECHA!$B$2:$B$201=$B512),0)),IFERROR(INDEX(EXCEPCIONES_FECHA!$E$2:$E$201,MATCH(1,(EXCEPCIONES_FECHA!$A$2:$A$201=$A512)*(EXCEPCIONES_FECHA!$B$2:$B$201=""),0)),IFERROR(INDEX(IF($I512="FIN",HISTORIAL_HORARIOS!$K$2:$K$201,HISTORIAL_HORARIOS!$G$2:$G$201),MATCH(1,(HISTORIAL_HORARIOS!$A$2:$A$201=$B512)*(HISTORIAL_HORARIOS!$C$2:$C$201&lt;=$A512)*(HISTORIAL_HORARIOS!$D$2:$D$201&gt;=$A512),0)),INDEX(IF($I512="FIN",PERSONAL!$K$2:$K$80,PERSONAL!$G$2:$G$80),MATCH($B512,PERSONAL!$A$2:$A$80,0)))))</f>
        <v/>
      </c>
      <c r="O512" s="53">
        <f t="array" ref="O512">IFERROR(INDEX(EXCEPCIONES_FECHA!$F$2:$F$201,MATCH(1,(EXCEPCIONES_FECHA!$A$2:$A$201=$A512)*(EXCEPCIONES_FECHA!$B$2:$B$201=$B512),0)),IFERROR(INDEX(EXCEPCIONES_FECHA!$F$2:$F$201,MATCH(1,(EXCEPCIONES_FECHA!$A$2:$A$201=$A512)*(EXCEPCIONES_FECHA!$B$2:$B$201=""),0)),IFERROR(INDEX(IF($I512="FIN",HISTORIAL_HORARIOS!$L$2:$L$201,HISTORIAL_HORARIOS!$H$2:$H$201),MATCH(1,(HISTORIAL_HORARIOS!$A$2:$A$201=$B512)*(HISTORIAL_HORARIOS!$C$2:$C$201&lt;=$A512)*(HISTORIAL_HORARIOS!$D$2:$D$201&gt;=$A512),0)),INDEX(IF($I512="FIN",PERSONAL!$L$2:$L$80,PERSONAL!$H$2:$H$80),MATCH($B512,PERSONAL!$A$2:$A$80,0)))))</f>
        <v/>
      </c>
    </row>
    <row r="513" ht="15" customHeight="1" s="58">
      <c r="A513" s="37" t="n"/>
      <c r="B513" s="38" t="n"/>
      <c r="C513" s="39" t="n"/>
      <c r="D513" s="39" t="n"/>
      <c r="E513" s="34">
        <f t="array" ref="E513">IF($B513="","",IFERROR(INDEX(PERSONAL!$B$2:$B$80,MATCH($B513,PERSONAL!$A$2:$A$80,0)),"NO EXISTE"))</f>
        <v/>
      </c>
      <c r="F513" s="52">
        <f t="array" ref="F513">IF($B513="","",IFERROR(INDEX(PERSONAL!$C$2:$C$80,MATCH($B513,PERSONAL!$A$2:$A$80,0)),""))</f>
        <v/>
      </c>
      <c r="G513" s="52">
        <f>IF($A513="","",CHOOSE(WEEKDAY($A513,2),"LUNES","MARTES","MIÉRCOLES","JUEVES","VIERNES","SÁBADO","DOMINGO"))</f>
        <v/>
      </c>
      <c r="H513" s="34">
        <f>IF($A513="","",CHOOSE(MONTH($A513),"ENERO","FEBRERO","MARZO","ABRIL","MAYO","JUNIO","JULIO","AGOSTO","SEPTIEMBRE","OCTUBRE","NOVIEMBRE","DICIEMBRE"))</f>
        <v/>
      </c>
      <c r="I513" s="34">
        <f>IF($A513="","",IF(OR($G513="SÁBADO",$G513="DOMINGO"),"FIN","LV"))</f>
        <v/>
      </c>
      <c r="J513" s="34">
        <f>IF(OR($A513="",$B513=""),"",IF($L513&lt;&gt;"",UPPER($L513),IF($C513="","FALTA",IFERROR(IF($C513&gt;=$O513,"ROJO FUERTE",IF($C513&gt;=$N513,"ROJO",IF($C513&gt;=$M513,"AMARILLO","VERDE"))),"REVISAR"))))</f>
        <v/>
      </c>
      <c r="K513" s="36">
        <f>IF(OR($C513="",$D513=""),"",IF($D513&gt;=$C513,($D513-$C513)*24,(1-$C513+$D513)*24))</f>
        <v/>
      </c>
      <c r="L513" s="34" t="n"/>
      <c r="M513" s="53">
        <f t="array" ref="M513">IFERROR(INDEX(EXCEPCIONES_FECHA!$D$2:$D$201,MATCH(1,(EXCEPCIONES_FECHA!$A$2:$A$201=$A513)*(EXCEPCIONES_FECHA!$B$2:$B$201=$B513),0)),IFERROR(INDEX(EXCEPCIONES_FECHA!$D$2:$D$201,MATCH(1,(EXCEPCIONES_FECHA!$A$2:$A$201=$A513)*(EXCEPCIONES_FECHA!$B$2:$B$201=""),0)),IFERROR(INDEX(IF($I513="FIN",HISTORIAL_HORARIOS!$J$2:$J$201,HISTORIAL_HORARIOS!$F$2:$F$201),MATCH(1,(HISTORIAL_HORARIOS!$A$2:$A$201=$B513)*(HISTORIAL_HORARIOS!$C$2:$C$201&lt;=$A513)*(HISTORIAL_HORARIOS!$D$2:$D$201&gt;=$A513),0)),INDEX(IF($I513="FIN",PERSONAL!$J$2:$J$80,PERSONAL!$F$2:$F$80),MATCH($B513,PERSONAL!$A$2:$A$80,0)))))</f>
        <v/>
      </c>
      <c r="N513" s="53">
        <f t="array" ref="N513">IFERROR(INDEX(EXCEPCIONES_FECHA!$E$2:$E$201,MATCH(1,(EXCEPCIONES_FECHA!$A$2:$A$201=$A513)*(EXCEPCIONES_FECHA!$B$2:$B$201=$B513),0)),IFERROR(INDEX(EXCEPCIONES_FECHA!$E$2:$E$201,MATCH(1,(EXCEPCIONES_FECHA!$A$2:$A$201=$A513)*(EXCEPCIONES_FECHA!$B$2:$B$201=""),0)),IFERROR(INDEX(IF($I513="FIN",HISTORIAL_HORARIOS!$K$2:$K$201,HISTORIAL_HORARIOS!$G$2:$G$201),MATCH(1,(HISTORIAL_HORARIOS!$A$2:$A$201=$B513)*(HISTORIAL_HORARIOS!$C$2:$C$201&lt;=$A513)*(HISTORIAL_HORARIOS!$D$2:$D$201&gt;=$A513),0)),INDEX(IF($I513="FIN",PERSONAL!$K$2:$K$80,PERSONAL!$G$2:$G$80),MATCH($B513,PERSONAL!$A$2:$A$80,0)))))</f>
        <v/>
      </c>
      <c r="O513" s="53">
        <f t="array" ref="O513">IFERROR(INDEX(EXCEPCIONES_FECHA!$F$2:$F$201,MATCH(1,(EXCEPCIONES_FECHA!$A$2:$A$201=$A513)*(EXCEPCIONES_FECHA!$B$2:$B$201=$B513),0)),IFERROR(INDEX(EXCEPCIONES_FECHA!$F$2:$F$201,MATCH(1,(EXCEPCIONES_FECHA!$A$2:$A$201=$A513)*(EXCEPCIONES_FECHA!$B$2:$B$201=""),0)),IFERROR(INDEX(IF($I513="FIN",HISTORIAL_HORARIOS!$L$2:$L$201,HISTORIAL_HORARIOS!$H$2:$H$201),MATCH(1,(HISTORIAL_HORARIOS!$A$2:$A$201=$B513)*(HISTORIAL_HORARIOS!$C$2:$C$201&lt;=$A513)*(HISTORIAL_HORARIOS!$D$2:$D$201&gt;=$A513),0)),INDEX(IF($I513="FIN",PERSONAL!$L$2:$L$80,PERSONAL!$H$2:$H$80),MATCH($B513,PERSONAL!$A$2:$A$80,0)))))</f>
        <v/>
      </c>
    </row>
    <row r="514" ht="15" customHeight="1" s="58">
      <c r="A514" s="37" t="n"/>
      <c r="B514" s="38" t="n"/>
      <c r="C514" s="39" t="n"/>
      <c r="D514" s="39" t="n"/>
      <c r="E514" s="34">
        <f t="array" ref="E514">IF($B514="","",IFERROR(INDEX(PERSONAL!$B$2:$B$80,MATCH($B514,PERSONAL!$A$2:$A$80,0)),"NO EXISTE"))</f>
        <v/>
      </c>
      <c r="F514" s="52">
        <f t="array" ref="F514">IF($B514="","",IFERROR(INDEX(PERSONAL!$C$2:$C$80,MATCH($B514,PERSONAL!$A$2:$A$80,0)),""))</f>
        <v/>
      </c>
      <c r="G514" s="52">
        <f>IF($A514="","",CHOOSE(WEEKDAY($A514,2),"LUNES","MARTES","MIÉRCOLES","JUEVES","VIERNES","SÁBADO","DOMINGO"))</f>
        <v/>
      </c>
      <c r="H514" s="34">
        <f>IF($A514="","",CHOOSE(MONTH($A514),"ENERO","FEBRERO","MARZO","ABRIL","MAYO","JUNIO","JULIO","AGOSTO","SEPTIEMBRE","OCTUBRE","NOVIEMBRE","DICIEMBRE"))</f>
        <v/>
      </c>
      <c r="I514" s="34">
        <f>IF($A514="","",IF(OR($G514="SÁBADO",$G514="DOMINGO"),"FIN","LV"))</f>
        <v/>
      </c>
      <c r="J514" s="34">
        <f>IF(OR($A514="",$B514=""),"",IF($L514&lt;&gt;"",UPPER($L514),IF($C514="","FALTA",IFERROR(IF($C514&gt;=$O514,"ROJO FUERTE",IF($C514&gt;=$N514,"ROJO",IF($C514&gt;=$M514,"AMARILLO","VERDE"))),"REVISAR"))))</f>
        <v/>
      </c>
      <c r="K514" s="36">
        <f>IF(OR($C514="",$D514=""),"",IF($D514&gt;=$C514,($D514-$C514)*24,(1-$C514+$D514)*24))</f>
        <v/>
      </c>
      <c r="L514" s="34" t="n"/>
      <c r="M514" s="53">
        <f t="array" ref="M514">IFERROR(INDEX(EXCEPCIONES_FECHA!$D$2:$D$201,MATCH(1,(EXCEPCIONES_FECHA!$A$2:$A$201=$A514)*(EXCEPCIONES_FECHA!$B$2:$B$201=$B514),0)),IFERROR(INDEX(EXCEPCIONES_FECHA!$D$2:$D$201,MATCH(1,(EXCEPCIONES_FECHA!$A$2:$A$201=$A514)*(EXCEPCIONES_FECHA!$B$2:$B$201=""),0)),IFERROR(INDEX(IF($I514="FIN",HISTORIAL_HORARIOS!$J$2:$J$201,HISTORIAL_HORARIOS!$F$2:$F$201),MATCH(1,(HISTORIAL_HORARIOS!$A$2:$A$201=$B514)*(HISTORIAL_HORARIOS!$C$2:$C$201&lt;=$A514)*(HISTORIAL_HORARIOS!$D$2:$D$201&gt;=$A514),0)),INDEX(IF($I514="FIN",PERSONAL!$J$2:$J$80,PERSONAL!$F$2:$F$80),MATCH($B514,PERSONAL!$A$2:$A$80,0)))))</f>
        <v/>
      </c>
      <c r="N514" s="53">
        <f t="array" ref="N514">IFERROR(INDEX(EXCEPCIONES_FECHA!$E$2:$E$201,MATCH(1,(EXCEPCIONES_FECHA!$A$2:$A$201=$A514)*(EXCEPCIONES_FECHA!$B$2:$B$201=$B514),0)),IFERROR(INDEX(EXCEPCIONES_FECHA!$E$2:$E$201,MATCH(1,(EXCEPCIONES_FECHA!$A$2:$A$201=$A514)*(EXCEPCIONES_FECHA!$B$2:$B$201=""),0)),IFERROR(INDEX(IF($I514="FIN",HISTORIAL_HORARIOS!$K$2:$K$201,HISTORIAL_HORARIOS!$G$2:$G$201),MATCH(1,(HISTORIAL_HORARIOS!$A$2:$A$201=$B514)*(HISTORIAL_HORARIOS!$C$2:$C$201&lt;=$A514)*(HISTORIAL_HORARIOS!$D$2:$D$201&gt;=$A514),0)),INDEX(IF($I514="FIN",PERSONAL!$K$2:$K$80,PERSONAL!$G$2:$G$80),MATCH($B514,PERSONAL!$A$2:$A$80,0)))))</f>
        <v/>
      </c>
      <c r="O514" s="53">
        <f t="array" ref="O514">IFERROR(INDEX(EXCEPCIONES_FECHA!$F$2:$F$201,MATCH(1,(EXCEPCIONES_FECHA!$A$2:$A$201=$A514)*(EXCEPCIONES_FECHA!$B$2:$B$201=$B514),0)),IFERROR(INDEX(EXCEPCIONES_FECHA!$F$2:$F$201,MATCH(1,(EXCEPCIONES_FECHA!$A$2:$A$201=$A514)*(EXCEPCIONES_FECHA!$B$2:$B$201=""),0)),IFERROR(INDEX(IF($I514="FIN",HISTORIAL_HORARIOS!$L$2:$L$201,HISTORIAL_HORARIOS!$H$2:$H$201),MATCH(1,(HISTORIAL_HORARIOS!$A$2:$A$201=$B514)*(HISTORIAL_HORARIOS!$C$2:$C$201&lt;=$A514)*(HISTORIAL_HORARIOS!$D$2:$D$201&gt;=$A514),0)),INDEX(IF($I514="FIN",PERSONAL!$L$2:$L$80,PERSONAL!$H$2:$H$80),MATCH($B514,PERSONAL!$A$2:$A$80,0)))))</f>
        <v/>
      </c>
    </row>
    <row r="515" ht="15" customHeight="1" s="58">
      <c r="A515" s="37" t="n"/>
      <c r="B515" s="38" t="n"/>
      <c r="C515" s="39" t="n"/>
      <c r="D515" s="39" t="n"/>
      <c r="E515" s="34">
        <f t="array" ref="E515">IF($B515="","",IFERROR(INDEX(PERSONAL!$B$2:$B$80,MATCH($B515,PERSONAL!$A$2:$A$80,0)),"NO EXISTE"))</f>
        <v/>
      </c>
      <c r="F515" s="52">
        <f t="array" ref="F515">IF($B515="","",IFERROR(INDEX(PERSONAL!$C$2:$C$80,MATCH($B515,PERSONAL!$A$2:$A$80,0)),""))</f>
        <v/>
      </c>
      <c r="G515" s="52">
        <f>IF($A515="","",CHOOSE(WEEKDAY($A515,2),"LUNES","MARTES","MIÉRCOLES","JUEVES","VIERNES","SÁBADO","DOMINGO"))</f>
        <v/>
      </c>
      <c r="H515" s="34">
        <f>IF($A515="","",CHOOSE(MONTH($A515),"ENERO","FEBRERO","MARZO","ABRIL","MAYO","JUNIO","JULIO","AGOSTO","SEPTIEMBRE","OCTUBRE","NOVIEMBRE","DICIEMBRE"))</f>
        <v/>
      </c>
      <c r="I515" s="34">
        <f>IF($A515="","",IF(OR($G515="SÁBADO",$G515="DOMINGO"),"FIN","LV"))</f>
        <v/>
      </c>
      <c r="J515" s="34">
        <f>IF(OR($A515="",$B515=""),"",IF($L515&lt;&gt;"",UPPER($L515),IF($C515="","FALTA",IFERROR(IF($C515&gt;=$O515,"ROJO FUERTE",IF($C515&gt;=$N515,"ROJO",IF($C515&gt;=$M515,"AMARILLO","VERDE"))),"REVISAR"))))</f>
        <v/>
      </c>
      <c r="K515" s="36">
        <f>IF(OR($C515="",$D515=""),"",IF($D515&gt;=$C515,($D515-$C515)*24,(1-$C515+$D515)*24))</f>
        <v/>
      </c>
      <c r="L515" s="34" t="n"/>
      <c r="M515" s="53">
        <f t="array" ref="M515">IFERROR(INDEX(EXCEPCIONES_FECHA!$D$2:$D$201,MATCH(1,(EXCEPCIONES_FECHA!$A$2:$A$201=$A515)*(EXCEPCIONES_FECHA!$B$2:$B$201=$B515),0)),IFERROR(INDEX(EXCEPCIONES_FECHA!$D$2:$D$201,MATCH(1,(EXCEPCIONES_FECHA!$A$2:$A$201=$A515)*(EXCEPCIONES_FECHA!$B$2:$B$201=""),0)),IFERROR(INDEX(IF($I515="FIN",HISTORIAL_HORARIOS!$J$2:$J$201,HISTORIAL_HORARIOS!$F$2:$F$201),MATCH(1,(HISTORIAL_HORARIOS!$A$2:$A$201=$B515)*(HISTORIAL_HORARIOS!$C$2:$C$201&lt;=$A515)*(HISTORIAL_HORARIOS!$D$2:$D$201&gt;=$A515),0)),INDEX(IF($I515="FIN",PERSONAL!$J$2:$J$80,PERSONAL!$F$2:$F$80),MATCH($B515,PERSONAL!$A$2:$A$80,0)))))</f>
        <v/>
      </c>
      <c r="N515" s="53">
        <f t="array" ref="N515">IFERROR(INDEX(EXCEPCIONES_FECHA!$E$2:$E$201,MATCH(1,(EXCEPCIONES_FECHA!$A$2:$A$201=$A515)*(EXCEPCIONES_FECHA!$B$2:$B$201=$B515),0)),IFERROR(INDEX(EXCEPCIONES_FECHA!$E$2:$E$201,MATCH(1,(EXCEPCIONES_FECHA!$A$2:$A$201=$A515)*(EXCEPCIONES_FECHA!$B$2:$B$201=""),0)),IFERROR(INDEX(IF($I515="FIN",HISTORIAL_HORARIOS!$K$2:$K$201,HISTORIAL_HORARIOS!$G$2:$G$201),MATCH(1,(HISTORIAL_HORARIOS!$A$2:$A$201=$B515)*(HISTORIAL_HORARIOS!$C$2:$C$201&lt;=$A515)*(HISTORIAL_HORARIOS!$D$2:$D$201&gt;=$A515),0)),INDEX(IF($I515="FIN",PERSONAL!$K$2:$K$80,PERSONAL!$G$2:$G$80),MATCH($B515,PERSONAL!$A$2:$A$80,0)))))</f>
        <v/>
      </c>
      <c r="O515" s="53">
        <f t="array" ref="O515">IFERROR(INDEX(EXCEPCIONES_FECHA!$F$2:$F$201,MATCH(1,(EXCEPCIONES_FECHA!$A$2:$A$201=$A515)*(EXCEPCIONES_FECHA!$B$2:$B$201=$B515),0)),IFERROR(INDEX(EXCEPCIONES_FECHA!$F$2:$F$201,MATCH(1,(EXCEPCIONES_FECHA!$A$2:$A$201=$A515)*(EXCEPCIONES_FECHA!$B$2:$B$201=""),0)),IFERROR(INDEX(IF($I515="FIN",HISTORIAL_HORARIOS!$L$2:$L$201,HISTORIAL_HORARIOS!$H$2:$H$201),MATCH(1,(HISTORIAL_HORARIOS!$A$2:$A$201=$B515)*(HISTORIAL_HORARIOS!$C$2:$C$201&lt;=$A515)*(HISTORIAL_HORARIOS!$D$2:$D$201&gt;=$A515),0)),INDEX(IF($I515="FIN",PERSONAL!$L$2:$L$80,PERSONAL!$H$2:$H$80),MATCH($B515,PERSONAL!$A$2:$A$80,0)))))</f>
        <v/>
      </c>
    </row>
    <row r="516" ht="15" customHeight="1" s="58">
      <c r="A516" s="37" t="n"/>
      <c r="B516" s="38" t="n"/>
      <c r="C516" s="39" t="n"/>
      <c r="D516" s="39" t="n"/>
      <c r="E516" s="34">
        <f t="array" ref="E516">IF($B516="","",IFERROR(INDEX(PERSONAL!$B$2:$B$80,MATCH($B516,PERSONAL!$A$2:$A$80,0)),"NO EXISTE"))</f>
        <v/>
      </c>
      <c r="F516" s="52">
        <f t="array" ref="F516">IF($B516="","",IFERROR(INDEX(PERSONAL!$C$2:$C$80,MATCH($B516,PERSONAL!$A$2:$A$80,0)),""))</f>
        <v/>
      </c>
      <c r="G516" s="52">
        <f>IF($A516="","",CHOOSE(WEEKDAY($A516,2),"LUNES","MARTES","MIÉRCOLES","JUEVES","VIERNES","SÁBADO","DOMINGO"))</f>
        <v/>
      </c>
      <c r="H516" s="34">
        <f>IF($A516="","",CHOOSE(MONTH($A516),"ENERO","FEBRERO","MARZO","ABRIL","MAYO","JUNIO","JULIO","AGOSTO","SEPTIEMBRE","OCTUBRE","NOVIEMBRE","DICIEMBRE"))</f>
        <v/>
      </c>
      <c r="I516" s="34">
        <f>IF($A516="","",IF(OR($G516="SÁBADO",$G516="DOMINGO"),"FIN","LV"))</f>
        <v/>
      </c>
      <c r="J516" s="34">
        <f>IF(OR($A516="",$B516=""),"",IF($L516&lt;&gt;"",UPPER($L516),IF($C516="","FALTA",IFERROR(IF($C516&gt;=$O516,"ROJO FUERTE",IF($C516&gt;=$N516,"ROJO",IF($C516&gt;=$M516,"AMARILLO","VERDE"))),"REVISAR"))))</f>
        <v/>
      </c>
      <c r="K516" s="36">
        <f>IF(OR($C516="",$D516=""),"",IF($D516&gt;=$C516,($D516-$C516)*24,(1-$C516+$D516)*24))</f>
        <v/>
      </c>
      <c r="L516" s="34" t="n"/>
      <c r="M516" s="53">
        <f t="array" ref="M516">IFERROR(INDEX(EXCEPCIONES_FECHA!$D$2:$D$201,MATCH(1,(EXCEPCIONES_FECHA!$A$2:$A$201=$A516)*(EXCEPCIONES_FECHA!$B$2:$B$201=$B516),0)),IFERROR(INDEX(EXCEPCIONES_FECHA!$D$2:$D$201,MATCH(1,(EXCEPCIONES_FECHA!$A$2:$A$201=$A516)*(EXCEPCIONES_FECHA!$B$2:$B$201=""),0)),IFERROR(INDEX(IF($I516="FIN",HISTORIAL_HORARIOS!$J$2:$J$201,HISTORIAL_HORARIOS!$F$2:$F$201),MATCH(1,(HISTORIAL_HORARIOS!$A$2:$A$201=$B516)*(HISTORIAL_HORARIOS!$C$2:$C$201&lt;=$A516)*(HISTORIAL_HORARIOS!$D$2:$D$201&gt;=$A516),0)),INDEX(IF($I516="FIN",PERSONAL!$J$2:$J$80,PERSONAL!$F$2:$F$80),MATCH($B516,PERSONAL!$A$2:$A$80,0)))))</f>
        <v/>
      </c>
      <c r="N516" s="53">
        <f t="array" ref="N516">IFERROR(INDEX(EXCEPCIONES_FECHA!$E$2:$E$201,MATCH(1,(EXCEPCIONES_FECHA!$A$2:$A$201=$A516)*(EXCEPCIONES_FECHA!$B$2:$B$201=$B516),0)),IFERROR(INDEX(EXCEPCIONES_FECHA!$E$2:$E$201,MATCH(1,(EXCEPCIONES_FECHA!$A$2:$A$201=$A516)*(EXCEPCIONES_FECHA!$B$2:$B$201=""),0)),IFERROR(INDEX(IF($I516="FIN",HISTORIAL_HORARIOS!$K$2:$K$201,HISTORIAL_HORARIOS!$G$2:$G$201),MATCH(1,(HISTORIAL_HORARIOS!$A$2:$A$201=$B516)*(HISTORIAL_HORARIOS!$C$2:$C$201&lt;=$A516)*(HISTORIAL_HORARIOS!$D$2:$D$201&gt;=$A516),0)),INDEX(IF($I516="FIN",PERSONAL!$K$2:$K$80,PERSONAL!$G$2:$G$80),MATCH($B516,PERSONAL!$A$2:$A$80,0)))))</f>
        <v/>
      </c>
      <c r="O516" s="53">
        <f t="array" ref="O516">IFERROR(INDEX(EXCEPCIONES_FECHA!$F$2:$F$201,MATCH(1,(EXCEPCIONES_FECHA!$A$2:$A$201=$A516)*(EXCEPCIONES_FECHA!$B$2:$B$201=$B516),0)),IFERROR(INDEX(EXCEPCIONES_FECHA!$F$2:$F$201,MATCH(1,(EXCEPCIONES_FECHA!$A$2:$A$201=$A516)*(EXCEPCIONES_FECHA!$B$2:$B$201=""),0)),IFERROR(INDEX(IF($I516="FIN",HISTORIAL_HORARIOS!$L$2:$L$201,HISTORIAL_HORARIOS!$H$2:$H$201),MATCH(1,(HISTORIAL_HORARIOS!$A$2:$A$201=$B516)*(HISTORIAL_HORARIOS!$C$2:$C$201&lt;=$A516)*(HISTORIAL_HORARIOS!$D$2:$D$201&gt;=$A516),0)),INDEX(IF($I516="FIN",PERSONAL!$L$2:$L$80,PERSONAL!$H$2:$H$80),MATCH($B516,PERSONAL!$A$2:$A$80,0)))))</f>
        <v/>
      </c>
    </row>
    <row r="517" ht="15" customHeight="1" s="58">
      <c r="A517" s="37" t="n"/>
      <c r="B517" s="38" t="n"/>
      <c r="C517" s="39" t="n"/>
      <c r="D517" s="39" t="n"/>
      <c r="E517" s="34">
        <f t="array" ref="E517">IF($B517="","",IFERROR(INDEX(PERSONAL!$B$2:$B$80,MATCH($B517,PERSONAL!$A$2:$A$80,0)),"NO EXISTE"))</f>
        <v/>
      </c>
      <c r="F517" s="52">
        <f t="array" ref="F517">IF($B517="","",IFERROR(INDEX(PERSONAL!$C$2:$C$80,MATCH($B517,PERSONAL!$A$2:$A$80,0)),""))</f>
        <v/>
      </c>
      <c r="G517" s="52">
        <f>IF($A517="","",CHOOSE(WEEKDAY($A517,2),"LUNES","MARTES","MIÉRCOLES","JUEVES","VIERNES","SÁBADO","DOMINGO"))</f>
        <v/>
      </c>
      <c r="H517" s="34">
        <f>IF($A517="","",CHOOSE(MONTH($A517),"ENERO","FEBRERO","MARZO","ABRIL","MAYO","JUNIO","JULIO","AGOSTO","SEPTIEMBRE","OCTUBRE","NOVIEMBRE","DICIEMBRE"))</f>
        <v/>
      </c>
      <c r="I517" s="34">
        <f>IF($A517="","",IF(OR($G517="SÁBADO",$G517="DOMINGO"),"FIN","LV"))</f>
        <v/>
      </c>
      <c r="J517" s="34">
        <f>IF(OR($A517="",$B517=""),"",IF($L517&lt;&gt;"",UPPER($L517),IF($C517="","FALTA",IFERROR(IF($C517&gt;=$O517,"ROJO FUERTE",IF($C517&gt;=$N517,"ROJO",IF($C517&gt;=$M517,"AMARILLO","VERDE"))),"REVISAR"))))</f>
        <v/>
      </c>
      <c r="K517" s="36">
        <f>IF(OR($C517="",$D517=""),"",IF($D517&gt;=$C517,($D517-$C517)*24,(1-$C517+$D517)*24))</f>
        <v/>
      </c>
      <c r="L517" s="34" t="n"/>
      <c r="M517" s="53">
        <f t="array" ref="M517">IFERROR(INDEX(EXCEPCIONES_FECHA!$D$2:$D$201,MATCH(1,(EXCEPCIONES_FECHA!$A$2:$A$201=$A517)*(EXCEPCIONES_FECHA!$B$2:$B$201=$B517),0)),IFERROR(INDEX(EXCEPCIONES_FECHA!$D$2:$D$201,MATCH(1,(EXCEPCIONES_FECHA!$A$2:$A$201=$A517)*(EXCEPCIONES_FECHA!$B$2:$B$201=""),0)),IFERROR(INDEX(IF($I517="FIN",HISTORIAL_HORARIOS!$J$2:$J$201,HISTORIAL_HORARIOS!$F$2:$F$201),MATCH(1,(HISTORIAL_HORARIOS!$A$2:$A$201=$B517)*(HISTORIAL_HORARIOS!$C$2:$C$201&lt;=$A517)*(HISTORIAL_HORARIOS!$D$2:$D$201&gt;=$A517),0)),INDEX(IF($I517="FIN",PERSONAL!$J$2:$J$80,PERSONAL!$F$2:$F$80),MATCH($B517,PERSONAL!$A$2:$A$80,0)))))</f>
        <v/>
      </c>
      <c r="N517" s="53">
        <f t="array" ref="N517">IFERROR(INDEX(EXCEPCIONES_FECHA!$E$2:$E$201,MATCH(1,(EXCEPCIONES_FECHA!$A$2:$A$201=$A517)*(EXCEPCIONES_FECHA!$B$2:$B$201=$B517),0)),IFERROR(INDEX(EXCEPCIONES_FECHA!$E$2:$E$201,MATCH(1,(EXCEPCIONES_FECHA!$A$2:$A$201=$A517)*(EXCEPCIONES_FECHA!$B$2:$B$201=""),0)),IFERROR(INDEX(IF($I517="FIN",HISTORIAL_HORARIOS!$K$2:$K$201,HISTORIAL_HORARIOS!$G$2:$G$201),MATCH(1,(HISTORIAL_HORARIOS!$A$2:$A$201=$B517)*(HISTORIAL_HORARIOS!$C$2:$C$201&lt;=$A517)*(HISTORIAL_HORARIOS!$D$2:$D$201&gt;=$A517),0)),INDEX(IF($I517="FIN",PERSONAL!$K$2:$K$80,PERSONAL!$G$2:$G$80),MATCH($B517,PERSONAL!$A$2:$A$80,0)))))</f>
        <v/>
      </c>
      <c r="O517" s="53">
        <f t="array" ref="O517">IFERROR(INDEX(EXCEPCIONES_FECHA!$F$2:$F$201,MATCH(1,(EXCEPCIONES_FECHA!$A$2:$A$201=$A517)*(EXCEPCIONES_FECHA!$B$2:$B$201=$B517),0)),IFERROR(INDEX(EXCEPCIONES_FECHA!$F$2:$F$201,MATCH(1,(EXCEPCIONES_FECHA!$A$2:$A$201=$A517)*(EXCEPCIONES_FECHA!$B$2:$B$201=""),0)),IFERROR(INDEX(IF($I517="FIN",HISTORIAL_HORARIOS!$L$2:$L$201,HISTORIAL_HORARIOS!$H$2:$H$201),MATCH(1,(HISTORIAL_HORARIOS!$A$2:$A$201=$B517)*(HISTORIAL_HORARIOS!$C$2:$C$201&lt;=$A517)*(HISTORIAL_HORARIOS!$D$2:$D$201&gt;=$A517),0)),INDEX(IF($I517="FIN",PERSONAL!$L$2:$L$80,PERSONAL!$H$2:$H$80),MATCH($B517,PERSONAL!$A$2:$A$80,0)))))</f>
        <v/>
      </c>
    </row>
    <row r="518" ht="15" customHeight="1" s="58">
      <c r="A518" s="37" t="n"/>
      <c r="B518" s="38" t="n"/>
      <c r="C518" s="39" t="n"/>
      <c r="D518" s="39" t="n"/>
      <c r="E518" s="34">
        <f t="array" ref="E518">IF($B518="","",IFERROR(INDEX(PERSONAL!$B$2:$B$80,MATCH($B518,PERSONAL!$A$2:$A$80,0)),"NO EXISTE"))</f>
        <v/>
      </c>
      <c r="F518" s="52">
        <f t="array" ref="F518">IF($B518="","",IFERROR(INDEX(PERSONAL!$C$2:$C$80,MATCH($B518,PERSONAL!$A$2:$A$80,0)),""))</f>
        <v/>
      </c>
      <c r="G518" s="52">
        <f>IF($A518="","",CHOOSE(WEEKDAY($A518,2),"LUNES","MARTES","MIÉRCOLES","JUEVES","VIERNES","SÁBADO","DOMINGO"))</f>
        <v/>
      </c>
      <c r="H518" s="34">
        <f>IF($A518="","",CHOOSE(MONTH($A518),"ENERO","FEBRERO","MARZO","ABRIL","MAYO","JUNIO","JULIO","AGOSTO","SEPTIEMBRE","OCTUBRE","NOVIEMBRE","DICIEMBRE"))</f>
        <v/>
      </c>
      <c r="I518" s="34">
        <f>IF($A518="","",IF(OR($G518="SÁBADO",$G518="DOMINGO"),"FIN","LV"))</f>
        <v/>
      </c>
      <c r="J518" s="34">
        <f>IF(OR($A518="",$B518=""),"",IF($L518&lt;&gt;"",UPPER($L518),IF($C518="","FALTA",IFERROR(IF($C518&gt;=$O518,"ROJO FUERTE",IF($C518&gt;=$N518,"ROJO",IF($C518&gt;=$M518,"AMARILLO","VERDE"))),"REVISAR"))))</f>
        <v/>
      </c>
      <c r="K518" s="36">
        <f>IF(OR($C518="",$D518=""),"",IF($D518&gt;=$C518,($D518-$C518)*24,(1-$C518+$D518)*24))</f>
        <v/>
      </c>
      <c r="L518" s="34" t="n"/>
      <c r="M518" s="53">
        <f t="array" ref="M518">IFERROR(INDEX(EXCEPCIONES_FECHA!$D$2:$D$201,MATCH(1,(EXCEPCIONES_FECHA!$A$2:$A$201=$A518)*(EXCEPCIONES_FECHA!$B$2:$B$201=$B518),0)),IFERROR(INDEX(EXCEPCIONES_FECHA!$D$2:$D$201,MATCH(1,(EXCEPCIONES_FECHA!$A$2:$A$201=$A518)*(EXCEPCIONES_FECHA!$B$2:$B$201=""),0)),IFERROR(INDEX(IF($I518="FIN",HISTORIAL_HORARIOS!$J$2:$J$201,HISTORIAL_HORARIOS!$F$2:$F$201),MATCH(1,(HISTORIAL_HORARIOS!$A$2:$A$201=$B518)*(HISTORIAL_HORARIOS!$C$2:$C$201&lt;=$A518)*(HISTORIAL_HORARIOS!$D$2:$D$201&gt;=$A518),0)),INDEX(IF($I518="FIN",PERSONAL!$J$2:$J$80,PERSONAL!$F$2:$F$80),MATCH($B518,PERSONAL!$A$2:$A$80,0)))))</f>
        <v/>
      </c>
      <c r="N518" s="53">
        <f t="array" ref="N518">IFERROR(INDEX(EXCEPCIONES_FECHA!$E$2:$E$201,MATCH(1,(EXCEPCIONES_FECHA!$A$2:$A$201=$A518)*(EXCEPCIONES_FECHA!$B$2:$B$201=$B518),0)),IFERROR(INDEX(EXCEPCIONES_FECHA!$E$2:$E$201,MATCH(1,(EXCEPCIONES_FECHA!$A$2:$A$201=$A518)*(EXCEPCIONES_FECHA!$B$2:$B$201=""),0)),IFERROR(INDEX(IF($I518="FIN",HISTORIAL_HORARIOS!$K$2:$K$201,HISTORIAL_HORARIOS!$G$2:$G$201),MATCH(1,(HISTORIAL_HORARIOS!$A$2:$A$201=$B518)*(HISTORIAL_HORARIOS!$C$2:$C$201&lt;=$A518)*(HISTORIAL_HORARIOS!$D$2:$D$201&gt;=$A518),0)),INDEX(IF($I518="FIN",PERSONAL!$K$2:$K$80,PERSONAL!$G$2:$G$80),MATCH($B518,PERSONAL!$A$2:$A$80,0)))))</f>
        <v/>
      </c>
      <c r="O518" s="53">
        <f t="array" ref="O518">IFERROR(INDEX(EXCEPCIONES_FECHA!$F$2:$F$201,MATCH(1,(EXCEPCIONES_FECHA!$A$2:$A$201=$A518)*(EXCEPCIONES_FECHA!$B$2:$B$201=$B518),0)),IFERROR(INDEX(EXCEPCIONES_FECHA!$F$2:$F$201,MATCH(1,(EXCEPCIONES_FECHA!$A$2:$A$201=$A518)*(EXCEPCIONES_FECHA!$B$2:$B$201=""),0)),IFERROR(INDEX(IF($I518="FIN",HISTORIAL_HORARIOS!$L$2:$L$201,HISTORIAL_HORARIOS!$H$2:$H$201),MATCH(1,(HISTORIAL_HORARIOS!$A$2:$A$201=$B518)*(HISTORIAL_HORARIOS!$C$2:$C$201&lt;=$A518)*(HISTORIAL_HORARIOS!$D$2:$D$201&gt;=$A518),0)),INDEX(IF($I518="FIN",PERSONAL!$L$2:$L$80,PERSONAL!$H$2:$H$80),MATCH($B518,PERSONAL!$A$2:$A$80,0)))))</f>
        <v/>
      </c>
    </row>
    <row r="519" ht="15" customHeight="1" s="58">
      <c r="A519" s="37" t="n"/>
      <c r="B519" s="38" t="n"/>
      <c r="C519" s="39" t="n"/>
      <c r="D519" s="39" t="n"/>
      <c r="E519" s="34">
        <f t="array" ref="E519">IF($B519="","",IFERROR(INDEX(PERSONAL!$B$2:$B$80,MATCH($B519,PERSONAL!$A$2:$A$80,0)),"NO EXISTE"))</f>
        <v/>
      </c>
      <c r="F519" s="52">
        <f t="array" ref="F519">IF($B519="","",IFERROR(INDEX(PERSONAL!$C$2:$C$80,MATCH($B519,PERSONAL!$A$2:$A$80,0)),""))</f>
        <v/>
      </c>
      <c r="G519" s="52">
        <f>IF($A519="","",CHOOSE(WEEKDAY($A519,2),"LUNES","MARTES","MIÉRCOLES","JUEVES","VIERNES","SÁBADO","DOMINGO"))</f>
        <v/>
      </c>
      <c r="H519" s="34">
        <f>IF($A519="","",CHOOSE(MONTH($A519),"ENERO","FEBRERO","MARZO","ABRIL","MAYO","JUNIO","JULIO","AGOSTO","SEPTIEMBRE","OCTUBRE","NOVIEMBRE","DICIEMBRE"))</f>
        <v/>
      </c>
      <c r="I519" s="34">
        <f>IF($A519="","",IF(OR($G519="SÁBADO",$G519="DOMINGO"),"FIN","LV"))</f>
        <v/>
      </c>
      <c r="J519" s="34">
        <f>IF(OR($A519="",$B519=""),"",IF($L519&lt;&gt;"",UPPER($L519),IF($C519="","FALTA",IFERROR(IF($C519&gt;=$O519,"ROJO FUERTE",IF($C519&gt;=$N519,"ROJO",IF($C519&gt;=$M519,"AMARILLO","VERDE"))),"REVISAR"))))</f>
        <v/>
      </c>
      <c r="K519" s="36">
        <f>IF(OR($C519="",$D519=""),"",IF($D519&gt;=$C519,($D519-$C519)*24,(1-$C519+$D519)*24))</f>
        <v/>
      </c>
      <c r="L519" s="34" t="n"/>
      <c r="M519" s="53">
        <f t="array" ref="M519">IFERROR(INDEX(EXCEPCIONES_FECHA!$D$2:$D$201,MATCH(1,(EXCEPCIONES_FECHA!$A$2:$A$201=$A519)*(EXCEPCIONES_FECHA!$B$2:$B$201=$B519),0)),IFERROR(INDEX(EXCEPCIONES_FECHA!$D$2:$D$201,MATCH(1,(EXCEPCIONES_FECHA!$A$2:$A$201=$A519)*(EXCEPCIONES_FECHA!$B$2:$B$201=""),0)),IFERROR(INDEX(IF($I519="FIN",HISTORIAL_HORARIOS!$J$2:$J$201,HISTORIAL_HORARIOS!$F$2:$F$201),MATCH(1,(HISTORIAL_HORARIOS!$A$2:$A$201=$B519)*(HISTORIAL_HORARIOS!$C$2:$C$201&lt;=$A519)*(HISTORIAL_HORARIOS!$D$2:$D$201&gt;=$A519),0)),INDEX(IF($I519="FIN",PERSONAL!$J$2:$J$80,PERSONAL!$F$2:$F$80),MATCH($B519,PERSONAL!$A$2:$A$80,0)))))</f>
        <v/>
      </c>
      <c r="N519" s="53">
        <f t="array" ref="N519">IFERROR(INDEX(EXCEPCIONES_FECHA!$E$2:$E$201,MATCH(1,(EXCEPCIONES_FECHA!$A$2:$A$201=$A519)*(EXCEPCIONES_FECHA!$B$2:$B$201=$B519),0)),IFERROR(INDEX(EXCEPCIONES_FECHA!$E$2:$E$201,MATCH(1,(EXCEPCIONES_FECHA!$A$2:$A$201=$A519)*(EXCEPCIONES_FECHA!$B$2:$B$201=""),0)),IFERROR(INDEX(IF($I519="FIN",HISTORIAL_HORARIOS!$K$2:$K$201,HISTORIAL_HORARIOS!$G$2:$G$201),MATCH(1,(HISTORIAL_HORARIOS!$A$2:$A$201=$B519)*(HISTORIAL_HORARIOS!$C$2:$C$201&lt;=$A519)*(HISTORIAL_HORARIOS!$D$2:$D$201&gt;=$A519),0)),INDEX(IF($I519="FIN",PERSONAL!$K$2:$K$80,PERSONAL!$G$2:$G$80),MATCH($B519,PERSONAL!$A$2:$A$80,0)))))</f>
        <v/>
      </c>
      <c r="O519" s="53">
        <f t="array" ref="O519">IFERROR(INDEX(EXCEPCIONES_FECHA!$F$2:$F$201,MATCH(1,(EXCEPCIONES_FECHA!$A$2:$A$201=$A519)*(EXCEPCIONES_FECHA!$B$2:$B$201=$B519),0)),IFERROR(INDEX(EXCEPCIONES_FECHA!$F$2:$F$201,MATCH(1,(EXCEPCIONES_FECHA!$A$2:$A$201=$A519)*(EXCEPCIONES_FECHA!$B$2:$B$201=""),0)),IFERROR(INDEX(IF($I519="FIN",HISTORIAL_HORARIOS!$L$2:$L$201,HISTORIAL_HORARIOS!$H$2:$H$201),MATCH(1,(HISTORIAL_HORARIOS!$A$2:$A$201=$B519)*(HISTORIAL_HORARIOS!$C$2:$C$201&lt;=$A519)*(HISTORIAL_HORARIOS!$D$2:$D$201&gt;=$A519),0)),INDEX(IF($I519="FIN",PERSONAL!$L$2:$L$80,PERSONAL!$H$2:$H$80),MATCH($B519,PERSONAL!$A$2:$A$80,0)))))</f>
        <v/>
      </c>
    </row>
    <row r="520" ht="15" customHeight="1" s="58">
      <c r="A520" s="37" t="n"/>
      <c r="B520" s="38" t="n"/>
      <c r="C520" s="39" t="n"/>
      <c r="D520" s="39" t="n"/>
      <c r="E520" s="34">
        <f t="array" ref="E520">IF($B520="","",IFERROR(INDEX(PERSONAL!$B$2:$B$80,MATCH($B520,PERSONAL!$A$2:$A$80,0)),"NO EXISTE"))</f>
        <v/>
      </c>
      <c r="F520" s="52">
        <f t="array" ref="F520">IF($B520="","",IFERROR(INDEX(PERSONAL!$C$2:$C$80,MATCH($B520,PERSONAL!$A$2:$A$80,0)),""))</f>
        <v/>
      </c>
      <c r="G520" s="52">
        <f>IF($A520="","",CHOOSE(WEEKDAY($A520,2),"LUNES","MARTES","MIÉRCOLES","JUEVES","VIERNES","SÁBADO","DOMINGO"))</f>
        <v/>
      </c>
      <c r="H520" s="34">
        <f>IF($A520="","",CHOOSE(MONTH($A520),"ENERO","FEBRERO","MARZO","ABRIL","MAYO","JUNIO","JULIO","AGOSTO","SEPTIEMBRE","OCTUBRE","NOVIEMBRE","DICIEMBRE"))</f>
        <v/>
      </c>
      <c r="I520" s="34">
        <f>IF($A520="","",IF(OR($G520="SÁBADO",$G520="DOMINGO"),"FIN","LV"))</f>
        <v/>
      </c>
      <c r="J520" s="34">
        <f>IF(OR($A520="",$B520=""),"",IF($L520&lt;&gt;"",UPPER($L520),IF($C520="","FALTA",IFERROR(IF($C520&gt;=$O520,"ROJO FUERTE",IF($C520&gt;=$N520,"ROJO",IF($C520&gt;=$M520,"AMARILLO","VERDE"))),"REVISAR"))))</f>
        <v/>
      </c>
      <c r="K520" s="36">
        <f>IF(OR($C520="",$D520=""),"",IF($D520&gt;=$C520,($D520-$C520)*24,(1-$C520+$D520)*24))</f>
        <v/>
      </c>
      <c r="L520" s="34" t="n"/>
      <c r="M520" s="53">
        <f t="array" ref="M520">IFERROR(INDEX(EXCEPCIONES_FECHA!$D$2:$D$201,MATCH(1,(EXCEPCIONES_FECHA!$A$2:$A$201=$A520)*(EXCEPCIONES_FECHA!$B$2:$B$201=$B520),0)),IFERROR(INDEX(EXCEPCIONES_FECHA!$D$2:$D$201,MATCH(1,(EXCEPCIONES_FECHA!$A$2:$A$201=$A520)*(EXCEPCIONES_FECHA!$B$2:$B$201=""),0)),IFERROR(INDEX(IF($I520="FIN",HISTORIAL_HORARIOS!$J$2:$J$201,HISTORIAL_HORARIOS!$F$2:$F$201),MATCH(1,(HISTORIAL_HORARIOS!$A$2:$A$201=$B520)*(HISTORIAL_HORARIOS!$C$2:$C$201&lt;=$A520)*(HISTORIAL_HORARIOS!$D$2:$D$201&gt;=$A520),0)),INDEX(IF($I520="FIN",PERSONAL!$J$2:$J$80,PERSONAL!$F$2:$F$80),MATCH($B520,PERSONAL!$A$2:$A$80,0)))))</f>
        <v/>
      </c>
      <c r="N520" s="53">
        <f t="array" ref="N520">IFERROR(INDEX(EXCEPCIONES_FECHA!$E$2:$E$201,MATCH(1,(EXCEPCIONES_FECHA!$A$2:$A$201=$A520)*(EXCEPCIONES_FECHA!$B$2:$B$201=$B520),0)),IFERROR(INDEX(EXCEPCIONES_FECHA!$E$2:$E$201,MATCH(1,(EXCEPCIONES_FECHA!$A$2:$A$201=$A520)*(EXCEPCIONES_FECHA!$B$2:$B$201=""),0)),IFERROR(INDEX(IF($I520="FIN",HISTORIAL_HORARIOS!$K$2:$K$201,HISTORIAL_HORARIOS!$G$2:$G$201),MATCH(1,(HISTORIAL_HORARIOS!$A$2:$A$201=$B520)*(HISTORIAL_HORARIOS!$C$2:$C$201&lt;=$A520)*(HISTORIAL_HORARIOS!$D$2:$D$201&gt;=$A520),0)),INDEX(IF($I520="FIN",PERSONAL!$K$2:$K$80,PERSONAL!$G$2:$G$80),MATCH($B520,PERSONAL!$A$2:$A$80,0)))))</f>
        <v/>
      </c>
      <c r="O520" s="53">
        <f t="array" ref="O520">IFERROR(INDEX(EXCEPCIONES_FECHA!$F$2:$F$201,MATCH(1,(EXCEPCIONES_FECHA!$A$2:$A$201=$A520)*(EXCEPCIONES_FECHA!$B$2:$B$201=$B520),0)),IFERROR(INDEX(EXCEPCIONES_FECHA!$F$2:$F$201,MATCH(1,(EXCEPCIONES_FECHA!$A$2:$A$201=$A520)*(EXCEPCIONES_FECHA!$B$2:$B$201=""),0)),IFERROR(INDEX(IF($I520="FIN",HISTORIAL_HORARIOS!$L$2:$L$201,HISTORIAL_HORARIOS!$H$2:$H$201),MATCH(1,(HISTORIAL_HORARIOS!$A$2:$A$201=$B520)*(HISTORIAL_HORARIOS!$C$2:$C$201&lt;=$A520)*(HISTORIAL_HORARIOS!$D$2:$D$201&gt;=$A520),0)),INDEX(IF($I520="FIN",PERSONAL!$L$2:$L$80,PERSONAL!$H$2:$H$80),MATCH($B520,PERSONAL!$A$2:$A$80,0)))))</f>
        <v/>
      </c>
    </row>
    <row r="521" ht="15" customHeight="1" s="58">
      <c r="A521" s="37" t="n"/>
      <c r="B521" s="38" t="n"/>
      <c r="C521" s="39" t="n"/>
      <c r="D521" s="39" t="n"/>
      <c r="E521" s="34">
        <f t="array" ref="E521">IF($B521="","",IFERROR(INDEX(PERSONAL!$B$2:$B$80,MATCH($B521,PERSONAL!$A$2:$A$80,0)),"NO EXISTE"))</f>
        <v/>
      </c>
      <c r="F521" s="52">
        <f t="array" ref="F521">IF($B521="","",IFERROR(INDEX(PERSONAL!$C$2:$C$80,MATCH($B521,PERSONAL!$A$2:$A$80,0)),""))</f>
        <v/>
      </c>
      <c r="G521" s="52">
        <f>IF($A521="","",CHOOSE(WEEKDAY($A521,2),"LUNES","MARTES","MIÉRCOLES","JUEVES","VIERNES","SÁBADO","DOMINGO"))</f>
        <v/>
      </c>
      <c r="H521" s="34">
        <f>IF($A521="","",CHOOSE(MONTH($A521),"ENERO","FEBRERO","MARZO","ABRIL","MAYO","JUNIO","JULIO","AGOSTO","SEPTIEMBRE","OCTUBRE","NOVIEMBRE","DICIEMBRE"))</f>
        <v/>
      </c>
      <c r="I521" s="34">
        <f>IF($A521="","",IF(OR($G521="SÁBADO",$G521="DOMINGO"),"FIN","LV"))</f>
        <v/>
      </c>
      <c r="J521" s="34">
        <f>IF(OR($A521="",$B521=""),"",IF($L521&lt;&gt;"",UPPER($L521),IF($C521="","FALTA",IFERROR(IF($C521&gt;=$O521,"ROJO FUERTE",IF($C521&gt;=$N521,"ROJO",IF($C521&gt;=$M521,"AMARILLO","VERDE"))),"REVISAR"))))</f>
        <v/>
      </c>
      <c r="K521" s="36">
        <f>IF(OR($C521="",$D521=""),"",IF($D521&gt;=$C521,($D521-$C521)*24,(1-$C521+$D521)*24))</f>
        <v/>
      </c>
      <c r="L521" s="34" t="n"/>
      <c r="M521" s="53">
        <f t="array" ref="M521">IFERROR(INDEX(EXCEPCIONES_FECHA!$D$2:$D$201,MATCH(1,(EXCEPCIONES_FECHA!$A$2:$A$201=$A521)*(EXCEPCIONES_FECHA!$B$2:$B$201=$B521),0)),IFERROR(INDEX(EXCEPCIONES_FECHA!$D$2:$D$201,MATCH(1,(EXCEPCIONES_FECHA!$A$2:$A$201=$A521)*(EXCEPCIONES_FECHA!$B$2:$B$201=""),0)),IFERROR(INDEX(IF($I521="FIN",HISTORIAL_HORARIOS!$J$2:$J$201,HISTORIAL_HORARIOS!$F$2:$F$201),MATCH(1,(HISTORIAL_HORARIOS!$A$2:$A$201=$B521)*(HISTORIAL_HORARIOS!$C$2:$C$201&lt;=$A521)*(HISTORIAL_HORARIOS!$D$2:$D$201&gt;=$A521),0)),INDEX(IF($I521="FIN",PERSONAL!$J$2:$J$80,PERSONAL!$F$2:$F$80),MATCH($B521,PERSONAL!$A$2:$A$80,0)))))</f>
        <v/>
      </c>
      <c r="N521" s="53">
        <f t="array" ref="N521">IFERROR(INDEX(EXCEPCIONES_FECHA!$E$2:$E$201,MATCH(1,(EXCEPCIONES_FECHA!$A$2:$A$201=$A521)*(EXCEPCIONES_FECHA!$B$2:$B$201=$B521),0)),IFERROR(INDEX(EXCEPCIONES_FECHA!$E$2:$E$201,MATCH(1,(EXCEPCIONES_FECHA!$A$2:$A$201=$A521)*(EXCEPCIONES_FECHA!$B$2:$B$201=""),0)),IFERROR(INDEX(IF($I521="FIN",HISTORIAL_HORARIOS!$K$2:$K$201,HISTORIAL_HORARIOS!$G$2:$G$201),MATCH(1,(HISTORIAL_HORARIOS!$A$2:$A$201=$B521)*(HISTORIAL_HORARIOS!$C$2:$C$201&lt;=$A521)*(HISTORIAL_HORARIOS!$D$2:$D$201&gt;=$A521),0)),INDEX(IF($I521="FIN",PERSONAL!$K$2:$K$80,PERSONAL!$G$2:$G$80),MATCH($B521,PERSONAL!$A$2:$A$80,0)))))</f>
        <v/>
      </c>
      <c r="O521" s="53">
        <f t="array" ref="O521">IFERROR(INDEX(EXCEPCIONES_FECHA!$F$2:$F$201,MATCH(1,(EXCEPCIONES_FECHA!$A$2:$A$201=$A521)*(EXCEPCIONES_FECHA!$B$2:$B$201=$B521),0)),IFERROR(INDEX(EXCEPCIONES_FECHA!$F$2:$F$201,MATCH(1,(EXCEPCIONES_FECHA!$A$2:$A$201=$A521)*(EXCEPCIONES_FECHA!$B$2:$B$201=""),0)),IFERROR(INDEX(IF($I521="FIN",HISTORIAL_HORARIOS!$L$2:$L$201,HISTORIAL_HORARIOS!$H$2:$H$201),MATCH(1,(HISTORIAL_HORARIOS!$A$2:$A$201=$B521)*(HISTORIAL_HORARIOS!$C$2:$C$201&lt;=$A521)*(HISTORIAL_HORARIOS!$D$2:$D$201&gt;=$A521),0)),INDEX(IF($I521="FIN",PERSONAL!$L$2:$L$80,PERSONAL!$H$2:$H$80),MATCH($B521,PERSONAL!$A$2:$A$80,0)))))</f>
        <v/>
      </c>
    </row>
    <row r="522" ht="15" customHeight="1" s="58">
      <c r="A522" s="37" t="n"/>
      <c r="B522" s="38" t="n"/>
      <c r="C522" s="39" t="n"/>
      <c r="D522" s="39" t="n"/>
      <c r="E522" s="34">
        <f t="array" ref="E522">IF($B522="","",IFERROR(INDEX(PERSONAL!$B$2:$B$80,MATCH($B522,PERSONAL!$A$2:$A$80,0)),"NO EXISTE"))</f>
        <v/>
      </c>
      <c r="F522" s="52">
        <f t="array" ref="F522">IF($B522="","",IFERROR(INDEX(PERSONAL!$C$2:$C$80,MATCH($B522,PERSONAL!$A$2:$A$80,0)),""))</f>
        <v/>
      </c>
      <c r="G522" s="52">
        <f>IF($A522="","",CHOOSE(WEEKDAY($A522,2),"LUNES","MARTES","MIÉRCOLES","JUEVES","VIERNES","SÁBADO","DOMINGO"))</f>
        <v/>
      </c>
      <c r="H522" s="34">
        <f>IF($A522="","",CHOOSE(MONTH($A522),"ENERO","FEBRERO","MARZO","ABRIL","MAYO","JUNIO","JULIO","AGOSTO","SEPTIEMBRE","OCTUBRE","NOVIEMBRE","DICIEMBRE"))</f>
        <v/>
      </c>
      <c r="I522" s="34">
        <f>IF($A522="","",IF(OR($G522="SÁBADO",$G522="DOMINGO"),"FIN","LV"))</f>
        <v/>
      </c>
      <c r="J522" s="34">
        <f>IF(OR($A522="",$B522=""),"",IF($L522&lt;&gt;"",UPPER($L522),IF($C522="","FALTA",IFERROR(IF($C522&gt;=$O522,"ROJO FUERTE",IF($C522&gt;=$N522,"ROJO",IF($C522&gt;=$M522,"AMARILLO","VERDE"))),"REVISAR"))))</f>
        <v/>
      </c>
      <c r="K522" s="36">
        <f>IF(OR($C522="",$D522=""),"",IF($D522&gt;=$C522,($D522-$C522)*24,(1-$C522+$D522)*24))</f>
        <v/>
      </c>
      <c r="L522" s="34" t="n"/>
      <c r="M522" s="53">
        <f t="array" ref="M522">IFERROR(INDEX(EXCEPCIONES_FECHA!$D$2:$D$201,MATCH(1,(EXCEPCIONES_FECHA!$A$2:$A$201=$A522)*(EXCEPCIONES_FECHA!$B$2:$B$201=$B522),0)),IFERROR(INDEX(EXCEPCIONES_FECHA!$D$2:$D$201,MATCH(1,(EXCEPCIONES_FECHA!$A$2:$A$201=$A522)*(EXCEPCIONES_FECHA!$B$2:$B$201=""),0)),IFERROR(INDEX(IF($I522="FIN",HISTORIAL_HORARIOS!$J$2:$J$201,HISTORIAL_HORARIOS!$F$2:$F$201),MATCH(1,(HISTORIAL_HORARIOS!$A$2:$A$201=$B522)*(HISTORIAL_HORARIOS!$C$2:$C$201&lt;=$A522)*(HISTORIAL_HORARIOS!$D$2:$D$201&gt;=$A522),0)),INDEX(IF($I522="FIN",PERSONAL!$J$2:$J$80,PERSONAL!$F$2:$F$80),MATCH($B522,PERSONAL!$A$2:$A$80,0)))))</f>
        <v/>
      </c>
      <c r="N522" s="53">
        <f t="array" ref="N522">IFERROR(INDEX(EXCEPCIONES_FECHA!$E$2:$E$201,MATCH(1,(EXCEPCIONES_FECHA!$A$2:$A$201=$A522)*(EXCEPCIONES_FECHA!$B$2:$B$201=$B522),0)),IFERROR(INDEX(EXCEPCIONES_FECHA!$E$2:$E$201,MATCH(1,(EXCEPCIONES_FECHA!$A$2:$A$201=$A522)*(EXCEPCIONES_FECHA!$B$2:$B$201=""),0)),IFERROR(INDEX(IF($I522="FIN",HISTORIAL_HORARIOS!$K$2:$K$201,HISTORIAL_HORARIOS!$G$2:$G$201),MATCH(1,(HISTORIAL_HORARIOS!$A$2:$A$201=$B522)*(HISTORIAL_HORARIOS!$C$2:$C$201&lt;=$A522)*(HISTORIAL_HORARIOS!$D$2:$D$201&gt;=$A522),0)),INDEX(IF($I522="FIN",PERSONAL!$K$2:$K$80,PERSONAL!$G$2:$G$80),MATCH($B522,PERSONAL!$A$2:$A$80,0)))))</f>
        <v/>
      </c>
      <c r="O522" s="53">
        <f t="array" ref="O522">IFERROR(INDEX(EXCEPCIONES_FECHA!$F$2:$F$201,MATCH(1,(EXCEPCIONES_FECHA!$A$2:$A$201=$A522)*(EXCEPCIONES_FECHA!$B$2:$B$201=$B522),0)),IFERROR(INDEX(EXCEPCIONES_FECHA!$F$2:$F$201,MATCH(1,(EXCEPCIONES_FECHA!$A$2:$A$201=$A522)*(EXCEPCIONES_FECHA!$B$2:$B$201=""),0)),IFERROR(INDEX(IF($I522="FIN",HISTORIAL_HORARIOS!$L$2:$L$201,HISTORIAL_HORARIOS!$H$2:$H$201),MATCH(1,(HISTORIAL_HORARIOS!$A$2:$A$201=$B522)*(HISTORIAL_HORARIOS!$C$2:$C$201&lt;=$A522)*(HISTORIAL_HORARIOS!$D$2:$D$201&gt;=$A522),0)),INDEX(IF($I522="FIN",PERSONAL!$L$2:$L$80,PERSONAL!$H$2:$H$80),MATCH($B522,PERSONAL!$A$2:$A$80,0)))))</f>
        <v/>
      </c>
    </row>
    <row r="523" ht="15" customHeight="1" s="58">
      <c r="A523" s="37" t="n"/>
      <c r="B523" s="38" t="n"/>
      <c r="C523" s="39" t="n"/>
      <c r="D523" s="39" t="n"/>
      <c r="E523" s="34">
        <f t="array" ref="E523">IF($B523="","",IFERROR(INDEX(PERSONAL!$B$2:$B$80,MATCH($B523,PERSONAL!$A$2:$A$80,0)),"NO EXISTE"))</f>
        <v/>
      </c>
      <c r="F523" s="52">
        <f t="array" ref="F523">IF($B523="","",IFERROR(INDEX(PERSONAL!$C$2:$C$80,MATCH($B523,PERSONAL!$A$2:$A$80,0)),""))</f>
        <v/>
      </c>
      <c r="G523" s="52">
        <f>IF($A523="","",CHOOSE(WEEKDAY($A523,2),"LUNES","MARTES","MIÉRCOLES","JUEVES","VIERNES","SÁBADO","DOMINGO"))</f>
        <v/>
      </c>
      <c r="H523" s="34">
        <f>IF($A523="","",CHOOSE(MONTH($A523),"ENERO","FEBRERO","MARZO","ABRIL","MAYO","JUNIO","JULIO","AGOSTO","SEPTIEMBRE","OCTUBRE","NOVIEMBRE","DICIEMBRE"))</f>
        <v/>
      </c>
      <c r="I523" s="34">
        <f>IF($A523="","",IF(OR($G523="SÁBADO",$G523="DOMINGO"),"FIN","LV"))</f>
        <v/>
      </c>
      <c r="J523" s="34">
        <f>IF(OR($A523="",$B523=""),"",IF($L523&lt;&gt;"",UPPER($L523),IF($C523="","FALTA",IFERROR(IF($C523&gt;=$O523,"ROJO FUERTE",IF($C523&gt;=$N523,"ROJO",IF($C523&gt;=$M523,"AMARILLO","VERDE"))),"REVISAR"))))</f>
        <v/>
      </c>
      <c r="K523" s="36">
        <f>IF(OR($C523="",$D523=""),"",IF($D523&gt;=$C523,($D523-$C523)*24,(1-$C523+$D523)*24))</f>
        <v/>
      </c>
      <c r="L523" s="34" t="n"/>
      <c r="M523" s="53">
        <f t="array" ref="M523">IFERROR(INDEX(EXCEPCIONES_FECHA!$D$2:$D$201,MATCH(1,(EXCEPCIONES_FECHA!$A$2:$A$201=$A523)*(EXCEPCIONES_FECHA!$B$2:$B$201=$B523),0)),IFERROR(INDEX(EXCEPCIONES_FECHA!$D$2:$D$201,MATCH(1,(EXCEPCIONES_FECHA!$A$2:$A$201=$A523)*(EXCEPCIONES_FECHA!$B$2:$B$201=""),0)),IFERROR(INDEX(IF($I523="FIN",HISTORIAL_HORARIOS!$J$2:$J$201,HISTORIAL_HORARIOS!$F$2:$F$201),MATCH(1,(HISTORIAL_HORARIOS!$A$2:$A$201=$B523)*(HISTORIAL_HORARIOS!$C$2:$C$201&lt;=$A523)*(HISTORIAL_HORARIOS!$D$2:$D$201&gt;=$A523),0)),INDEX(IF($I523="FIN",PERSONAL!$J$2:$J$80,PERSONAL!$F$2:$F$80),MATCH($B523,PERSONAL!$A$2:$A$80,0)))))</f>
        <v/>
      </c>
      <c r="N523" s="53">
        <f t="array" ref="N523">IFERROR(INDEX(EXCEPCIONES_FECHA!$E$2:$E$201,MATCH(1,(EXCEPCIONES_FECHA!$A$2:$A$201=$A523)*(EXCEPCIONES_FECHA!$B$2:$B$201=$B523),0)),IFERROR(INDEX(EXCEPCIONES_FECHA!$E$2:$E$201,MATCH(1,(EXCEPCIONES_FECHA!$A$2:$A$201=$A523)*(EXCEPCIONES_FECHA!$B$2:$B$201=""),0)),IFERROR(INDEX(IF($I523="FIN",HISTORIAL_HORARIOS!$K$2:$K$201,HISTORIAL_HORARIOS!$G$2:$G$201),MATCH(1,(HISTORIAL_HORARIOS!$A$2:$A$201=$B523)*(HISTORIAL_HORARIOS!$C$2:$C$201&lt;=$A523)*(HISTORIAL_HORARIOS!$D$2:$D$201&gt;=$A523),0)),INDEX(IF($I523="FIN",PERSONAL!$K$2:$K$80,PERSONAL!$G$2:$G$80),MATCH($B523,PERSONAL!$A$2:$A$80,0)))))</f>
        <v/>
      </c>
      <c r="O523" s="53">
        <f t="array" ref="O523">IFERROR(INDEX(EXCEPCIONES_FECHA!$F$2:$F$201,MATCH(1,(EXCEPCIONES_FECHA!$A$2:$A$201=$A523)*(EXCEPCIONES_FECHA!$B$2:$B$201=$B523),0)),IFERROR(INDEX(EXCEPCIONES_FECHA!$F$2:$F$201,MATCH(1,(EXCEPCIONES_FECHA!$A$2:$A$201=$A523)*(EXCEPCIONES_FECHA!$B$2:$B$201=""),0)),IFERROR(INDEX(IF($I523="FIN",HISTORIAL_HORARIOS!$L$2:$L$201,HISTORIAL_HORARIOS!$H$2:$H$201),MATCH(1,(HISTORIAL_HORARIOS!$A$2:$A$201=$B523)*(HISTORIAL_HORARIOS!$C$2:$C$201&lt;=$A523)*(HISTORIAL_HORARIOS!$D$2:$D$201&gt;=$A523),0)),INDEX(IF($I523="FIN",PERSONAL!$L$2:$L$80,PERSONAL!$H$2:$H$80),MATCH($B523,PERSONAL!$A$2:$A$80,0)))))</f>
        <v/>
      </c>
    </row>
    <row r="524" ht="15" customHeight="1" s="58">
      <c r="A524" s="37" t="n"/>
      <c r="B524" s="38" t="n"/>
      <c r="C524" s="39" t="n"/>
      <c r="D524" s="39" t="n"/>
      <c r="E524" s="34">
        <f t="array" ref="E524">IF($B524="","",IFERROR(INDEX(PERSONAL!$B$2:$B$80,MATCH($B524,PERSONAL!$A$2:$A$80,0)),"NO EXISTE"))</f>
        <v/>
      </c>
      <c r="F524" s="52">
        <f t="array" ref="F524">IF($B524="","",IFERROR(INDEX(PERSONAL!$C$2:$C$80,MATCH($B524,PERSONAL!$A$2:$A$80,0)),""))</f>
        <v/>
      </c>
      <c r="G524" s="52">
        <f>IF($A524="","",CHOOSE(WEEKDAY($A524,2),"LUNES","MARTES","MIÉRCOLES","JUEVES","VIERNES","SÁBADO","DOMINGO"))</f>
        <v/>
      </c>
      <c r="H524" s="34">
        <f>IF($A524="","",CHOOSE(MONTH($A524),"ENERO","FEBRERO","MARZO","ABRIL","MAYO","JUNIO","JULIO","AGOSTO","SEPTIEMBRE","OCTUBRE","NOVIEMBRE","DICIEMBRE"))</f>
        <v/>
      </c>
      <c r="I524" s="34">
        <f>IF($A524="","",IF(OR($G524="SÁBADO",$G524="DOMINGO"),"FIN","LV"))</f>
        <v/>
      </c>
      <c r="J524" s="34">
        <f>IF(OR($A524="",$B524=""),"",IF($L524&lt;&gt;"",UPPER($L524),IF($C524="","FALTA",IFERROR(IF($C524&gt;=$O524,"ROJO FUERTE",IF($C524&gt;=$N524,"ROJO",IF($C524&gt;=$M524,"AMARILLO","VERDE"))),"REVISAR"))))</f>
        <v/>
      </c>
      <c r="K524" s="36">
        <f>IF(OR($C524="",$D524=""),"",IF($D524&gt;=$C524,($D524-$C524)*24,(1-$C524+$D524)*24))</f>
        <v/>
      </c>
      <c r="L524" s="34" t="n"/>
      <c r="M524" s="53">
        <f t="array" ref="M524">IFERROR(INDEX(EXCEPCIONES_FECHA!$D$2:$D$201,MATCH(1,(EXCEPCIONES_FECHA!$A$2:$A$201=$A524)*(EXCEPCIONES_FECHA!$B$2:$B$201=$B524),0)),IFERROR(INDEX(EXCEPCIONES_FECHA!$D$2:$D$201,MATCH(1,(EXCEPCIONES_FECHA!$A$2:$A$201=$A524)*(EXCEPCIONES_FECHA!$B$2:$B$201=""),0)),IFERROR(INDEX(IF($I524="FIN",HISTORIAL_HORARIOS!$J$2:$J$201,HISTORIAL_HORARIOS!$F$2:$F$201),MATCH(1,(HISTORIAL_HORARIOS!$A$2:$A$201=$B524)*(HISTORIAL_HORARIOS!$C$2:$C$201&lt;=$A524)*(HISTORIAL_HORARIOS!$D$2:$D$201&gt;=$A524),0)),INDEX(IF($I524="FIN",PERSONAL!$J$2:$J$80,PERSONAL!$F$2:$F$80),MATCH($B524,PERSONAL!$A$2:$A$80,0)))))</f>
        <v/>
      </c>
      <c r="N524" s="53">
        <f t="array" ref="N524">IFERROR(INDEX(EXCEPCIONES_FECHA!$E$2:$E$201,MATCH(1,(EXCEPCIONES_FECHA!$A$2:$A$201=$A524)*(EXCEPCIONES_FECHA!$B$2:$B$201=$B524),0)),IFERROR(INDEX(EXCEPCIONES_FECHA!$E$2:$E$201,MATCH(1,(EXCEPCIONES_FECHA!$A$2:$A$201=$A524)*(EXCEPCIONES_FECHA!$B$2:$B$201=""),0)),IFERROR(INDEX(IF($I524="FIN",HISTORIAL_HORARIOS!$K$2:$K$201,HISTORIAL_HORARIOS!$G$2:$G$201),MATCH(1,(HISTORIAL_HORARIOS!$A$2:$A$201=$B524)*(HISTORIAL_HORARIOS!$C$2:$C$201&lt;=$A524)*(HISTORIAL_HORARIOS!$D$2:$D$201&gt;=$A524),0)),INDEX(IF($I524="FIN",PERSONAL!$K$2:$K$80,PERSONAL!$G$2:$G$80),MATCH($B524,PERSONAL!$A$2:$A$80,0)))))</f>
        <v/>
      </c>
      <c r="O524" s="53">
        <f t="array" ref="O524">IFERROR(INDEX(EXCEPCIONES_FECHA!$F$2:$F$201,MATCH(1,(EXCEPCIONES_FECHA!$A$2:$A$201=$A524)*(EXCEPCIONES_FECHA!$B$2:$B$201=$B524),0)),IFERROR(INDEX(EXCEPCIONES_FECHA!$F$2:$F$201,MATCH(1,(EXCEPCIONES_FECHA!$A$2:$A$201=$A524)*(EXCEPCIONES_FECHA!$B$2:$B$201=""),0)),IFERROR(INDEX(IF($I524="FIN",HISTORIAL_HORARIOS!$L$2:$L$201,HISTORIAL_HORARIOS!$H$2:$H$201),MATCH(1,(HISTORIAL_HORARIOS!$A$2:$A$201=$B524)*(HISTORIAL_HORARIOS!$C$2:$C$201&lt;=$A524)*(HISTORIAL_HORARIOS!$D$2:$D$201&gt;=$A524),0)),INDEX(IF($I524="FIN",PERSONAL!$L$2:$L$80,PERSONAL!$H$2:$H$80),MATCH($B524,PERSONAL!$A$2:$A$80,0)))))</f>
        <v/>
      </c>
    </row>
    <row r="525" ht="15" customHeight="1" s="58">
      <c r="A525" s="37" t="n"/>
      <c r="B525" s="38" t="n"/>
      <c r="C525" s="39" t="n"/>
      <c r="D525" s="39" t="n"/>
      <c r="E525" s="34">
        <f t="array" ref="E525">IF($B525="","",IFERROR(INDEX(PERSONAL!$B$2:$B$80,MATCH($B525,PERSONAL!$A$2:$A$80,0)),"NO EXISTE"))</f>
        <v/>
      </c>
      <c r="F525" s="52">
        <f t="array" ref="F525">IF($B525="","",IFERROR(INDEX(PERSONAL!$C$2:$C$80,MATCH($B525,PERSONAL!$A$2:$A$80,0)),""))</f>
        <v/>
      </c>
      <c r="G525" s="52">
        <f>IF($A525="","",CHOOSE(WEEKDAY($A525,2),"LUNES","MARTES","MIÉRCOLES","JUEVES","VIERNES","SÁBADO","DOMINGO"))</f>
        <v/>
      </c>
      <c r="H525" s="34">
        <f>IF($A525="","",CHOOSE(MONTH($A525),"ENERO","FEBRERO","MARZO","ABRIL","MAYO","JUNIO","JULIO","AGOSTO","SEPTIEMBRE","OCTUBRE","NOVIEMBRE","DICIEMBRE"))</f>
        <v/>
      </c>
      <c r="I525" s="34">
        <f>IF($A525="","",IF(OR($G525="SÁBADO",$G525="DOMINGO"),"FIN","LV"))</f>
        <v/>
      </c>
      <c r="J525" s="34">
        <f>IF(OR($A525="",$B525=""),"",IF($L525&lt;&gt;"",UPPER($L525),IF($C525="","FALTA",IFERROR(IF($C525&gt;=$O525,"ROJO FUERTE",IF($C525&gt;=$N525,"ROJO",IF($C525&gt;=$M525,"AMARILLO","VERDE"))),"REVISAR"))))</f>
        <v/>
      </c>
      <c r="K525" s="36">
        <f>IF(OR($C525="",$D525=""),"",IF($D525&gt;=$C525,($D525-$C525)*24,(1-$C525+$D525)*24))</f>
        <v/>
      </c>
      <c r="L525" s="34" t="n"/>
      <c r="M525" s="53">
        <f t="array" ref="M525">IFERROR(INDEX(EXCEPCIONES_FECHA!$D$2:$D$201,MATCH(1,(EXCEPCIONES_FECHA!$A$2:$A$201=$A525)*(EXCEPCIONES_FECHA!$B$2:$B$201=$B525),0)),IFERROR(INDEX(EXCEPCIONES_FECHA!$D$2:$D$201,MATCH(1,(EXCEPCIONES_FECHA!$A$2:$A$201=$A525)*(EXCEPCIONES_FECHA!$B$2:$B$201=""),0)),IFERROR(INDEX(IF($I525="FIN",HISTORIAL_HORARIOS!$J$2:$J$201,HISTORIAL_HORARIOS!$F$2:$F$201),MATCH(1,(HISTORIAL_HORARIOS!$A$2:$A$201=$B525)*(HISTORIAL_HORARIOS!$C$2:$C$201&lt;=$A525)*(HISTORIAL_HORARIOS!$D$2:$D$201&gt;=$A525),0)),INDEX(IF($I525="FIN",PERSONAL!$J$2:$J$80,PERSONAL!$F$2:$F$80),MATCH($B525,PERSONAL!$A$2:$A$80,0)))))</f>
        <v/>
      </c>
      <c r="N525" s="53">
        <f t="array" ref="N525">IFERROR(INDEX(EXCEPCIONES_FECHA!$E$2:$E$201,MATCH(1,(EXCEPCIONES_FECHA!$A$2:$A$201=$A525)*(EXCEPCIONES_FECHA!$B$2:$B$201=$B525),0)),IFERROR(INDEX(EXCEPCIONES_FECHA!$E$2:$E$201,MATCH(1,(EXCEPCIONES_FECHA!$A$2:$A$201=$A525)*(EXCEPCIONES_FECHA!$B$2:$B$201=""),0)),IFERROR(INDEX(IF($I525="FIN",HISTORIAL_HORARIOS!$K$2:$K$201,HISTORIAL_HORARIOS!$G$2:$G$201),MATCH(1,(HISTORIAL_HORARIOS!$A$2:$A$201=$B525)*(HISTORIAL_HORARIOS!$C$2:$C$201&lt;=$A525)*(HISTORIAL_HORARIOS!$D$2:$D$201&gt;=$A525),0)),INDEX(IF($I525="FIN",PERSONAL!$K$2:$K$80,PERSONAL!$G$2:$G$80),MATCH($B525,PERSONAL!$A$2:$A$80,0)))))</f>
        <v/>
      </c>
      <c r="O525" s="53">
        <f t="array" ref="O525">IFERROR(INDEX(EXCEPCIONES_FECHA!$F$2:$F$201,MATCH(1,(EXCEPCIONES_FECHA!$A$2:$A$201=$A525)*(EXCEPCIONES_FECHA!$B$2:$B$201=$B525),0)),IFERROR(INDEX(EXCEPCIONES_FECHA!$F$2:$F$201,MATCH(1,(EXCEPCIONES_FECHA!$A$2:$A$201=$A525)*(EXCEPCIONES_FECHA!$B$2:$B$201=""),0)),IFERROR(INDEX(IF($I525="FIN",HISTORIAL_HORARIOS!$L$2:$L$201,HISTORIAL_HORARIOS!$H$2:$H$201),MATCH(1,(HISTORIAL_HORARIOS!$A$2:$A$201=$B525)*(HISTORIAL_HORARIOS!$C$2:$C$201&lt;=$A525)*(HISTORIAL_HORARIOS!$D$2:$D$201&gt;=$A525),0)),INDEX(IF($I525="FIN",PERSONAL!$L$2:$L$80,PERSONAL!$H$2:$H$80),MATCH($B525,PERSONAL!$A$2:$A$80,0)))))</f>
        <v/>
      </c>
    </row>
    <row r="526" ht="15" customHeight="1" s="58">
      <c r="A526" s="37" t="n"/>
      <c r="B526" s="38" t="n"/>
      <c r="C526" s="39" t="n"/>
      <c r="D526" s="39" t="n"/>
      <c r="E526" s="34">
        <f t="array" ref="E526">IF($B526="","",IFERROR(INDEX(PERSONAL!$B$2:$B$80,MATCH($B526,PERSONAL!$A$2:$A$80,0)),"NO EXISTE"))</f>
        <v/>
      </c>
      <c r="F526" s="52">
        <f t="array" ref="F526">IF($B526="","",IFERROR(INDEX(PERSONAL!$C$2:$C$80,MATCH($B526,PERSONAL!$A$2:$A$80,0)),""))</f>
        <v/>
      </c>
      <c r="G526" s="52">
        <f>IF($A526="","",CHOOSE(WEEKDAY($A526,2),"LUNES","MARTES","MIÉRCOLES","JUEVES","VIERNES","SÁBADO","DOMINGO"))</f>
        <v/>
      </c>
      <c r="H526" s="34">
        <f>IF($A526="","",CHOOSE(MONTH($A526),"ENERO","FEBRERO","MARZO","ABRIL","MAYO","JUNIO","JULIO","AGOSTO","SEPTIEMBRE","OCTUBRE","NOVIEMBRE","DICIEMBRE"))</f>
        <v/>
      </c>
      <c r="I526" s="34">
        <f>IF($A526="","",IF(OR($G526="SÁBADO",$G526="DOMINGO"),"FIN","LV"))</f>
        <v/>
      </c>
      <c r="J526" s="34">
        <f>IF(OR($A526="",$B526=""),"",IF($L526&lt;&gt;"",UPPER($L526),IF($C526="","FALTA",IFERROR(IF($C526&gt;=$O526,"ROJO FUERTE",IF($C526&gt;=$N526,"ROJO",IF($C526&gt;=$M526,"AMARILLO","VERDE"))),"REVISAR"))))</f>
        <v/>
      </c>
      <c r="K526" s="36">
        <f>IF(OR($C526="",$D526=""),"",IF($D526&gt;=$C526,($D526-$C526)*24,(1-$C526+$D526)*24))</f>
        <v/>
      </c>
      <c r="L526" s="34" t="n"/>
      <c r="M526" s="53">
        <f t="array" ref="M526">IFERROR(INDEX(EXCEPCIONES_FECHA!$D$2:$D$201,MATCH(1,(EXCEPCIONES_FECHA!$A$2:$A$201=$A526)*(EXCEPCIONES_FECHA!$B$2:$B$201=$B526),0)),IFERROR(INDEX(EXCEPCIONES_FECHA!$D$2:$D$201,MATCH(1,(EXCEPCIONES_FECHA!$A$2:$A$201=$A526)*(EXCEPCIONES_FECHA!$B$2:$B$201=""),0)),IFERROR(INDEX(IF($I526="FIN",HISTORIAL_HORARIOS!$J$2:$J$201,HISTORIAL_HORARIOS!$F$2:$F$201),MATCH(1,(HISTORIAL_HORARIOS!$A$2:$A$201=$B526)*(HISTORIAL_HORARIOS!$C$2:$C$201&lt;=$A526)*(HISTORIAL_HORARIOS!$D$2:$D$201&gt;=$A526),0)),INDEX(IF($I526="FIN",PERSONAL!$J$2:$J$80,PERSONAL!$F$2:$F$80),MATCH($B526,PERSONAL!$A$2:$A$80,0)))))</f>
        <v/>
      </c>
      <c r="N526" s="53">
        <f t="array" ref="N526">IFERROR(INDEX(EXCEPCIONES_FECHA!$E$2:$E$201,MATCH(1,(EXCEPCIONES_FECHA!$A$2:$A$201=$A526)*(EXCEPCIONES_FECHA!$B$2:$B$201=$B526),0)),IFERROR(INDEX(EXCEPCIONES_FECHA!$E$2:$E$201,MATCH(1,(EXCEPCIONES_FECHA!$A$2:$A$201=$A526)*(EXCEPCIONES_FECHA!$B$2:$B$201=""),0)),IFERROR(INDEX(IF($I526="FIN",HISTORIAL_HORARIOS!$K$2:$K$201,HISTORIAL_HORARIOS!$G$2:$G$201),MATCH(1,(HISTORIAL_HORARIOS!$A$2:$A$201=$B526)*(HISTORIAL_HORARIOS!$C$2:$C$201&lt;=$A526)*(HISTORIAL_HORARIOS!$D$2:$D$201&gt;=$A526),0)),INDEX(IF($I526="FIN",PERSONAL!$K$2:$K$80,PERSONAL!$G$2:$G$80),MATCH($B526,PERSONAL!$A$2:$A$80,0)))))</f>
        <v/>
      </c>
      <c r="O526" s="53">
        <f t="array" ref="O526">IFERROR(INDEX(EXCEPCIONES_FECHA!$F$2:$F$201,MATCH(1,(EXCEPCIONES_FECHA!$A$2:$A$201=$A526)*(EXCEPCIONES_FECHA!$B$2:$B$201=$B526),0)),IFERROR(INDEX(EXCEPCIONES_FECHA!$F$2:$F$201,MATCH(1,(EXCEPCIONES_FECHA!$A$2:$A$201=$A526)*(EXCEPCIONES_FECHA!$B$2:$B$201=""),0)),IFERROR(INDEX(IF($I526="FIN",HISTORIAL_HORARIOS!$L$2:$L$201,HISTORIAL_HORARIOS!$H$2:$H$201),MATCH(1,(HISTORIAL_HORARIOS!$A$2:$A$201=$B526)*(HISTORIAL_HORARIOS!$C$2:$C$201&lt;=$A526)*(HISTORIAL_HORARIOS!$D$2:$D$201&gt;=$A526),0)),INDEX(IF($I526="FIN",PERSONAL!$L$2:$L$80,PERSONAL!$H$2:$H$80),MATCH($B526,PERSONAL!$A$2:$A$80,0)))))</f>
        <v/>
      </c>
    </row>
    <row r="527" ht="15" customHeight="1" s="58">
      <c r="A527" s="37" t="n"/>
      <c r="B527" s="38" t="n"/>
      <c r="C527" s="39" t="n"/>
      <c r="D527" s="39" t="n"/>
      <c r="E527" s="34">
        <f t="array" ref="E527">IF($B527="","",IFERROR(INDEX(PERSONAL!$B$2:$B$80,MATCH($B527,PERSONAL!$A$2:$A$80,0)),"NO EXISTE"))</f>
        <v/>
      </c>
      <c r="F527" s="52">
        <f t="array" ref="F527">IF($B527="","",IFERROR(INDEX(PERSONAL!$C$2:$C$80,MATCH($B527,PERSONAL!$A$2:$A$80,0)),""))</f>
        <v/>
      </c>
      <c r="G527" s="52">
        <f>IF($A527="","",CHOOSE(WEEKDAY($A527,2),"LUNES","MARTES","MIÉRCOLES","JUEVES","VIERNES","SÁBADO","DOMINGO"))</f>
        <v/>
      </c>
      <c r="H527" s="34">
        <f>IF($A527="","",CHOOSE(MONTH($A527),"ENERO","FEBRERO","MARZO","ABRIL","MAYO","JUNIO","JULIO","AGOSTO","SEPTIEMBRE","OCTUBRE","NOVIEMBRE","DICIEMBRE"))</f>
        <v/>
      </c>
      <c r="I527" s="34">
        <f>IF($A527="","",IF(OR($G527="SÁBADO",$G527="DOMINGO"),"FIN","LV"))</f>
        <v/>
      </c>
      <c r="J527" s="34">
        <f>IF(OR($A527="",$B527=""),"",IF($L527&lt;&gt;"",UPPER($L527),IF($C527="","FALTA",IFERROR(IF($C527&gt;=$O527,"ROJO FUERTE",IF($C527&gt;=$N527,"ROJO",IF($C527&gt;=$M527,"AMARILLO","VERDE"))),"REVISAR"))))</f>
        <v/>
      </c>
      <c r="K527" s="36">
        <f>IF(OR($C527="",$D527=""),"",IF($D527&gt;=$C527,($D527-$C527)*24,(1-$C527+$D527)*24))</f>
        <v/>
      </c>
      <c r="L527" s="34" t="n"/>
      <c r="M527" s="53">
        <f t="array" ref="M527">IFERROR(INDEX(EXCEPCIONES_FECHA!$D$2:$D$201,MATCH(1,(EXCEPCIONES_FECHA!$A$2:$A$201=$A527)*(EXCEPCIONES_FECHA!$B$2:$B$201=$B527),0)),IFERROR(INDEX(EXCEPCIONES_FECHA!$D$2:$D$201,MATCH(1,(EXCEPCIONES_FECHA!$A$2:$A$201=$A527)*(EXCEPCIONES_FECHA!$B$2:$B$201=""),0)),IFERROR(INDEX(IF($I527="FIN",HISTORIAL_HORARIOS!$J$2:$J$201,HISTORIAL_HORARIOS!$F$2:$F$201),MATCH(1,(HISTORIAL_HORARIOS!$A$2:$A$201=$B527)*(HISTORIAL_HORARIOS!$C$2:$C$201&lt;=$A527)*(HISTORIAL_HORARIOS!$D$2:$D$201&gt;=$A527),0)),INDEX(IF($I527="FIN",PERSONAL!$J$2:$J$80,PERSONAL!$F$2:$F$80),MATCH($B527,PERSONAL!$A$2:$A$80,0)))))</f>
        <v/>
      </c>
      <c r="N527" s="53">
        <f t="array" ref="N527">IFERROR(INDEX(EXCEPCIONES_FECHA!$E$2:$E$201,MATCH(1,(EXCEPCIONES_FECHA!$A$2:$A$201=$A527)*(EXCEPCIONES_FECHA!$B$2:$B$201=$B527),0)),IFERROR(INDEX(EXCEPCIONES_FECHA!$E$2:$E$201,MATCH(1,(EXCEPCIONES_FECHA!$A$2:$A$201=$A527)*(EXCEPCIONES_FECHA!$B$2:$B$201=""),0)),IFERROR(INDEX(IF($I527="FIN",HISTORIAL_HORARIOS!$K$2:$K$201,HISTORIAL_HORARIOS!$G$2:$G$201),MATCH(1,(HISTORIAL_HORARIOS!$A$2:$A$201=$B527)*(HISTORIAL_HORARIOS!$C$2:$C$201&lt;=$A527)*(HISTORIAL_HORARIOS!$D$2:$D$201&gt;=$A527),0)),INDEX(IF($I527="FIN",PERSONAL!$K$2:$K$80,PERSONAL!$G$2:$G$80),MATCH($B527,PERSONAL!$A$2:$A$80,0)))))</f>
        <v/>
      </c>
      <c r="O527" s="53">
        <f t="array" ref="O527">IFERROR(INDEX(EXCEPCIONES_FECHA!$F$2:$F$201,MATCH(1,(EXCEPCIONES_FECHA!$A$2:$A$201=$A527)*(EXCEPCIONES_FECHA!$B$2:$B$201=$B527),0)),IFERROR(INDEX(EXCEPCIONES_FECHA!$F$2:$F$201,MATCH(1,(EXCEPCIONES_FECHA!$A$2:$A$201=$A527)*(EXCEPCIONES_FECHA!$B$2:$B$201=""),0)),IFERROR(INDEX(IF($I527="FIN",HISTORIAL_HORARIOS!$L$2:$L$201,HISTORIAL_HORARIOS!$H$2:$H$201),MATCH(1,(HISTORIAL_HORARIOS!$A$2:$A$201=$B527)*(HISTORIAL_HORARIOS!$C$2:$C$201&lt;=$A527)*(HISTORIAL_HORARIOS!$D$2:$D$201&gt;=$A527),0)),INDEX(IF($I527="FIN",PERSONAL!$L$2:$L$80,PERSONAL!$H$2:$H$80),MATCH($B527,PERSONAL!$A$2:$A$80,0)))))</f>
        <v/>
      </c>
    </row>
    <row r="528" ht="15" customHeight="1" s="58">
      <c r="A528" s="37" t="n"/>
      <c r="B528" s="38" t="n"/>
      <c r="C528" s="39" t="n"/>
      <c r="D528" s="39" t="n"/>
      <c r="E528" s="34">
        <f t="array" ref="E528">IF($B528="","",IFERROR(INDEX(PERSONAL!$B$2:$B$80,MATCH($B528,PERSONAL!$A$2:$A$80,0)),"NO EXISTE"))</f>
        <v/>
      </c>
      <c r="F528" s="52">
        <f t="array" ref="F528">IF($B528="","",IFERROR(INDEX(PERSONAL!$C$2:$C$80,MATCH($B528,PERSONAL!$A$2:$A$80,0)),""))</f>
        <v/>
      </c>
      <c r="G528" s="52">
        <f>IF($A528="","",CHOOSE(WEEKDAY($A528,2),"LUNES","MARTES","MIÉRCOLES","JUEVES","VIERNES","SÁBADO","DOMINGO"))</f>
        <v/>
      </c>
      <c r="H528" s="34">
        <f>IF($A528="","",CHOOSE(MONTH($A528),"ENERO","FEBRERO","MARZO","ABRIL","MAYO","JUNIO","JULIO","AGOSTO","SEPTIEMBRE","OCTUBRE","NOVIEMBRE","DICIEMBRE"))</f>
        <v/>
      </c>
      <c r="I528" s="34">
        <f>IF($A528="","",IF(OR($G528="SÁBADO",$G528="DOMINGO"),"FIN","LV"))</f>
        <v/>
      </c>
      <c r="J528" s="34">
        <f>IF(OR($A528="",$B528=""),"",IF($L528&lt;&gt;"",UPPER($L528),IF($C528="","FALTA",IFERROR(IF($C528&gt;=$O528,"ROJO FUERTE",IF($C528&gt;=$N528,"ROJO",IF($C528&gt;=$M528,"AMARILLO","VERDE"))),"REVISAR"))))</f>
        <v/>
      </c>
      <c r="K528" s="36">
        <f>IF(OR($C528="",$D528=""),"",IF($D528&gt;=$C528,($D528-$C528)*24,(1-$C528+$D528)*24))</f>
        <v/>
      </c>
      <c r="L528" s="34" t="n"/>
      <c r="M528" s="53">
        <f t="array" ref="M528">IFERROR(INDEX(EXCEPCIONES_FECHA!$D$2:$D$201,MATCH(1,(EXCEPCIONES_FECHA!$A$2:$A$201=$A528)*(EXCEPCIONES_FECHA!$B$2:$B$201=$B528),0)),IFERROR(INDEX(EXCEPCIONES_FECHA!$D$2:$D$201,MATCH(1,(EXCEPCIONES_FECHA!$A$2:$A$201=$A528)*(EXCEPCIONES_FECHA!$B$2:$B$201=""),0)),IFERROR(INDEX(IF($I528="FIN",HISTORIAL_HORARIOS!$J$2:$J$201,HISTORIAL_HORARIOS!$F$2:$F$201),MATCH(1,(HISTORIAL_HORARIOS!$A$2:$A$201=$B528)*(HISTORIAL_HORARIOS!$C$2:$C$201&lt;=$A528)*(HISTORIAL_HORARIOS!$D$2:$D$201&gt;=$A528),0)),INDEX(IF($I528="FIN",PERSONAL!$J$2:$J$80,PERSONAL!$F$2:$F$80),MATCH($B528,PERSONAL!$A$2:$A$80,0)))))</f>
        <v/>
      </c>
      <c r="N528" s="53">
        <f t="array" ref="N528">IFERROR(INDEX(EXCEPCIONES_FECHA!$E$2:$E$201,MATCH(1,(EXCEPCIONES_FECHA!$A$2:$A$201=$A528)*(EXCEPCIONES_FECHA!$B$2:$B$201=$B528),0)),IFERROR(INDEX(EXCEPCIONES_FECHA!$E$2:$E$201,MATCH(1,(EXCEPCIONES_FECHA!$A$2:$A$201=$A528)*(EXCEPCIONES_FECHA!$B$2:$B$201=""),0)),IFERROR(INDEX(IF($I528="FIN",HISTORIAL_HORARIOS!$K$2:$K$201,HISTORIAL_HORARIOS!$G$2:$G$201),MATCH(1,(HISTORIAL_HORARIOS!$A$2:$A$201=$B528)*(HISTORIAL_HORARIOS!$C$2:$C$201&lt;=$A528)*(HISTORIAL_HORARIOS!$D$2:$D$201&gt;=$A528),0)),INDEX(IF($I528="FIN",PERSONAL!$K$2:$K$80,PERSONAL!$G$2:$G$80),MATCH($B528,PERSONAL!$A$2:$A$80,0)))))</f>
        <v/>
      </c>
      <c r="O528" s="53">
        <f t="array" ref="O528">IFERROR(INDEX(EXCEPCIONES_FECHA!$F$2:$F$201,MATCH(1,(EXCEPCIONES_FECHA!$A$2:$A$201=$A528)*(EXCEPCIONES_FECHA!$B$2:$B$201=$B528),0)),IFERROR(INDEX(EXCEPCIONES_FECHA!$F$2:$F$201,MATCH(1,(EXCEPCIONES_FECHA!$A$2:$A$201=$A528)*(EXCEPCIONES_FECHA!$B$2:$B$201=""),0)),IFERROR(INDEX(IF($I528="FIN",HISTORIAL_HORARIOS!$L$2:$L$201,HISTORIAL_HORARIOS!$H$2:$H$201),MATCH(1,(HISTORIAL_HORARIOS!$A$2:$A$201=$B528)*(HISTORIAL_HORARIOS!$C$2:$C$201&lt;=$A528)*(HISTORIAL_HORARIOS!$D$2:$D$201&gt;=$A528),0)),INDEX(IF($I528="FIN",PERSONAL!$L$2:$L$80,PERSONAL!$H$2:$H$80),MATCH($B528,PERSONAL!$A$2:$A$80,0)))))</f>
        <v/>
      </c>
    </row>
    <row r="529" ht="15" customHeight="1" s="58">
      <c r="A529" s="37" t="n"/>
      <c r="B529" s="38" t="n"/>
      <c r="C529" s="39" t="n"/>
      <c r="D529" s="39" t="n"/>
      <c r="E529" s="34">
        <f t="array" ref="E529">IF($B529="","",IFERROR(INDEX(PERSONAL!$B$2:$B$80,MATCH($B529,PERSONAL!$A$2:$A$80,0)),"NO EXISTE"))</f>
        <v/>
      </c>
      <c r="F529" s="52">
        <f t="array" ref="F529">IF($B529="","",IFERROR(INDEX(PERSONAL!$C$2:$C$80,MATCH($B529,PERSONAL!$A$2:$A$80,0)),""))</f>
        <v/>
      </c>
      <c r="G529" s="52">
        <f>IF($A529="","",CHOOSE(WEEKDAY($A529,2),"LUNES","MARTES","MIÉRCOLES","JUEVES","VIERNES","SÁBADO","DOMINGO"))</f>
        <v/>
      </c>
      <c r="H529" s="34">
        <f>IF($A529="","",CHOOSE(MONTH($A529),"ENERO","FEBRERO","MARZO","ABRIL","MAYO","JUNIO","JULIO","AGOSTO","SEPTIEMBRE","OCTUBRE","NOVIEMBRE","DICIEMBRE"))</f>
        <v/>
      </c>
      <c r="I529" s="34">
        <f>IF($A529="","",IF(OR($G529="SÁBADO",$G529="DOMINGO"),"FIN","LV"))</f>
        <v/>
      </c>
      <c r="J529" s="34">
        <f>IF(OR($A529="",$B529=""),"",IF($L529&lt;&gt;"",UPPER($L529),IF($C529="","FALTA",IFERROR(IF($C529&gt;=$O529,"ROJO FUERTE",IF($C529&gt;=$N529,"ROJO",IF($C529&gt;=$M529,"AMARILLO","VERDE"))),"REVISAR"))))</f>
        <v/>
      </c>
      <c r="K529" s="36">
        <f>IF(OR($C529="",$D529=""),"",IF($D529&gt;=$C529,($D529-$C529)*24,(1-$C529+$D529)*24))</f>
        <v/>
      </c>
      <c r="L529" s="34" t="n"/>
      <c r="M529" s="53">
        <f t="array" ref="M529">IFERROR(INDEX(EXCEPCIONES_FECHA!$D$2:$D$201,MATCH(1,(EXCEPCIONES_FECHA!$A$2:$A$201=$A529)*(EXCEPCIONES_FECHA!$B$2:$B$201=$B529),0)),IFERROR(INDEX(EXCEPCIONES_FECHA!$D$2:$D$201,MATCH(1,(EXCEPCIONES_FECHA!$A$2:$A$201=$A529)*(EXCEPCIONES_FECHA!$B$2:$B$201=""),0)),IFERROR(INDEX(IF($I529="FIN",HISTORIAL_HORARIOS!$J$2:$J$201,HISTORIAL_HORARIOS!$F$2:$F$201),MATCH(1,(HISTORIAL_HORARIOS!$A$2:$A$201=$B529)*(HISTORIAL_HORARIOS!$C$2:$C$201&lt;=$A529)*(HISTORIAL_HORARIOS!$D$2:$D$201&gt;=$A529),0)),INDEX(IF($I529="FIN",PERSONAL!$J$2:$J$80,PERSONAL!$F$2:$F$80),MATCH($B529,PERSONAL!$A$2:$A$80,0)))))</f>
        <v/>
      </c>
      <c r="N529" s="53">
        <f t="array" ref="N529">IFERROR(INDEX(EXCEPCIONES_FECHA!$E$2:$E$201,MATCH(1,(EXCEPCIONES_FECHA!$A$2:$A$201=$A529)*(EXCEPCIONES_FECHA!$B$2:$B$201=$B529),0)),IFERROR(INDEX(EXCEPCIONES_FECHA!$E$2:$E$201,MATCH(1,(EXCEPCIONES_FECHA!$A$2:$A$201=$A529)*(EXCEPCIONES_FECHA!$B$2:$B$201=""),0)),IFERROR(INDEX(IF($I529="FIN",HISTORIAL_HORARIOS!$K$2:$K$201,HISTORIAL_HORARIOS!$G$2:$G$201),MATCH(1,(HISTORIAL_HORARIOS!$A$2:$A$201=$B529)*(HISTORIAL_HORARIOS!$C$2:$C$201&lt;=$A529)*(HISTORIAL_HORARIOS!$D$2:$D$201&gt;=$A529),0)),INDEX(IF($I529="FIN",PERSONAL!$K$2:$K$80,PERSONAL!$G$2:$G$80),MATCH($B529,PERSONAL!$A$2:$A$80,0)))))</f>
        <v/>
      </c>
      <c r="O529" s="53">
        <f t="array" ref="O529">IFERROR(INDEX(EXCEPCIONES_FECHA!$F$2:$F$201,MATCH(1,(EXCEPCIONES_FECHA!$A$2:$A$201=$A529)*(EXCEPCIONES_FECHA!$B$2:$B$201=$B529),0)),IFERROR(INDEX(EXCEPCIONES_FECHA!$F$2:$F$201,MATCH(1,(EXCEPCIONES_FECHA!$A$2:$A$201=$A529)*(EXCEPCIONES_FECHA!$B$2:$B$201=""),0)),IFERROR(INDEX(IF($I529="FIN",HISTORIAL_HORARIOS!$L$2:$L$201,HISTORIAL_HORARIOS!$H$2:$H$201),MATCH(1,(HISTORIAL_HORARIOS!$A$2:$A$201=$B529)*(HISTORIAL_HORARIOS!$C$2:$C$201&lt;=$A529)*(HISTORIAL_HORARIOS!$D$2:$D$201&gt;=$A529),0)),INDEX(IF($I529="FIN",PERSONAL!$L$2:$L$80,PERSONAL!$H$2:$H$80),MATCH($B529,PERSONAL!$A$2:$A$80,0)))))</f>
        <v/>
      </c>
    </row>
    <row r="530" ht="15" customHeight="1" s="58">
      <c r="A530" s="37" t="n"/>
      <c r="B530" s="38" t="n"/>
      <c r="C530" s="39" t="n"/>
      <c r="D530" s="39" t="n"/>
      <c r="E530" s="34">
        <f t="array" ref="E530">IF($B530="","",IFERROR(INDEX(PERSONAL!$B$2:$B$80,MATCH($B530,PERSONAL!$A$2:$A$80,0)),"NO EXISTE"))</f>
        <v/>
      </c>
      <c r="F530" s="52">
        <f t="array" ref="F530">IF($B530="","",IFERROR(INDEX(PERSONAL!$C$2:$C$80,MATCH($B530,PERSONAL!$A$2:$A$80,0)),""))</f>
        <v/>
      </c>
      <c r="G530" s="52">
        <f>IF($A530="","",CHOOSE(WEEKDAY($A530,2),"LUNES","MARTES","MIÉRCOLES","JUEVES","VIERNES","SÁBADO","DOMINGO"))</f>
        <v/>
      </c>
      <c r="H530" s="34">
        <f>IF($A530="","",CHOOSE(MONTH($A530),"ENERO","FEBRERO","MARZO","ABRIL","MAYO","JUNIO","JULIO","AGOSTO","SEPTIEMBRE","OCTUBRE","NOVIEMBRE","DICIEMBRE"))</f>
        <v/>
      </c>
      <c r="I530" s="34">
        <f>IF($A530="","",IF(OR($G530="SÁBADO",$G530="DOMINGO"),"FIN","LV"))</f>
        <v/>
      </c>
      <c r="J530" s="34">
        <f>IF(OR($A530="",$B530=""),"",IF($L530&lt;&gt;"",UPPER($L530),IF($C530="","FALTA",IFERROR(IF($C530&gt;=$O530,"ROJO FUERTE",IF($C530&gt;=$N530,"ROJO",IF($C530&gt;=$M530,"AMARILLO","VERDE"))),"REVISAR"))))</f>
        <v/>
      </c>
      <c r="K530" s="36">
        <f>IF(OR($C530="",$D530=""),"",IF($D530&gt;=$C530,($D530-$C530)*24,(1-$C530+$D530)*24))</f>
        <v/>
      </c>
      <c r="L530" s="34" t="n"/>
      <c r="M530" s="53">
        <f t="array" ref="M530">IFERROR(INDEX(EXCEPCIONES_FECHA!$D$2:$D$201,MATCH(1,(EXCEPCIONES_FECHA!$A$2:$A$201=$A530)*(EXCEPCIONES_FECHA!$B$2:$B$201=$B530),0)),IFERROR(INDEX(EXCEPCIONES_FECHA!$D$2:$D$201,MATCH(1,(EXCEPCIONES_FECHA!$A$2:$A$201=$A530)*(EXCEPCIONES_FECHA!$B$2:$B$201=""),0)),IFERROR(INDEX(IF($I530="FIN",HISTORIAL_HORARIOS!$J$2:$J$201,HISTORIAL_HORARIOS!$F$2:$F$201),MATCH(1,(HISTORIAL_HORARIOS!$A$2:$A$201=$B530)*(HISTORIAL_HORARIOS!$C$2:$C$201&lt;=$A530)*(HISTORIAL_HORARIOS!$D$2:$D$201&gt;=$A530),0)),INDEX(IF($I530="FIN",PERSONAL!$J$2:$J$80,PERSONAL!$F$2:$F$80),MATCH($B530,PERSONAL!$A$2:$A$80,0)))))</f>
        <v/>
      </c>
      <c r="N530" s="53">
        <f t="array" ref="N530">IFERROR(INDEX(EXCEPCIONES_FECHA!$E$2:$E$201,MATCH(1,(EXCEPCIONES_FECHA!$A$2:$A$201=$A530)*(EXCEPCIONES_FECHA!$B$2:$B$201=$B530),0)),IFERROR(INDEX(EXCEPCIONES_FECHA!$E$2:$E$201,MATCH(1,(EXCEPCIONES_FECHA!$A$2:$A$201=$A530)*(EXCEPCIONES_FECHA!$B$2:$B$201=""),0)),IFERROR(INDEX(IF($I530="FIN",HISTORIAL_HORARIOS!$K$2:$K$201,HISTORIAL_HORARIOS!$G$2:$G$201),MATCH(1,(HISTORIAL_HORARIOS!$A$2:$A$201=$B530)*(HISTORIAL_HORARIOS!$C$2:$C$201&lt;=$A530)*(HISTORIAL_HORARIOS!$D$2:$D$201&gt;=$A530),0)),INDEX(IF($I530="FIN",PERSONAL!$K$2:$K$80,PERSONAL!$G$2:$G$80),MATCH($B530,PERSONAL!$A$2:$A$80,0)))))</f>
        <v/>
      </c>
      <c r="O530" s="53">
        <f t="array" ref="O530">IFERROR(INDEX(EXCEPCIONES_FECHA!$F$2:$F$201,MATCH(1,(EXCEPCIONES_FECHA!$A$2:$A$201=$A530)*(EXCEPCIONES_FECHA!$B$2:$B$201=$B530),0)),IFERROR(INDEX(EXCEPCIONES_FECHA!$F$2:$F$201,MATCH(1,(EXCEPCIONES_FECHA!$A$2:$A$201=$A530)*(EXCEPCIONES_FECHA!$B$2:$B$201=""),0)),IFERROR(INDEX(IF($I530="FIN",HISTORIAL_HORARIOS!$L$2:$L$201,HISTORIAL_HORARIOS!$H$2:$H$201),MATCH(1,(HISTORIAL_HORARIOS!$A$2:$A$201=$B530)*(HISTORIAL_HORARIOS!$C$2:$C$201&lt;=$A530)*(HISTORIAL_HORARIOS!$D$2:$D$201&gt;=$A530),0)),INDEX(IF($I530="FIN",PERSONAL!$L$2:$L$80,PERSONAL!$H$2:$H$80),MATCH($B530,PERSONAL!$A$2:$A$80,0)))))</f>
        <v/>
      </c>
    </row>
    <row r="531" ht="15" customHeight="1" s="58">
      <c r="A531" s="37" t="n"/>
      <c r="B531" s="38" t="n"/>
      <c r="C531" s="39" t="n"/>
      <c r="D531" s="39" t="n"/>
      <c r="E531" s="34">
        <f t="array" ref="E531">IF($B531="","",IFERROR(INDEX(PERSONAL!$B$2:$B$80,MATCH($B531,PERSONAL!$A$2:$A$80,0)),"NO EXISTE"))</f>
        <v/>
      </c>
      <c r="F531" s="52">
        <f t="array" ref="F531">IF($B531="","",IFERROR(INDEX(PERSONAL!$C$2:$C$80,MATCH($B531,PERSONAL!$A$2:$A$80,0)),""))</f>
        <v/>
      </c>
      <c r="G531" s="52">
        <f>IF($A531="","",CHOOSE(WEEKDAY($A531,2),"LUNES","MARTES","MIÉRCOLES","JUEVES","VIERNES","SÁBADO","DOMINGO"))</f>
        <v/>
      </c>
      <c r="H531" s="34">
        <f>IF($A531="","",CHOOSE(MONTH($A531),"ENERO","FEBRERO","MARZO","ABRIL","MAYO","JUNIO","JULIO","AGOSTO","SEPTIEMBRE","OCTUBRE","NOVIEMBRE","DICIEMBRE"))</f>
        <v/>
      </c>
      <c r="I531" s="34">
        <f>IF($A531="","",IF(OR($G531="SÁBADO",$G531="DOMINGO"),"FIN","LV"))</f>
        <v/>
      </c>
      <c r="J531" s="34">
        <f>IF(OR($A531="",$B531=""),"",IF($L531&lt;&gt;"",UPPER($L531),IF($C531="","FALTA",IFERROR(IF($C531&gt;=$O531,"ROJO FUERTE",IF($C531&gt;=$N531,"ROJO",IF($C531&gt;=$M531,"AMARILLO","VERDE"))),"REVISAR"))))</f>
        <v/>
      </c>
      <c r="K531" s="36">
        <f>IF(OR($C531="",$D531=""),"",IF($D531&gt;=$C531,($D531-$C531)*24,(1-$C531+$D531)*24))</f>
        <v/>
      </c>
      <c r="L531" s="34" t="n"/>
      <c r="M531" s="53">
        <f t="array" ref="M531">IFERROR(INDEX(EXCEPCIONES_FECHA!$D$2:$D$201,MATCH(1,(EXCEPCIONES_FECHA!$A$2:$A$201=$A531)*(EXCEPCIONES_FECHA!$B$2:$B$201=$B531),0)),IFERROR(INDEX(EXCEPCIONES_FECHA!$D$2:$D$201,MATCH(1,(EXCEPCIONES_FECHA!$A$2:$A$201=$A531)*(EXCEPCIONES_FECHA!$B$2:$B$201=""),0)),IFERROR(INDEX(IF($I531="FIN",HISTORIAL_HORARIOS!$J$2:$J$201,HISTORIAL_HORARIOS!$F$2:$F$201),MATCH(1,(HISTORIAL_HORARIOS!$A$2:$A$201=$B531)*(HISTORIAL_HORARIOS!$C$2:$C$201&lt;=$A531)*(HISTORIAL_HORARIOS!$D$2:$D$201&gt;=$A531),0)),INDEX(IF($I531="FIN",PERSONAL!$J$2:$J$80,PERSONAL!$F$2:$F$80),MATCH($B531,PERSONAL!$A$2:$A$80,0)))))</f>
        <v/>
      </c>
      <c r="N531" s="53">
        <f t="array" ref="N531">IFERROR(INDEX(EXCEPCIONES_FECHA!$E$2:$E$201,MATCH(1,(EXCEPCIONES_FECHA!$A$2:$A$201=$A531)*(EXCEPCIONES_FECHA!$B$2:$B$201=$B531),0)),IFERROR(INDEX(EXCEPCIONES_FECHA!$E$2:$E$201,MATCH(1,(EXCEPCIONES_FECHA!$A$2:$A$201=$A531)*(EXCEPCIONES_FECHA!$B$2:$B$201=""),0)),IFERROR(INDEX(IF($I531="FIN",HISTORIAL_HORARIOS!$K$2:$K$201,HISTORIAL_HORARIOS!$G$2:$G$201),MATCH(1,(HISTORIAL_HORARIOS!$A$2:$A$201=$B531)*(HISTORIAL_HORARIOS!$C$2:$C$201&lt;=$A531)*(HISTORIAL_HORARIOS!$D$2:$D$201&gt;=$A531),0)),INDEX(IF($I531="FIN",PERSONAL!$K$2:$K$80,PERSONAL!$G$2:$G$80),MATCH($B531,PERSONAL!$A$2:$A$80,0)))))</f>
        <v/>
      </c>
      <c r="O531" s="53">
        <f t="array" ref="O531">IFERROR(INDEX(EXCEPCIONES_FECHA!$F$2:$F$201,MATCH(1,(EXCEPCIONES_FECHA!$A$2:$A$201=$A531)*(EXCEPCIONES_FECHA!$B$2:$B$201=$B531),0)),IFERROR(INDEX(EXCEPCIONES_FECHA!$F$2:$F$201,MATCH(1,(EXCEPCIONES_FECHA!$A$2:$A$201=$A531)*(EXCEPCIONES_FECHA!$B$2:$B$201=""),0)),IFERROR(INDEX(IF($I531="FIN",HISTORIAL_HORARIOS!$L$2:$L$201,HISTORIAL_HORARIOS!$H$2:$H$201),MATCH(1,(HISTORIAL_HORARIOS!$A$2:$A$201=$B531)*(HISTORIAL_HORARIOS!$C$2:$C$201&lt;=$A531)*(HISTORIAL_HORARIOS!$D$2:$D$201&gt;=$A531),0)),INDEX(IF($I531="FIN",PERSONAL!$L$2:$L$80,PERSONAL!$H$2:$H$80),MATCH($B531,PERSONAL!$A$2:$A$80,0)))))</f>
        <v/>
      </c>
    </row>
    <row r="532" ht="15" customHeight="1" s="58">
      <c r="A532" s="37" t="n"/>
      <c r="B532" s="38" t="n"/>
      <c r="C532" s="39" t="n"/>
      <c r="D532" s="39" t="n"/>
      <c r="E532" s="34">
        <f t="array" ref="E532">IF($B532="","",IFERROR(INDEX(PERSONAL!$B$2:$B$80,MATCH($B532,PERSONAL!$A$2:$A$80,0)),"NO EXISTE"))</f>
        <v/>
      </c>
      <c r="F532" s="52">
        <f t="array" ref="F532">IF($B532="","",IFERROR(INDEX(PERSONAL!$C$2:$C$80,MATCH($B532,PERSONAL!$A$2:$A$80,0)),""))</f>
        <v/>
      </c>
      <c r="G532" s="52">
        <f>IF($A532="","",CHOOSE(WEEKDAY($A532,2),"LUNES","MARTES","MIÉRCOLES","JUEVES","VIERNES","SÁBADO","DOMINGO"))</f>
        <v/>
      </c>
      <c r="H532" s="34">
        <f>IF($A532="","",CHOOSE(MONTH($A532),"ENERO","FEBRERO","MARZO","ABRIL","MAYO","JUNIO","JULIO","AGOSTO","SEPTIEMBRE","OCTUBRE","NOVIEMBRE","DICIEMBRE"))</f>
        <v/>
      </c>
      <c r="I532" s="34">
        <f>IF($A532="","",IF(OR($G532="SÁBADO",$G532="DOMINGO"),"FIN","LV"))</f>
        <v/>
      </c>
      <c r="J532" s="34">
        <f>IF(OR($A532="",$B532=""),"",IF($L532&lt;&gt;"",UPPER($L532),IF($C532="","FALTA",IFERROR(IF($C532&gt;=$O532,"ROJO FUERTE",IF($C532&gt;=$N532,"ROJO",IF($C532&gt;=$M532,"AMARILLO","VERDE"))),"REVISAR"))))</f>
        <v/>
      </c>
      <c r="K532" s="36">
        <f>IF(OR($C532="",$D532=""),"",IF($D532&gt;=$C532,($D532-$C532)*24,(1-$C532+$D532)*24))</f>
        <v/>
      </c>
      <c r="L532" s="34" t="n"/>
      <c r="M532" s="53">
        <f t="array" ref="M532">IFERROR(INDEX(EXCEPCIONES_FECHA!$D$2:$D$201,MATCH(1,(EXCEPCIONES_FECHA!$A$2:$A$201=$A532)*(EXCEPCIONES_FECHA!$B$2:$B$201=$B532),0)),IFERROR(INDEX(EXCEPCIONES_FECHA!$D$2:$D$201,MATCH(1,(EXCEPCIONES_FECHA!$A$2:$A$201=$A532)*(EXCEPCIONES_FECHA!$B$2:$B$201=""),0)),IFERROR(INDEX(IF($I532="FIN",HISTORIAL_HORARIOS!$J$2:$J$201,HISTORIAL_HORARIOS!$F$2:$F$201),MATCH(1,(HISTORIAL_HORARIOS!$A$2:$A$201=$B532)*(HISTORIAL_HORARIOS!$C$2:$C$201&lt;=$A532)*(HISTORIAL_HORARIOS!$D$2:$D$201&gt;=$A532),0)),INDEX(IF($I532="FIN",PERSONAL!$J$2:$J$80,PERSONAL!$F$2:$F$80),MATCH($B532,PERSONAL!$A$2:$A$80,0)))))</f>
        <v/>
      </c>
      <c r="N532" s="53">
        <f t="array" ref="N532">IFERROR(INDEX(EXCEPCIONES_FECHA!$E$2:$E$201,MATCH(1,(EXCEPCIONES_FECHA!$A$2:$A$201=$A532)*(EXCEPCIONES_FECHA!$B$2:$B$201=$B532),0)),IFERROR(INDEX(EXCEPCIONES_FECHA!$E$2:$E$201,MATCH(1,(EXCEPCIONES_FECHA!$A$2:$A$201=$A532)*(EXCEPCIONES_FECHA!$B$2:$B$201=""),0)),IFERROR(INDEX(IF($I532="FIN",HISTORIAL_HORARIOS!$K$2:$K$201,HISTORIAL_HORARIOS!$G$2:$G$201),MATCH(1,(HISTORIAL_HORARIOS!$A$2:$A$201=$B532)*(HISTORIAL_HORARIOS!$C$2:$C$201&lt;=$A532)*(HISTORIAL_HORARIOS!$D$2:$D$201&gt;=$A532),0)),INDEX(IF($I532="FIN",PERSONAL!$K$2:$K$80,PERSONAL!$G$2:$G$80),MATCH($B532,PERSONAL!$A$2:$A$80,0)))))</f>
        <v/>
      </c>
      <c r="O532" s="53">
        <f t="array" ref="O532">IFERROR(INDEX(EXCEPCIONES_FECHA!$F$2:$F$201,MATCH(1,(EXCEPCIONES_FECHA!$A$2:$A$201=$A532)*(EXCEPCIONES_FECHA!$B$2:$B$201=$B532),0)),IFERROR(INDEX(EXCEPCIONES_FECHA!$F$2:$F$201,MATCH(1,(EXCEPCIONES_FECHA!$A$2:$A$201=$A532)*(EXCEPCIONES_FECHA!$B$2:$B$201=""),0)),IFERROR(INDEX(IF($I532="FIN",HISTORIAL_HORARIOS!$L$2:$L$201,HISTORIAL_HORARIOS!$H$2:$H$201),MATCH(1,(HISTORIAL_HORARIOS!$A$2:$A$201=$B532)*(HISTORIAL_HORARIOS!$C$2:$C$201&lt;=$A532)*(HISTORIAL_HORARIOS!$D$2:$D$201&gt;=$A532),0)),INDEX(IF($I532="FIN",PERSONAL!$L$2:$L$80,PERSONAL!$H$2:$H$80),MATCH($B532,PERSONAL!$A$2:$A$80,0)))))</f>
        <v/>
      </c>
    </row>
    <row r="533" ht="15" customHeight="1" s="58">
      <c r="A533" s="37" t="n"/>
      <c r="B533" s="38" t="n"/>
      <c r="C533" s="39" t="n"/>
      <c r="D533" s="39" t="n"/>
      <c r="E533" s="34">
        <f t="array" ref="E533">IF($B533="","",IFERROR(INDEX(PERSONAL!$B$2:$B$80,MATCH($B533,PERSONAL!$A$2:$A$80,0)),"NO EXISTE"))</f>
        <v/>
      </c>
      <c r="F533" s="52">
        <f t="array" ref="F533">IF($B533="","",IFERROR(INDEX(PERSONAL!$C$2:$C$80,MATCH($B533,PERSONAL!$A$2:$A$80,0)),""))</f>
        <v/>
      </c>
      <c r="G533" s="52">
        <f>IF($A533="","",CHOOSE(WEEKDAY($A533,2),"LUNES","MARTES","MIÉRCOLES","JUEVES","VIERNES","SÁBADO","DOMINGO"))</f>
        <v/>
      </c>
      <c r="H533" s="34">
        <f>IF($A533="","",CHOOSE(MONTH($A533),"ENERO","FEBRERO","MARZO","ABRIL","MAYO","JUNIO","JULIO","AGOSTO","SEPTIEMBRE","OCTUBRE","NOVIEMBRE","DICIEMBRE"))</f>
        <v/>
      </c>
      <c r="I533" s="34">
        <f>IF($A533="","",IF(OR($G533="SÁBADO",$G533="DOMINGO"),"FIN","LV"))</f>
        <v/>
      </c>
      <c r="J533" s="34">
        <f>IF(OR($A533="",$B533=""),"",IF($L533&lt;&gt;"",UPPER($L533),IF($C533="","FALTA",IFERROR(IF($C533&gt;=$O533,"ROJO FUERTE",IF($C533&gt;=$N533,"ROJO",IF($C533&gt;=$M533,"AMARILLO","VERDE"))),"REVISAR"))))</f>
        <v/>
      </c>
      <c r="K533" s="36">
        <f>IF(OR($C533="",$D533=""),"",IF($D533&gt;=$C533,($D533-$C533)*24,(1-$C533+$D533)*24))</f>
        <v/>
      </c>
      <c r="L533" s="34" t="n"/>
      <c r="M533" s="53">
        <f t="array" ref="M533">IFERROR(INDEX(EXCEPCIONES_FECHA!$D$2:$D$201,MATCH(1,(EXCEPCIONES_FECHA!$A$2:$A$201=$A533)*(EXCEPCIONES_FECHA!$B$2:$B$201=$B533),0)),IFERROR(INDEX(EXCEPCIONES_FECHA!$D$2:$D$201,MATCH(1,(EXCEPCIONES_FECHA!$A$2:$A$201=$A533)*(EXCEPCIONES_FECHA!$B$2:$B$201=""),0)),IFERROR(INDEX(IF($I533="FIN",HISTORIAL_HORARIOS!$J$2:$J$201,HISTORIAL_HORARIOS!$F$2:$F$201),MATCH(1,(HISTORIAL_HORARIOS!$A$2:$A$201=$B533)*(HISTORIAL_HORARIOS!$C$2:$C$201&lt;=$A533)*(HISTORIAL_HORARIOS!$D$2:$D$201&gt;=$A533),0)),INDEX(IF($I533="FIN",PERSONAL!$J$2:$J$80,PERSONAL!$F$2:$F$80),MATCH($B533,PERSONAL!$A$2:$A$80,0)))))</f>
        <v/>
      </c>
      <c r="N533" s="53">
        <f t="array" ref="N533">IFERROR(INDEX(EXCEPCIONES_FECHA!$E$2:$E$201,MATCH(1,(EXCEPCIONES_FECHA!$A$2:$A$201=$A533)*(EXCEPCIONES_FECHA!$B$2:$B$201=$B533),0)),IFERROR(INDEX(EXCEPCIONES_FECHA!$E$2:$E$201,MATCH(1,(EXCEPCIONES_FECHA!$A$2:$A$201=$A533)*(EXCEPCIONES_FECHA!$B$2:$B$201=""),0)),IFERROR(INDEX(IF($I533="FIN",HISTORIAL_HORARIOS!$K$2:$K$201,HISTORIAL_HORARIOS!$G$2:$G$201),MATCH(1,(HISTORIAL_HORARIOS!$A$2:$A$201=$B533)*(HISTORIAL_HORARIOS!$C$2:$C$201&lt;=$A533)*(HISTORIAL_HORARIOS!$D$2:$D$201&gt;=$A533),0)),INDEX(IF($I533="FIN",PERSONAL!$K$2:$K$80,PERSONAL!$G$2:$G$80),MATCH($B533,PERSONAL!$A$2:$A$80,0)))))</f>
        <v/>
      </c>
      <c r="O533" s="53">
        <f t="array" ref="O533">IFERROR(INDEX(EXCEPCIONES_FECHA!$F$2:$F$201,MATCH(1,(EXCEPCIONES_FECHA!$A$2:$A$201=$A533)*(EXCEPCIONES_FECHA!$B$2:$B$201=$B533),0)),IFERROR(INDEX(EXCEPCIONES_FECHA!$F$2:$F$201,MATCH(1,(EXCEPCIONES_FECHA!$A$2:$A$201=$A533)*(EXCEPCIONES_FECHA!$B$2:$B$201=""),0)),IFERROR(INDEX(IF($I533="FIN",HISTORIAL_HORARIOS!$L$2:$L$201,HISTORIAL_HORARIOS!$H$2:$H$201),MATCH(1,(HISTORIAL_HORARIOS!$A$2:$A$201=$B533)*(HISTORIAL_HORARIOS!$C$2:$C$201&lt;=$A533)*(HISTORIAL_HORARIOS!$D$2:$D$201&gt;=$A533),0)),INDEX(IF($I533="FIN",PERSONAL!$L$2:$L$80,PERSONAL!$H$2:$H$80),MATCH($B533,PERSONAL!$A$2:$A$80,0)))))</f>
        <v/>
      </c>
    </row>
    <row r="534" ht="15" customHeight="1" s="58">
      <c r="A534" s="37" t="n"/>
      <c r="B534" s="38" t="n"/>
      <c r="C534" s="39" t="n"/>
      <c r="D534" s="39" t="n"/>
      <c r="E534" s="34">
        <f t="array" ref="E534">IF($B534="","",IFERROR(INDEX(PERSONAL!$B$2:$B$80,MATCH($B534,PERSONAL!$A$2:$A$80,0)),"NO EXISTE"))</f>
        <v/>
      </c>
      <c r="F534" s="52">
        <f t="array" ref="F534">IF($B534="","",IFERROR(INDEX(PERSONAL!$C$2:$C$80,MATCH($B534,PERSONAL!$A$2:$A$80,0)),""))</f>
        <v/>
      </c>
      <c r="G534" s="52">
        <f>IF($A534="","",CHOOSE(WEEKDAY($A534,2),"LUNES","MARTES","MIÉRCOLES","JUEVES","VIERNES","SÁBADO","DOMINGO"))</f>
        <v/>
      </c>
      <c r="H534" s="34">
        <f>IF($A534="","",CHOOSE(MONTH($A534),"ENERO","FEBRERO","MARZO","ABRIL","MAYO","JUNIO","JULIO","AGOSTO","SEPTIEMBRE","OCTUBRE","NOVIEMBRE","DICIEMBRE"))</f>
        <v/>
      </c>
      <c r="I534" s="34">
        <f>IF($A534="","",IF(OR($G534="SÁBADO",$G534="DOMINGO"),"FIN","LV"))</f>
        <v/>
      </c>
      <c r="J534" s="34">
        <f>IF(OR($A534="",$B534=""),"",IF($L534&lt;&gt;"",UPPER($L534),IF($C534="","FALTA",IFERROR(IF($C534&gt;=$O534,"ROJO FUERTE",IF($C534&gt;=$N534,"ROJO",IF($C534&gt;=$M534,"AMARILLO","VERDE"))),"REVISAR"))))</f>
        <v/>
      </c>
      <c r="K534" s="36">
        <f>IF(OR($C534="",$D534=""),"",IF($D534&gt;=$C534,($D534-$C534)*24,(1-$C534+$D534)*24))</f>
        <v/>
      </c>
      <c r="L534" s="34" t="n"/>
      <c r="M534" s="53">
        <f t="array" ref="M534">IFERROR(INDEX(EXCEPCIONES_FECHA!$D$2:$D$201,MATCH(1,(EXCEPCIONES_FECHA!$A$2:$A$201=$A534)*(EXCEPCIONES_FECHA!$B$2:$B$201=$B534),0)),IFERROR(INDEX(EXCEPCIONES_FECHA!$D$2:$D$201,MATCH(1,(EXCEPCIONES_FECHA!$A$2:$A$201=$A534)*(EXCEPCIONES_FECHA!$B$2:$B$201=""),0)),IFERROR(INDEX(IF($I534="FIN",HISTORIAL_HORARIOS!$J$2:$J$201,HISTORIAL_HORARIOS!$F$2:$F$201),MATCH(1,(HISTORIAL_HORARIOS!$A$2:$A$201=$B534)*(HISTORIAL_HORARIOS!$C$2:$C$201&lt;=$A534)*(HISTORIAL_HORARIOS!$D$2:$D$201&gt;=$A534),0)),INDEX(IF($I534="FIN",PERSONAL!$J$2:$J$80,PERSONAL!$F$2:$F$80),MATCH($B534,PERSONAL!$A$2:$A$80,0)))))</f>
        <v/>
      </c>
      <c r="N534" s="53">
        <f t="array" ref="N534">IFERROR(INDEX(EXCEPCIONES_FECHA!$E$2:$E$201,MATCH(1,(EXCEPCIONES_FECHA!$A$2:$A$201=$A534)*(EXCEPCIONES_FECHA!$B$2:$B$201=$B534),0)),IFERROR(INDEX(EXCEPCIONES_FECHA!$E$2:$E$201,MATCH(1,(EXCEPCIONES_FECHA!$A$2:$A$201=$A534)*(EXCEPCIONES_FECHA!$B$2:$B$201=""),0)),IFERROR(INDEX(IF($I534="FIN",HISTORIAL_HORARIOS!$K$2:$K$201,HISTORIAL_HORARIOS!$G$2:$G$201),MATCH(1,(HISTORIAL_HORARIOS!$A$2:$A$201=$B534)*(HISTORIAL_HORARIOS!$C$2:$C$201&lt;=$A534)*(HISTORIAL_HORARIOS!$D$2:$D$201&gt;=$A534),0)),INDEX(IF($I534="FIN",PERSONAL!$K$2:$K$80,PERSONAL!$G$2:$G$80),MATCH($B534,PERSONAL!$A$2:$A$80,0)))))</f>
        <v/>
      </c>
      <c r="O534" s="53">
        <f t="array" ref="O534">IFERROR(INDEX(EXCEPCIONES_FECHA!$F$2:$F$201,MATCH(1,(EXCEPCIONES_FECHA!$A$2:$A$201=$A534)*(EXCEPCIONES_FECHA!$B$2:$B$201=$B534),0)),IFERROR(INDEX(EXCEPCIONES_FECHA!$F$2:$F$201,MATCH(1,(EXCEPCIONES_FECHA!$A$2:$A$201=$A534)*(EXCEPCIONES_FECHA!$B$2:$B$201=""),0)),IFERROR(INDEX(IF($I534="FIN",HISTORIAL_HORARIOS!$L$2:$L$201,HISTORIAL_HORARIOS!$H$2:$H$201),MATCH(1,(HISTORIAL_HORARIOS!$A$2:$A$201=$B534)*(HISTORIAL_HORARIOS!$C$2:$C$201&lt;=$A534)*(HISTORIAL_HORARIOS!$D$2:$D$201&gt;=$A534),0)),INDEX(IF($I534="FIN",PERSONAL!$L$2:$L$80,PERSONAL!$H$2:$H$80),MATCH($B534,PERSONAL!$A$2:$A$80,0)))))</f>
        <v/>
      </c>
    </row>
    <row r="535" ht="15" customHeight="1" s="58">
      <c r="A535" s="37" t="n"/>
      <c r="B535" s="38" t="n"/>
      <c r="C535" s="39" t="n"/>
      <c r="D535" s="39" t="n"/>
      <c r="E535" s="34">
        <f t="array" ref="E535">IF($B535="","",IFERROR(INDEX(PERSONAL!$B$2:$B$80,MATCH($B535,PERSONAL!$A$2:$A$80,0)),"NO EXISTE"))</f>
        <v/>
      </c>
      <c r="F535" s="52">
        <f t="array" ref="F535">IF($B535="","",IFERROR(INDEX(PERSONAL!$C$2:$C$80,MATCH($B535,PERSONAL!$A$2:$A$80,0)),""))</f>
        <v/>
      </c>
      <c r="G535" s="52">
        <f>IF($A535="","",CHOOSE(WEEKDAY($A535,2),"LUNES","MARTES","MIÉRCOLES","JUEVES","VIERNES","SÁBADO","DOMINGO"))</f>
        <v/>
      </c>
      <c r="H535" s="34">
        <f>IF($A535="","",CHOOSE(MONTH($A535),"ENERO","FEBRERO","MARZO","ABRIL","MAYO","JUNIO","JULIO","AGOSTO","SEPTIEMBRE","OCTUBRE","NOVIEMBRE","DICIEMBRE"))</f>
        <v/>
      </c>
      <c r="I535" s="34">
        <f>IF($A535="","",IF(OR($G535="SÁBADO",$G535="DOMINGO"),"FIN","LV"))</f>
        <v/>
      </c>
      <c r="J535" s="34">
        <f>IF(OR($A535="",$B535=""),"",IF($L535&lt;&gt;"",UPPER($L535),IF($C535="","FALTA",IFERROR(IF($C535&gt;=$O535,"ROJO FUERTE",IF($C535&gt;=$N535,"ROJO",IF($C535&gt;=$M535,"AMARILLO","VERDE"))),"REVISAR"))))</f>
        <v/>
      </c>
      <c r="K535" s="36">
        <f>IF(OR($C535="",$D535=""),"",IF($D535&gt;=$C535,($D535-$C535)*24,(1-$C535+$D535)*24))</f>
        <v/>
      </c>
      <c r="L535" s="34" t="n"/>
      <c r="M535" s="53">
        <f t="array" ref="M535">IFERROR(INDEX(EXCEPCIONES_FECHA!$D$2:$D$201,MATCH(1,(EXCEPCIONES_FECHA!$A$2:$A$201=$A535)*(EXCEPCIONES_FECHA!$B$2:$B$201=$B535),0)),IFERROR(INDEX(EXCEPCIONES_FECHA!$D$2:$D$201,MATCH(1,(EXCEPCIONES_FECHA!$A$2:$A$201=$A535)*(EXCEPCIONES_FECHA!$B$2:$B$201=""),0)),IFERROR(INDEX(IF($I535="FIN",HISTORIAL_HORARIOS!$J$2:$J$201,HISTORIAL_HORARIOS!$F$2:$F$201),MATCH(1,(HISTORIAL_HORARIOS!$A$2:$A$201=$B535)*(HISTORIAL_HORARIOS!$C$2:$C$201&lt;=$A535)*(HISTORIAL_HORARIOS!$D$2:$D$201&gt;=$A535),0)),INDEX(IF($I535="FIN",PERSONAL!$J$2:$J$80,PERSONAL!$F$2:$F$80),MATCH($B535,PERSONAL!$A$2:$A$80,0)))))</f>
        <v/>
      </c>
      <c r="N535" s="53">
        <f t="array" ref="N535">IFERROR(INDEX(EXCEPCIONES_FECHA!$E$2:$E$201,MATCH(1,(EXCEPCIONES_FECHA!$A$2:$A$201=$A535)*(EXCEPCIONES_FECHA!$B$2:$B$201=$B535),0)),IFERROR(INDEX(EXCEPCIONES_FECHA!$E$2:$E$201,MATCH(1,(EXCEPCIONES_FECHA!$A$2:$A$201=$A535)*(EXCEPCIONES_FECHA!$B$2:$B$201=""),0)),IFERROR(INDEX(IF($I535="FIN",HISTORIAL_HORARIOS!$K$2:$K$201,HISTORIAL_HORARIOS!$G$2:$G$201),MATCH(1,(HISTORIAL_HORARIOS!$A$2:$A$201=$B535)*(HISTORIAL_HORARIOS!$C$2:$C$201&lt;=$A535)*(HISTORIAL_HORARIOS!$D$2:$D$201&gt;=$A535),0)),INDEX(IF($I535="FIN",PERSONAL!$K$2:$K$80,PERSONAL!$G$2:$G$80),MATCH($B535,PERSONAL!$A$2:$A$80,0)))))</f>
        <v/>
      </c>
      <c r="O535" s="53">
        <f t="array" ref="O535">IFERROR(INDEX(EXCEPCIONES_FECHA!$F$2:$F$201,MATCH(1,(EXCEPCIONES_FECHA!$A$2:$A$201=$A535)*(EXCEPCIONES_FECHA!$B$2:$B$201=$B535),0)),IFERROR(INDEX(EXCEPCIONES_FECHA!$F$2:$F$201,MATCH(1,(EXCEPCIONES_FECHA!$A$2:$A$201=$A535)*(EXCEPCIONES_FECHA!$B$2:$B$201=""),0)),IFERROR(INDEX(IF($I535="FIN",HISTORIAL_HORARIOS!$L$2:$L$201,HISTORIAL_HORARIOS!$H$2:$H$201),MATCH(1,(HISTORIAL_HORARIOS!$A$2:$A$201=$B535)*(HISTORIAL_HORARIOS!$C$2:$C$201&lt;=$A535)*(HISTORIAL_HORARIOS!$D$2:$D$201&gt;=$A535),0)),INDEX(IF($I535="FIN",PERSONAL!$L$2:$L$80,PERSONAL!$H$2:$H$80),MATCH($B535,PERSONAL!$A$2:$A$80,0)))))</f>
        <v/>
      </c>
    </row>
    <row r="536" ht="15" customHeight="1" s="58">
      <c r="A536" s="37" t="n"/>
      <c r="B536" s="38" t="n"/>
      <c r="C536" s="39" t="n"/>
      <c r="D536" s="39" t="n"/>
      <c r="E536" s="34">
        <f t="array" ref="E536">IF($B536="","",IFERROR(INDEX(PERSONAL!$B$2:$B$80,MATCH($B536,PERSONAL!$A$2:$A$80,0)),"NO EXISTE"))</f>
        <v/>
      </c>
      <c r="F536" s="52">
        <f t="array" ref="F536">IF($B536="","",IFERROR(INDEX(PERSONAL!$C$2:$C$80,MATCH($B536,PERSONAL!$A$2:$A$80,0)),""))</f>
        <v/>
      </c>
      <c r="G536" s="52">
        <f>IF($A536="","",CHOOSE(WEEKDAY($A536,2),"LUNES","MARTES","MIÉRCOLES","JUEVES","VIERNES","SÁBADO","DOMINGO"))</f>
        <v/>
      </c>
      <c r="H536" s="34">
        <f>IF($A536="","",CHOOSE(MONTH($A536),"ENERO","FEBRERO","MARZO","ABRIL","MAYO","JUNIO","JULIO","AGOSTO","SEPTIEMBRE","OCTUBRE","NOVIEMBRE","DICIEMBRE"))</f>
        <v/>
      </c>
      <c r="I536" s="34">
        <f>IF($A536="","",IF(OR($G536="SÁBADO",$G536="DOMINGO"),"FIN","LV"))</f>
        <v/>
      </c>
      <c r="J536" s="34">
        <f>IF(OR($A536="",$B536=""),"",IF($L536&lt;&gt;"",UPPER($L536),IF($C536="","FALTA",IFERROR(IF($C536&gt;=$O536,"ROJO FUERTE",IF($C536&gt;=$N536,"ROJO",IF($C536&gt;=$M536,"AMARILLO","VERDE"))),"REVISAR"))))</f>
        <v/>
      </c>
      <c r="K536" s="36">
        <f>IF(OR($C536="",$D536=""),"",IF($D536&gt;=$C536,($D536-$C536)*24,(1-$C536+$D536)*24))</f>
        <v/>
      </c>
      <c r="L536" s="34" t="n"/>
      <c r="M536" s="53">
        <f t="array" ref="M536">IFERROR(INDEX(EXCEPCIONES_FECHA!$D$2:$D$201,MATCH(1,(EXCEPCIONES_FECHA!$A$2:$A$201=$A536)*(EXCEPCIONES_FECHA!$B$2:$B$201=$B536),0)),IFERROR(INDEX(EXCEPCIONES_FECHA!$D$2:$D$201,MATCH(1,(EXCEPCIONES_FECHA!$A$2:$A$201=$A536)*(EXCEPCIONES_FECHA!$B$2:$B$201=""),0)),IFERROR(INDEX(IF($I536="FIN",HISTORIAL_HORARIOS!$J$2:$J$201,HISTORIAL_HORARIOS!$F$2:$F$201),MATCH(1,(HISTORIAL_HORARIOS!$A$2:$A$201=$B536)*(HISTORIAL_HORARIOS!$C$2:$C$201&lt;=$A536)*(HISTORIAL_HORARIOS!$D$2:$D$201&gt;=$A536),0)),INDEX(IF($I536="FIN",PERSONAL!$J$2:$J$80,PERSONAL!$F$2:$F$80),MATCH($B536,PERSONAL!$A$2:$A$80,0)))))</f>
        <v/>
      </c>
      <c r="N536" s="53">
        <f t="array" ref="N536">IFERROR(INDEX(EXCEPCIONES_FECHA!$E$2:$E$201,MATCH(1,(EXCEPCIONES_FECHA!$A$2:$A$201=$A536)*(EXCEPCIONES_FECHA!$B$2:$B$201=$B536),0)),IFERROR(INDEX(EXCEPCIONES_FECHA!$E$2:$E$201,MATCH(1,(EXCEPCIONES_FECHA!$A$2:$A$201=$A536)*(EXCEPCIONES_FECHA!$B$2:$B$201=""),0)),IFERROR(INDEX(IF($I536="FIN",HISTORIAL_HORARIOS!$K$2:$K$201,HISTORIAL_HORARIOS!$G$2:$G$201),MATCH(1,(HISTORIAL_HORARIOS!$A$2:$A$201=$B536)*(HISTORIAL_HORARIOS!$C$2:$C$201&lt;=$A536)*(HISTORIAL_HORARIOS!$D$2:$D$201&gt;=$A536),0)),INDEX(IF($I536="FIN",PERSONAL!$K$2:$K$80,PERSONAL!$G$2:$G$80),MATCH($B536,PERSONAL!$A$2:$A$80,0)))))</f>
        <v/>
      </c>
      <c r="O536" s="53">
        <f t="array" ref="O536">IFERROR(INDEX(EXCEPCIONES_FECHA!$F$2:$F$201,MATCH(1,(EXCEPCIONES_FECHA!$A$2:$A$201=$A536)*(EXCEPCIONES_FECHA!$B$2:$B$201=$B536),0)),IFERROR(INDEX(EXCEPCIONES_FECHA!$F$2:$F$201,MATCH(1,(EXCEPCIONES_FECHA!$A$2:$A$201=$A536)*(EXCEPCIONES_FECHA!$B$2:$B$201=""),0)),IFERROR(INDEX(IF($I536="FIN",HISTORIAL_HORARIOS!$L$2:$L$201,HISTORIAL_HORARIOS!$H$2:$H$201),MATCH(1,(HISTORIAL_HORARIOS!$A$2:$A$201=$B536)*(HISTORIAL_HORARIOS!$C$2:$C$201&lt;=$A536)*(HISTORIAL_HORARIOS!$D$2:$D$201&gt;=$A536),0)),INDEX(IF($I536="FIN",PERSONAL!$L$2:$L$80,PERSONAL!$H$2:$H$80),MATCH($B536,PERSONAL!$A$2:$A$80,0)))))</f>
        <v/>
      </c>
    </row>
    <row r="537" ht="15" customHeight="1" s="58">
      <c r="A537" s="37" t="n"/>
      <c r="B537" s="38" t="n"/>
      <c r="C537" s="39" t="n"/>
      <c r="D537" s="39" t="n"/>
      <c r="E537" s="34">
        <f t="array" ref="E537">IF($B537="","",IFERROR(INDEX(PERSONAL!$B$2:$B$80,MATCH($B537,PERSONAL!$A$2:$A$80,0)),"NO EXISTE"))</f>
        <v/>
      </c>
      <c r="F537" s="52">
        <f t="array" ref="F537">IF($B537="","",IFERROR(INDEX(PERSONAL!$C$2:$C$80,MATCH($B537,PERSONAL!$A$2:$A$80,0)),""))</f>
        <v/>
      </c>
      <c r="G537" s="52">
        <f>IF($A537="","",CHOOSE(WEEKDAY($A537,2),"LUNES","MARTES","MIÉRCOLES","JUEVES","VIERNES","SÁBADO","DOMINGO"))</f>
        <v/>
      </c>
      <c r="H537" s="34">
        <f>IF($A537="","",CHOOSE(MONTH($A537),"ENERO","FEBRERO","MARZO","ABRIL","MAYO","JUNIO","JULIO","AGOSTO","SEPTIEMBRE","OCTUBRE","NOVIEMBRE","DICIEMBRE"))</f>
        <v/>
      </c>
      <c r="I537" s="34">
        <f>IF($A537="","",IF(OR($G537="SÁBADO",$G537="DOMINGO"),"FIN","LV"))</f>
        <v/>
      </c>
      <c r="J537" s="34">
        <f>IF(OR($A537="",$B537=""),"",IF($L537&lt;&gt;"",UPPER($L537),IF($C537="","FALTA",IFERROR(IF($C537&gt;=$O537,"ROJO FUERTE",IF($C537&gt;=$N537,"ROJO",IF($C537&gt;=$M537,"AMARILLO","VERDE"))),"REVISAR"))))</f>
        <v/>
      </c>
      <c r="K537" s="36">
        <f>IF(OR($C537="",$D537=""),"",IF($D537&gt;=$C537,($D537-$C537)*24,(1-$C537+$D537)*24))</f>
        <v/>
      </c>
      <c r="L537" s="34" t="n"/>
      <c r="M537" s="53">
        <f t="array" ref="M537">IFERROR(INDEX(EXCEPCIONES_FECHA!$D$2:$D$201,MATCH(1,(EXCEPCIONES_FECHA!$A$2:$A$201=$A537)*(EXCEPCIONES_FECHA!$B$2:$B$201=$B537),0)),IFERROR(INDEX(EXCEPCIONES_FECHA!$D$2:$D$201,MATCH(1,(EXCEPCIONES_FECHA!$A$2:$A$201=$A537)*(EXCEPCIONES_FECHA!$B$2:$B$201=""),0)),IFERROR(INDEX(IF($I537="FIN",HISTORIAL_HORARIOS!$J$2:$J$201,HISTORIAL_HORARIOS!$F$2:$F$201),MATCH(1,(HISTORIAL_HORARIOS!$A$2:$A$201=$B537)*(HISTORIAL_HORARIOS!$C$2:$C$201&lt;=$A537)*(HISTORIAL_HORARIOS!$D$2:$D$201&gt;=$A537),0)),INDEX(IF($I537="FIN",PERSONAL!$J$2:$J$80,PERSONAL!$F$2:$F$80),MATCH($B537,PERSONAL!$A$2:$A$80,0)))))</f>
        <v/>
      </c>
      <c r="N537" s="53">
        <f t="array" ref="N537">IFERROR(INDEX(EXCEPCIONES_FECHA!$E$2:$E$201,MATCH(1,(EXCEPCIONES_FECHA!$A$2:$A$201=$A537)*(EXCEPCIONES_FECHA!$B$2:$B$201=$B537),0)),IFERROR(INDEX(EXCEPCIONES_FECHA!$E$2:$E$201,MATCH(1,(EXCEPCIONES_FECHA!$A$2:$A$201=$A537)*(EXCEPCIONES_FECHA!$B$2:$B$201=""),0)),IFERROR(INDEX(IF($I537="FIN",HISTORIAL_HORARIOS!$K$2:$K$201,HISTORIAL_HORARIOS!$G$2:$G$201),MATCH(1,(HISTORIAL_HORARIOS!$A$2:$A$201=$B537)*(HISTORIAL_HORARIOS!$C$2:$C$201&lt;=$A537)*(HISTORIAL_HORARIOS!$D$2:$D$201&gt;=$A537),0)),INDEX(IF($I537="FIN",PERSONAL!$K$2:$K$80,PERSONAL!$G$2:$G$80),MATCH($B537,PERSONAL!$A$2:$A$80,0)))))</f>
        <v/>
      </c>
      <c r="O537" s="53">
        <f t="array" ref="O537">IFERROR(INDEX(EXCEPCIONES_FECHA!$F$2:$F$201,MATCH(1,(EXCEPCIONES_FECHA!$A$2:$A$201=$A537)*(EXCEPCIONES_FECHA!$B$2:$B$201=$B537),0)),IFERROR(INDEX(EXCEPCIONES_FECHA!$F$2:$F$201,MATCH(1,(EXCEPCIONES_FECHA!$A$2:$A$201=$A537)*(EXCEPCIONES_FECHA!$B$2:$B$201=""),0)),IFERROR(INDEX(IF($I537="FIN",HISTORIAL_HORARIOS!$L$2:$L$201,HISTORIAL_HORARIOS!$H$2:$H$201),MATCH(1,(HISTORIAL_HORARIOS!$A$2:$A$201=$B537)*(HISTORIAL_HORARIOS!$C$2:$C$201&lt;=$A537)*(HISTORIAL_HORARIOS!$D$2:$D$201&gt;=$A537),0)),INDEX(IF($I537="FIN",PERSONAL!$L$2:$L$80,PERSONAL!$H$2:$H$80),MATCH($B537,PERSONAL!$A$2:$A$80,0)))))</f>
        <v/>
      </c>
    </row>
    <row r="538" ht="15" customHeight="1" s="58">
      <c r="A538" s="37" t="n"/>
      <c r="B538" s="38" t="n"/>
      <c r="C538" s="39" t="n"/>
      <c r="D538" s="39" t="n"/>
      <c r="E538" s="34">
        <f t="array" ref="E538">IF($B538="","",IFERROR(INDEX(PERSONAL!$B$2:$B$80,MATCH($B538,PERSONAL!$A$2:$A$80,0)),"NO EXISTE"))</f>
        <v/>
      </c>
      <c r="F538" s="52">
        <f t="array" ref="F538">IF($B538="","",IFERROR(INDEX(PERSONAL!$C$2:$C$80,MATCH($B538,PERSONAL!$A$2:$A$80,0)),""))</f>
        <v/>
      </c>
      <c r="G538" s="52">
        <f>IF($A538="","",CHOOSE(WEEKDAY($A538,2),"LUNES","MARTES","MIÉRCOLES","JUEVES","VIERNES","SÁBADO","DOMINGO"))</f>
        <v/>
      </c>
      <c r="H538" s="34">
        <f>IF($A538="","",CHOOSE(MONTH($A538),"ENERO","FEBRERO","MARZO","ABRIL","MAYO","JUNIO","JULIO","AGOSTO","SEPTIEMBRE","OCTUBRE","NOVIEMBRE","DICIEMBRE"))</f>
        <v/>
      </c>
      <c r="I538" s="34">
        <f>IF($A538="","",IF(OR($G538="SÁBADO",$G538="DOMINGO"),"FIN","LV"))</f>
        <v/>
      </c>
      <c r="J538" s="34">
        <f>IF(OR($A538="",$B538=""),"",IF($L538&lt;&gt;"",UPPER($L538),IF($C538="","FALTA",IFERROR(IF($C538&gt;=$O538,"ROJO FUERTE",IF($C538&gt;=$N538,"ROJO",IF($C538&gt;=$M538,"AMARILLO","VERDE"))),"REVISAR"))))</f>
        <v/>
      </c>
      <c r="K538" s="36">
        <f>IF(OR($C538="",$D538=""),"",IF($D538&gt;=$C538,($D538-$C538)*24,(1-$C538+$D538)*24))</f>
        <v/>
      </c>
      <c r="L538" s="34" t="n"/>
      <c r="M538" s="53">
        <f t="array" ref="M538">IFERROR(INDEX(EXCEPCIONES_FECHA!$D$2:$D$201,MATCH(1,(EXCEPCIONES_FECHA!$A$2:$A$201=$A538)*(EXCEPCIONES_FECHA!$B$2:$B$201=$B538),0)),IFERROR(INDEX(EXCEPCIONES_FECHA!$D$2:$D$201,MATCH(1,(EXCEPCIONES_FECHA!$A$2:$A$201=$A538)*(EXCEPCIONES_FECHA!$B$2:$B$201=""),0)),IFERROR(INDEX(IF($I538="FIN",HISTORIAL_HORARIOS!$J$2:$J$201,HISTORIAL_HORARIOS!$F$2:$F$201),MATCH(1,(HISTORIAL_HORARIOS!$A$2:$A$201=$B538)*(HISTORIAL_HORARIOS!$C$2:$C$201&lt;=$A538)*(HISTORIAL_HORARIOS!$D$2:$D$201&gt;=$A538),0)),INDEX(IF($I538="FIN",PERSONAL!$J$2:$J$80,PERSONAL!$F$2:$F$80),MATCH($B538,PERSONAL!$A$2:$A$80,0)))))</f>
        <v/>
      </c>
      <c r="N538" s="53">
        <f t="array" ref="N538">IFERROR(INDEX(EXCEPCIONES_FECHA!$E$2:$E$201,MATCH(1,(EXCEPCIONES_FECHA!$A$2:$A$201=$A538)*(EXCEPCIONES_FECHA!$B$2:$B$201=$B538),0)),IFERROR(INDEX(EXCEPCIONES_FECHA!$E$2:$E$201,MATCH(1,(EXCEPCIONES_FECHA!$A$2:$A$201=$A538)*(EXCEPCIONES_FECHA!$B$2:$B$201=""),0)),IFERROR(INDEX(IF($I538="FIN",HISTORIAL_HORARIOS!$K$2:$K$201,HISTORIAL_HORARIOS!$G$2:$G$201),MATCH(1,(HISTORIAL_HORARIOS!$A$2:$A$201=$B538)*(HISTORIAL_HORARIOS!$C$2:$C$201&lt;=$A538)*(HISTORIAL_HORARIOS!$D$2:$D$201&gt;=$A538),0)),INDEX(IF($I538="FIN",PERSONAL!$K$2:$K$80,PERSONAL!$G$2:$G$80),MATCH($B538,PERSONAL!$A$2:$A$80,0)))))</f>
        <v/>
      </c>
      <c r="O538" s="53">
        <f t="array" ref="O538">IFERROR(INDEX(EXCEPCIONES_FECHA!$F$2:$F$201,MATCH(1,(EXCEPCIONES_FECHA!$A$2:$A$201=$A538)*(EXCEPCIONES_FECHA!$B$2:$B$201=$B538),0)),IFERROR(INDEX(EXCEPCIONES_FECHA!$F$2:$F$201,MATCH(1,(EXCEPCIONES_FECHA!$A$2:$A$201=$A538)*(EXCEPCIONES_FECHA!$B$2:$B$201=""),0)),IFERROR(INDEX(IF($I538="FIN",HISTORIAL_HORARIOS!$L$2:$L$201,HISTORIAL_HORARIOS!$H$2:$H$201),MATCH(1,(HISTORIAL_HORARIOS!$A$2:$A$201=$B538)*(HISTORIAL_HORARIOS!$C$2:$C$201&lt;=$A538)*(HISTORIAL_HORARIOS!$D$2:$D$201&gt;=$A538),0)),INDEX(IF($I538="FIN",PERSONAL!$L$2:$L$80,PERSONAL!$H$2:$H$80),MATCH($B538,PERSONAL!$A$2:$A$80,0)))))</f>
        <v/>
      </c>
    </row>
    <row r="539" ht="15" customHeight="1" s="58">
      <c r="A539" s="37" t="n"/>
      <c r="B539" s="38" t="n"/>
      <c r="C539" s="39" t="n"/>
      <c r="D539" s="39" t="n"/>
      <c r="E539" s="34">
        <f t="array" ref="E539">IF($B539="","",IFERROR(INDEX(PERSONAL!$B$2:$B$80,MATCH($B539,PERSONAL!$A$2:$A$80,0)),"NO EXISTE"))</f>
        <v/>
      </c>
      <c r="F539" s="52">
        <f t="array" ref="F539">IF($B539="","",IFERROR(INDEX(PERSONAL!$C$2:$C$80,MATCH($B539,PERSONAL!$A$2:$A$80,0)),""))</f>
        <v/>
      </c>
      <c r="G539" s="52">
        <f>IF($A539="","",CHOOSE(WEEKDAY($A539,2),"LUNES","MARTES","MIÉRCOLES","JUEVES","VIERNES","SÁBADO","DOMINGO"))</f>
        <v/>
      </c>
      <c r="H539" s="34">
        <f>IF($A539="","",CHOOSE(MONTH($A539),"ENERO","FEBRERO","MARZO","ABRIL","MAYO","JUNIO","JULIO","AGOSTO","SEPTIEMBRE","OCTUBRE","NOVIEMBRE","DICIEMBRE"))</f>
        <v/>
      </c>
      <c r="I539" s="34">
        <f>IF($A539="","",IF(OR($G539="SÁBADO",$G539="DOMINGO"),"FIN","LV"))</f>
        <v/>
      </c>
      <c r="J539" s="34">
        <f>IF(OR($A539="",$B539=""),"",IF($L539&lt;&gt;"",UPPER($L539),IF($C539="","FALTA",IFERROR(IF($C539&gt;=$O539,"ROJO FUERTE",IF($C539&gt;=$N539,"ROJO",IF($C539&gt;=$M539,"AMARILLO","VERDE"))),"REVISAR"))))</f>
        <v/>
      </c>
      <c r="K539" s="36">
        <f>IF(OR($C539="",$D539=""),"",IF($D539&gt;=$C539,($D539-$C539)*24,(1-$C539+$D539)*24))</f>
        <v/>
      </c>
      <c r="L539" s="34" t="n"/>
      <c r="M539" s="53">
        <f t="array" ref="M539">IFERROR(INDEX(EXCEPCIONES_FECHA!$D$2:$D$201,MATCH(1,(EXCEPCIONES_FECHA!$A$2:$A$201=$A539)*(EXCEPCIONES_FECHA!$B$2:$B$201=$B539),0)),IFERROR(INDEX(EXCEPCIONES_FECHA!$D$2:$D$201,MATCH(1,(EXCEPCIONES_FECHA!$A$2:$A$201=$A539)*(EXCEPCIONES_FECHA!$B$2:$B$201=""),0)),IFERROR(INDEX(IF($I539="FIN",HISTORIAL_HORARIOS!$J$2:$J$201,HISTORIAL_HORARIOS!$F$2:$F$201),MATCH(1,(HISTORIAL_HORARIOS!$A$2:$A$201=$B539)*(HISTORIAL_HORARIOS!$C$2:$C$201&lt;=$A539)*(HISTORIAL_HORARIOS!$D$2:$D$201&gt;=$A539),0)),INDEX(IF($I539="FIN",PERSONAL!$J$2:$J$80,PERSONAL!$F$2:$F$80),MATCH($B539,PERSONAL!$A$2:$A$80,0)))))</f>
        <v/>
      </c>
      <c r="N539" s="53">
        <f t="array" ref="N539">IFERROR(INDEX(EXCEPCIONES_FECHA!$E$2:$E$201,MATCH(1,(EXCEPCIONES_FECHA!$A$2:$A$201=$A539)*(EXCEPCIONES_FECHA!$B$2:$B$201=$B539),0)),IFERROR(INDEX(EXCEPCIONES_FECHA!$E$2:$E$201,MATCH(1,(EXCEPCIONES_FECHA!$A$2:$A$201=$A539)*(EXCEPCIONES_FECHA!$B$2:$B$201=""),0)),IFERROR(INDEX(IF($I539="FIN",HISTORIAL_HORARIOS!$K$2:$K$201,HISTORIAL_HORARIOS!$G$2:$G$201),MATCH(1,(HISTORIAL_HORARIOS!$A$2:$A$201=$B539)*(HISTORIAL_HORARIOS!$C$2:$C$201&lt;=$A539)*(HISTORIAL_HORARIOS!$D$2:$D$201&gt;=$A539),0)),INDEX(IF($I539="FIN",PERSONAL!$K$2:$K$80,PERSONAL!$G$2:$G$80),MATCH($B539,PERSONAL!$A$2:$A$80,0)))))</f>
        <v/>
      </c>
      <c r="O539" s="53">
        <f t="array" ref="O539">IFERROR(INDEX(EXCEPCIONES_FECHA!$F$2:$F$201,MATCH(1,(EXCEPCIONES_FECHA!$A$2:$A$201=$A539)*(EXCEPCIONES_FECHA!$B$2:$B$201=$B539),0)),IFERROR(INDEX(EXCEPCIONES_FECHA!$F$2:$F$201,MATCH(1,(EXCEPCIONES_FECHA!$A$2:$A$201=$A539)*(EXCEPCIONES_FECHA!$B$2:$B$201=""),0)),IFERROR(INDEX(IF($I539="FIN",HISTORIAL_HORARIOS!$L$2:$L$201,HISTORIAL_HORARIOS!$H$2:$H$201),MATCH(1,(HISTORIAL_HORARIOS!$A$2:$A$201=$B539)*(HISTORIAL_HORARIOS!$C$2:$C$201&lt;=$A539)*(HISTORIAL_HORARIOS!$D$2:$D$201&gt;=$A539),0)),INDEX(IF($I539="FIN",PERSONAL!$L$2:$L$80,PERSONAL!$H$2:$H$80),MATCH($B539,PERSONAL!$A$2:$A$80,0)))))</f>
        <v/>
      </c>
    </row>
    <row r="540" ht="15" customHeight="1" s="58">
      <c r="A540" s="37" t="n"/>
      <c r="B540" s="38" t="n"/>
      <c r="C540" s="39" t="n"/>
      <c r="D540" s="39" t="n"/>
      <c r="E540" s="34">
        <f t="array" ref="E540">IF($B540="","",IFERROR(INDEX(PERSONAL!$B$2:$B$80,MATCH($B540,PERSONAL!$A$2:$A$80,0)),"NO EXISTE"))</f>
        <v/>
      </c>
      <c r="F540" s="52">
        <f t="array" ref="F540">IF($B540="","",IFERROR(INDEX(PERSONAL!$C$2:$C$80,MATCH($B540,PERSONAL!$A$2:$A$80,0)),""))</f>
        <v/>
      </c>
      <c r="G540" s="52">
        <f>IF($A540="","",CHOOSE(WEEKDAY($A540,2),"LUNES","MARTES","MIÉRCOLES","JUEVES","VIERNES","SÁBADO","DOMINGO"))</f>
        <v/>
      </c>
      <c r="H540" s="34">
        <f>IF($A540="","",CHOOSE(MONTH($A540),"ENERO","FEBRERO","MARZO","ABRIL","MAYO","JUNIO","JULIO","AGOSTO","SEPTIEMBRE","OCTUBRE","NOVIEMBRE","DICIEMBRE"))</f>
        <v/>
      </c>
      <c r="I540" s="34">
        <f>IF($A540="","",IF(OR($G540="SÁBADO",$G540="DOMINGO"),"FIN","LV"))</f>
        <v/>
      </c>
      <c r="J540" s="34">
        <f>IF(OR($A540="",$B540=""),"",IF($L540&lt;&gt;"",UPPER($L540),IF($C540="","FALTA",IFERROR(IF($C540&gt;=$O540,"ROJO FUERTE",IF($C540&gt;=$N540,"ROJO",IF($C540&gt;=$M540,"AMARILLO","VERDE"))),"REVISAR"))))</f>
        <v/>
      </c>
      <c r="K540" s="36">
        <f>IF(OR($C540="",$D540=""),"",IF($D540&gt;=$C540,($D540-$C540)*24,(1-$C540+$D540)*24))</f>
        <v/>
      </c>
      <c r="L540" s="34" t="n"/>
      <c r="M540" s="53">
        <f t="array" ref="M540">IFERROR(INDEX(EXCEPCIONES_FECHA!$D$2:$D$201,MATCH(1,(EXCEPCIONES_FECHA!$A$2:$A$201=$A540)*(EXCEPCIONES_FECHA!$B$2:$B$201=$B540),0)),IFERROR(INDEX(EXCEPCIONES_FECHA!$D$2:$D$201,MATCH(1,(EXCEPCIONES_FECHA!$A$2:$A$201=$A540)*(EXCEPCIONES_FECHA!$B$2:$B$201=""),0)),IFERROR(INDEX(IF($I540="FIN",HISTORIAL_HORARIOS!$J$2:$J$201,HISTORIAL_HORARIOS!$F$2:$F$201),MATCH(1,(HISTORIAL_HORARIOS!$A$2:$A$201=$B540)*(HISTORIAL_HORARIOS!$C$2:$C$201&lt;=$A540)*(HISTORIAL_HORARIOS!$D$2:$D$201&gt;=$A540),0)),INDEX(IF($I540="FIN",PERSONAL!$J$2:$J$80,PERSONAL!$F$2:$F$80),MATCH($B540,PERSONAL!$A$2:$A$80,0)))))</f>
        <v/>
      </c>
      <c r="N540" s="53">
        <f t="array" ref="N540">IFERROR(INDEX(EXCEPCIONES_FECHA!$E$2:$E$201,MATCH(1,(EXCEPCIONES_FECHA!$A$2:$A$201=$A540)*(EXCEPCIONES_FECHA!$B$2:$B$201=$B540),0)),IFERROR(INDEX(EXCEPCIONES_FECHA!$E$2:$E$201,MATCH(1,(EXCEPCIONES_FECHA!$A$2:$A$201=$A540)*(EXCEPCIONES_FECHA!$B$2:$B$201=""),0)),IFERROR(INDEX(IF($I540="FIN",HISTORIAL_HORARIOS!$K$2:$K$201,HISTORIAL_HORARIOS!$G$2:$G$201),MATCH(1,(HISTORIAL_HORARIOS!$A$2:$A$201=$B540)*(HISTORIAL_HORARIOS!$C$2:$C$201&lt;=$A540)*(HISTORIAL_HORARIOS!$D$2:$D$201&gt;=$A540),0)),INDEX(IF($I540="FIN",PERSONAL!$K$2:$K$80,PERSONAL!$G$2:$G$80),MATCH($B540,PERSONAL!$A$2:$A$80,0)))))</f>
        <v/>
      </c>
      <c r="O540" s="53">
        <f t="array" ref="O540">IFERROR(INDEX(EXCEPCIONES_FECHA!$F$2:$F$201,MATCH(1,(EXCEPCIONES_FECHA!$A$2:$A$201=$A540)*(EXCEPCIONES_FECHA!$B$2:$B$201=$B540),0)),IFERROR(INDEX(EXCEPCIONES_FECHA!$F$2:$F$201,MATCH(1,(EXCEPCIONES_FECHA!$A$2:$A$201=$A540)*(EXCEPCIONES_FECHA!$B$2:$B$201=""),0)),IFERROR(INDEX(IF($I540="FIN",HISTORIAL_HORARIOS!$L$2:$L$201,HISTORIAL_HORARIOS!$H$2:$H$201),MATCH(1,(HISTORIAL_HORARIOS!$A$2:$A$201=$B540)*(HISTORIAL_HORARIOS!$C$2:$C$201&lt;=$A540)*(HISTORIAL_HORARIOS!$D$2:$D$201&gt;=$A540),0)),INDEX(IF($I540="FIN",PERSONAL!$L$2:$L$80,PERSONAL!$H$2:$H$80),MATCH($B540,PERSONAL!$A$2:$A$80,0)))))</f>
        <v/>
      </c>
    </row>
    <row r="541" ht="15" customHeight="1" s="58">
      <c r="A541" s="37" t="n"/>
      <c r="B541" s="38" t="n"/>
      <c r="C541" s="39" t="n"/>
      <c r="D541" s="39" t="n"/>
      <c r="E541" s="34">
        <f t="array" ref="E541">IF($B541="","",IFERROR(INDEX(PERSONAL!$B$2:$B$80,MATCH($B541,PERSONAL!$A$2:$A$80,0)),"NO EXISTE"))</f>
        <v/>
      </c>
      <c r="F541" s="52">
        <f t="array" ref="F541">IF($B541="","",IFERROR(INDEX(PERSONAL!$C$2:$C$80,MATCH($B541,PERSONAL!$A$2:$A$80,0)),""))</f>
        <v/>
      </c>
      <c r="G541" s="52">
        <f>IF($A541="","",CHOOSE(WEEKDAY($A541,2),"LUNES","MARTES","MIÉRCOLES","JUEVES","VIERNES","SÁBADO","DOMINGO"))</f>
        <v/>
      </c>
      <c r="H541" s="34">
        <f>IF($A541="","",CHOOSE(MONTH($A541),"ENERO","FEBRERO","MARZO","ABRIL","MAYO","JUNIO","JULIO","AGOSTO","SEPTIEMBRE","OCTUBRE","NOVIEMBRE","DICIEMBRE"))</f>
        <v/>
      </c>
      <c r="I541" s="34">
        <f>IF($A541="","",IF(OR($G541="SÁBADO",$G541="DOMINGO"),"FIN","LV"))</f>
        <v/>
      </c>
      <c r="J541" s="34">
        <f>IF(OR($A541="",$B541=""),"",IF($L541&lt;&gt;"",UPPER($L541),IF($C541="","FALTA",IFERROR(IF($C541&gt;=$O541,"ROJO FUERTE",IF($C541&gt;=$N541,"ROJO",IF($C541&gt;=$M541,"AMARILLO","VERDE"))),"REVISAR"))))</f>
        <v/>
      </c>
      <c r="K541" s="36">
        <f>IF(OR($C541="",$D541=""),"",IF($D541&gt;=$C541,($D541-$C541)*24,(1-$C541+$D541)*24))</f>
        <v/>
      </c>
      <c r="L541" s="34" t="n"/>
      <c r="M541" s="53">
        <f t="array" ref="M541">IFERROR(INDEX(EXCEPCIONES_FECHA!$D$2:$D$201,MATCH(1,(EXCEPCIONES_FECHA!$A$2:$A$201=$A541)*(EXCEPCIONES_FECHA!$B$2:$B$201=$B541),0)),IFERROR(INDEX(EXCEPCIONES_FECHA!$D$2:$D$201,MATCH(1,(EXCEPCIONES_FECHA!$A$2:$A$201=$A541)*(EXCEPCIONES_FECHA!$B$2:$B$201=""),0)),IFERROR(INDEX(IF($I541="FIN",HISTORIAL_HORARIOS!$J$2:$J$201,HISTORIAL_HORARIOS!$F$2:$F$201),MATCH(1,(HISTORIAL_HORARIOS!$A$2:$A$201=$B541)*(HISTORIAL_HORARIOS!$C$2:$C$201&lt;=$A541)*(HISTORIAL_HORARIOS!$D$2:$D$201&gt;=$A541),0)),INDEX(IF($I541="FIN",PERSONAL!$J$2:$J$80,PERSONAL!$F$2:$F$80),MATCH($B541,PERSONAL!$A$2:$A$80,0)))))</f>
        <v/>
      </c>
      <c r="N541" s="53">
        <f t="array" ref="N541">IFERROR(INDEX(EXCEPCIONES_FECHA!$E$2:$E$201,MATCH(1,(EXCEPCIONES_FECHA!$A$2:$A$201=$A541)*(EXCEPCIONES_FECHA!$B$2:$B$201=$B541),0)),IFERROR(INDEX(EXCEPCIONES_FECHA!$E$2:$E$201,MATCH(1,(EXCEPCIONES_FECHA!$A$2:$A$201=$A541)*(EXCEPCIONES_FECHA!$B$2:$B$201=""),0)),IFERROR(INDEX(IF($I541="FIN",HISTORIAL_HORARIOS!$K$2:$K$201,HISTORIAL_HORARIOS!$G$2:$G$201),MATCH(1,(HISTORIAL_HORARIOS!$A$2:$A$201=$B541)*(HISTORIAL_HORARIOS!$C$2:$C$201&lt;=$A541)*(HISTORIAL_HORARIOS!$D$2:$D$201&gt;=$A541),0)),INDEX(IF($I541="FIN",PERSONAL!$K$2:$K$80,PERSONAL!$G$2:$G$80),MATCH($B541,PERSONAL!$A$2:$A$80,0)))))</f>
        <v/>
      </c>
      <c r="O541" s="53">
        <f t="array" ref="O541">IFERROR(INDEX(EXCEPCIONES_FECHA!$F$2:$F$201,MATCH(1,(EXCEPCIONES_FECHA!$A$2:$A$201=$A541)*(EXCEPCIONES_FECHA!$B$2:$B$201=$B541),0)),IFERROR(INDEX(EXCEPCIONES_FECHA!$F$2:$F$201,MATCH(1,(EXCEPCIONES_FECHA!$A$2:$A$201=$A541)*(EXCEPCIONES_FECHA!$B$2:$B$201=""),0)),IFERROR(INDEX(IF($I541="FIN",HISTORIAL_HORARIOS!$L$2:$L$201,HISTORIAL_HORARIOS!$H$2:$H$201),MATCH(1,(HISTORIAL_HORARIOS!$A$2:$A$201=$B541)*(HISTORIAL_HORARIOS!$C$2:$C$201&lt;=$A541)*(HISTORIAL_HORARIOS!$D$2:$D$201&gt;=$A541),0)),INDEX(IF($I541="FIN",PERSONAL!$L$2:$L$80,PERSONAL!$H$2:$H$80),MATCH($B541,PERSONAL!$A$2:$A$80,0)))))</f>
        <v/>
      </c>
    </row>
    <row r="542" ht="15" customHeight="1" s="58">
      <c r="A542" s="37" t="n"/>
      <c r="B542" s="38" t="n"/>
      <c r="C542" s="39" t="n"/>
      <c r="D542" s="39" t="n"/>
      <c r="E542" s="34">
        <f t="array" ref="E542">IF($B542="","",IFERROR(INDEX(PERSONAL!$B$2:$B$80,MATCH($B542,PERSONAL!$A$2:$A$80,0)),"NO EXISTE"))</f>
        <v/>
      </c>
      <c r="F542" s="52">
        <f t="array" ref="F542">IF($B542="","",IFERROR(INDEX(PERSONAL!$C$2:$C$80,MATCH($B542,PERSONAL!$A$2:$A$80,0)),""))</f>
        <v/>
      </c>
      <c r="G542" s="52">
        <f>IF($A542="","",CHOOSE(WEEKDAY($A542,2),"LUNES","MARTES","MIÉRCOLES","JUEVES","VIERNES","SÁBADO","DOMINGO"))</f>
        <v/>
      </c>
      <c r="H542" s="34">
        <f>IF($A542="","",CHOOSE(MONTH($A542),"ENERO","FEBRERO","MARZO","ABRIL","MAYO","JUNIO","JULIO","AGOSTO","SEPTIEMBRE","OCTUBRE","NOVIEMBRE","DICIEMBRE"))</f>
        <v/>
      </c>
      <c r="I542" s="34">
        <f>IF($A542="","",IF(OR($G542="SÁBADO",$G542="DOMINGO"),"FIN","LV"))</f>
        <v/>
      </c>
      <c r="J542" s="34">
        <f>IF(OR($A542="",$B542=""),"",IF($L542&lt;&gt;"",UPPER($L542),IF($C542="","FALTA",IFERROR(IF($C542&gt;=$O542,"ROJO FUERTE",IF($C542&gt;=$N542,"ROJO",IF($C542&gt;=$M542,"AMARILLO","VERDE"))),"REVISAR"))))</f>
        <v/>
      </c>
      <c r="K542" s="36">
        <f>IF(OR($C542="",$D542=""),"",IF($D542&gt;=$C542,($D542-$C542)*24,(1-$C542+$D542)*24))</f>
        <v/>
      </c>
      <c r="L542" s="34" t="n"/>
      <c r="M542" s="53">
        <f t="array" ref="M542">IFERROR(INDEX(EXCEPCIONES_FECHA!$D$2:$D$201,MATCH(1,(EXCEPCIONES_FECHA!$A$2:$A$201=$A542)*(EXCEPCIONES_FECHA!$B$2:$B$201=$B542),0)),IFERROR(INDEX(EXCEPCIONES_FECHA!$D$2:$D$201,MATCH(1,(EXCEPCIONES_FECHA!$A$2:$A$201=$A542)*(EXCEPCIONES_FECHA!$B$2:$B$201=""),0)),IFERROR(INDEX(IF($I542="FIN",HISTORIAL_HORARIOS!$J$2:$J$201,HISTORIAL_HORARIOS!$F$2:$F$201),MATCH(1,(HISTORIAL_HORARIOS!$A$2:$A$201=$B542)*(HISTORIAL_HORARIOS!$C$2:$C$201&lt;=$A542)*(HISTORIAL_HORARIOS!$D$2:$D$201&gt;=$A542),0)),INDEX(IF($I542="FIN",PERSONAL!$J$2:$J$80,PERSONAL!$F$2:$F$80),MATCH($B542,PERSONAL!$A$2:$A$80,0)))))</f>
        <v/>
      </c>
      <c r="N542" s="53">
        <f t="array" ref="N542">IFERROR(INDEX(EXCEPCIONES_FECHA!$E$2:$E$201,MATCH(1,(EXCEPCIONES_FECHA!$A$2:$A$201=$A542)*(EXCEPCIONES_FECHA!$B$2:$B$201=$B542),0)),IFERROR(INDEX(EXCEPCIONES_FECHA!$E$2:$E$201,MATCH(1,(EXCEPCIONES_FECHA!$A$2:$A$201=$A542)*(EXCEPCIONES_FECHA!$B$2:$B$201=""),0)),IFERROR(INDEX(IF($I542="FIN",HISTORIAL_HORARIOS!$K$2:$K$201,HISTORIAL_HORARIOS!$G$2:$G$201),MATCH(1,(HISTORIAL_HORARIOS!$A$2:$A$201=$B542)*(HISTORIAL_HORARIOS!$C$2:$C$201&lt;=$A542)*(HISTORIAL_HORARIOS!$D$2:$D$201&gt;=$A542),0)),INDEX(IF($I542="FIN",PERSONAL!$K$2:$K$80,PERSONAL!$G$2:$G$80),MATCH($B542,PERSONAL!$A$2:$A$80,0)))))</f>
        <v/>
      </c>
      <c r="O542" s="53">
        <f t="array" ref="O542">IFERROR(INDEX(EXCEPCIONES_FECHA!$F$2:$F$201,MATCH(1,(EXCEPCIONES_FECHA!$A$2:$A$201=$A542)*(EXCEPCIONES_FECHA!$B$2:$B$201=$B542),0)),IFERROR(INDEX(EXCEPCIONES_FECHA!$F$2:$F$201,MATCH(1,(EXCEPCIONES_FECHA!$A$2:$A$201=$A542)*(EXCEPCIONES_FECHA!$B$2:$B$201=""),0)),IFERROR(INDEX(IF($I542="FIN",HISTORIAL_HORARIOS!$L$2:$L$201,HISTORIAL_HORARIOS!$H$2:$H$201),MATCH(1,(HISTORIAL_HORARIOS!$A$2:$A$201=$B542)*(HISTORIAL_HORARIOS!$C$2:$C$201&lt;=$A542)*(HISTORIAL_HORARIOS!$D$2:$D$201&gt;=$A542),0)),INDEX(IF($I542="FIN",PERSONAL!$L$2:$L$80,PERSONAL!$H$2:$H$80),MATCH($B542,PERSONAL!$A$2:$A$80,0)))))</f>
        <v/>
      </c>
    </row>
    <row r="543" ht="15" customHeight="1" s="58">
      <c r="A543" s="37" t="n"/>
      <c r="B543" s="38" t="n"/>
      <c r="C543" s="39" t="n"/>
      <c r="D543" s="39" t="n"/>
      <c r="E543" s="34">
        <f t="array" ref="E543">IF($B543="","",IFERROR(INDEX(PERSONAL!$B$2:$B$80,MATCH($B543,PERSONAL!$A$2:$A$80,0)),"NO EXISTE"))</f>
        <v/>
      </c>
      <c r="F543" s="52">
        <f t="array" ref="F543">IF($B543="","",IFERROR(INDEX(PERSONAL!$C$2:$C$80,MATCH($B543,PERSONAL!$A$2:$A$80,0)),""))</f>
        <v/>
      </c>
      <c r="G543" s="52">
        <f>IF($A543="","",CHOOSE(WEEKDAY($A543,2),"LUNES","MARTES","MIÉRCOLES","JUEVES","VIERNES","SÁBADO","DOMINGO"))</f>
        <v/>
      </c>
      <c r="H543" s="34">
        <f>IF($A543="","",CHOOSE(MONTH($A543),"ENERO","FEBRERO","MARZO","ABRIL","MAYO","JUNIO","JULIO","AGOSTO","SEPTIEMBRE","OCTUBRE","NOVIEMBRE","DICIEMBRE"))</f>
        <v/>
      </c>
      <c r="I543" s="34">
        <f>IF($A543="","",IF(OR($G543="SÁBADO",$G543="DOMINGO"),"FIN","LV"))</f>
        <v/>
      </c>
      <c r="J543" s="34">
        <f>IF(OR($A543="",$B543=""),"",IF($L543&lt;&gt;"",UPPER($L543),IF($C543="","FALTA",IFERROR(IF($C543&gt;=$O543,"ROJO FUERTE",IF($C543&gt;=$N543,"ROJO",IF($C543&gt;=$M543,"AMARILLO","VERDE"))),"REVISAR"))))</f>
        <v/>
      </c>
      <c r="K543" s="36">
        <f>IF(OR($C543="",$D543=""),"",IF($D543&gt;=$C543,($D543-$C543)*24,(1-$C543+$D543)*24))</f>
        <v/>
      </c>
      <c r="L543" s="34" t="n"/>
      <c r="M543" s="53">
        <f t="array" ref="M543">IFERROR(INDEX(EXCEPCIONES_FECHA!$D$2:$D$201,MATCH(1,(EXCEPCIONES_FECHA!$A$2:$A$201=$A543)*(EXCEPCIONES_FECHA!$B$2:$B$201=$B543),0)),IFERROR(INDEX(EXCEPCIONES_FECHA!$D$2:$D$201,MATCH(1,(EXCEPCIONES_FECHA!$A$2:$A$201=$A543)*(EXCEPCIONES_FECHA!$B$2:$B$201=""),0)),IFERROR(INDEX(IF($I543="FIN",HISTORIAL_HORARIOS!$J$2:$J$201,HISTORIAL_HORARIOS!$F$2:$F$201),MATCH(1,(HISTORIAL_HORARIOS!$A$2:$A$201=$B543)*(HISTORIAL_HORARIOS!$C$2:$C$201&lt;=$A543)*(HISTORIAL_HORARIOS!$D$2:$D$201&gt;=$A543),0)),INDEX(IF($I543="FIN",PERSONAL!$J$2:$J$80,PERSONAL!$F$2:$F$80),MATCH($B543,PERSONAL!$A$2:$A$80,0)))))</f>
        <v/>
      </c>
      <c r="N543" s="53">
        <f t="array" ref="N543">IFERROR(INDEX(EXCEPCIONES_FECHA!$E$2:$E$201,MATCH(1,(EXCEPCIONES_FECHA!$A$2:$A$201=$A543)*(EXCEPCIONES_FECHA!$B$2:$B$201=$B543),0)),IFERROR(INDEX(EXCEPCIONES_FECHA!$E$2:$E$201,MATCH(1,(EXCEPCIONES_FECHA!$A$2:$A$201=$A543)*(EXCEPCIONES_FECHA!$B$2:$B$201=""),0)),IFERROR(INDEX(IF($I543="FIN",HISTORIAL_HORARIOS!$K$2:$K$201,HISTORIAL_HORARIOS!$G$2:$G$201),MATCH(1,(HISTORIAL_HORARIOS!$A$2:$A$201=$B543)*(HISTORIAL_HORARIOS!$C$2:$C$201&lt;=$A543)*(HISTORIAL_HORARIOS!$D$2:$D$201&gt;=$A543),0)),INDEX(IF($I543="FIN",PERSONAL!$K$2:$K$80,PERSONAL!$G$2:$G$80),MATCH($B543,PERSONAL!$A$2:$A$80,0)))))</f>
        <v/>
      </c>
      <c r="O543" s="53">
        <f t="array" ref="O543">IFERROR(INDEX(EXCEPCIONES_FECHA!$F$2:$F$201,MATCH(1,(EXCEPCIONES_FECHA!$A$2:$A$201=$A543)*(EXCEPCIONES_FECHA!$B$2:$B$201=$B543),0)),IFERROR(INDEX(EXCEPCIONES_FECHA!$F$2:$F$201,MATCH(1,(EXCEPCIONES_FECHA!$A$2:$A$201=$A543)*(EXCEPCIONES_FECHA!$B$2:$B$201=""),0)),IFERROR(INDEX(IF($I543="FIN",HISTORIAL_HORARIOS!$L$2:$L$201,HISTORIAL_HORARIOS!$H$2:$H$201),MATCH(1,(HISTORIAL_HORARIOS!$A$2:$A$201=$B543)*(HISTORIAL_HORARIOS!$C$2:$C$201&lt;=$A543)*(HISTORIAL_HORARIOS!$D$2:$D$201&gt;=$A543),0)),INDEX(IF($I543="FIN",PERSONAL!$L$2:$L$80,PERSONAL!$H$2:$H$80),MATCH($B543,PERSONAL!$A$2:$A$80,0)))))</f>
        <v/>
      </c>
    </row>
    <row r="544" ht="15" customHeight="1" s="58">
      <c r="A544" s="37" t="n"/>
      <c r="B544" s="38" t="n"/>
      <c r="C544" s="39" t="n"/>
      <c r="D544" s="39" t="n"/>
      <c r="E544" s="34">
        <f t="array" ref="E544">IF($B544="","",IFERROR(INDEX(PERSONAL!$B$2:$B$80,MATCH($B544,PERSONAL!$A$2:$A$80,0)),"NO EXISTE"))</f>
        <v/>
      </c>
      <c r="F544" s="52">
        <f t="array" ref="F544">IF($B544="","",IFERROR(INDEX(PERSONAL!$C$2:$C$80,MATCH($B544,PERSONAL!$A$2:$A$80,0)),""))</f>
        <v/>
      </c>
      <c r="G544" s="52">
        <f>IF($A544="","",CHOOSE(WEEKDAY($A544,2),"LUNES","MARTES","MIÉRCOLES","JUEVES","VIERNES","SÁBADO","DOMINGO"))</f>
        <v/>
      </c>
      <c r="H544" s="34">
        <f>IF($A544="","",CHOOSE(MONTH($A544),"ENERO","FEBRERO","MARZO","ABRIL","MAYO","JUNIO","JULIO","AGOSTO","SEPTIEMBRE","OCTUBRE","NOVIEMBRE","DICIEMBRE"))</f>
        <v/>
      </c>
      <c r="I544" s="34">
        <f>IF($A544="","",IF(OR($G544="SÁBADO",$G544="DOMINGO"),"FIN","LV"))</f>
        <v/>
      </c>
      <c r="J544" s="34">
        <f>IF(OR($A544="",$B544=""),"",IF($L544&lt;&gt;"",UPPER($L544),IF($C544="","FALTA",IFERROR(IF($C544&gt;=$O544,"ROJO FUERTE",IF($C544&gt;=$N544,"ROJO",IF($C544&gt;=$M544,"AMARILLO","VERDE"))),"REVISAR"))))</f>
        <v/>
      </c>
      <c r="K544" s="36">
        <f>IF(OR($C544="",$D544=""),"",IF($D544&gt;=$C544,($D544-$C544)*24,(1-$C544+$D544)*24))</f>
        <v/>
      </c>
      <c r="L544" s="34" t="n"/>
      <c r="M544" s="53">
        <f t="array" ref="M544">IFERROR(INDEX(EXCEPCIONES_FECHA!$D$2:$D$201,MATCH(1,(EXCEPCIONES_FECHA!$A$2:$A$201=$A544)*(EXCEPCIONES_FECHA!$B$2:$B$201=$B544),0)),IFERROR(INDEX(EXCEPCIONES_FECHA!$D$2:$D$201,MATCH(1,(EXCEPCIONES_FECHA!$A$2:$A$201=$A544)*(EXCEPCIONES_FECHA!$B$2:$B$201=""),0)),IFERROR(INDEX(IF($I544="FIN",HISTORIAL_HORARIOS!$J$2:$J$201,HISTORIAL_HORARIOS!$F$2:$F$201),MATCH(1,(HISTORIAL_HORARIOS!$A$2:$A$201=$B544)*(HISTORIAL_HORARIOS!$C$2:$C$201&lt;=$A544)*(HISTORIAL_HORARIOS!$D$2:$D$201&gt;=$A544),0)),INDEX(IF($I544="FIN",PERSONAL!$J$2:$J$80,PERSONAL!$F$2:$F$80),MATCH($B544,PERSONAL!$A$2:$A$80,0)))))</f>
        <v/>
      </c>
      <c r="N544" s="53">
        <f t="array" ref="N544">IFERROR(INDEX(EXCEPCIONES_FECHA!$E$2:$E$201,MATCH(1,(EXCEPCIONES_FECHA!$A$2:$A$201=$A544)*(EXCEPCIONES_FECHA!$B$2:$B$201=$B544),0)),IFERROR(INDEX(EXCEPCIONES_FECHA!$E$2:$E$201,MATCH(1,(EXCEPCIONES_FECHA!$A$2:$A$201=$A544)*(EXCEPCIONES_FECHA!$B$2:$B$201=""),0)),IFERROR(INDEX(IF($I544="FIN",HISTORIAL_HORARIOS!$K$2:$K$201,HISTORIAL_HORARIOS!$G$2:$G$201),MATCH(1,(HISTORIAL_HORARIOS!$A$2:$A$201=$B544)*(HISTORIAL_HORARIOS!$C$2:$C$201&lt;=$A544)*(HISTORIAL_HORARIOS!$D$2:$D$201&gt;=$A544),0)),INDEX(IF($I544="FIN",PERSONAL!$K$2:$K$80,PERSONAL!$G$2:$G$80),MATCH($B544,PERSONAL!$A$2:$A$80,0)))))</f>
        <v/>
      </c>
      <c r="O544" s="53">
        <f t="array" ref="O544">IFERROR(INDEX(EXCEPCIONES_FECHA!$F$2:$F$201,MATCH(1,(EXCEPCIONES_FECHA!$A$2:$A$201=$A544)*(EXCEPCIONES_FECHA!$B$2:$B$201=$B544),0)),IFERROR(INDEX(EXCEPCIONES_FECHA!$F$2:$F$201,MATCH(1,(EXCEPCIONES_FECHA!$A$2:$A$201=$A544)*(EXCEPCIONES_FECHA!$B$2:$B$201=""),0)),IFERROR(INDEX(IF($I544="FIN",HISTORIAL_HORARIOS!$L$2:$L$201,HISTORIAL_HORARIOS!$H$2:$H$201),MATCH(1,(HISTORIAL_HORARIOS!$A$2:$A$201=$B544)*(HISTORIAL_HORARIOS!$C$2:$C$201&lt;=$A544)*(HISTORIAL_HORARIOS!$D$2:$D$201&gt;=$A544),0)),INDEX(IF($I544="FIN",PERSONAL!$L$2:$L$80,PERSONAL!$H$2:$H$80),MATCH($B544,PERSONAL!$A$2:$A$80,0)))))</f>
        <v/>
      </c>
    </row>
    <row r="545" ht="15" customHeight="1" s="58">
      <c r="A545" s="37" t="n"/>
      <c r="B545" s="38" t="n"/>
      <c r="C545" s="39" t="n"/>
      <c r="D545" s="39" t="n"/>
      <c r="E545" s="34">
        <f t="array" ref="E545">IF($B545="","",IFERROR(INDEX(PERSONAL!$B$2:$B$80,MATCH($B545,PERSONAL!$A$2:$A$80,0)),"NO EXISTE"))</f>
        <v/>
      </c>
      <c r="F545" s="52">
        <f t="array" ref="F545">IF($B545="","",IFERROR(INDEX(PERSONAL!$C$2:$C$80,MATCH($B545,PERSONAL!$A$2:$A$80,0)),""))</f>
        <v/>
      </c>
      <c r="G545" s="52">
        <f>IF($A545="","",CHOOSE(WEEKDAY($A545,2),"LUNES","MARTES","MIÉRCOLES","JUEVES","VIERNES","SÁBADO","DOMINGO"))</f>
        <v/>
      </c>
      <c r="H545" s="34">
        <f>IF($A545="","",CHOOSE(MONTH($A545),"ENERO","FEBRERO","MARZO","ABRIL","MAYO","JUNIO","JULIO","AGOSTO","SEPTIEMBRE","OCTUBRE","NOVIEMBRE","DICIEMBRE"))</f>
        <v/>
      </c>
      <c r="I545" s="34">
        <f>IF($A545="","",IF(OR($G545="SÁBADO",$G545="DOMINGO"),"FIN","LV"))</f>
        <v/>
      </c>
      <c r="J545" s="34">
        <f>IF(OR($A545="",$B545=""),"",IF($L545&lt;&gt;"",UPPER($L545),IF($C545="","FALTA",IFERROR(IF($C545&gt;=$O545,"ROJO FUERTE",IF($C545&gt;=$N545,"ROJO",IF($C545&gt;=$M545,"AMARILLO","VERDE"))),"REVISAR"))))</f>
        <v/>
      </c>
      <c r="K545" s="36">
        <f>IF(OR($C545="",$D545=""),"",IF($D545&gt;=$C545,($D545-$C545)*24,(1-$C545+$D545)*24))</f>
        <v/>
      </c>
      <c r="L545" s="34" t="n"/>
      <c r="M545" s="53">
        <f t="array" ref="M545">IFERROR(INDEX(EXCEPCIONES_FECHA!$D$2:$D$201,MATCH(1,(EXCEPCIONES_FECHA!$A$2:$A$201=$A545)*(EXCEPCIONES_FECHA!$B$2:$B$201=$B545),0)),IFERROR(INDEX(EXCEPCIONES_FECHA!$D$2:$D$201,MATCH(1,(EXCEPCIONES_FECHA!$A$2:$A$201=$A545)*(EXCEPCIONES_FECHA!$B$2:$B$201=""),0)),IFERROR(INDEX(IF($I545="FIN",HISTORIAL_HORARIOS!$J$2:$J$201,HISTORIAL_HORARIOS!$F$2:$F$201),MATCH(1,(HISTORIAL_HORARIOS!$A$2:$A$201=$B545)*(HISTORIAL_HORARIOS!$C$2:$C$201&lt;=$A545)*(HISTORIAL_HORARIOS!$D$2:$D$201&gt;=$A545),0)),INDEX(IF($I545="FIN",PERSONAL!$J$2:$J$80,PERSONAL!$F$2:$F$80),MATCH($B545,PERSONAL!$A$2:$A$80,0)))))</f>
        <v/>
      </c>
      <c r="N545" s="53">
        <f t="array" ref="N545">IFERROR(INDEX(EXCEPCIONES_FECHA!$E$2:$E$201,MATCH(1,(EXCEPCIONES_FECHA!$A$2:$A$201=$A545)*(EXCEPCIONES_FECHA!$B$2:$B$201=$B545),0)),IFERROR(INDEX(EXCEPCIONES_FECHA!$E$2:$E$201,MATCH(1,(EXCEPCIONES_FECHA!$A$2:$A$201=$A545)*(EXCEPCIONES_FECHA!$B$2:$B$201=""),0)),IFERROR(INDEX(IF($I545="FIN",HISTORIAL_HORARIOS!$K$2:$K$201,HISTORIAL_HORARIOS!$G$2:$G$201),MATCH(1,(HISTORIAL_HORARIOS!$A$2:$A$201=$B545)*(HISTORIAL_HORARIOS!$C$2:$C$201&lt;=$A545)*(HISTORIAL_HORARIOS!$D$2:$D$201&gt;=$A545),0)),INDEX(IF($I545="FIN",PERSONAL!$K$2:$K$80,PERSONAL!$G$2:$G$80),MATCH($B545,PERSONAL!$A$2:$A$80,0)))))</f>
        <v/>
      </c>
      <c r="O545" s="53">
        <f t="array" ref="O545">IFERROR(INDEX(EXCEPCIONES_FECHA!$F$2:$F$201,MATCH(1,(EXCEPCIONES_FECHA!$A$2:$A$201=$A545)*(EXCEPCIONES_FECHA!$B$2:$B$201=$B545),0)),IFERROR(INDEX(EXCEPCIONES_FECHA!$F$2:$F$201,MATCH(1,(EXCEPCIONES_FECHA!$A$2:$A$201=$A545)*(EXCEPCIONES_FECHA!$B$2:$B$201=""),0)),IFERROR(INDEX(IF($I545="FIN",HISTORIAL_HORARIOS!$L$2:$L$201,HISTORIAL_HORARIOS!$H$2:$H$201),MATCH(1,(HISTORIAL_HORARIOS!$A$2:$A$201=$B545)*(HISTORIAL_HORARIOS!$C$2:$C$201&lt;=$A545)*(HISTORIAL_HORARIOS!$D$2:$D$201&gt;=$A545),0)),INDEX(IF($I545="FIN",PERSONAL!$L$2:$L$80,PERSONAL!$H$2:$H$80),MATCH($B545,PERSONAL!$A$2:$A$80,0)))))</f>
        <v/>
      </c>
    </row>
    <row r="546" ht="15" customHeight="1" s="58">
      <c r="A546" s="37" t="n"/>
      <c r="B546" s="38" t="n"/>
      <c r="C546" s="39" t="n"/>
      <c r="D546" s="39" t="n"/>
      <c r="E546" s="34">
        <f t="array" ref="E546">IF($B546="","",IFERROR(INDEX(PERSONAL!$B$2:$B$80,MATCH($B546,PERSONAL!$A$2:$A$80,0)),"NO EXISTE"))</f>
        <v/>
      </c>
      <c r="F546" s="52">
        <f t="array" ref="F546">IF($B546="","",IFERROR(INDEX(PERSONAL!$C$2:$C$80,MATCH($B546,PERSONAL!$A$2:$A$80,0)),""))</f>
        <v/>
      </c>
      <c r="G546" s="52">
        <f>IF($A546="","",CHOOSE(WEEKDAY($A546,2),"LUNES","MARTES","MIÉRCOLES","JUEVES","VIERNES","SÁBADO","DOMINGO"))</f>
        <v/>
      </c>
      <c r="H546" s="34">
        <f>IF($A546="","",CHOOSE(MONTH($A546),"ENERO","FEBRERO","MARZO","ABRIL","MAYO","JUNIO","JULIO","AGOSTO","SEPTIEMBRE","OCTUBRE","NOVIEMBRE","DICIEMBRE"))</f>
        <v/>
      </c>
      <c r="I546" s="34">
        <f>IF($A546="","",IF(OR($G546="SÁBADO",$G546="DOMINGO"),"FIN","LV"))</f>
        <v/>
      </c>
      <c r="J546" s="34">
        <f>IF(OR($A546="",$B546=""),"",IF($L546&lt;&gt;"",UPPER($L546),IF($C546="","FALTA",IFERROR(IF($C546&gt;=$O546,"ROJO FUERTE",IF($C546&gt;=$N546,"ROJO",IF($C546&gt;=$M546,"AMARILLO","VERDE"))),"REVISAR"))))</f>
        <v/>
      </c>
      <c r="K546" s="36">
        <f>IF(OR($C546="",$D546=""),"",IF($D546&gt;=$C546,($D546-$C546)*24,(1-$C546+$D546)*24))</f>
        <v/>
      </c>
      <c r="L546" s="34" t="n"/>
      <c r="M546" s="53">
        <f t="array" ref="M546">IFERROR(INDEX(EXCEPCIONES_FECHA!$D$2:$D$201,MATCH(1,(EXCEPCIONES_FECHA!$A$2:$A$201=$A546)*(EXCEPCIONES_FECHA!$B$2:$B$201=$B546),0)),IFERROR(INDEX(EXCEPCIONES_FECHA!$D$2:$D$201,MATCH(1,(EXCEPCIONES_FECHA!$A$2:$A$201=$A546)*(EXCEPCIONES_FECHA!$B$2:$B$201=""),0)),IFERROR(INDEX(IF($I546="FIN",HISTORIAL_HORARIOS!$J$2:$J$201,HISTORIAL_HORARIOS!$F$2:$F$201),MATCH(1,(HISTORIAL_HORARIOS!$A$2:$A$201=$B546)*(HISTORIAL_HORARIOS!$C$2:$C$201&lt;=$A546)*(HISTORIAL_HORARIOS!$D$2:$D$201&gt;=$A546),0)),INDEX(IF($I546="FIN",PERSONAL!$J$2:$J$80,PERSONAL!$F$2:$F$80),MATCH($B546,PERSONAL!$A$2:$A$80,0)))))</f>
        <v/>
      </c>
      <c r="N546" s="53">
        <f t="array" ref="N546">IFERROR(INDEX(EXCEPCIONES_FECHA!$E$2:$E$201,MATCH(1,(EXCEPCIONES_FECHA!$A$2:$A$201=$A546)*(EXCEPCIONES_FECHA!$B$2:$B$201=$B546),0)),IFERROR(INDEX(EXCEPCIONES_FECHA!$E$2:$E$201,MATCH(1,(EXCEPCIONES_FECHA!$A$2:$A$201=$A546)*(EXCEPCIONES_FECHA!$B$2:$B$201=""),0)),IFERROR(INDEX(IF($I546="FIN",HISTORIAL_HORARIOS!$K$2:$K$201,HISTORIAL_HORARIOS!$G$2:$G$201),MATCH(1,(HISTORIAL_HORARIOS!$A$2:$A$201=$B546)*(HISTORIAL_HORARIOS!$C$2:$C$201&lt;=$A546)*(HISTORIAL_HORARIOS!$D$2:$D$201&gt;=$A546),0)),INDEX(IF($I546="FIN",PERSONAL!$K$2:$K$80,PERSONAL!$G$2:$G$80),MATCH($B546,PERSONAL!$A$2:$A$80,0)))))</f>
        <v/>
      </c>
      <c r="O546" s="53">
        <f t="array" ref="O546">IFERROR(INDEX(EXCEPCIONES_FECHA!$F$2:$F$201,MATCH(1,(EXCEPCIONES_FECHA!$A$2:$A$201=$A546)*(EXCEPCIONES_FECHA!$B$2:$B$201=$B546),0)),IFERROR(INDEX(EXCEPCIONES_FECHA!$F$2:$F$201,MATCH(1,(EXCEPCIONES_FECHA!$A$2:$A$201=$A546)*(EXCEPCIONES_FECHA!$B$2:$B$201=""),0)),IFERROR(INDEX(IF($I546="FIN",HISTORIAL_HORARIOS!$L$2:$L$201,HISTORIAL_HORARIOS!$H$2:$H$201),MATCH(1,(HISTORIAL_HORARIOS!$A$2:$A$201=$B546)*(HISTORIAL_HORARIOS!$C$2:$C$201&lt;=$A546)*(HISTORIAL_HORARIOS!$D$2:$D$201&gt;=$A546),0)),INDEX(IF($I546="FIN",PERSONAL!$L$2:$L$80,PERSONAL!$H$2:$H$80),MATCH($B546,PERSONAL!$A$2:$A$80,0)))))</f>
        <v/>
      </c>
    </row>
    <row r="547" ht="15" customHeight="1" s="58">
      <c r="A547" s="37" t="n"/>
      <c r="B547" s="38" t="n"/>
      <c r="C547" s="39" t="n"/>
      <c r="D547" s="39" t="n"/>
      <c r="E547" s="34">
        <f t="array" ref="E547">IF($B547="","",IFERROR(INDEX(PERSONAL!$B$2:$B$80,MATCH($B547,PERSONAL!$A$2:$A$80,0)),"NO EXISTE"))</f>
        <v/>
      </c>
      <c r="F547" s="52">
        <f t="array" ref="F547">IF($B547="","",IFERROR(INDEX(PERSONAL!$C$2:$C$80,MATCH($B547,PERSONAL!$A$2:$A$80,0)),""))</f>
        <v/>
      </c>
      <c r="G547" s="52">
        <f>IF($A547="","",CHOOSE(WEEKDAY($A547,2),"LUNES","MARTES","MIÉRCOLES","JUEVES","VIERNES","SÁBADO","DOMINGO"))</f>
        <v/>
      </c>
      <c r="H547" s="34">
        <f>IF($A547="","",CHOOSE(MONTH($A547),"ENERO","FEBRERO","MARZO","ABRIL","MAYO","JUNIO","JULIO","AGOSTO","SEPTIEMBRE","OCTUBRE","NOVIEMBRE","DICIEMBRE"))</f>
        <v/>
      </c>
      <c r="I547" s="34">
        <f>IF($A547="","",IF(OR($G547="SÁBADO",$G547="DOMINGO"),"FIN","LV"))</f>
        <v/>
      </c>
      <c r="J547" s="34">
        <f>IF(OR($A547="",$B547=""),"",IF($L547&lt;&gt;"",UPPER($L547),IF($C547="","FALTA",IFERROR(IF($C547&gt;=$O547,"ROJO FUERTE",IF($C547&gt;=$N547,"ROJO",IF($C547&gt;=$M547,"AMARILLO","VERDE"))),"REVISAR"))))</f>
        <v/>
      </c>
      <c r="K547" s="36">
        <f>IF(OR($C547="",$D547=""),"",IF($D547&gt;=$C547,($D547-$C547)*24,(1-$C547+$D547)*24))</f>
        <v/>
      </c>
      <c r="L547" s="34" t="n"/>
      <c r="M547" s="53">
        <f t="array" ref="M547">IFERROR(INDEX(EXCEPCIONES_FECHA!$D$2:$D$201,MATCH(1,(EXCEPCIONES_FECHA!$A$2:$A$201=$A547)*(EXCEPCIONES_FECHA!$B$2:$B$201=$B547),0)),IFERROR(INDEX(EXCEPCIONES_FECHA!$D$2:$D$201,MATCH(1,(EXCEPCIONES_FECHA!$A$2:$A$201=$A547)*(EXCEPCIONES_FECHA!$B$2:$B$201=""),0)),IFERROR(INDEX(IF($I547="FIN",HISTORIAL_HORARIOS!$J$2:$J$201,HISTORIAL_HORARIOS!$F$2:$F$201),MATCH(1,(HISTORIAL_HORARIOS!$A$2:$A$201=$B547)*(HISTORIAL_HORARIOS!$C$2:$C$201&lt;=$A547)*(HISTORIAL_HORARIOS!$D$2:$D$201&gt;=$A547),0)),INDEX(IF($I547="FIN",PERSONAL!$J$2:$J$80,PERSONAL!$F$2:$F$80),MATCH($B547,PERSONAL!$A$2:$A$80,0)))))</f>
        <v/>
      </c>
      <c r="N547" s="53">
        <f t="array" ref="N547">IFERROR(INDEX(EXCEPCIONES_FECHA!$E$2:$E$201,MATCH(1,(EXCEPCIONES_FECHA!$A$2:$A$201=$A547)*(EXCEPCIONES_FECHA!$B$2:$B$201=$B547),0)),IFERROR(INDEX(EXCEPCIONES_FECHA!$E$2:$E$201,MATCH(1,(EXCEPCIONES_FECHA!$A$2:$A$201=$A547)*(EXCEPCIONES_FECHA!$B$2:$B$201=""),0)),IFERROR(INDEX(IF($I547="FIN",HISTORIAL_HORARIOS!$K$2:$K$201,HISTORIAL_HORARIOS!$G$2:$G$201),MATCH(1,(HISTORIAL_HORARIOS!$A$2:$A$201=$B547)*(HISTORIAL_HORARIOS!$C$2:$C$201&lt;=$A547)*(HISTORIAL_HORARIOS!$D$2:$D$201&gt;=$A547),0)),INDEX(IF($I547="FIN",PERSONAL!$K$2:$K$80,PERSONAL!$G$2:$G$80),MATCH($B547,PERSONAL!$A$2:$A$80,0)))))</f>
        <v/>
      </c>
      <c r="O547" s="53">
        <f t="array" ref="O547">IFERROR(INDEX(EXCEPCIONES_FECHA!$F$2:$F$201,MATCH(1,(EXCEPCIONES_FECHA!$A$2:$A$201=$A547)*(EXCEPCIONES_FECHA!$B$2:$B$201=$B547),0)),IFERROR(INDEX(EXCEPCIONES_FECHA!$F$2:$F$201,MATCH(1,(EXCEPCIONES_FECHA!$A$2:$A$201=$A547)*(EXCEPCIONES_FECHA!$B$2:$B$201=""),0)),IFERROR(INDEX(IF($I547="FIN",HISTORIAL_HORARIOS!$L$2:$L$201,HISTORIAL_HORARIOS!$H$2:$H$201),MATCH(1,(HISTORIAL_HORARIOS!$A$2:$A$201=$B547)*(HISTORIAL_HORARIOS!$C$2:$C$201&lt;=$A547)*(HISTORIAL_HORARIOS!$D$2:$D$201&gt;=$A547),0)),INDEX(IF($I547="FIN",PERSONAL!$L$2:$L$80,PERSONAL!$H$2:$H$80),MATCH($B547,PERSONAL!$A$2:$A$80,0)))))</f>
        <v/>
      </c>
    </row>
    <row r="548" ht="15" customHeight="1" s="58">
      <c r="A548" s="37" t="n"/>
      <c r="B548" s="38" t="n"/>
      <c r="C548" s="39" t="n"/>
      <c r="D548" s="39" t="n"/>
      <c r="E548" s="34">
        <f t="array" ref="E548">IF($B548="","",IFERROR(INDEX(PERSONAL!$B$2:$B$80,MATCH($B548,PERSONAL!$A$2:$A$80,0)),"NO EXISTE"))</f>
        <v/>
      </c>
      <c r="F548" s="52">
        <f t="array" ref="F548">IF($B548="","",IFERROR(INDEX(PERSONAL!$C$2:$C$80,MATCH($B548,PERSONAL!$A$2:$A$80,0)),""))</f>
        <v/>
      </c>
      <c r="G548" s="52">
        <f>IF($A548="","",CHOOSE(WEEKDAY($A548,2),"LUNES","MARTES","MIÉRCOLES","JUEVES","VIERNES","SÁBADO","DOMINGO"))</f>
        <v/>
      </c>
      <c r="H548" s="34">
        <f>IF($A548="","",CHOOSE(MONTH($A548),"ENERO","FEBRERO","MARZO","ABRIL","MAYO","JUNIO","JULIO","AGOSTO","SEPTIEMBRE","OCTUBRE","NOVIEMBRE","DICIEMBRE"))</f>
        <v/>
      </c>
      <c r="I548" s="34">
        <f>IF($A548="","",IF(OR($G548="SÁBADO",$G548="DOMINGO"),"FIN","LV"))</f>
        <v/>
      </c>
      <c r="J548" s="34">
        <f>IF(OR($A548="",$B548=""),"",IF($L548&lt;&gt;"",UPPER($L548),IF($C548="","FALTA",IFERROR(IF($C548&gt;=$O548,"ROJO FUERTE",IF($C548&gt;=$N548,"ROJO",IF($C548&gt;=$M548,"AMARILLO","VERDE"))),"REVISAR"))))</f>
        <v/>
      </c>
      <c r="K548" s="36">
        <f>IF(OR($C548="",$D548=""),"",IF($D548&gt;=$C548,($D548-$C548)*24,(1-$C548+$D548)*24))</f>
        <v/>
      </c>
      <c r="L548" s="34" t="n"/>
      <c r="M548" s="53">
        <f t="array" ref="M548">IFERROR(INDEX(EXCEPCIONES_FECHA!$D$2:$D$201,MATCH(1,(EXCEPCIONES_FECHA!$A$2:$A$201=$A548)*(EXCEPCIONES_FECHA!$B$2:$B$201=$B548),0)),IFERROR(INDEX(EXCEPCIONES_FECHA!$D$2:$D$201,MATCH(1,(EXCEPCIONES_FECHA!$A$2:$A$201=$A548)*(EXCEPCIONES_FECHA!$B$2:$B$201=""),0)),IFERROR(INDEX(IF($I548="FIN",HISTORIAL_HORARIOS!$J$2:$J$201,HISTORIAL_HORARIOS!$F$2:$F$201),MATCH(1,(HISTORIAL_HORARIOS!$A$2:$A$201=$B548)*(HISTORIAL_HORARIOS!$C$2:$C$201&lt;=$A548)*(HISTORIAL_HORARIOS!$D$2:$D$201&gt;=$A548),0)),INDEX(IF($I548="FIN",PERSONAL!$J$2:$J$80,PERSONAL!$F$2:$F$80),MATCH($B548,PERSONAL!$A$2:$A$80,0)))))</f>
        <v/>
      </c>
      <c r="N548" s="53">
        <f t="array" ref="N548">IFERROR(INDEX(EXCEPCIONES_FECHA!$E$2:$E$201,MATCH(1,(EXCEPCIONES_FECHA!$A$2:$A$201=$A548)*(EXCEPCIONES_FECHA!$B$2:$B$201=$B548),0)),IFERROR(INDEX(EXCEPCIONES_FECHA!$E$2:$E$201,MATCH(1,(EXCEPCIONES_FECHA!$A$2:$A$201=$A548)*(EXCEPCIONES_FECHA!$B$2:$B$201=""),0)),IFERROR(INDEX(IF($I548="FIN",HISTORIAL_HORARIOS!$K$2:$K$201,HISTORIAL_HORARIOS!$G$2:$G$201),MATCH(1,(HISTORIAL_HORARIOS!$A$2:$A$201=$B548)*(HISTORIAL_HORARIOS!$C$2:$C$201&lt;=$A548)*(HISTORIAL_HORARIOS!$D$2:$D$201&gt;=$A548),0)),INDEX(IF($I548="FIN",PERSONAL!$K$2:$K$80,PERSONAL!$G$2:$G$80),MATCH($B548,PERSONAL!$A$2:$A$80,0)))))</f>
        <v/>
      </c>
      <c r="O548" s="53">
        <f t="array" ref="O548">IFERROR(INDEX(EXCEPCIONES_FECHA!$F$2:$F$201,MATCH(1,(EXCEPCIONES_FECHA!$A$2:$A$201=$A548)*(EXCEPCIONES_FECHA!$B$2:$B$201=$B548),0)),IFERROR(INDEX(EXCEPCIONES_FECHA!$F$2:$F$201,MATCH(1,(EXCEPCIONES_FECHA!$A$2:$A$201=$A548)*(EXCEPCIONES_FECHA!$B$2:$B$201=""),0)),IFERROR(INDEX(IF($I548="FIN",HISTORIAL_HORARIOS!$L$2:$L$201,HISTORIAL_HORARIOS!$H$2:$H$201),MATCH(1,(HISTORIAL_HORARIOS!$A$2:$A$201=$B548)*(HISTORIAL_HORARIOS!$C$2:$C$201&lt;=$A548)*(HISTORIAL_HORARIOS!$D$2:$D$201&gt;=$A548),0)),INDEX(IF($I548="FIN",PERSONAL!$L$2:$L$80,PERSONAL!$H$2:$H$80),MATCH($B548,PERSONAL!$A$2:$A$80,0)))))</f>
        <v/>
      </c>
    </row>
    <row r="549" ht="15" customHeight="1" s="58">
      <c r="A549" s="37" t="n"/>
      <c r="B549" s="38" t="n"/>
      <c r="C549" s="39" t="n"/>
      <c r="D549" s="39" t="n"/>
      <c r="E549" s="34">
        <f t="array" ref="E549">IF($B549="","",IFERROR(INDEX(PERSONAL!$B$2:$B$80,MATCH($B549,PERSONAL!$A$2:$A$80,0)),"NO EXISTE"))</f>
        <v/>
      </c>
      <c r="F549" s="52">
        <f t="array" ref="F549">IF($B549="","",IFERROR(INDEX(PERSONAL!$C$2:$C$80,MATCH($B549,PERSONAL!$A$2:$A$80,0)),""))</f>
        <v/>
      </c>
      <c r="G549" s="52">
        <f>IF($A549="","",CHOOSE(WEEKDAY($A549,2),"LUNES","MARTES","MIÉRCOLES","JUEVES","VIERNES","SÁBADO","DOMINGO"))</f>
        <v/>
      </c>
      <c r="H549" s="34">
        <f>IF($A549="","",CHOOSE(MONTH($A549),"ENERO","FEBRERO","MARZO","ABRIL","MAYO","JUNIO","JULIO","AGOSTO","SEPTIEMBRE","OCTUBRE","NOVIEMBRE","DICIEMBRE"))</f>
        <v/>
      </c>
      <c r="I549" s="34">
        <f>IF($A549="","",IF(OR($G549="SÁBADO",$G549="DOMINGO"),"FIN","LV"))</f>
        <v/>
      </c>
      <c r="J549" s="34">
        <f>IF(OR($A549="",$B549=""),"",IF($L549&lt;&gt;"",UPPER($L549),IF($C549="","FALTA",IFERROR(IF($C549&gt;=$O549,"ROJO FUERTE",IF($C549&gt;=$N549,"ROJO",IF($C549&gt;=$M549,"AMARILLO","VERDE"))),"REVISAR"))))</f>
        <v/>
      </c>
      <c r="K549" s="36">
        <f>IF(OR($C549="",$D549=""),"",IF($D549&gt;=$C549,($D549-$C549)*24,(1-$C549+$D549)*24))</f>
        <v/>
      </c>
      <c r="L549" s="34" t="n"/>
      <c r="M549" s="53">
        <f t="array" ref="M549">IFERROR(INDEX(EXCEPCIONES_FECHA!$D$2:$D$201,MATCH(1,(EXCEPCIONES_FECHA!$A$2:$A$201=$A549)*(EXCEPCIONES_FECHA!$B$2:$B$201=$B549),0)),IFERROR(INDEX(EXCEPCIONES_FECHA!$D$2:$D$201,MATCH(1,(EXCEPCIONES_FECHA!$A$2:$A$201=$A549)*(EXCEPCIONES_FECHA!$B$2:$B$201=""),0)),IFERROR(INDEX(IF($I549="FIN",HISTORIAL_HORARIOS!$J$2:$J$201,HISTORIAL_HORARIOS!$F$2:$F$201),MATCH(1,(HISTORIAL_HORARIOS!$A$2:$A$201=$B549)*(HISTORIAL_HORARIOS!$C$2:$C$201&lt;=$A549)*(HISTORIAL_HORARIOS!$D$2:$D$201&gt;=$A549),0)),INDEX(IF($I549="FIN",PERSONAL!$J$2:$J$80,PERSONAL!$F$2:$F$80),MATCH($B549,PERSONAL!$A$2:$A$80,0)))))</f>
        <v/>
      </c>
      <c r="N549" s="53">
        <f t="array" ref="N549">IFERROR(INDEX(EXCEPCIONES_FECHA!$E$2:$E$201,MATCH(1,(EXCEPCIONES_FECHA!$A$2:$A$201=$A549)*(EXCEPCIONES_FECHA!$B$2:$B$201=$B549),0)),IFERROR(INDEX(EXCEPCIONES_FECHA!$E$2:$E$201,MATCH(1,(EXCEPCIONES_FECHA!$A$2:$A$201=$A549)*(EXCEPCIONES_FECHA!$B$2:$B$201=""),0)),IFERROR(INDEX(IF($I549="FIN",HISTORIAL_HORARIOS!$K$2:$K$201,HISTORIAL_HORARIOS!$G$2:$G$201),MATCH(1,(HISTORIAL_HORARIOS!$A$2:$A$201=$B549)*(HISTORIAL_HORARIOS!$C$2:$C$201&lt;=$A549)*(HISTORIAL_HORARIOS!$D$2:$D$201&gt;=$A549),0)),INDEX(IF($I549="FIN",PERSONAL!$K$2:$K$80,PERSONAL!$G$2:$G$80),MATCH($B549,PERSONAL!$A$2:$A$80,0)))))</f>
        <v/>
      </c>
      <c r="O549" s="53">
        <f t="array" ref="O549">IFERROR(INDEX(EXCEPCIONES_FECHA!$F$2:$F$201,MATCH(1,(EXCEPCIONES_FECHA!$A$2:$A$201=$A549)*(EXCEPCIONES_FECHA!$B$2:$B$201=$B549),0)),IFERROR(INDEX(EXCEPCIONES_FECHA!$F$2:$F$201,MATCH(1,(EXCEPCIONES_FECHA!$A$2:$A$201=$A549)*(EXCEPCIONES_FECHA!$B$2:$B$201=""),0)),IFERROR(INDEX(IF($I549="FIN",HISTORIAL_HORARIOS!$L$2:$L$201,HISTORIAL_HORARIOS!$H$2:$H$201),MATCH(1,(HISTORIAL_HORARIOS!$A$2:$A$201=$B549)*(HISTORIAL_HORARIOS!$C$2:$C$201&lt;=$A549)*(HISTORIAL_HORARIOS!$D$2:$D$201&gt;=$A549),0)),INDEX(IF($I549="FIN",PERSONAL!$L$2:$L$80,PERSONAL!$H$2:$H$80),MATCH($B549,PERSONAL!$A$2:$A$80,0)))))</f>
        <v/>
      </c>
    </row>
    <row r="550" ht="15" customHeight="1" s="58">
      <c r="A550" s="37" t="n"/>
      <c r="B550" s="38" t="n"/>
      <c r="C550" s="39" t="n"/>
      <c r="D550" s="39" t="n"/>
      <c r="E550" s="34">
        <f t="array" ref="E550">IF($B550="","",IFERROR(INDEX(PERSONAL!$B$2:$B$80,MATCH($B550,PERSONAL!$A$2:$A$80,0)),"NO EXISTE"))</f>
        <v/>
      </c>
      <c r="F550" s="52">
        <f t="array" ref="F550">IF($B550="","",IFERROR(INDEX(PERSONAL!$C$2:$C$80,MATCH($B550,PERSONAL!$A$2:$A$80,0)),""))</f>
        <v/>
      </c>
      <c r="G550" s="52">
        <f>IF($A550="","",CHOOSE(WEEKDAY($A550,2),"LUNES","MARTES","MIÉRCOLES","JUEVES","VIERNES","SÁBADO","DOMINGO"))</f>
        <v/>
      </c>
      <c r="H550" s="34">
        <f>IF($A550="","",CHOOSE(MONTH($A550),"ENERO","FEBRERO","MARZO","ABRIL","MAYO","JUNIO","JULIO","AGOSTO","SEPTIEMBRE","OCTUBRE","NOVIEMBRE","DICIEMBRE"))</f>
        <v/>
      </c>
      <c r="I550" s="34">
        <f>IF($A550="","",IF(OR($G550="SÁBADO",$G550="DOMINGO"),"FIN","LV"))</f>
        <v/>
      </c>
      <c r="J550" s="34">
        <f>IF(OR($A550="",$B550=""),"",IF($L550&lt;&gt;"",UPPER($L550),IF($C550="","FALTA",IFERROR(IF($C550&gt;=$O550,"ROJO FUERTE",IF($C550&gt;=$N550,"ROJO",IF($C550&gt;=$M550,"AMARILLO","VERDE"))),"REVISAR"))))</f>
        <v/>
      </c>
      <c r="K550" s="36">
        <f>IF(OR($C550="",$D550=""),"",IF($D550&gt;=$C550,($D550-$C550)*24,(1-$C550+$D550)*24))</f>
        <v/>
      </c>
      <c r="L550" s="34" t="n"/>
      <c r="M550" s="53">
        <f t="array" ref="M550">IFERROR(INDEX(EXCEPCIONES_FECHA!$D$2:$D$201,MATCH(1,(EXCEPCIONES_FECHA!$A$2:$A$201=$A550)*(EXCEPCIONES_FECHA!$B$2:$B$201=$B550),0)),IFERROR(INDEX(EXCEPCIONES_FECHA!$D$2:$D$201,MATCH(1,(EXCEPCIONES_FECHA!$A$2:$A$201=$A550)*(EXCEPCIONES_FECHA!$B$2:$B$201=""),0)),IFERROR(INDEX(IF($I550="FIN",HISTORIAL_HORARIOS!$J$2:$J$201,HISTORIAL_HORARIOS!$F$2:$F$201),MATCH(1,(HISTORIAL_HORARIOS!$A$2:$A$201=$B550)*(HISTORIAL_HORARIOS!$C$2:$C$201&lt;=$A550)*(HISTORIAL_HORARIOS!$D$2:$D$201&gt;=$A550),0)),INDEX(IF($I550="FIN",PERSONAL!$J$2:$J$80,PERSONAL!$F$2:$F$80),MATCH($B550,PERSONAL!$A$2:$A$80,0)))))</f>
        <v/>
      </c>
      <c r="N550" s="53">
        <f t="array" ref="N550">IFERROR(INDEX(EXCEPCIONES_FECHA!$E$2:$E$201,MATCH(1,(EXCEPCIONES_FECHA!$A$2:$A$201=$A550)*(EXCEPCIONES_FECHA!$B$2:$B$201=$B550),0)),IFERROR(INDEX(EXCEPCIONES_FECHA!$E$2:$E$201,MATCH(1,(EXCEPCIONES_FECHA!$A$2:$A$201=$A550)*(EXCEPCIONES_FECHA!$B$2:$B$201=""),0)),IFERROR(INDEX(IF($I550="FIN",HISTORIAL_HORARIOS!$K$2:$K$201,HISTORIAL_HORARIOS!$G$2:$G$201),MATCH(1,(HISTORIAL_HORARIOS!$A$2:$A$201=$B550)*(HISTORIAL_HORARIOS!$C$2:$C$201&lt;=$A550)*(HISTORIAL_HORARIOS!$D$2:$D$201&gt;=$A550),0)),INDEX(IF($I550="FIN",PERSONAL!$K$2:$K$80,PERSONAL!$G$2:$G$80),MATCH($B550,PERSONAL!$A$2:$A$80,0)))))</f>
        <v/>
      </c>
      <c r="O550" s="53">
        <f t="array" ref="O550">IFERROR(INDEX(EXCEPCIONES_FECHA!$F$2:$F$201,MATCH(1,(EXCEPCIONES_FECHA!$A$2:$A$201=$A550)*(EXCEPCIONES_FECHA!$B$2:$B$201=$B550),0)),IFERROR(INDEX(EXCEPCIONES_FECHA!$F$2:$F$201,MATCH(1,(EXCEPCIONES_FECHA!$A$2:$A$201=$A550)*(EXCEPCIONES_FECHA!$B$2:$B$201=""),0)),IFERROR(INDEX(IF($I550="FIN",HISTORIAL_HORARIOS!$L$2:$L$201,HISTORIAL_HORARIOS!$H$2:$H$201),MATCH(1,(HISTORIAL_HORARIOS!$A$2:$A$201=$B550)*(HISTORIAL_HORARIOS!$C$2:$C$201&lt;=$A550)*(HISTORIAL_HORARIOS!$D$2:$D$201&gt;=$A550),0)),INDEX(IF($I550="FIN",PERSONAL!$L$2:$L$80,PERSONAL!$H$2:$H$80),MATCH($B550,PERSONAL!$A$2:$A$80,0)))))</f>
        <v/>
      </c>
    </row>
    <row r="551" ht="15" customHeight="1" s="58">
      <c r="A551" s="37" t="n"/>
      <c r="B551" s="38" t="n"/>
      <c r="C551" s="39" t="n"/>
      <c r="D551" s="39" t="n"/>
      <c r="E551" s="34">
        <f t="array" ref="E551">IF($B551="","",IFERROR(INDEX(PERSONAL!$B$2:$B$80,MATCH($B551,PERSONAL!$A$2:$A$80,0)),"NO EXISTE"))</f>
        <v/>
      </c>
      <c r="F551" s="52">
        <f t="array" ref="F551">IF($B551="","",IFERROR(INDEX(PERSONAL!$C$2:$C$80,MATCH($B551,PERSONAL!$A$2:$A$80,0)),""))</f>
        <v/>
      </c>
      <c r="G551" s="52">
        <f>IF($A551="","",CHOOSE(WEEKDAY($A551,2),"LUNES","MARTES","MIÉRCOLES","JUEVES","VIERNES","SÁBADO","DOMINGO"))</f>
        <v/>
      </c>
      <c r="H551" s="34">
        <f>IF($A551="","",CHOOSE(MONTH($A551),"ENERO","FEBRERO","MARZO","ABRIL","MAYO","JUNIO","JULIO","AGOSTO","SEPTIEMBRE","OCTUBRE","NOVIEMBRE","DICIEMBRE"))</f>
        <v/>
      </c>
      <c r="I551" s="34">
        <f>IF($A551="","",IF(OR($G551="SÁBADO",$G551="DOMINGO"),"FIN","LV"))</f>
        <v/>
      </c>
      <c r="J551" s="34">
        <f>IF(OR($A551="",$B551=""),"",IF($L551&lt;&gt;"",UPPER($L551),IF($C551="","FALTA",IFERROR(IF($C551&gt;=$O551,"ROJO FUERTE",IF($C551&gt;=$N551,"ROJO",IF($C551&gt;=$M551,"AMARILLO","VERDE"))),"REVISAR"))))</f>
        <v/>
      </c>
      <c r="K551" s="36">
        <f>IF(OR($C551="",$D551=""),"",IF($D551&gt;=$C551,($D551-$C551)*24,(1-$C551+$D551)*24))</f>
        <v/>
      </c>
      <c r="L551" s="34" t="n"/>
      <c r="M551" s="53">
        <f t="array" ref="M551">IFERROR(INDEX(EXCEPCIONES_FECHA!$D$2:$D$201,MATCH(1,(EXCEPCIONES_FECHA!$A$2:$A$201=$A551)*(EXCEPCIONES_FECHA!$B$2:$B$201=$B551),0)),IFERROR(INDEX(EXCEPCIONES_FECHA!$D$2:$D$201,MATCH(1,(EXCEPCIONES_FECHA!$A$2:$A$201=$A551)*(EXCEPCIONES_FECHA!$B$2:$B$201=""),0)),IFERROR(INDEX(IF($I551="FIN",HISTORIAL_HORARIOS!$J$2:$J$201,HISTORIAL_HORARIOS!$F$2:$F$201),MATCH(1,(HISTORIAL_HORARIOS!$A$2:$A$201=$B551)*(HISTORIAL_HORARIOS!$C$2:$C$201&lt;=$A551)*(HISTORIAL_HORARIOS!$D$2:$D$201&gt;=$A551),0)),INDEX(IF($I551="FIN",PERSONAL!$J$2:$J$80,PERSONAL!$F$2:$F$80),MATCH($B551,PERSONAL!$A$2:$A$80,0)))))</f>
        <v/>
      </c>
      <c r="N551" s="53">
        <f t="array" ref="N551">IFERROR(INDEX(EXCEPCIONES_FECHA!$E$2:$E$201,MATCH(1,(EXCEPCIONES_FECHA!$A$2:$A$201=$A551)*(EXCEPCIONES_FECHA!$B$2:$B$201=$B551),0)),IFERROR(INDEX(EXCEPCIONES_FECHA!$E$2:$E$201,MATCH(1,(EXCEPCIONES_FECHA!$A$2:$A$201=$A551)*(EXCEPCIONES_FECHA!$B$2:$B$201=""),0)),IFERROR(INDEX(IF($I551="FIN",HISTORIAL_HORARIOS!$K$2:$K$201,HISTORIAL_HORARIOS!$G$2:$G$201),MATCH(1,(HISTORIAL_HORARIOS!$A$2:$A$201=$B551)*(HISTORIAL_HORARIOS!$C$2:$C$201&lt;=$A551)*(HISTORIAL_HORARIOS!$D$2:$D$201&gt;=$A551),0)),INDEX(IF($I551="FIN",PERSONAL!$K$2:$K$80,PERSONAL!$G$2:$G$80),MATCH($B551,PERSONAL!$A$2:$A$80,0)))))</f>
        <v/>
      </c>
      <c r="O551" s="53">
        <f t="array" ref="O551">IFERROR(INDEX(EXCEPCIONES_FECHA!$F$2:$F$201,MATCH(1,(EXCEPCIONES_FECHA!$A$2:$A$201=$A551)*(EXCEPCIONES_FECHA!$B$2:$B$201=$B551),0)),IFERROR(INDEX(EXCEPCIONES_FECHA!$F$2:$F$201,MATCH(1,(EXCEPCIONES_FECHA!$A$2:$A$201=$A551)*(EXCEPCIONES_FECHA!$B$2:$B$201=""),0)),IFERROR(INDEX(IF($I551="FIN",HISTORIAL_HORARIOS!$L$2:$L$201,HISTORIAL_HORARIOS!$H$2:$H$201),MATCH(1,(HISTORIAL_HORARIOS!$A$2:$A$201=$B551)*(HISTORIAL_HORARIOS!$C$2:$C$201&lt;=$A551)*(HISTORIAL_HORARIOS!$D$2:$D$201&gt;=$A551),0)),INDEX(IF($I551="FIN",PERSONAL!$L$2:$L$80,PERSONAL!$H$2:$H$80),MATCH($B551,PERSONAL!$A$2:$A$80,0)))))</f>
        <v/>
      </c>
    </row>
    <row r="552" ht="15" customHeight="1" s="58">
      <c r="A552" s="37" t="n"/>
      <c r="B552" s="38" t="n"/>
      <c r="C552" s="39" t="n"/>
      <c r="D552" s="39" t="n"/>
      <c r="E552" s="34">
        <f t="array" ref="E552">IF($B552="","",IFERROR(INDEX(PERSONAL!$B$2:$B$80,MATCH($B552,PERSONAL!$A$2:$A$80,0)),"NO EXISTE"))</f>
        <v/>
      </c>
      <c r="F552" s="52">
        <f t="array" ref="F552">IF($B552="","",IFERROR(INDEX(PERSONAL!$C$2:$C$80,MATCH($B552,PERSONAL!$A$2:$A$80,0)),""))</f>
        <v/>
      </c>
      <c r="G552" s="52">
        <f>IF($A552="","",CHOOSE(WEEKDAY($A552,2),"LUNES","MARTES","MIÉRCOLES","JUEVES","VIERNES","SÁBADO","DOMINGO"))</f>
        <v/>
      </c>
      <c r="H552" s="34">
        <f>IF($A552="","",CHOOSE(MONTH($A552),"ENERO","FEBRERO","MARZO","ABRIL","MAYO","JUNIO","JULIO","AGOSTO","SEPTIEMBRE","OCTUBRE","NOVIEMBRE","DICIEMBRE"))</f>
        <v/>
      </c>
      <c r="I552" s="34">
        <f>IF($A552="","",IF(OR($G552="SÁBADO",$G552="DOMINGO"),"FIN","LV"))</f>
        <v/>
      </c>
      <c r="J552" s="34">
        <f>IF(OR($A552="",$B552=""),"",IF($L552&lt;&gt;"",UPPER($L552),IF($C552="","FALTA",IFERROR(IF($C552&gt;=$O552,"ROJO FUERTE",IF($C552&gt;=$N552,"ROJO",IF($C552&gt;=$M552,"AMARILLO","VERDE"))),"REVISAR"))))</f>
        <v/>
      </c>
      <c r="K552" s="36">
        <f>IF(OR($C552="",$D552=""),"",IF($D552&gt;=$C552,($D552-$C552)*24,(1-$C552+$D552)*24))</f>
        <v/>
      </c>
      <c r="L552" s="34" t="n"/>
      <c r="M552" s="53">
        <f t="array" ref="M552">IFERROR(INDEX(EXCEPCIONES_FECHA!$D$2:$D$201,MATCH(1,(EXCEPCIONES_FECHA!$A$2:$A$201=$A552)*(EXCEPCIONES_FECHA!$B$2:$B$201=$B552),0)),IFERROR(INDEX(EXCEPCIONES_FECHA!$D$2:$D$201,MATCH(1,(EXCEPCIONES_FECHA!$A$2:$A$201=$A552)*(EXCEPCIONES_FECHA!$B$2:$B$201=""),0)),IFERROR(INDEX(IF($I552="FIN",HISTORIAL_HORARIOS!$J$2:$J$201,HISTORIAL_HORARIOS!$F$2:$F$201),MATCH(1,(HISTORIAL_HORARIOS!$A$2:$A$201=$B552)*(HISTORIAL_HORARIOS!$C$2:$C$201&lt;=$A552)*(HISTORIAL_HORARIOS!$D$2:$D$201&gt;=$A552),0)),INDEX(IF($I552="FIN",PERSONAL!$J$2:$J$80,PERSONAL!$F$2:$F$80),MATCH($B552,PERSONAL!$A$2:$A$80,0)))))</f>
        <v/>
      </c>
      <c r="N552" s="53">
        <f t="array" ref="N552">IFERROR(INDEX(EXCEPCIONES_FECHA!$E$2:$E$201,MATCH(1,(EXCEPCIONES_FECHA!$A$2:$A$201=$A552)*(EXCEPCIONES_FECHA!$B$2:$B$201=$B552),0)),IFERROR(INDEX(EXCEPCIONES_FECHA!$E$2:$E$201,MATCH(1,(EXCEPCIONES_FECHA!$A$2:$A$201=$A552)*(EXCEPCIONES_FECHA!$B$2:$B$201=""),0)),IFERROR(INDEX(IF($I552="FIN",HISTORIAL_HORARIOS!$K$2:$K$201,HISTORIAL_HORARIOS!$G$2:$G$201),MATCH(1,(HISTORIAL_HORARIOS!$A$2:$A$201=$B552)*(HISTORIAL_HORARIOS!$C$2:$C$201&lt;=$A552)*(HISTORIAL_HORARIOS!$D$2:$D$201&gt;=$A552),0)),INDEX(IF($I552="FIN",PERSONAL!$K$2:$K$80,PERSONAL!$G$2:$G$80),MATCH($B552,PERSONAL!$A$2:$A$80,0)))))</f>
        <v/>
      </c>
      <c r="O552" s="53">
        <f t="array" ref="O552">IFERROR(INDEX(EXCEPCIONES_FECHA!$F$2:$F$201,MATCH(1,(EXCEPCIONES_FECHA!$A$2:$A$201=$A552)*(EXCEPCIONES_FECHA!$B$2:$B$201=$B552),0)),IFERROR(INDEX(EXCEPCIONES_FECHA!$F$2:$F$201,MATCH(1,(EXCEPCIONES_FECHA!$A$2:$A$201=$A552)*(EXCEPCIONES_FECHA!$B$2:$B$201=""),0)),IFERROR(INDEX(IF($I552="FIN",HISTORIAL_HORARIOS!$L$2:$L$201,HISTORIAL_HORARIOS!$H$2:$H$201),MATCH(1,(HISTORIAL_HORARIOS!$A$2:$A$201=$B552)*(HISTORIAL_HORARIOS!$C$2:$C$201&lt;=$A552)*(HISTORIAL_HORARIOS!$D$2:$D$201&gt;=$A552),0)),INDEX(IF($I552="FIN",PERSONAL!$L$2:$L$80,PERSONAL!$H$2:$H$80),MATCH($B552,PERSONAL!$A$2:$A$80,0)))))</f>
        <v/>
      </c>
    </row>
    <row r="553" ht="15" customHeight="1" s="58">
      <c r="A553" s="37" t="n"/>
      <c r="B553" s="38" t="n"/>
      <c r="C553" s="39" t="n"/>
      <c r="D553" s="39" t="n"/>
      <c r="E553" s="34">
        <f t="array" ref="E553">IF($B553="","",IFERROR(INDEX(PERSONAL!$B$2:$B$80,MATCH($B553,PERSONAL!$A$2:$A$80,0)),"NO EXISTE"))</f>
        <v/>
      </c>
      <c r="F553" s="52">
        <f t="array" ref="F553">IF($B553="","",IFERROR(INDEX(PERSONAL!$C$2:$C$80,MATCH($B553,PERSONAL!$A$2:$A$80,0)),""))</f>
        <v/>
      </c>
      <c r="G553" s="52">
        <f>IF($A553="","",CHOOSE(WEEKDAY($A553,2),"LUNES","MARTES","MIÉRCOLES","JUEVES","VIERNES","SÁBADO","DOMINGO"))</f>
        <v/>
      </c>
      <c r="H553" s="34">
        <f>IF($A553="","",CHOOSE(MONTH($A553),"ENERO","FEBRERO","MARZO","ABRIL","MAYO","JUNIO","JULIO","AGOSTO","SEPTIEMBRE","OCTUBRE","NOVIEMBRE","DICIEMBRE"))</f>
        <v/>
      </c>
      <c r="I553" s="34">
        <f>IF($A553="","",IF(OR($G553="SÁBADO",$G553="DOMINGO"),"FIN","LV"))</f>
        <v/>
      </c>
      <c r="J553" s="34">
        <f>IF(OR($A553="",$B553=""),"",IF($L553&lt;&gt;"",UPPER($L553),IF($C553="","FALTA",IFERROR(IF($C553&gt;=$O553,"ROJO FUERTE",IF($C553&gt;=$N553,"ROJO",IF($C553&gt;=$M553,"AMARILLO","VERDE"))),"REVISAR"))))</f>
        <v/>
      </c>
      <c r="K553" s="36">
        <f>IF(OR($C553="",$D553=""),"",IF($D553&gt;=$C553,($D553-$C553)*24,(1-$C553+$D553)*24))</f>
        <v/>
      </c>
      <c r="L553" s="34" t="n"/>
      <c r="M553" s="53">
        <f t="array" ref="M553">IFERROR(INDEX(EXCEPCIONES_FECHA!$D$2:$D$201,MATCH(1,(EXCEPCIONES_FECHA!$A$2:$A$201=$A553)*(EXCEPCIONES_FECHA!$B$2:$B$201=$B553),0)),IFERROR(INDEX(EXCEPCIONES_FECHA!$D$2:$D$201,MATCH(1,(EXCEPCIONES_FECHA!$A$2:$A$201=$A553)*(EXCEPCIONES_FECHA!$B$2:$B$201=""),0)),IFERROR(INDEX(IF($I553="FIN",HISTORIAL_HORARIOS!$J$2:$J$201,HISTORIAL_HORARIOS!$F$2:$F$201),MATCH(1,(HISTORIAL_HORARIOS!$A$2:$A$201=$B553)*(HISTORIAL_HORARIOS!$C$2:$C$201&lt;=$A553)*(HISTORIAL_HORARIOS!$D$2:$D$201&gt;=$A553),0)),INDEX(IF($I553="FIN",PERSONAL!$J$2:$J$80,PERSONAL!$F$2:$F$80),MATCH($B553,PERSONAL!$A$2:$A$80,0)))))</f>
        <v/>
      </c>
      <c r="N553" s="53">
        <f t="array" ref="N553">IFERROR(INDEX(EXCEPCIONES_FECHA!$E$2:$E$201,MATCH(1,(EXCEPCIONES_FECHA!$A$2:$A$201=$A553)*(EXCEPCIONES_FECHA!$B$2:$B$201=$B553),0)),IFERROR(INDEX(EXCEPCIONES_FECHA!$E$2:$E$201,MATCH(1,(EXCEPCIONES_FECHA!$A$2:$A$201=$A553)*(EXCEPCIONES_FECHA!$B$2:$B$201=""),0)),IFERROR(INDEX(IF($I553="FIN",HISTORIAL_HORARIOS!$K$2:$K$201,HISTORIAL_HORARIOS!$G$2:$G$201),MATCH(1,(HISTORIAL_HORARIOS!$A$2:$A$201=$B553)*(HISTORIAL_HORARIOS!$C$2:$C$201&lt;=$A553)*(HISTORIAL_HORARIOS!$D$2:$D$201&gt;=$A553),0)),INDEX(IF($I553="FIN",PERSONAL!$K$2:$K$80,PERSONAL!$G$2:$G$80),MATCH($B553,PERSONAL!$A$2:$A$80,0)))))</f>
        <v/>
      </c>
      <c r="O553" s="53">
        <f t="array" ref="O553">IFERROR(INDEX(EXCEPCIONES_FECHA!$F$2:$F$201,MATCH(1,(EXCEPCIONES_FECHA!$A$2:$A$201=$A553)*(EXCEPCIONES_FECHA!$B$2:$B$201=$B553),0)),IFERROR(INDEX(EXCEPCIONES_FECHA!$F$2:$F$201,MATCH(1,(EXCEPCIONES_FECHA!$A$2:$A$201=$A553)*(EXCEPCIONES_FECHA!$B$2:$B$201=""),0)),IFERROR(INDEX(IF($I553="FIN",HISTORIAL_HORARIOS!$L$2:$L$201,HISTORIAL_HORARIOS!$H$2:$H$201),MATCH(1,(HISTORIAL_HORARIOS!$A$2:$A$201=$B553)*(HISTORIAL_HORARIOS!$C$2:$C$201&lt;=$A553)*(HISTORIAL_HORARIOS!$D$2:$D$201&gt;=$A553),0)),INDEX(IF($I553="FIN",PERSONAL!$L$2:$L$80,PERSONAL!$H$2:$H$80),MATCH($B553,PERSONAL!$A$2:$A$80,0)))))</f>
        <v/>
      </c>
    </row>
    <row r="554" ht="15" customHeight="1" s="58">
      <c r="A554" s="37" t="n"/>
      <c r="B554" s="38" t="n"/>
      <c r="C554" s="39" t="n"/>
      <c r="D554" s="39" t="n"/>
      <c r="E554" s="34">
        <f t="array" ref="E554">IF($B554="","",IFERROR(INDEX(PERSONAL!$B$2:$B$80,MATCH($B554,PERSONAL!$A$2:$A$80,0)),"NO EXISTE"))</f>
        <v/>
      </c>
      <c r="F554" s="52">
        <f t="array" ref="F554">IF($B554="","",IFERROR(INDEX(PERSONAL!$C$2:$C$80,MATCH($B554,PERSONAL!$A$2:$A$80,0)),""))</f>
        <v/>
      </c>
      <c r="G554" s="52">
        <f>IF($A554="","",CHOOSE(WEEKDAY($A554,2),"LUNES","MARTES","MIÉRCOLES","JUEVES","VIERNES","SÁBADO","DOMINGO"))</f>
        <v/>
      </c>
      <c r="H554" s="34">
        <f>IF($A554="","",CHOOSE(MONTH($A554),"ENERO","FEBRERO","MARZO","ABRIL","MAYO","JUNIO","JULIO","AGOSTO","SEPTIEMBRE","OCTUBRE","NOVIEMBRE","DICIEMBRE"))</f>
        <v/>
      </c>
      <c r="I554" s="34">
        <f>IF($A554="","",IF(OR($G554="SÁBADO",$G554="DOMINGO"),"FIN","LV"))</f>
        <v/>
      </c>
      <c r="J554" s="34">
        <f>IF(OR($A554="",$B554=""),"",IF($L554&lt;&gt;"",UPPER($L554),IF($C554="","FALTA",IFERROR(IF($C554&gt;=$O554,"ROJO FUERTE",IF($C554&gt;=$N554,"ROJO",IF($C554&gt;=$M554,"AMARILLO","VERDE"))),"REVISAR"))))</f>
        <v/>
      </c>
      <c r="K554" s="36">
        <f>IF(OR($C554="",$D554=""),"",IF($D554&gt;=$C554,($D554-$C554)*24,(1-$C554+$D554)*24))</f>
        <v/>
      </c>
      <c r="L554" s="34" t="n"/>
      <c r="M554" s="53">
        <f t="array" ref="M554">IFERROR(INDEX(EXCEPCIONES_FECHA!$D$2:$D$201,MATCH(1,(EXCEPCIONES_FECHA!$A$2:$A$201=$A554)*(EXCEPCIONES_FECHA!$B$2:$B$201=$B554),0)),IFERROR(INDEX(EXCEPCIONES_FECHA!$D$2:$D$201,MATCH(1,(EXCEPCIONES_FECHA!$A$2:$A$201=$A554)*(EXCEPCIONES_FECHA!$B$2:$B$201=""),0)),IFERROR(INDEX(IF($I554="FIN",HISTORIAL_HORARIOS!$J$2:$J$201,HISTORIAL_HORARIOS!$F$2:$F$201),MATCH(1,(HISTORIAL_HORARIOS!$A$2:$A$201=$B554)*(HISTORIAL_HORARIOS!$C$2:$C$201&lt;=$A554)*(HISTORIAL_HORARIOS!$D$2:$D$201&gt;=$A554),0)),INDEX(IF($I554="FIN",PERSONAL!$J$2:$J$80,PERSONAL!$F$2:$F$80),MATCH($B554,PERSONAL!$A$2:$A$80,0)))))</f>
        <v/>
      </c>
      <c r="N554" s="53">
        <f t="array" ref="N554">IFERROR(INDEX(EXCEPCIONES_FECHA!$E$2:$E$201,MATCH(1,(EXCEPCIONES_FECHA!$A$2:$A$201=$A554)*(EXCEPCIONES_FECHA!$B$2:$B$201=$B554),0)),IFERROR(INDEX(EXCEPCIONES_FECHA!$E$2:$E$201,MATCH(1,(EXCEPCIONES_FECHA!$A$2:$A$201=$A554)*(EXCEPCIONES_FECHA!$B$2:$B$201=""),0)),IFERROR(INDEX(IF($I554="FIN",HISTORIAL_HORARIOS!$K$2:$K$201,HISTORIAL_HORARIOS!$G$2:$G$201),MATCH(1,(HISTORIAL_HORARIOS!$A$2:$A$201=$B554)*(HISTORIAL_HORARIOS!$C$2:$C$201&lt;=$A554)*(HISTORIAL_HORARIOS!$D$2:$D$201&gt;=$A554),0)),INDEX(IF($I554="FIN",PERSONAL!$K$2:$K$80,PERSONAL!$G$2:$G$80),MATCH($B554,PERSONAL!$A$2:$A$80,0)))))</f>
        <v/>
      </c>
      <c r="O554" s="53">
        <f t="array" ref="O554">IFERROR(INDEX(EXCEPCIONES_FECHA!$F$2:$F$201,MATCH(1,(EXCEPCIONES_FECHA!$A$2:$A$201=$A554)*(EXCEPCIONES_FECHA!$B$2:$B$201=$B554),0)),IFERROR(INDEX(EXCEPCIONES_FECHA!$F$2:$F$201,MATCH(1,(EXCEPCIONES_FECHA!$A$2:$A$201=$A554)*(EXCEPCIONES_FECHA!$B$2:$B$201=""),0)),IFERROR(INDEX(IF($I554="FIN",HISTORIAL_HORARIOS!$L$2:$L$201,HISTORIAL_HORARIOS!$H$2:$H$201),MATCH(1,(HISTORIAL_HORARIOS!$A$2:$A$201=$B554)*(HISTORIAL_HORARIOS!$C$2:$C$201&lt;=$A554)*(HISTORIAL_HORARIOS!$D$2:$D$201&gt;=$A554),0)),INDEX(IF($I554="FIN",PERSONAL!$L$2:$L$80,PERSONAL!$H$2:$H$80),MATCH($B554,PERSONAL!$A$2:$A$80,0)))))</f>
        <v/>
      </c>
    </row>
    <row r="555" ht="15" customHeight="1" s="58">
      <c r="A555" s="37" t="n"/>
      <c r="B555" s="38" t="n"/>
      <c r="C555" s="39" t="n"/>
      <c r="D555" s="39" t="n"/>
      <c r="E555" s="34">
        <f t="array" ref="E555">IF($B555="","",IFERROR(INDEX(PERSONAL!$B$2:$B$80,MATCH($B555,PERSONAL!$A$2:$A$80,0)),"NO EXISTE"))</f>
        <v/>
      </c>
      <c r="F555" s="52">
        <f t="array" ref="F555">IF($B555="","",IFERROR(INDEX(PERSONAL!$C$2:$C$80,MATCH($B555,PERSONAL!$A$2:$A$80,0)),""))</f>
        <v/>
      </c>
      <c r="G555" s="52">
        <f>IF($A555="","",CHOOSE(WEEKDAY($A555,2),"LUNES","MARTES","MIÉRCOLES","JUEVES","VIERNES","SÁBADO","DOMINGO"))</f>
        <v/>
      </c>
      <c r="H555" s="34">
        <f>IF($A555="","",CHOOSE(MONTH($A555),"ENERO","FEBRERO","MARZO","ABRIL","MAYO","JUNIO","JULIO","AGOSTO","SEPTIEMBRE","OCTUBRE","NOVIEMBRE","DICIEMBRE"))</f>
        <v/>
      </c>
      <c r="I555" s="34">
        <f>IF($A555="","",IF(OR($G555="SÁBADO",$G555="DOMINGO"),"FIN","LV"))</f>
        <v/>
      </c>
      <c r="J555" s="34">
        <f>IF(OR($A555="",$B555=""),"",IF($L555&lt;&gt;"",UPPER($L555),IF($C555="","FALTA",IFERROR(IF($C555&gt;=$O555,"ROJO FUERTE",IF($C555&gt;=$N555,"ROJO",IF($C555&gt;=$M555,"AMARILLO","VERDE"))),"REVISAR"))))</f>
        <v/>
      </c>
      <c r="K555" s="36">
        <f>IF(OR($C555="",$D555=""),"",IF($D555&gt;=$C555,($D555-$C555)*24,(1-$C555+$D555)*24))</f>
        <v/>
      </c>
      <c r="L555" s="34" t="n"/>
      <c r="M555" s="53">
        <f t="array" ref="M555">IFERROR(INDEX(EXCEPCIONES_FECHA!$D$2:$D$201,MATCH(1,(EXCEPCIONES_FECHA!$A$2:$A$201=$A555)*(EXCEPCIONES_FECHA!$B$2:$B$201=$B555),0)),IFERROR(INDEX(EXCEPCIONES_FECHA!$D$2:$D$201,MATCH(1,(EXCEPCIONES_FECHA!$A$2:$A$201=$A555)*(EXCEPCIONES_FECHA!$B$2:$B$201=""),0)),IFERROR(INDEX(IF($I555="FIN",HISTORIAL_HORARIOS!$J$2:$J$201,HISTORIAL_HORARIOS!$F$2:$F$201),MATCH(1,(HISTORIAL_HORARIOS!$A$2:$A$201=$B555)*(HISTORIAL_HORARIOS!$C$2:$C$201&lt;=$A555)*(HISTORIAL_HORARIOS!$D$2:$D$201&gt;=$A555),0)),INDEX(IF($I555="FIN",PERSONAL!$J$2:$J$80,PERSONAL!$F$2:$F$80),MATCH($B555,PERSONAL!$A$2:$A$80,0)))))</f>
        <v/>
      </c>
      <c r="N555" s="53">
        <f t="array" ref="N555">IFERROR(INDEX(EXCEPCIONES_FECHA!$E$2:$E$201,MATCH(1,(EXCEPCIONES_FECHA!$A$2:$A$201=$A555)*(EXCEPCIONES_FECHA!$B$2:$B$201=$B555),0)),IFERROR(INDEX(EXCEPCIONES_FECHA!$E$2:$E$201,MATCH(1,(EXCEPCIONES_FECHA!$A$2:$A$201=$A555)*(EXCEPCIONES_FECHA!$B$2:$B$201=""),0)),IFERROR(INDEX(IF($I555="FIN",HISTORIAL_HORARIOS!$K$2:$K$201,HISTORIAL_HORARIOS!$G$2:$G$201),MATCH(1,(HISTORIAL_HORARIOS!$A$2:$A$201=$B555)*(HISTORIAL_HORARIOS!$C$2:$C$201&lt;=$A555)*(HISTORIAL_HORARIOS!$D$2:$D$201&gt;=$A555),0)),INDEX(IF($I555="FIN",PERSONAL!$K$2:$K$80,PERSONAL!$G$2:$G$80),MATCH($B555,PERSONAL!$A$2:$A$80,0)))))</f>
        <v/>
      </c>
      <c r="O555" s="53">
        <f t="array" ref="O555">IFERROR(INDEX(EXCEPCIONES_FECHA!$F$2:$F$201,MATCH(1,(EXCEPCIONES_FECHA!$A$2:$A$201=$A555)*(EXCEPCIONES_FECHA!$B$2:$B$201=$B555),0)),IFERROR(INDEX(EXCEPCIONES_FECHA!$F$2:$F$201,MATCH(1,(EXCEPCIONES_FECHA!$A$2:$A$201=$A555)*(EXCEPCIONES_FECHA!$B$2:$B$201=""),0)),IFERROR(INDEX(IF($I555="FIN",HISTORIAL_HORARIOS!$L$2:$L$201,HISTORIAL_HORARIOS!$H$2:$H$201),MATCH(1,(HISTORIAL_HORARIOS!$A$2:$A$201=$B555)*(HISTORIAL_HORARIOS!$C$2:$C$201&lt;=$A555)*(HISTORIAL_HORARIOS!$D$2:$D$201&gt;=$A555),0)),INDEX(IF($I555="FIN",PERSONAL!$L$2:$L$80,PERSONAL!$H$2:$H$80),MATCH($B555,PERSONAL!$A$2:$A$80,0)))))</f>
        <v/>
      </c>
    </row>
    <row r="556" ht="15" customHeight="1" s="58">
      <c r="A556" s="37" t="n"/>
      <c r="B556" s="38" t="n"/>
      <c r="C556" s="39" t="n"/>
      <c r="D556" s="39" t="n"/>
      <c r="E556" s="34">
        <f t="array" ref="E556">IF($B556="","",IFERROR(INDEX(PERSONAL!$B$2:$B$80,MATCH($B556,PERSONAL!$A$2:$A$80,0)),"NO EXISTE"))</f>
        <v/>
      </c>
      <c r="F556" s="52">
        <f t="array" ref="F556">IF($B556="","",IFERROR(INDEX(PERSONAL!$C$2:$C$80,MATCH($B556,PERSONAL!$A$2:$A$80,0)),""))</f>
        <v/>
      </c>
      <c r="G556" s="52">
        <f>IF($A556="","",CHOOSE(WEEKDAY($A556,2),"LUNES","MARTES","MIÉRCOLES","JUEVES","VIERNES","SÁBADO","DOMINGO"))</f>
        <v/>
      </c>
      <c r="H556" s="34">
        <f>IF($A556="","",CHOOSE(MONTH($A556),"ENERO","FEBRERO","MARZO","ABRIL","MAYO","JUNIO","JULIO","AGOSTO","SEPTIEMBRE","OCTUBRE","NOVIEMBRE","DICIEMBRE"))</f>
        <v/>
      </c>
      <c r="I556" s="34">
        <f>IF($A556="","",IF(OR($G556="SÁBADO",$G556="DOMINGO"),"FIN","LV"))</f>
        <v/>
      </c>
      <c r="J556" s="34">
        <f>IF(OR($A556="",$B556=""),"",IF($L556&lt;&gt;"",UPPER($L556),IF($C556="","FALTA",IFERROR(IF($C556&gt;=$O556,"ROJO FUERTE",IF($C556&gt;=$N556,"ROJO",IF($C556&gt;=$M556,"AMARILLO","VERDE"))),"REVISAR"))))</f>
        <v/>
      </c>
      <c r="K556" s="36">
        <f>IF(OR($C556="",$D556=""),"",IF($D556&gt;=$C556,($D556-$C556)*24,(1-$C556+$D556)*24))</f>
        <v/>
      </c>
      <c r="L556" s="34" t="n"/>
      <c r="M556" s="53">
        <f t="array" ref="M556">IFERROR(INDEX(EXCEPCIONES_FECHA!$D$2:$D$201,MATCH(1,(EXCEPCIONES_FECHA!$A$2:$A$201=$A556)*(EXCEPCIONES_FECHA!$B$2:$B$201=$B556),0)),IFERROR(INDEX(EXCEPCIONES_FECHA!$D$2:$D$201,MATCH(1,(EXCEPCIONES_FECHA!$A$2:$A$201=$A556)*(EXCEPCIONES_FECHA!$B$2:$B$201=""),0)),IFERROR(INDEX(IF($I556="FIN",HISTORIAL_HORARIOS!$J$2:$J$201,HISTORIAL_HORARIOS!$F$2:$F$201),MATCH(1,(HISTORIAL_HORARIOS!$A$2:$A$201=$B556)*(HISTORIAL_HORARIOS!$C$2:$C$201&lt;=$A556)*(HISTORIAL_HORARIOS!$D$2:$D$201&gt;=$A556),0)),INDEX(IF($I556="FIN",PERSONAL!$J$2:$J$80,PERSONAL!$F$2:$F$80),MATCH($B556,PERSONAL!$A$2:$A$80,0)))))</f>
        <v/>
      </c>
      <c r="N556" s="53">
        <f t="array" ref="N556">IFERROR(INDEX(EXCEPCIONES_FECHA!$E$2:$E$201,MATCH(1,(EXCEPCIONES_FECHA!$A$2:$A$201=$A556)*(EXCEPCIONES_FECHA!$B$2:$B$201=$B556),0)),IFERROR(INDEX(EXCEPCIONES_FECHA!$E$2:$E$201,MATCH(1,(EXCEPCIONES_FECHA!$A$2:$A$201=$A556)*(EXCEPCIONES_FECHA!$B$2:$B$201=""),0)),IFERROR(INDEX(IF($I556="FIN",HISTORIAL_HORARIOS!$K$2:$K$201,HISTORIAL_HORARIOS!$G$2:$G$201),MATCH(1,(HISTORIAL_HORARIOS!$A$2:$A$201=$B556)*(HISTORIAL_HORARIOS!$C$2:$C$201&lt;=$A556)*(HISTORIAL_HORARIOS!$D$2:$D$201&gt;=$A556),0)),INDEX(IF($I556="FIN",PERSONAL!$K$2:$K$80,PERSONAL!$G$2:$G$80),MATCH($B556,PERSONAL!$A$2:$A$80,0)))))</f>
        <v/>
      </c>
      <c r="O556" s="53">
        <f t="array" ref="O556">IFERROR(INDEX(EXCEPCIONES_FECHA!$F$2:$F$201,MATCH(1,(EXCEPCIONES_FECHA!$A$2:$A$201=$A556)*(EXCEPCIONES_FECHA!$B$2:$B$201=$B556),0)),IFERROR(INDEX(EXCEPCIONES_FECHA!$F$2:$F$201,MATCH(1,(EXCEPCIONES_FECHA!$A$2:$A$201=$A556)*(EXCEPCIONES_FECHA!$B$2:$B$201=""),0)),IFERROR(INDEX(IF($I556="FIN",HISTORIAL_HORARIOS!$L$2:$L$201,HISTORIAL_HORARIOS!$H$2:$H$201),MATCH(1,(HISTORIAL_HORARIOS!$A$2:$A$201=$B556)*(HISTORIAL_HORARIOS!$C$2:$C$201&lt;=$A556)*(HISTORIAL_HORARIOS!$D$2:$D$201&gt;=$A556),0)),INDEX(IF($I556="FIN",PERSONAL!$L$2:$L$80,PERSONAL!$H$2:$H$80),MATCH($B556,PERSONAL!$A$2:$A$80,0)))))</f>
        <v/>
      </c>
    </row>
    <row r="557" ht="15" customHeight="1" s="58">
      <c r="A557" s="37" t="n"/>
      <c r="B557" s="38" t="n"/>
      <c r="C557" s="39" t="n"/>
      <c r="D557" s="39" t="n"/>
      <c r="E557" s="34">
        <f t="array" ref="E557">IF($B557="","",IFERROR(INDEX(PERSONAL!$B$2:$B$80,MATCH($B557,PERSONAL!$A$2:$A$80,0)),"NO EXISTE"))</f>
        <v/>
      </c>
      <c r="F557" s="52">
        <f t="array" ref="F557">IF($B557="","",IFERROR(INDEX(PERSONAL!$C$2:$C$80,MATCH($B557,PERSONAL!$A$2:$A$80,0)),""))</f>
        <v/>
      </c>
      <c r="G557" s="52">
        <f>IF($A557="","",CHOOSE(WEEKDAY($A557,2),"LUNES","MARTES","MIÉRCOLES","JUEVES","VIERNES","SÁBADO","DOMINGO"))</f>
        <v/>
      </c>
      <c r="H557" s="34">
        <f>IF($A557="","",CHOOSE(MONTH($A557),"ENERO","FEBRERO","MARZO","ABRIL","MAYO","JUNIO","JULIO","AGOSTO","SEPTIEMBRE","OCTUBRE","NOVIEMBRE","DICIEMBRE"))</f>
        <v/>
      </c>
      <c r="I557" s="34">
        <f>IF($A557="","",IF(OR($G557="SÁBADO",$G557="DOMINGO"),"FIN","LV"))</f>
        <v/>
      </c>
      <c r="J557" s="34">
        <f>IF(OR($A557="",$B557=""),"",IF($L557&lt;&gt;"",UPPER($L557),IF($C557="","FALTA",IFERROR(IF($C557&gt;=$O557,"ROJO FUERTE",IF($C557&gt;=$N557,"ROJO",IF($C557&gt;=$M557,"AMARILLO","VERDE"))),"REVISAR"))))</f>
        <v/>
      </c>
      <c r="K557" s="36">
        <f>IF(OR($C557="",$D557=""),"",IF($D557&gt;=$C557,($D557-$C557)*24,(1-$C557+$D557)*24))</f>
        <v/>
      </c>
      <c r="L557" s="34" t="n"/>
      <c r="M557" s="53">
        <f t="array" ref="M557">IFERROR(INDEX(EXCEPCIONES_FECHA!$D$2:$D$201,MATCH(1,(EXCEPCIONES_FECHA!$A$2:$A$201=$A557)*(EXCEPCIONES_FECHA!$B$2:$B$201=$B557),0)),IFERROR(INDEX(EXCEPCIONES_FECHA!$D$2:$D$201,MATCH(1,(EXCEPCIONES_FECHA!$A$2:$A$201=$A557)*(EXCEPCIONES_FECHA!$B$2:$B$201=""),0)),IFERROR(INDEX(IF($I557="FIN",HISTORIAL_HORARIOS!$J$2:$J$201,HISTORIAL_HORARIOS!$F$2:$F$201),MATCH(1,(HISTORIAL_HORARIOS!$A$2:$A$201=$B557)*(HISTORIAL_HORARIOS!$C$2:$C$201&lt;=$A557)*(HISTORIAL_HORARIOS!$D$2:$D$201&gt;=$A557),0)),INDEX(IF($I557="FIN",PERSONAL!$J$2:$J$80,PERSONAL!$F$2:$F$80),MATCH($B557,PERSONAL!$A$2:$A$80,0)))))</f>
        <v/>
      </c>
      <c r="N557" s="53">
        <f t="array" ref="N557">IFERROR(INDEX(EXCEPCIONES_FECHA!$E$2:$E$201,MATCH(1,(EXCEPCIONES_FECHA!$A$2:$A$201=$A557)*(EXCEPCIONES_FECHA!$B$2:$B$201=$B557),0)),IFERROR(INDEX(EXCEPCIONES_FECHA!$E$2:$E$201,MATCH(1,(EXCEPCIONES_FECHA!$A$2:$A$201=$A557)*(EXCEPCIONES_FECHA!$B$2:$B$201=""),0)),IFERROR(INDEX(IF($I557="FIN",HISTORIAL_HORARIOS!$K$2:$K$201,HISTORIAL_HORARIOS!$G$2:$G$201),MATCH(1,(HISTORIAL_HORARIOS!$A$2:$A$201=$B557)*(HISTORIAL_HORARIOS!$C$2:$C$201&lt;=$A557)*(HISTORIAL_HORARIOS!$D$2:$D$201&gt;=$A557),0)),INDEX(IF($I557="FIN",PERSONAL!$K$2:$K$80,PERSONAL!$G$2:$G$80),MATCH($B557,PERSONAL!$A$2:$A$80,0)))))</f>
        <v/>
      </c>
      <c r="O557" s="53">
        <f t="array" ref="O557">IFERROR(INDEX(EXCEPCIONES_FECHA!$F$2:$F$201,MATCH(1,(EXCEPCIONES_FECHA!$A$2:$A$201=$A557)*(EXCEPCIONES_FECHA!$B$2:$B$201=$B557),0)),IFERROR(INDEX(EXCEPCIONES_FECHA!$F$2:$F$201,MATCH(1,(EXCEPCIONES_FECHA!$A$2:$A$201=$A557)*(EXCEPCIONES_FECHA!$B$2:$B$201=""),0)),IFERROR(INDEX(IF($I557="FIN",HISTORIAL_HORARIOS!$L$2:$L$201,HISTORIAL_HORARIOS!$H$2:$H$201),MATCH(1,(HISTORIAL_HORARIOS!$A$2:$A$201=$B557)*(HISTORIAL_HORARIOS!$C$2:$C$201&lt;=$A557)*(HISTORIAL_HORARIOS!$D$2:$D$201&gt;=$A557),0)),INDEX(IF($I557="FIN",PERSONAL!$L$2:$L$80,PERSONAL!$H$2:$H$80),MATCH($B557,PERSONAL!$A$2:$A$80,0)))))</f>
        <v/>
      </c>
    </row>
    <row r="558" ht="15" customHeight="1" s="58">
      <c r="A558" s="37" t="n"/>
      <c r="B558" s="38" t="n"/>
      <c r="C558" s="39" t="n"/>
      <c r="D558" s="39" t="n"/>
      <c r="E558" s="34">
        <f t="array" ref="E558">IF($B558="","",IFERROR(INDEX(PERSONAL!$B$2:$B$80,MATCH($B558,PERSONAL!$A$2:$A$80,0)),"NO EXISTE"))</f>
        <v/>
      </c>
      <c r="F558" s="52">
        <f t="array" ref="F558">IF($B558="","",IFERROR(INDEX(PERSONAL!$C$2:$C$80,MATCH($B558,PERSONAL!$A$2:$A$80,0)),""))</f>
        <v/>
      </c>
      <c r="G558" s="52">
        <f>IF($A558="","",CHOOSE(WEEKDAY($A558,2),"LUNES","MARTES","MIÉRCOLES","JUEVES","VIERNES","SÁBADO","DOMINGO"))</f>
        <v/>
      </c>
      <c r="H558" s="34">
        <f>IF($A558="","",CHOOSE(MONTH($A558),"ENERO","FEBRERO","MARZO","ABRIL","MAYO","JUNIO","JULIO","AGOSTO","SEPTIEMBRE","OCTUBRE","NOVIEMBRE","DICIEMBRE"))</f>
        <v/>
      </c>
      <c r="I558" s="34">
        <f>IF($A558="","",IF(OR($G558="SÁBADO",$G558="DOMINGO"),"FIN","LV"))</f>
        <v/>
      </c>
      <c r="J558" s="34">
        <f>IF(OR($A558="",$B558=""),"",IF($L558&lt;&gt;"",UPPER($L558),IF($C558="","FALTA",IFERROR(IF($C558&gt;=$O558,"ROJO FUERTE",IF($C558&gt;=$N558,"ROJO",IF($C558&gt;=$M558,"AMARILLO","VERDE"))),"REVISAR"))))</f>
        <v/>
      </c>
      <c r="K558" s="36">
        <f>IF(OR($C558="",$D558=""),"",IF($D558&gt;=$C558,($D558-$C558)*24,(1-$C558+$D558)*24))</f>
        <v/>
      </c>
      <c r="L558" s="34" t="n"/>
      <c r="M558" s="53">
        <f t="array" ref="M558">IFERROR(INDEX(EXCEPCIONES_FECHA!$D$2:$D$201,MATCH(1,(EXCEPCIONES_FECHA!$A$2:$A$201=$A558)*(EXCEPCIONES_FECHA!$B$2:$B$201=$B558),0)),IFERROR(INDEX(EXCEPCIONES_FECHA!$D$2:$D$201,MATCH(1,(EXCEPCIONES_FECHA!$A$2:$A$201=$A558)*(EXCEPCIONES_FECHA!$B$2:$B$201=""),0)),IFERROR(INDEX(IF($I558="FIN",HISTORIAL_HORARIOS!$J$2:$J$201,HISTORIAL_HORARIOS!$F$2:$F$201),MATCH(1,(HISTORIAL_HORARIOS!$A$2:$A$201=$B558)*(HISTORIAL_HORARIOS!$C$2:$C$201&lt;=$A558)*(HISTORIAL_HORARIOS!$D$2:$D$201&gt;=$A558),0)),INDEX(IF($I558="FIN",PERSONAL!$J$2:$J$80,PERSONAL!$F$2:$F$80),MATCH($B558,PERSONAL!$A$2:$A$80,0)))))</f>
        <v/>
      </c>
      <c r="N558" s="53">
        <f t="array" ref="N558">IFERROR(INDEX(EXCEPCIONES_FECHA!$E$2:$E$201,MATCH(1,(EXCEPCIONES_FECHA!$A$2:$A$201=$A558)*(EXCEPCIONES_FECHA!$B$2:$B$201=$B558),0)),IFERROR(INDEX(EXCEPCIONES_FECHA!$E$2:$E$201,MATCH(1,(EXCEPCIONES_FECHA!$A$2:$A$201=$A558)*(EXCEPCIONES_FECHA!$B$2:$B$201=""),0)),IFERROR(INDEX(IF($I558="FIN",HISTORIAL_HORARIOS!$K$2:$K$201,HISTORIAL_HORARIOS!$G$2:$G$201),MATCH(1,(HISTORIAL_HORARIOS!$A$2:$A$201=$B558)*(HISTORIAL_HORARIOS!$C$2:$C$201&lt;=$A558)*(HISTORIAL_HORARIOS!$D$2:$D$201&gt;=$A558),0)),INDEX(IF($I558="FIN",PERSONAL!$K$2:$K$80,PERSONAL!$G$2:$G$80),MATCH($B558,PERSONAL!$A$2:$A$80,0)))))</f>
        <v/>
      </c>
      <c r="O558" s="53">
        <f t="array" ref="O558">IFERROR(INDEX(EXCEPCIONES_FECHA!$F$2:$F$201,MATCH(1,(EXCEPCIONES_FECHA!$A$2:$A$201=$A558)*(EXCEPCIONES_FECHA!$B$2:$B$201=$B558),0)),IFERROR(INDEX(EXCEPCIONES_FECHA!$F$2:$F$201,MATCH(1,(EXCEPCIONES_FECHA!$A$2:$A$201=$A558)*(EXCEPCIONES_FECHA!$B$2:$B$201=""),0)),IFERROR(INDEX(IF($I558="FIN",HISTORIAL_HORARIOS!$L$2:$L$201,HISTORIAL_HORARIOS!$H$2:$H$201),MATCH(1,(HISTORIAL_HORARIOS!$A$2:$A$201=$B558)*(HISTORIAL_HORARIOS!$C$2:$C$201&lt;=$A558)*(HISTORIAL_HORARIOS!$D$2:$D$201&gt;=$A558),0)),INDEX(IF($I558="FIN",PERSONAL!$L$2:$L$80,PERSONAL!$H$2:$H$80),MATCH($B558,PERSONAL!$A$2:$A$80,0)))))</f>
        <v/>
      </c>
    </row>
    <row r="559" ht="15" customHeight="1" s="58">
      <c r="A559" s="37" t="n"/>
      <c r="B559" s="38" t="n"/>
      <c r="C559" s="39" t="n"/>
      <c r="D559" s="39" t="n"/>
      <c r="E559" s="34">
        <f t="array" ref="E559">IF($B559="","",IFERROR(INDEX(PERSONAL!$B$2:$B$80,MATCH($B559,PERSONAL!$A$2:$A$80,0)),"NO EXISTE"))</f>
        <v/>
      </c>
      <c r="F559" s="52">
        <f t="array" ref="F559">IF($B559="","",IFERROR(INDEX(PERSONAL!$C$2:$C$80,MATCH($B559,PERSONAL!$A$2:$A$80,0)),""))</f>
        <v/>
      </c>
      <c r="G559" s="52">
        <f>IF($A559="","",CHOOSE(WEEKDAY($A559,2),"LUNES","MARTES","MIÉRCOLES","JUEVES","VIERNES","SÁBADO","DOMINGO"))</f>
        <v/>
      </c>
      <c r="H559" s="34">
        <f>IF($A559="","",CHOOSE(MONTH($A559),"ENERO","FEBRERO","MARZO","ABRIL","MAYO","JUNIO","JULIO","AGOSTO","SEPTIEMBRE","OCTUBRE","NOVIEMBRE","DICIEMBRE"))</f>
        <v/>
      </c>
      <c r="I559" s="34">
        <f>IF($A559="","",IF(OR($G559="SÁBADO",$G559="DOMINGO"),"FIN","LV"))</f>
        <v/>
      </c>
      <c r="J559" s="34">
        <f>IF(OR($A559="",$B559=""),"",IF($L559&lt;&gt;"",UPPER($L559),IF($C559="","FALTA",IFERROR(IF($C559&gt;=$O559,"ROJO FUERTE",IF($C559&gt;=$N559,"ROJO",IF($C559&gt;=$M559,"AMARILLO","VERDE"))),"REVISAR"))))</f>
        <v/>
      </c>
      <c r="K559" s="36">
        <f>IF(OR($C559="",$D559=""),"",IF($D559&gt;=$C559,($D559-$C559)*24,(1-$C559+$D559)*24))</f>
        <v/>
      </c>
      <c r="L559" s="34" t="n"/>
      <c r="M559" s="53">
        <f t="array" ref="M559">IFERROR(INDEX(EXCEPCIONES_FECHA!$D$2:$D$201,MATCH(1,(EXCEPCIONES_FECHA!$A$2:$A$201=$A559)*(EXCEPCIONES_FECHA!$B$2:$B$201=$B559),0)),IFERROR(INDEX(EXCEPCIONES_FECHA!$D$2:$D$201,MATCH(1,(EXCEPCIONES_FECHA!$A$2:$A$201=$A559)*(EXCEPCIONES_FECHA!$B$2:$B$201=""),0)),IFERROR(INDEX(IF($I559="FIN",HISTORIAL_HORARIOS!$J$2:$J$201,HISTORIAL_HORARIOS!$F$2:$F$201),MATCH(1,(HISTORIAL_HORARIOS!$A$2:$A$201=$B559)*(HISTORIAL_HORARIOS!$C$2:$C$201&lt;=$A559)*(HISTORIAL_HORARIOS!$D$2:$D$201&gt;=$A559),0)),INDEX(IF($I559="FIN",PERSONAL!$J$2:$J$80,PERSONAL!$F$2:$F$80),MATCH($B559,PERSONAL!$A$2:$A$80,0)))))</f>
        <v/>
      </c>
      <c r="N559" s="53">
        <f t="array" ref="N559">IFERROR(INDEX(EXCEPCIONES_FECHA!$E$2:$E$201,MATCH(1,(EXCEPCIONES_FECHA!$A$2:$A$201=$A559)*(EXCEPCIONES_FECHA!$B$2:$B$201=$B559),0)),IFERROR(INDEX(EXCEPCIONES_FECHA!$E$2:$E$201,MATCH(1,(EXCEPCIONES_FECHA!$A$2:$A$201=$A559)*(EXCEPCIONES_FECHA!$B$2:$B$201=""),0)),IFERROR(INDEX(IF($I559="FIN",HISTORIAL_HORARIOS!$K$2:$K$201,HISTORIAL_HORARIOS!$G$2:$G$201),MATCH(1,(HISTORIAL_HORARIOS!$A$2:$A$201=$B559)*(HISTORIAL_HORARIOS!$C$2:$C$201&lt;=$A559)*(HISTORIAL_HORARIOS!$D$2:$D$201&gt;=$A559),0)),INDEX(IF($I559="FIN",PERSONAL!$K$2:$K$80,PERSONAL!$G$2:$G$80),MATCH($B559,PERSONAL!$A$2:$A$80,0)))))</f>
        <v/>
      </c>
      <c r="O559" s="53">
        <f t="array" ref="O559">IFERROR(INDEX(EXCEPCIONES_FECHA!$F$2:$F$201,MATCH(1,(EXCEPCIONES_FECHA!$A$2:$A$201=$A559)*(EXCEPCIONES_FECHA!$B$2:$B$201=$B559),0)),IFERROR(INDEX(EXCEPCIONES_FECHA!$F$2:$F$201,MATCH(1,(EXCEPCIONES_FECHA!$A$2:$A$201=$A559)*(EXCEPCIONES_FECHA!$B$2:$B$201=""),0)),IFERROR(INDEX(IF($I559="FIN",HISTORIAL_HORARIOS!$L$2:$L$201,HISTORIAL_HORARIOS!$H$2:$H$201),MATCH(1,(HISTORIAL_HORARIOS!$A$2:$A$201=$B559)*(HISTORIAL_HORARIOS!$C$2:$C$201&lt;=$A559)*(HISTORIAL_HORARIOS!$D$2:$D$201&gt;=$A559),0)),INDEX(IF($I559="FIN",PERSONAL!$L$2:$L$80,PERSONAL!$H$2:$H$80),MATCH($B559,PERSONAL!$A$2:$A$80,0)))))</f>
        <v/>
      </c>
    </row>
    <row r="560" ht="15" customHeight="1" s="58">
      <c r="A560" s="37" t="n"/>
      <c r="B560" s="38" t="n"/>
      <c r="C560" s="39" t="n"/>
      <c r="D560" s="39" t="n"/>
      <c r="E560" s="34">
        <f t="array" ref="E560">IF($B560="","",IFERROR(INDEX(PERSONAL!$B$2:$B$80,MATCH($B560,PERSONAL!$A$2:$A$80,0)),"NO EXISTE"))</f>
        <v/>
      </c>
      <c r="F560" s="52">
        <f t="array" ref="F560">IF($B560="","",IFERROR(INDEX(PERSONAL!$C$2:$C$80,MATCH($B560,PERSONAL!$A$2:$A$80,0)),""))</f>
        <v/>
      </c>
      <c r="G560" s="52">
        <f>IF($A560="","",CHOOSE(WEEKDAY($A560,2),"LUNES","MARTES","MIÉRCOLES","JUEVES","VIERNES","SÁBADO","DOMINGO"))</f>
        <v/>
      </c>
      <c r="H560" s="34">
        <f>IF($A560="","",CHOOSE(MONTH($A560),"ENERO","FEBRERO","MARZO","ABRIL","MAYO","JUNIO","JULIO","AGOSTO","SEPTIEMBRE","OCTUBRE","NOVIEMBRE","DICIEMBRE"))</f>
        <v/>
      </c>
      <c r="I560" s="34">
        <f>IF($A560="","",IF(OR($G560="SÁBADO",$G560="DOMINGO"),"FIN","LV"))</f>
        <v/>
      </c>
      <c r="J560" s="34">
        <f>IF(OR($A560="",$B560=""),"",IF($L560&lt;&gt;"",UPPER($L560),IF($C560="","FALTA",IFERROR(IF($C560&gt;=$O560,"ROJO FUERTE",IF($C560&gt;=$N560,"ROJO",IF($C560&gt;=$M560,"AMARILLO","VERDE"))),"REVISAR"))))</f>
        <v/>
      </c>
      <c r="K560" s="36">
        <f>IF(OR($C560="",$D560=""),"",IF($D560&gt;=$C560,($D560-$C560)*24,(1-$C560+$D560)*24))</f>
        <v/>
      </c>
      <c r="L560" s="34" t="n"/>
      <c r="M560" s="53">
        <f t="array" ref="M560">IFERROR(INDEX(EXCEPCIONES_FECHA!$D$2:$D$201,MATCH(1,(EXCEPCIONES_FECHA!$A$2:$A$201=$A560)*(EXCEPCIONES_FECHA!$B$2:$B$201=$B560),0)),IFERROR(INDEX(EXCEPCIONES_FECHA!$D$2:$D$201,MATCH(1,(EXCEPCIONES_FECHA!$A$2:$A$201=$A560)*(EXCEPCIONES_FECHA!$B$2:$B$201=""),0)),IFERROR(INDEX(IF($I560="FIN",HISTORIAL_HORARIOS!$J$2:$J$201,HISTORIAL_HORARIOS!$F$2:$F$201),MATCH(1,(HISTORIAL_HORARIOS!$A$2:$A$201=$B560)*(HISTORIAL_HORARIOS!$C$2:$C$201&lt;=$A560)*(HISTORIAL_HORARIOS!$D$2:$D$201&gt;=$A560),0)),INDEX(IF($I560="FIN",PERSONAL!$J$2:$J$80,PERSONAL!$F$2:$F$80),MATCH($B560,PERSONAL!$A$2:$A$80,0)))))</f>
        <v/>
      </c>
      <c r="N560" s="53">
        <f t="array" ref="N560">IFERROR(INDEX(EXCEPCIONES_FECHA!$E$2:$E$201,MATCH(1,(EXCEPCIONES_FECHA!$A$2:$A$201=$A560)*(EXCEPCIONES_FECHA!$B$2:$B$201=$B560),0)),IFERROR(INDEX(EXCEPCIONES_FECHA!$E$2:$E$201,MATCH(1,(EXCEPCIONES_FECHA!$A$2:$A$201=$A560)*(EXCEPCIONES_FECHA!$B$2:$B$201=""),0)),IFERROR(INDEX(IF($I560="FIN",HISTORIAL_HORARIOS!$K$2:$K$201,HISTORIAL_HORARIOS!$G$2:$G$201),MATCH(1,(HISTORIAL_HORARIOS!$A$2:$A$201=$B560)*(HISTORIAL_HORARIOS!$C$2:$C$201&lt;=$A560)*(HISTORIAL_HORARIOS!$D$2:$D$201&gt;=$A560),0)),INDEX(IF($I560="FIN",PERSONAL!$K$2:$K$80,PERSONAL!$G$2:$G$80),MATCH($B560,PERSONAL!$A$2:$A$80,0)))))</f>
        <v/>
      </c>
      <c r="O560" s="53">
        <f t="array" ref="O560">IFERROR(INDEX(EXCEPCIONES_FECHA!$F$2:$F$201,MATCH(1,(EXCEPCIONES_FECHA!$A$2:$A$201=$A560)*(EXCEPCIONES_FECHA!$B$2:$B$201=$B560),0)),IFERROR(INDEX(EXCEPCIONES_FECHA!$F$2:$F$201,MATCH(1,(EXCEPCIONES_FECHA!$A$2:$A$201=$A560)*(EXCEPCIONES_FECHA!$B$2:$B$201=""),0)),IFERROR(INDEX(IF($I560="FIN",HISTORIAL_HORARIOS!$L$2:$L$201,HISTORIAL_HORARIOS!$H$2:$H$201),MATCH(1,(HISTORIAL_HORARIOS!$A$2:$A$201=$B560)*(HISTORIAL_HORARIOS!$C$2:$C$201&lt;=$A560)*(HISTORIAL_HORARIOS!$D$2:$D$201&gt;=$A560),0)),INDEX(IF($I560="FIN",PERSONAL!$L$2:$L$80,PERSONAL!$H$2:$H$80),MATCH($B560,PERSONAL!$A$2:$A$80,0)))))</f>
        <v/>
      </c>
    </row>
    <row r="561" ht="15" customHeight="1" s="58">
      <c r="A561" s="37" t="n"/>
      <c r="B561" s="38" t="n"/>
      <c r="C561" s="39" t="n"/>
      <c r="D561" s="39" t="n"/>
      <c r="E561" s="34">
        <f t="array" ref="E561">IF($B561="","",IFERROR(INDEX(PERSONAL!$B$2:$B$80,MATCH($B561,PERSONAL!$A$2:$A$80,0)),"NO EXISTE"))</f>
        <v/>
      </c>
      <c r="F561" s="52">
        <f t="array" ref="F561">IF($B561="","",IFERROR(INDEX(PERSONAL!$C$2:$C$80,MATCH($B561,PERSONAL!$A$2:$A$80,0)),""))</f>
        <v/>
      </c>
      <c r="G561" s="52">
        <f>IF($A561="","",CHOOSE(WEEKDAY($A561,2),"LUNES","MARTES","MIÉRCOLES","JUEVES","VIERNES","SÁBADO","DOMINGO"))</f>
        <v/>
      </c>
      <c r="H561" s="34">
        <f>IF($A561="","",CHOOSE(MONTH($A561),"ENERO","FEBRERO","MARZO","ABRIL","MAYO","JUNIO","JULIO","AGOSTO","SEPTIEMBRE","OCTUBRE","NOVIEMBRE","DICIEMBRE"))</f>
        <v/>
      </c>
      <c r="I561" s="34">
        <f>IF($A561="","",IF(OR($G561="SÁBADO",$G561="DOMINGO"),"FIN","LV"))</f>
        <v/>
      </c>
      <c r="J561" s="34">
        <f>IF(OR($A561="",$B561=""),"",IF($L561&lt;&gt;"",UPPER($L561),IF($C561="","FALTA",IFERROR(IF($C561&gt;=$O561,"ROJO FUERTE",IF($C561&gt;=$N561,"ROJO",IF($C561&gt;=$M561,"AMARILLO","VERDE"))),"REVISAR"))))</f>
        <v/>
      </c>
      <c r="K561" s="36">
        <f>IF(OR($C561="",$D561=""),"",IF($D561&gt;=$C561,($D561-$C561)*24,(1-$C561+$D561)*24))</f>
        <v/>
      </c>
      <c r="L561" s="34" t="n"/>
      <c r="M561" s="53">
        <f t="array" ref="M561">IFERROR(INDEX(EXCEPCIONES_FECHA!$D$2:$D$201,MATCH(1,(EXCEPCIONES_FECHA!$A$2:$A$201=$A561)*(EXCEPCIONES_FECHA!$B$2:$B$201=$B561),0)),IFERROR(INDEX(EXCEPCIONES_FECHA!$D$2:$D$201,MATCH(1,(EXCEPCIONES_FECHA!$A$2:$A$201=$A561)*(EXCEPCIONES_FECHA!$B$2:$B$201=""),0)),IFERROR(INDEX(IF($I561="FIN",HISTORIAL_HORARIOS!$J$2:$J$201,HISTORIAL_HORARIOS!$F$2:$F$201),MATCH(1,(HISTORIAL_HORARIOS!$A$2:$A$201=$B561)*(HISTORIAL_HORARIOS!$C$2:$C$201&lt;=$A561)*(HISTORIAL_HORARIOS!$D$2:$D$201&gt;=$A561),0)),INDEX(IF($I561="FIN",PERSONAL!$J$2:$J$80,PERSONAL!$F$2:$F$80),MATCH($B561,PERSONAL!$A$2:$A$80,0)))))</f>
        <v/>
      </c>
      <c r="N561" s="53">
        <f t="array" ref="N561">IFERROR(INDEX(EXCEPCIONES_FECHA!$E$2:$E$201,MATCH(1,(EXCEPCIONES_FECHA!$A$2:$A$201=$A561)*(EXCEPCIONES_FECHA!$B$2:$B$201=$B561),0)),IFERROR(INDEX(EXCEPCIONES_FECHA!$E$2:$E$201,MATCH(1,(EXCEPCIONES_FECHA!$A$2:$A$201=$A561)*(EXCEPCIONES_FECHA!$B$2:$B$201=""),0)),IFERROR(INDEX(IF($I561="FIN",HISTORIAL_HORARIOS!$K$2:$K$201,HISTORIAL_HORARIOS!$G$2:$G$201),MATCH(1,(HISTORIAL_HORARIOS!$A$2:$A$201=$B561)*(HISTORIAL_HORARIOS!$C$2:$C$201&lt;=$A561)*(HISTORIAL_HORARIOS!$D$2:$D$201&gt;=$A561),0)),INDEX(IF($I561="FIN",PERSONAL!$K$2:$K$80,PERSONAL!$G$2:$G$80),MATCH($B561,PERSONAL!$A$2:$A$80,0)))))</f>
        <v/>
      </c>
      <c r="O561" s="53">
        <f t="array" ref="O561">IFERROR(INDEX(EXCEPCIONES_FECHA!$F$2:$F$201,MATCH(1,(EXCEPCIONES_FECHA!$A$2:$A$201=$A561)*(EXCEPCIONES_FECHA!$B$2:$B$201=$B561),0)),IFERROR(INDEX(EXCEPCIONES_FECHA!$F$2:$F$201,MATCH(1,(EXCEPCIONES_FECHA!$A$2:$A$201=$A561)*(EXCEPCIONES_FECHA!$B$2:$B$201=""),0)),IFERROR(INDEX(IF($I561="FIN",HISTORIAL_HORARIOS!$L$2:$L$201,HISTORIAL_HORARIOS!$H$2:$H$201),MATCH(1,(HISTORIAL_HORARIOS!$A$2:$A$201=$B561)*(HISTORIAL_HORARIOS!$C$2:$C$201&lt;=$A561)*(HISTORIAL_HORARIOS!$D$2:$D$201&gt;=$A561),0)),INDEX(IF($I561="FIN",PERSONAL!$L$2:$L$80,PERSONAL!$H$2:$H$80),MATCH($B561,PERSONAL!$A$2:$A$80,0)))))</f>
        <v/>
      </c>
    </row>
    <row r="562" ht="15" customHeight="1" s="58">
      <c r="A562" s="37" t="n"/>
      <c r="B562" s="38" t="n"/>
      <c r="C562" s="39" t="n"/>
      <c r="D562" s="39" t="n"/>
      <c r="E562" s="34">
        <f t="array" ref="E562">IF($B562="","",IFERROR(INDEX(PERSONAL!$B$2:$B$80,MATCH($B562,PERSONAL!$A$2:$A$80,0)),"NO EXISTE"))</f>
        <v/>
      </c>
      <c r="F562" s="52">
        <f t="array" ref="F562">IF($B562="","",IFERROR(INDEX(PERSONAL!$C$2:$C$80,MATCH($B562,PERSONAL!$A$2:$A$80,0)),""))</f>
        <v/>
      </c>
      <c r="G562" s="52">
        <f>IF($A562="","",CHOOSE(WEEKDAY($A562,2),"LUNES","MARTES","MIÉRCOLES","JUEVES","VIERNES","SÁBADO","DOMINGO"))</f>
        <v/>
      </c>
      <c r="H562" s="34">
        <f>IF($A562="","",CHOOSE(MONTH($A562),"ENERO","FEBRERO","MARZO","ABRIL","MAYO","JUNIO","JULIO","AGOSTO","SEPTIEMBRE","OCTUBRE","NOVIEMBRE","DICIEMBRE"))</f>
        <v/>
      </c>
      <c r="I562" s="34">
        <f>IF($A562="","",IF(OR($G562="SÁBADO",$G562="DOMINGO"),"FIN","LV"))</f>
        <v/>
      </c>
      <c r="J562" s="34">
        <f>IF(OR($A562="",$B562=""),"",IF($L562&lt;&gt;"",UPPER($L562),IF($C562="","FALTA",IFERROR(IF($C562&gt;=$O562,"ROJO FUERTE",IF($C562&gt;=$N562,"ROJO",IF($C562&gt;=$M562,"AMARILLO","VERDE"))),"REVISAR"))))</f>
        <v/>
      </c>
      <c r="K562" s="36">
        <f>IF(OR($C562="",$D562=""),"",IF($D562&gt;=$C562,($D562-$C562)*24,(1-$C562+$D562)*24))</f>
        <v/>
      </c>
      <c r="L562" s="34" t="n"/>
      <c r="M562" s="53">
        <f t="array" ref="M562">IFERROR(INDEX(EXCEPCIONES_FECHA!$D$2:$D$201,MATCH(1,(EXCEPCIONES_FECHA!$A$2:$A$201=$A562)*(EXCEPCIONES_FECHA!$B$2:$B$201=$B562),0)),IFERROR(INDEX(EXCEPCIONES_FECHA!$D$2:$D$201,MATCH(1,(EXCEPCIONES_FECHA!$A$2:$A$201=$A562)*(EXCEPCIONES_FECHA!$B$2:$B$201=""),0)),IFERROR(INDEX(IF($I562="FIN",HISTORIAL_HORARIOS!$J$2:$J$201,HISTORIAL_HORARIOS!$F$2:$F$201),MATCH(1,(HISTORIAL_HORARIOS!$A$2:$A$201=$B562)*(HISTORIAL_HORARIOS!$C$2:$C$201&lt;=$A562)*(HISTORIAL_HORARIOS!$D$2:$D$201&gt;=$A562),0)),INDEX(IF($I562="FIN",PERSONAL!$J$2:$J$80,PERSONAL!$F$2:$F$80),MATCH($B562,PERSONAL!$A$2:$A$80,0)))))</f>
        <v/>
      </c>
      <c r="N562" s="53">
        <f t="array" ref="N562">IFERROR(INDEX(EXCEPCIONES_FECHA!$E$2:$E$201,MATCH(1,(EXCEPCIONES_FECHA!$A$2:$A$201=$A562)*(EXCEPCIONES_FECHA!$B$2:$B$201=$B562),0)),IFERROR(INDEX(EXCEPCIONES_FECHA!$E$2:$E$201,MATCH(1,(EXCEPCIONES_FECHA!$A$2:$A$201=$A562)*(EXCEPCIONES_FECHA!$B$2:$B$201=""),0)),IFERROR(INDEX(IF($I562="FIN",HISTORIAL_HORARIOS!$K$2:$K$201,HISTORIAL_HORARIOS!$G$2:$G$201),MATCH(1,(HISTORIAL_HORARIOS!$A$2:$A$201=$B562)*(HISTORIAL_HORARIOS!$C$2:$C$201&lt;=$A562)*(HISTORIAL_HORARIOS!$D$2:$D$201&gt;=$A562),0)),INDEX(IF($I562="FIN",PERSONAL!$K$2:$K$80,PERSONAL!$G$2:$G$80),MATCH($B562,PERSONAL!$A$2:$A$80,0)))))</f>
        <v/>
      </c>
      <c r="O562" s="53">
        <f t="array" ref="O562">IFERROR(INDEX(EXCEPCIONES_FECHA!$F$2:$F$201,MATCH(1,(EXCEPCIONES_FECHA!$A$2:$A$201=$A562)*(EXCEPCIONES_FECHA!$B$2:$B$201=$B562),0)),IFERROR(INDEX(EXCEPCIONES_FECHA!$F$2:$F$201,MATCH(1,(EXCEPCIONES_FECHA!$A$2:$A$201=$A562)*(EXCEPCIONES_FECHA!$B$2:$B$201=""),0)),IFERROR(INDEX(IF($I562="FIN",HISTORIAL_HORARIOS!$L$2:$L$201,HISTORIAL_HORARIOS!$H$2:$H$201),MATCH(1,(HISTORIAL_HORARIOS!$A$2:$A$201=$B562)*(HISTORIAL_HORARIOS!$C$2:$C$201&lt;=$A562)*(HISTORIAL_HORARIOS!$D$2:$D$201&gt;=$A562),0)),INDEX(IF($I562="FIN",PERSONAL!$L$2:$L$80,PERSONAL!$H$2:$H$80),MATCH($B562,PERSONAL!$A$2:$A$80,0)))))</f>
        <v/>
      </c>
    </row>
    <row r="563" ht="15" customHeight="1" s="58">
      <c r="A563" s="37" t="n"/>
      <c r="B563" s="38" t="n"/>
      <c r="C563" s="39" t="n"/>
      <c r="D563" s="39" t="n"/>
      <c r="E563" s="34">
        <f t="array" ref="E563">IF($B563="","",IFERROR(INDEX(PERSONAL!$B$2:$B$80,MATCH($B563,PERSONAL!$A$2:$A$80,0)),"NO EXISTE"))</f>
        <v/>
      </c>
      <c r="F563" s="52">
        <f t="array" ref="F563">IF($B563="","",IFERROR(INDEX(PERSONAL!$C$2:$C$80,MATCH($B563,PERSONAL!$A$2:$A$80,0)),""))</f>
        <v/>
      </c>
      <c r="G563" s="52">
        <f>IF($A563="","",CHOOSE(WEEKDAY($A563,2),"LUNES","MARTES","MIÉRCOLES","JUEVES","VIERNES","SÁBADO","DOMINGO"))</f>
        <v/>
      </c>
      <c r="H563" s="34">
        <f>IF($A563="","",CHOOSE(MONTH($A563),"ENERO","FEBRERO","MARZO","ABRIL","MAYO","JUNIO","JULIO","AGOSTO","SEPTIEMBRE","OCTUBRE","NOVIEMBRE","DICIEMBRE"))</f>
        <v/>
      </c>
      <c r="I563" s="34">
        <f>IF($A563="","",IF(OR($G563="SÁBADO",$G563="DOMINGO"),"FIN","LV"))</f>
        <v/>
      </c>
      <c r="J563" s="34">
        <f>IF(OR($A563="",$B563=""),"",IF($L563&lt;&gt;"",UPPER($L563),IF($C563="","FALTA",IFERROR(IF($C563&gt;=$O563,"ROJO FUERTE",IF($C563&gt;=$N563,"ROJO",IF($C563&gt;=$M563,"AMARILLO","VERDE"))),"REVISAR"))))</f>
        <v/>
      </c>
      <c r="K563" s="36">
        <f>IF(OR($C563="",$D563=""),"",IF($D563&gt;=$C563,($D563-$C563)*24,(1-$C563+$D563)*24))</f>
        <v/>
      </c>
      <c r="L563" s="34" t="n"/>
      <c r="M563" s="53">
        <f t="array" ref="M563">IFERROR(INDEX(EXCEPCIONES_FECHA!$D$2:$D$201,MATCH(1,(EXCEPCIONES_FECHA!$A$2:$A$201=$A563)*(EXCEPCIONES_FECHA!$B$2:$B$201=$B563),0)),IFERROR(INDEX(EXCEPCIONES_FECHA!$D$2:$D$201,MATCH(1,(EXCEPCIONES_FECHA!$A$2:$A$201=$A563)*(EXCEPCIONES_FECHA!$B$2:$B$201=""),0)),IFERROR(INDEX(IF($I563="FIN",HISTORIAL_HORARIOS!$J$2:$J$201,HISTORIAL_HORARIOS!$F$2:$F$201),MATCH(1,(HISTORIAL_HORARIOS!$A$2:$A$201=$B563)*(HISTORIAL_HORARIOS!$C$2:$C$201&lt;=$A563)*(HISTORIAL_HORARIOS!$D$2:$D$201&gt;=$A563),0)),INDEX(IF($I563="FIN",PERSONAL!$J$2:$J$80,PERSONAL!$F$2:$F$80),MATCH($B563,PERSONAL!$A$2:$A$80,0)))))</f>
        <v/>
      </c>
      <c r="N563" s="53">
        <f t="array" ref="N563">IFERROR(INDEX(EXCEPCIONES_FECHA!$E$2:$E$201,MATCH(1,(EXCEPCIONES_FECHA!$A$2:$A$201=$A563)*(EXCEPCIONES_FECHA!$B$2:$B$201=$B563),0)),IFERROR(INDEX(EXCEPCIONES_FECHA!$E$2:$E$201,MATCH(1,(EXCEPCIONES_FECHA!$A$2:$A$201=$A563)*(EXCEPCIONES_FECHA!$B$2:$B$201=""),0)),IFERROR(INDEX(IF($I563="FIN",HISTORIAL_HORARIOS!$K$2:$K$201,HISTORIAL_HORARIOS!$G$2:$G$201),MATCH(1,(HISTORIAL_HORARIOS!$A$2:$A$201=$B563)*(HISTORIAL_HORARIOS!$C$2:$C$201&lt;=$A563)*(HISTORIAL_HORARIOS!$D$2:$D$201&gt;=$A563),0)),INDEX(IF($I563="FIN",PERSONAL!$K$2:$K$80,PERSONAL!$G$2:$G$80),MATCH($B563,PERSONAL!$A$2:$A$80,0)))))</f>
        <v/>
      </c>
      <c r="O563" s="53">
        <f t="array" ref="O563">IFERROR(INDEX(EXCEPCIONES_FECHA!$F$2:$F$201,MATCH(1,(EXCEPCIONES_FECHA!$A$2:$A$201=$A563)*(EXCEPCIONES_FECHA!$B$2:$B$201=$B563),0)),IFERROR(INDEX(EXCEPCIONES_FECHA!$F$2:$F$201,MATCH(1,(EXCEPCIONES_FECHA!$A$2:$A$201=$A563)*(EXCEPCIONES_FECHA!$B$2:$B$201=""),0)),IFERROR(INDEX(IF($I563="FIN",HISTORIAL_HORARIOS!$L$2:$L$201,HISTORIAL_HORARIOS!$H$2:$H$201),MATCH(1,(HISTORIAL_HORARIOS!$A$2:$A$201=$B563)*(HISTORIAL_HORARIOS!$C$2:$C$201&lt;=$A563)*(HISTORIAL_HORARIOS!$D$2:$D$201&gt;=$A563),0)),INDEX(IF($I563="FIN",PERSONAL!$L$2:$L$80,PERSONAL!$H$2:$H$80),MATCH($B563,PERSONAL!$A$2:$A$80,0)))))</f>
        <v/>
      </c>
    </row>
    <row r="564" ht="15" customHeight="1" s="58">
      <c r="A564" s="37" t="n"/>
      <c r="B564" s="38" t="n"/>
      <c r="C564" s="39" t="n"/>
      <c r="D564" s="39" t="n"/>
      <c r="E564" s="34">
        <f t="array" ref="E564">IF($B564="","",IFERROR(INDEX(PERSONAL!$B$2:$B$80,MATCH($B564,PERSONAL!$A$2:$A$80,0)),"NO EXISTE"))</f>
        <v/>
      </c>
      <c r="F564" s="52">
        <f t="array" ref="F564">IF($B564="","",IFERROR(INDEX(PERSONAL!$C$2:$C$80,MATCH($B564,PERSONAL!$A$2:$A$80,0)),""))</f>
        <v/>
      </c>
      <c r="G564" s="52">
        <f>IF($A564="","",CHOOSE(WEEKDAY($A564,2),"LUNES","MARTES","MIÉRCOLES","JUEVES","VIERNES","SÁBADO","DOMINGO"))</f>
        <v/>
      </c>
      <c r="H564" s="34">
        <f>IF($A564="","",CHOOSE(MONTH($A564),"ENERO","FEBRERO","MARZO","ABRIL","MAYO","JUNIO","JULIO","AGOSTO","SEPTIEMBRE","OCTUBRE","NOVIEMBRE","DICIEMBRE"))</f>
        <v/>
      </c>
      <c r="I564" s="34">
        <f>IF($A564="","",IF(OR($G564="SÁBADO",$G564="DOMINGO"),"FIN","LV"))</f>
        <v/>
      </c>
      <c r="J564" s="34">
        <f>IF(OR($A564="",$B564=""),"",IF($L564&lt;&gt;"",UPPER($L564),IF($C564="","FALTA",IFERROR(IF($C564&gt;=$O564,"ROJO FUERTE",IF($C564&gt;=$N564,"ROJO",IF($C564&gt;=$M564,"AMARILLO","VERDE"))),"REVISAR"))))</f>
        <v/>
      </c>
      <c r="K564" s="36">
        <f>IF(OR($C564="",$D564=""),"",IF($D564&gt;=$C564,($D564-$C564)*24,(1-$C564+$D564)*24))</f>
        <v/>
      </c>
      <c r="L564" s="34" t="n"/>
      <c r="M564" s="53">
        <f t="array" ref="M564">IFERROR(INDEX(EXCEPCIONES_FECHA!$D$2:$D$201,MATCH(1,(EXCEPCIONES_FECHA!$A$2:$A$201=$A564)*(EXCEPCIONES_FECHA!$B$2:$B$201=$B564),0)),IFERROR(INDEX(EXCEPCIONES_FECHA!$D$2:$D$201,MATCH(1,(EXCEPCIONES_FECHA!$A$2:$A$201=$A564)*(EXCEPCIONES_FECHA!$B$2:$B$201=""),0)),IFERROR(INDEX(IF($I564="FIN",HISTORIAL_HORARIOS!$J$2:$J$201,HISTORIAL_HORARIOS!$F$2:$F$201),MATCH(1,(HISTORIAL_HORARIOS!$A$2:$A$201=$B564)*(HISTORIAL_HORARIOS!$C$2:$C$201&lt;=$A564)*(HISTORIAL_HORARIOS!$D$2:$D$201&gt;=$A564),0)),INDEX(IF($I564="FIN",PERSONAL!$J$2:$J$80,PERSONAL!$F$2:$F$80),MATCH($B564,PERSONAL!$A$2:$A$80,0)))))</f>
        <v/>
      </c>
      <c r="N564" s="53">
        <f t="array" ref="N564">IFERROR(INDEX(EXCEPCIONES_FECHA!$E$2:$E$201,MATCH(1,(EXCEPCIONES_FECHA!$A$2:$A$201=$A564)*(EXCEPCIONES_FECHA!$B$2:$B$201=$B564),0)),IFERROR(INDEX(EXCEPCIONES_FECHA!$E$2:$E$201,MATCH(1,(EXCEPCIONES_FECHA!$A$2:$A$201=$A564)*(EXCEPCIONES_FECHA!$B$2:$B$201=""),0)),IFERROR(INDEX(IF($I564="FIN",HISTORIAL_HORARIOS!$K$2:$K$201,HISTORIAL_HORARIOS!$G$2:$G$201),MATCH(1,(HISTORIAL_HORARIOS!$A$2:$A$201=$B564)*(HISTORIAL_HORARIOS!$C$2:$C$201&lt;=$A564)*(HISTORIAL_HORARIOS!$D$2:$D$201&gt;=$A564),0)),INDEX(IF($I564="FIN",PERSONAL!$K$2:$K$80,PERSONAL!$G$2:$G$80),MATCH($B564,PERSONAL!$A$2:$A$80,0)))))</f>
        <v/>
      </c>
      <c r="O564" s="53">
        <f t="array" ref="O564">IFERROR(INDEX(EXCEPCIONES_FECHA!$F$2:$F$201,MATCH(1,(EXCEPCIONES_FECHA!$A$2:$A$201=$A564)*(EXCEPCIONES_FECHA!$B$2:$B$201=$B564),0)),IFERROR(INDEX(EXCEPCIONES_FECHA!$F$2:$F$201,MATCH(1,(EXCEPCIONES_FECHA!$A$2:$A$201=$A564)*(EXCEPCIONES_FECHA!$B$2:$B$201=""),0)),IFERROR(INDEX(IF($I564="FIN",HISTORIAL_HORARIOS!$L$2:$L$201,HISTORIAL_HORARIOS!$H$2:$H$201),MATCH(1,(HISTORIAL_HORARIOS!$A$2:$A$201=$B564)*(HISTORIAL_HORARIOS!$C$2:$C$201&lt;=$A564)*(HISTORIAL_HORARIOS!$D$2:$D$201&gt;=$A564),0)),INDEX(IF($I564="FIN",PERSONAL!$L$2:$L$80,PERSONAL!$H$2:$H$80),MATCH($B564,PERSONAL!$A$2:$A$80,0)))))</f>
        <v/>
      </c>
    </row>
    <row r="565" ht="15" customHeight="1" s="58">
      <c r="A565" s="37" t="n"/>
      <c r="B565" s="38" t="n"/>
      <c r="C565" s="39" t="n"/>
      <c r="D565" s="39" t="n"/>
      <c r="E565" s="34">
        <f t="array" ref="E565">IF($B565="","",IFERROR(INDEX(PERSONAL!$B$2:$B$80,MATCH($B565,PERSONAL!$A$2:$A$80,0)),"NO EXISTE"))</f>
        <v/>
      </c>
      <c r="F565" s="52">
        <f t="array" ref="F565">IF($B565="","",IFERROR(INDEX(PERSONAL!$C$2:$C$80,MATCH($B565,PERSONAL!$A$2:$A$80,0)),""))</f>
        <v/>
      </c>
      <c r="G565" s="52">
        <f>IF($A565="","",CHOOSE(WEEKDAY($A565,2),"LUNES","MARTES","MIÉRCOLES","JUEVES","VIERNES","SÁBADO","DOMINGO"))</f>
        <v/>
      </c>
      <c r="H565" s="34">
        <f>IF($A565="","",CHOOSE(MONTH($A565),"ENERO","FEBRERO","MARZO","ABRIL","MAYO","JUNIO","JULIO","AGOSTO","SEPTIEMBRE","OCTUBRE","NOVIEMBRE","DICIEMBRE"))</f>
        <v/>
      </c>
      <c r="I565" s="34">
        <f>IF($A565="","",IF(OR($G565="SÁBADO",$G565="DOMINGO"),"FIN","LV"))</f>
        <v/>
      </c>
      <c r="J565" s="34">
        <f>IF(OR($A565="",$B565=""),"",IF($L565&lt;&gt;"",UPPER($L565),IF($C565="","FALTA",IFERROR(IF($C565&gt;=$O565,"ROJO FUERTE",IF($C565&gt;=$N565,"ROJO",IF($C565&gt;=$M565,"AMARILLO","VERDE"))),"REVISAR"))))</f>
        <v/>
      </c>
      <c r="K565" s="36">
        <f>IF(OR($C565="",$D565=""),"",IF($D565&gt;=$C565,($D565-$C565)*24,(1-$C565+$D565)*24))</f>
        <v/>
      </c>
      <c r="L565" s="34" t="n"/>
      <c r="M565" s="53">
        <f t="array" ref="M565">IFERROR(INDEX(EXCEPCIONES_FECHA!$D$2:$D$201,MATCH(1,(EXCEPCIONES_FECHA!$A$2:$A$201=$A565)*(EXCEPCIONES_FECHA!$B$2:$B$201=$B565),0)),IFERROR(INDEX(EXCEPCIONES_FECHA!$D$2:$D$201,MATCH(1,(EXCEPCIONES_FECHA!$A$2:$A$201=$A565)*(EXCEPCIONES_FECHA!$B$2:$B$201=""),0)),IFERROR(INDEX(IF($I565="FIN",HISTORIAL_HORARIOS!$J$2:$J$201,HISTORIAL_HORARIOS!$F$2:$F$201),MATCH(1,(HISTORIAL_HORARIOS!$A$2:$A$201=$B565)*(HISTORIAL_HORARIOS!$C$2:$C$201&lt;=$A565)*(HISTORIAL_HORARIOS!$D$2:$D$201&gt;=$A565),0)),INDEX(IF($I565="FIN",PERSONAL!$J$2:$J$80,PERSONAL!$F$2:$F$80),MATCH($B565,PERSONAL!$A$2:$A$80,0)))))</f>
        <v/>
      </c>
      <c r="N565" s="53">
        <f t="array" ref="N565">IFERROR(INDEX(EXCEPCIONES_FECHA!$E$2:$E$201,MATCH(1,(EXCEPCIONES_FECHA!$A$2:$A$201=$A565)*(EXCEPCIONES_FECHA!$B$2:$B$201=$B565),0)),IFERROR(INDEX(EXCEPCIONES_FECHA!$E$2:$E$201,MATCH(1,(EXCEPCIONES_FECHA!$A$2:$A$201=$A565)*(EXCEPCIONES_FECHA!$B$2:$B$201=""),0)),IFERROR(INDEX(IF($I565="FIN",HISTORIAL_HORARIOS!$K$2:$K$201,HISTORIAL_HORARIOS!$G$2:$G$201),MATCH(1,(HISTORIAL_HORARIOS!$A$2:$A$201=$B565)*(HISTORIAL_HORARIOS!$C$2:$C$201&lt;=$A565)*(HISTORIAL_HORARIOS!$D$2:$D$201&gt;=$A565),0)),INDEX(IF($I565="FIN",PERSONAL!$K$2:$K$80,PERSONAL!$G$2:$G$80),MATCH($B565,PERSONAL!$A$2:$A$80,0)))))</f>
        <v/>
      </c>
      <c r="O565" s="53">
        <f t="array" ref="O565">IFERROR(INDEX(EXCEPCIONES_FECHA!$F$2:$F$201,MATCH(1,(EXCEPCIONES_FECHA!$A$2:$A$201=$A565)*(EXCEPCIONES_FECHA!$B$2:$B$201=$B565),0)),IFERROR(INDEX(EXCEPCIONES_FECHA!$F$2:$F$201,MATCH(1,(EXCEPCIONES_FECHA!$A$2:$A$201=$A565)*(EXCEPCIONES_FECHA!$B$2:$B$201=""),0)),IFERROR(INDEX(IF($I565="FIN",HISTORIAL_HORARIOS!$L$2:$L$201,HISTORIAL_HORARIOS!$H$2:$H$201),MATCH(1,(HISTORIAL_HORARIOS!$A$2:$A$201=$B565)*(HISTORIAL_HORARIOS!$C$2:$C$201&lt;=$A565)*(HISTORIAL_HORARIOS!$D$2:$D$201&gt;=$A565),0)),INDEX(IF($I565="FIN",PERSONAL!$L$2:$L$80,PERSONAL!$H$2:$H$80),MATCH($B565,PERSONAL!$A$2:$A$80,0)))))</f>
        <v/>
      </c>
    </row>
    <row r="566" ht="15" customHeight="1" s="58">
      <c r="A566" s="37" t="n"/>
      <c r="B566" s="38" t="n"/>
      <c r="C566" s="39" t="n"/>
      <c r="D566" s="39" t="n"/>
      <c r="E566" s="34">
        <f t="array" ref="E566">IF($B566="","",IFERROR(INDEX(PERSONAL!$B$2:$B$80,MATCH($B566,PERSONAL!$A$2:$A$80,0)),"NO EXISTE"))</f>
        <v/>
      </c>
      <c r="F566" s="52">
        <f t="array" ref="F566">IF($B566="","",IFERROR(INDEX(PERSONAL!$C$2:$C$80,MATCH($B566,PERSONAL!$A$2:$A$80,0)),""))</f>
        <v/>
      </c>
      <c r="G566" s="52">
        <f>IF($A566="","",CHOOSE(WEEKDAY($A566,2),"LUNES","MARTES","MIÉRCOLES","JUEVES","VIERNES","SÁBADO","DOMINGO"))</f>
        <v/>
      </c>
      <c r="H566" s="34">
        <f>IF($A566="","",CHOOSE(MONTH($A566),"ENERO","FEBRERO","MARZO","ABRIL","MAYO","JUNIO","JULIO","AGOSTO","SEPTIEMBRE","OCTUBRE","NOVIEMBRE","DICIEMBRE"))</f>
        <v/>
      </c>
      <c r="I566" s="34">
        <f>IF($A566="","",IF(OR($G566="SÁBADO",$G566="DOMINGO"),"FIN","LV"))</f>
        <v/>
      </c>
      <c r="J566" s="34">
        <f>IF(OR($A566="",$B566=""),"",IF($L566&lt;&gt;"",UPPER($L566),IF($C566="","FALTA",IFERROR(IF($C566&gt;=$O566,"ROJO FUERTE",IF($C566&gt;=$N566,"ROJO",IF($C566&gt;=$M566,"AMARILLO","VERDE"))),"REVISAR"))))</f>
        <v/>
      </c>
      <c r="K566" s="36">
        <f>IF(OR($C566="",$D566=""),"",IF($D566&gt;=$C566,($D566-$C566)*24,(1-$C566+$D566)*24))</f>
        <v/>
      </c>
      <c r="L566" s="34" t="n"/>
      <c r="M566" s="53">
        <f t="array" ref="M566">IFERROR(INDEX(EXCEPCIONES_FECHA!$D$2:$D$201,MATCH(1,(EXCEPCIONES_FECHA!$A$2:$A$201=$A566)*(EXCEPCIONES_FECHA!$B$2:$B$201=$B566),0)),IFERROR(INDEX(EXCEPCIONES_FECHA!$D$2:$D$201,MATCH(1,(EXCEPCIONES_FECHA!$A$2:$A$201=$A566)*(EXCEPCIONES_FECHA!$B$2:$B$201=""),0)),IFERROR(INDEX(IF($I566="FIN",HISTORIAL_HORARIOS!$J$2:$J$201,HISTORIAL_HORARIOS!$F$2:$F$201),MATCH(1,(HISTORIAL_HORARIOS!$A$2:$A$201=$B566)*(HISTORIAL_HORARIOS!$C$2:$C$201&lt;=$A566)*(HISTORIAL_HORARIOS!$D$2:$D$201&gt;=$A566),0)),INDEX(IF($I566="FIN",PERSONAL!$J$2:$J$80,PERSONAL!$F$2:$F$80),MATCH($B566,PERSONAL!$A$2:$A$80,0)))))</f>
        <v/>
      </c>
      <c r="N566" s="53">
        <f t="array" ref="N566">IFERROR(INDEX(EXCEPCIONES_FECHA!$E$2:$E$201,MATCH(1,(EXCEPCIONES_FECHA!$A$2:$A$201=$A566)*(EXCEPCIONES_FECHA!$B$2:$B$201=$B566),0)),IFERROR(INDEX(EXCEPCIONES_FECHA!$E$2:$E$201,MATCH(1,(EXCEPCIONES_FECHA!$A$2:$A$201=$A566)*(EXCEPCIONES_FECHA!$B$2:$B$201=""),0)),IFERROR(INDEX(IF($I566="FIN",HISTORIAL_HORARIOS!$K$2:$K$201,HISTORIAL_HORARIOS!$G$2:$G$201),MATCH(1,(HISTORIAL_HORARIOS!$A$2:$A$201=$B566)*(HISTORIAL_HORARIOS!$C$2:$C$201&lt;=$A566)*(HISTORIAL_HORARIOS!$D$2:$D$201&gt;=$A566),0)),INDEX(IF($I566="FIN",PERSONAL!$K$2:$K$80,PERSONAL!$G$2:$G$80),MATCH($B566,PERSONAL!$A$2:$A$80,0)))))</f>
        <v/>
      </c>
      <c r="O566" s="53">
        <f t="array" ref="O566">IFERROR(INDEX(EXCEPCIONES_FECHA!$F$2:$F$201,MATCH(1,(EXCEPCIONES_FECHA!$A$2:$A$201=$A566)*(EXCEPCIONES_FECHA!$B$2:$B$201=$B566),0)),IFERROR(INDEX(EXCEPCIONES_FECHA!$F$2:$F$201,MATCH(1,(EXCEPCIONES_FECHA!$A$2:$A$201=$A566)*(EXCEPCIONES_FECHA!$B$2:$B$201=""),0)),IFERROR(INDEX(IF($I566="FIN",HISTORIAL_HORARIOS!$L$2:$L$201,HISTORIAL_HORARIOS!$H$2:$H$201),MATCH(1,(HISTORIAL_HORARIOS!$A$2:$A$201=$B566)*(HISTORIAL_HORARIOS!$C$2:$C$201&lt;=$A566)*(HISTORIAL_HORARIOS!$D$2:$D$201&gt;=$A566),0)),INDEX(IF($I566="FIN",PERSONAL!$L$2:$L$80,PERSONAL!$H$2:$H$80),MATCH($B566,PERSONAL!$A$2:$A$80,0)))))</f>
        <v/>
      </c>
    </row>
    <row r="567" ht="15" customHeight="1" s="58">
      <c r="A567" s="37" t="n"/>
      <c r="B567" s="38" t="n"/>
      <c r="C567" s="39" t="n"/>
      <c r="D567" s="39" t="n"/>
      <c r="E567" s="34">
        <f t="array" ref="E567">IF($B567="","",IFERROR(INDEX(PERSONAL!$B$2:$B$80,MATCH($B567,PERSONAL!$A$2:$A$80,0)),"NO EXISTE"))</f>
        <v/>
      </c>
      <c r="F567" s="52">
        <f t="array" ref="F567">IF($B567="","",IFERROR(INDEX(PERSONAL!$C$2:$C$80,MATCH($B567,PERSONAL!$A$2:$A$80,0)),""))</f>
        <v/>
      </c>
      <c r="G567" s="52">
        <f>IF($A567="","",CHOOSE(WEEKDAY($A567,2),"LUNES","MARTES","MIÉRCOLES","JUEVES","VIERNES","SÁBADO","DOMINGO"))</f>
        <v/>
      </c>
      <c r="H567" s="34">
        <f>IF($A567="","",CHOOSE(MONTH($A567),"ENERO","FEBRERO","MARZO","ABRIL","MAYO","JUNIO","JULIO","AGOSTO","SEPTIEMBRE","OCTUBRE","NOVIEMBRE","DICIEMBRE"))</f>
        <v/>
      </c>
      <c r="I567" s="34">
        <f>IF($A567="","",IF(OR($G567="SÁBADO",$G567="DOMINGO"),"FIN","LV"))</f>
        <v/>
      </c>
      <c r="J567" s="34">
        <f>IF(OR($A567="",$B567=""),"",IF($L567&lt;&gt;"",UPPER($L567),IF($C567="","FALTA",IFERROR(IF($C567&gt;=$O567,"ROJO FUERTE",IF($C567&gt;=$N567,"ROJO",IF($C567&gt;=$M567,"AMARILLO","VERDE"))),"REVISAR"))))</f>
        <v/>
      </c>
      <c r="K567" s="36">
        <f>IF(OR($C567="",$D567=""),"",IF($D567&gt;=$C567,($D567-$C567)*24,(1-$C567+$D567)*24))</f>
        <v/>
      </c>
      <c r="L567" s="34" t="n"/>
      <c r="M567" s="53">
        <f t="array" ref="M567">IFERROR(INDEX(EXCEPCIONES_FECHA!$D$2:$D$201,MATCH(1,(EXCEPCIONES_FECHA!$A$2:$A$201=$A567)*(EXCEPCIONES_FECHA!$B$2:$B$201=$B567),0)),IFERROR(INDEX(EXCEPCIONES_FECHA!$D$2:$D$201,MATCH(1,(EXCEPCIONES_FECHA!$A$2:$A$201=$A567)*(EXCEPCIONES_FECHA!$B$2:$B$201=""),0)),IFERROR(INDEX(IF($I567="FIN",HISTORIAL_HORARIOS!$J$2:$J$201,HISTORIAL_HORARIOS!$F$2:$F$201),MATCH(1,(HISTORIAL_HORARIOS!$A$2:$A$201=$B567)*(HISTORIAL_HORARIOS!$C$2:$C$201&lt;=$A567)*(HISTORIAL_HORARIOS!$D$2:$D$201&gt;=$A567),0)),INDEX(IF($I567="FIN",PERSONAL!$J$2:$J$80,PERSONAL!$F$2:$F$80),MATCH($B567,PERSONAL!$A$2:$A$80,0)))))</f>
        <v/>
      </c>
      <c r="N567" s="53">
        <f t="array" ref="N567">IFERROR(INDEX(EXCEPCIONES_FECHA!$E$2:$E$201,MATCH(1,(EXCEPCIONES_FECHA!$A$2:$A$201=$A567)*(EXCEPCIONES_FECHA!$B$2:$B$201=$B567),0)),IFERROR(INDEX(EXCEPCIONES_FECHA!$E$2:$E$201,MATCH(1,(EXCEPCIONES_FECHA!$A$2:$A$201=$A567)*(EXCEPCIONES_FECHA!$B$2:$B$201=""),0)),IFERROR(INDEX(IF($I567="FIN",HISTORIAL_HORARIOS!$K$2:$K$201,HISTORIAL_HORARIOS!$G$2:$G$201),MATCH(1,(HISTORIAL_HORARIOS!$A$2:$A$201=$B567)*(HISTORIAL_HORARIOS!$C$2:$C$201&lt;=$A567)*(HISTORIAL_HORARIOS!$D$2:$D$201&gt;=$A567),0)),INDEX(IF($I567="FIN",PERSONAL!$K$2:$K$80,PERSONAL!$G$2:$G$80),MATCH($B567,PERSONAL!$A$2:$A$80,0)))))</f>
        <v/>
      </c>
      <c r="O567" s="53">
        <f t="array" ref="O567">IFERROR(INDEX(EXCEPCIONES_FECHA!$F$2:$F$201,MATCH(1,(EXCEPCIONES_FECHA!$A$2:$A$201=$A567)*(EXCEPCIONES_FECHA!$B$2:$B$201=$B567),0)),IFERROR(INDEX(EXCEPCIONES_FECHA!$F$2:$F$201,MATCH(1,(EXCEPCIONES_FECHA!$A$2:$A$201=$A567)*(EXCEPCIONES_FECHA!$B$2:$B$201=""),0)),IFERROR(INDEX(IF($I567="FIN",HISTORIAL_HORARIOS!$L$2:$L$201,HISTORIAL_HORARIOS!$H$2:$H$201),MATCH(1,(HISTORIAL_HORARIOS!$A$2:$A$201=$B567)*(HISTORIAL_HORARIOS!$C$2:$C$201&lt;=$A567)*(HISTORIAL_HORARIOS!$D$2:$D$201&gt;=$A567),0)),INDEX(IF($I567="FIN",PERSONAL!$L$2:$L$80,PERSONAL!$H$2:$H$80),MATCH($B567,PERSONAL!$A$2:$A$80,0)))))</f>
        <v/>
      </c>
    </row>
    <row r="568" ht="15" customHeight="1" s="58">
      <c r="A568" s="37" t="n"/>
      <c r="B568" s="38" t="n"/>
      <c r="C568" s="39" t="n"/>
      <c r="D568" s="39" t="n"/>
      <c r="E568" s="34">
        <f t="array" ref="E568">IF($B568="","",IFERROR(INDEX(PERSONAL!$B$2:$B$80,MATCH($B568,PERSONAL!$A$2:$A$80,0)),"NO EXISTE"))</f>
        <v/>
      </c>
      <c r="F568" s="52">
        <f t="array" ref="F568">IF($B568="","",IFERROR(INDEX(PERSONAL!$C$2:$C$80,MATCH($B568,PERSONAL!$A$2:$A$80,0)),""))</f>
        <v/>
      </c>
      <c r="G568" s="52">
        <f>IF($A568="","",CHOOSE(WEEKDAY($A568,2),"LUNES","MARTES","MIÉRCOLES","JUEVES","VIERNES","SÁBADO","DOMINGO"))</f>
        <v/>
      </c>
      <c r="H568" s="34">
        <f>IF($A568="","",CHOOSE(MONTH($A568),"ENERO","FEBRERO","MARZO","ABRIL","MAYO","JUNIO","JULIO","AGOSTO","SEPTIEMBRE","OCTUBRE","NOVIEMBRE","DICIEMBRE"))</f>
        <v/>
      </c>
      <c r="I568" s="34">
        <f>IF($A568="","",IF(OR($G568="SÁBADO",$G568="DOMINGO"),"FIN","LV"))</f>
        <v/>
      </c>
      <c r="J568" s="34">
        <f>IF(OR($A568="",$B568=""),"",IF($L568&lt;&gt;"",UPPER($L568),IF($C568="","FALTA",IFERROR(IF($C568&gt;=$O568,"ROJO FUERTE",IF($C568&gt;=$N568,"ROJO",IF($C568&gt;=$M568,"AMARILLO","VERDE"))),"REVISAR"))))</f>
        <v/>
      </c>
      <c r="K568" s="36">
        <f>IF(OR($C568="",$D568=""),"",IF($D568&gt;=$C568,($D568-$C568)*24,(1-$C568+$D568)*24))</f>
        <v/>
      </c>
      <c r="L568" s="34" t="n"/>
      <c r="M568" s="53">
        <f t="array" ref="M568">IFERROR(INDEX(EXCEPCIONES_FECHA!$D$2:$D$201,MATCH(1,(EXCEPCIONES_FECHA!$A$2:$A$201=$A568)*(EXCEPCIONES_FECHA!$B$2:$B$201=$B568),0)),IFERROR(INDEX(EXCEPCIONES_FECHA!$D$2:$D$201,MATCH(1,(EXCEPCIONES_FECHA!$A$2:$A$201=$A568)*(EXCEPCIONES_FECHA!$B$2:$B$201=""),0)),IFERROR(INDEX(IF($I568="FIN",HISTORIAL_HORARIOS!$J$2:$J$201,HISTORIAL_HORARIOS!$F$2:$F$201),MATCH(1,(HISTORIAL_HORARIOS!$A$2:$A$201=$B568)*(HISTORIAL_HORARIOS!$C$2:$C$201&lt;=$A568)*(HISTORIAL_HORARIOS!$D$2:$D$201&gt;=$A568),0)),INDEX(IF($I568="FIN",PERSONAL!$J$2:$J$80,PERSONAL!$F$2:$F$80),MATCH($B568,PERSONAL!$A$2:$A$80,0)))))</f>
        <v/>
      </c>
      <c r="N568" s="53">
        <f t="array" ref="N568">IFERROR(INDEX(EXCEPCIONES_FECHA!$E$2:$E$201,MATCH(1,(EXCEPCIONES_FECHA!$A$2:$A$201=$A568)*(EXCEPCIONES_FECHA!$B$2:$B$201=$B568),0)),IFERROR(INDEX(EXCEPCIONES_FECHA!$E$2:$E$201,MATCH(1,(EXCEPCIONES_FECHA!$A$2:$A$201=$A568)*(EXCEPCIONES_FECHA!$B$2:$B$201=""),0)),IFERROR(INDEX(IF($I568="FIN",HISTORIAL_HORARIOS!$K$2:$K$201,HISTORIAL_HORARIOS!$G$2:$G$201),MATCH(1,(HISTORIAL_HORARIOS!$A$2:$A$201=$B568)*(HISTORIAL_HORARIOS!$C$2:$C$201&lt;=$A568)*(HISTORIAL_HORARIOS!$D$2:$D$201&gt;=$A568),0)),INDEX(IF($I568="FIN",PERSONAL!$K$2:$K$80,PERSONAL!$G$2:$G$80),MATCH($B568,PERSONAL!$A$2:$A$80,0)))))</f>
        <v/>
      </c>
      <c r="O568" s="53">
        <f t="array" ref="O568">IFERROR(INDEX(EXCEPCIONES_FECHA!$F$2:$F$201,MATCH(1,(EXCEPCIONES_FECHA!$A$2:$A$201=$A568)*(EXCEPCIONES_FECHA!$B$2:$B$201=$B568),0)),IFERROR(INDEX(EXCEPCIONES_FECHA!$F$2:$F$201,MATCH(1,(EXCEPCIONES_FECHA!$A$2:$A$201=$A568)*(EXCEPCIONES_FECHA!$B$2:$B$201=""),0)),IFERROR(INDEX(IF($I568="FIN",HISTORIAL_HORARIOS!$L$2:$L$201,HISTORIAL_HORARIOS!$H$2:$H$201),MATCH(1,(HISTORIAL_HORARIOS!$A$2:$A$201=$B568)*(HISTORIAL_HORARIOS!$C$2:$C$201&lt;=$A568)*(HISTORIAL_HORARIOS!$D$2:$D$201&gt;=$A568),0)),INDEX(IF($I568="FIN",PERSONAL!$L$2:$L$80,PERSONAL!$H$2:$H$80),MATCH($B568,PERSONAL!$A$2:$A$80,0)))))</f>
        <v/>
      </c>
    </row>
    <row r="569" ht="15" customHeight="1" s="58">
      <c r="A569" s="37" t="n"/>
      <c r="B569" s="38" t="n"/>
      <c r="C569" s="39" t="n"/>
      <c r="D569" s="39" t="n"/>
      <c r="E569" s="34">
        <f t="array" ref="E569">IF($B569="","",IFERROR(INDEX(PERSONAL!$B$2:$B$80,MATCH($B569,PERSONAL!$A$2:$A$80,0)),"NO EXISTE"))</f>
        <v/>
      </c>
      <c r="F569" s="52">
        <f t="array" ref="F569">IF($B569="","",IFERROR(INDEX(PERSONAL!$C$2:$C$80,MATCH($B569,PERSONAL!$A$2:$A$80,0)),""))</f>
        <v/>
      </c>
      <c r="G569" s="52">
        <f>IF($A569="","",CHOOSE(WEEKDAY($A569,2),"LUNES","MARTES","MIÉRCOLES","JUEVES","VIERNES","SÁBADO","DOMINGO"))</f>
        <v/>
      </c>
      <c r="H569" s="34">
        <f>IF($A569="","",CHOOSE(MONTH($A569),"ENERO","FEBRERO","MARZO","ABRIL","MAYO","JUNIO","JULIO","AGOSTO","SEPTIEMBRE","OCTUBRE","NOVIEMBRE","DICIEMBRE"))</f>
        <v/>
      </c>
      <c r="I569" s="34">
        <f>IF($A569="","",IF(OR($G569="SÁBADO",$G569="DOMINGO"),"FIN","LV"))</f>
        <v/>
      </c>
      <c r="J569" s="34">
        <f>IF(OR($A569="",$B569=""),"",IF($L569&lt;&gt;"",UPPER($L569),IF($C569="","FALTA",IFERROR(IF($C569&gt;=$O569,"ROJO FUERTE",IF($C569&gt;=$N569,"ROJO",IF($C569&gt;=$M569,"AMARILLO","VERDE"))),"REVISAR"))))</f>
        <v/>
      </c>
      <c r="K569" s="36">
        <f>IF(OR($C569="",$D569=""),"",IF($D569&gt;=$C569,($D569-$C569)*24,(1-$C569+$D569)*24))</f>
        <v/>
      </c>
      <c r="L569" s="34" t="n"/>
      <c r="M569" s="53">
        <f t="array" ref="M569">IFERROR(INDEX(EXCEPCIONES_FECHA!$D$2:$D$201,MATCH(1,(EXCEPCIONES_FECHA!$A$2:$A$201=$A569)*(EXCEPCIONES_FECHA!$B$2:$B$201=$B569),0)),IFERROR(INDEX(EXCEPCIONES_FECHA!$D$2:$D$201,MATCH(1,(EXCEPCIONES_FECHA!$A$2:$A$201=$A569)*(EXCEPCIONES_FECHA!$B$2:$B$201=""),0)),IFERROR(INDEX(IF($I569="FIN",HISTORIAL_HORARIOS!$J$2:$J$201,HISTORIAL_HORARIOS!$F$2:$F$201),MATCH(1,(HISTORIAL_HORARIOS!$A$2:$A$201=$B569)*(HISTORIAL_HORARIOS!$C$2:$C$201&lt;=$A569)*(HISTORIAL_HORARIOS!$D$2:$D$201&gt;=$A569),0)),INDEX(IF($I569="FIN",PERSONAL!$J$2:$J$80,PERSONAL!$F$2:$F$80),MATCH($B569,PERSONAL!$A$2:$A$80,0)))))</f>
        <v/>
      </c>
      <c r="N569" s="53">
        <f t="array" ref="N569">IFERROR(INDEX(EXCEPCIONES_FECHA!$E$2:$E$201,MATCH(1,(EXCEPCIONES_FECHA!$A$2:$A$201=$A569)*(EXCEPCIONES_FECHA!$B$2:$B$201=$B569),0)),IFERROR(INDEX(EXCEPCIONES_FECHA!$E$2:$E$201,MATCH(1,(EXCEPCIONES_FECHA!$A$2:$A$201=$A569)*(EXCEPCIONES_FECHA!$B$2:$B$201=""),0)),IFERROR(INDEX(IF($I569="FIN",HISTORIAL_HORARIOS!$K$2:$K$201,HISTORIAL_HORARIOS!$G$2:$G$201),MATCH(1,(HISTORIAL_HORARIOS!$A$2:$A$201=$B569)*(HISTORIAL_HORARIOS!$C$2:$C$201&lt;=$A569)*(HISTORIAL_HORARIOS!$D$2:$D$201&gt;=$A569),0)),INDEX(IF($I569="FIN",PERSONAL!$K$2:$K$80,PERSONAL!$G$2:$G$80),MATCH($B569,PERSONAL!$A$2:$A$80,0)))))</f>
        <v/>
      </c>
      <c r="O569" s="53">
        <f t="array" ref="O569">IFERROR(INDEX(EXCEPCIONES_FECHA!$F$2:$F$201,MATCH(1,(EXCEPCIONES_FECHA!$A$2:$A$201=$A569)*(EXCEPCIONES_FECHA!$B$2:$B$201=$B569),0)),IFERROR(INDEX(EXCEPCIONES_FECHA!$F$2:$F$201,MATCH(1,(EXCEPCIONES_FECHA!$A$2:$A$201=$A569)*(EXCEPCIONES_FECHA!$B$2:$B$201=""),0)),IFERROR(INDEX(IF($I569="FIN",HISTORIAL_HORARIOS!$L$2:$L$201,HISTORIAL_HORARIOS!$H$2:$H$201),MATCH(1,(HISTORIAL_HORARIOS!$A$2:$A$201=$B569)*(HISTORIAL_HORARIOS!$C$2:$C$201&lt;=$A569)*(HISTORIAL_HORARIOS!$D$2:$D$201&gt;=$A569),0)),INDEX(IF($I569="FIN",PERSONAL!$L$2:$L$80,PERSONAL!$H$2:$H$80),MATCH($B569,PERSONAL!$A$2:$A$80,0)))))</f>
        <v/>
      </c>
    </row>
    <row r="570" ht="15" customHeight="1" s="58">
      <c r="A570" s="37" t="n"/>
      <c r="B570" s="38" t="n"/>
      <c r="C570" s="39" t="n"/>
      <c r="D570" s="39" t="n"/>
      <c r="E570" s="34">
        <f t="array" ref="E570">IF($B570="","",IFERROR(INDEX(PERSONAL!$B$2:$B$80,MATCH($B570,PERSONAL!$A$2:$A$80,0)),"NO EXISTE"))</f>
        <v/>
      </c>
      <c r="F570" s="52">
        <f t="array" ref="F570">IF($B570="","",IFERROR(INDEX(PERSONAL!$C$2:$C$80,MATCH($B570,PERSONAL!$A$2:$A$80,0)),""))</f>
        <v/>
      </c>
      <c r="G570" s="52">
        <f>IF($A570="","",CHOOSE(WEEKDAY($A570,2),"LUNES","MARTES","MIÉRCOLES","JUEVES","VIERNES","SÁBADO","DOMINGO"))</f>
        <v/>
      </c>
      <c r="H570" s="34">
        <f>IF($A570="","",CHOOSE(MONTH($A570),"ENERO","FEBRERO","MARZO","ABRIL","MAYO","JUNIO","JULIO","AGOSTO","SEPTIEMBRE","OCTUBRE","NOVIEMBRE","DICIEMBRE"))</f>
        <v/>
      </c>
      <c r="I570" s="34">
        <f>IF($A570="","",IF(OR($G570="SÁBADO",$G570="DOMINGO"),"FIN","LV"))</f>
        <v/>
      </c>
      <c r="J570" s="34">
        <f>IF(OR($A570="",$B570=""),"",IF($L570&lt;&gt;"",UPPER($L570),IF($C570="","FALTA",IFERROR(IF($C570&gt;=$O570,"ROJO FUERTE",IF($C570&gt;=$N570,"ROJO",IF($C570&gt;=$M570,"AMARILLO","VERDE"))),"REVISAR"))))</f>
        <v/>
      </c>
      <c r="K570" s="36">
        <f>IF(OR($C570="",$D570=""),"",IF($D570&gt;=$C570,($D570-$C570)*24,(1-$C570+$D570)*24))</f>
        <v/>
      </c>
      <c r="L570" s="34" t="n"/>
      <c r="M570" s="53">
        <f t="array" ref="M570">IFERROR(INDEX(EXCEPCIONES_FECHA!$D$2:$D$201,MATCH(1,(EXCEPCIONES_FECHA!$A$2:$A$201=$A570)*(EXCEPCIONES_FECHA!$B$2:$B$201=$B570),0)),IFERROR(INDEX(EXCEPCIONES_FECHA!$D$2:$D$201,MATCH(1,(EXCEPCIONES_FECHA!$A$2:$A$201=$A570)*(EXCEPCIONES_FECHA!$B$2:$B$201=""),0)),IFERROR(INDEX(IF($I570="FIN",HISTORIAL_HORARIOS!$J$2:$J$201,HISTORIAL_HORARIOS!$F$2:$F$201),MATCH(1,(HISTORIAL_HORARIOS!$A$2:$A$201=$B570)*(HISTORIAL_HORARIOS!$C$2:$C$201&lt;=$A570)*(HISTORIAL_HORARIOS!$D$2:$D$201&gt;=$A570),0)),INDEX(IF($I570="FIN",PERSONAL!$J$2:$J$80,PERSONAL!$F$2:$F$80),MATCH($B570,PERSONAL!$A$2:$A$80,0)))))</f>
        <v/>
      </c>
      <c r="N570" s="53">
        <f t="array" ref="N570">IFERROR(INDEX(EXCEPCIONES_FECHA!$E$2:$E$201,MATCH(1,(EXCEPCIONES_FECHA!$A$2:$A$201=$A570)*(EXCEPCIONES_FECHA!$B$2:$B$201=$B570),0)),IFERROR(INDEX(EXCEPCIONES_FECHA!$E$2:$E$201,MATCH(1,(EXCEPCIONES_FECHA!$A$2:$A$201=$A570)*(EXCEPCIONES_FECHA!$B$2:$B$201=""),0)),IFERROR(INDEX(IF($I570="FIN",HISTORIAL_HORARIOS!$K$2:$K$201,HISTORIAL_HORARIOS!$G$2:$G$201),MATCH(1,(HISTORIAL_HORARIOS!$A$2:$A$201=$B570)*(HISTORIAL_HORARIOS!$C$2:$C$201&lt;=$A570)*(HISTORIAL_HORARIOS!$D$2:$D$201&gt;=$A570),0)),INDEX(IF($I570="FIN",PERSONAL!$K$2:$K$80,PERSONAL!$G$2:$G$80),MATCH($B570,PERSONAL!$A$2:$A$80,0)))))</f>
        <v/>
      </c>
      <c r="O570" s="53">
        <f t="array" ref="O570">IFERROR(INDEX(EXCEPCIONES_FECHA!$F$2:$F$201,MATCH(1,(EXCEPCIONES_FECHA!$A$2:$A$201=$A570)*(EXCEPCIONES_FECHA!$B$2:$B$201=$B570),0)),IFERROR(INDEX(EXCEPCIONES_FECHA!$F$2:$F$201,MATCH(1,(EXCEPCIONES_FECHA!$A$2:$A$201=$A570)*(EXCEPCIONES_FECHA!$B$2:$B$201=""),0)),IFERROR(INDEX(IF($I570="FIN",HISTORIAL_HORARIOS!$L$2:$L$201,HISTORIAL_HORARIOS!$H$2:$H$201),MATCH(1,(HISTORIAL_HORARIOS!$A$2:$A$201=$B570)*(HISTORIAL_HORARIOS!$C$2:$C$201&lt;=$A570)*(HISTORIAL_HORARIOS!$D$2:$D$201&gt;=$A570),0)),INDEX(IF($I570="FIN",PERSONAL!$L$2:$L$80,PERSONAL!$H$2:$H$80),MATCH($B570,PERSONAL!$A$2:$A$80,0)))))</f>
        <v/>
      </c>
    </row>
    <row r="571" ht="15" customHeight="1" s="58">
      <c r="A571" s="37" t="n"/>
      <c r="B571" s="38" t="n"/>
      <c r="C571" s="39" t="n"/>
      <c r="D571" s="39" t="n"/>
      <c r="E571" s="34">
        <f t="array" ref="E571">IF($B571="","",IFERROR(INDEX(PERSONAL!$B$2:$B$80,MATCH($B571,PERSONAL!$A$2:$A$80,0)),"NO EXISTE"))</f>
        <v/>
      </c>
      <c r="F571" s="52">
        <f t="array" ref="F571">IF($B571="","",IFERROR(INDEX(PERSONAL!$C$2:$C$80,MATCH($B571,PERSONAL!$A$2:$A$80,0)),""))</f>
        <v/>
      </c>
      <c r="G571" s="52">
        <f>IF($A571="","",CHOOSE(WEEKDAY($A571,2),"LUNES","MARTES","MIÉRCOLES","JUEVES","VIERNES","SÁBADO","DOMINGO"))</f>
        <v/>
      </c>
      <c r="H571" s="34">
        <f>IF($A571="","",CHOOSE(MONTH($A571),"ENERO","FEBRERO","MARZO","ABRIL","MAYO","JUNIO","JULIO","AGOSTO","SEPTIEMBRE","OCTUBRE","NOVIEMBRE","DICIEMBRE"))</f>
        <v/>
      </c>
      <c r="I571" s="34">
        <f>IF($A571="","",IF(OR($G571="SÁBADO",$G571="DOMINGO"),"FIN","LV"))</f>
        <v/>
      </c>
      <c r="J571" s="34">
        <f>IF(OR($A571="",$B571=""),"",IF($L571&lt;&gt;"",UPPER($L571),IF($C571="","FALTA",IFERROR(IF($C571&gt;=$O571,"ROJO FUERTE",IF($C571&gt;=$N571,"ROJO",IF($C571&gt;=$M571,"AMARILLO","VERDE"))),"REVISAR"))))</f>
        <v/>
      </c>
      <c r="K571" s="36">
        <f>IF(OR($C571="",$D571=""),"",IF($D571&gt;=$C571,($D571-$C571)*24,(1-$C571+$D571)*24))</f>
        <v/>
      </c>
      <c r="L571" s="34" t="n"/>
      <c r="M571" s="53">
        <f t="array" ref="M571">IFERROR(INDEX(EXCEPCIONES_FECHA!$D$2:$D$201,MATCH(1,(EXCEPCIONES_FECHA!$A$2:$A$201=$A571)*(EXCEPCIONES_FECHA!$B$2:$B$201=$B571),0)),IFERROR(INDEX(EXCEPCIONES_FECHA!$D$2:$D$201,MATCH(1,(EXCEPCIONES_FECHA!$A$2:$A$201=$A571)*(EXCEPCIONES_FECHA!$B$2:$B$201=""),0)),IFERROR(INDEX(IF($I571="FIN",HISTORIAL_HORARIOS!$J$2:$J$201,HISTORIAL_HORARIOS!$F$2:$F$201),MATCH(1,(HISTORIAL_HORARIOS!$A$2:$A$201=$B571)*(HISTORIAL_HORARIOS!$C$2:$C$201&lt;=$A571)*(HISTORIAL_HORARIOS!$D$2:$D$201&gt;=$A571),0)),INDEX(IF($I571="FIN",PERSONAL!$J$2:$J$80,PERSONAL!$F$2:$F$80),MATCH($B571,PERSONAL!$A$2:$A$80,0)))))</f>
        <v/>
      </c>
      <c r="N571" s="53">
        <f t="array" ref="N571">IFERROR(INDEX(EXCEPCIONES_FECHA!$E$2:$E$201,MATCH(1,(EXCEPCIONES_FECHA!$A$2:$A$201=$A571)*(EXCEPCIONES_FECHA!$B$2:$B$201=$B571),0)),IFERROR(INDEX(EXCEPCIONES_FECHA!$E$2:$E$201,MATCH(1,(EXCEPCIONES_FECHA!$A$2:$A$201=$A571)*(EXCEPCIONES_FECHA!$B$2:$B$201=""),0)),IFERROR(INDEX(IF($I571="FIN",HISTORIAL_HORARIOS!$K$2:$K$201,HISTORIAL_HORARIOS!$G$2:$G$201),MATCH(1,(HISTORIAL_HORARIOS!$A$2:$A$201=$B571)*(HISTORIAL_HORARIOS!$C$2:$C$201&lt;=$A571)*(HISTORIAL_HORARIOS!$D$2:$D$201&gt;=$A571),0)),INDEX(IF($I571="FIN",PERSONAL!$K$2:$K$80,PERSONAL!$G$2:$G$80),MATCH($B571,PERSONAL!$A$2:$A$80,0)))))</f>
        <v/>
      </c>
      <c r="O571" s="53">
        <f t="array" ref="O571">IFERROR(INDEX(EXCEPCIONES_FECHA!$F$2:$F$201,MATCH(1,(EXCEPCIONES_FECHA!$A$2:$A$201=$A571)*(EXCEPCIONES_FECHA!$B$2:$B$201=$B571),0)),IFERROR(INDEX(EXCEPCIONES_FECHA!$F$2:$F$201,MATCH(1,(EXCEPCIONES_FECHA!$A$2:$A$201=$A571)*(EXCEPCIONES_FECHA!$B$2:$B$201=""),0)),IFERROR(INDEX(IF($I571="FIN",HISTORIAL_HORARIOS!$L$2:$L$201,HISTORIAL_HORARIOS!$H$2:$H$201),MATCH(1,(HISTORIAL_HORARIOS!$A$2:$A$201=$B571)*(HISTORIAL_HORARIOS!$C$2:$C$201&lt;=$A571)*(HISTORIAL_HORARIOS!$D$2:$D$201&gt;=$A571),0)),INDEX(IF($I571="FIN",PERSONAL!$L$2:$L$80,PERSONAL!$H$2:$H$80),MATCH($B571,PERSONAL!$A$2:$A$80,0)))))</f>
        <v/>
      </c>
    </row>
    <row r="572" ht="15" customHeight="1" s="58">
      <c r="A572" s="37" t="n"/>
      <c r="B572" s="38" t="n"/>
      <c r="C572" s="39" t="n"/>
      <c r="D572" s="39" t="n"/>
      <c r="E572" s="34">
        <f t="array" ref="E572">IF($B572="","",IFERROR(INDEX(PERSONAL!$B$2:$B$80,MATCH($B572,PERSONAL!$A$2:$A$80,0)),"NO EXISTE"))</f>
        <v/>
      </c>
      <c r="F572" s="52">
        <f t="array" ref="F572">IF($B572="","",IFERROR(INDEX(PERSONAL!$C$2:$C$80,MATCH($B572,PERSONAL!$A$2:$A$80,0)),""))</f>
        <v/>
      </c>
      <c r="G572" s="52">
        <f>IF($A572="","",CHOOSE(WEEKDAY($A572,2),"LUNES","MARTES","MIÉRCOLES","JUEVES","VIERNES","SÁBADO","DOMINGO"))</f>
        <v/>
      </c>
      <c r="H572" s="34">
        <f>IF($A572="","",CHOOSE(MONTH($A572),"ENERO","FEBRERO","MARZO","ABRIL","MAYO","JUNIO","JULIO","AGOSTO","SEPTIEMBRE","OCTUBRE","NOVIEMBRE","DICIEMBRE"))</f>
        <v/>
      </c>
      <c r="I572" s="34">
        <f>IF($A572="","",IF(OR($G572="SÁBADO",$G572="DOMINGO"),"FIN","LV"))</f>
        <v/>
      </c>
      <c r="J572" s="34">
        <f>IF(OR($A572="",$B572=""),"",IF($L572&lt;&gt;"",UPPER($L572),IF($C572="","FALTA",IFERROR(IF($C572&gt;=$O572,"ROJO FUERTE",IF($C572&gt;=$N572,"ROJO",IF($C572&gt;=$M572,"AMARILLO","VERDE"))),"REVISAR"))))</f>
        <v/>
      </c>
      <c r="K572" s="36">
        <f>IF(OR($C572="",$D572=""),"",IF($D572&gt;=$C572,($D572-$C572)*24,(1-$C572+$D572)*24))</f>
        <v/>
      </c>
      <c r="L572" s="34" t="n"/>
      <c r="M572" s="53">
        <f t="array" ref="M572">IFERROR(INDEX(EXCEPCIONES_FECHA!$D$2:$D$201,MATCH(1,(EXCEPCIONES_FECHA!$A$2:$A$201=$A572)*(EXCEPCIONES_FECHA!$B$2:$B$201=$B572),0)),IFERROR(INDEX(EXCEPCIONES_FECHA!$D$2:$D$201,MATCH(1,(EXCEPCIONES_FECHA!$A$2:$A$201=$A572)*(EXCEPCIONES_FECHA!$B$2:$B$201=""),0)),IFERROR(INDEX(IF($I572="FIN",HISTORIAL_HORARIOS!$J$2:$J$201,HISTORIAL_HORARIOS!$F$2:$F$201),MATCH(1,(HISTORIAL_HORARIOS!$A$2:$A$201=$B572)*(HISTORIAL_HORARIOS!$C$2:$C$201&lt;=$A572)*(HISTORIAL_HORARIOS!$D$2:$D$201&gt;=$A572),0)),INDEX(IF($I572="FIN",PERSONAL!$J$2:$J$80,PERSONAL!$F$2:$F$80),MATCH($B572,PERSONAL!$A$2:$A$80,0)))))</f>
        <v/>
      </c>
      <c r="N572" s="53">
        <f t="array" ref="N572">IFERROR(INDEX(EXCEPCIONES_FECHA!$E$2:$E$201,MATCH(1,(EXCEPCIONES_FECHA!$A$2:$A$201=$A572)*(EXCEPCIONES_FECHA!$B$2:$B$201=$B572),0)),IFERROR(INDEX(EXCEPCIONES_FECHA!$E$2:$E$201,MATCH(1,(EXCEPCIONES_FECHA!$A$2:$A$201=$A572)*(EXCEPCIONES_FECHA!$B$2:$B$201=""),0)),IFERROR(INDEX(IF($I572="FIN",HISTORIAL_HORARIOS!$K$2:$K$201,HISTORIAL_HORARIOS!$G$2:$G$201),MATCH(1,(HISTORIAL_HORARIOS!$A$2:$A$201=$B572)*(HISTORIAL_HORARIOS!$C$2:$C$201&lt;=$A572)*(HISTORIAL_HORARIOS!$D$2:$D$201&gt;=$A572),0)),INDEX(IF($I572="FIN",PERSONAL!$K$2:$K$80,PERSONAL!$G$2:$G$80),MATCH($B572,PERSONAL!$A$2:$A$80,0)))))</f>
        <v/>
      </c>
      <c r="O572" s="53">
        <f t="array" ref="O572">IFERROR(INDEX(EXCEPCIONES_FECHA!$F$2:$F$201,MATCH(1,(EXCEPCIONES_FECHA!$A$2:$A$201=$A572)*(EXCEPCIONES_FECHA!$B$2:$B$201=$B572),0)),IFERROR(INDEX(EXCEPCIONES_FECHA!$F$2:$F$201,MATCH(1,(EXCEPCIONES_FECHA!$A$2:$A$201=$A572)*(EXCEPCIONES_FECHA!$B$2:$B$201=""),0)),IFERROR(INDEX(IF($I572="FIN",HISTORIAL_HORARIOS!$L$2:$L$201,HISTORIAL_HORARIOS!$H$2:$H$201),MATCH(1,(HISTORIAL_HORARIOS!$A$2:$A$201=$B572)*(HISTORIAL_HORARIOS!$C$2:$C$201&lt;=$A572)*(HISTORIAL_HORARIOS!$D$2:$D$201&gt;=$A572),0)),INDEX(IF($I572="FIN",PERSONAL!$L$2:$L$80,PERSONAL!$H$2:$H$80),MATCH($B572,PERSONAL!$A$2:$A$80,0)))))</f>
        <v/>
      </c>
    </row>
    <row r="573" ht="15" customHeight="1" s="58">
      <c r="A573" s="37" t="n"/>
      <c r="B573" s="38" t="n"/>
      <c r="C573" s="39" t="n"/>
      <c r="D573" s="39" t="n"/>
      <c r="E573" s="34">
        <f t="array" ref="E573">IF($B573="","",IFERROR(INDEX(PERSONAL!$B$2:$B$80,MATCH($B573,PERSONAL!$A$2:$A$80,0)),"NO EXISTE"))</f>
        <v/>
      </c>
      <c r="F573" s="52">
        <f t="array" ref="F573">IF($B573="","",IFERROR(INDEX(PERSONAL!$C$2:$C$80,MATCH($B573,PERSONAL!$A$2:$A$80,0)),""))</f>
        <v/>
      </c>
      <c r="G573" s="52">
        <f>IF($A573="","",CHOOSE(WEEKDAY($A573,2),"LUNES","MARTES","MIÉRCOLES","JUEVES","VIERNES","SÁBADO","DOMINGO"))</f>
        <v/>
      </c>
      <c r="H573" s="34">
        <f>IF($A573="","",CHOOSE(MONTH($A573),"ENERO","FEBRERO","MARZO","ABRIL","MAYO","JUNIO","JULIO","AGOSTO","SEPTIEMBRE","OCTUBRE","NOVIEMBRE","DICIEMBRE"))</f>
        <v/>
      </c>
      <c r="I573" s="34">
        <f>IF($A573="","",IF(OR($G573="SÁBADO",$G573="DOMINGO"),"FIN","LV"))</f>
        <v/>
      </c>
      <c r="J573" s="34">
        <f>IF(OR($A573="",$B573=""),"",IF($L573&lt;&gt;"",UPPER($L573),IF($C573="","FALTA",IFERROR(IF($C573&gt;=$O573,"ROJO FUERTE",IF($C573&gt;=$N573,"ROJO",IF($C573&gt;=$M573,"AMARILLO","VERDE"))),"REVISAR"))))</f>
        <v/>
      </c>
      <c r="K573" s="36">
        <f>IF(OR($C573="",$D573=""),"",IF($D573&gt;=$C573,($D573-$C573)*24,(1-$C573+$D573)*24))</f>
        <v/>
      </c>
      <c r="L573" s="34" t="n"/>
      <c r="M573" s="53">
        <f t="array" ref="M573">IFERROR(INDEX(EXCEPCIONES_FECHA!$D$2:$D$201,MATCH(1,(EXCEPCIONES_FECHA!$A$2:$A$201=$A573)*(EXCEPCIONES_FECHA!$B$2:$B$201=$B573),0)),IFERROR(INDEX(EXCEPCIONES_FECHA!$D$2:$D$201,MATCH(1,(EXCEPCIONES_FECHA!$A$2:$A$201=$A573)*(EXCEPCIONES_FECHA!$B$2:$B$201=""),0)),IFERROR(INDEX(IF($I573="FIN",HISTORIAL_HORARIOS!$J$2:$J$201,HISTORIAL_HORARIOS!$F$2:$F$201),MATCH(1,(HISTORIAL_HORARIOS!$A$2:$A$201=$B573)*(HISTORIAL_HORARIOS!$C$2:$C$201&lt;=$A573)*(HISTORIAL_HORARIOS!$D$2:$D$201&gt;=$A573),0)),INDEX(IF($I573="FIN",PERSONAL!$J$2:$J$80,PERSONAL!$F$2:$F$80),MATCH($B573,PERSONAL!$A$2:$A$80,0)))))</f>
        <v/>
      </c>
      <c r="N573" s="53">
        <f t="array" ref="N573">IFERROR(INDEX(EXCEPCIONES_FECHA!$E$2:$E$201,MATCH(1,(EXCEPCIONES_FECHA!$A$2:$A$201=$A573)*(EXCEPCIONES_FECHA!$B$2:$B$201=$B573),0)),IFERROR(INDEX(EXCEPCIONES_FECHA!$E$2:$E$201,MATCH(1,(EXCEPCIONES_FECHA!$A$2:$A$201=$A573)*(EXCEPCIONES_FECHA!$B$2:$B$201=""),0)),IFERROR(INDEX(IF($I573="FIN",HISTORIAL_HORARIOS!$K$2:$K$201,HISTORIAL_HORARIOS!$G$2:$G$201),MATCH(1,(HISTORIAL_HORARIOS!$A$2:$A$201=$B573)*(HISTORIAL_HORARIOS!$C$2:$C$201&lt;=$A573)*(HISTORIAL_HORARIOS!$D$2:$D$201&gt;=$A573),0)),INDEX(IF($I573="FIN",PERSONAL!$K$2:$K$80,PERSONAL!$G$2:$G$80),MATCH($B573,PERSONAL!$A$2:$A$80,0)))))</f>
        <v/>
      </c>
      <c r="O573" s="53">
        <f t="array" ref="O573">IFERROR(INDEX(EXCEPCIONES_FECHA!$F$2:$F$201,MATCH(1,(EXCEPCIONES_FECHA!$A$2:$A$201=$A573)*(EXCEPCIONES_FECHA!$B$2:$B$201=$B573),0)),IFERROR(INDEX(EXCEPCIONES_FECHA!$F$2:$F$201,MATCH(1,(EXCEPCIONES_FECHA!$A$2:$A$201=$A573)*(EXCEPCIONES_FECHA!$B$2:$B$201=""),0)),IFERROR(INDEX(IF($I573="FIN",HISTORIAL_HORARIOS!$L$2:$L$201,HISTORIAL_HORARIOS!$H$2:$H$201),MATCH(1,(HISTORIAL_HORARIOS!$A$2:$A$201=$B573)*(HISTORIAL_HORARIOS!$C$2:$C$201&lt;=$A573)*(HISTORIAL_HORARIOS!$D$2:$D$201&gt;=$A573),0)),INDEX(IF($I573="FIN",PERSONAL!$L$2:$L$80,PERSONAL!$H$2:$H$80),MATCH($B573,PERSONAL!$A$2:$A$80,0)))))</f>
        <v/>
      </c>
    </row>
    <row r="574" ht="15" customHeight="1" s="58">
      <c r="A574" s="37" t="n"/>
      <c r="B574" s="38" t="n"/>
      <c r="C574" s="39" t="n"/>
      <c r="D574" s="39" t="n"/>
      <c r="E574" s="34">
        <f t="array" ref="E574">IF($B574="","",IFERROR(INDEX(PERSONAL!$B$2:$B$80,MATCH($B574,PERSONAL!$A$2:$A$80,0)),"NO EXISTE"))</f>
        <v/>
      </c>
      <c r="F574" s="52">
        <f t="array" ref="F574">IF($B574="","",IFERROR(INDEX(PERSONAL!$C$2:$C$80,MATCH($B574,PERSONAL!$A$2:$A$80,0)),""))</f>
        <v/>
      </c>
      <c r="G574" s="52">
        <f>IF($A574="","",CHOOSE(WEEKDAY($A574,2),"LUNES","MARTES","MIÉRCOLES","JUEVES","VIERNES","SÁBADO","DOMINGO"))</f>
        <v/>
      </c>
      <c r="H574" s="34">
        <f>IF($A574="","",CHOOSE(MONTH($A574),"ENERO","FEBRERO","MARZO","ABRIL","MAYO","JUNIO","JULIO","AGOSTO","SEPTIEMBRE","OCTUBRE","NOVIEMBRE","DICIEMBRE"))</f>
        <v/>
      </c>
      <c r="I574" s="34">
        <f>IF($A574="","",IF(OR($G574="SÁBADO",$G574="DOMINGO"),"FIN","LV"))</f>
        <v/>
      </c>
      <c r="J574" s="34">
        <f>IF(OR($A574="",$B574=""),"",IF($L574&lt;&gt;"",UPPER($L574),IF($C574="","FALTA",IFERROR(IF($C574&gt;=$O574,"ROJO FUERTE",IF($C574&gt;=$N574,"ROJO",IF($C574&gt;=$M574,"AMARILLO","VERDE"))),"REVISAR"))))</f>
        <v/>
      </c>
      <c r="K574" s="36">
        <f>IF(OR($C574="",$D574=""),"",IF($D574&gt;=$C574,($D574-$C574)*24,(1-$C574+$D574)*24))</f>
        <v/>
      </c>
      <c r="L574" s="34" t="n"/>
      <c r="M574" s="53">
        <f t="array" ref="M574">IFERROR(INDEX(EXCEPCIONES_FECHA!$D$2:$D$201,MATCH(1,(EXCEPCIONES_FECHA!$A$2:$A$201=$A574)*(EXCEPCIONES_FECHA!$B$2:$B$201=$B574),0)),IFERROR(INDEX(EXCEPCIONES_FECHA!$D$2:$D$201,MATCH(1,(EXCEPCIONES_FECHA!$A$2:$A$201=$A574)*(EXCEPCIONES_FECHA!$B$2:$B$201=""),0)),IFERROR(INDEX(IF($I574="FIN",HISTORIAL_HORARIOS!$J$2:$J$201,HISTORIAL_HORARIOS!$F$2:$F$201),MATCH(1,(HISTORIAL_HORARIOS!$A$2:$A$201=$B574)*(HISTORIAL_HORARIOS!$C$2:$C$201&lt;=$A574)*(HISTORIAL_HORARIOS!$D$2:$D$201&gt;=$A574),0)),INDEX(IF($I574="FIN",PERSONAL!$J$2:$J$80,PERSONAL!$F$2:$F$80),MATCH($B574,PERSONAL!$A$2:$A$80,0)))))</f>
        <v/>
      </c>
      <c r="N574" s="53">
        <f t="array" ref="N574">IFERROR(INDEX(EXCEPCIONES_FECHA!$E$2:$E$201,MATCH(1,(EXCEPCIONES_FECHA!$A$2:$A$201=$A574)*(EXCEPCIONES_FECHA!$B$2:$B$201=$B574),0)),IFERROR(INDEX(EXCEPCIONES_FECHA!$E$2:$E$201,MATCH(1,(EXCEPCIONES_FECHA!$A$2:$A$201=$A574)*(EXCEPCIONES_FECHA!$B$2:$B$201=""),0)),IFERROR(INDEX(IF($I574="FIN",HISTORIAL_HORARIOS!$K$2:$K$201,HISTORIAL_HORARIOS!$G$2:$G$201),MATCH(1,(HISTORIAL_HORARIOS!$A$2:$A$201=$B574)*(HISTORIAL_HORARIOS!$C$2:$C$201&lt;=$A574)*(HISTORIAL_HORARIOS!$D$2:$D$201&gt;=$A574),0)),INDEX(IF($I574="FIN",PERSONAL!$K$2:$K$80,PERSONAL!$G$2:$G$80),MATCH($B574,PERSONAL!$A$2:$A$80,0)))))</f>
        <v/>
      </c>
      <c r="O574" s="53">
        <f t="array" ref="O574">IFERROR(INDEX(EXCEPCIONES_FECHA!$F$2:$F$201,MATCH(1,(EXCEPCIONES_FECHA!$A$2:$A$201=$A574)*(EXCEPCIONES_FECHA!$B$2:$B$201=$B574),0)),IFERROR(INDEX(EXCEPCIONES_FECHA!$F$2:$F$201,MATCH(1,(EXCEPCIONES_FECHA!$A$2:$A$201=$A574)*(EXCEPCIONES_FECHA!$B$2:$B$201=""),0)),IFERROR(INDEX(IF($I574="FIN",HISTORIAL_HORARIOS!$L$2:$L$201,HISTORIAL_HORARIOS!$H$2:$H$201),MATCH(1,(HISTORIAL_HORARIOS!$A$2:$A$201=$B574)*(HISTORIAL_HORARIOS!$C$2:$C$201&lt;=$A574)*(HISTORIAL_HORARIOS!$D$2:$D$201&gt;=$A574),0)),INDEX(IF($I574="FIN",PERSONAL!$L$2:$L$80,PERSONAL!$H$2:$H$80),MATCH($B574,PERSONAL!$A$2:$A$80,0)))))</f>
        <v/>
      </c>
    </row>
    <row r="575" ht="15" customHeight="1" s="58">
      <c r="A575" s="37" t="n"/>
      <c r="B575" s="38" t="n"/>
      <c r="C575" s="39" t="n"/>
      <c r="D575" s="39" t="n"/>
      <c r="E575" s="34">
        <f t="array" ref="E575">IF($B575="","",IFERROR(INDEX(PERSONAL!$B$2:$B$80,MATCH($B575,PERSONAL!$A$2:$A$80,0)),"NO EXISTE"))</f>
        <v/>
      </c>
      <c r="F575" s="52">
        <f t="array" ref="F575">IF($B575="","",IFERROR(INDEX(PERSONAL!$C$2:$C$80,MATCH($B575,PERSONAL!$A$2:$A$80,0)),""))</f>
        <v/>
      </c>
      <c r="G575" s="52">
        <f>IF($A575="","",CHOOSE(WEEKDAY($A575,2),"LUNES","MARTES","MIÉRCOLES","JUEVES","VIERNES","SÁBADO","DOMINGO"))</f>
        <v/>
      </c>
      <c r="H575" s="34">
        <f>IF($A575="","",CHOOSE(MONTH($A575),"ENERO","FEBRERO","MARZO","ABRIL","MAYO","JUNIO","JULIO","AGOSTO","SEPTIEMBRE","OCTUBRE","NOVIEMBRE","DICIEMBRE"))</f>
        <v/>
      </c>
      <c r="I575" s="34">
        <f>IF($A575="","",IF(OR($G575="SÁBADO",$G575="DOMINGO"),"FIN","LV"))</f>
        <v/>
      </c>
      <c r="J575" s="34">
        <f>IF(OR($A575="",$B575=""),"",IF($L575&lt;&gt;"",UPPER($L575),IF($C575="","FALTA",IFERROR(IF($C575&gt;=$O575,"ROJO FUERTE",IF($C575&gt;=$N575,"ROJO",IF($C575&gt;=$M575,"AMARILLO","VERDE"))),"REVISAR"))))</f>
        <v/>
      </c>
      <c r="K575" s="36">
        <f>IF(OR($C575="",$D575=""),"",IF($D575&gt;=$C575,($D575-$C575)*24,(1-$C575+$D575)*24))</f>
        <v/>
      </c>
      <c r="L575" s="34" t="n"/>
      <c r="M575" s="53">
        <f t="array" ref="M575">IFERROR(INDEX(EXCEPCIONES_FECHA!$D$2:$D$201,MATCH(1,(EXCEPCIONES_FECHA!$A$2:$A$201=$A575)*(EXCEPCIONES_FECHA!$B$2:$B$201=$B575),0)),IFERROR(INDEX(EXCEPCIONES_FECHA!$D$2:$D$201,MATCH(1,(EXCEPCIONES_FECHA!$A$2:$A$201=$A575)*(EXCEPCIONES_FECHA!$B$2:$B$201=""),0)),IFERROR(INDEX(IF($I575="FIN",HISTORIAL_HORARIOS!$J$2:$J$201,HISTORIAL_HORARIOS!$F$2:$F$201),MATCH(1,(HISTORIAL_HORARIOS!$A$2:$A$201=$B575)*(HISTORIAL_HORARIOS!$C$2:$C$201&lt;=$A575)*(HISTORIAL_HORARIOS!$D$2:$D$201&gt;=$A575),0)),INDEX(IF($I575="FIN",PERSONAL!$J$2:$J$80,PERSONAL!$F$2:$F$80),MATCH($B575,PERSONAL!$A$2:$A$80,0)))))</f>
        <v/>
      </c>
      <c r="N575" s="53">
        <f t="array" ref="N575">IFERROR(INDEX(EXCEPCIONES_FECHA!$E$2:$E$201,MATCH(1,(EXCEPCIONES_FECHA!$A$2:$A$201=$A575)*(EXCEPCIONES_FECHA!$B$2:$B$201=$B575),0)),IFERROR(INDEX(EXCEPCIONES_FECHA!$E$2:$E$201,MATCH(1,(EXCEPCIONES_FECHA!$A$2:$A$201=$A575)*(EXCEPCIONES_FECHA!$B$2:$B$201=""),0)),IFERROR(INDEX(IF($I575="FIN",HISTORIAL_HORARIOS!$K$2:$K$201,HISTORIAL_HORARIOS!$G$2:$G$201),MATCH(1,(HISTORIAL_HORARIOS!$A$2:$A$201=$B575)*(HISTORIAL_HORARIOS!$C$2:$C$201&lt;=$A575)*(HISTORIAL_HORARIOS!$D$2:$D$201&gt;=$A575),0)),INDEX(IF($I575="FIN",PERSONAL!$K$2:$K$80,PERSONAL!$G$2:$G$80),MATCH($B575,PERSONAL!$A$2:$A$80,0)))))</f>
        <v/>
      </c>
      <c r="O575" s="53">
        <f t="array" ref="O575">IFERROR(INDEX(EXCEPCIONES_FECHA!$F$2:$F$201,MATCH(1,(EXCEPCIONES_FECHA!$A$2:$A$201=$A575)*(EXCEPCIONES_FECHA!$B$2:$B$201=$B575),0)),IFERROR(INDEX(EXCEPCIONES_FECHA!$F$2:$F$201,MATCH(1,(EXCEPCIONES_FECHA!$A$2:$A$201=$A575)*(EXCEPCIONES_FECHA!$B$2:$B$201=""),0)),IFERROR(INDEX(IF($I575="FIN",HISTORIAL_HORARIOS!$L$2:$L$201,HISTORIAL_HORARIOS!$H$2:$H$201),MATCH(1,(HISTORIAL_HORARIOS!$A$2:$A$201=$B575)*(HISTORIAL_HORARIOS!$C$2:$C$201&lt;=$A575)*(HISTORIAL_HORARIOS!$D$2:$D$201&gt;=$A575),0)),INDEX(IF($I575="FIN",PERSONAL!$L$2:$L$80,PERSONAL!$H$2:$H$80),MATCH($B575,PERSONAL!$A$2:$A$80,0)))))</f>
        <v/>
      </c>
    </row>
    <row r="576" ht="15" customHeight="1" s="58">
      <c r="A576" s="37" t="n"/>
      <c r="B576" s="38" t="n"/>
      <c r="C576" s="39" t="n"/>
      <c r="D576" s="39" t="n"/>
      <c r="E576" s="34">
        <f t="array" ref="E576">IF($B576="","",IFERROR(INDEX(PERSONAL!$B$2:$B$80,MATCH($B576,PERSONAL!$A$2:$A$80,0)),"NO EXISTE"))</f>
        <v/>
      </c>
      <c r="F576" s="52">
        <f t="array" ref="F576">IF($B576="","",IFERROR(INDEX(PERSONAL!$C$2:$C$80,MATCH($B576,PERSONAL!$A$2:$A$80,0)),""))</f>
        <v/>
      </c>
      <c r="G576" s="52">
        <f>IF($A576="","",CHOOSE(WEEKDAY($A576,2),"LUNES","MARTES","MIÉRCOLES","JUEVES","VIERNES","SÁBADO","DOMINGO"))</f>
        <v/>
      </c>
      <c r="H576" s="34">
        <f>IF($A576="","",CHOOSE(MONTH($A576),"ENERO","FEBRERO","MARZO","ABRIL","MAYO","JUNIO","JULIO","AGOSTO","SEPTIEMBRE","OCTUBRE","NOVIEMBRE","DICIEMBRE"))</f>
        <v/>
      </c>
      <c r="I576" s="34">
        <f>IF($A576="","",IF(OR($G576="SÁBADO",$G576="DOMINGO"),"FIN","LV"))</f>
        <v/>
      </c>
      <c r="J576" s="34">
        <f>IF(OR($A576="",$B576=""),"",IF($L576&lt;&gt;"",UPPER($L576),IF($C576="","FALTA",IFERROR(IF($C576&gt;=$O576,"ROJO FUERTE",IF($C576&gt;=$N576,"ROJO",IF($C576&gt;=$M576,"AMARILLO","VERDE"))),"REVISAR"))))</f>
        <v/>
      </c>
      <c r="K576" s="36">
        <f>IF(OR($C576="",$D576=""),"",IF($D576&gt;=$C576,($D576-$C576)*24,(1-$C576+$D576)*24))</f>
        <v/>
      </c>
      <c r="L576" s="34" t="n"/>
      <c r="M576" s="53">
        <f t="array" ref="M576">IFERROR(INDEX(EXCEPCIONES_FECHA!$D$2:$D$201,MATCH(1,(EXCEPCIONES_FECHA!$A$2:$A$201=$A576)*(EXCEPCIONES_FECHA!$B$2:$B$201=$B576),0)),IFERROR(INDEX(EXCEPCIONES_FECHA!$D$2:$D$201,MATCH(1,(EXCEPCIONES_FECHA!$A$2:$A$201=$A576)*(EXCEPCIONES_FECHA!$B$2:$B$201=""),0)),IFERROR(INDEX(IF($I576="FIN",HISTORIAL_HORARIOS!$J$2:$J$201,HISTORIAL_HORARIOS!$F$2:$F$201),MATCH(1,(HISTORIAL_HORARIOS!$A$2:$A$201=$B576)*(HISTORIAL_HORARIOS!$C$2:$C$201&lt;=$A576)*(HISTORIAL_HORARIOS!$D$2:$D$201&gt;=$A576),0)),INDEX(IF($I576="FIN",PERSONAL!$J$2:$J$80,PERSONAL!$F$2:$F$80),MATCH($B576,PERSONAL!$A$2:$A$80,0)))))</f>
        <v/>
      </c>
      <c r="N576" s="53">
        <f t="array" ref="N576">IFERROR(INDEX(EXCEPCIONES_FECHA!$E$2:$E$201,MATCH(1,(EXCEPCIONES_FECHA!$A$2:$A$201=$A576)*(EXCEPCIONES_FECHA!$B$2:$B$201=$B576),0)),IFERROR(INDEX(EXCEPCIONES_FECHA!$E$2:$E$201,MATCH(1,(EXCEPCIONES_FECHA!$A$2:$A$201=$A576)*(EXCEPCIONES_FECHA!$B$2:$B$201=""),0)),IFERROR(INDEX(IF($I576="FIN",HISTORIAL_HORARIOS!$K$2:$K$201,HISTORIAL_HORARIOS!$G$2:$G$201),MATCH(1,(HISTORIAL_HORARIOS!$A$2:$A$201=$B576)*(HISTORIAL_HORARIOS!$C$2:$C$201&lt;=$A576)*(HISTORIAL_HORARIOS!$D$2:$D$201&gt;=$A576),0)),INDEX(IF($I576="FIN",PERSONAL!$K$2:$K$80,PERSONAL!$G$2:$G$80),MATCH($B576,PERSONAL!$A$2:$A$80,0)))))</f>
        <v/>
      </c>
      <c r="O576" s="53">
        <f t="array" ref="O576">IFERROR(INDEX(EXCEPCIONES_FECHA!$F$2:$F$201,MATCH(1,(EXCEPCIONES_FECHA!$A$2:$A$201=$A576)*(EXCEPCIONES_FECHA!$B$2:$B$201=$B576),0)),IFERROR(INDEX(EXCEPCIONES_FECHA!$F$2:$F$201,MATCH(1,(EXCEPCIONES_FECHA!$A$2:$A$201=$A576)*(EXCEPCIONES_FECHA!$B$2:$B$201=""),0)),IFERROR(INDEX(IF($I576="FIN",HISTORIAL_HORARIOS!$L$2:$L$201,HISTORIAL_HORARIOS!$H$2:$H$201),MATCH(1,(HISTORIAL_HORARIOS!$A$2:$A$201=$B576)*(HISTORIAL_HORARIOS!$C$2:$C$201&lt;=$A576)*(HISTORIAL_HORARIOS!$D$2:$D$201&gt;=$A576),0)),INDEX(IF($I576="FIN",PERSONAL!$L$2:$L$80,PERSONAL!$H$2:$H$80),MATCH($B576,PERSONAL!$A$2:$A$80,0)))))</f>
        <v/>
      </c>
    </row>
    <row r="577" ht="15" customHeight="1" s="58">
      <c r="A577" s="37" t="n"/>
      <c r="B577" s="38" t="n"/>
      <c r="C577" s="39" t="n"/>
      <c r="D577" s="39" t="n"/>
      <c r="E577" s="34">
        <f t="array" ref="E577">IF($B577="","",IFERROR(INDEX(PERSONAL!$B$2:$B$80,MATCH($B577,PERSONAL!$A$2:$A$80,0)),"NO EXISTE"))</f>
        <v/>
      </c>
      <c r="F577" s="52">
        <f t="array" ref="F577">IF($B577="","",IFERROR(INDEX(PERSONAL!$C$2:$C$80,MATCH($B577,PERSONAL!$A$2:$A$80,0)),""))</f>
        <v/>
      </c>
      <c r="G577" s="52">
        <f>IF($A577="","",CHOOSE(WEEKDAY($A577,2),"LUNES","MARTES","MIÉRCOLES","JUEVES","VIERNES","SÁBADO","DOMINGO"))</f>
        <v/>
      </c>
      <c r="H577" s="34">
        <f>IF($A577="","",CHOOSE(MONTH($A577),"ENERO","FEBRERO","MARZO","ABRIL","MAYO","JUNIO","JULIO","AGOSTO","SEPTIEMBRE","OCTUBRE","NOVIEMBRE","DICIEMBRE"))</f>
        <v/>
      </c>
      <c r="I577" s="34">
        <f>IF($A577="","",IF(OR($G577="SÁBADO",$G577="DOMINGO"),"FIN","LV"))</f>
        <v/>
      </c>
      <c r="J577" s="34">
        <f>IF(OR($A577="",$B577=""),"",IF($L577&lt;&gt;"",UPPER($L577),IF($C577="","FALTA",IFERROR(IF($C577&gt;=$O577,"ROJO FUERTE",IF($C577&gt;=$N577,"ROJO",IF($C577&gt;=$M577,"AMARILLO","VERDE"))),"REVISAR"))))</f>
        <v/>
      </c>
      <c r="K577" s="36">
        <f>IF(OR($C577="",$D577=""),"",IF($D577&gt;=$C577,($D577-$C577)*24,(1-$C577+$D577)*24))</f>
        <v/>
      </c>
      <c r="L577" s="34" t="n"/>
      <c r="M577" s="53">
        <f t="array" ref="M577">IFERROR(INDEX(EXCEPCIONES_FECHA!$D$2:$D$201,MATCH(1,(EXCEPCIONES_FECHA!$A$2:$A$201=$A577)*(EXCEPCIONES_FECHA!$B$2:$B$201=$B577),0)),IFERROR(INDEX(EXCEPCIONES_FECHA!$D$2:$D$201,MATCH(1,(EXCEPCIONES_FECHA!$A$2:$A$201=$A577)*(EXCEPCIONES_FECHA!$B$2:$B$201=""),0)),IFERROR(INDEX(IF($I577="FIN",HISTORIAL_HORARIOS!$J$2:$J$201,HISTORIAL_HORARIOS!$F$2:$F$201),MATCH(1,(HISTORIAL_HORARIOS!$A$2:$A$201=$B577)*(HISTORIAL_HORARIOS!$C$2:$C$201&lt;=$A577)*(HISTORIAL_HORARIOS!$D$2:$D$201&gt;=$A577),0)),INDEX(IF($I577="FIN",PERSONAL!$J$2:$J$80,PERSONAL!$F$2:$F$80),MATCH($B577,PERSONAL!$A$2:$A$80,0)))))</f>
        <v/>
      </c>
      <c r="N577" s="53">
        <f t="array" ref="N577">IFERROR(INDEX(EXCEPCIONES_FECHA!$E$2:$E$201,MATCH(1,(EXCEPCIONES_FECHA!$A$2:$A$201=$A577)*(EXCEPCIONES_FECHA!$B$2:$B$201=$B577),0)),IFERROR(INDEX(EXCEPCIONES_FECHA!$E$2:$E$201,MATCH(1,(EXCEPCIONES_FECHA!$A$2:$A$201=$A577)*(EXCEPCIONES_FECHA!$B$2:$B$201=""),0)),IFERROR(INDEX(IF($I577="FIN",HISTORIAL_HORARIOS!$K$2:$K$201,HISTORIAL_HORARIOS!$G$2:$G$201),MATCH(1,(HISTORIAL_HORARIOS!$A$2:$A$201=$B577)*(HISTORIAL_HORARIOS!$C$2:$C$201&lt;=$A577)*(HISTORIAL_HORARIOS!$D$2:$D$201&gt;=$A577),0)),INDEX(IF($I577="FIN",PERSONAL!$K$2:$K$80,PERSONAL!$G$2:$G$80),MATCH($B577,PERSONAL!$A$2:$A$80,0)))))</f>
        <v/>
      </c>
      <c r="O577" s="53">
        <f t="array" ref="O577">IFERROR(INDEX(EXCEPCIONES_FECHA!$F$2:$F$201,MATCH(1,(EXCEPCIONES_FECHA!$A$2:$A$201=$A577)*(EXCEPCIONES_FECHA!$B$2:$B$201=$B577),0)),IFERROR(INDEX(EXCEPCIONES_FECHA!$F$2:$F$201,MATCH(1,(EXCEPCIONES_FECHA!$A$2:$A$201=$A577)*(EXCEPCIONES_FECHA!$B$2:$B$201=""),0)),IFERROR(INDEX(IF($I577="FIN",HISTORIAL_HORARIOS!$L$2:$L$201,HISTORIAL_HORARIOS!$H$2:$H$201),MATCH(1,(HISTORIAL_HORARIOS!$A$2:$A$201=$B577)*(HISTORIAL_HORARIOS!$C$2:$C$201&lt;=$A577)*(HISTORIAL_HORARIOS!$D$2:$D$201&gt;=$A577),0)),INDEX(IF($I577="FIN",PERSONAL!$L$2:$L$80,PERSONAL!$H$2:$H$80),MATCH($B577,PERSONAL!$A$2:$A$80,0)))))</f>
        <v/>
      </c>
    </row>
    <row r="578" ht="15" customHeight="1" s="58">
      <c r="A578" s="37" t="n"/>
      <c r="B578" s="38" t="n"/>
      <c r="C578" s="39" t="n"/>
      <c r="D578" s="39" t="n"/>
      <c r="E578" s="34">
        <f t="array" ref="E578">IF($B578="","",IFERROR(INDEX(PERSONAL!$B$2:$B$80,MATCH($B578,PERSONAL!$A$2:$A$80,0)),"NO EXISTE"))</f>
        <v/>
      </c>
      <c r="F578" s="52">
        <f t="array" ref="F578">IF($B578="","",IFERROR(INDEX(PERSONAL!$C$2:$C$80,MATCH($B578,PERSONAL!$A$2:$A$80,0)),""))</f>
        <v/>
      </c>
      <c r="G578" s="52">
        <f>IF($A578="","",CHOOSE(WEEKDAY($A578,2),"LUNES","MARTES","MIÉRCOLES","JUEVES","VIERNES","SÁBADO","DOMINGO"))</f>
        <v/>
      </c>
      <c r="H578" s="34">
        <f>IF($A578="","",CHOOSE(MONTH($A578),"ENERO","FEBRERO","MARZO","ABRIL","MAYO","JUNIO","JULIO","AGOSTO","SEPTIEMBRE","OCTUBRE","NOVIEMBRE","DICIEMBRE"))</f>
        <v/>
      </c>
      <c r="I578" s="34">
        <f>IF($A578="","",IF(OR($G578="SÁBADO",$G578="DOMINGO"),"FIN","LV"))</f>
        <v/>
      </c>
      <c r="J578" s="34">
        <f>IF(OR($A578="",$B578=""),"",IF($L578&lt;&gt;"",UPPER($L578),IF($C578="","FALTA",IFERROR(IF($C578&gt;=$O578,"ROJO FUERTE",IF($C578&gt;=$N578,"ROJO",IF($C578&gt;=$M578,"AMARILLO","VERDE"))),"REVISAR"))))</f>
        <v/>
      </c>
      <c r="K578" s="36">
        <f>IF(OR($C578="",$D578=""),"",IF($D578&gt;=$C578,($D578-$C578)*24,(1-$C578+$D578)*24))</f>
        <v/>
      </c>
      <c r="L578" s="34" t="n"/>
      <c r="M578" s="53">
        <f t="array" ref="M578">IFERROR(INDEX(EXCEPCIONES_FECHA!$D$2:$D$201,MATCH(1,(EXCEPCIONES_FECHA!$A$2:$A$201=$A578)*(EXCEPCIONES_FECHA!$B$2:$B$201=$B578),0)),IFERROR(INDEX(EXCEPCIONES_FECHA!$D$2:$D$201,MATCH(1,(EXCEPCIONES_FECHA!$A$2:$A$201=$A578)*(EXCEPCIONES_FECHA!$B$2:$B$201=""),0)),IFERROR(INDEX(IF($I578="FIN",HISTORIAL_HORARIOS!$J$2:$J$201,HISTORIAL_HORARIOS!$F$2:$F$201),MATCH(1,(HISTORIAL_HORARIOS!$A$2:$A$201=$B578)*(HISTORIAL_HORARIOS!$C$2:$C$201&lt;=$A578)*(HISTORIAL_HORARIOS!$D$2:$D$201&gt;=$A578),0)),INDEX(IF($I578="FIN",PERSONAL!$J$2:$J$80,PERSONAL!$F$2:$F$80),MATCH($B578,PERSONAL!$A$2:$A$80,0)))))</f>
        <v/>
      </c>
      <c r="N578" s="53">
        <f t="array" ref="N578">IFERROR(INDEX(EXCEPCIONES_FECHA!$E$2:$E$201,MATCH(1,(EXCEPCIONES_FECHA!$A$2:$A$201=$A578)*(EXCEPCIONES_FECHA!$B$2:$B$201=$B578),0)),IFERROR(INDEX(EXCEPCIONES_FECHA!$E$2:$E$201,MATCH(1,(EXCEPCIONES_FECHA!$A$2:$A$201=$A578)*(EXCEPCIONES_FECHA!$B$2:$B$201=""),0)),IFERROR(INDEX(IF($I578="FIN",HISTORIAL_HORARIOS!$K$2:$K$201,HISTORIAL_HORARIOS!$G$2:$G$201),MATCH(1,(HISTORIAL_HORARIOS!$A$2:$A$201=$B578)*(HISTORIAL_HORARIOS!$C$2:$C$201&lt;=$A578)*(HISTORIAL_HORARIOS!$D$2:$D$201&gt;=$A578),0)),INDEX(IF($I578="FIN",PERSONAL!$K$2:$K$80,PERSONAL!$G$2:$G$80),MATCH($B578,PERSONAL!$A$2:$A$80,0)))))</f>
        <v/>
      </c>
      <c r="O578" s="53">
        <f t="array" ref="O578">IFERROR(INDEX(EXCEPCIONES_FECHA!$F$2:$F$201,MATCH(1,(EXCEPCIONES_FECHA!$A$2:$A$201=$A578)*(EXCEPCIONES_FECHA!$B$2:$B$201=$B578),0)),IFERROR(INDEX(EXCEPCIONES_FECHA!$F$2:$F$201,MATCH(1,(EXCEPCIONES_FECHA!$A$2:$A$201=$A578)*(EXCEPCIONES_FECHA!$B$2:$B$201=""),0)),IFERROR(INDEX(IF($I578="FIN",HISTORIAL_HORARIOS!$L$2:$L$201,HISTORIAL_HORARIOS!$H$2:$H$201),MATCH(1,(HISTORIAL_HORARIOS!$A$2:$A$201=$B578)*(HISTORIAL_HORARIOS!$C$2:$C$201&lt;=$A578)*(HISTORIAL_HORARIOS!$D$2:$D$201&gt;=$A578),0)),INDEX(IF($I578="FIN",PERSONAL!$L$2:$L$80,PERSONAL!$H$2:$H$80),MATCH($B578,PERSONAL!$A$2:$A$80,0)))))</f>
        <v/>
      </c>
    </row>
    <row r="579" ht="15" customHeight="1" s="58">
      <c r="A579" s="37" t="n"/>
      <c r="B579" s="38" t="n"/>
      <c r="C579" s="39" t="n"/>
      <c r="D579" s="39" t="n"/>
      <c r="E579" s="34">
        <f t="array" ref="E579">IF($B579="","",IFERROR(INDEX(PERSONAL!$B$2:$B$80,MATCH($B579,PERSONAL!$A$2:$A$80,0)),"NO EXISTE"))</f>
        <v/>
      </c>
      <c r="F579" s="52">
        <f t="array" ref="F579">IF($B579="","",IFERROR(INDEX(PERSONAL!$C$2:$C$80,MATCH($B579,PERSONAL!$A$2:$A$80,0)),""))</f>
        <v/>
      </c>
      <c r="G579" s="52">
        <f>IF($A579="","",CHOOSE(WEEKDAY($A579,2),"LUNES","MARTES","MIÉRCOLES","JUEVES","VIERNES","SÁBADO","DOMINGO"))</f>
        <v/>
      </c>
      <c r="H579" s="34">
        <f>IF($A579="","",CHOOSE(MONTH($A579),"ENERO","FEBRERO","MARZO","ABRIL","MAYO","JUNIO","JULIO","AGOSTO","SEPTIEMBRE","OCTUBRE","NOVIEMBRE","DICIEMBRE"))</f>
        <v/>
      </c>
      <c r="I579" s="34">
        <f>IF($A579="","",IF(OR($G579="SÁBADO",$G579="DOMINGO"),"FIN","LV"))</f>
        <v/>
      </c>
      <c r="J579" s="34">
        <f>IF(OR($A579="",$B579=""),"",IF($L579&lt;&gt;"",UPPER($L579),IF($C579="","FALTA",IFERROR(IF($C579&gt;=$O579,"ROJO FUERTE",IF($C579&gt;=$N579,"ROJO",IF($C579&gt;=$M579,"AMARILLO","VERDE"))),"REVISAR"))))</f>
        <v/>
      </c>
      <c r="K579" s="36">
        <f>IF(OR($C579="",$D579=""),"",IF($D579&gt;=$C579,($D579-$C579)*24,(1-$C579+$D579)*24))</f>
        <v/>
      </c>
      <c r="L579" s="34" t="n"/>
      <c r="M579" s="53">
        <f t="array" ref="M579">IFERROR(INDEX(EXCEPCIONES_FECHA!$D$2:$D$201,MATCH(1,(EXCEPCIONES_FECHA!$A$2:$A$201=$A579)*(EXCEPCIONES_FECHA!$B$2:$B$201=$B579),0)),IFERROR(INDEX(EXCEPCIONES_FECHA!$D$2:$D$201,MATCH(1,(EXCEPCIONES_FECHA!$A$2:$A$201=$A579)*(EXCEPCIONES_FECHA!$B$2:$B$201=""),0)),IFERROR(INDEX(IF($I579="FIN",HISTORIAL_HORARIOS!$J$2:$J$201,HISTORIAL_HORARIOS!$F$2:$F$201),MATCH(1,(HISTORIAL_HORARIOS!$A$2:$A$201=$B579)*(HISTORIAL_HORARIOS!$C$2:$C$201&lt;=$A579)*(HISTORIAL_HORARIOS!$D$2:$D$201&gt;=$A579),0)),INDEX(IF($I579="FIN",PERSONAL!$J$2:$J$80,PERSONAL!$F$2:$F$80),MATCH($B579,PERSONAL!$A$2:$A$80,0)))))</f>
        <v/>
      </c>
      <c r="N579" s="53">
        <f t="array" ref="N579">IFERROR(INDEX(EXCEPCIONES_FECHA!$E$2:$E$201,MATCH(1,(EXCEPCIONES_FECHA!$A$2:$A$201=$A579)*(EXCEPCIONES_FECHA!$B$2:$B$201=$B579),0)),IFERROR(INDEX(EXCEPCIONES_FECHA!$E$2:$E$201,MATCH(1,(EXCEPCIONES_FECHA!$A$2:$A$201=$A579)*(EXCEPCIONES_FECHA!$B$2:$B$201=""),0)),IFERROR(INDEX(IF($I579="FIN",HISTORIAL_HORARIOS!$K$2:$K$201,HISTORIAL_HORARIOS!$G$2:$G$201),MATCH(1,(HISTORIAL_HORARIOS!$A$2:$A$201=$B579)*(HISTORIAL_HORARIOS!$C$2:$C$201&lt;=$A579)*(HISTORIAL_HORARIOS!$D$2:$D$201&gt;=$A579),0)),INDEX(IF($I579="FIN",PERSONAL!$K$2:$K$80,PERSONAL!$G$2:$G$80),MATCH($B579,PERSONAL!$A$2:$A$80,0)))))</f>
        <v/>
      </c>
      <c r="O579" s="53">
        <f t="array" ref="O579">IFERROR(INDEX(EXCEPCIONES_FECHA!$F$2:$F$201,MATCH(1,(EXCEPCIONES_FECHA!$A$2:$A$201=$A579)*(EXCEPCIONES_FECHA!$B$2:$B$201=$B579),0)),IFERROR(INDEX(EXCEPCIONES_FECHA!$F$2:$F$201,MATCH(1,(EXCEPCIONES_FECHA!$A$2:$A$201=$A579)*(EXCEPCIONES_FECHA!$B$2:$B$201=""),0)),IFERROR(INDEX(IF($I579="FIN",HISTORIAL_HORARIOS!$L$2:$L$201,HISTORIAL_HORARIOS!$H$2:$H$201),MATCH(1,(HISTORIAL_HORARIOS!$A$2:$A$201=$B579)*(HISTORIAL_HORARIOS!$C$2:$C$201&lt;=$A579)*(HISTORIAL_HORARIOS!$D$2:$D$201&gt;=$A579),0)),INDEX(IF($I579="FIN",PERSONAL!$L$2:$L$80,PERSONAL!$H$2:$H$80),MATCH($B579,PERSONAL!$A$2:$A$80,0)))))</f>
        <v/>
      </c>
    </row>
    <row r="580" ht="15" customHeight="1" s="58">
      <c r="A580" s="37" t="n"/>
      <c r="B580" s="38" t="n"/>
      <c r="C580" s="39" t="n"/>
      <c r="D580" s="39" t="n"/>
      <c r="E580" s="34">
        <f t="array" ref="E580">IF($B580="","",IFERROR(INDEX(PERSONAL!$B$2:$B$80,MATCH($B580,PERSONAL!$A$2:$A$80,0)),"NO EXISTE"))</f>
        <v/>
      </c>
      <c r="F580" s="52">
        <f t="array" ref="F580">IF($B580="","",IFERROR(INDEX(PERSONAL!$C$2:$C$80,MATCH($B580,PERSONAL!$A$2:$A$80,0)),""))</f>
        <v/>
      </c>
      <c r="G580" s="52">
        <f>IF($A580="","",CHOOSE(WEEKDAY($A580,2),"LUNES","MARTES","MIÉRCOLES","JUEVES","VIERNES","SÁBADO","DOMINGO"))</f>
        <v/>
      </c>
      <c r="H580" s="34">
        <f>IF($A580="","",CHOOSE(MONTH($A580),"ENERO","FEBRERO","MARZO","ABRIL","MAYO","JUNIO","JULIO","AGOSTO","SEPTIEMBRE","OCTUBRE","NOVIEMBRE","DICIEMBRE"))</f>
        <v/>
      </c>
      <c r="I580" s="34">
        <f>IF($A580="","",IF(OR($G580="SÁBADO",$G580="DOMINGO"),"FIN","LV"))</f>
        <v/>
      </c>
      <c r="J580" s="34">
        <f>IF(OR($A580="",$B580=""),"",IF($L580&lt;&gt;"",UPPER($L580),IF($C580="","FALTA",IFERROR(IF($C580&gt;=$O580,"ROJO FUERTE",IF($C580&gt;=$N580,"ROJO",IF($C580&gt;=$M580,"AMARILLO","VERDE"))),"REVISAR"))))</f>
        <v/>
      </c>
      <c r="K580" s="36">
        <f>IF(OR($C580="",$D580=""),"",IF($D580&gt;=$C580,($D580-$C580)*24,(1-$C580+$D580)*24))</f>
        <v/>
      </c>
      <c r="L580" s="34" t="n"/>
      <c r="M580" s="53">
        <f t="array" ref="M580">IFERROR(INDEX(EXCEPCIONES_FECHA!$D$2:$D$201,MATCH(1,(EXCEPCIONES_FECHA!$A$2:$A$201=$A580)*(EXCEPCIONES_FECHA!$B$2:$B$201=$B580),0)),IFERROR(INDEX(EXCEPCIONES_FECHA!$D$2:$D$201,MATCH(1,(EXCEPCIONES_FECHA!$A$2:$A$201=$A580)*(EXCEPCIONES_FECHA!$B$2:$B$201=""),0)),IFERROR(INDEX(IF($I580="FIN",HISTORIAL_HORARIOS!$J$2:$J$201,HISTORIAL_HORARIOS!$F$2:$F$201),MATCH(1,(HISTORIAL_HORARIOS!$A$2:$A$201=$B580)*(HISTORIAL_HORARIOS!$C$2:$C$201&lt;=$A580)*(HISTORIAL_HORARIOS!$D$2:$D$201&gt;=$A580),0)),INDEX(IF($I580="FIN",PERSONAL!$J$2:$J$80,PERSONAL!$F$2:$F$80),MATCH($B580,PERSONAL!$A$2:$A$80,0)))))</f>
        <v/>
      </c>
      <c r="N580" s="53">
        <f t="array" ref="N580">IFERROR(INDEX(EXCEPCIONES_FECHA!$E$2:$E$201,MATCH(1,(EXCEPCIONES_FECHA!$A$2:$A$201=$A580)*(EXCEPCIONES_FECHA!$B$2:$B$201=$B580),0)),IFERROR(INDEX(EXCEPCIONES_FECHA!$E$2:$E$201,MATCH(1,(EXCEPCIONES_FECHA!$A$2:$A$201=$A580)*(EXCEPCIONES_FECHA!$B$2:$B$201=""),0)),IFERROR(INDEX(IF($I580="FIN",HISTORIAL_HORARIOS!$K$2:$K$201,HISTORIAL_HORARIOS!$G$2:$G$201),MATCH(1,(HISTORIAL_HORARIOS!$A$2:$A$201=$B580)*(HISTORIAL_HORARIOS!$C$2:$C$201&lt;=$A580)*(HISTORIAL_HORARIOS!$D$2:$D$201&gt;=$A580),0)),INDEX(IF($I580="FIN",PERSONAL!$K$2:$K$80,PERSONAL!$G$2:$G$80),MATCH($B580,PERSONAL!$A$2:$A$80,0)))))</f>
        <v/>
      </c>
      <c r="O580" s="53">
        <f t="array" ref="O580">IFERROR(INDEX(EXCEPCIONES_FECHA!$F$2:$F$201,MATCH(1,(EXCEPCIONES_FECHA!$A$2:$A$201=$A580)*(EXCEPCIONES_FECHA!$B$2:$B$201=$B580),0)),IFERROR(INDEX(EXCEPCIONES_FECHA!$F$2:$F$201,MATCH(1,(EXCEPCIONES_FECHA!$A$2:$A$201=$A580)*(EXCEPCIONES_FECHA!$B$2:$B$201=""),0)),IFERROR(INDEX(IF($I580="FIN",HISTORIAL_HORARIOS!$L$2:$L$201,HISTORIAL_HORARIOS!$H$2:$H$201),MATCH(1,(HISTORIAL_HORARIOS!$A$2:$A$201=$B580)*(HISTORIAL_HORARIOS!$C$2:$C$201&lt;=$A580)*(HISTORIAL_HORARIOS!$D$2:$D$201&gt;=$A580),0)),INDEX(IF($I580="FIN",PERSONAL!$L$2:$L$80,PERSONAL!$H$2:$H$80),MATCH($B580,PERSONAL!$A$2:$A$80,0)))))</f>
        <v/>
      </c>
    </row>
    <row r="581" ht="15" customHeight="1" s="58">
      <c r="A581" s="37" t="n"/>
      <c r="B581" s="38" t="n"/>
      <c r="C581" s="39" t="n"/>
      <c r="D581" s="39" t="n"/>
      <c r="E581" s="34">
        <f t="array" ref="E581">IF($B581="","",IFERROR(INDEX(PERSONAL!$B$2:$B$80,MATCH($B581,PERSONAL!$A$2:$A$80,0)),"NO EXISTE"))</f>
        <v/>
      </c>
      <c r="F581" s="52">
        <f t="array" ref="F581">IF($B581="","",IFERROR(INDEX(PERSONAL!$C$2:$C$80,MATCH($B581,PERSONAL!$A$2:$A$80,0)),""))</f>
        <v/>
      </c>
      <c r="G581" s="52">
        <f>IF($A581="","",CHOOSE(WEEKDAY($A581,2),"LUNES","MARTES","MIÉRCOLES","JUEVES","VIERNES","SÁBADO","DOMINGO"))</f>
        <v/>
      </c>
      <c r="H581" s="34">
        <f>IF($A581="","",CHOOSE(MONTH($A581),"ENERO","FEBRERO","MARZO","ABRIL","MAYO","JUNIO","JULIO","AGOSTO","SEPTIEMBRE","OCTUBRE","NOVIEMBRE","DICIEMBRE"))</f>
        <v/>
      </c>
      <c r="I581" s="34">
        <f>IF($A581="","",IF(OR($G581="SÁBADO",$G581="DOMINGO"),"FIN","LV"))</f>
        <v/>
      </c>
      <c r="J581" s="34">
        <f>IF(OR($A581="",$B581=""),"",IF($L581&lt;&gt;"",UPPER($L581),IF($C581="","FALTA",IFERROR(IF($C581&gt;=$O581,"ROJO FUERTE",IF($C581&gt;=$N581,"ROJO",IF($C581&gt;=$M581,"AMARILLO","VERDE"))),"REVISAR"))))</f>
        <v/>
      </c>
      <c r="K581" s="36">
        <f>IF(OR($C581="",$D581=""),"",IF($D581&gt;=$C581,($D581-$C581)*24,(1-$C581+$D581)*24))</f>
        <v/>
      </c>
      <c r="L581" s="34" t="n"/>
      <c r="M581" s="53">
        <f t="array" ref="M581">IFERROR(INDEX(EXCEPCIONES_FECHA!$D$2:$D$201,MATCH(1,(EXCEPCIONES_FECHA!$A$2:$A$201=$A581)*(EXCEPCIONES_FECHA!$B$2:$B$201=$B581),0)),IFERROR(INDEX(EXCEPCIONES_FECHA!$D$2:$D$201,MATCH(1,(EXCEPCIONES_FECHA!$A$2:$A$201=$A581)*(EXCEPCIONES_FECHA!$B$2:$B$201=""),0)),IFERROR(INDEX(IF($I581="FIN",HISTORIAL_HORARIOS!$J$2:$J$201,HISTORIAL_HORARIOS!$F$2:$F$201),MATCH(1,(HISTORIAL_HORARIOS!$A$2:$A$201=$B581)*(HISTORIAL_HORARIOS!$C$2:$C$201&lt;=$A581)*(HISTORIAL_HORARIOS!$D$2:$D$201&gt;=$A581),0)),INDEX(IF($I581="FIN",PERSONAL!$J$2:$J$80,PERSONAL!$F$2:$F$80),MATCH($B581,PERSONAL!$A$2:$A$80,0)))))</f>
        <v/>
      </c>
      <c r="N581" s="53">
        <f t="array" ref="N581">IFERROR(INDEX(EXCEPCIONES_FECHA!$E$2:$E$201,MATCH(1,(EXCEPCIONES_FECHA!$A$2:$A$201=$A581)*(EXCEPCIONES_FECHA!$B$2:$B$201=$B581),0)),IFERROR(INDEX(EXCEPCIONES_FECHA!$E$2:$E$201,MATCH(1,(EXCEPCIONES_FECHA!$A$2:$A$201=$A581)*(EXCEPCIONES_FECHA!$B$2:$B$201=""),0)),IFERROR(INDEX(IF($I581="FIN",HISTORIAL_HORARIOS!$K$2:$K$201,HISTORIAL_HORARIOS!$G$2:$G$201),MATCH(1,(HISTORIAL_HORARIOS!$A$2:$A$201=$B581)*(HISTORIAL_HORARIOS!$C$2:$C$201&lt;=$A581)*(HISTORIAL_HORARIOS!$D$2:$D$201&gt;=$A581),0)),INDEX(IF($I581="FIN",PERSONAL!$K$2:$K$80,PERSONAL!$G$2:$G$80),MATCH($B581,PERSONAL!$A$2:$A$80,0)))))</f>
        <v/>
      </c>
      <c r="O581" s="53">
        <f t="array" ref="O581">IFERROR(INDEX(EXCEPCIONES_FECHA!$F$2:$F$201,MATCH(1,(EXCEPCIONES_FECHA!$A$2:$A$201=$A581)*(EXCEPCIONES_FECHA!$B$2:$B$201=$B581),0)),IFERROR(INDEX(EXCEPCIONES_FECHA!$F$2:$F$201,MATCH(1,(EXCEPCIONES_FECHA!$A$2:$A$201=$A581)*(EXCEPCIONES_FECHA!$B$2:$B$201=""),0)),IFERROR(INDEX(IF($I581="FIN",HISTORIAL_HORARIOS!$L$2:$L$201,HISTORIAL_HORARIOS!$H$2:$H$201),MATCH(1,(HISTORIAL_HORARIOS!$A$2:$A$201=$B581)*(HISTORIAL_HORARIOS!$C$2:$C$201&lt;=$A581)*(HISTORIAL_HORARIOS!$D$2:$D$201&gt;=$A581),0)),INDEX(IF($I581="FIN",PERSONAL!$L$2:$L$80,PERSONAL!$H$2:$H$80),MATCH($B581,PERSONAL!$A$2:$A$80,0)))))</f>
        <v/>
      </c>
    </row>
    <row r="582" ht="15" customHeight="1" s="58">
      <c r="A582" s="37" t="n"/>
      <c r="B582" s="38" t="n"/>
      <c r="C582" s="39" t="n"/>
      <c r="D582" s="39" t="n"/>
      <c r="E582" s="34">
        <f t="array" ref="E582">IF($B582="","",IFERROR(INDEX(PERSONAL!$B$2:$B$80,MATCH($B582,PERSONAL!$A$2:$A$80,0)),"NO EXISTE"))</f>
        <v/>
      </c>
      <c r="F582" s="52">
        <f t="array" ref="F582">IF($B582="","",IFERROR(INDEX(PERSONAL!$C$2:$C$80,MATCH($B582,PERSONAL!$A$2:$A$80,0)),""))</f>
        <v/>
      </c>
      <c r="G582" s="52">
        <f>IF($A582="","",CHOOSE(WEEKDAY($A582,2),"LUNES","MARTES","MIÉRCOLES","JUEVES","VIERNES","SÁBADO","DOMINGO"))</f>
        <v/>
      </c>
      <c r="H582" s="34">
        <f>IF($A582="","",CHOOSE(MONTH($A582),"ENERO","FEBRERO","MARZO","ABRIL","MAYO","JUNIO","JULIO","AGOSTO","SEPTIEMBRE","OCTUBRE","NOVIEMBRE","DICIEMBRE"))</f>
        <v/>
      </c>
      <c r="I582" s="34">
        <f>IF($A582="","",IF(OR($G582="SÁBADO",$G582="DOMINGO"),"FIN","LV"))</f>
        <v/>
      </c>
      <c r="J582" s="34">
        <f>IF(OR($A582="",$B582=""),"",IF($L582&lt;&gt;"",UPPER($L582),IF($C582="","FALTA",IFERROR(IF($C582&gt;=$O582,"ROJO FUERTE",IF($C582&gt;=$N582,"ROJO",IF($C582&gt;=$M582,"AMARILLO","VERDE"))),"REVISAR"))))</f>
        <v/>
      </c>
      <c r="K582" s="36">
        <f>IF(OR($C582="",$D582=""),"",IF($D582&gt;=$C582,($D582-$C582)*24,(1-$C582+$D582)*24))</f>
        <v/>
      </c>
      <c r="L582" s="34" t="n"/>
      <c r="M582" s="53">
        <f t="array" ref="M582">IFERROR(INDEX(EXCEPCIONES_FECHA!$D$2:$D$201,MATCH(1,(EXCEPCIONES_FECHA!$A$2:$A$201=$A582)*(EXCEPCIONES_FECHA!$B$2:$B$201=$B582),0)),IFERROR(INDEX(EXCEPCIONES_FECHA!$D$2:$D$201,MATCH(1,(EXCEPCIONES_FECHA!$A$2:$A$201=$A582)*(EXCEPCIONES_FECHA!$B$2:$B$201=""),0)),IFERROR(INDEX(IF($I582="FIN",HISTORIAL_HORARIOS!$J$2:$J$201,HISTORIAL_HORARIOS!$F$2:$F$201),MATCH(1,(HISTORIAL_HORARIOS!$A$2:$A$201=$B582)*(HISTORIAL_HORARIOS!$C$2:$C$201&lt;=$A582)*(HISTORIAL_HORARIOS!$D$2:$D$201&gt;=$A582),0)),INDEX(IF($I582="FIN",PERSONAL!$J$2:$J$80,PERSONAL!$F$2:$F$80),MATCH($B582,PERSONAL!$A$2:$A$80,0)))))</f>
        <v/>
      </c>
      <c r="N582" s="53">
        <f t="array" ref="N582">IFERROR(INDEX(EXCEPCIONES_FECHA!$E$2:$E$201,MATCH(1,(EXCEPCIONES_FECHA!$A$2:$A$201=$A582)*(EXCEPCIONES_FECHA!$B$2:$B$201=$B582),0)),IFERROR(INDEX(EXCEPCIONES_FECHA!$E$2:$E$201,MATCH(1,(EXCEPCIONES_FECHA!$A$2:$A$201=$A582)*(EXCEPCIONES_FECHA!$B$2:$B$201=""),0)),IFERROR(INDEX(IF($I582="FIN",HISTORIAL_HORARIOS!$K$2:$K$201,HISTORIAL_HORARIOS!$G$2:$G$201),MATCH(1,(HISTORIAL_HORARIOS!$A$2:$A$201=$B582)*(HISTORIAL_HORARIOS!$C$2:$C$201&lt;=$A582)*(HISTORIAL_HORARIOS!$D$2:$D$201&gt;=$A582),0)),INDEX(IF($I582="FIN",PERSONAL!$K$2:$K$80,PERSONAL!$G$2:$G$80),MATCH($B582,PERSONAL!$A$2:$A$80,0)))))</f>
        <v/>
      </c>
      <c r="O582" s="53">
        <f t="array" ref="O582">IFERROR(INDEX(EXCEPCIONES_FECHA!$F$2:$F$201,MATCH(1,(EXCEPCIONES_FECHA!$A$2:$A$201=$A582)*(EXCEPCIONES_FECHA!$B$2:$B$201=$B582),0)),IFERROR(INDEX(EXCEPCIONES_FECHA!$F$2:$F$201,MATCH(1,(EXCEPCIONES_FECHA!$A$2:$A$201=$A582)*(EXCEPCIONES_FECHA!$B$2:$B$201=""),0)),IFERROR(INDEX(IF($I582="FIN",HISTORIAL_HORARIOS!$L$2:$L$201,HISTORIAL_HORARIOS!$H$2:$H$201),MATCH(1,(HISTORIAL_HORARIOS!$A$2:$A$201=$B582)*(HISTORIAL_HORARIOS!$C$2:$C$201&lt;=$A582)*(HISTORIAL_HORARIOS!$D$2:$D$201&gt;=$A582),0)),INDEX(IF($I582="FIN",PERSONAL!$L$2:$L$80,PERSONAL!$H$2:$H$80),MATCH($B582,PERSONAL!$A$2:$A$80,0)))))</f>
        <v/>
      </c>
    </row>
    <row r="583" ht="15" customHeight="1" s="58">
      <c r="A583" s="37" t="n"/>
      <c r="B583" s="38" t="n"/>
      <c r="C583" s="39" t="n"/>
      <c r="D583" s="39" t="n"/>
      <c r="E583" s="34">
        <f t="array" ref="E583">IF($B583="","",IFERROR(INDEX(PERSONAL!$B$2:$B$80,MATCH($B583,PERSONAL!$A$2:$A$80,0)),"NO EXISTE"))</f>
        <v/>
      </c>
      <c r="F583" s="52">
        <f t="array" ref="F583">IF($B583="","",IFERROR(INDEX(PERSONAL!$C$2:$C$80,MATCH($B583,PERSONAL!$A$2:$A$80,0)),""))</f>
        <v/>
      </c>
      <c r="G583" s="52">
        <f>IF($A583="","",CHOOSE(WEEKDAY($A583,2),"LUNES","MARTES","MIÉRCOLES","JUEVES","VIERNES","SÁBADO","DOMINGO"))</f>
        <v/>
      </c>
      <c r="H583" s="34">
        <f>IF($A583="","",CHOOSE(MONTH($A583),"ENERO","FEBRERO","MARZO","ABRIL","MAYO","JUNIO","JULIO","AGOSTO","SEPTIEMBRE","OCTUBRE","NOVIEMBRE","DICIEMBRE"))</f>
        <v/>
      </c>
      <c r="I583" s="34">
        <f>IF($A583="","",IF(OR($G583="SÁBADO",$G583="DOMINGO"),"FIN","LV"))</f>
        <v/>
      </c>
      <c r="J583" s="34">
        <f>IF(OR($A583="",$B583=""),"",IF($L583&lt;&gt;"",UPPER($L583),IF($C583="","FALTA",IFERROR(IF($C583&gt;=$O583,"ROJO FUERTE",IF($C583&gt;=$N583,"ROJO",IF($C583&gt;=$M583,"AMARILLO","VERDE"))),"REVISAR"))))</f>
        <v/>
      </c>
      <c r="K583" s="36">
        <f>IF(OR($C583="",$D583=""),"",IF($D583&gt;=$C583,($D583-$C583)*24,(1-$C583+$D583)*24))</f>
        <v/>
      </c>
      <c r="L583" s="34" t="n"/>
      <c r="M583" s="53">
        <f t="array" ref="M583">IFERROR(INDEX(EXCEPCIONES_FECHA!$D$2:$D$201,MATCH(1,(EXCEPCIONES_FECHA!$A$2:$A$201=$A583)*(EXCEPCIONES_FECHA!$B$2:$B$201=$B583),0)),IFERROR(INDEX(EXCEPCIONES_FECHA!$D$2:$D$201,MATCH(1,(EXCEPCIONES_FECHA!$A$2:$A$201=$A583)*(EXCEPCIONES_FECHA!$B$2:$B$201=""),0)),IFERROR(INDEX(IF($I583="FIN",HISTORIAL_HORARIOS!$J$2:$J$201,HISTORIAL_HORARIOS!$F$2:$F$201),MATCH(1,(HISTORIAL_HORARIOS!$A$2:$A$201=$B583)*(HISTORIAL_HORARIOS!$C$2:$C$201&lt;=$A583)*(HISTORIAL_HORARIOS!$D$2:$D$201&gt;=$A583),0)),INDEX(IF($I583="FIN",PERSONAL!$J$2:$J$80,PERSONAL!$F$2:$F$80),MATCH($B583,PERSONAL!$A$2:$A$80,0)))))</f>
        <v/>
      </c>
      <c r="N583" s="53">
        <f t="array" ref="N583">IFERROR(INDEX(EXCEPCIONES_FECHA!$E$2:$E$201,MATCH(1,(EXCEPCIONES_FECHA!$A$2:$A$201=$A583)*(EXCEPCIONES_FECHA!$B$2:$B$201=$B583),0)),IFERROR(INDEX(EXCEPCIONES_FECHA!$E$2:$E$201,MATCH(1,(EXCEPCIONES_FECHA!$A$2:$A$201=$A583)*(EXCEPCIONES_FECHA!$B$2:$B$201=""),0)),IFERROR(INDEX(IF($I583="FIN",HISTORIAL_HORARIOS!$K$2:$K$201,HISTORIAL_HORARIOS!$G$2:$G$201),MATCH(1,(HISTORIAL_HORARIOS!$A$2:$A$201=$B583)*(HISTORIAL_HORARIOS!$C$2:$C$201&lt;=$A583)*(HISTORIAL_HORARIOS!$D$2:$D$201&gt;=$A583),0)),INDEX(IF($I583="FIN",PERSONAL!$K$2:$K$80,PERSONAL!$G$2:$G$80),MATCH($B583,PERSONAL!$A$2:$A$80,0)))))</f>
        <v/>
      </c>
      <c r="O583" s="53">
        <f t="array" ref="O583">IFERROR(INDEX(EXCEPCIONES_FECHA!$F$2:$F$201,MATCH(1,(EXCEPCIONES_FECHA!$A$2:$A$201=$A583)*(EXCEPCIONES_FECHA!$B$2:$B$201=$B583),0)),IFERROR(INDEX(EXCEPCIONES_FECHA!$F$2:$F$201,MATCH(1,(EXCEPCIONES_FECHA!$A$2:$A$201=$A583)*(EXCEPCIONES_FECHA!$B$2:$B$201=""),0)),IFERROR(INDEX(IF($I583="FIN",HISTORIAL_HORARIOS!$L$2:$L$201,HISTORIAL_HORARIOS!$H$2:$H$201),MATCH(1,(HISTORIAL_HORARIOS!$A$2:$A$201=$B583)*(HISTORIAL_HORARIOS!$C$2:$C$201&lt;=$A583)*(HISTORIAL_HORARIOS!$D$2:$D$201&gt;=$A583),0)),INDEX(IF($I583="FIN",PERSONAL!$L$2:$L$80,PERSONAL!$H$2:$H$80),MATCH($B583,PERSONAL!$A$2:$A$80,0)))))</f>
        <v/>
      </c>
    </row>
    <row r="584" ht="15" customHeight="1" s="58">
      <c r="A584" s="37" t="n"/>
      <c r="B584" s="38" t="n"/>
      <c r="C584" s="39" t="n"/>
      <c r="D584" s="39" t="n"/>
      <c r="E584" s="34">
        <f t="array" ref="E584">IF($B584="","",IFERROR(INDEX(PERSONAL!$B$2:$B$80,MATCH($B584,PERSONAL!$A$2:$A$80,0)),"NO EXISTE"))</f>
        <v/>
      </c>
      <c r="F584" s="52">
        <f t="array" ref="F584">IF($B584="","",IFERROR(INDEX(PERSONAL!$C$2:$C$80,MATCH($B584,PERSONAL!$A$2:$A$80,0)),""))</f>
        <v/>
      </c>
      <c r="G584" s="52">
        <f>IF($A584="","",CHOOSE(WEEKDAY($A584,2),"LUNES","MARTES","MIÉRCOLES","JUEVES","VIERNES","SÁBADO","DOMINGO"))</f>
        <v/>
      </c>
      <c r="H584" s="34">
        <f>IF($A584="","",CHOOSE(MONTH($A584),"ENERO","FEBRERO","MARZO","ABRIL","MAYO","JUNIO","JULIO","AGOSTO","SEPTIEMBRE","OCTUBRE","NOVIEMBRE","DICIEMBRE"))</f>
        <v/>
      </c>
      <c r="I584" s="34">
        <f>IF($A584="","",IF(OR($G584="SÁBADO",$G584="DOMINGO"),"FIN","LV"))</f>
        <v/>
      </c>
      <c r="J584" s="34">
        <f>IF(OR($A584="",$B584=""),"",IF($L584&lt;&gt;"",UPPER($L584),IF($C584="","FALTA",IFERROR(IF($C584&gt;=$O584,"ROJO FUERTE",IF($C584&gt;=$N584,"ROJO",IF($C584&gt;=$M584,"AMARILLO","VERDE"))),"REVISAR"))))</f>
        <v/>
      </c>
      <c r="K584" s="36">
        <f>IF(OR($C584="",$D584=""),"",IF($D584&gt;=$C584,($D584-$C584)*24,(1-$C584+$D584)*24))</f>
        <v/>
      </c>
      <c r="L584" s="34" t="n"/>
      <c r="M584" s="53">
        <f t="array" ref="M584">IFERROR(INDEX(EXCEPCIONES_FECHA!$D$2:$D$201,MATCH(1,(EXCEPCIONES_FECHA!$A$2:$A$201=$A584)*(EXCEPCIONES_FECHA!$B$2:$B$201=$B584),0)),IFERROR(INDEX(EXCEPCIONES_FECHA!$D$2:$D$201,MATCH(1,(EXCEPCIONES_FECHA!$A$2:$A$201=$A584)*(EXCEPCIONES_FECHA!$B$2:$B$201=""),0)),IFERROR(INDEX(IF($I584="FIN",HISTORIAL_HORARIOS!$J$2:$J$201,HISTORIAL_HORARIOS!$F$2:$F$201),MATCH(1,(HISTORIAL_HORARIOS!$A$2:$A$201=$B584)*(HISTORIAL_HORARIOS!$C$2:$C$201&lt;=$A584)*(HISTORIAL_HORARIOS!$D$2:$D$201&gt;=$A584),0)),INDEX(IF($I584="FIN",PERSONAL!$J$2:$J$80,PERSONAL!$F$2:$F$80),MATCH($B584,PERSONAL!$A$2:$A$80,0)))))</f>
        <v/>
      </c>
      <c r="N584" s="53">
        <f t="array" ref="N584">IFERROR(INDEX(EXCEPCIONES_FECHA!$E$2:$E$201,MATCH(1,(EXCEPCIONES_FECHA!$A$2:$A$201=$A584)*(EXCEPCIONES_FECHA!$B$2:$B$201=$B584),0)),IFERROR(INDEX(EXCEPCIONES_FECHA!$E$2:$E$201,MATCH(1,(EXCEPCIONES_FECHA!$A$2:$A$201=$A584)*(EXCEPCIONES_FECHA!$B$2:$B$201=""),0)),IFERROR(INDEX(IF($I584="FIN",HISTORIAL_HORARIOS!$K$2:$K$201,HISTORIAL_HORARIOS!$G$2:$G$201),MATCH(1,(HISTORIAL_HORARIOS!$A$2:$A$201=$B584)*(HISTORIAL_HORARIOS!$C$2:$C$201&lt;=$A584)*(HISTORIAL_HORARIOS!$D$2:$D$201&gt;=$A584),0)),INDEX(IF($I584="FIN",PERSONAL!$K$2:$K$80,PERSONAL!$G$2:$G$80),MATCH($B584,PERSONAL!$A$2:$A$80,0)))))</f>
        <v/>
      </c>
      <c r="O584" s="53">
        <f t="array" ref="O584">IFERROR(INDEX(EXCEPCIONES_FECHA!$F$2:$F$201,MATCH(1,(EXCEPCIONES_FECHA!$A$2:$A$201=$A584)*(EXCEPCIONES_FECHA!$B$2:$B$201=$B584),0)),IFERROR(INDEX(EXCEPCIONES_FECHA!$F$2:$F$201,MATCH(1,(EXCEPCIONES_FECHA!$A$2:$A$201=$A584)*(EXCEPCIONES_FECHA!$B$2:$B$201=""),0)),IFERROR(INDEX(IF($I584="FIN",HISTORIAL_HORARIOS!$L$2:$L$201,HISTORIAL_HORARIOS!$H$2:$H$201),MATCH(1,(HISTORIAL_HORARIOS!$A$2:$A$201=$B584)*(HISTORIAL_HORARIOS!$C$2:$C$201&lt;=$A584)*(HISTORIAL_HORARIOS!$D$2:$D$201&gt;=$A584),0)),INDEX(IF($I584="FIN",PERSONAL!$L$2:$L$80,PERSONAL!$H$2:$H$80),MATCH($B584,PERSONAL!$A$2:$A$80,0)))))</f>
        <v/>
      </c>
    </row>
    <row r="585" ht="15" customHeight="1" s="58">
      <c r="A585" s="37" t="n"/>
      <c r="B585" s="38" t="n"/>
      <c r="C585" s="39" t="n"/>
      <c r="D585" s="39" t="n"/>
      <c r="E585" s="34">
        <f t="array" ref="E585">IF($B585="","",IFERROR(INDEX(PERSONAL!$B$2:$B$80,MATCH($B585,PERSONAL!$A$2:$A$80,0)),"NO EXISTE"))</f>
        <v/>
      </c>
      <c r="F585" s="52">
        <f t="array" ref="F585">IF($B585="","",IFERROR(INDEX(PERSONAL!$C$2:$C$80,MATCH($B585,PERSONAL!$A$2:$A$80,0)),""))</f>
        <v/>
      </c>
      <c r="G585" s="52">
        <f>IF($A585="","",CHOOSE(WEEKDAY($A585,2),"LUNES","MARTES","MIÉRCOLES","JUEVES","VIERNES","SÁBADO","DOMINGO"))</f>
        <v/>
      </c>
      <c r="H585" s="34">
        <f>IF($A585="","",CHOOSE(MONTH($A585),"ENERO","FEBRERO","MARZO","ABRIL","MAYO","JUNIO","JULIO","AGOSTO","SEPTIEMBRE","OCTUBRE","NOVIEMBRE","DICIEMBRE"))</f>
        <v/>
      </c>
      <c r="I585" s="34">
        <f>IF($A585="","",IF(OR($G585="SÁBADO",$G585="DOMINGO"),"FIN","LV"))</f>
        <v/>
      </c>
      <c r="J585" s="34">
        <f>IF(OR($A585="",$B585=""),"",IF($L585&lt;&gt;"",UPPER($L585),IF($C585="","FALTA",IFERROR(IF($C585&gt;=$O585,"ROJO FUERTE",IF($C585&gt;=$N585,"ROJO",IF($C585&gt;=$M585,"AMARILLO","VERDE"))),"REVISAR"))))</f>
        <v/>
      </c>
      <c r="K585" s="36">
        <f>IF(OR($C585="",$D585=""),"",IF($D585&gt;=$C585,($D585-$C585)*24,(1-$C585+$D585)*24))</f>
        <v/>
      </c>
      <c r="L585" s="34" t="n"/>
      <c r="M585" s="53">
        <f t="array" ref="M585">IFERROR(INDEX(EXCEPCIONES_FECHA!$D$2:$D$201,MATCH(1,(EXCEPCIONES_FECHA!$A$2:$A$201=$A585)*(EXCEPCIONES_FECHA!$B$2:$B$201=$B585),0)),IFERROR(INDEX(EXCEPCIONES_FECHA!$D$2:$D$201,MATCH(1,(EXCEPCIONES_FECHA!$A$2:$A$201=$A585)*(EXCEPCIONES_FECHA!$B$2:$B$201=""),0)),IFERROR(INDEX(IF($I585="FIN",HISTORIAL_HORARIOS!$J$2:$J$201,HISTORIAL_HORARIOS!$F$2:$F$201),MATCH(1,(HISTORIAL_HORARIOS!$A$2:$A$201=$B585)*(HISTORIAL_HORARIOS!$C$2:$C$201&lt;=$A585)*(HISTORIAL_HORARIOS!$D$2:$D$201&gt;=$A585),0)),INDEX(IF($I585="FIN",PERSONAL!$J$2:$J$80,PERSONAL!$F$2:$F$80),MATCH($B585,PERSONAL!$A$2:$A$80,0)))))</f>
        <v/>
      </c>
      <c r="N585" s="53">
        <f t="array" ref="N585">IFERROR(INDEX(EXCEPCIONES_FECHA!$E$2:$E$201,MATCH(1,(EXCEPCIONES_FECHA!$A$2:$A$201=$A585)*(EXCEPCIONES_FECHA!$B$2:$B$201=$B585),0)),IFERROR(INDEX(EXCEPCIONES_FECHA!$E$2:$E$201,MATCH(1,(EXCEPCIONES_FECHA!$A$2:$A$201=$A585)*(EXCEPCIONES_FECHA!$B$2:$B$201=""),0)),IFERROR(INDEX(IF($I585="FIN",HISTORIAL_HORARIOS!$K$2:$K$201,HISTORIAL_HORARIOS!$G$2:$G$201),MATCH(1,(HISTORIAL_HORARIOS!$A$2:$A$201=$B585)*(HISTORIAL_HORARIOS!$C$2:$C$201&lt;=$A585)*(HISTORIAL_HORARIOS!$D$2:$D$201&gt;=$A585),0)),INDEX(IF($I585="FIN",PERSONAL!$K$2:$K$80,PERSONAL!$G$2:$G$80),MATCH($B585,PERSONAL!$A$2:$A$80,0)))))</f>
        <v/>
      </c>
      <c r="O585" s="53">
        <f t="array" ref="O585">IFERROR(INDEX(EXCEPCIONES_FECHA!$F$2:$F$201,MATCH(1,(EXCEPCIONES_FECHA!$A$2:$A$201=$A585)*(EXCEPCIONES_FECHA!$B$2:$B$201=$B585),0)),IFERROR(INDEX(EXCEPCIONES_FECHA!$F$2:$F$201,MATCH(1,(EXCEPCIONES_FECHA!$A$2:$A$201=$A585)*(EXCEPCIONES_FECHA!$B$2:$B$201=""),0)),IFERROR(INDEX(IF($I585="FIN",HISTORIAL_HORARIOS!$L$2:$L$201,HISTORIAL_HORARIOS!$H$2:$H$201),MATCH(1,(HISTORIAL_HORARIOS!$A$2:$A$201=$B585)*(HISTORIAL_HORARIOS!$C$2:$C$201&lt;=$A585)*(HISTORIAL_HORARIOS!$D$2:$D$201&gt;=$A585),0)),INDEX(IF($I585="FIN",PERSONAL!$L$2:$L$80,PERSONAL!$H$2:$H$80),MATCH($B585,PERSONAL!$A$2:$A$80,0)))))</f>
        <v/>
      </c>
    </row>
    <row r="586" ht="15" customHeight="1" s="58">
      <c r="A586" s="37" t="n"/>
      <c r="B586" s="38" t="n"/>
      <c r="C586" s="39" t="n"/>
      <c r="D586" s="39" t="n"/>
      <c r="E586" s="34">
        <f t="array" ref="E586">IF($B586="","",IFERROR(INDEX(PERSONAL!$B$2:$B$80,MATCH($B586,PERSONAL!$A$2:$A$80,0)),"NO EXISTE"))</f>
        <v/>
      </c>
      <c r="F586" s="52">
        <f t="array" ref="F586">IF($B586="","",IFERROR(INDEX(PERSONAL!$C$2:$C$80,MATCH($B586,PERSONAL!$A$2:$A$80,0)),""))</f>
        <v/>
      </c>
      <c r="G586" s="52">
        <f>IF($A586="","",CHOOSE(WEEKDAY($A586,2),"LUNES","MARTES","MIÉRCOLES","JUEVES","VIERNES","SÁBADO","DOMINGO"))</f>
        <v/>
      </c>
      <c r="H586" s="34">
        <f>IF($A586="","",CHOOSE(MONTH($A586),"ENERO","FEBRERO","MARZO","ABRIL","MAYO","JUNIO","JULIO","AGOSTO","SEPTIEMBRE","OCTUBRE","NOVIEMBRE","DICIEMBRE"))</f>
        <v/>
      </c>
      <c r="I586" s="34">
        <f>IF($A586="","",IF(OR($G586="SÁBADO",$G586="DOMINGO"),"FIN","LV"))</f>
        <v/>
      </c>
      <c r="J586" s="34">
        <f>IF(OR($A586="",$B586=""),"",IF($L586&lt;&gt;"",UPPER($L586),IF($C586="","FALTA",IFERROR(IF($C586&gt;=$O586,"ROJO FUERTE",IF($C586&gt;=$N586,"ROJO",IF($C586&gt;=$M586,"AMARILLO","VERDE"))),"REVISAR"))))</f>
        <v/>
      </c>
      <c r="K586" s="36">
        <f>IF(OR($C586="",$D586=""),"",IF($D586&gt;=$C586,($D586-$C586)*24,(1-$C586+$D586)*24))</f>
        <v/>
      </c>
      <c r="L586" s="34" t="n"/>
      <c r="M586" s="53">
        <f t="array" ref="M586">IFERROR(INDEX(EXCEPCIONES_FECHA!$D$2:$D$201,MATCH(1,(EXCEPCIONES_FECHA!$A$2:$A$201=$A586)*(EXCEPCIONES_FECHA!$B$2:$B$201=$B586),0)),IFERROR(INDEX(EXCEPCIONES_FECHA!$D$2:$D$201,MATCH(1,(EXCEPCIONES_FECHA!$A$2:$A$201=$A586)*(EXCEPCIONES_FECHA!$B$2:$B$201=""),0)),IFERROR(INDEX(IF($I586="FIN",HISTORIAL_HORARIOS!$J$2:$J$201,HISTORIAL_HORARIOS!$F$2:$F$201),MATCH(1,(HISTORIAL_HORARIOS!$A$2:$A$201=$B586)*(HISTORIAL_HORARIOS!$C$2:$C$201&lt;=$A586)*(HISTORIAL_HORARIOS!$D$2:$D$201&gt;=$A586),0)),INDEX(IF($I586="FIN",PERSONAL!$J$2:$J$80,PERSONAL!$F$2:$F$80),MATCH($B586,PERSONAL!$A$2:$A$80,0)))))</f>
        <v/>
      </c>
      <c r="N586" s="53">
        <f t="array" ref="N586">IFERROR(INDEX(EXCEPCIONES_FECHA!$E$2:$E$201,MATCH(1,(EXCEPCIONES_FECHA!$A$2:$A$201=$A586)*(EXCEPCIONES_FECHA!$B$2:$B$201=$B586),0)),IFERROR(INDEX(EXCEPCIONES_FECHA!$E$2:$E$201,MATCH(1,(EXCEPCIONES_FECHA!$A$2:$A$201=$A586)*(EXCEPCIONES_FECHA!$B$2:$B$201=""),0)),IFERROR(INDEX(IF($I586="FIN",HISTORIAL_HORARIOS!$K$2:$K$201,HISTORIAL_HORARIOS!$G$2:$G$201),MATCH(1,(HISTORIAL_HORARIOS!$A$2:$A$201=$B586)*(HISTORIAL_HORARIOS!$C$2:$C$201&lt;=$A586)*(HISTORIAL_HORARIOS!$D$2:$D$201&gt;=$A586),0)),INDEX(IF($I586="FIN",PERSONAL!$K$2:$K$80,PERSONAL!$G$2:$G$80),MATCH($B586,PERSONAL!$A$2:$A$80,0)))))</f>
        <v/>
      </c>
      <c r="O586" s="53">
        <f t="array" ref="O586">IFERROR(INDEX(EXCEPCIONES_FECHA!$F$2:$F$201,MATCH(1,(EXCEPCIONES_FECHA!$A$2:$A$201=$A586)*(EXCEPCIONES_FECHA!$B$2:$B$201=$B586),0)),IFERROR(INDEX(EXCEPCIONES_FECHA!$F$2:$F$201,MATCH(1,(EXCEPCIONES_FECHA!$A$2:$A$201=$A586)*(EXCEPCIONES_FECHA!$B$2:$B$201=""),0)),IFERROR(INDEX(IF($I586="FIN",HISTORIAL_HORARIOS!$L$2:$L$201,HISTORIAL_HORARIOS!$H$2:$H$201),MATCH(1,(HISTORIAL_HORARIOS!$A$2:$A$201=$B586)*(HISTORIAL_HORARIOS!$C$2:$C$201&lt;=$A586)*(HISTORIAL_HORARIOS!$D$2:$D$201&gt;=$A586),0)),INDEX(IF($I586="FIN",PERSONAL!$L$2:$L$80,PERSONAL!$H$2:$H$80),MATCH($B586,PERSONAL!$A$2:$A$80,0)))))</f>
        <v/>
      </c>
    </row>
    <row r="587" ht="15" customHeight="1" s="58">
      <c r="A587" s="37" t="n"/>
      <c r="B587" s="38" t="n"/>
      <c r="C587" s="39" t="n"/>
      <c r="D587" s="39" t="n"/>
      <c r="E587" s="34">
        <f t="array" ref="E587">IF($B587="","",IFERROR(INDEX(PERSONAL!$B$2:$B$80,MATCH($B587,PERSONAL!$A$2:$A$80,0)),"NO EXISTE"))</f>
        <v/>
      </c>
      <c r="F587" s="52">
        <f t="array" ref="F587">IF($B587="","",IFERROR(INDEX(PERSONAL!$C$2:$C$80,MATCH($B587,PERSONAL!$A$2:$A$80,0)),""))</f>
        <v/>
      </c>
      <c r="G587" s="52">
        <f>IF($A587="","",CHOOSE(WEEKDAY($A587,2),"LUNES","MARTES","MIÉRCOLES","JUEVES","VIERNES","SÁBADO","DOMINGO"))</f>
        <v/>
      </c>
      <c r="H587" s="34">
        <f>IF($A587="","",CHOOSE(MONTH($A587),"ENERO","FEBRERO","MARZO","ABRIL","MAYO","JUNIO","JULIO","AGOSTO","SEPTIEMBRE","OCTUBRE","NOVIEMBRE","DICIEMBRE"))</f>
        <v/>
      </c>
      <c r="I587" s="34">
        <f>IF($A587="","",IF(OR($G587="SÁBADO",$G587="DOMINGO"),"FIN","LV"))</f>
        <v/>
      </c>
      <c r="J587" s="34">
        <f>IF(OR($A587="",$B587=""),"",IF($L587&lt;&gt;"",UPPER($L587),IF($C587="","FALTA",IFERROR(IF($C587&gt;=$O587,"ROJO FUERTE",IF($C587&gt;=$N587,"ROJO",IF($C587&gt;=$M587,"AMARILLO","VERDE"))),"REVISAR"))))</f>
        <v/>
      </c>
      <c r="K587" s="36">
        <f>IF(OR($C587="",$D587=""),"",IF($D587&gt;=$C587,($D587-$C587)*24,(1-$C587+$D587)*24))</f>
        <v/>
      </c>
      <c r="L587" s="34" t="n"/>
      <c r="M587" s="53">
        <f t="array" ref="M587">IFERROR(INDEX(EXCEPCIONES_FECHA!$D$2:$D$201,MATCH(1,(EXCEPCIONES_FECHA!$A$2:$A$201=$A587)*(EXCEPCIONES_FECHA!$B$2:$B$201=$B587),0)),IFERROR(INDEX(EXCEPCIONES_FECHA!$D$2:$D$201,MATCH(1,(EXCEPCIONES_FECHA!$A$2:$A$201=$A587)*(EXCEPCIONES_FECHA!$B$2:$B$201=""),0)),IFERROR(INDEX(IF($I587="FIN",HISTORIAL_HORARIOS!$J$2:$J$201,HISTORIAL_HORARIOS!$F$2:$F$201),MATCH(1,(HISTORIAL_HORARIOS!$A$2:$A$201=$B587)*(HISTORIAL_HORARIOS!$C$2:$C$201&lt;=$A587)*(HISTORIAL_HORARIOS!$D$2:$D$201&gt;=$A587),0)),INDEX(IF($I587="FIN",PERSONAL!$J$2:$J$80,PERSONAL!$F$2:$F$80),MATCH($B587,PERSONAL!$A$2:$A$80,0)))))</f>
        <v/>
      </c>
      <c r="N587" s="53">
        <f t="array" ref="N587">IFERROR(INDEX(EXCEPCIONES_FECHA!$E$2:$E$201,MATCH(1,(EXCEPCIONES_FECHA!$A$2:$A$201=$A587)*(EXCEPCIONES_FECHA!$B$2:$B$201=$B587),0)),IFERROR(INDEX(EXCEPCIONES_FECHA!$E$2:$E$201,MATCH(1,(EXCEPCIONES_FECHA!$A$2:$A$201=$A587)*(EXCEPCIONES_FECHA!$B$2:$B$201=""),0)),IFERROR(INDEX(IF($I587="FIN",HISTORIAL_HORARIOS!$K$2:$K$201,HISTORIAL_HORARIOS!$G$2:$G$201),MATCH(1,(HISTORIAL_HORARIOS!$A$2:$A$201=$B587)*(HISTORIAL_HORARIOS!$C$2:$C$201&lt;=$A587)*(HISTORIAL_HORARIOS!$D$2:$D$201&gt;=$A587),0)),INDEX(IF($I587="FIN",PERSONAL!$K$2:$K$80,PERSONAL!$G$2:$G$80),MATCH($B587,PERSONAL!$A$2:$A$80,0)))))</f>
        <v/>
      </c>
      <c r="O587" s="53">
        <f t="array" ref="O587">IFERROR(INDEX(EXCEPCIONES_FECHA!$F$2:$F$201,MATCH(1,(EXCEPCIONES_FECHA!$A$2:$A$201=$A587)*(EXCEPCIONES_FECHA!$B$2:$B$201=$B587),0)),IFERROR(INDEX(EXCEPCIONES_FECHA!$F$2:$F$201,MATCH(1,(EXCEPCIONES_FECHA!$A$2:$A$201=$A587)*(EXCEPCIONES_FECHA!$B$2:$B$201=""),0)),IFERROR(INDEX(IF($I587="FIN",HISTORIAL_HORARIOS!$L$2:$L$201,HISTORIAL_HORARIOS!$H$2:$H$201),MATCH(1,(HISTORIAL_HORARIOS!$A$2:$A$201=$B587)*(HISTORIAL_HORARIOS!$C$2:$C$201&lt;=$A587)*(HISTORIAL_HORARIOS!$D$2:$D$201&gt;=$A587),0)),INDEX(IF($I587="FIN",PERSONAL!$L$2:$L$80,PERSONAL!$H$2:$H$80),MATCH($B587,PERSONAL!$A$2:$A$80,0)))))</f>
        <v/>
      </c>
    </row>
    <row r="588" ht="15" customHeight="1" s="58">
      <c r="A588" s="37" t="n"/>
      <c r="B588" s="38" t="n"/>
      <c r="C588" s="39" t="n"/>
      <c r="D588" s="39" t="n"/>
      <c r="E588" s="34">
        <f t="array" ref="E588">IF($B588="","",IFERROR(INDEX(PERSONAL!$B$2:$B$80,MATCH($B588,PERSONAL!$A$2:$A$80,0)),"NO EXISTE"))</f>
        <v/>
      </c>
      <c r="F588" s="52">
        <f t="array" ref="F588">IF($B588="","",IFERROR(INDEX(PERSONAL!$C$2:$C$80,MATCH($B588,PERSONAL!$A$2:$A$80,0)),""))</f>
        <v/>
      </c>
      <c r="G588" s="52">
        <f>IF($A588="","",CHOOSE(WEEKDAY($A588,2),"LUNES","MARTES","MIÉRCOLES","JUEVES","VIERNES","SÁBADO","DOMINGO"))</f>
        <v/>
      </c>
      <c r="H588" s="34">
        <f>IF($A588="","",CHOOSE(MONTH($A588),"ENERO","FEBRERO","MARZO","ABRIL","MAYO","JUNIO","JULIO","AGOSTO","SEPTIEMBRE","OCTUBRE","NOVIEMBRE","DICIEMBRE"))</f>
        <v/>
      </c>
      <c r="I588" s="34">
        <f>IF($A588="","",IF(OR($G588="SÁBADO",$G588="DOMINGO"),"FIN","LV"))</f>
        <v/>
      </c>
      <c r="J588" s="34">
        <f>IF(OR($A588="",$B588=""),"",IF($L588&lt;&gt;"",UPPER($L588),IF($C588="","FALTA",IFERROR(IF($C588&gt;=$O588,"ROJO FUERTE",IF($C588&gt;=$N588,"ROJO",IF($C588&gt;=$M588,"AMARILLO","VERDE"))),"REVISAR"))))</f>
        <v/>
      </c>
      <c r="K588" s="36">
        <f>IF(OR($C588="",$D588=""),"",IF($D588&gt;=$C588,($D588-$C588)*24,(1-$C588+$D588)*24))</f>
        <v/>
      </c>
      <c r="L588" s="34" t="n"/>
      <c r="M588" s="53">
        <f t="array" ref="M588">IFERROR(INDEX(EXCEPCIONES_FECHA!$D$2:$D$201,MATCH(1,(EXCEPCIONES_FECHA!$A$2:$A$201=$A588)*(EXCEPCIONES_FECHA!$B$2:$B$201=$B588),0)),IFERROR(INDEX(EXCEPCIONES_FECHA!$D$2:$D$201,MATCH(1,(EXCEPCIONES_FECHA!$A$2:$A$201=$A588)*(EXCEPCIONES_FECHA!$B$2:$B$201=""),0)),IFERROR(INDEX(IF($I588="FIN",HISTORIAL_HORARIOS!$J$2:$J$201,HISTORIAL_HORARIOS!$F$2:$F$201),MATCH(1,(HISTORIAL_HORARIOS!$A$2:$A$201=$B588)*(HISTORIAL_HORARIOS!$C$2:$C$201&lt;=$A588)*(HISTORIAL_HORARIOS!$D$2:$D$201&gt;=$A588),0)),INDEX(IF($I588="FIN",PERSONAL!$J$2:$J$80,PERSONAL!$F$2:$F$80),MATCH($B588,PERSONAL!$A$2:$A$80,0)))))</f>
        <v/>
      </c>
      <c r="N588" s="53">
        <f t="array" ref="N588">IFERROR(INDEX(EXCEPCIONES_FECHA!$E$2:$E$201,MATCH(1,(EXCEPCIONES_FECHA!$A$2:$A$201=$A588)*(EXCEPCIONES_FECHA!$B$2:$B$201=$B588),0)),IFERROR(INDEX(EXCEPCIONES_FECHA!$E$2:$E$201,MATCH(1,(EXCEPCIONES_FECHA!$A$2:$A$201=$A588)*(EXCEPCIONES_FECHA!$B$2:$B$201=""),0)),IFERROR(INDEX(IF($I588="FIN",HISTORIAL_HORARIOS!$K$2:$K$201,HISTORIAL_HORARIOS!$G$2:$G$201),MATCH(1,(HISTORIAL_HORARIOS!$A$2:$A$201=$B588)*(HISTORIAL_HORARIOS!$C$2:$C$201&lt;=$A588)*(HISTORIAL_HORARIOS!$D$2:$D$201&gt;=$A588),0)),INDEX(IF($I588="FIN",PERSONAL!$K$2:$K$80,PERSONAL!$G$2:$G$80),MATCH($B588,PERSONAL!$A$2:$A$80,0)))))</f>
        <v/>
      </c>
      <c r="O588" s="53">
        <f t="array" ref="O588">IFERROR(INDEX(EXCEPCIONES_FECHA!$F$2:$F$201,MATCH(1,(EXCEPCIONES_FECHA!$A$2:$A$201=$A588)*(EXCEPCIONES_FECHA!$B$2:$B$201=$B588),0)),IFERROR(INDEX(EXCEPCIONES_FECHA!$F$2:$F$201,MATCH(1,(EXCEPCIONES_FECHA!$A$2:$A$201=$A588)*(EXCEPCIONES_FECHA!$B$2:$B$201=""),0)),IFERROR(INDEX(IF($I588="FIN",HISTORIAL_HORARIOS!$L$2:$L$201,HISTORIAL_HORARIOS!$H$2:$H$201),MATCH(1,(HISTORIAL_HORARIOS!$A$2:$A$201=$B588)*(HISTORIAL_HORARIOS!$C$2:$C$201&lt;=$A588)*(HISTORIAL_HORARIOS!$D$2:$D$201&gt;=$A588),0)),INDEX(IF($I588="FIN",PERSONAL!$L$2:$L$80,PERSONAL!$H$2:$H$80),MATCH($B588,PERSONAL!$A$2:$A$80,0)))))</f>
        <v/>
      </c>
    </row>
    <row r="589" ht="15" customHeight="1" s="58">
      <c r="A589" s="37" t="n"/>
      <c r="B589" s="38" t="n"/>
      <c r="C589" s="39" t="n"/>
      <c r="D589" s="39" t="n"/>
      <c r="E589" s="34">
        <f t="array" ref="E589">IF($B589="","",IFERROR(INDEX(PERSONAL!$B$2:$B$80,MATCH($B589,PERSONAL!$A$2:$A$80,0)),"NO EXISTE"))</f>
        <v/>
      </c>
      <c r="F589" s="52">
        <f t="array" ref="F589">IF($B589="","",IFERROR(INDEX(PERSONAL!$C$2:$C$80,MATCH($B589,PERSONAL!$A$2:$A$80,0)),""))</f>
        <v/>
      </c>
      <c r="G589" s="52">
        <f>IF($A589="","",CHOOSE(WEEKDAY($A589,2),"LUNES","MARTES","MIÉRCOLES","JUEVES","VIERNES","SÁBADO","DOMINGO"))</f>
        <v/>
      </c>
      <c r="H589" s="34">
        <f>IF($A589="","",CHOOSE(MONTH($A589),"ENERO","FEBRERO","MARZO","ABRIL","MAYO","JUNIO","JULIO","AGOSTO","SEPTIEMBRE","OCTUBRE","NOVIEMBRE","DICIEMBRE"))</f>
        <v/>
      </c>
      <c r="I589" s="34">
        <f>IF($A589="","",IF(OR($G589="SÁBADO",$G589="DOMINGO"),"FIN","LV"))</f>
        <v/>
      </c>
      <c r="J589" s="34">
        <f>IF(OR($A589="",$B589=""),"",IF($L589&lt;&gt;"",UPPER($L589),IF($C589="","FALTA",IFERROR(IF($C589&gt;=$O589,"ROJO FUERTE",IF($C589&gt;=$N589,"ROJO",IF($C589&gt;=$M589,"AMARILLO","VERDE"))),"REVISAR"))))</f>
        <v/>
      </c>
      <c r="K589" s="36">
        <f>IF(OR($C589="",$D589=""),"",IF($D589&gt;=$C589,($D589-$C589)*24,(1-$C589+$D589)*24))</f>
        <v/>
      </c>
      <c r="L589" s="34" t="n"/>
      <c r="M589" s="53">
        <f t="array" ref="M589">IFERROR(INDEX(EXCEPCIONES_FECHA!$D$2:$D$201,MATCH(1,(EXCEPCIONES_FECHA!$A$2:$A$201=$A589)*(EXCEPCIONES_FECHA!$B$2:$B$201=$B589),0)),IFERROR(INDEX(EXCEPCIONES_FECHA!$D$2:$D$201,MATCH(1,(EXCEPCIONES_FECHA!$A$2:$A$201=$A589)*(EXCEPCIONES_FECHA!$B$2:$B$201=""),0)),IFERROR(INDEX(IF($I589="FIN",HISTORIAL_HORARIOS!$J$2:$J$201,HISTORIAL_HORARIOS!$F$2:$F$201),MATCH(1,(HISTORIAL_HORARIOS!$A$2:$A$201=$B589)*(HISTORIAL_HORARIOS!$C$2:$C$201&lt;=$A589)*(HISTORIAL_HORARIOS!$D$2:$D$201&gt;=$A589),0)),INDEX(IF($I589="FIN",PERSONAL!$J$2:$J$80,PERSONAL!$F$2:$F$80),MATCH($B589,PERSONAL!$A$2:$A$80,0)))))</f>
        <v/>
      </c>
      <c r="N589" s="53">
        <f t="array" ref="N589">IFERROR(INDEX(EXCEPCIONES_FECHA!$E$2:$E$201,MATCH(1,(EXCEPCIONES_FECHA!$A$2:$A$201=$A589)*(EXCEPCIONES_FECHA!$B$2:$B$201=$B589),0)),IFERROR(INDEX(EXCEPCIONES_FECHA!$E$2:$E$201,MATCH(1,(EXCEPCIONES_FECHA!$A$2:$A$201=$A589)*(EXCEPCIONES_FECHA!$B$2:$B$201=""),0)),IFERROR(INDEX(IF($I589="FIN",HISTORIAL_HORARIOS!$K$2:$K$201,HISTORIAL_HORARIOS!$G$2:$G$201),MATCH(1,(HISTORIAL_HORARIOS!$A$2:$A$201=$B589)*(HISTORIAL_HORARIOS!$C$2:$C$201&lt;=$A589)*(HISTORIAL_HORARIOS!$D$2:$D$201&gt;=$A589),0)),INDEX(IF($I589="FIN",PERSONAL!$K$2:$K$80,PERSONAL!$G$2:$G$80),MATCH($B589,PERSONAL!$A$2:$A$80,0)))))</f>
        <v/>
      </c>
      <c r="O589" s="53">
        <f t="array" ref="O589">IFERROR(INDEX(EXCEPCIONES_FECHA!$F$2:$F$201,MATCH(1,(EXCEPCIONES_FECHA!$A$2:$A$201=$A589)*(EXCEPCIONES_FECHA!$B$2:$B$201=$B589),0)),IFERROR(INDEX(EXCEPCIONES_FECHA!$F$2:$F$201,MATCH(1,(EXCEPCIONES_FECHA!$A$2:$A$201=$A589)*(EXCEPCIONES_FECHA!$B$2:$B$201=""),0)),IFERROR(INDEX(IF($I589="FIN",HISTORIAL_HORARIOS!$L$2:$L$201,HISTORIAL_HORARIOS!$H$2:$H$201),MATCH(1,(HISTORIAL_HORARIOS!$A$2:$A$201=$B589)*(HISTORIAL_HORARIOS!$C$2:$C$201&lt;=$A589)*(HISTORIAL_HORARIOS!$D$2:$D$201&gt;=$A589),0)),INDEX(IF($I589="FIN",PERSONAL!$L$2:$L$80,PERSONAL!$H$2:$H$80),MATCH($B589,PERSONAL!$A$2:$A$80,0)))))</f>
        <v/>
      </c>
    </row>
    <row r="590" ht="15" customHeight="1" s="58">
      <c r="A590" s="37" t="n"/>
      <c r="B590" s="38" t="n"/>
      <c r="C590" s="39" t="n"/>
      <c r="D590" s="39" t="n"/>
      <c r="E590" s="34">
        <f t="array" ref="E590">IF($B590="","",IFERROR(INDEX(PERSONAL!$B$2:$B$80,MATCH($B590,PERSONAL!$A$2:$A$80,0)),"NO EXISTE"))</f>
        <v/>
      </c>
      <c r="F590" s="52">
        <f t="array" ref="F590">IF($B590="","",IFERROR(INDEX(PERSONAL!$C$2:$C$80,MATCH($B590,PERSONAL!$A$2:$A$80,0)),""))</f>
        <v/>
      </c>
      <c r="G590" s="52">
        <f>IF($A590="","",CHOOSE(WEEKDAY($A590,2),"LUNES","MARTES","MIÉRCOLES","JUEVES","VIERNES","SÁBADO","DOMINGO"))</f>
        <v/>
      </c>
      <c r="H590" s="34">
        <f>IF($A590="","",CHOOSE(MONTH($A590),"ENERO","FEBRERO","MARZO","ABRIL","MAYO","JUNIO","JULIO","AGOSTO","SEPTIEMBRE","OCTUBRE","NOVIEMBRE","DICIEMBRE"))</f>
        <v/>
      </c>
      <c r="I590" s="34">
        <f>IF($A590="","",IF(OR($G590="SÁBADO",$G590="DOMINGO"),"FIN","LV"))</f>
        <v/>
      </c>
      <c r="J590" s="34">
        <f>IF(OR($A590="",$B590=""),"",IF($L590&lt;&gt;"",UPPER($L590),IF($C590="","FALTA",IFERROR(IF($C590&gt;=$O590,"ROJO FUERTE",IF($C590&gt;=$N590,"ROJO",IF($C590&gt;=$M590,"AMARILLO","VERDE"))),"REVISAR"))))</f>
        <v/>
      </c>
      <c r="K590" s="36">
        <f>IF(OR($C590="",$D590=""),"",IF($D590&gt;=$C590,($D590-$C590)*24,(1-$C590+$D590)*24))</f>
        <v/>
      </c>
      <c r="L590" s="34" t="n"/>
      <c r="M590" s="53">
        <f t="array" ref="M590">IFERROR(INDEX(EXCEPCIONES_FECHA!$D$2:$D$201,MATCH(1,(EXCEPCIONES_FECHA!$A$2:$A$201=$A590)*(EXCEPCIONES_FECHA!$B$2:$B$201=$B590),0)),IFERROR(INDEX(EXCEPCIONES_FECHA!$D$2:$D$201,MATCH(1,(EXCEPCIONES_FECHA!$A$2:$A$201=$A590)*(EXCEPCIONES_FECHA!$B$2:$B$201=""),0)),IFERROR(INDEX(IF($I590="FIN",HISTORIAL_HORARIOS!$J$2:$J$201,HISTORIAL_HORARIOS!$F$2:$F$201),MATCH(1,(HISTORIAL_HORARIOS!$A$2:$A$201=$B590)*(HISTORIAL_HORARIOS!$C$2:$C$201&lt;=$A590)*(HISTORIAL_HORARIOS!$D$2:$D$201&gt;=$A590),0)),INDEX(IF($I590="FIN",PERSONAL!$J$2:$J$80,PERSONAL!$F$2:$F$80),MATCH($B590,PERSONAL!$A$2:$A$80,0)))))</f>
        <v/>
      </c>
      <c r="N590" s="53">
        <f t="array" ref="N590">IFERROR(INDEX(EXCEPCIONES_FECHA!$E$2:$E$201,MATCH(1,(EXCEPCIONES_FECHA!$A$2:$A$201=$A590)*(EXCEPCIONES_FECHA!$B$2:$B$201=$B590),0)),IFERROR(INDEX(EXCEPCIONES_FECHA!$E$2:$E$201,MATCH(1,(EXCEPCIONES_FECHA!$A$2:$A$201=$A590)*(EXCEPCIONES_FECHA!$B$2:$B$201=""),0)),IFERROR(INDEX(IF($I590="FIN",HISTORIAL_HORARIOS!$K$2:$K$201,HISTORIAL_HORARIOS!$G$2:$G$201),MATCH(1,(HISTORIAL_HORARIOS!$A$2:$A$201=$B590)*(HISTORIAL_HORARIOS!$C$2:$C$201&lt;=$A590)*(HISTORIAL_HORARIOS!$D$2:$D$201&gt;=$A590),0)),INDEX(IF($I590="FIN",PERSONAL!$K$2:$K$80,PERSONAL!$G$2:$G$80),MATCH($B590,PERSONAL!$A$2:$A$80,0)))))</f>
        <v/>
      </c>
      <c r="O590" s="53">
        <f t="array" ref="O590">IFERROR(INDEX(EXCEPCIONES_FECHA!$F$2:$F$201,MATCH(1,(EXCEPCIONES_FECHA!$A$2:$A$201=$A590)*(EXCEPCIONES_FECHA!$B$2:$B$201=$B590),0)),IFERROR(INDEX(EXCEPCIONES_FECHA!$F$2:$F$201,MATCH(1,(EXCEPCIONES_FECHA!$A$2:$A$201=$A590)*(EXCEPCIONES_FECHA!$B$2:$B$201=""),0)),IFERROR(INDEX(IF($I590="FIN",HISTORIAL_HORARIOS!$L$2:$L$201,HISTORIAL_HORARIOS!$H$2:$H$201),MATCH(1,(HISTORIAL_HORARIOS!$A$2:$A$201=$B590)*(HISTORIAL_HORARIOS!$C$2:$C$201&lt;=$A590)*(HISTORIAL_HORARIOS!$D$2:$D$201&gt;=$A590),0)),INDEX(IF($I590="FIN",PERSONAL!$L$2:$L$80,PERSONAL!$H$2:$H$80),MATCH($B590,PERSONAL!$A$2:$A$80,0)))))</f>
        <v/>
      </c>
    </row>
    <row r="591" ht="15" customHeight="1" s="58">
      <c r="A591" s="37" t="n"/>
      <c r="B591" s="38" t="n"/>
      <c r="C591" s="39" t="n"/>
      <c r="D591" s="39" t="n"/>
      <c r="E591" s="34">
        <f t="array" ref="E591">IF($B591="","",IFERROR(INDEX(PERSONAL!$B$2:$B$80,MATCH($B591,PERSONAL!$A$2:$A$80,0)),"NO EXISTE"))</f>
        <v/>
      </c>
      <c r="F591" s="52">
        <f t="array" ref="F591">IF($B591="","",IFERROR(INDEX(PERSONAL!$C$2:$C$80,MATCH($B591,PERSONAL!$A$2:$A$80,0)),""))</f>
        <v/>
      </c>
      <c r="G591" s="52">
        <f>IF($A591="","",CHOOSE(WEEKDAY($A591,2),"LUNES","MARTES","MIÉRCOLES","JUEVES","VIERNES","SÁBADO","DOMINGO"))</f>
        <v/>
      </c>
      <c r="H591" s="34">
        <f>IF($A591="","",CHOOSE(MONTH($A591),"ENERO","FEBRERO","MARZO","ABRIL","MAYO","JUNIO","JULIO","AGOSTO","SEPTIEMBRE","OCTUBRE","NOVIEMBRE","DICIEMBRE"))</f>
        <v/>
      </c>
      <c r="I591" s="34">
        <f>IF($A591="","",IF(OR($G591="SÁBADO",$G591="DOMINGO"),"FIN","LV"))</f>
        <v/>
      </c>
      <c r="J591" s="34">
        <f>IF(OR($A591="",$B591=""),"",IF($L591&lt;&gt;"",UPPER($L591),IF($C591="","FALTA",IFERROR(IF($C591&gt;=$O591,"ROJO FUERTE",IF($C591&gt;=$N591,"ROJO",IF($C591&gt;=$M591,"AMARILLO","VERDE"))),"REVISAR"))))</f>
        <v/>
      </c>
      <c r="K591" s="36">
        <f>IF(OR($C591="",$D591=""),"",IF($D591&gt;=$C591,($D591-$C591)*24,(1-$C591+$D591)*24))</f>
        <v/>
      </c>
      <c r="L591" s="34" t="n"/>
      <c r="M591" s="53">
        <f t="array" ref="M591">IFERROR(INDEX(EXCEPCIONES_FECHA!$D$2:$D$201,MATCH(1,(EXCEPCIONES_FECHA!$A$2:$A$201=$A591)*(EXCEPCIONES_FECHA!$B$2:$B$201=$B591),0)),IFERROR(INDEX(EXCEPCIONES_FECHA!$D$2:$D$201,MATCH(1,(EXCEPCIONES_FECHA!$A$2:$A$201=$A591)*(EXCEPCIONES_FECHA!$B$2:$B$201=""),0)),IFERROR(INDEX(IF($I591="FIN",HISTORIAL_HORARIOS!$J$2:$J$201,HISTORIAL_HORARIOS!$F$2:$F$201),MATCH(1,(HISTORIAL_HORARIOS!$A$2:$A$201=$B591)*(HISTORIAL_HORARIOS!$C$2:$C$201&lt;=$A591)*(HISTORIAL_HORARIOS!$D$2:$D$201&gt;=$A591),0)),INDEX(IF($I591="FIN",PERSONAL!$J$2:$J$80,PERSONAL!$F$2:$F$80),MATCH($B591,PERSONAL!$A$2:$A$80,0)))))</f>
        <v/>
      </c>
      <c r="N591" s="53">
        <f t="array" ref="N591">IFERROR(INDEX(EXCEPCIONES_FECHA!$E$2:$E$201,MATCH(1,(EXCEPCIONES_FECHA!$A$2:$A$201=$A591)*(EXCEPCIONES_FECHA!$B$2:$B$201=$B591),0)),IFERROR(INDEX(EXCEPCIONES_FECHA!$E$2:$E$201,MATCH(1,(EXCEPCIONES_FECHA!$A$2:$A$201=$A591)*(EXCEPCIONES_FECHA!$B$2:$B$201=""),0)),IFERROR(INDEX(IF($I591="FIN",HISTORIAL_HORARIOS!$K$2:$K$201,HISTORIAL_HORARIOS!$G$2:$G$201),MATCH(1,(HISTORIAL_HORARIOS!$A$2:$A$201=$B591)*(HISTORIAL_HORARIOS!$C$2:$C$201&lt;=$A591)*(HISTORIAL_HORARIOS!$D$2:$D$201&gt;=$A591),0)),INDEX(IF($I591="FIN",PERSONAL!$K$2:$K$80,PERSONAL!$G$2:$G$80),MATCH($B591,PERSONAL!$A$2:$A$80,0)))))</f>
        <v/>
      </c>
      <c r="O591" s="53">
        <f t="array" ref="O591">IFERROR(INDEX(EXCEPCIONES_FECHA!$F$2:$F$201,MATCH(1,(EXCEPCIONES_FECHA!$A$2:$A$201=$A591)*(EXCEPCIONES_FECHA!$B$2:$B$201=$B591),0)),IFERROR(INDEX(EXCEPCIONES_FECHA!$F$2:$F$201,MATCH(1,(EXCEPCIONES_FECHA!$A$2:$A$201=$A591)*(EXCEPCIONES_FECHA!$B$2:$B$201=""),0)),IFERROR(INDEX(IF($I591="FIN",HISTORIAL_HORARIOS!$L$2:$L$201,HISTORIAL_HORARIOS!$H$2:$H$201),MATCH(1,(HISTORIAL_HORARIOS!$A$2:$A$201=$B591)*(HISTORIAL_HORARIOS!$C$2:$C$201&lt;=$A591)*(HISTORIAL_HORARIOS!$D$2:$D$201&gt;=$A591),0)),INDEX(IF($I591="FIN",PERSONAL!$L$2:$L$80,PERSONAL!$H$2:$H$80),MATCH($B591,PERSONAL!$A$2:$A$80,0)))))</f>
        <v/>
      </c>
    </row>
    <row r="592" ht="15" customHeight="1" s="58">
      <c r="A592" s="37" t="n"/>
      <c r="B592" s="38" t="n"/>
      <c r="C592" s="39" t="n"/>
      <c r="D592" s="39" t="n"/>
      <c r="E592" s="34">
        <f t="array" ref="E592">IF($B592="","",IFERROR(INDEX(PERSONAL!$B$2:$B$80,MATCH($B592,PERSONAL!$A$2:$A$80,0)),"NO EXISTE"))</f>
        <v/>
      </c>
      <c r="F592" s="52">
        <f t="array" ref="F592">IF($B592="","",IFERROR(INDEX(PERSONAL!$C$2:$C$80,MATCH($B592,PERSONAL!$A$2:$A$80,0)),""))</f>
        <v/>
      </c>
      <c r="G592" s="52">
        <f>IF($A592="","",CHOOSE(WEEKDAY($A592,2),"LUNES","MARTES","MIÉRCOLES","JUEVES","VIERNES","SÁBADO","DOMINGO"))</f>
        <v/>
      </c>
      <c r="H592" s="34">
        <f>IF($A592="","",CHOOSE(MONTH($A592),"ENERO","FEBRERO","MARZO","ABRIL","MAYO","JUNIO","JULIO","AGOSTO","SEPTIEMBRE","OCTUBRE","NOVIEMBRE","DICIEMBRE"))</f>
        <v/>
      </c>
      <c r="I592" s="34">
        <f>IF($A592="","",IF(OR($G592="SÁBADO",$G592="DOMINGO"),"FIN","LV"))</f>
        <v/>
      </c>
      <c r="J592" s="34">
        <f>IF(OR($A592="",$B592=""),"",IF($L592&lt;&gt;"",UPPER($L592),IF($C592="","FALTA",IFERROR(IF($C592&gt;=$O592,"ROJO FUERTE",IF($C592&gt;=$N592,"ROJO",IF($C592&gt;=$M592,"AMARILLO","VERDE"))),"REVISAR"))))</f>
        <v/>
      </c>
      <c r="K592" s="36">
        <f>IF(OR($C592="",$D592=""),"",IF($D592&gt;=$C592,($D592-$C592)*24,(1-$C592+$D592)*24))</f>
        <v/>
      </c>
      <c r="L592" s="34" t="n"/>
      <c r="M592" s="53">
        <f t="array" ref="M592">IFERROR(INDEX(EXCEPCIONES_FECHA!$D$2:$D$201,MATCH(1,(EXCEPCIONES_FECHA!$A$2:$A$201=$A592)*(EXCEPCIONES_FECHA!$B$2:$B$201=$B592),0)),IFERROR(INDEX(EXCEPCIONES_FECHA!$D$2:$D$201,MATCH(1,(EXCEPCIONES_FECHA!$A$2:$A$201=$A592)*(EXCEPCIONES_FECHA!$B$2:$B$201=""),0)),IFERROR(INDEX(IF($I592="FIN",HISTORIAL_HORARIOS!$J$2:$J$201,HISTORIAL_HORARIOS!$F$2:$F$201),MATCH(1,(HISTORIAL_HORARIOS!$A$2:$A$201=$B592)*(HISTORIAL_HORARIOS!$C$2:$C$201&lt;=$A592)*(HISTORIAL_HORARIOS!$D$2:$D$201&gt;=$A592),0)),INDEX(IF($I592="FIN",PERSONAL!$J$2:$J$80,PERSONAL!$F$2:$F$80),MATCH($B592,PERSONAL!$A$2:$A$80,0)))))</f>
        <v/>
      </c>
      <c r="N592" s="53">
        <f t="array" ref="N592">IFERROR(INDEX(EXCEPCIONES_FECHA!$E$2:$E$201,MATCH(1,(EXCEPCIONES_FECHA!$A$2:$A$201=$A592)*(EXCEPCIONES_FECHA!$B$2:$B$201=$B592),0)),IFERROR(INDEX(EXCEPCIONES_FECHA!$E$2:$E$201,MATCH(1,(EXCEPCIONES_FECHA!$A$2:$A$201=$A592)*(EXCEPCIONES_FECHA!$B$2:$B$201=""),0)),IFERROR(INDEX(IF($I592="FIN",HISTORIAL_HORARIOS!$K$2:$K$201,HISTORIAL_HORARIOS!$G$2:$G$201),MATCH(1,(HISTORIAL_HORARIOS!$A$2:$A$201=$B592)*(HISTORIAL_HORARIOS!$C$2:$C$201&lt;=$A592)*(HISTORIAL_HORARIOS!$D$2:$D$201&gt;=$A592),0)),INDEX(IF($I592="FIN",PERSONAL!$K$2:$K$80,PERSONAL!$G$2:$G$80),MATCH($B592,PERSONAL!$A$2:$A$80,0)))))</f>
        <v/>
      </c>
      <c r="O592" s="53">
        <f t="array" ref="O592">IFERROR(INDEX(EXCEPCIONES_FECHA!$F$2:$F$201,MATCH(1,(EXCEPCIONES_FECHA!$A$2:$A$201=$A592)*(EXCEPCIONES_FECHA!$B$2:$B$201=$B592),0)),IFERROR(INDEX(EXCEPCIONES_FECHA!$F$2:$F$201,MATCH(1,(EXCEPCIONES_FECHA!$A$2:$A$201=$A592)*(EXCEPCIONES_FECHA!$B$2:$B$201=""),0)),IFERROR(INDEX(IF($I592="FIN",HISTORIAL_HORARIOS!$L$2:$L$201,HISTORIAL_HORARIOS!$H$2:$H$201),MATCH(1,(HISTORIAL_HORARIOS!$A$2:$A$201=$B592)*(HISTORIAL_HORARIOS!$C$2:$C$201&lt;=$A592)*(HISTORIAL_HORARIOS!$D$2:$D$201&gt;=$A592),0)),INDEX(IF($I592="FIN",PERSONAL!$L$2:$L$80,PERSONAL!$H$2:$H$80),MATCH($B592,PERSONAL!$A$2:$A$80,0)))))</f>
        <v/>
      </c>
    </row>
    <row r="593" ht="15" customHeight="1" s="58">
      <c r="A593" s="37" t="n"/>
      <c r="B593" s="38" t="n"/>
      <c r="C593" s="39" t="n"/>
      <c r="D593" s="39" t="n"/>
      <c r="E593" s="34">
        <f t="array" ref="E593">IF($B593="","",IFERROR(INDEX(PERSONAL!$B$2:$B$80,MATCH($B593,PERSONAL!$A$2:$A$80,0)),"NO EXISTE"))</f>
        <v/>
      </c>
      <c r="F593" s="52">
        <f t="array" ref="F593">IF($B593="","",IFERROR(INDEX(PERSONAL!$C$2:$C$80,MATCH($B593,PERSONAL!$A$2:$A$80,0)),""))</f>
        <v/>
      </c>
      <c r="G593" s="52">
        <f>IF($A593="","",CHOOSE(WEEKDAY($A593,2),"LUNES","MARTES","MIÉRCOLES","JUEVES","VIERNES","SÁBADO","DOMINGO"))</f>
        <v/>
      </c>
      <c r="H593" s="34">
        <f>IF($A593="","",CHOOSE(MONTH($A593),"ENERO","FEBRERO","MARZO","ABRIL","MAYO","JUNIO","JULIO","AGOSTO","SEPTIEMBRE","OCTUBRE","NOVIEMBRE","DICIEMBRE"))</f>
        <v/>
      </c>
      <c r="I593" s="34">
        <f>IF($A593="","",IF(OR($G593="SÁBADO",$G593="DOMINGO"),"FIN","LV"))</f>
        <v/>
      </c>
      <c r="J593" s="34">
        <f>IF(OR($A593="",$B593=""),"",IF($L593&lt;&gt;"",UPPER($L593),IF($C593="","FALTA",IFERROR(IF($C593&gt;=$O593,"ROJO FUERTE",IF($C593&gt;=$N593,"ROJO",IF($C593&gt;=$M593,"AMARILLO","VERDE"))),"REVISAR"))))</f>
        <v/>
      </c>
      <c r="K593" s="36">
        <f>IF(OR($C593="",$D593=""),"",IF($D593&gt;=$C593,($D593-$C593)*24,(1-$C593+$D593)*24))</f>
        <v/>
      </c>
      <c r="L593" s="34" t="n"/>
      <c r="M593" s="53">
        <f t="array" ref="M593">IFERROR(INDEX(EXCEPCIONES_FECHA!$D$2:$D$201,MATCH(1,(EXCEPCIONES_FECHA!$A$2:$A$201=$A593)*(EXCEPCIONES_FECHA!$B$2:$B$201=$B593),0)),IFERROR(INDEX(EXCEPCIONES_FECHA!$D$2:$D$201,MATCH(1,(EXCEPCIONES_FECHA!$A$2:$A$201=$A593)*(EXCEPCIONES_FECHA!$B$2:$B$201=""),0)),IFERROR(INDEX(IF($I593="FIN",HISTORIAL_HORARIOS!$J$2:$J$201,HISTORIAL_HORARIOS!$F$2:$F$201),MATCH(1,(HISTORIAL_HORARIOS!$A$2:$A$201=$B593)*(HISTORIAL_HORARIOS!$C$2:$C$201&lt;=$A593)*(HISTORIAL_HORARIOS!$D$2:$D$201&gt;=$A593),0)),INDEX(IF($I593="FIN",PERSONAL!$J$2:$J$80,PERSONAL!$F$2:$F$80),MATCH($B593,PERSONAL!$A$2:$A$80,0)))))</f>
        <v/>
      </c>
      <c r="N593" s="53">
        <f t="array" ref="N593">IFERROR(INDEX(EXCEPCIONES_FECHA!$E$2:$E$201,MATCH(1,(EXCEPCIONES_FECHA!$A$2:$A$201=$A593)*(EXCEPCIONES_FECHA!$B$2:$B$201=$B593),0)),IFERROR(INDEX(EXCEPCIONES_FECHA!$E$2:$E$201,MATCH(1,(EXCEPCIONES_FECHA!$A$2:$A$201=$A593)*(EXCEPCIONES_FECHA!$B$2:$B$201=""),0)),IFERROR(INDEX(IF($I593="FIN",HISTORIAL_HORARIOS!$K$2:$K$201,HISTORIAL_HORARIOS!$G$2:$G$201),MATCH(1,(HISTORIAL_HORARIOS!$A$2:$A$201=$B593)*(HISTORIAL_HORARIOS!$C$2:$C$201&lt;=$A593)*(HISTORIAL_HORARIOS!$D$2:$D$201&gt;=$A593),0)),INDEX(IF($I593="FIN",PERSONAL!$K$2:$K$80,PERSONAL!$G$2:$G$80),MATCH($B593,PERSONAL!$A$2:$A$80,0)))))</f>
        <v/>
      </c>
      <c r="O593" s="53">
        <f t="array" ref="O593">IFERROR(INDEX(EXCEPCIONES_FECHA!$F$2:$F$201,MATCH(1,(EXCEPCIONES_FECHA!$A$2:$A$201=$A593)*(EXCEPCIONES_FECHA!$B$2:$B$201=$B593),0)),IFERROR(INDEX(EXCEPCIONES_FECHA!$F$2:$F$201,MATCH(1,(EXCEPCIONES_FECHA!$A$2:$A$201=$A593)*(EXCEPCIONES_FECHA!$B$2:$B$201=""),0)),IFERROR(INDEX(IF($I593="FIN",HISTORIAL_HORARIOS!$L$2:$L$201,HISTORIAL_HORARIOS!$H$2:$H$201),MATCH(1,(HISTORIAL_HORARIOS!$A$2:$A$201=$B593)*(HISTORIAL_HORARIOS!$C$2:$C$201&lt;=$A593)*(HISTORIAL_HORARIOS!$D$2:$D$201&gt;=$A593),0)),INDEX(IF($I593="FIN",PERSONAL!$L$2:$L$80,PERSONAL!$H$2:$H$80),MATCH($B593,PERSONAL!$A$2:$A$80,0)))))</f>
        <v/>
      </c>
    </row>
    <row r="594" ht="15" customHeight="1" s="58">
      <c r="A594" s="37" t="n"/>
      <c r="B594" s="38" t="n"/>
      <c r="C594" s="39" t="n"/>
      <c r="D594" s="39" t="n"/>
      <c r="E594" s="34">
        <f t="array" ref="E594">IF($B594="","",IFERROR(INDEX(PERSONAL!$B$2:$B$80,MATCH($B594,PERSONAL!$A$2:$A$80,0)),"NO EXISTE"))</f>
        <v/>
      </c>
      <c r="F594" s="52">
        <f t="array" ref="F594">IF($B594="","",IFERROR(INDEX(PERSONAL!$C$2:$C$80,MATCH($B594,PERSONAL!$A$2:$A$80,0)),""))</f>
        <v/>
      </c>
      <c r="G594" s="52">
        <f>IF($A594="","",CHOOSE(WEEKDAY($A594,2),"LUNES","MARTES","MIÉRCOLES","JUEVES","VIERNES","SÁBADO","DOMINGO"))</f>
        <v/>
      </c>
      <c r="H594" s="34">
        <f>IF($A594="","",CHOOSE(MONTH($A594),"ENERO","FEBRERO","MARZO","ABRIL","MAYO","JUNIO","JULIO","AGOSTO","SEPTIEMBRE","OCTUBRE","NOVIEMBRE","DICIEMBRE"))</f>
        <v/>
      </c>
      <c r="I594" s="34">
        <f>IF($A594="","",IF(OR($G594="SÁBADO",$G594="DOMINGO"),"FIN","LV"))</f>
        <v/>
      </c>
      <c r="J594" s="34">
        <f>IF(OR($A594="",$B594=""),"",IF($L594&lt;&gt;"",UPPER($L594),IF($C594="","FALTA",IFERROR(IF($C594&gt;=$O594,"ROJO FUERTE",IF($C594&gt;=$N594,"ROJO",IF($C594&gt;=$M594,"AMARILLO","VERDE"))),"REVISAR"))))</f>
        <v/>
      </c>
      <c r="K594" s="36">
        <f>IF(OR($C594="",$D594=""),"",IF($D594&gt;=$C594,($D594-$C594)*24,(1-$C594+$D594)*24))</f>
        <v/>
      </c>
      <c r="L594" s="34" t="n"/>
      <c r="M594" s="53">
        <f t="array" ref="M594">IFERROR(INDEX(EXCEPCIONES_FECHA!$D$2:$D$201,MATCH(1,(EXCEPCIONES_FECHA!$A$2:$A$201=$A594)*(EXCEPCIONES_FECHA!$B$2:$B$201=$B594),0)),IFERROR(INDEX(EXCEPCIONES_FECHA!$D$2:$D$201,MATCH(1,(EXCEPCIONES_FECHA!$A$2:$A$201=$A594)*(EXCEPCIONES_FECHA!$B$2:$B$201=""),0)),IFERROR(INDEX(IF($I594="FIN",HISTORIAL_HORARIOS!$J$2:$J$201,HISTORIAL_HORARIOS!$F$2:$F$201),MATCH(1,(HISTORIAL_HORARIOS!$A$2:$A$201=$B594)*(HISTORIAL_HORARIOS!$C$2:$C$201&lt;=$A594)*(HISTORIAL_HORARIOS!$D$2:$D$201&gt;=$A594),0)),INDEX(IF($I594="FIN",PERSONAL!$J$2:$J$80,PERSONAL!$F$2:$F$80),MATCH($B594,PERSONAL!$A$2:$A$80,0)))))</f>
        <v/>
      </c>
      <c r="N594" s="53">
        <f t="array" ref="N594">IFERROR(INDEX(EXCEPCIONES_FECHA!$E$2:$E$201,MATCH(1,(EXCEPCIONES_FECHA!$A$2:$A$201=$A594)*(EXCEPCIONES_FECHA!$B$2:$B$201=$B594),0)),IFERROR(INDEX(EXCEPCIONES_FECHA!$E$2:$E$201,MATCH(1,(EXCEPCIONES_FECHA!$A$2:$A$201=$A594)*(EXCEPCIONES_FECHA!$B$2:$B$201=""),0)),IFERROR(INDEX(IF($I594="FIN",HISTORIAL_HORARIOS!$K$2:$K$201,HISTORIAL_HORARIOS!$G$2:$G$201),MATCH(1,(HISTORIAL_HORARIOS!$A$2:$A$201=$B594)*(HISTORIAL_HORARIOS!$C$2:$C$201&lt;=$A594)*(HISTORIAL_HORARIOS!$D$2:$D$201&gt;=$A594),0)),INDEX(IF($I594="FIN",PERSONAL!$K$2:$K$80,PERSONAL!$G$2:$G$80),MATCH($B594,PERSONAL!$A$2:$A$80,0)))))</f>
        <v/>
      </c>
      <c r="O594" s="53">
        <f t="array" ref="O594">IFERROR(INDEX(EXCEPCIONES_FECHA!$F$2:$F$201,MATCH(1,(EXCEPCIONES_FECHA!$A$2:$A$201=$A594)*(EXCEPCIONES_FECHA!$B$2:$B$201=$B594),0)),IFERROR(INDEX(EXCEPCIONES_FECHA!$F$2:$F$201,MATCH(1,(EXCEPCIONES_FECHA!$A$2:$A$201=$A594)*(EXCEPCIONES_FECHA!$B$2:$B$201=""),0)),IFERROR(INDEX(IF($I594="FIN",HISTORIAL_HORARIOS!$L$2:$L$201,HISTORIAL_HORARIOS!$H$2:$H$201),MATCH(1,(HISTORIAL_HORARIOS!$A$2:$A$201=$B594)*(HISTORIAL_HORARIOS!$C$2:$C$201&lt;=$A594)*(HISTORIAL_HORARIOS!$D$2:$D$201&gt;=$A594),0)),INDEX(IF($I594="FIN",PERSONAL!$L$2:$L$80,PERSONAL!$H$2:$H$80),MATCH($B594,PERSONAL!$A$2:$A$80,0)))))</f>
        <v/>
      </c>
    </row>
    <row r="595" ht="15" customHeight="1" s="58">
      <c r="A595" s="37" t="n"/>
      <c r="B595" s="38" t="n"/>
      <c r="C595" s="39" t="n"/>
      <c r="D595" s="39" t="n"/>
      <c r="E595" s="34">
        <f t="array" ref="E595">IF($B595="","",IFERROR(INDEX(PERSONAL!$B$2:$B$80,MATCH($B595,PERSONAL!$A$2:$A$80,0)),"NO EXISTE"))</f>
        <v/>
      </c>
      <c r="F595" s="52">
        <f t="array" ref="F595">IF($B595="","",IFERROR(INDEX(PERSONAL!$C$2:$C$80,MATCH($B595,PERSONAL!$A$2:$A$80,0)),""))</f>
        <v/>
      </c>
      <c r="G595" s="52">
        <f>IF($A595="","",CHOOSE(WEEKDAY($A595,2),"LUNES","MARTES","MIÉRCOLES","JUEVES","VIERNES","SÁBADO","DOMINGO"))</f>
        <v/>
      </c>
      <c r="H595" s="34">
        <f>IF($A595="","",CHOOSE(MONTH($A595),"ENERO","FEBRERO","MARZO","ABRIL","MAYO","JUNIO","JULIO","AGOSTO","SEPTIEMBRE","OCTUBRE","NOVIEMBRE","DICIEMBRE"))</f>
        <v/>
      </c>
      <c r="I595" s="34">
        <f>IF($A595="","",IF(OR($G595="SÁBADO",$G595="DOMINGO"),"FIN","LV"))</f>
        <v/>
      </c>
      <c r="J595" s="34">
        <f>IF(OR($A595="",$B595=""),"",IF($L595&lt;&gt;"",UPPER($L595),IF($C595="","FALTA",IFERROR(IF($C595&gt;=$O595,"ROJO FUERTE",IF($C595&gt;=$N595,"ROJO",IF($C595&gt;=$M595,"AMARILLO","VERDE"))),"REVISAR"))))</f>
        <v/>
      </c>
      <c r="K595" s="36">
        <f>IF(OR($C595="",$D595=""),"",IF($D595&gt;=$C595,($D595-$C595)*24,(1-$C595+$D595)*24))</f>
        <v/>
      </c>
      <c r="L595" s="34" t="n"/>
      <c r="M595" s="53">
        <f t="array" ref="M595">IFERROR(INDEX(EXCEPCIONES_FECHA!$D$2:$D$201,MATCH(1,(EXCEPCIONES_FECHA!$A$2:$A$201=$A595)*(EXCEPCIONES_FECHA!$B$2:$B$201=$B595),0)),IFERROR(INDEX(EXCEPCIONES_FECHA!$D$2:$D$201,MATCH(1,(EXCEPCIONES_FECHA!$A$2:$A$201=$A595)*(EXCEPCIONES_FECHA!$B$2:$B$201=""),0)),IFERROR(INDEX(IF($I595="FIN",HISTORIAL_HORARIOS!$J$2:$J$201,HISTORIAL_HORARIOS!$F$2:$F$201),MATCH(1,(HISTORIAL_HORARIOS!$A$2:$A$201=$B595)*(HISTORIAL_HORARIOS!$C$2:$C$201&lt;=$A595)*(HISTORIAL_HORARIOS!$D$2:$D$201&gt;=$A595),0)),INDEX(IF($I595="FIN",PERSONAL!$J$2:$J$80,PERSONAL!$F$2:$F$80),MATCH($B595,PERSONAL!$A$2:$A$80,0)))))</f>
        <v/>
      </c>
      <c r="N595" s="53">
        <f t="array" ref="N595">IFERROR(INDEX(EXCEPCIONES_FECHA!$E$2:$E$201,MATCH(1,(EXCEPCIONES_FECHA!$A$2:$A$201=$A595)*(EXCEPCIONES_FECHA!$B$2:$B$201=$B595),0)),IFERROR(INDEX(EXCEPCIONES_FECHA!$E$2:$E$201,MATCH(1,(EXCEPCIONES_FECHA!$A$2:$A$201=$A595)*(EXCEPCIONES_FECHA!$B$2:$B$201=""),0)),IFERROR(INDEX(IF($I595="FIN",HISTORIAL_HORARIOS!$K$2:$K$201,HISTORIAL_HORARIOS!$G$2:$G$201),MATCH(1,(HISTORIAL_HORARIOS!$A$2:$A$201=$B595)*(HISTORIAL_HORARIOS!$C$2:$C$201&lt;=$A595)*(HISTORIAL_HORARIOS!$D$2:$D$201&gt;=$A595),0)),INDEX(IF($I595="FIN",PERSONAL!$K$2:$K$80,PERSONAL!$G$2:$G$80),MATCH($B595,PERSONAL!$A$2:$A$80,0)))))</f>
        <v/>
      </c>
      <c r="O595" s="53">
        <f t="array" ref="O595">IFERROR(INDEX(EXCEPCIONES_FECHA!$F$2:$F$201,MATCH(1,(EXCEPCIONES_FECHA!$A$2:$A$201=$A595)*(EXCEPCIONES_FECHA!$B$2:$B$201=$B595),0)),IFERROR(INDEX(EXCEPCIONES_FECHA!$F$2:$F$201,MATCH(1,(EXCEPCIONES_FECHA!$A$2:$A$201=$A595)*(EXCEPCIONES_FECHA!$B$2:$B$201=""),0)),IFERROR(INDEX(IF($I595="FIN",HISTORIAL_HORARIOS!$L$2:$L$201,HISTORIAL_HORARIOS!$H$2:$H$201),MATCH(1,(HISTORIAL_HORARIOS!$A$2:$A$201=$B595)*(HISTORIAL_HORARIOS!$C$2:$C$201&lt;=$A595)*(HISTORIAL_HORARIOS!$D$2:$D$201&gt;=$A595),0)),INDEX(IF($I595="FIN",PERSONAL!$L$2:$L$80,PERSONAL!$H$2:$H$80),MATCH($B595,PERSONAL!$A$2:$A$80,0)))))</f>
        <v/>
      </c>
    </row>
    <row r="596" ht="15" customHeight="1" s="58">
      <c r="A596" s="37" t="n"/>
      <c r="B596" s="38" t="n"/>
      <c r="C596" s="39" t="n"/>
      <c r="D596" s="39" t="n"/>
      <c r="E596" s="34">
        <f t="array" ref="E596">IF($B596="","",IFERROR(INDEX(PERSONAL!$B$2:$B$80,MATCH($B596,PERSONAL!$A$2:$A$80,0)),"NO EXISTE"))</f>
        <v/>
      </c>
      <c r="F596" s="52">
        <f t="array" ref="F596">IF($B596="","",IFERROR(INDEX(PERSONAL!$C$2:$C$80,MATCH($B596,PERSONAL!$A$2:$A$80,0)),""))</f>
        <v/>
      </c>
      <c r="G596" s="52">
        <f>IF($A596="","",CHOOSE(WEEKDAY($A596,2),"LUNES","MARTES","MIÉRCOLES","JUEVES","VIERNES","SÁBADO","DOMINGO"))</f>
        <v/>
      </c>
      <c r="H596" s="34">
        <f>IF($A596="","",CHOOSE(MONTH($A596),"ENERO","FEBRERO","MARZO","ABRIL","MAYO","JUNIO","JULIO","AGOSTO","SEPTIEMBRE","OCTUBRE","NOVIEMBRE","DICIEMBRE"))</f>
        <v/>
      </c>
      <c r="I596" s="34">
        <f>IF($A596="","",IF(OR($G596="SÁBADO",$G596="DOMINGO"),"FIN","LV"))</f>
        <v/>
      </c>
      <c r="J596" s="34">
        <f>IF(OR($A596="",$B596=""),"",IF($L596&lt;&gt;"",UPPER($L596),IF($C596="","FALTA",IFERROR(IF($C596&gt;=$O596,"ROJO FUERTE",IF($C596&gt;=$N596,"ROJO",IF($C596&gt;=$M596,"AMARILLO","VERDE"))),"REVISAR"))))</f>
        <v/>
      </c>
      <c r="K596" s="36">
        <f>IF(OR($C596="",$D596=""),"",IF($D596&gt;=$C596,($D596-$C596)*24,(1-$C596+$D596)*24))</f>
        <v/>
      </c>
      <c r="L596" s="34" t="n"/>
      <c r="M596" s="53">
        <f t="array" ref="M596">IFERROR(INDEX(EXCEPCIONES_FECHA!$D$2:$D$201,MATCH(1,(EXCEPCIONES_FECHA!$A$2:$A$201=$A596)*(EXCEPCIONES_FECHA!$B$2:$B$201=$B596),0)),IFERROR(INDEX(EXCEPCIONES_FECHA!$D$2:$D$201,MATCH(1,(EXCEPCIONES_FECHA!$A$2:$A$201=$A596)*(EXCEPCIONES_FECHA!$B$2:$B$201=""),0)),IFERROR(INDEX(IF($I596="FIN",HISTORIAL_HORARIOS!$J$2:$J$201,HISTORIAL_HORARIOS!$F$2:$F$201),MATCH(1,(HISTORIAL_HORARIOS!$A$2:$A$201=$B596)*(HISTORIAL_HORARIOS!$C$2:$C$201&lt;=$A596)*(HISTORIAL_HORARIOS!$D$2:$D$201&gt;=$A596),0)),INDEX(IF($I596="FIN",PERSONAL!$J$2:$J$80,PERSONAL!$F$2:$F$80),MATCH($B596,PERSONAL!$A$2:$A$80,0)))))</f>
        <v/>
      </c>
      <c r="N596" s="53">
        <f t="array" ref="N596">IFERROR(INDEX(EXCEPCIONES_FECHA!$E$2:$E$201,MATCH(1,(EXCEPCIONES_FECHA!$A$2:$A$201=$A596)*(EXCEPCIONES_FECHA!$B$2:$B$201=$B596),0)),IFERROR(INDEX(EXCEPCIONES_FECHA!$E$2:$E$201,MATCH(1,(EXCEPCIONES_FECHA!$A$2:$A$201=$A596)*(EXCEPCIONES_FECHA!$B$2:$B$201=""),0)),IFERROR(INDEX(IF($I596="FIN",HISTORIAL_HORARIOS!$K$2:$K$201,HISTORIAL_HORARIOS!$G$2:$G$201),MATCH(1,(HISTORIAL_HORARIOS!$A$2:$A$201=$B596)*(HISTORIAL_HORARIOS!$C$2:$C$201&lt;=$A596)*(HISTORIAL_HORARIOS!$D$2:$D$201&gt;=$A596),0)),INDEX(IF($I596="FIN",PERSONAL!$K$2:$K$80,PERSONAL!$G$2:$G$80),MATCH($B596,PERSONAL!$A$2:$A$80,0)))))</f>
        <v/>
      </c>
      <c r="O596" s="53">
        <f t="array" ref="O596">IFERROR(INDEX(EXCEPCIONES_FECHA!$F$2:$F$201,MATCH(1,(EXCEPCIONES_FECHA!$A$2:$A$201=$A596)*(EXCEPCIONES_FECHA!$B$2:$B$201=$B596),0)),IFERROR(INDEX(EXCEPCIONES_FECHA!$F$2:$F$201,MATCH(1,(EXCEPCIONES_FECHA!$A$2:$A$201=$A596)*(EXCEPCIONES_FECHA!$B$2:$B$201=""),0)),IFERROR(INDEX(IF($I596="FIN",HISTORIAL_HORARIOS!$L$2:$L$201,HISTORIAL_HORARIOS!$H$2:$H$201),MATCH(1,(HISTORIAL_HORARIOS!$A$2:$A$201=$B596)*(HISTORIAL_HORARIOS!$C$2:$C$201&lt;=$A596)*(HISTORIAL_HORARIOS!$D$2:$D$201&gt;=$A596),0)),INDEX(IF($I596="FIN",PERSONAL!$L$2:$L$80,PERSONAL!$H$2:$H$80),MATCH($B596,PERSONAL!$A$2:$A$80,0)))))</f>
        <v/>
      </c>
    </row>
    <row r="597" ht="15" customHeight="1" s="58">
      <c r="A597" s="37" t="n"/>
      <c r="B597" s="38" t="n"/>
      <c r="C597" s="39" t="n"/>
      <c r="D597" s="39" t="n"/>
      <c r="E597" s="34">
        <f t="array" ref="E597">IF($B597="","",IFERROR(INDEX(PERSONAL!$B$2:$B$80,MATCH($B597,PERSONAL!$A$2:$A$80,0)),"NO EXISTE"))</f>
        <v/>
      </c>
      <c r="F597" s="52">
        <f t="array" ref="F597">IF($B597="","",IFERROR(INDEX(PERSONAL!$C$2:$C$80,MATCH($B597,PERSONAL!$A$2:$A$80,0)),""))</f>
        <v/>
      </c>
      <c r="G597" s="52">
        <f>IF($A597="","",CHOOSE(WEEKDAY($A597,2),"LUNES","MARTES","MIÉRCOLES","JUEVES","VIERNES","SÁBADO","DOMINGO"))</f>
        <v/>
      </c>
      <c r="H597" s="34">
        <f>IF($A597="","",CHOOSE(MONTH($A597),"ENERO","FEBRERO","MARZO","ABRIL","MAYO","JUNIO","JULIO","AGOSTO","SEPTIEMBRE","OCTUBRE","NOVIEMBRE","DICIEMBRE"))</f>
        <v/>
      </c>
      <c r="I597" s="34">
        <f>IF($A597="","",IF(OR($G597="SÁBADO",$G597="DOMINGO"),"FIN","LV"))</f>
        <v/>
      </c>
      <c r="J597" s="34">
        <f>IF(OR($A597="",$B597=""),"",IF($L597&lt;&gt;"",UPPER($L597),IF($C597="","FALTA",IFERROR(IF($C597&gt;=$O597,"ROJO FUERTE",IF($C597&gt;=$N597,"ROJO",IF($C597&gt;=$M597,"AMARILLO","VERDE"))),"REVISAR"))))</f>
        <v/>
      </c>
      <c r="K597" s="36">
        <f>IF(OR($C597="",$D597=""),"",IF($D597&gt;=$C597,($D597-$C597)*24,(1-$C597+$D597)*24))</f>
        <v/>
      </c>
      <c r="L597" s="34" t="n"/>
      <c r="M597" s="53">
        <f t="array" ref="M597">IFERROR(INDEX(EXCEPCIONES_FECHA!$D$2:$D$201,MATCH(1,(EXCEPCIONES_FECHA!$A$2:$A$201=$A597)*(EXCEPCIONES_FECHA!$B$2:$B$201=$B597),0)),IFERROR(INDEX(EXCEPCIONES_FECHA!$D$2:$D$201,MATCH(1,(EXCEPCIONES_FECHA!$A$2:$A$201=$A597)*(EXCEPCIONES_FECHA!$B$2:$B$201=""),0)),IFERROR(INDEX(IF($I597="FIN",HISTORIAL_HORARIOS!$J$2:$J$201,HISTORIAL_HORARIOS!$F$2:$F$201),MATCH(1,(HISTORIAL_HORARIOS!$A$2:$A$201=$B597)*(HISTORIAL_HORARIOS!$C$2:$C$201&lt;=$A597)*(HISTORIAL_HORARIOS!$D$2:$D$201&gt;=$A597),0)),INDEX(IF($I597="FIN",PERSONAL!$J$2:$J$80,PERSONAL!$F$2:$F$80),MATCH($B597,PERSONAL!$A$2:$A$80,0)))))</f>
        <v/>
      </c>
      <c r="N597" s="53">
        <f t="array" ref="N597">IFERROR(INDEX(EXCEPCIONES_FECHA!$E$2:$E$201,MATCH(1,(EXCEPCIONES_FECHA!$A$2:$A$201=$A597)*(EXCEPCIONES_FECHA!$B$2:$B$201=$B597),0)),IFERROR(INDEX(EXCEPCIONES_FECHA!$E$2:$E$201,MATCH(1,(EXCEPCIONES_FECHA!$A$2:$A$201=$A597)*(EXCEPCIONES_FECHA!$B$2:$B$201=""),0)),IFERROR(INDEX(IF($I597="FIN",HISTORIAL_HORARIOS!$K$2:$K$201,HISTORIAL_HORARIOS!$G$2:$G$201),MATCH(1,(HISTORIAL_HORARIOS!$A$2:$A$201=$B597)*(HISTORIAL_HORARIOS!$C$2:$C$201&lt;=$A597)*(HISTORIAL_HORARIOS!$D$2:$D$201&gt;=$A597),0)),INDEX(IF($I597="FIN",PERSONAL!$K$2:$K$80,PERSONAL!$G$2:$G$80),MATCH($B597,PERSONAL!$A$2:$A$80,0)))))</f>
        <v/>
      </c>
      <c r="O597" s="53">
        <f t="array" ref="O597">IFERROR(INDEX(EXCEPCIONES_FECHA!$F$2:$F$201,MATCH(1,(EXCEPCIONES_FECHA!$A$2:$A$201=$A597)*(EXCEPCIONES_FECHA!$B$2:$B$201=$B597),0)),IFERROR(INDEX(EXCEPCIONES_FECHA!$F$2:$F$201,MATCH(1,(EXCEPCIONES_FECHA!$A$2:$A$201=$A597)*(EXCEPCIONES_FECHA!$B$2:$B$201=""),0)),IFERROR(INDEX(IF($I597="FIN",HISTORIAL_HORARIOS!$L$2:$L$201,HISTORIAL_HORARIOS!$H$2:$H$201),MATCH(1,(HISTORIAL_HORARIOS!$A$2:$A$201=$B597)*(HISTORIAL_HORARIOS!$C$2:$C$201&lt;=$A597)*(HISTORIAL_HORARIOS!$D$2:$D$201&gt;=$A597),0)),INDEX(IF($I597="FIN",PERSONAL!$L$2:$L$80,PERSONAL!$H$2:$H$80),MATCH($B597,PERSONAL!$A$2:$A$80,0)))))</f>
        <v/>
      </c>
    </row>
    <row r="598" ht="15" customHeight="1" s="58">
      <c r="A598" s="37" t="n"/>
      <c r="B598" s="38" t="n"/>
      <c r="C598" s="39" t="n"/>
      <c r="D598" s="39" t="n"/>
      <c r="E598" s="34">
        <f t="array" ref="E598">IF($B598="","",IFERROR(INDEX(PERSONAL!$B$2:$B$80,MATCH($B598,PERSONAL!$A$2:$A$80,0)),"NO EXISTE"))</f>
        <v/>
      </c>
      <c r="F598" s="52">
        <f t="array" ref="F598">IF($B598="","",IFERROR(INDEX(PERSONAL!$C$2:$C$80,MATCH($B598,PERSONAL!$A$2:$A$80,0)),""))</f>
        <v/>
      </c>
      <c r="G598" s="52">
        <f>IF($A598="","",CHOOSE(WEEKDAY($A598,2),"LUNES","MARTES","MIÉRCOLES","JUEVES","VIERNES","SÁBADO","DOMINGO"))</f>
        <v/>
      </c>
      <c r="H598" s="34">
        <f>IF($A598="","",CHOOSE(MONTH($A598),"ENERO","FEBRERO","MARZO","ABRIL","MAYO","JUNIO","JULIO","AGOSTO","SEPTIEMBRE","OCTUBRE","NOVIEMBRE","DICIEMBRE"))</f>
        <v/>
      </c>
      <c r="I598" s="34">
        <f>IF($A598="","",IF(OR($G598="SÁBADO",$G598="DOMINGO"),"FIN","LV"))</f>
        <v/>
      </c>
      <c r="J598" s="34">
        <f>IF(OR($A598="",$B598=""),"",IF($L598&lt;&gt;"",UPPER($L598),IF($C598="","FALTA",IFERROR(IF($C598&gt;=$O598,"ROJO FUERTE",IF($C598&gt;=$N598,"ROJO",IF($C598&gt;=$M598,"AMARILLO","VERDE"))),"REVISAR"))))</f>
        <v/>
      </c>
      <c r="K598" s="36">
        <f>IF(OR($C598="",$D598=""),"",IF($D598&gt;=$C598,($D598-$C598)*24,(1-$C598+$D598)*24))</f>
        <v/>
      </c>
      <c r="L598" s="34" t="n"/>
      <c r="M598" s="53">
        <f t="array" ref="M598">IFERROR(INDEX(EXCEPCIONES_FECHA!$D$2:$D$201,MATCH(1,(EXCEPCIONES_FECHA!$A$2:$A$201=$A598)*(EXCEPCIONES_FECHA!$B$2:$B$201=$B598),0)),IFERROR(INDEX(EXCEPCIONES_FECHA!$D$2:$D$201,MATCH(1,(EXCEPCIONES_FECHA!$A$2:$A$201=$A598)*(EXCEPCIONES_FECHA!$B$2:$B$201=""),0)),IFERROR(INDEX(IF($I598="FIN",HISTORIAL_HORARIOS!$J$2:$J$201,HISTORIAL_HORARIOS!$F$2:$F$201),MATCH(1,(HISTORIAL_HORARIOS!$A$2:$A$201=$B598)*(HISTORIAL_HORARIOS!$C$2:$C$201&lt;=$A598)*(HISTORIAL_HORARIOS!$D$2:$D$201&gt;=$A598),0)),INDEX(IF($I598="FIN",PERSONAL!$J$2:$J$80,PERSONAL!$F$2:$F$80),MATCH($B598,PERSONAL!$A$2:$A$80,0)))))</f>
        <v/>
      </c>
      <c r="N598" s="53">
        <f t="array" ref="N598">IFERROR(INDEX(EXCEPCIONES_FECHA!$E$2:$E$201,MATCH(1,(EXCEPCIONES_FECHA!$A$2:$A$201=$A598)*(EXCEPCIONES_FECHA!$B$2:$B$201=$B598),0)),IFERROR(INDEX(EXCEPCIONES_FECHA!$E$2:$E$201,MATCH(1,(EXCEPCIONES_FECHA!$A$2:$A$201=$A598)*(EXCEPCIONES_FECHA!$B$2:$B$201=""),0)),IFERROR(INDEX(IF($I598="FIN",HISTORIAL_HORARIOS!$K$2:$K$201,HISTORIAL_HORARIOS!$G$2:$G$201),MATCH(1,(HISTORIAL_HORARIOS!$A$2:$A$201=$B598)*(HISTORIAL_HORARIOS!$C$2:$C$201&lt;=$A598)*(HISTORIAL_HORARIOS!$D$2:$D$201&gt;=$A598),0)),INDEX(IF($I598="FIN",PERSONAL!$K$2:$K$80,PERSONAL!$G$2:$G$80),MATCH($B598,PERSONAL!$A$2:$A$80,0)))))</f>
        <v/>
      </c>
      <c r="O598" s="53">
        <f t="array" ref="O598">IFERROR(INDEX(EXCEPCIONES_FECHA!$F$2:$F$201,MATCH(1,(EXCEPCIONES_FECHA!$A$2:$A$201=$A598)*(EXCEPCIONES_FECHA!$B$2:$B$201=$B598),0)),IFERROR(INDEX(EXCEPCIONES_FECHA!$F$2:$F$201,MATCH(1,(EXCEPCIONES_FECHA!$A$2:$A$201=$A598)*(EXCEPCIONES_FECHA!$B$2:$B$201=""),0)),IFERROR(INDEX(IF($I598="FIN",HISTORIAL_HORARIOS!$L$2:$L$201,HISTORIAL_HORARIOS!$H$2:$H$201),MATCH(1,(HISTORIAL_HORARIOS!$A$2:$A$201=$B598)*(HISTORIAL_HORARIOS!$C$2:$C$201&lt;=$A598)*(HISTORIAL_HORARIOS!$D$2:$D$201&gt;=$A598),0)),INDEX(IF($I598="FIN",PERSONAL!$L$2:$L$80,PERSONAL!$H$2:$H$80),MATCH($B598,PERSONAL!$A$2:$A$80,0)))))</f>
        <v/>
      </c>
    </row>
    <row r="599" ht="15" customHeight="1" s="58">
      <c r="A599" s="37" t="n"/>
      <c r="B599" s="38" t="n"/>
      <c r="C599" s="39" t="n"/>
      <c r="D599" s="39" t="n"/>
      <c r="E599" s="34">
        <f t="array" ref="E599">IF($B599="","",IFERROR(INDEX(PERSONAL!$B$2:$B$80,MATCH($B599,PERSONAL!$A$2:$A$80,0)),"NO EXISTE"))</f>
        <v/>
      </c>
      <c r="F599" s="52">
        <f t="array" ref="F599">IF($B599="","",IFERROR(INDEX(PERSONAL!$C$2:$C$80,MATCH($B599,PERSONAL!$A$2:$A$80,0)),""))</f>
        <v/>
      </c>
      <c r="G599" s="52">
        <f>IF($A599="","",CHOOSE(WEEKDAY($A599,2),"LUNES","MARTES","MIÉRCOLES","JUEVES","VIERNES","SÁBADO","DOMINGO"))</f>
        <v/>
      </c>
      <c r="H599" s="34">
        <f>IF($A599="","",CHOOSE(MONTH($A599),"ENERO","FEBRERO","MARZO","ABRIL","MAYO","JUNIO","JULIO","AGOSTO","SEPTIEMBRE","OCTUBRE","NOVIEMBRE","DICIEMBRE"))</f>
        <v/>
      </c>
      <c r="I599" s="34">
        <f>IF($A599="","",IF(OR($G599="SÁBADO",$G599="DOMINGO"),"FIN","LV"))</f>
        <v/>
      </c>
      <c r="J599" s="34">
        <f>IF(OR($A599="",$B599=""),"",IF($L599&lt;&gt;"",UPPER($L599),IF($C599="","FALTA",IFERROR(IF($C599&gt;=$O599,"ROJO FUERTE",IF($C599&gt;=$N599,"ROJO",IF($C599&gt;=$M599,"AMARILLO","VERDE"))),"REVISAR"))))</f>
        <v/>
      </c>
      <c r="K599" s="36">
        <f>IF(OR($C599="",$D599=""),"",IF($D599&gt;=$C599,($D599-$C599)*24,(1-$C599+$D599)*24))</f>
        <v/>
      </c>
      <c r="L599" s="34" t="n"/>
      <c r="M599" s="53">
        <f t="array" ref="M599">IFERROR(INDEX(EXCEPCIONES_FECHA!$D$2:$D$201,MATCH(1,(EXCEPCIONES_FECHA!$A$2:$A$201=$A599)*(EXCEPCIONES_FECHA!$B$2:$B$201=$B599),0)),IFERROR(INDEX(EXCEPCIONES_FECHA!$D$2:$D$201,MATCH(1,(EXCEPCIONES_FECHA!$A$2:$A$201=$A599)*(EXCEPCIONES_FECHA!$B$2:$B$201=""),0)),IFERROR(INDEX(IF($I599="FIN",HISTORIAL_HORARIOS!$J$2:$J$201,HISTORIAL_HORARIOS!$F$2:$F$201),MATCH(1,(HISTORIAL_HORARIOS!$A$2:$A$201=$B599)*(HISTORIAL_HORARIOS!$C$2:$C$201&lt;=$A599)*(HISTORIAL_HORARIOS!$D$2:$D$201&gt;=$A599),0)),INDEX(IF($I599="FIN",PERSONAL!$J$2:$J$80,PERSONAL!$F$2:$F$80),MATCH($B599,PERSONAL!$A$2:$A$80,0)))))</f>
        <v/>
      </c>
      <c r="N599" s="53">
        <f t="array" ref="N599">IFERROR(INDEX(EXCEPCIONES_FECHA!$E$2:$E$201,MATCH(1,(EXCEPCIONES_FECHA!$A$2:$A$201=$A599)*(EXCEPCIONES_FECHA!$B$2:$B$201=$B599),0)),IFERROR(INDEX(EXCEPCIONES_FECHA!$E$2:$E$201,MATCH(1,(EXCEPCIONES_FECHA!$A$2:$A$201=$A599)*(EXCEPCIONES_FECHA!$B$2:$B$201=""),0)),IFERROR(INDEX(IF($I599="FIN",HISTORIAL_HORARIOS!$K$2:$K$201,HISTORIAL_HORARIOS!$G$2:$G$201),MATCH(1,(HISTORIAL_HORARIOS!$A$2:$A$201=$B599)*(HISTORIAL_HORARIOS!$C$2:$C$201&lt;=$A599)*(HISTORIAL_HORARIOS!$D$2:$D$201&gt;=$A599),0)),INDEX(IF($I599="FIN",PERSONAL!$K$2:$K$80,PERSONAL!$G$2:$G$80),MATCH($B599,PERSONAL!$A$2:$A$80,0)))))</f>
        <v/>
      </c>
      <c r="O599" s="53">
        <f t="array" ref="O599">IFERROR(INDEX(EXCEPCIONES_FECHA!$F$2:$F$201,MATCH(1,(EXCEPCIONES_FECHA!$A$2:$A$201=$A599)*(EXCEPCIONES_FECHA!$B$2:$B$201=$B599),0)),IFERROR(INDEX(EXCEPCIONES_FECHA!$F$2:$F$201,MATCH(1,(EXCEPCIONES_FECHA!$A$2:$A$201=$A599)*(EXCEPCIONES_FECHA!$B$2:$B$201=""),0)),IFERROR(INDEX(IF($I599="FIN",HISTORIAL_HORARIOS!$L$2:$L$201,HISTORIAL_HORARIOS!$H$2:$H$201),MATCH(1,(HISTORIAL_HORARIOS!$A$2:$A$201=$B599)*(HISTORIAL_HORARIOS!$C$2:$C$201&lt;=$A599)*(HISTORIAL_HORARIOS!$D$2:$D$201&gt;=$A599),0)),INDEX(IF($I599="FIN",PERSONAL!$L$2:$L$80,PERSONAL!$H$2:$H$80),MATCH($B599,PERSONAL!$A$2:$A$80,0)))))</f>
        <v/>
      </c>
    </row>
    <row r="600" ht="15" customHeight="1" s="58">
      <c r="A600" s="37" t="n"/>
      <c r="B600" s="38" t="n"/>
      <c r="C600" s="39" t="n"/>
      <c r="D600" s="39" t="n"/>
      <c r="E600" s="34">
        <f t="array" ref="E600">IF($B600="","",IFERROR(INDEX(PERSONAL!$B$2:$B$80,MATCH($B600,PERSONAL!$A$2:$A$80,0)),"NO EXISTE"))</f>
        <v/>
      </c>
      <c r="F600" s="52">
        <f t="array" ref="F600">IF($B600="","",IFERROR(INDEX(PERSONAL!$C$2:$C$80,MATCH($B600,PERSONAL!$A$2:$A$80,0)),""))</f>
        <v/>
      </c>
      <c r="G600" s="52">
        <f>IF($A600="","",CHOOSE(WEEKDAY($A600,2),"LUNES","MARTES","MIÉRCOLES","JUEVES","VIERNES","SÁBADO","DOMINGO"))</f>
        <v/>
      </c>
      <c r="H600" s="34">
        <f>IF($A600="","",CHOOSE(MONTH($A600),"ENERO","FEBRERO","MARZO","ABRIL","MAYO","JUNIO","JULIO","AGOSTO","SEPTIEMBRE","OCTUBRE","NOVIEMBRE","DICIEMBRE"))</f>
        <v/>
      </c>
      <c r="I600" s="34">
        <f>IF($A600="","",IF(OR($G600="SÁBADO",$G600="DOMINGO"),"FIN","LV"))</f>
        <v/>
      </c>
      <c r="J600" s="34">
        <f>IF(OR($A600="",$B600=""),"",IF($L600&lt;&gt;"",UPPER($L600),IF($C600="","FALTA",IFERROR(IF($C600&gt;=$O600,"ROJO FUERTE",IF($C600&gt;=$N600,"ROJO",IF($C600&gt;=$M600,"AMARILLO","VERDE"))),"REVISAR"))))</f>
        <v/>
      </c>
      <c r="K600" s="36">
        <f>IF(OR($C600="",$D600=""),"",IF($D600&gt;=$C600,($D600-$C600)*24,(1-$C600+$D600)*24))</f>
        <v/>
      </c>
      <c r="L600" s="34" t="n"/>
      <c r="M600" s="53">
        <f t="array" ref="M600">IFERROR(INDEX(EXCEPCIONES_FECHA!$D$2:$D$201,MATCH(1,(EXCEPCIONES_FECHA!$A$2:$A$201=$A600)*(EXCEPCIONES_FECHA!$B$2:$B$201=$B600),0)),IFERROR(INDEX(EXCEPCIONES_FECHA!$D$2:$D$201,MATCH(1,(EXCEPCIONES_FECHA!$A$2:$A$201=$A600)*(EXCEPCIONES_FECHA!$B$2:$B$201=""),0)),IFERROR(INDEX(IF($I600="FIN",HISTORIAL_HORARIOS!$J$2:$J$201,HISTORIAL_HORARIOS!$F$2:$F$201),MATCH(1,(HISTORIAL_HORARIOS!$A$2:$A$201=$B600)*(HISTORIAL_HORARIOS!$C$2:$C$201&lt;=$A600)*(HISTORIAL_HORARIOS!$D$2:$D$201&gt;=$A600),0)),INDEX(IF($I600="FIN",PERSONAL!$J$2:$J$80,PERSONAL!$F$2:$F$80),MATCH($B600,PERSONAL!$A$2:$A$80,0)))))</f>
        <v/>
      </c>
      <c r="N600" s="53">
        <f t="array" ref="N600">IFERROR(INDEX(EXCEPCIONES_FECHA!$E$2:$E$201,MATCH(1,(EXCEPCIONES_FECHA!$A$2:$A$201=$A600)*(EXCEPCIONES_FECHA!$B$2:$B$201=$B600),0)),IFERROR(INDEX(EXCEPCIONES_FECHA!$E$2:$E$201,MATCH(1,(EXCEPCIONES_FECHA!$A$2:$A$201=$A600)*(EXCEPCIONES_FECHA!$B$2:$B$201=""),0)),IFERROR(INDEX(IF($I600="FIN",HISTORIAL_HORARIOS!$K$2:$K$201,HISTORIAL_HORARIOS!$G$2:$G$201),MATCH(1,(HISTORIAL_HORARIOS!$A$2:$A$201=$B600)*(HISTORIAL_HORARIOS!$C$2:$C$201&lt;=$A600)*(HISTORIAL_HORARIOS!$D$2:$D$201&gt;=$A600),0)),INDEX(IF($I600="FIN",PERSONAL!$K$2:$K$80,PERSONAL!$G$2:$G$80),MATCH($B600,PERSONAL!$A$2:$A$80,0)))))</f>
        <v/>
      </c>
      <c r="O600" s="53">
        <f t="array" ref="O600">IFERROR(INDEX(EXCEPCIONES_FECHA!$F$2:$F$201,MATCH(1,(EXCEPCIONES_FECHA!$A$2:$A$201=$A600)*(EXCEPCIONES_FECHA!$B$2:$B$201=$B600),0)),IFERROR(INDEX(EXCEPCIONES_FECHA!$F$2:$F$201,MATCH(1,(EXCEPCIONES_FECHA!$A$2:$A$201=$A600)*(EXCEPCIONES_FECHA!$B$2:$B$201=""),0)),IFERROR(INDEX(IF($I600="FIN",HISTORIAL_HORARIOS!$L$2:$L$201,HISTORIAL_HORARIOS!$H$2:$H$201),MATCH(1,(HISTORIAL_HORARIOS!$A$2:$A$201=$B600)*(HISTORIAL_HORARIOS!$C$2:$C$201&lt;=$A600)*(HISTORIAL_HORARIOS!$D$2:$D$201&gt;=$A600),0)),INDEX(IF($I600="FIN",PERSONAL!$L$2:$L$80,PERSONAL!$H$2:$H$80),MATCH($B600,PERSONAL!$A$2:$A$80,0)))))</f>
        <v/>
      </c>
    </row>
    <row r="601" ht="15" customHeight="1" s="58">
      <c r="A601" s="37" t="n"/>
      <c r="B601" s="38" t="n"/>
      <c r="C601" s="39" t="n"/>
      <c r="D601" s="39" t="n"/>
      <c r="E601" s="34">
        <f t="array" ref="E601">IF($B601="","",IFERROR(INDEX(PERSONAL!$B$2:$B$80,MATCH($B601,PERSONAL!$A$2:$A$80,0)),"NO EXISTE"))</f>
        <v/>
      </c>
      <c r="F601" s="52">
        <f t="array" ref="F601">IF($B601="","",IFERROR(INDEX(PERSONAL!$C$2:$C$80,MATCH($B601,PERSONAL!$A$2:$A$80,0)),""))</f>
        <v/>
      </c>
      <c r="G601" s="52">
        <f>IF($A601="","",CHOOSE(WEEKDAY($A601,2),"LUNES","MARTES","MIÉRCOLES","JUEVES","VIERNES","SÁBADO","DOMINGO"))</f>
        <v/>
      </c>
      <c r="H601" s="34">
        <f>IF($A601="","",CHOOSE(MONTH($A601),"ENERO","FEBRERO","MARZO","ABRIL","MAYO","JUNIO","JULIO","AGOSTO","SEPTIEMBRE","OCTUBRE","NOVIEMBRE","DICIEMBRE"))</f>
        <v/>
      </c>
      <c r="I601" s="34">
        <f>IF($A601="","",IF(OR($G601="SÁBADO",$G601="DOMINGO"),"FIN","LV"))</f>
        <v/>
      </c>
      <c r="J601" s="34">
        <f>IF(OR($A601="",$B601=""),"",IF($L601&lt;&gt;"",UPPER($L601),IF($C601="","FALTA",IFERROR(IF($C601&gt;=$O601,"ROJO FUERTE",IF($C601&gt;=$N601,"ROJO",IF($C601&gt;=$M601,"AMARILLO","VERDE"))),"REVISAR"))))</f>
        <v/>
      </c>
      <c r="K601" s="36">
        <f>IF(OR($C601="",$D601=""),"",IF($D601&gt;=$C601,($D601-$C601)*24,(1-$C601+$D601)*24))</f>
        <v/>
      </c>
      <c r="L601" s="34" t="n"/>
      <c r="M601" s="53">
        <f t="array" ref="M601">IFERROR(INDEX(EXCEPCIONES_FECHA!$D$2:$D$201,MATCH(1,(EXCEPCIONES_FECHA!$A$2:$A$201=$A601)*(EXCEPCIONES_FECHA!$B$2:$B$201=$B601),0)),IFERROR(INDEX(EXCEPCIONES_FECHA!$D$2:$D$201,MATCH(1,(EXCEPCIONES_FECHA!$A$2:$A$201=$A601)*(EXCEPCIONES_FECHA!$B$2:$B$201=""),0)),IFERROR(INDEX(IF($I601="FIN",HISTORIAL_HORARIOS!$J$2:$J$201,HISTORIAL_HORARIOS!$F$2:$F$201),MATCH(1,(HISTORIAL_HORARIOS!$A$2:$A$201=$B601)*(HISTORIAL_HORARIOS!$C$2:$C$201&lt;=$A601)*(HISTORIAL_HORARIOS!$D$2:$D$201&gt;=$A601),0)),INDEX(IF($I601="FIN",PERSONAL!$J$2:$J$80,PERSONAL!$F$2:$F$80),MATCH($B601,PERSONAL!$A$2:$A$80,0)))))</f>
        <v/>
      </c>
      <c r="N601" s="53">
        <f t="array" ref="N601">IFERROR(INDEX(EXCEPCIONES_FECHA!$E$2:$E$201,MATCH(1,(EXCEPCIONES_FECHA!$A$2:$A$201=$A601)*(EXCEPCIONES_FECHA!$B$2:$B$201=$B601),0)),IFERROR(INDEX(EXCEPCIONES_FECHA!$E$2:$E$201,MATCH(1,(EXCEPCIONES_FECHA!$A$2:$A$201=$A601)*(EXCEPCIONES_FECHA!$B$2:$B$201=""),0)),IFERROR(INDEX(IF($I601="FIN",HISTORIAL_HORARIOS!$K$2:$K$201,HISTORIAL_HORARIOS!$G$2:$G$201),MATCH(1,(HISTORIAL_HORARIOS!$A$2:$A$201=$B601)*(HISTORIAL_HORARIOS!$C$2:$C$201&lt;=$A601)*(HISTORIAL_HORARIOS!$D$2:$D$201&gt;=$A601),0)),INDEX(IF($I601="FIN",PERSONAL!$K$2:$K$80,PERSONAL!$G$2:$G$80),MATCH($B601,PERSONAL!$A$2:$A$80,0)))))</f>
        <v/>
      </c>
      <c r="O601" s="53">
        <f t="array" ref="O601">IFERROR(INDEX(EXCEPCIONES_FECHA!$F$2:$F$201,MATCH(1,(EXCEPCIONES_FECHA!$A$2:$A$201=$A601)*(EXCEPCIONES_FECHA!$B$2:$B$201=$B601),0)),IFERROR(INDEX(EXCEPCIONES_FECHA!$F$2:$F$201,MATCH(1,(EXCEPCIONES_FECHA!$A$2:$A$201=$A601)*(EXCEPCIONES_FECHA!$B$2:$B$201=""),0)),IFERROR(INDEX(IF($I601="FIN",HISTORIAL_HORARIOS!$L$2:$L$201,HISTORIAL_HORARIOS!$H$2:$H$201),MATCH(1,(HISTORIAL_HORARIOS!$A$2:$A$201=$B601)*(HISTORIAL_HORARIOS!$C$2:$C$201&lt;=$A601)*(HISTORIAL_HORARIOS!$D$2:$D$201&gt;=$A601),0)),INDEX(IF($I601="FIN",PERSONAL!$L$2:$L$80,PERSONAL!$H$2:$H$80),MATCH($B601,PERSONAL!$A$2:$A$80,0)))))</f>
        <v/>
      </c>
    </row>
    <row r="602" ht="15" customHeight="1" s="58">
      <c r="A602" s="37" t="n"/>
      <c r="B602" s="38" t="n"/>
      <c r="C602" s="39" t="n"/>
      <c r="D602" s="39" t="n"/>
      <c r="E602" s="34">
        <f t="array" ref="E602">IF($B602="","",IFERROR(INDEX(PERSONAL!$B$2:$B$80,MATCH($B602,PERSONAL!$A$2:$A$80,0)),"NO EXISTE"))</f>
        <v/>
      </c>
      <c r="F602" s="52">
        <f t="array" ref="F602">IF($B602="","",IFERROR(INDEX(PERSONAL!$C$2:$C$80,MATCH($B602,PERSONAL!$A$2:$A$80,0)),""))</f>
        <v/>
      </c>
      <c r="G602" s="52">
        <f>IF($A602="","",CHOOSE(WEEKDAY($A602,2),"LUNES","MARTES","MIÉRCOLES","JUEVES","VIERNES","SÁBADO","DOMINGO"))</f>
        <v/>
      </c>
      <c r="H602" s="34">
        <f>IF($A602="","",CHOOSE(MONTH($A602),"ENERO","FEBRERO","MARZO","ABRIL","MAYO","JUNIO","JULIO","AGOSTO","SEPTIEMBRE","OCTUBRE","NOVIEMBRE","DICIEMBRE"))</f>
        <v/>
      </c>
      <c r="I602" s="34">
        <f>IF($A602="","",IF(OR($G602="SÁBADO",$G602="DOMINGO"),"FIN","LV"))</f>
        <v/>
      </c>
      <c r="J602" s="34">
        <f>IF(OR($A602="",$B602=""),"",IF($L602&lt;&gt;"",UPPER($L602),IF($C602="","FALTA",IFERROR(IF($C602&gt;=$O602,"ROJO FUERTE",IF($C602&gt;=$N602,"ROJO",IF($C602&gt;=$M602,"AMARILLO","VERDE"))),"REVISAR"))))</f>
        <v/>
      </c>
      <c r="K602" s="36">
        <f>IF(OR($C602="",$D602=""),"",IF($D602&gt;=$C602,($D602-$C602)*24,(1-$C602+$D602)*24))</f>
        <v/>
      </c>
      <c r="L602" s="34" t="n"/>
      <c r="M602" s="53">
        <f t="array" ref="M602">IFERROR(INDEX(EXCEPCIONES_FECHA!$D$2:$D$201,MATCH(1,(EXCEPCIONES_FECHA!$A$2:$A$201=$A602)*(EXCEPCIONES_FECHA!$B$2:$B$201=$B602),0)),IFERROR(INDEX(EXCEPCIONES_FECHA!$D$2:$D$201,MATCH(1,(EXCEPCIONES_FECHA!$A$2:$A$201=$A602)*(EXCEPCIONES_FECHA!$B$2:$B$201=""),0)),IFERROR(INDEX(IF($I602="FIN",HISTORIAL_HORARIOS!$J$2:$J$201,HISTORIAL_HORARIOS!$F$2:$F$201),MATCH(1,(HISTORIAL_HORARIOS!$A$2:$A$201=$B602)*(HISTORIAL_HORARIOS!$C$2:$C$201&lt;=$A602)*(HISTORIAL_HORARIOS!$D$2:$D$201&gt;=$A602),0)),INDEX(IF($I602="FIN",PERSONAL!$J$2:$J$80,PERSONAL!$F$2:$F$80),MATCH($B602,PERSONAL!$A$2:$A$80,0)))))</f>
        <v/>
      </c>
      <c r="N602" s="53">
        <f t="array" ref="N602">IFERROR(INDEX(EXCEPCIONES_FECHA!$E$2:$E$201,MATCH(1,(EXCEPCIONES_FECHA!$A$2:$A$201=$A602)*(EXCEPCIONES_FECHA!$B$2:$B$201=$B602),0)),IFERROR(INDEX(EXCEPCIONES_FECHA!$E$2:$E$201,MATCH(1,(EXCEPCIONES_FECHA!$A$2:$A$201=$A602)*(EXCEPCIONES_FECHA!$B$2:$B$201=""),0)),IFERROR(INDEX(IF($I602="FIN",HISTORIAL_HORARIOS!$K$2:$K$201,HISTORIAL_HORARIOS!$G$2:$G$201),MATCH(1,(HISTORIAL_HORARIOS!$A$2:$A$201=$B602)*(HISTORIAL_HORARIOS!$C$2:$C$201&lt;=$A602)*(HISTORIAL_HORARIOS!$D$2:$D$201&gt;=$A602),0)),INDEX(IF($I602="FIN",PERSONAL!$K$2:$K$80,PERSONAL!$G$2:$G$80),MATCH($B602,PERSONAL!$A$2:$A$80,0)))))</f>
        <v/>
      </c>
      <c r="O602" s="53">
        <f t="array" ref="O602">IFERROR(INDEX(EXCEPCIONES_FECHA!$F$2:$F$201,MATCH(1,(EXCEPCIONES_FECHA!$A$2:$A$201=$A602)*(EXCEPCIONES_FECHA!$B$2:$B$201=$B602),0)),IFERROR(INDEX(EXCEPCIONES_FECHA!$F$2:$F$201,MATCH(1,(EXCEPCIONES_FECHA!$A$2:$A$201=$A602)*(EXCEPCIONES_FECHA!$B$2:$B$201=""),0)),IFERROR(INDEX(IF($I602="FIN",HISTORIAL_HORARIOS!$L$2:$L$201,HISTORIAL_HORARIOS!$H$2:$H$201),MATCH(1,(HISTORIAL_HORARIOS!$A$2:$A$201=$B602)*(HISTORIAL_HORARIOS!$C$2:$C$201&lt;=$A602)*(HISTORIAL_HORARIOS!$D$2:$D$201&gt;=$A602),0)),INDEX(IF($I602="FIN",PERSONAL!$L$2:$L$80,PERSONAL!$H$2:$H$80),MATCH($B602,PERSONAL!$A$2:$A$80,0)))))</f>
        <v/>
      </c>
    </row>
    <row r="603" ht="15" customHeight="1" s="58">
      <c r="A603" s="37" t="n"/>
      <c r="B603" s="38" t="n"/>
      <c r="C603" s="39" t="n"/>
      <c r="D603" s="39" t="n"/>
      <c r="E603" s="34">
        <f t="array" ref="E603">IF($B603="","",IFERROR(INDEX(PERSONAL!$B$2:$B$80,MATCH($B603,PERSONAL!$A$2:$A$80,0)),"NO EXISTE"))</f>
        <v/>
      </c>
      <c r="F603" s="52">
        <f t="array" ref="F603">IF($B603="","",IFERROR(INDEX(PERSONAL!$C$2:$C$80,MATCH($B603,PERSONAL!$A$2:$A$80,0)),""))</f>
        <v/>
      </c>
      <c r="G603" s="52">
        <f>IF($A603="","",CHOOSE(WEEKDAY($A603,2),"LUNES","MARTES","MIÉRCOLES","JUEVES","VIERNES","SÁBADO","DOMINGO"))</f>
        <v/>
      </c>
      <c r="H603" s="34">
        <f>IF($A603="","",CHOOSE(MONTH($A603),"ENERO","FEBRERO","MARZO","ABRIL","MAYO","JUNIO","JULIO","AGOSTO","SEPTIEMBRE","OCTUBRE","NOVIEMBRE","DICIEMBRE"))</f>
        <v/>
      </c>
      <c r="I603" s="34">
        <f>IF($A603="","",IF(OR($G603="SÁBADO",$G603="DOMINGO"),"FIN","LV"))</f>
        <v/>
      </c>
      <c r="J603" s="34">
        <f>IF(OR($A603="",$B603=""),"",IF($L603&lt;&gt;"",UPPER($L603),IF($C603="","FALTA",IFERROR(IF($C603&gt;=$O603,"ROJO FUERTE",IF($C603&gt;=$N603,"ROJO",IF($C603&gt;=$M603,"AMARILLO","VERDE"))),"REVISAR"))))</f>
        <v/>
      </c>
      <c r="K603" s="36">
        <f>IF(OR($C603="",$D603=""),"",IF($D603&gt;=$C603,($D603-$C603)*24,(1-$C603+$D603)*24))</f>
        <v/>
      </c>
      <c r="L603" s="34" t="n"/>
      <c r="M603" s="53">
        <f t="array" ref="M603">IFERROR(INDEX(EXCEPCIONES_FECHA!$D$2:$D$201,MATCH(1,(EXCEPCIONES_FECHA!$A$2:$A$201=$A603)*(EXCEPCIONES_FECHA!$B$2:$B$201=$B603),0)),IFERROR(INDEX(EXCEPCIONES_FECHA!$D$2:$D$201,MATCH(1,(EXCEPCIONES_FECHA!$A$2:$A$201=$A603)*(EXCEPCIONES_FECHA!$B$2:$B$201=""),0)),IFERROR(INDEX(IF($I603="FIN",HISTORIAL_HORARIOS!$J$2:$J$201,HISTORIAL_HORARIOS!$F$2:$F$201),MATCH(1,(HISTORIAL_HORARIOS!$A$2:$A$201=$B603)*(HISTORIAL_HORARIOS!$C$2:$C$201&lt;=$A603)*(HISTORIAL_HORARIOS!$D$2:$D$201&gt;=$A603),0)),INDEX(IF($I603="FIN",PERSONAL!$J$2:$J$80,PERSONAL!$F$2:$F$80),MATCH($B603,PERSONAL!$A$2:$A$80,0)))))</f>
        <v/>
      </c>
      <c r="N603" s="53">
        <f t="array" ref="N603">IFERROR(INDEX(EXCEPCIONES_FECHA!$E$2:$E$201,MATCH(1,(EXCEPCIONES_FECHA!$A$2:$A$201=$A603)*(EXCEPCIONES_FECHA!$B$2:$B$201=$B603),0)),IFERROR(INDEX(EXCEPCIONES_FECHA!$E$2:$E$201,MATCH(1,(EXCEPCIONES_FECHA!$A$2:$A$201=$A603)*(EXCEPCIONES_FECHA!$B$2:$B$201=""),0)),IFERROR(INDEX(IF($I603="FIN",HISTORIAL_HORARIOS!$K$2:$K$201,HISTORIAL_HORARIOS!$G$2:$G$201),MATCH(1,(HISTORIAL_HORARIOS!$A$2:$A$201=$B603)*(HISTORIAL_HORARIOS!$C$2:$C$201&lt;=$A603)*(HISTORIAL_HORARIOS!$D$2:$D$201&gt;=$A603),0)),INDEX(IF($I603="FIN",PERSONAL!$K$2:$K$80,PERSONAL!$G$2:$G$80),MATCH($B603,PERSONAL!$A$2:$A$80,0)))))</f>
        <v/>
      </c>
      <c r="O603" s="53">
        <f t="array" ref="O603">IFERROR(INDEX(EXCEPCIONES_FECHA!$F$2:$F$201,MATCH(1,(EXCEPCIONES_FECHA!$A$2:$A$201=$A603)*(EXCEPCIONES_FECHA!$B$2:$B$201=$B603),0)),IFERROR(INDEX(EXCEPCIONES_FECHA!$F$2:$F$201,MATCH(1,(EXCEPCIONES_FECHA!$A$2:$A$201=$A603)*(EXCEPCIONES_FECHA!$B$2:$B$201=""),0)),IFERROR(INDEX(IF($I603="FIN",HISTORIAL_HORARIOS!$L$2:$L$201,HISTORIAL_HORARIOS!$H$2:$H$201),MATCH(1,(HISTORIAL_HORARIOS!$A$2:$A$201=$B603)*(HISTORIAL_HORARIOS!$C$2:$C$201&lt;=$A603)*(HISTORIAL_HORARIOS!$D$2:$D$201&gt;=$A603),0)),INDEX(IF($I603="FIN",PERSONAL!$L$2:$L$80,PERSONAL!$H$2:$H$80),MATCH($B603,PERSONAL!$A$2:$A$80,0)))))</f>
        <v/>
      </c>
    </row>
    <row r="604" ht="15" customHeight="1" s="58">
      <c r="A604" s="37" t="n"/>
      <c r="B604" s="38" t="n"/>
      <c r="C604" s="39" t="n"/>
      <c r="D604" s="39" t="n"/>
      <c r="E604" s="34">
        <f t="array" ref="E604">IF($B604="","",IFERROR(INDEX(PERSONAL!$B$2:$B$80,MATCH($B604,PERSONAL!$A$2:$A$80,0)),"NO EXISTE"))</f>
        <v/>
      </c>
      <c r="F604" s="52">
        <f t="array" ref="F604">IF($B604="","",IFERROR(INDEX(PERSONAL!$C$2:$C$80,MATCH($B604,PERSONAL!$A$2:$A$80,0)),""))</f>
        <v/>
      </c>
      <c r="G604" s="52">
        <f>IF($A604="","",CHOOSE(WEEKDAY($A604,2),"LUNES","MARTES","MIÉRCOLES","JUEVES","VIERNES","SÁBADO","DOMINGO"))</f>
        <v/>
      </c>
      <c r="H604" s="34">
        <f>IF($A604="","",CHOOSE(MONTH($A604),"ENERO","FEBRERO","MARZO","ABRIL","MAYO","JUNIO","JULIO","AGOSTO","SEPTIEMBRE","OCTUBRE","NOVIEMBRE","DICIEMBRE"))</f>
        <v/>
      </c>
      <c r="I604" s="34">
        <f>IF($A604="","",IF(OR($G604="SÁBADO",$G604="DOMINGO"),"FIN","LV"))</f>
        <v/>
      </c>
      <c r="J604" s="34">
        <f>IF(OR($A604="",$B604=""),"",IF($L604&lt;&gt;"",UPPER($L604),IF($C604="","FALTA",IFERROR(IF($C604&gt;=$O604,"ROJO FUERTE",IF($C604&gt;=$N604,"ROJO",IF($C604&gt;=$M604,"AMARILLO","VERDE"))),"REVISAR"))))</f>
        <v/>
      </c>
      <c r="K604" s="36">
        <f>IF(OR($C604="",$D604=""),"",IF($D604&gt;=$C604,($D604-$C604)*24,(1-$C604+$D604)*24))</f>
        <v/>
      </c>
      <c r="L604" s="34" t="n"/>
      <c r="M604" s="53">
        <f t="array" ref="M604">IFERROR(INDEX(EXCEPCIONES_FECHA!$D$2:$D$201,MATCH(1,(EXCEPCIONES_FECHA!$A$2:$A$201=$A604)*(EXCEPCIONES_FECHA!$B$2:$B$201=$B604),0)),IFERROR(INDEX(EXCEPCIONES_FECHA!$D$2:$D$201,MATCH(1,(EXCEPCIONES_FECHA!$A$2:$A$201=$A604)*(EXCEPCIONES_FECHA!$B$2:$B$201=""),0)),IFERROR(INDEX(IF($I604="FIN",HISTORIAL_HORARIOS!$J$2:$J$201,HISTORIAL_HORARIOS!$F$2:$F$201),MATCH(1,(HISTORIAL_HORARIOS!$A$2:$A$201=$B604)*(HISTORIAL_HORARIOS!$C$2:$C$201&lt;=$A604)*(HISTORIAL_HORARIOS!$D$2:$D$201&gt;=$A604),0)),INDEX(IF($I604="FIN",PERSONAL!$J$2:$J$80,PERSONAL!$F$2:$F$80),MATCH($B604,PERSONAL!$A$2:$A$80,0)))))</f>
        <v/>
      </c>
      <c r="N604" s="53">
        <f t="array" ref="N604">IFERROR(INDEX(EXCEPCIONES_FECHA!$E$2:$E$201,MATCH(1,(EXCEPCIONES_FECHA!$A$2:$A$201=$A604)*(EXCEPCIONES_FECHA!$B$2:$B$201=$B604),0)),IFERROR(INDEX(EXCEPCIONES_FECHA!$E$2:$E$201,MATCH(1,(EXCEPCIONES_FECHA!$A$2:$A$201=$A604)*(EXCEPCIONES_FECHA!$B$2:$B$201=""),0)),IFERROR(INDEX(IF($I604="FIN",HISTORIAL_HORARIOS!$K$2:$K$201,HISTORIAL_HORARIOS!$G$2:$G$201),MATCH(1,(HISTORIAL_HORARIOS!$A$2:$A$201=$B604)*(HISTORIAL_HORARIOS!$C$2:$C$201&lt;=$A604)*(HISTORIAL_HORARIOS!$D$2:$D$201&gt;=$A604),0)),INDEX(IF($I604="FIN",PERSONAL!$K$2:$K$80,PERSONAL!$G$2:$G$80),MATCH($B604,PERSONAL!$A$2:$A$80,0)))))</f>
        <v/>
      </c>
      <c r="O604" s="53">
        <f t="array" ref="O604">IFERROR(INDEX(EXCEPCIONES_FECHA!$F$2:$F$201,MATCH(1,(EXCEPCIONES_FECHA!$A$2:$A$201=$A604)*(EXCEPCIONES_FECHA!$B$2:$B$201=$B604),0)),IFERROR(INDEX(EXCEPCIONES_FECHA!$F$2:$F$201,MATCH(1,(EXCEPCIONES_FECHA!$A$2:$A$201=$A604)*(EXCEPCIONES_FECHA!$B$2:$B$201=""),0)),IFERROR(INDEX(IF($I604="FIN",HISTORIAL_HORARIOS!$L$2:$L$201,HISTORIAL_HORARIOS!$H$2:$H$201),MATCH(1,(HISTORIAL_HORARIOS!$A$2:$A$201=$B604)*(HISTORIAL_HORARIOS!$C$2:$C$201&lt;=$A604)*(HISTORIAL_HORARIOS!$D$2:$D$201&gt;=$A604),0)),INDEX(IF($I604="FIN",PERSONAL!$L$2:$L$80,PERSONAL!$H$2:$H$80),MATCH($B604,PERSONAL!$A$2:$A$80,0)))))</f>
        <v/>
      </c>
    </row>
    <row r="605" ht="15" customHeight="1" s="58">
      <c r="A605" s="37" t="n"/>
      <c r="B605" s="38" t="n"/>
      <c r="C605" s="39" t="n"/>
      <c r="D605" s="39" t="n"/>
      <c r="E605" s="34">
        <f t="array" ref="E605">IF($B605="","",IFERROR(INDEX(PERSONAL!$B$2:$B$80,MATCH($B605,PERSONAL!$A$2:$A$80,0)),"NO EXISTE"))</f>
        <v/>
      </c>
      <c r="F605" s="52">
        <f t="array" ref="F605">IF($B605="","",IFERROR(INDEX(PERSONAL!$C$2:$C$80,MATCH($B605,PERSONAL!$A$2:$A$80,0)),""))</f>
        <v/>
      </c>
      <c r="G605" s="52">
        <f>IF($A605="","",CHOOSE(WEEKDAY($A605,2),"LUNES","MARTES","MIÉRCOLES","JUEVES","VIERNES","SÁBADO","DOMINGO"))</f>
        <v/>
      </c>
      <c r="H605" s="34">
        <f>IF($A605="","",CHOOSE(MONTH($A605),"ENERO","FEBRERO","MARZO","ABRIL","MAYO","JUNIO","JULIO","AGOSTO","SEPTIEMBRE","OCTUBRE","NOVIEMBRE","DICIEMBRE"))</f>
        <v/>
      </c>
      <c r="I605" s="34">
        <f>IF($A605="","",IF(OR($G605="SÁBADO",$G605="DOMINGO"),"FIN","LV"))</f>
        <v/>
      </c>
      <c r="J605" s="34">
        <f>IF(OR($A605="",$B605=""),"",IF($L605&lt;&gt;"",UPPER($L605),IF($C605="","FALTA",IFERROR(IF($C605&gt;=$O605,"ROJO FUERTE",IF($C605&gt;=$N605,"ROJO",IF($C605&gt;=$M605,"AMARILLO","VERDE"))),"REVISAR"))))</f>
        <v/>
      </c>
      <c r="K605" s="36">
        <f>IF(OR($C605="",$D605=""),"",IF($D605&gt;=$C605,($D605-$C605)*24,(1-$C605+$D605)*24))</f>
        <v/>
      </c>
      <c r="L605" s="34" t="n"/>
      <c r="M605" s="53">
        <f t="array" ref="M605">IFERROR(INDEX(EXCEPCIONES_FECHA!$D$2:$D$201,MATCH(1,(EXCEPCIONES_FECHA!$A$2:$A$201=$A605)*(EXCEPCIONES_FECHA!$B$2:$B$201=$B605),0)),IFERROR(INDEX(EXCEPCIONES_FECHA!$D$2:$D$201,MATCH(1,(EXCEPCIONES_FECHA!$A$2:$A$201=$A605)*(EXCEPCIONES_FECHA!$B$2:$B$201=""),0)),IFERROR(INDEX(IF($I605="FIN",HISTORIAL_HORARIOS!$J$2:$J$201,HISTORIAL_HORARIOS!$F$2:$F$201),MATCH(1,(HISTORIAL_HORARIOS!$A$2:$A$201=$B605)*(HISTORIAL_HORARIOS!$C$2:$C$201&lt;=$A605)*(HISTORIAL_HORARIOS!$D$2:$D$201&gt;=$A605),0)),INDEX(IF($I605="FIN",PERSONAL!$J$2:$J$80,PERSONAL!$F$2:$F$80),MATCH($B605,PERSONAL!$A$2:$A$80,0)))))</f>
        <v/>
      </c>
      <c r="N605" s="53">
        <f t="array" ref="N605">IFERROR(INDEX(EXCEPCIONES_FECHA!$E$2:$E$201,MATCH(1,(EXCEPCIONES_FECHA!$A$2:$A$201=$A605)*(EXCEPCIONES_FECHA!$B$2:$B$201=$B605),0)),IFERROR(INDEX(EXCEPCIONES_FECHA!$E$2:$E$201,MATCH(1,(EXCEPCIONES_FECHA!$A$2:$A$201=$A605)*(EXCEPCIONES_FECHA!$B$2:$B$201=""),0)),IFERROR(INDEX(IF($I605="FIN",HISTORIAL_HORARIOS!$K$2:$K$201,HISTORIAL_HORARIOS!$G$2:$G$201),MATCH(1,(HISTORIAL_HORARIOS!$A$2:$A$201=$B605)*(HISTORIAL_HORARIOS!$C$2:$C$201&lt;=$A605)*(HISTORIAL_HORARIOS!$D$2:$D$201&gt;=$A605),0)),INDEX(IF($I605="FIN",PERSONAL!$K$2:$K$80,PERSONAL!$G$2:$G$80),MATCH($B605,PERSONAL!$A$2:$A$80,0)))))</f>
        <v/>
      </c>
      <c r="O605" s="53">
        <f t="array" ref="O605">IFERROR(INDEX(EXCEPCIONES_FECHA!$F$2:$F$201,MATCH(1,(EXCEPCIONES_FECHA!$A$2:$A$201=$A605)*(EXCEPCIONES_FECHA!$B$2:$B$201=$B605),0)),IFERROR(INDEX(EXCEPCIONES_FECHA!$F$2:$F$201,MATCH(1,(EXCEPCIONES_FECHA!$A$2:$A$201=$A605)*(EXCEPCIONES_FECHA!$B$2:$B$201=""),0)),IFERROR(INDEX(IF($I605="FIN",HISTORIAL_HORARIOS!$L$2:$L$201,HISTORIAL_HORARIOS!$H$2:$H$201),MATCH(1,(HISTORIAL_HORARIOS!$A$2:$A$201=$B605)*(HISTORIAL_HORARIOS!$C$2:$C$201&lt;=$A605)*(HISTORIAL_HORARIOS!$D$2:$D$201&gt;=$A605),0)),INDEX(IF($I605="FIN",PERSONAL!$L$2:$L$80,PERSONAL!$H$2:$H$80),MATCH($B605,PERSONAL!$A$2:$A$80,0)))))</f>
        <v/>
      </c>
    </row>
    <row r="606" ht="15" customHeight="1" s="58">
      <c r="A606" s="37" t="n"/>
      <c r="B606" s="38" t="n"/>
      <c r="C606" s="39" t="n"/>
      <c r="D606" s="39" t="n"/>
      <c r="E606" s="34">
        <f t="array" ref="E606">IF($B606="","",IFERROR(INDEX(PERSONAL!$B$2:$B$80,MATCH($B606,PERSONAL!$A$2:$A$80,0)),"NO EXISTE"))</f>
        <v/>
      </c>
      <c r="F606" s="52">
        <f t="array" ref="F606">IF($B606="","",IFERROR(INDEX(PERSONAL!$C$2:$C$80,MATCH($B606,PERSONAL!$A$2:$A$80,0)),""))</f>
        <v/>
      </c>
      <c r="G606" s="52">
        <f>IF($A606="","",CHOOSE(WEEKDAY($A606,2),"LUNES","MARTES","MIÉRCOLES","JUEVES","VIERNES","SÁBADO","DOMINGO"))</f>
        <v/>
      </c>
      <c r="H606" s="34">
        <f>IF($A606="","",CHOOSE(MONTH($A606),"ENERO","FEBRERO","MARZO","ABRIL","MAYO","JUNIO","JULIO","AGOSTO","SEPTIEMBRE","OCTUBRE","NOVIEMBRE","DICIEMBRE"))</f>
        <v/>
      </c>
      <c r="I606" s="34">
        <f>IF($A606="","",IF(OR($G606="SÁBADO",$G606="DOMINGO"),"FIN","LV"))</f>
        <v/>
      </c>
      <c r="J606" s="34">
        <f>IF(OR($A606="",$B606=""),"",IF($L606&lt;&gt;"",UPPER($L606),IF($C606="","FALTA",IFERROR(IF($C606&gt;=$O606,"ROJO FUERTE",IF($C606&gt;=$N606,"ROJO",IF($C606&gt;=$M606,"AMARILLO","VERDE"))),"REVISAR"))))</f>
        <v/>
      </c>
      <c r="K606" s="36">
        <f>IF(OR($C606="",$D606=""),"",IF($D606&gt;=$C606,($D606-$C606)*24,(1-$C606+$D606)*24))</f>
        <v/>
      </c>
      <c r="L606" s="34" t="n"/>
      <c r="M606" s="53">
        <f t="array" ref="M606">IFERROR(INDEX(EXCEPCIONES_FECHA!$D$2:$D$201,MATCH(1,(EXCEPCIONES_FECHA!$A$2:$A$201=$A606)*(EXCEPCIONES_FECHA!$B$2:$B$201=$B606),0)),IFERROR(INDEX(EXCEPCIONES_FECHA!$D$2:$D$201,MATCH(1,(EXCEPCIONES_FECHA!$A$2:$A$201=$A606)*(EXCEPCIONES_FECHA!$B$2:$B$201=""),0)),IFERROR(INDEX(IF($I606="FIN",HISTORIAL_HORARIOS!$J$2:$J$201,HISTORIAL_HORARIOS!$F$2:$F$201),MATCH(1,(HISTORIAL_HORARIOS!$A$2:$A$201=$B606)*(HISTORIAL_HORARIOS!$C$2:$C$201&lt;=$A606)*(HISTORIAL_HORARIOS!$D$2:$D$201&gt;=$A606),0)),INDEX(IF($I606="FIN",PERSONAL!$J$2:$J$80,PERSONAL!$F$2:$F$80),MATCH($B606,PERSONAL!$A$2:$A$80,0)))))</f>
        <v/>
      </c>
      <c r="N606" s="53">
        <f t="array" ref="N606">IFERROR(INDEX(EXCEPCIONES_FECHA!$E$2:$E$201,MATCH(1,(EXCEPCIONES_FECHA!$A$2:$A$201=$A606)*(EXCEPCIONES_FECHA!$B$2:$B$201=$B606),0)),IFERROR(INDEX(EXCEPCIONES_FECHA!$E$2:$E$201,MATCH(1,(EXCEPCIONES_FECHA!$A$2:$A$201=$A606)*(EXCEPCIONES_FECHA!$B$2:$B$201=""),0)),IFERROR(INDEX(IF($I606="FIN",HISTORIAL_HORARIOS!$K$2:$K$201,HISTORIAL_HORARIOS!$G$2:$G$201),MATCH(1,(HISTORIAL_HORARIOS!$A$2:$A$201=$B606)*(HISTORIAL_HORARIOS!$C$2:$C$201&lt;=$A606)*(HISTORIAL_HORARIOS!$D$2:$D$201&gt;=$A606),0)),INDEX(IF($I606="FIN",PERSONAL!$K$2:$K$80,PERSONAL!$G$2:$G$80),MATCH($B606,PERSONAL!$A$2:$A$80,0)))))</f>
        <v/>
      </c>
      <c r="O606" s="53">
        <f t="array" ref="O606">IFERROR(INDEX(EXCEPCIONES_FECHA!$F$2:$F$201,MATCH(1,(EXCEPCIONES_FECHA!$A$2:$A$201=$A606)*(EXCEPCIONES_FECHA!$B$2:$B$201=$B606),0)),IFERROR(INDEX(EXCEPCIONES_FECHA!$F$2:$F$201,MATCH(1,(EXCEPCIONES_FECHA!$A$2:$A$201=$A606)*(EXCEPCIONES_FECHA!$B$2:$B$201=""),0)),IFERROR(INDEX(IF($I606="FIN",HISTORIAL_HORARIOS!$L$2:$L$201,HISTORIAL_HORARIOS!$H$2:$H$201),MATCH(1,(HISTORIAL_HORARIOS!$A$2:$A$201=$B606)*(HISTORIAL_HORARIOS!$C$2:$C$201&lt;=$A606)*(HISTORIAL_HORARIOS!$D$2:$D$201&gt;=$A606),0)),INDEX(IF($I606="FIN",PERSONAL!$L$2:$L$80,PERSONAL!$H$2:$H$80),MATCH($B606,PERSONAL!$A$2:$A$80,0)))))</f>
        <v/>
      </c>
    </row>
    <row r="607" ht="15" customHeight="1" s="58">
      <c r="A607" s="37" t="n"/>
      <c r="B607" s="38" t="n"/>
      <c r="C607" s="39" t="n"/>
      <c r="D607" s="39" t="n"/>
      <c r="E607" s="34">
        <f t="array" ref="E607">IF($B607="","",IFERROR(INDEX(PERSONAL!$B$2:$B$80,MATCH($B607,PERSONAL!$A$2:$A$80,0)),"NO EXISTE"))</f>
        <v/>
      </c>
      <c r="F607" s="52">
        <f t="array" ref="F607">IF($B607="","",IFERROR(INDEX(PERSONAL!$C$2:$C$80,MATCH($B607,PERSONAL!$A$2:$A$80,0)),""))</f>
        <v/>
      </c>
      <c r="G607" s="52">
        <f>IF($A607="","",CHOOSE(WEEKDAY($A607,2),"LUNES","MARTES","MIÉRCOLES","JUEVES","VIERNES","SÁBADO","DOMINGO"))</f>
        <v/>
      </c>
      <c r="H607" s="34">
        <f>IF($A607="","",CHOOSE(MONTH($A607),"ENERO","FEBRERO","MARZO","ABRIL","MAYO","JUNIO","JULIO","AGOSTO","SEPTIEMBRE","OCTUBRE","NOVIEMBRE","DICIEMBRE"))</f>
        <v/>
      </c>
      <c r="I607" s="34">
        <f>IF($A607="","",IF(OR($G607="SÁBADO",$G607="DOMINGO"),"FIN","LV"))</f>
        <v/>
      </c>
      <c r="J607" s="34">
        <f>IF(OR($A607="",$B607=""),"",IF($L607&lt;&gt;"",UPPER($L607),IF($C607="","FALTA",IFERROR(IF($C607&gt;=$O607,"ROJO FUERTE",IF($C607&gt;=$N607,"ROJO",IF($C607&gt;=$M607,"AMARILLO","VERDE"))),"REVISAR"))))</f>
        <v/>
      </c>
      <c r="K607" s="36">
        <f>IF(OR($C607="",$D607=""),"",IF($D607&gt;=$C607,($D607-$C607)*24,(1-$C607+$D607)*24))</f>
        <v/>
      </c>
      <c r="L607" s="34" t="n"/>
      <c r="M607" s="53">
        <f t="array" ref="M607">IFERROR(INDEX(EXCEPCIONES_FECHA!$D$2:$D$201,MATCH(1,(EXCEPCIONES_FECHA!$A$2:$A$201=$A607)*(EXCEPCIONES_FECHA!$B$2:$B$201=$B607),0)),IFERROR(INDEX(EXCEPCIONES_FECHA!$D$2:$D$201,MATCH(1,(EXCEPCIONES_FECHA!$A$2:$A$201=$A607)*(EXCEPCIONES_FECHA!$B$2:$B$201=""),0)),IFERROR(INDEX(IF($I607="FIN",HISTORIAL_HORARIOS!$J$2:$J$201,HISTORIAL_HORARIOS!$F$2:$F$201),MATCH(1,(HISTORIAL_HORARIOS!$A$2:$A$201=$B607)*(HISTORIAL_HORARIOS!$C$2:$C$201&lt;=$A607)*(HISTORIAL_HORARIOS!$D$2:$D$201&gt;=$A607),0)),INDEX(IF($I607="FIN",PERSONAL!$J$2:$J$80,PERSONAL!$F$2:$F$80),MATCH($B607,PERSONAL!$A$2:$A$80,0)))))</f>
        <v/>
      </c>
      <c r="N607" s="53">
        <f t="array" ref="N607">IFERROR(INDEX(EXCEPCIONES_FECHA!$E$2:$E$201,MATCH(1,(EXCEPCIONES_FECHA!$A$2:$A$201=$A607)*(EXCEPCIONES_FECHA!$B$2:$B$201=$B607),0)),IFERROR(INDEX(EXCEPCIONES_FECHA!$E$2:$E$201,MATCH(1,(EXCEPCIONES_FECHA!$A$2:$A$201=$A607)*(EXCEPCIONES_FECHA!$B$2:$B$201=""),0)),IFERROR(INDEX(IF($I607="FIN",HISTORIAL_HORARIOS!$K$2:$K$201,HISTORIAL_HORARIOS!$G$2:$G$201),MATCH(1,(HISTORIAL_HORARIOS!$A$2:$A$201=$B607)*(HISTORIAL_HORARIOS!$C$2:$C$201&lt;=$A607)*(HISTORIAL_HORARIOS!$D$2:$D$201&gt;=$A607),0)),INDEX(IF($I607="FIN",PERSONAL!$K$2:$K$80,PERSONAL!$G$2:$G$80),MATCH($B607,PERSONAL!$A$2:$A$80,0)))))</f>
        <v/>
      </c>
      <c r="O607" s="53">
        <f t="array" ref="O607">IFERROR(INDEX(EXCEPCIONES_FECHA!$F$2:$F$201,MATCH(1,(EXCEPCIONES_FECHA!$A$2:$A$201=$A607)*(EXCEPCIONES_FECHA!$B$2:$B$201=$B607),0)),IFERROR(INDEX(EXCEPCIONES_FECHA!$F$2:$F$201,MATCH(1,(EXCEPCIONES_FECHA!$A$2:$A$201=$A607)*(EXCEPCIONES_FECHA!$B$2:$B$201=""),0)),IFERROR(INDEX(IF($I607="FIN",HISTORIAL_HORARIOS!$L$2:$L$201,HISTORIAL_HORARIOS!$H$2:$H$201),MATCH(1,(HISTORIAL_HORARIOS!$A$2:$A$201=$B607)*(HISTORIAL_HORARIOS!$C$2:$C$201&lt;=$A607)*(HISTORIAL_HORARIOS!$D$2:$D$201&gt;=$A607),0)),INDEX(IF($I607="FIN",PERSONAL!$L$2:$L$80,PERSONAL!$H$2:$H$80),MATCH($B607,PERSONAL!$A$2:$A$80,0)))))</f>
        <v/>
      </c>
    </row>
    <row r="608" ht="15" customHeight="1" s="58">
      <c r="A608" s="37" t="n"/>
      <c r="B608" s="38" t="n"/>
      <c r="C608" s="39" t="n"/>
      <c r="D608" s="39" t="n"/>
      <c r="E608" s="34">
        <f t="array" ref="E608">IF($B608="","",IFERROR(INDEX(PERSONAL!$B$2:$B$80,MATCH($B608,PERSONAL!$A$2:$A$80,0)),"NO EXISTE"))</f>
        <v/>
      </c>
      <c r="F608" s="52">
        <f t="array" ref="F608">IF($B608="","",IFERROR(INDEX(PERSONAL!$C$2:$C$80,MATCH($B608,PERSONAL!$A$2:$A$80,0)),""))</f>
        <v/>
      </c>
      <c r="G608" s="52">
        <f>IF($A608="","",CHOOSE(WEEKDAY($A608,2),"LUNES","MARTES","MIÉRCOLES","JUEVES","VIERNES","SÁBADO","DOMINGO"))</f>
        <v/>
      </c>
      <c r="H608" s="34">
        <f>IF($A608="","",CHOOSE(MONTH($A608),"ENERO","FEBRERO","MARZO","ABRIL","MAYO","JUNIO","JULIO","AGOSTO","SEPTIEMBRE","OCTUBRE","NOVIEMBRE","DICIEMBRE"))</f>
        <v/>
      </c>
      <c r="I608" s="34">
        <f>IF($A608="","",IF(OR($G608="SÁBADO",$G608="DOMINGO"),"FIN","LV"))</f>
        <v/>
      </c>
      <c r="J608" s="34">
        <f>IF(OR($A608="",$B608=""),"",IF($L608&lt;&gt;"",UPPER($L608),IF($C608="","FALTA",IFERROR(IF($C608&gt;=$O608,"ROJO FUERTE",IF($C608&gt;=$N608,"ROJO",IF($C608&gt;=$M608,"AMARILLO","VERDE"))),"REVISAR"))))</f>
        <v/>
      </c>
      <c r="K608" s="36">
        <f>IF(OR($C608="",$D608=""),"",IF($D608&gt;=$C608,($D608-$C608)*24,(1-$C608+$D608)*24))</f>
        <v/>
      </c>
      <c r="L608" s="34" t="n"/>
      <c r="M608" s="53">
        <f t="array" ref="M608">IFERROR(INDEX(EXCEPCIONES_FECHA!$D$2:$D$201,MATCH(1,(EXCEPCIONES_FECHA!$A$2:$A$201=$A608)*(EXCEPCIONES_FECHA!$B$2:$B$201=$B608),0)),IFERROR(INDEX(EXCEPCIONES_FECHA!$D$2:$D$201,MATCH(1,(EXCEPCIONES_FECHA!$A$2:$A$201=$A608)*(EXCEPCIONES_FECHA!$B$2:$B$201=""),0)),IFERROR(INDEX(IF($I608="FIN",HISTORIAL_HORARIOS!$J$2:$J$201,HISTORIAL_HORARIOS!$F$2:$F$201),MATCH(1,(HISTORIAL_HORARIOS!$A$2:$A$201=$B608)*(HISTORIAL_HORARIOS!$C$2:$C$201&lt;=$A608)*(HISTORIAL_HORARIOS!$D$2:$D$201&gt;=$A608),0)),INDEX(IF($I608="FIN",PERSONAL!$J$2:$J$80,PERSONAL!$F$2:$F$80),MATCH($B608,PERSONAL!$A$2:$A$80,0)))))</f>
        <v/>
      </c>
      <c r="N608" s="53">
        <f t="array" ref="N608">IFERROR(INDEX(EXCEPCIONES_FECHA!$E$2:$E$201,MATCH(1,(EXCEPCIONES_FECHA!$A$2:$A$201=$A608)*(EXCEPCIONES_FECHA!$B$2:$B$201=$B608),0)),IFERROR(INDEX(EXCEPCIONES_FECHA!$E$2:$E$201,MATCH(1,(EXCEPCIONES_FECHA!$A$2:$A$201=$A608)*(EXCEPCIONES_FECHA!$B$2:$B$201=""),0)),IFERROR(INDEX(IF($I608="FIN",HISTORIAL_HORARIOS!$K$2:$K$201,HISTORIAL_HORARIOS!$G$2:$G$201),MATCH(1,(HISTORIAL_HORARIOS!$A$2:$A$201=$B608)*(HISTORIAL_HORARIOS!$C$2:$C$201&lt;=$A608)*(HISTORIAL_HORARIOS!$D$2:$D$201&gt;=$A608),0)),INDEX(IF($I608="FIN",PERSONAL!$K$2:$K$80,PERSONAL!$G$2:$G$80),MATCH($B608,PERSONAL!$A$2:$A$80,0)))))</f>
        <v/>
      </c>
      <c r="O608" s="53">
        <f t="array" ref="O608">IFERROR(INDEX(EXCEPCIONES_FECHA!$F$2:$F$201,MATCH(1,(EXCEPCIONES_FECHA!$A$2:$A$201=$A608)*(EXCEPCIONES_FECHA!$B$2:$B$201=$B608),0)),IFERROR(INDEX(EXCEPCIONES_FECHA!$F$2:$F$201,MATCH(1,(EXCEPCIONES_FECHA!$A$2:$A$201=$A608)*(EXCEPCIONES_FECHA!$B$2:$B$201=""),0)),IFERROR(INDEX(IF($I608="FIN",HISTORIAL_HORARIOS!$L$2:$L$201,HISTORIAL_HORARIOS!$H$2:$H$201),MATCH(1,(HISTORIAL_HORARIOS!$A$2:$A$201=$B608)*(HISTORIAL_HORARIOS!$C$2:$C$201&lt;=$A608)*(HISTORIAL_HORARIOS!$D$2:$D$201&gt;=$A608),0)),INDEX(IF($I608="FIN",PERSONAL!$L$2:$L$80,PERSONAL!$H$2:$H$80),MATCH($B608,PERSONAL!$A$2:$A$80,0)))))</f>
        <v/>
      </c>
    </row>
    <row r="609" ht="15" customHeight="1" s="58">
      <c r="A609" s="37" t="n"/>
      <c r="B609" s="38" t="n"/>
      <c r="C609" s="39" t="n"/>
      <c r="D609" s="39" t="n"/>
      <c r="E609" s="34">
        <f t="array" ref="E609">IF($B609="","",IFERROR(INDEX(PERSONAL!$B$2:$B$80,MATCH($B609,PERSONAL!$A$2:$A$80,0)),"NO EXISTE"))</f>
        <v/>
      </c>
      <c r="F609" s="52">
        <f t="array" ref="F609">IF($B609="","",IFERROR(INDEX(PERSONAL!$C$2:$C$80,MATCH($B609,PERSONAL!$A$2:$A$80,0)),""))</f>
        <v/>
      </c>
      <c r="G609" s="52">
        <f>IF($A609="","",CHOOSE(WEEKDAY($A609,2),"LUNES","MARTES","MIÉRCOLES","JUEVES","VIERNES","SÁBADO","DOMINGO"))</f>
        <v/>
      </c>
      <c r="H609" s="34">
        <f>IF($A609="","",CHOOSE(MONTH($A609),"ENERO","FEBRERO","MARZO","ABRIL","MAYO","JUNIO","JULIO","AGOSTO","SEPTIEMBRE","OCTUBRE","NOVIEMBRE","DICIEMBRE"))</f>
        <v/>
      </c>
      <c r="I609" s="34">
        <f>IF($A609="","",IF(OR($G609="SÁBADO",$G609="DOMINGO"),"FIN","LV"))</f>
        <v/>
      </c>
      <c r="J609" s="34">
        <f>IF(OR($A609="",$B609=""),"",IF($L609&lt;&gt;"",UPPER($L609),IF($C609="","FALTA",IFERROR(IF($C609&gt;=$O609,"ROJO FUERTE",IF($C609&gt;=$N609,"ROJO",IF($C609&gt;=$M609,"AMARILLO","VERDE"))),"REVISAR"))))</f>
        <v/>
      </c>
      <c r="K609" s="36">
        <f>IF(OR($C609="",$D609=""),"",IF($D609&gt;=$C609,($D609-$C609)*24,(1-$C609+$D609)*24))</f>
        <v/>
      </c>
      <c r="L609" s="34" t="n"/>
      <c r="M609" s="53">
        <f t="array" ref="M609">IFERROR(INDEX(EXCEPCIONES_FECHA!$D$2:$D$201,MATCH(1,(EXCEPCIONES_FECHA!$A$2:$A$201=$A609)*(EXCEPCIONES_FECHA!$B$2:$B$201=$B609),0)),IFERROR(INDEX(EXCEPCIONES_FECHA!$D$2:$D$201,MATCH(1,(EXCEPCIONES_FECHA!$A$2:$A$201=$A609)*(EXCEPCIONES_FECHA!$B$2:$B$201=""),0)),IFERROR(INDEX(IF($I609="FIN",HISTORIAL_HORARIOS!$J$2:$J$201,HISTORIAL_HORARIOS!$F$2:$F$201),MATCH(1,(HISTORIAL_HORARIOS!$A$2:$A$201=$B609)*(HISTORIAL_HORARIOS!$C$2:$C$201&lt;=$A609)*(HISTORIAL_HORARIOS!$D$2:$D$201&gt;=$A609),0)),INDEX(IF($I609="FIN",PERSONAL!$J$2:$J$80,PERSONAL!$F$2:$F$80),MATCH($B609,PERSONAL!$A$2:$A$80,0)))))</f>
        <v/>
      </c>
      <c r="N609" s="53">
        <f t="array" ref="N609">IFERROR(INDEX(EXCEPCIONES_FECHA!$E$2:$E$201,MATCH(1,(EXCEPCIONES_FECHA!$A$2:$A$201=$A609)*(EXCEPCIONES_FECHA!$B$2:$B$201=$B609),0)),IFERROR(INDEX(EXCEPCIONES_FECHA!$E$2:$E$201,MATCH(1,(EXCEPCIONES_FECHA!$A$2:$A$201=$A609)*(EXCEPCIONES_FECHA!$B$2:$B$201=""),0)),IFERROR(INDEX(IF($I609="FIN",HISTORIAL_HORARIOS!$K$2:$K$201,HISTORIAL_HORARIOS!$G$2:$G$201),MATCH(1,(HISTORIAL_HORARIOS!$A$2:$A$201=$B609)*(HISTORIAL_HORARIOS!$C$2:$C$201&lt;=$A609)*(HISTORIAL_HORARIOS!$D$2:$D$201&gt;=$A609),0)),INDEX(IF($I609="FIN",PERSONAL!$K$2:$K$80,PERSONAL!$G$2:$G$80),MATCH($B609,PERSONAL!$A$2:$A$80,0)))))</f>
        <v/>
      </c>
      <c r="O609" s="53">
        <f t="array" ref="O609">IFERROR(INDEX(EXCEPCIONES_FECHA!$F$2:$F$201,MATCH(1,(EXCEPCIONES_FECHA!$A$2:$A$201=$A609)*(EXCEPCIONES_FECHA!$B$2:$B$201=$B609),0)),IFERROR(INDEX(EXCEPCIONES_FECHA!$F$2:$F$201,MATCH(1,(EXCEPCIONES_FECHA!$A$2:$A$201=$A609)*(EXCEPCIONES_FECHA!$B$2:$B$201=""),0)),IFERROR(INDEX(IF($I609="FIN",HISTORIAL_HORARIOS!$L$2:$L$201,HISTORIAL_HORARIOS!$H$2:$H$201),MATCH(1,(HISTORIAL_HORARIOS!$A$2:$A$201=$B609)*(HISTORIAL_HORARIOS!$C$2:$C$201&lt;=$A609)*(HISTORIAL_HORARIOS!$D$2:$D$201&gt;=$A609),0)),INDEX(IF($I609="FIN",PERSONAL!$L$2:$L$80,PERSONAL!$H$2:$H$80),MATCH($B609,PERSONAL!$A$2:$A$80,0)))))</f>
        <v/>
      </c>
    </row>
    <row r="610" ht="15" customHeight="1" s="58">
      <c r="A610" s="37" t="n"/>
      <c r="B610" s="38" t="n"/>
      <c r="C610" s="39" t="n"/>
      <c r="D610" s="39" t="n"/>
      <c r="E610" s="34">
        <f t="array" ref="E610">IF($B610="","",IFERROR(INDEX(PERSONAL!$B$2:$B$80,MATCH($B610,PERSONAL!$A$2:$A$80,0)),"NO EXISTE"))</f>
        <v/>
      </c>
      <c r="F610" s="52">
        <f t="array" ref="F610">IF($B610="","",IFERROR(INDEX(PERSONAL!$C$2:$C$80,MATCH($B610,PERSONAL!$A$2:$A$80,0)),""))</f>
        <v/>
      </c>
      <c r="G610" s="52">
        <f>IF($A610="","",CHOOSE(WEEKDAY($A610,2),"LUNES","MARTES","MIÉRCOLES","JUEVES","VIERNES","SÁBADO","DOMINGO"))</f>
        <v/>
      </c>
      <c r="H610" s="34">
        <f>IF($A610="","",CHOOSE(MONTH($A610),"ENERO","FEBRERO","MARZO","ABRIL","MAYO","JUNIO","JULIO","AGOSTO","SEPTIEMBRE","OCTUBRE","NOVIEMBRE","DICIEMBRE"))</f>
        <v/>
      </c>
      <c r="I610" s="34">
        <f>IF($A610="","",IF(OR($G610="SÁBADO",$G610="DOMINGO"),"FIN","LV"))</f>
        <v/>
      </c>
      <c r="J610" s="34">
        <f>IF(OR($A610="",$B610=""),"",IF($L610&lt;&gt;"",UPPER($L610),IF($C610="","FALTA",IFERROR(IF($C610&gt;=$O610,"ROJO FUERTE",IF($C610&gt;=$N610,"ROJO",IF($C610&gt;=$M610,"AMARILLO","VERDE"))),"REVISAR"))))</f>
        <v/>
      </c>
      <c r="K610" s="36">
        <f>IF(OR($C610="",$D610=""),"",IF($D610&gt;=$C610,($D610-$C610)*24,(1-$C610+$D610)*24))</f>
        <v/>
      </c>
      <c r="L610" s="34" t="n"/>
      <c r="M610" s="53">
        <f t="array" ref="M610">IFERROR(INDEX(EXCEPCIONES_FECHA!$D$2:$D$201,MATCH(1,(EXCEPCIONES_FECHA!$A$2:$A$201=$A610)*(EXCEPCIONES_FECHA!$B$2:$B$201=$B610),0)),IFERROR(INDEX(EXCEPCIONES_FECHA!$D$2:$D$201,MATCH(1,(EXCEPCIONES_FECHA!$A$2:$A$201=$A610)*(EXCEPCIONES_FECHA!$B$2:$B$201=""),0)),IFERROR(INDEX(IF($I610="FIN",HISTORIAL_HORARIOS!$J$2:$J$201,HISTORIAL_HORARIOS!$F$2:$F$201),MATCH(1,(HISTORIAL_HORARIOS!$A$2:$A$201=$B610)*(HISTORIAL_HORARIOS!$C$2:$C$201&lt;=$A610)*(HISTORIAL_HORARIOS!$D$2:$D$201&gt;=$A610),0)),INDEX(IF($I610="FIN",PERSONAL!$J$2:$J$80,PERSONAL!$F$2:$F$80),MATCH($B610,PERSONAL!$A$2:$A$80,0)))))</f>
        <v/>
      </c>
      <c r="N610" s="53">
        <f t="array" ref="N610">IFERROR(INDEX(EXCEPCIONES_FECHA!$E$2:$E$201,MATCH(1,(EXCEPCIONES_FECHA!$A$2:$A$201=$A610)*(EXCEPCIONES_FECHA!$B$2:$B$201=$B610),0)),IFERROR(INDEX(EXCEPCIONES_FECHA!$E$2:$E$201,MATCH(1,(EXCEPCIONES_FECHA!$A$2:$A$201=$A610)*(EXCEPCIONES_FECHA!$B$2:$B$201=""),0)),IFERROR(INDEX(IF($I610="FIN",HISTORIAL_HORARIOS!$K$2:$K$201,HISTORIAL_HORARIOS!$G$2:$G$201),MATCH(1,(HISTORIAL_HORARIOS!$A$2:$A$201=$B610)*(HISTORIAL_HORARIOS!$C$2:$C$201&lt;=$A610)*(HISTORIAL_HORARIOS!$D$2:$D$201&gt;=$A610),0)),INDEX(IF($I610="FIN",PERSONAL!$K$2:$K$80,PERSONAL!$G$2:$G$80),MATCH($B610,PERSONAL!$A$2:$A$80,0)))))</f>
        <v/>
      </c>
      <c r="O610" s="53">
        <f t="array" ref="O610">IFERROR(INDEX(EXCEPCIONES_FECHA!$F$2:$F$201,MATCH(1,(EXCEPCIONES_FECHA!$A$2:$A$201=$A610)*(EXCEPCIONES_FECHA!$B$2:$B$201=$B610),0)),IFERROR(INDEX(EXCEPCIONES_FECHA!$F$2:$F$201,MATCH(1,(EXCEPCIONES_FECHA!$A$2:$A$201=$A610)*(EXCEPCIONES_FECHA!$B$2:$B$201=""),0)),IFERROR(INDEX(IF($I610="FIN",HISTORIAL_HORARIOS!$L$2:$L$201,HISTORIAL_HORARIOS!$H$2:$H$201),MATCH(1,(HISTORIAL_HORARIOS!$A$2:$A$201=$B610)*(HISTORIAL_HORARIOS!$C$2:$C$201&lt;=$A610)*(HISTORIAL_HORARIOS!$D$2:$D$201&gt;=$A610),0)),INDEX(IF($I610="FIN",PERSONAL!$L$2:$L$80,PERSONAL!$H$2:$H$80),MATCH($B610,PERSONAL!$A$2:$A$80,0)))))</f>
        <v/>
      </c>
    </row>
    <row r="611" ht="15" customHeight="1" s="58">
      <c r="A611" s="37" t="n"/>
      <c r="B611" s="38" t="n"/>
      <c r="C611" s="39" t="n"/>
      <c r="D611" s="39" t="n"/>
      <c r="E611" s="34">
        <f t="array" ref="E611">IF($B611="","",IFERROR(INDEX(PERSONAL!$B$2:$B$80,MATCH($B611,PERSONAL!$A$2:$A$80,0)),"NO EXISTE"))</f>
        <v/>
      </c>
      <c r="F611" s="52">
        <f t="array" ref="F611">IF($B611="","",IFERROR(INDEX(PERSONAL!$C$2:$C$80,MATCH($B611,PERSONAL!$A$2:$A$80,0)),""))</f>
        <v/>
      </c>
      <c r="G611" s="52">
        <f>IF($A611="","",CHOOSE(WEEKDAY($A611,2),"LUNES","MARTES","MIÉRCOLES","JUEVES","VIERNES","SÁBADO","DOMINGO"))</f>
        <v/>
      </c>
      <c r="H611" s="34">
        <f>IF($A611="","",CHOOSE(MONTH($A611),"ENERO","FEBRERO","MARZO","ABRIL","MAYO","JUNIO","JULIO","AGOSTO","SEPTIEMBRE","OCTUBRE","NOVIEMBRE","DICIEMBRE"))</f>
        <v/>
      </c>
      <c r="I611" s="34">
        <f>IF($A611="","",IF(OR($G611="SÁBADO",$G611="DOMINGO"),"FIN","LV"))</f>
        <v/>
      </c>
      <c r="J611" s="34">
        <f>IF(OR($A611="",$B611=""),"",IF($L611&lt;&gt;"",UPPER($L611),IF($C611="","FALTA",IFERROR(IF($C611&gt;=$O611,"ROJO FUERTE",IF($C611&gt;=$N611,"ROJO",IF($C611&gt;=$M611,"AMARILLO","VERDE"))),"REVISAR"))))</f>
        <v/>
      </c>
      <c r="K611" s="36">
        <f>IF(OR($C611="",$D611=""),"",IF($D611&gt;=$C611,($D611-$C611)*24,(1-$C611+$D611)*24))</f>
        <v/>
      </c>
      <c r="L611" s="34" t="n"/>
      <c r="M611" s="53">
        <f t="array" ref="M611">IFERROR(INDEX(EXCEPCIONES_FECHA!$D$2:$D$201,MATCH(1,(EXCEPCIONES_FECHA!$A$2:$A$201=$A611)*(EXCEPCIONES_FECHA!$B$2:$B$201=$B611),0)),IFERROR(INDEX(EXCEPCIONES_FECHA!$D$2:$D$201,MATCH(1,(EXCEPCIONES_FECHA!$A$2:$A$201=$A611)*(EXCEPCIONES_FECHA!$B$2:$B$201=""),0)),IFERROR(INDEX(IF($I611="FIN",HISTORIAL_HORARIOS!$J$2:$J$201,HISTORIAL_HORARIOS!$F$2:$F$201),MATCH(1,(HISTORIAL_HORARIOS!$A$2:$A$201=$B611)*(HISTORIAL_HORARIOS!$C$2:$C$201&lt;=$A611)*(HISTORIAL_HORARIOS!$D$2:$D$201&gt;=$A611),0)),INDEX(IF($I611="FIN",PERSONAL!$J$2:$J$80,PERSONAL!$F$2:$F$80),MATCH($B611,PERSONAL!$A$2:$A$80,0)))))</f>
        <v/>
      </c>
      <c r="N611" s="53">
        <f t="array" ref="N611">IFERROR(INDEX(EXCEPCIONES_FECHA!$E$2:$E$201,MATCH(1,(EXCEPCIONES_FECHA!$A$2:$A$201=$A611)*(EXCEPCIONES_FECHA!$B$2:$B$201=$B611),0)),IFERROR(INDEX(EXCEPCIONES_FECHA!$E$2:$E$201,MATCH(1,(EXCEPCIONES_FECHA!$A$2:$A$201=$A611)*(EXCEPCIONES_FECHA!$B$2:$B$201=""),0)),IFERROR(INDEX(IF($I611="FIN",HISTORIAL_HORARIOS!$K$2:$K$201,HISTORIAL_HORARIOS!$G$2:$G$201),MATCH(1,(HISTORIAL_HORARIOS!$A$2:$A$201=$B611)*(HISTORIAL_HORARIOS!$C$2:$C$201&lt;=$A611)*(HISTORIAL_HORARIOS!$D$2:$D$201&gt;=$A611),0)),INDEX(IF($I611="FIN",PERSONAL!$K$2:$K$80,PERSONAL!$G$2:$G$80),MATCH($B611,PERSONAL!$A$2:$A$80,0)))))</f>
        <v/>
      </c>
      <c r="O611" s="53">
        <f t="array" ref="O611">IFERROR(INDEX(EXCEPCIONES_FECHA!$F$2:$F$201,MATCH(1,(EXCEPCIONES_FECHA!$A$2:$A$201=$A611)*(EXCEPCIONES_FECHA!$B$2:$B$201=$B611),0)),IFERROR(INDEX(EXCEPCIONES_FECHA!$F$2:$F$201,MATCH(1,(EXCEPCIONES_FECHA!$A$2:$A$201=$A611)*(EXCEPCIONES_FECHA!$B$2:$B$201=""),0)),IFERROR(INDEX(IF($I611="FIN",HISTORIAL_HORARIOS!$L$2:$L$201,HISTORIAL_HORARIOS!$H$2:$H$201),MATCH(1,(HISTORIAL_HORARIOS!$A$2:$A$201=$B611)*(HISTORIAL_HORARIOS!$C$2:$C$201&lt;=$A611)*(HISTORIAL_HORARIOS!$D$2:$D$201&gt;=$A611),0)),INDEX(IF($I611="FIN",PERSONAL!$L$2:$L$80,PERSONAL!$H$2:$H$80),MATCH($B611,PERSONAL!$A$2:$A$80,0)))))</f>
        <v/>
      </c>
    </row>
    <row r="612" ht="15" customHeight="1" s="58">
      <c r="A612" s="37" t="n"/>
      <c r="B612" s="38" t="n"/>
      <c r="C612" s="39" t="n"/>
      <c r="D612" s="39" t="n"/>
      <c r="E612" s="34">
        <f t="array" ref="E612">IF($B612="","",IFERROR(INDEX(PERSONAL!$B$2:$B$80,MATCH($B612,PERSONAL!$A$2:$A$80,0)),"NO EXISTE"))</f>
        <v/>
      </c>
      <c r="F612" s="52">
        <f t="array" ref="F612">IF($B612="","",IFERROR(INDEX(PERSONAL!$C$2:$C$80,MATCH($B612,PERSONAL!$A$2:$A$80,0)),""))</f>
        <v/>
      </c>
      <c r="G612" s="52">
        <f>IF($A612="","",CHOOSE(WEEKDAY($A612,2),"LUNES","MARTES","MIÉRCOLES","JUEVES","VIERNES","SÁBADO","DOMINGO"))</f>
        <v/>
      </c>
      <c r="H612" s="34">
        <f>IF($A612="","",CHOOSE(MONTH($A612),"ENERO","FEBRERO","MARZO","ABRIL","MAYO","JUNIO","JULIO","AGOSTO","SEPTIEMBRE","OCTUBRE","NOVIEMBRE","DICIEMBRE"))</f>
        <v/>
      </c>
      <c r="I612" s="34">
        <f>IF($A612="","",IF(OR($G612="SÁBADO",$G612="DOMINGO"),"FIN","LV"))</f>
        <v/>
      </c>
      <c r="J612" s="34">
        <f>IF(OR($A612="",$B612=""),"",IF($L612&lt;&gt;"",UPPER($L612),IF($C612="","FALTA",IFERROR(IF($C612&gt;=$O612,"ROJO FUERTE",IF($C612&gt;=$N612,"ROJO",IF($C612&gt;=$M612,"AMARILLO","VERDE"))),"REVISAR"))))</f>
        <v/>
      </c>
      <c r="K612" s="36">
        <f>IF(OR($C612="",$D612=""),"",IF($D612&gt;=$C612,($D612-$C612)*24,(1-$C612+$D612)*24))</f>
        <v/>
      </c>
      <c r="L612" s="34" t="n"/>
      <c r="M612" s="53">
        <f t="array" ref="M612">IFERROR(INDEX(EXCEPCIONES_FECHA!$D$2:$D$201,MATCH(1,(EXCEPCIONES_FECHA!$A$2:$A$201=$A612)*(EXCEPCIONES_FECHA!$B$2:$B$201=$B612),0)),IFERROR(INDEX(EXCEPCIONES_FECHA!$D$2:$D$201,MATCH(1,(EXCEPCIONES_FECHA!$A$2:$A$201=$A612)*(EXCEPCIONES_FECHA!$B$2:$B$201=""),0)),IFERROR(INDEX(IF($I612="FIN",HISTORIAL_HORARIOS!$J$2:$J$201,HISTORIAL_HORARIOS!$F$2:$F$201),MATCH(1,(HISTORIAL_HORARIOS!$A$2:$A$201=$B612)*(HISTORIAL_HORARIOS!$C$2:$C$201&lt;=$A612)*(HISTORIAL_HORARIOS!$D$2:$D$201&gt;=$A612),0)),INDEX(IF($I612="FIN",PERSONAL!$J$2:$J$80,PERSONAL!$F$2:$F$80),MATCH($B612,PERSONAL!$A$2:$A$80,0)))))</f>
        <v/>
      </c>
      <c r="N612" s="53">
        <f t="array" ref="N612">IFERROR(INDEX(EXCEPCIONES_FECHA!$E$2:$E$201,MATCH(1,(EXCEPCIONES_FECHA!$A$2:$A$201=$A612)*(EXCEPCIONES_FECHA!$B$2:$B$201=$B612),0)),IFERROR(INDEX(EXCEPCIONES_FECHA!$E$2:$E$201,MATCH(1,(EXCEPCIONES_FECHA!$A$2:$A$201=$A612)*(EXCEPCIONES_FECHA!$B$2:$B$201=""),0)),IFERROR(INDEX(IF($I612="FIN",HISTORIAL_HORARIOS!$K$2:$K$201,HISTORIAL_HORARIOS!$G$2:$G$201),MATCH(1,(HISTORIAL_HORARIOS!$A$2:$A$201=$B612)*(HISTORIAL_HORARIOS!$C$2:$C$201&lt;=$A612)*(HISTORIAL_HORARIOS!$D$2:$D$201&gt;=$A612),0)),INDEX(IF($I612="FIN",PERSONAL!$K$2:$K$80,PERSONAL!$G$2:$G$80),MATCH($B612,PERSONAL!$A$2:$A$80,0)))))</f>
        <v/>
      </c>
      <c r="O612" s="53">
        <f t="array" ref="O612">IFERROR(INDEX(EXCEPCIONES_FECHA!$F$2:$F$201,MATCH(1,(EXCEPCIONES_FECHA!$A$2:$A$201=$A612)*(EXCEPCIONES_FECHA!$B$2:$B$201=$B612),0)),IFERROR(INDEX(EXCEPCIONES_FECHA!$F$2:$F$201,MATCH(1,(EXCEPCIONES_FECHA!$A$2:$A$201=$A612)*(EXCEPCIONES_FECHA!$B$2:$B$201=""),0)),IFERROR(INDEX(IF($I612="FIN",HISTORIAL_HORARIOS!$L$2:$L$201,HISTORIAL_HORARIOS!$H$2:$H$201),MATCH(1,(HISTORIAL_HORARIOS!$A$2:$A$201=$B612)*(HISTORIAL_HORARIOS!$C$2:$C$201&lt;=$A612)*(HISTORIAL_HORARIOS!$D$2:$D$201&gt;=$A612),0)),INDEX(IF($I612="FIN",PERSONAL!$L$2:$L$80,PERSONAL!$H$2:$H$80),MATCH($B612,PERSONAL!$A$2:$A$80,0)))))</f>
        <v/>
      </c>
    </row>
    <row r="613" ht="15" customHeight="1" s="58">
      <c r="A613" s="37" t="n"/>
      <c r="B613" s="38" t="n"/>
      <c r="C613" s="39" t="n"/>
      <c r="D613" s="39" t="n"/>
      <c r="E613" s="34">
        <f t="array" ref="E613">IF($B613="","",IFERROR(INDEX(PERSONAL!$B$2:$B$80,MATCH($B613,PERSONAL!$A$2:$A$80,0)),"NO EXISTE"))</f>
        <v/>
      </c>
      <c r="F613" s="52">
        <f t="array" ref="F613">IF($B613="","",IFERROR(INDEX(PERSONAL!$C$2:$C$80,MATCH($B613,PERSONAL!$A$2:$A$80,0)),""))</f>
        <v/>
      </c>
      <c r="G613" s="52">
        <f>IF($A613="","",CHOOSE(WEEKDAY($A613,2),"LUNES","MARTES","MIÉRCOLES","JUEVES","VIERNES","SÁBADO","DOMINGO"))</f>
        <v/>
      </c>
      <c r="H613" s="34">
        <f>IF($A613="","",CHOOSE(MONTH($A613),"ENERO","FEBRERO","MARZO","ABRIL","MAYO","JUNIO","JULIO","AGOSTO","SEPTIEMBRE","OCTUBRE","NOVIEMBRE","DICIEMBRE"))</f>
        <v/>
      </c>
      <c r="I613" s="34">
        <f>IF($A613="","",IF(OR($G613="SÁBADO",$G613="DOMINGO"),"FIN","LV"))</f>
        <v/>
      </c>
      <c r="J613" s="34">
        <f>IF(OR($A613="",$B613=""),"",IF($L613&lt;&gt;"",UPPER($L613),IF($C613="","FALTA",IFERROR(IF($C613&gt;=$O613,"ROJO FUERTE",IF($C613&gt;=$N613,"ROJO",IF($C613&gt;=$M613,"AMARILLO","VERDE"))),"REVISAR"))))</f>
        <v/>
      </c>
      <c r="K613" s="36">
        <f>IF(OR($C613="",$D613=""),"",IF($D613&gt;=$C613,($D613-$C613)*24,(1-$C613+$D613)*24))</f>
        <v/>
      </c>
      <c r="L613" s="34" t="n"/>
      <c r="M613" s="53">
        <f t="array" ref="M613">IFERROR(INDEX(EXCEPCIONES_FECHA!$D$2:$D$201,MATCH(1,(EXCEPCIONES_FECHA!$A$2:$A$201=$A613)*(EXCEPCIONES_FECHA!$B$2:$B$201=$B613),0)),IFERROR(INDEX(EXCEPCIONES_FECHA!$D$2:$D$201,MATCH(1,(EXCEPCIONES_FECHA!$A$2:$A$201=$A613)*(EXCEPCIONES_FECHA!$B$2:$B$201=""),0)),IFERROR(INDEX(IF($I613="FIN",HISTORIAL_HORARIOS!$J$2:$J$201,HISTORIAL_HORARIOS!$F$2:$F$201),MATCH(1,(HISTORIAL_HORARIOS!$A$2:$A$201=$B613)*(HISTORIAL_HORARIOS!$C$2:$C$201&lt;=$A613)*(HISTORIAL_HORARIOS!$D$2:$D$201&gt;=$A613),0)),INDEX(IF($I613="FIN",PERSONAL!$J$2:$J$80,PERSONAL!$F$2:$F$80),MATCH($B613,PERSONAL!$A$2:$A$80,0)))))</f>
        <v/>
      </c>
      <c r="N613" s="53">
        <f t="array" ref="N613">IFERROR(INDEX(EXCEPCIONES_FECHA!$E$2:$E$201,MATCH(1,(EXCEPCIONES_FECHA!$A$2:$A$201=$A613)*(EXCEPCIONES_FECHA!$B$2:$B$201=$B613),0)),IFERROR(INDEX(EXCEPCIONES_FECHA!$E$2:$E$201,MATCH(1,(EXCEPCIONES_FECHA!$A$2:$A$201=$A613)*(EXCEPCIONES_FECHA!$B$2:$B$201=""),0)),IFERROR(INDEX(IF($I613="FIN",HISTORIAL_HORARIOS!$K$2:$K$201,HISTORIAL_HORARIOS!$G$2:$G$201),MATCH(1,(HISTORIAL_HORARIOS!$A$2:$A$201=$B613)*(HISTORIAL_HORARIOS!$C$2:$C$201&lt;=$A613)*(HISTORIAL_HORARIOS!$D$2:$D$201&gt;=$A613),0)),INDEX(IF($I613="FIN",PERSONAL!$K$2:$K$80,PERSONAL!$G$2:$G$80),MATCH($B613,PERSONAL!$A$2:$A$80,0)))))</f>
        <v/>
      </c>
      <c r="O613" s="53">
        <f t="array" ref="O613">IFERROR(INDEX(EXCEPCIONES_FECHA!$F$2:$F$201,MATCH(1,(EXCEPCIONES_FECHA!$A$2:$A$201=$A613)*(EXCEPCIONES_FECHA!$B$2:$B$201=$B613),0)),IFERROR(INDEX(EXCEPCIONES_FECHA!$F$2:$F$201,MATCH(1,(EXCEPCIONES_FECHA!$A$2:$A$201=$A613)*(EXCEPCIONES_FECHA!$B$2:$B$201=""),0)),IFERROR(INDEX(IF($I613="FIN",HISTORIAL_HORARIOS!$L$2:$L$201,HISTORIAL_HORARIOS!$H$2:$H$201),MATCH(1,(HISTORIAL_HORARIOS!$A$2:$A$201=$B613)*(HISTORIAL_HORARIOS!$C$2:$C$201&lt;=$A613)*(HISTORIAL_HORARIOS!$D$2:$D$201&gt;=$A613),0)),INDEX(IF($I613="FIN",PERSONAL!$L$2:$L$80,PERSONAL!$H$2:$H$80),MATCH($B613,PERSONAL!$A$2:$A$80,0)))))</f>
        <v/>
      </c>
    </row>
    <row r="614" ht="15" customHeight="1" s="58">
      <c r="A614" s="37" t="n"/>
      <c r="B614" s="38" t="n"/>
      <c r="C614" s="39" t="n"/>
      <c r="D614" s="39" t="n"/>
      <c r="E614" s="34">
        <f t="array" ref="E614">IF($B614="","",IFERROR(INDEX(PERSONAL!$B$2:$B$80,MATCH($B614,PERSONAL!$A$2:$A$80,0)),"NO EXISTE"))</f>
        <v/>
      </c>
      <c r="F614" s="52">
        <f t="array" ref="F614">IF($B614="","",IFERROR(INDEX(PERSONAL!$C$2:$C$80,MATCH($B614,PERSONAL!$A$2:$A$80,0)),""))</f>
        <v/>
      </c>
      <c r="G614" s="52">
        <f>IF($A614="","",CHOOSE(WEEKDAY($A614,2),"LUNES","MARTES","MIÉRCOLES","JUEVES","VIERNES","SÁBADO","DOMINGO"))</f>
        <v/>
      </c>
      <c r="H614" s="34">
        <f>IF($A614="","",CHOOSE(MONTH($A614),"ENERO","FEBRERO","MARZO","ABRIL","MAYO","JUNIO","JULIO","AGOSTO","SEPTIEMBRE","OCTUBRE","NOVIEMBRE","DICIEMBRE"))</f>
        <v/>
      </c>
      <c r="I614" s="34">
        <f>IF($A614="","",IF(OR($G614="SÁBADO",$G614="DOMINGO"),"FIN","LV"))</f>
        <v/>
      </c>
      <c r="J614" s="34">
        <f>IF(OR($A614="",$B614=""),"",IF($L614&lt;&gt;"",UPPER($L614),IF($C614="","FALTA",IFERROR(IF($C614&gt;=$O614,"ROJO FUERTE",IF($C614&gt;=$N614,"ROJO",IF($C614&gt;=$M614,"AMARILLO","VERDE"))),"REVISAR"))))</f>
        <v/>
      </c>
      <c r="K614" s="36">
        <f>IF(OR($C614="",$D614=""),"",IF($D614&gt;=$C614,($D614-$C614)*24,(1-$C614+$D614)*24))</f>
        <v/>
      </c>
      <c r="L614" s="34" t="n"/>
      <c r="M614" s="53">
        <f t="array" ref="M614">IFERROR(INDEX(EXCEPCIONES_FECHA!$D$2:$D$201,MATCH(1,(EXCEPCIONES_FECHA!$A$2:$A$201=$A614)*(EXCEPCIONES_FECHA!$B$2:$B$201=$B614),0)),IFERROR(INDEX(EXCEPCIONES_FECHA!$D$2:$D$201,MATCH(1,(EXCEPCIONES_FECHA!$A$2:$A$201=$A614)*(EXCEPCIONES_FECHA!$B$2:$B$201=""),0)),IFERROR(INDEX(IF($I614="FIN",HISTORIAL_HORARIOS!$J$2:$J$201,HISTORIAL_HORARIOS!$F$2:$F$201),MATCH(1,(HISTORIAL_HORARIOS!$A$2:$A$201=$B614)*(HISTORIAL_HORARIOS!$C$2:$C$201&lt;=$A614)*(HISTORIAL_HORARIOS!$D$2:$D$201&gt;=$A614),0)),INDEX(IF($I614="FIN",PERSONAL!$J$2:$J$80,PERSONAL!$F$2:$F$80),MATCH($B614,PERSONAL!$A$2:$A$80,0)))))</f>
        <v/>
      </c>
      <c r="N614" s="53">
        <f t="array" ref="N614">IFERROR(INDEX(EXCEPCIONES_FECHA!$E$2:$E$201,MATCH(1,(EXCEPCIONES_FECHA!$A$2:$A$201=$A614)*(EXCEPCIONES_FECHA!$B$2:$B$201=$B614),0)),IFERROR(INDEX(EXCEPCIONES_FECHA!$E$2:$E$201,MATCH(1,(EXCEPCIONES_FECHA!$A$2:$A$201=$A614)*(EXCEPCIONES_FECHA!$B$2:$B$201=""),0)),IFERROR(INDEX(IF($I614="FIN",HISTORIAL_HORARIOS!$K$2:$K$201,HISTORIAL_HORARIOS!$G$2:$G$201),MATCH(1,(HISTORIAL_HORARIOS!$A$2:$A$201=$B614)*(HISTORIAL_HORARIOS!$C$2:$C$201&lt;=$A614)*(HISTORIAL_HORARIOS!$D$2:$D$201&gt;=$A614),0)),INDEX(IF($I614="FIN",PERSONAL!$K$2:$K$80,PERSONAL!$G$2:$G$80),MATCH($B614,PERSONAL!$A$2:$A$80,0)))))</f>
        <v/>
      </c>
      <c r="O614" s="53">
        <f t="array" ref="O614">IFERROR(INDEX(EXCEPCIONES_FECHA!$F$2:$F$201,MATCH(1,(EXCEPCIONES_FECHA!$A$2:$A$201=$A614)*(EXCEPCIONES_FECHA!$B$2:$B$201=$B614),0)),IFERROR(INDEX(EXCEPCIONES_FECHA!$F$2:$F$201,MATCH(1,(EXCEPCIONES_FECHA!$A$2:$A$201=$A614)*(EXCEPCIONES_FECHA!$B$2:$B$201=""),0)),IFERROR(INDEX(IF($I614="FIN",HISTORIAL_HORARIOS!$L$2:$L$201,HISTORIAL_HORARIOS!$H$2:$H$201),MATCH(1,(HISTORIAL_HORARIOS!$A$2:$A$201=$B614)*(HISTORIAL_HORARIOS!$C$2:$C$201&lt;=$A614)*(HISTORIAL_HORARIOS!$D$2:$D$201&gt;=$A614),0)),INDEX(IF($I614="FIN",PERSONAL!$L$2:$L$80,PERSONAL!$H$2:$H$80),MATCH($B614,PERSONAL!$A$2:$A$80,0)))))</f>
        <v/>
      </c>
    </row>
    <row r="615" ht="15" customHeight="1" s="58">
      <c r="A615" s="37" t="n"/>
      <c r="B615" s="38" t="n"/>
      <c r="C615" s="39" t="n"/>
      <c r="D615" s="39" t="n"/>
      <c r="E615" s="34">
        <f t="array" ref="E615">IF($B615="","",IFERROR(INDEX(PERSONAL!$B$2:$B$80,MATCH($B615,PERSONAL!$A$2:$A$80,0)),"NO EXISTE"))</f>
        <v/>
      </c>
      <c r="F615" s="52">
        <f t="array" ref="F615">IF($B615="","",IFERROR(INDEX(PERSONAL!$C$2:$C$80,MATCH($B615,PERSONAL!$A$2:$A$80,0)),""))</f>
        <v/>
      </c>
      <c r="G615" s="52">
        <f>IF($A615="","",CHOOSE(WEEKDAY($A615,2),"LUNES","MARTES","MIÉRCOLES","JUEVES","VIERNES","SÁBADO","DOMINGO"))</f>
        <v/>
      </c>
      <c r="H615" s="34">
        <f>IF($A615="","",CHOOSE(MONTH($A615),"ENERO","FEBRERO","MARZO","ABRIL","MAYO","JUNIO","JULIO","AGOSTO","SEPTIEMBRE","OCTUBRE","NOVIEMBRE","DICIEMBRE"))</f>
        <v/>
      </c>
      <c r="I615" s="34">
        <f>IF($A615="","",IF(OR($G615="SÁBADO",$G615="DOMINGO"),"FIN","LV"))</f>
        <v/>
      </c>
      <c r="J615" s="34">
        <f>IF(OR($A615="",$B615=""),"",IF($L615&lt;&gt;"",UPPER($L615),IF($C615="","FALTA",IFERROR(IF($C615&gt;=$O615,"ROJO FUERTE",IF($C615&gt;=$N615,"ROJO",IF($C615&gt;=$M615,"AMARILLO","VERDE"))),"REVISAR"))))</f>
        <v/>
      </c>
      <c r="K615" s="36">
        <f>IF(OR($C615="",$D615=""),"",IF($D615&gt;=$C615,($D615-$C615)*24,(1-$C615+$D615)*24))</f>
        <v/>
      </c>
      <c r="L615" s="34" t="n"/>
      <c r="M615" s="53">
        <f t="array" ref="M615">IFERROR(INDEX(EXCEPCIONES_FECHA!$D$2:$D$201,MATCH(1,(EXCEPCIONES_FECHA!$A$2:$A$201=$A615)*(EXCEPCIONES_FECHA!$B$2:$B$201=$B615),0)),IFERROR(INDEX(EXCEPCIONES_FECHA!$D$2:$D$201,MATCH(1,(EXCEPCIONES_FECHA!$A$2:$A$201=$A615)*(EXCEPCIONES_FECHA!$B$2:$B$201=""),0)),IFERROR(INDEX(IF($I615="FIN",HISTORIAL_HORARIOS!$J$2:$J$201,HISTORIAL_HORARIOS!$F$2:$F$201),MATCH(1,(HISTORIAL_HORARIOS!$A$2:$A$201=$B615)*(HISTORIAL_HORARIOS!$C$2:$C$201&lt;=$A615)*(HISTORIAL_HORARIOS!$D$2:$D$201&gt;=$A615),0)),INDEX(IF($I615="FIN",PERSONAL!$J$2:$J$80,PERSONAL!$F$2:$F$80),MATCH($B615,PERSONAL!$A$2:$A$80,0)))))</f>
        <v/>
      </c>
      <c r="N615" s="53">
        <f t="array" ref="N615">IFERROR(INDEX(EXCEPCIONES_FECHA!$E$2:$E$201,MATCH(1,(EXCEPCIONES_FECHA!$A$2:$A$201=$A615)*(EXCEPCIONES_FECHA!$B$2:$B$201=$B615),0)),IFERROR(INDEX(EXCEPCIONES_FECHA!$E$2:$E$201,MATCH(1,(EXCEPCIONES_FECHA!$A$2:$A$201=$A615)*(EXCEPCIONES_FECHA!$B$2:$B$201=""),0)),IFERROR(INDEX(IF($I615="FIN",HISTORIAL_HORARIOS!$K$2:$K$201,HISTORIAL_HORARIOS!$G$2:$G$201),MATCH(1,(HISTORIAL_HORARIOS!$A$2:$A$201=$B615)*(HISTORIAL_HORARIOS!$C$2:$C$201&lt;=$A615)*(HISTORIAL_HORARIOS!$D$2:$D$201&gt;=$A615),0)),INDEX(IF($I615="FIN",PERSONAL!$K$2:$K$80,PERSONAL!$G$2:$G$80),MATCH($B615,PERSONAL!$A$2:$A$80,0)))))</f>
        <v/>
      </c>
      <c r="O615" s="53">
        <f t="array" ref="O615">IFERROR(INDEX(EXCEPCIONES_FECHA!$F$2:$F$201,MATCH(1,(EXCEPCIONES_FECHA!$A$2:$A$201=$A615)*(EXCEPCIONES_FECHA!$B$2:$B$201=$B615),0)),IFERROR(INDEX(EXCEPCIONES_FECHA!$F$2:$F$201,MATCH(1,(EXCEPCIONES_FECHA!$A$2:$A$201=$A615)*(EXCEPCIONES_FECHA!$B$2:$B$201=""),0)),IFERROR(INDEX(IF($I615="FIN",HISTORIAL_HORARIOS!$L$2:$L$201,HISTORIAL_HORARIOS!$H$2:$H$201),MATCH(1,(HISTORIAL_HORARIOS!$A$2:$A$201=$B615)*(HISTORIAL_HORARIOS!$C$2:$C$201&lt;=$A615)*(HISTORIAL_HORARIOS!$D$2:$D$201&gt;=$A615),0)),INDEX(IF($I615="FIN",PERSONAL!$L$2:$L$80,PERSONAL!$H$2:$H$80),MATCH($B615,PERSONAL!$A$2:$A$80,0)))))</f>
        <v/>
      </c>
    </row>
    <row r="616" ht="15" customHeight="1" s="58">
      <c r="A616" s="37" t="n"/>
      <c r="B616" s="38" t="n"/>
      <c r="C616" s="39" t="n"/>
      <c r="D616" s="39" t="n"/>
      <c r="E616" s="34">
        <f t="array" ref="E616">IF($B616="","",IFERROR(INDEX(PERSONAL!$B$2:$B$80,MATCH($B616,PERSONAL!$A$2:$A$80,0)),"NO EXISTE"))</f>
        <v/>
      </c>
      <c r="F616" s="52">
        <f t="array" ref="F616">IF($B616="","",IFERROR(INDEX(PERSONAL!$C$2:$C$80,MATCH($B616,PERSONAL!$A$2:$A$80,0)),""))</f>
        <v/>
      </c>
      <c r="G616" s="52">
        <f>IF($A616="","",CHOOSE(WEEKDAY($A616,2),"LUNES","MARTES","MIÉRCOLES","JUEVES","VIERNES","SÁBADO","DOMINGO"))</f>
        <v/>
      </c>
      <c r="H616" s="34">
        <f>IF($A616="","",CHOOSE(MONTH($A616),"ENERO","FEBRERO","MARZO","ABRIL","MAYO","JUNIO","JULIO","AGOSTO","SEPTIEMBRE","OCTUBRE","NOVIEMBRE","DICIEMBRE"))</f>
        <v/>
      </c>
      <c r="I616" s="34">
        <f>IF($A616="","",IF(OR($G616="SÁBADO",$G616="DOMINGO"),"FIN","LV"))</f>
        <v/>
      </c>
      <c r="J616" s="34">
        <f>IF(OR($A616="",$B616=""),"",IF($L616&lt;&gt;"",UPPER($L616),IF($C616="","FALTA",IFERROR(IF($C616&gt;=$O616,"ROJO FUERTE",IF($C616&gt;=$N616,"ROJO",IF($C616&gt;=$M616,"AMARILLO","VERDE"))),"REVISAR"))))</f>
        <v/>
      </c>
      <c r="K616" s="36">
        <f>IF(OR($C616="",$D616=""),"",IF($D616&gt;=$C616,($D616-$C616)*24,(1-$C616+$D616)*24))</f>
        <v/>
      </c>
      <c r="L616" s="34" t="n"/>
      <c r="M616" s="53">
        <f t="array" ref="M616">IFERROR(INDEX(EXCEPCIONES_FECHA!$D$2:$D$201,MATCH(1,(EXCEPCIONES_FECHA!$A$2:$A$201=$A616)*(EXCEPCIONES_FECHA!$B$2:$B$201=$B616),0)),IFERROR(INDEX(EXCEPCIONES_FECHA!$D$2:$D$201,MATCH(1,(EXCEPCIONES_FECHA!$A$2:$A$201=$A616)*(EXCEPCIONES_FECHA!$B$2:$B$201=""),0)),IFERROR(INDEX(IF($I616="FIN",HISTORIAL_HORARIOS!$J$2:$J$201,HISTORIAL_HORARIOS!$F$2:$F$201),MATCH(1,(HISTORIAL_HORARIOS!$A$2:$A$201=$B616)*(HISTORIAL_HORARIOS!$C$2:$C$201&lt;=$A616)*(HISTORIAL_HORARIOS!$D$2:$D$201&gt;=$A616),0)),INDEX(IF($I616="FIN",PERSONAL!$J$2:$J$80,PERSONAL!$F$2:$F$80),MATCH($B616,PERSONAL!$A$2:$A$80,0)))))</f>
        <v/>
      </c>
      <c r="N616" s="53">
        <f t="array" ref="N616">IFERROR(INDEX(EXCEPCIONES_FECHA!$E$2:$E$201,MATCH(1,(EXCEPCIONES_FECHA!$A$2:$A$201=$A616)*(EXCEPCIONES_FECHA!$B$2:$B$201=$B616),0)),IFERROR(INDEX(EXCEPCIONES_FECHA!$E$2:$E$201,MATCH(1,(EXCEPCIONES_FECHA!$A$2:$A$201=$A616)*(EXCEPCIONES_FECHA!$B$2:$B$201=""),0)),IFERROR(INDEX(IF($I616="FIN",HISTORIAL_HORARIOS!$K$2:$K$201,HISTORIAL_HORARIOS!$G$2:$G$201),MATCH(1,(HISTORIAL_HORARIOS!$A$2:$A$201=$B616)*(HISTORIAL_HORARIOS!$C$2:$C$201&lt;=$A616)*(HISTORIAL_HORARIOS!$D$2:$D$201&gt;=$A616),0)),INDEX(IF($I616="FIN",PERSONAL!$K$2:$K$80,PERSONAL!$G$2:$G$80),MATCH($B616,PERSONAL!$A$2:$A$80,0)))))</f>
        <v/>
      </c>
      <c r="O616" s="53">
        <f t="array" ref="O616">IFERROR(INDEX(EXCEPCIONES_FECHA!$F$2:$F$201,MATCH(1,(EXCEPCIONES_FECHA!$A$2:$A$201=$A616)*(EXCEPCIONES_FECHA!$B$2:$B$201=$B616),0)),IFERROR(INDEX(EXCEPCIONES_FECHA!$F$2:$F$201,MATCH(1,(EXCEPCIONES_FECHA!$A$2:$A$201=$A616)*(EXCEPCIONES_FECHA!$B$2:$B$201=""),0)),IFERROR(INDEX(IF($I616="FIN",HISTORIAL_HORARIOS!$L$2:$L$201,HISTORIAL_HORARIOS!$H$2:$H$201),MATCH(1,(HISTORIAL_HORARIOS!$A$2:$A$201=$B616)*(HISTORIAL_HORARIOS!$C$2:$C$201&lt;=$A616)*(HISTORIAL_HORARIOS!$D$2:$D$201&gt;=$A616),0)),INDEX(IF($I616="FIN",PERSONAL!$L$2:$L$80,PERSONAL!$H$2:$H$80),MATCH($B616,PERSONAL!$A$2:$A$80,0)))))</f>
        <v/>
      </c>
    </row>
    <row r="617" ht="15" customHeight="1" s="58">
      <c r="A617" s="37" t="n"/>
      <c r="B617" s="38" t="n"/>
      <c r="C617" s="39" t="n"/>
      <c r="D617" s="39" t="n"/>
      <c r="E617" s="34">
        <f t="array" ref="E617">IF($B617="","",IFERROR(INDEX(PERSONAL!$B$2:$B$80,MATCH($B617,PERSONAL!$A$2:$A$80,0)),"NO EXISTE"))</f>
        <v/>
      </c>
      <c r="F617" s="52">
        <f t="array" ref="F617">IF($B617="","",IFERROR(INDEX(PERSONAL!$C$2:$C$80,MATCH($B617,PERSONAL!$A$2:$A$80,0)),""))</f>
        <v/>
      </c>
      <c r="G617" s="52">
        <f>IF($A617="","",CHOOSE(WEEKDAY($A617,2),"LUNES","MARTES","MIÉRCOLES","JUEVES","VIERNES","SÁBADO","DOMINGO"))</f>
        <v/>
      </c>
      <c r="H617" s="34">
        <f>IF($A617="","",CHOOSE(MONTH($A617),"ENERO","FEBRERO","MARZO","ABRIL","MAYO","JUNIO","JULIO","AGOSTO","SEPTIEMBRE","OCTUBRE","NOVIEMBRE","DICIEMBRE"))</f>
        <v/>
      </c>
      <c r="I617" s="34">
        <f>IF($A617="","",IF(OR($G617="SÁBADO",$G617="DOMINGO"),"FIN","LV"))</f>
        <v/>
      </c>
      <c r="J617" s="34">
        <f>IF(OR($A617="",$B617=""),"",IF($L617&lt;&gt;"",UPPER($L617),IF($C617="","FALTA",IFERROR(IF($C617&gt;=$O617,"ROJO FUERTE",IF($C617&gt;=$N617,"ROJO",IF($C617&gt;=$M617,"AMARILLO","VERDE"))),"REVISAR"))))</f>
        <v/>
      </c>
      <c r="K617" s="36">
        <f>IF(OR($C617="",$D617=""),"",IF($D617&gt;=$C617,($D617-$C617)*24,(1-$C617+$D617)*24))</f>
        <v/>
      </c>
      <c r="L617" s="34" t="n"/>
      <c r="M617" s="53">
        <f t="array" ref="M617">IFERROR(INDEX(EXCEPCIONES_FECHA!$D$2:$D$201,MATCH(1,(EXCEPCIONES_FECHA!$A$2:$A$201=$A617)*(EXCEPCIONES_FECHA!$B$2:$B$201=$B617),0)),IFERROR(INDEX(EXCEPCIONES_FECHA!$D$2:$D$201,MATCH(1,(EXCEPCIONES_FECHA!$A$2:$A$201=$A617)*(EXCEPCIONES_FECHA!$B$2:$B$201=""),0)),IFERROR(INDEX(IF($I617="FIN",HISTORIAL_HORARIOS!$J$2:$J$201,HISTORIAL_HORARIOS!$F$2:$F$201),MATCH(1,(HISTORIAL_HORARIOS!$A$2:$A$201=$B617)*(HISTORIAL_HORARIOS!$C$2:$C$201&lt;=$A617)*(HISTORIAL_HORARIOS!$D$2:$D$201&gt;=$A617),0)),INDEX(IF($I617="FIN",PERSONAL!$J$2:$J$80,PERSONAL!$F$2:$F$80),MATCH($B617,PERSONAL!$A$2:$A$80,0)))))</f>
        <v/>
      </c>
      <c r="N617" s="53">
        <f t="array" ref="N617">IFERROR(INDEX(EXCEPCIONES_FECHA!$E$2:$E$201,MATCH(1,(EXCEPCIONES_FECHA!$A$2:$A$201=$A617)*(EXCEPCIONES_FECHA!$B$2:$B$201=$B617),0)),IFERROR(INDEX(EXCEPCIONES_FECHA!$E$2:$E$201,MATCH(1,(EXCEPCIONES_FECHA!$A$2:$A$201=$A617)*(EXCEPCIONES_FECHA!$B$2:$B$201=""),0)),IFERROR(INDEX(IF($I617="FIN",HISTORIAL_HORARIOS!$K$2:$K$201,HISTORIAL_HORARIOS!$G$2:$G$201),MATCH(1,(HISTORIAL_HORARIOS!$A$2:$A$201=$B617)*(HISTORIAL_HORARIOS!$C$2:$C$201&lt;=$A617)*(HISTORIAL_HORARIOS!$D$2:$D$201&gt;=$A617),0)),INDEX(IF($I617="FIN",PERSONAL!$K$2:$K$80,PERSONAL!$G$2:$G$80),MATCH($B617,PERSONAL!$A$2:$A$80,0)))))</f>
        <v/>
      </c>
      <c r="O617" s="53">
        <f t="array" ref="O617">IFERROR(INDEX(EXCEPCIONES_FECHA!$F$2:$F$201,MATCH(1,(EXCEPCIONES_FECHA!$A$2:$A$201=$A617)*(EXCEPCIONES_FECHA!$B$2:$B$201=$B617),0)),IFERROR(INDEX(EXCEPCIONES_FECHA!$F$2:$F$201,MATCH(1,(EXCEPCIONES_FECHA!$A$2:$A$201=$A617)*(EXCEPCIONES_FECHA!$B$2:$B$201=""),0)),IFERROR(INDEX(IF($I617="FIN",HISTORIAL_HORARIOS!$L$2:$L$201,HISTORIAL_HORARIOS!$H$2:$H$201),MATCH(1,(HISTORIAL_HORARIOS!$A$2:$A$201=$B617)*(HISTORIAL_HORARIOS!$C$2:$C$201&lt;=$A617)*(HISTORIAL_HORARIOS!$D$2:$D$201&gt;=$A617),0)),INDEX(IF($I617="FIN",PERSONAL!$L$2:$L$80,PERSONAL!$H$2:$H$80),MATCH($B617,PERSONAL!$A$2:$A$80,0)))))</f>
        <v/>
      </c>
    </row>
    <row r="618" ht="15" customHeight="1" s="58">
      <c r="A618" s="37" t="n"/>
      <c r="B618" s="38" t="n"/>
      <c r="C618" s="39" t="n"/>
      <c r="D618" s="39" t="n"/>
      <c r="E618" s="34">
        <f t="array" ref="E618">IF($B618="","",IFERROR(INDEX(PERSONAL!$B$2:$B$80,MATCH($B618,PERSONAL!$A$2:$A$80,0)),"NO EXISTE"))</f>
        <v/>
      </c>
      <c r="F618" s="52">
        <f t="array" ref="F618">IF($B618="","",IFERROR(INDEX(PERSONAL!$C$2:$C$80,MATCH($B618,PERSONAL!$A$2:$A$80,0)),""))</f>
        <v/>
      </c>
      <c r="G618" s="52">
        <f>IF($A618="","",CHOOSE(WEEKDAY($A618,2),"LUNES","MARTES","MIÉRCOLES","JUEVES","VIERNES","SÁBADO","DOMINGO"))</f>
        <v/>
      </c>
      <c r="H618" s="34">
        <f>IF($A618="","",CHOOSE(MONTH($A618),"ENERO","FEBRERO","MARZO","ABRIL","MAYO","JUNIO","JULIO","AGOSTO","SEPTIEMBRE","OCTUBRE","NOVIEMBRE","DICIEMBRE"))</f>
        <v/>
      </c>
      <c r="I618" s="34">
        <f>IF($A618="","",IF(OR($G618="SÁBADO",$G618="DOMINGO"),"FIN","LV"))</f>
        <v/>
      </c>
      <c r="J618" s="34">
        <f>IF(OR($A618="",$B618=""),"",IF($L618&lt;&gt;"",UPPER($L618),IF($C618="","FALTA",IFERROR(IF($C618&gt;=$O618,"ROJO FUERTE",IF($C618&gt;=$N618,"ROJO",IF($C618&gt;=$M618,"AMARILLO","VERDE"))),"REVISAR"))))</f>
        <v/>
      </c>
      <c r="K618" s="36">
        <f>IF(OR($C618="",$D618=""),"",IF($D618&gt;=$C618,($D618-$C618)*24,(1-$C618+$D618)*24))</f>
        <v/>
      </c>
      <c r="L618" s="34" t="n"/>
      <c r="M618" s="53">
        <f t="array" ref="M618">IFERROR(INDEX(EXCEPCIONES_FECHA!$D$2:$D$201,MATCH(1,(EXCEPCIONES_FECHA!$A$2:$A$201=$A618)*(EXCEPCIONES_FECHA!$B$2:$B$201=$B618),0)),IFERROR(INDEX(EXCEPCIONES_FECHA!$D$2:$D$201,MATCH(1,(EXCEPCIONES_FECHA!$A$2:$A$201=$A618)*(EXCEPCIONES_FECHA!$B$2:$B$201=""),0)),IFERROR(INDEX(IF($I618="FIN",HISTORIAL_HORARIOS!$J$2:$J$201,HISTORIAL_HORARIOS!$F$2:$F$201),MATCH(1,(HISTORIAL_HORARIOS!$A$2:$A$201=$B618)*(HISTORIAL_HORARIOS!$C$2:$C$201&lt;=$A618)*(HISTORIAL_HORARIOS!$D$2:$D$201&gt;=$A618),0)),INDEX(IF($I618="FIN",PERSONAL!$J$2:$J$80,PERSONAL!$F$2:$F$80),MATCH($B618,PERSONAL!$A$2:$A$80,0)))))</f>
        <v/>
      </c>
      <c r="N618" s="53">
        <f t="array" ref="N618">IFERROR(INDEX(EXCEPCIONES_FECHA!$E$2:$E$201,MATCH(1,(EXCEPCIONES_FECHA!$A$2:$A$201=$A618)*(EXCEPCIONES_FECHA!$B$2:$B$201=$B618),0)),IFERROR(INDEX(EXCEPCIONES_FECHA!$E$2:$E$201,MATCH(1,(EXCEPCIONES_FECHA!$A$2:$A$201=$A618)*(EXCEPCIONES_FECHA!$B$2:$B$201=""),0)),IFERROR(INDEX(IF($I618="FIN",HISTORIAL_HORARIOS!$K$2:$K$201,HISTORIAL_HORARIOS!$G$2:$G$201),MATCH(1,(HISTORIAL_HORARIOS!$A$2:$A$201=$B618)*(HISTORIAL_HORARIOS!$C$2:$C$201&lt;=$A618)*(HISTORIAL_HORARIOS!$D$2:$D$201&gt;=$A618),0)),INDEX(IF($I618="FIN",PERSONAL!$K$2:$K$80,PERSONAL!$G$2:$G$80),MATCH($B618,PERSONAL!$A$2:$A$80,0)))))</f>
        <v/>
      </c>
      <c r="O618" s="53">
        <f t="array" ref="O618">IFERROR(INDEX(EXCEPCIONES_FECHA!$F$2:$F$201,MATCH(1,(EXCEPCIONES_FECHA!$A$2:$A$201=$A618)*(EXCEPCIONES_FECHA!$B$2:$B$201=$B618),0)),IFERROR(INDEX(EXCEPCIONES_FECHA!$F$2:$F$201,MATCH(1,(EXCEPCIONES_FECHA!$A$2:$A$201=$A618)*(EXCEPCIONES_FECHA!$B$2:$B$201=""),0)),IFERROR(INDEX(IF($I618="FIN",HISTORIAL_HORARIOS!$L$2:$L$201,HISTORIAL_HORARIOS!$H$2:$H$201),MATCH(1,(HISTORIAL_HORARIOS!$A$2:$A$201=$B618)*(HISTORIAL_HORARIOS!$C$2:$C$201&lt;=$A618)*(HISTORIAL_HORARIOS!$D$2:$D$201&gt;=$A618),0)),INDEX(IF($I618="FIN",PERSONAL!$L$2:$L$80,PERSONAL!$H$2:$H$80),MATCH($B618,PERSONAL!$A$2:$A$80,0)))))</f>
        <v/>
      </c>
    </row>
    <row r="619" ht="15" customHeight="1" s="58">
      <c r="A619" s="37" t="n"/>
      <c r="B619" s="38" t="n"/>
      <c r="C619" s="39" t="n"/>
      <c r="D619" s="39" t="n"/>
      <c r="E619" s="34">
        <f t="array" ref="E619">IF($B619="","",IFERROR(INDEX(PERSONAL!$B$2:$B$80,MATCH($B619,PERSONAL!$A$2:$A$80,0)),"NO EXISTE"))</f>
        <v/>
      </c>
      <c r="F619" s="52">
        <f t="array" ref="F619">IF($B619="","",IFERROR(INDEX(PERSONAL!$C$2:$C$80,MATCH($B619,PERSONAL!$A$2:$A$80,0)),""))</f>
        <v/>
      </c>
      <c r="G619" s="52">
        <f>IF($A619="","",CHOOSE(WEEKDAY($A619,2),"LUNES","MARTES","MIÉRCOLES","JUEVES","VIERNES","SÁBADO","DOMINGO"))</f>
        <v/>
      </c>
      <c r="H619" s="34">
        <f>IF($A619="","",CHOOSE(MONTH($A619),"ENERO","FEBRERO","MARZO","ABRIL","MAYO","JUNIO","JULIO","AGOSTO","SEPTIEMBRE","OCTUBRE","NOVIEMBRE","DICIEMBRE"))</f>
        <v/>
      </c>
      <c r="I619" s="34">
        <f>IF($A619="","",IF(OR($G619="SÁBADO",$G619="DOMINGO"),"FIN","LV"))</f>
        <v/>
      </c>
      <c r="J619" s="34">
        <f>IF(OR($A619="",$B619=""),"",IF($L619&lt;&gt;"",UPPER($L619),IF($C619="","FALTA",IFERROR(IF($C619&gt;=$O619,"ROJO FUERTE",IF($C619&gt;=$N619,"ROJO",IF($C619&gt;=$M619,"AMARILLO","VERDE"))),"REVISAR"))))</f>
        <v/>
      </c>
      <c r="K619" s="36">
        <f>IF(OR($C619="",$D619=""),"",IF($D619&gt;=$C619,($D619-$C619)*24,(1-$C619+$D619)*24))</f>
        <v/>
      </c>
      <c r="L619" s="34" t="n"/>
      <c r="M619" s="53">
        <f t="array" ref="M619">IFERROR(INDEX(EXCEPCIONES_FECHA!$D$2:$D$201,MATCH(1,(EXCEPCIONES_FECHA!$A$2:$A$201=$A619)*(EXCEPCIONES_FECHA!$B$2:$B$201=$B619),0)),IFERROR(INDEX(EXCEPCIONES_FECHA!$D$2:$D$201,MATCH(1,(EXCEPCIONES_FECHA!$A$2:$A$201=$A619)*(EXCEPCIONES_FECHA!$B$2:$B$201=""),0)),IFERROR(INDEX(IF($I619="FIN",HISTORIAL_HORARIOS!$J$2:$J$201,HISTORIAL_HORARIOS!$F$2:$F$201),MATCH(1,(HISTORIAL_HORARIOS!$A$2:$A$201=$B619)*(HISTORIAL_HORARIOS!$C$2:$C$201&lt;=$A619)*(HISTORIAL_HORARIOS!$D$2:$D$201&gt;=$A619),0)),INDEX(IF($I619="FIN",PERSONAL!$J$2:$J$80,PERSONAL!$F$2:$F$80),MATCH($B619,PERSONAL!$A$2:$A$80,0)))))</f>
        <v/>
      </c>
      <c r="N619" s="53">
        <f t="array" ref="N619">IFERROR(INDEX(EXCEPCIONES_FECHA!$E$2:$E$201,MATCH(1,(EXCEPCIONES_FECHA!$A$2:$A$201=$A619)*(EXCEPCIONES_FECHA!$B$2:$B$201=$B619),0)),IFERROR(INDEX(EXCEPCIONES_FECHA!$E$2:$E$201,MATCH(1,(EXCEPCIONES_FECHA!$A$2:$A$201=$A619)*(EXCEPCIONES_FECHA!$B$2:$B$201=""),0)),IFERROR(INDEX(IF($I619="FIN",HISTORIAL_HORARIOS!$K$2:$K$201,HISTORIAL_HORARIOS!$G$2:$G$201),MATCH(1,(HISTORIAL_HORARIOS!$A$2:$A$201=$B619)*(HISTORIAL_HORARIOS!$C$2:$C$201&lt;=$A619)*(HISTORIAL_HORARIOS!$D$2:$D$201&gt;=$A619),0)),INDEX(IF($I619="FIN",PERSONAL!$K$2:$K$80,PERSONAL!$G$2:$G$80),MATCH($B619,PERSONAL!$A$2:$A$80,0)))))</f>
        <v/>
      </c>
      <c r="O619" s="53">
        <f t="array" ref="O619">IFERROR(INDEX(EXCEPCIONES_FECHA!$F$2:$F$201,MATCH(1,(EXCEPCIONES_FECHA!$A$2:$A$201=$A619)*(EXCEPCIONES_FECHA!$B$2:$B$201=$B619),0)),IFERROR(INDEX(EXCEPCIONES_FECHA!$F$2:$F$201,MATCH(1,(EXCEPCIONES_FECHA!$A$2:$A$201=$A619)*(EXCEPCIONES_FECHA!$B$2:$B$201=""),0)),IFERROR(INDEX(IF($I619="FIN",HISTORIAL_HORARIOS!$L$2:$L$201,HISTORIAL_HORARIOS!$H$2:$H$201),MATCH(1,(HISTORIAL_HORARIOS!$A$2:$A$201=$B619)*(HISTORIAL_HORARIOS!$C$2:$C$201&lt;=$A619)*(HISTORIAL_HORARIOS!$D$2:$D$201&gt;=$A619),0)),INDEX(IF($I619="FIN",PERSONAL!$L$2:$L$80,PERSONAL!$H$2:$H$80),MATCH($B619,PERSONAL!$A$2:$A$80,0)))))</f>
        <v/>
      </c>
    </row>
    <row r="620" ht="15" customHeight="1" s="58">
      <c r="A620" s="37" t="n"/>
      <c r="B620" s="38" t="n"/>
      <c r="C620" s="39" t="n"/>
      <c r="D620" s="39" t="n"/>
      <c r="E620" s="34">
        <f t="array" ref="E620">IF($B620="","",IFERROR(INDEX(PERSONAL!$B$2:$B$80,MATCH($B620,PERSONAL!$A$2:$A$80,0)),"NO EXISTE"))</f>
        <v/>
      </c>
      <c r="F620" s="52">
        <f t="array" ref="F620">IF($B620="","",IFERROR(INDEX(PERSONAL!$C$2:$C$80,MATCH($B620,PERSONAL!$A$2:$A$80,0)),""))</f>
        <v/>
      </c>
      <c r="G620" s="52">
        <f>IF($A620="","",CHOOSE(WEEKDAY($A620,2),"LUNES","MARTES","MIÉRCOLES","JUEVES","VIERNES","SÁBADO","DOMINGO"))</f>
        <v/>
      </c>
      <c r="H620" s="34">
        <f>IF($A620="","",CHOOSE(MONTH($A620),"ENERO","FEBRERO","MARZO","ABRIL","MAYO","JUNIO","JULIO","AGOSTO","SEPTIEMBRE","OCTUBRE","NOVIEMBRE","DICIEMBRE"))</f>
        <v/>
      </c>
      <c r="I620" s="34">
        <f>IF($A620="","",IF(OR($G620="SÁBADO",$G620="DOMINGO"),"FIN","LV"))</f>
        <v/>
      </c>
      <c r="J620" s="34">
        <f>IF(OR($A620="",$B620=""),"",IF($L620&lt;&gt;"",UPPER($L620),IF($C620="","FALTA",IFERROR(IF($C620&gt;=$O620,"ROJO FUERTE",IF($C620&gt;=$N620,"ROJO",IF($C620&gt;=$M620,"AMARILLO","VERDE"))),"REVISAR"))))</f>
        <v/>
      </c>
      <c r="K620" s="36">
        <f>IF(OR($C620="",$D620=""),"",IF($D620&gt;=$C620,($D620-$C620)*24,(1-$C620+$D620)*24))</f>
        <v/>
      </c>
      <c r="L620" s="34" t="n"/>
      <c r="M620" s="53">
        <f t="array" ref="M620">IFERROR(INDEX(EXCEPCIONES_FECHA!$D$2:$D$201,MATCH(1,(EXCEPCIONES_FECHA!$A$2:$A$201=$A620)*(EXCEPCIONES_FECHA!$B$2:$B$201=$B620),0)),IFERROR(INDEX(EXCEPCIONES_FECHA!$D$2:$D$201,MATCH(1,(EXCEPCIONES_FECHA!$A$2:$A$201=$A620)*(EXCEPCIONES_FECHA!$B$2:$B$201=""),0)),IFERROR(INDEX(IF($I620="FIN",HISTORIAL_HORARIOS!$J$2:$J$201,HISTORIAL_HORARIOS!$F$2:$F$201),MATCH(1,(HISTORIAL_HORARIOS!$A$2:$A$201=$B620)*(HISTORIAL_HORARIOS!$C$2:$C$201&lt;=$A620)*(HISTORIAL_HORARIOS!$D$2:$D$201&gt;=$A620),0)),INDEX(IF($I620="FIN",PERSONAL!$J$2:$J$80,PERSONAL!$F$2:$F$80),MATCH($B620,PERSONAL!$A$2:$A$80,0)))))</f>
        <v/>
      </c>
      <c r="N620" s="53">
        <f t="array" ref="N620">IFERROR(INDEX(EXCEPCIONES_FECHA!$E$2:$E$201,MATCH(1,(EXCEPCIONES_FECHA!$A$2:$A$201=$A620)*(EXCEPCIONES_FECHA!$B$2:$B$201=$B620),0)),IFERROR(INDEX(EXCEPCIONES_FECHA!$E$2:$E$201,MATCH(1,(EXCEPCIONES_FECHA!$A$2:$A$201=$A620)*(EXCEPCIONES_FECHA!$B$2:$B$201=""),0)),IFERROR(INDEX(IF($I620="FIN",HISTORIAL_HORARIOS!$K$2:$K$201,HISTORIAL_HORARIOS!$G$2:$G$201),MATCH(1,(HISTORIAL_HORARIOS!$A$2:$A$201=$B620)*(HISTORIAL_HORARIOS!$C$2:$C$201&lt;=$A620)*(HISTORIAL_HORARIOS!$D$2:$D$201&gt;=$A620),0)),INDEX(IF($I620="FIN",PERSONAL!$K$2:$K$80,PERSONAL!$G$2:$G$80),MATCH($B620,PERSONAL!$A$2:$A$80,0)))))</f>
        <v/>
      </c>
      <c r="O620" s="53">
        <f t="array" ref="O620">IFERROR(INDEX(EXCEPCIONES_FECHA!$F$2:$F$201,MATCH(1,(EXCEPCIONES_FECHA!$A$2:$A$201=$A620)*(EXCEPCIONES_FECHA!$B$2:$B$201=$B620),0)),IFERROR(INDEX(EXCEPCIONES_FECHA!$F$2:$F$201,MATCH(1,(EXCEPCIONES_FECHA!$A$2:$A$201=$A620)*(EXCEPCIONES_FECHA!$B$2:$B$201=""),0)),IFERROR(INDEX(IF($I620="FIN",HISTORIAL_HORARIOS!$L$2:$L$201,HISTORIAL_HORARIOS!$H$2:$H$201),MATCH(1,(HISTORIAL_HORARIOS!$A$2:$A$201=$B620)*(HISTORIAL_HORARIOS!$C$2:$C$201&lt;=$A620)*(HISTORIAL_HORARIOS!$D$2:$D$201&gt;=$A620),0)),INDEX(IF($I620="FIN",PERSONAL!$L$2:$L$80,PERSONAL!$H$2:$H$80),MATCH($B620,PERSONAL!$A$2:$A$80,0)))))</f>
        <v/>
      </c>
    </row>
    <row r="621" ht="15" customHeight="1" s="58">
      <c r="A621" s="37" t="n"/>
      <c r="B621" s="38" t="n"/>
      <c r="C621" s="39" t="n"/>
      <c r="D621" s="39" t="n"/>
      <c r="E621" s="34">
        <f t="array" ref="E621">IF($B621="","",IFERROR(INDEX(PERSONAL!$B$2:$B$80,MATCH($B621,PERSONAL!$A$2:$A$80,0)),"NO EXISTE"))</f>
        <v/>
      </c>
      <c r="F621" s="52">
        <f t="array" ref="F621">IF($B621="","",IFERROR(INDEX(PERSONAL!$C$2:$C$80,MATCH($B621,PERSONAL!$A$2:$A$80,0)),""))</f>
        <v/>
      </c>
      <c r="G621" s="52">
        <f>IF($A621="","",CHOOSE(WEEKDAY($A621,2),"LUNES","MARTES","MIÉRCOLES","JUEVES","VIERNES","SÁBADO","DOMINGO"))</f>
        <v/>
      </c>
      <c r="H621" s="34">
        <f>IF($A621="","",CHOOSE(MONTH($A621),"ENERO","FEBRERO","MARZO","ABRIL","MAYO","JUNIO","JULIO","AGOSTO","SEPTIEMBRE","OCTUBRE","NOVIEMBRE","DICIEMBRE"))</f>
        <v/>
      </c>
      <c r="I621" s="34">
        <f>IF($A621="","",IF(OR($G621="SÁBADO",$G621="DOMINGO"),"FIN","LV"))</f>
        <v/>
      </c>
      <c r="J621" s="34">
        <f>IF(OR($A621="",$B621=""),"",IF($L621&lt;&gt;"",UPPER($L621),IF($C621="","FALTA",IFERROR(IF($C621&gt;=$O621,"ROJO FUERTE",IF($C621&gt;=$N621,"ROJO",IF($C621&gt;=$M621,"AMARILLO","VERDE"))),"REVISAR"))))</f>
        <v/>
      </c>
      <c r="K621" s="36">
        <f>IF(OR($C621="",$D621=""),"",IF($D621&gt;=$C621,($D621-$C621)*24,(1-$C621+$D621)*24))</f>
        <v/>
      </c>
      <c r="L621" s="34" t="n"/>
      <c r="M621" s="53">
        <f t="array" ref="M621">IFERROR(INDEX(EXCEPCIONES_FECHA!$D$2:$D$201,MATCH(1,(EXCEPCIONES_FECHA!$A$2:$A$201=$A621)*(EXCEPCIONES_FECHA!$B$2:$B$201=$B621),0)),IFERROR(INDEX(EXCEPCIONES_FECHA!$D$2:$D$201,MATCH(1,(EXCEPCIONES_FECHA!$A$2:$A$201=$A621)*(EXCEPCIONES_FECHA!$B$2:$B$201=""),0)),IFERROR(INDEX(IF($I621="FIN",HISTORIAL_HORARIOS!$J$2:$J$201,HISTORIAL_HORARIOS!$F$2:$F$201),MATCH(1,(HISTORIAL_HORARIOS!$A$2:$A$201=$B621)*(HISTORIAL_HORARIOS!$C$2:$C$201&lt;=$A621)*(HISTORIAL_HORARIOS!$D$2:$D$201&gt;=$A621),0)),INDEX(IF($I621="FIN",PERSONAL!$J$2:$J$80,PERSONAL!$F$2:$F$80),MATCH($B621,PERSONAL!$A$2:$A$80,0)))))</f>
        <v/>
      </c>
      <c r="N621" s="53">
        <f t="array" ref="N621">IFERROR(INDEX(EXCEPCIONES_FECHA!$E$2:$E$201,MATCH(1,(EXCEPCIONES_FECHA!$A$2:$A$201=$A621)*(EXCEPCIONES_FECHA!$B$2:$B$201=$B621),0)),IFERROR(INDEX(EXCEPCIONES_FECHA!$E$2:$E$201,MATCH(1,(EXCEPCIONES_FECHA!$A$2:$A$201=$A621)*(EXCEPCIONES_FECHA!$B$2:$B$201=""),0)),IFERROR(INDEX(IF($I621="FIN",HISTORIAL_HORARIOS!$K$2:$K$201,HISTORIAL_HORARIOS!$G$2:$G$201),MATCH(1,(HISTORIAL_HORARIOS!$A$2:$A$201=$B621)*(HISTORIAL_HORARIOS!$C$2:$C$201&lt;=$A621)*(HISTORIAL_HORARIOS!$D$2:$D$201&gt;=$A621),0)),INDEX(IF($I621="FIN",PERSONAL!$K$2:$K$80,PERSONAL!$G$2:$G$80),MATCH($B621,PERSONAL!$A$2:$A$80,0)))))</f>
        <v/>
      </c>
      <c r="O621" s="53">
        <f t="array" ref="O621">IFERROR(INDEX(EXCEPCIONES_FECHA!$F$2:$F$201,MATCH(1,(EXCEPCIONES_FECHA!$A$2:$A$201=$A621)*(EXCEPCIONES_FECHA!$B$2:$B$201=$B621),0)),IFERROR(INDEX(EXCEPCIONES_FECHA!$F$2:$F$201,MATCH(1,(EXCEPCIONES_FECHA!$A$2:$A$201=$A621)*(EXCEPCIONES_FECHA!$B$2:$B$201=""),0)),IFERROR(INDEX(IF($I621="FIN",HISTORIAL_HORARIOS!$L$2:$L$201,HISTORIAL_HORARIOS!$H$2:$H$201),MATCH(1,(HISTORIAL_HORARIOS!$A$2:$A$201=$B621)*(HISTORIAL_HORARIOS!$C$2:$C$201&lt;=$A621)*(HISTORIAL_HORARIOS!$D$2:$D$201&gt;=$A621),0)),INDEX(IF($I621="FIN",PERSONAL!$L$2:$L$80,PERSONAL!$H$2:$H$80),MATCH($B621,PERSONAL!$A$2:$A$80,0)))))</f>
        <v/>
      </c>
    </row>
    <row r="622" ht="15" customHeight="1" s="58">
      <c r="A622" s="37" t="n"/>
      <c r="B622" s="38" t="n"/>
      <c r="C622" s="39" t="n"/>
      <c r="D622" s="39" t="n"/>
      <c r="E622" s="34">
        <f t="array" ref="E622">IF($B622="","",IFERROR(INDEX(PERSONAL!$B$2:$B$80,MATCH($B622,PERSONAL!$A$2:$A$80,0)),"NO EXISTE"))</f>
        <v/>
      </c>
      <c r="F622" s="52">
        <f t="array" ref="F622">IF($B622="","",IFERROR(INDEX(PERSONAL!$C$2:$C$80,MATCH($B622,PERSONAL!$A$2:$A$80,0)),""))</f>
        <v/>
      </c>
      <c r="G622" s="52">
        <f>IF($A622="","",CHOOSE(WEEKDAY($A622,2),"LUNES","MARTES","MIÉRCOLES","JUEVES","VIERNES","SÁBADO","DOMINGO"))</f>
        <v/>
      </c>
      <c r="H622" s="34">
        <f>IF($A622="","",CHOOSE(MONTH($A622),"ENERO","FEBRERO","MARZO","ABRIL","MAYO","JUNIO","JULIO","AGOSTO","SEPTIEMBRE","OCTUBRE","NOVIEMBRE","DICIEMBRE"))</f>
        <v/>
      </c>
      <c r="I622" s="34">
        <f>IF($A622="","",IF(OR($G622="SÁBADO",$G622="DOMINGO"),"FIN","LV"))</f>
        <v/>
      </c>
      <c r="J622" s="34">
        <f>IF(OR($A622="",$B622=""),"",IF($L622&lt;&gt;"",UPPER($L622),IF($C622="","FALTA",IFERROR(IF($C622&gt;=$O622,"ROJO FUERTE",IF($C622&gt;=$N622,"ROJO",IF($C622&gt;=$M622,"AMARILLO","VERDE"))),"REVISAR"))))</f>
        <v/>
      </c>
      <c r="K622" s="36">
        <f>IF(OR($C622="",$D622=""),"",IF($D622&gt;=$C622,($D622-$C622)*24,(1-$C622+$D622)*24))</f>
        <v/>
      </c>
      <c r="L622" s="34" t="n"/>
      <c r="M622" s="53">
        <f t="array" ref="M622">IFERROR(INDEX(EXCEPCIONES_FECHA!$D$2:$D$201,MATCH(1,(EXCEPCIONES_FECHA!$A$2:$A$201=$A622)*(EXCEPCIONES_FECHA!$B$2:$B$201=$B622),0)),IFERROR(INDEX(EXCEPCIONES_FECHA!$D$2:$D$201,MATCH(1,(EXCEPCIONES_FECHA!$A$2:$A$201=$A622)*(EXCEPCIONES_FECHA!$B$2:$B$201=""),0)),IFERROR(INDEX(IF($I622="FIN",HISTORIAL_HORARIOS!$J$2:$J$201,HISTORIAL_HORARIOS!$F$2:$F$201),MATCH(1,(HISTORIAL_HORARIOS!$A$2:$A$201=$B622)*(HISTORIAL_HORARIOS!$C$2:$C$201&lt;=$A622)*(HISTORIAL_HORARIOS!$D$2:$D$201&gt;=$A622),0)),INDEX(IF($I622="FIN",PERSONAL!$J$2:$J$80,PERSONAL!$F$2:$F$80),MATCH($B622,PERSONAL!$A$2:$A$80,0)))))</f>
        <v/>
      </c>
      <c r="N622" s="53">
        <f t="array" ref="N622">IFERROR(INDEX(EXCEPCIONES_FECHA!$E$2:$E$201,MATCH(1,(EXCEPCIONES_FECHA!$A$2:$A$201=$A622)*(EXCEPCIONES_FECHA!$B$2:$B$201=$B622),0)),IFERROR(INDEX(EXCEPCIONES_FECHA!$E$2:$E$201,MATCH(1,(EXCEPCIONES_FECHA!$A$2:$A$201=$A622)*(EXCEPCIONES_FECHA!$B$2:$B$201=""),0)),IFERROR(INDEX(IF($I622="FIN",HISTORIAL_HORARIOS!$K$2:$K$201,HISTORIAL_HORARIOS!$G$2:$G$201),MATCH(1,(HISTORIAL_HORARIOS!$A$2:$A$201=$B622)*(HISTORIAL_HORARIOS!$C$2:$C$201&lt;=$A622)*(HISTORIAL_HORARIOS!$D$2:$D$201&gt;=$A622),0)),INDEX(IF($I622="FIN",PERSONAL!$K$2:$K$80,PERSONAL!$G$2:$G$80),MATCH($B622,PERSONAL!$A$2:$A$80,0)))))</f>
        <v/>
      </c>
      <c r="O622" s="53">
        <f t="array" ref="O622">IFERROR(INDEX(EXCEPCIONES_FECHA!$F$2:$F$201,MATCH(1,(EXCEPCIONES_FECHA!$A$2:$A$201=$A622)*(EXCEPCIONES_FECHA!$B$2:$B$201=$B622),0)),IFERROR(INDEX(EXCEPCIONES_FECHA!$F$2:$F$201,MATCH(1,(EXCEPCIONES_FECHA!$A$2:$A$201=$A622)*(EXCEPCIONES_FECHA!$B$2:$B$201=""),0)),IFERROR(INDEX(IF($I622="FIN",HISTORIAL_HORARIOS!$L$2:$L$201,HISTORIAL_HORARIOS!$H$2:$H$201),MATCH(1,(HISTORIAL_HORARIOS!$A$2:$A$201=$B622)*(HISTORIAL_HORARIOS!$C$2:$C$201&lt;=$A622)*(HISTORIAL_HORARIOS!$D$2:$D$201&gt;=$A622),0)),INDEX(IF($I622="FIN",PERSONAL!$L$2:$L$80,PERSONAL!$H$2:$H$80),MATCH($B622,PERSONAL!$A$2:$A$80,0)))))</f>
        <v/>
      </c>
    </row>
    <row r="623" ht="15" customHeight="1" s="58">
      <c r="A623" s="37" t="n"/>
      <c r="B623" s="38" t="n"/>
      <c r="C623" s="39" t="n"/>
      <c r="D623" s="39" t="n"/>
      <c r="E623" s="34">
        <f t="array" ref="E623">IF($B623="","",IFERROR(INDEX(PERSONAL!$B$2:$B$80,MATCH($B623,PERSONAL!$A$2:$A$80,0)),"NO EXISTE"))</f>
        <v/>
      </c>
      <c r="F623" s="52">
        <f t="array" ref="F623">IF($B623="","",IFERROR(INDEX(PERSONAL!$C$2:$C$80,MATCH($B623,PERSONAL!$A$2:$A$80,0)),""))</f>
        <v/>
      </c>
      <c r="G623" s="52">
        <f>IF($A623="","",CHOOSE(WEEKDAY($A623,2),"LUNES","MARTES","MIÉRCOLES","JUEVES","VIERNES","SÁBADO","DOMINGO"))</f>
        <v/>
      </c>
      <c r="H623" s="34">
        <f>IF($A623="","",CHOOSE(MONTH($A623),"ENERO","FEBRERO","MARZO","ABRIL","MAYO","JUNIO","JULIO","AGOSTO","SEPTIEMBRE","OCTUBRE","NOVIEMBRE","DICIEMBRE"))</f>
        <v/>
      </c>
      <c r="I623" s="34">
        <f>IF($A623="","",IF(OR($G623="SÁBADO",$G623="DOMINGO"),"FIN","LV"))</f>
        <v/>
      </c>
      <c r="J623" s="34">
        <f>IF(OR($A623="",$B623=""),"",IF($L623&lt;&gt;"",UPPER($L623),IF($C623="","FALTA",IFERROR(IF($C623&gt;=$O623,"ROJO FUERTE",IF($C623&gt;=$N623,"ROJO",IF($C623&gt;=$M623,"AMARILLO","VERDE"))),"REVISAR"))))</f>
        <v/>
      </c>
      <c r="K623" s="36">
        <f>IF(OR($C623="",$D623=""),"",IF($D623&gt;=$C623,($D623-$C623)*24,(1-$C623+$D623)*24))</f>
        <v/>
      </c>
      <c r="L623" s="34" t="n"/>
      <c r="M623" s="53">
        <f t="array" ref="M623">IFERROR(INDEX(EXCEPCIONES_FECHA!$D$2:$D$201,MATCH(1,(EXCEPCIONES_FECHA!$A$2:$A$201=$A623)*(EXCEPCIONES_FECHA!$B$2:$B$201=$B623),0)),IFERROR(INDEX(EXCEPCIONES_FECHA!$D$2:$D$201,MATCH(1,(EXCEPCIONES_FECHA!$A$2:$A$201=$A623)*(EXCEPCIONES_FECHA!$B$2:$B$201=""),0)),IFERROR(INDEX(IF($I623="FIN",HISTORIAL_HORARIOS!$J$2:$J$201,HISTORIAL_HORARIOS!$F$2:$F$201),MATCH(1,(HISTORIAL_HORARIOS!$A$2:$A$201=$B623)*(HISTORIAL_HORARIOS!$C$2:$C$201&lt;=$A623)*(HISTORIAL_HORARIOS!$D$2:$D$201&gt;=$A623),0)),INDEX(IF($I623="FIN",PERSONAL!$J$2:$J$80,PERSONAL!$F$2:$F$80),MATCH($B623,PERSONAL!$A$2:$A$80,0)))))</f>
        <v/>
      </c>
      <c r="N623" s="53">
        <f t="array" ref="N623">IFERROR(INDEX(EXCEPCIONES_FECHA!$E$2:$E$201,MATCH(1,(EXCEPCIONES_FECHA!$A$2:$A$201=$A623)*(EXCEPCIONES_FECHA!$B$2:$B$201=$B623),0)),IFERROR(INDEX(EXCEPCIONES_FECHA!$E$2:$E$201,MATCH(1,(EXCEPCIONES_FECHA!$A$2:$A$201=$A623)*(EXCEPCIONES_FECHA!$B$2:$B$201=""),0)),IFERROR(INDEX(IF($I623="FIN",HISTORIAL_HORARIOS!$K$2:$K$201,HISTORIAL_HORARIOS!$G$2:$G$201),MATCH(1,(HISTORIAL_HORARIOS!$A$2:$A$201=$B623)*(HISTORIAL_HORARIOS!$C$2:$C$201&lt;=$A623)*(HISTORIAL_HORARIOS!$D$2:$D$201&gt;=$A623),0)),INDEX(IF($I623="FIN",PERSONAL!$K$2:$K$80,PERSONAL!$G$2:$G$80),MATCH($B623,PERSONAL!$A$2:$A$80,0)))))</f>
        <v/>
      </c>
      <c r="O623" s="53">
        <f t="array" ref="O623">IFERROR(INDEX(EXCEPCIONES_FECHA!$F$2:$F$201,MATCH(1,(EXCEPCIONES_FECHA!$A$2:$A$201=$A623)*(EXCEPCIONES_FECHA!$B$2:$B$201=$B623),0)),IFERROR(INDEX(EXCEPCIONES_FECHA!$F$2:$F$201,MATCH(1,(EXCEPCIONES_FECHA!$A$2:$A$201=$A623)*(EXCEPCIONES_FECHA!$B$2:$B$201=""),0)),IFERROR(INDEX(IF($I623="FIN",HISTORIAL_HORARIOS!$L$2:$L$201,HISTORIAL_HORARIOS!$H$2:$H$201),MATCH(1,(HISTORIAL_HORARIOS!$A$2:$A$201=$B623)*(HISTORIAL_HORARIOS!$C$2:$C$201&lt;=$A623)*(HISTORIAL_HORARIOS!$D$2:$D$201&gt;=$A623),0)),INDEX(IF($I623="FIN",PERSONAL!$L$2:$L$80,PERSONAL!$H$2:$H$80),MATCH($B623,PERSONAL!$A$2:$A$80,0)))))</f>
        <v/>
      </c>
    </row>
    <row r="624" ht="15" customHeight="1" s="58">
      <c r="A624" s="37" t="n"/>
      <c r="B624" s="38" t="n"/>
      <c r="C624" s="39" t="n"/>
      <c r="D624" s="39" t="n"/>
      <c r="E624" s="34">
        <f t="array" ref="E624">IF($B624="","",IFERROR(INDEX(PERSONAL!$B$2:$B$80,MATCH($B624,PERSONAL!$A$2:$A$80,0)),"NO EXISTE"))</f>
        <v/>
      </c>
      <c r="F624" s="52">
        <f t="array" ref="F624">IF($B624="","",IFERROR(INDEX(PERSONAL!$C$2:$C$80,MATCH($B624,PERSONAL!$A$2:$A$80,0)),""))</f>
        <v/>
      </c>
      <c r="G624" s="52">
        <f>IF($A624="","",CHOOSE(WEEKDAY($A624,2),"LUNES","MARTES","MIÉRCOLES","JUEVES","VIERNES","SÁBADO","DOMINGO"))</f>
        <v/>
      </c>
      <c r="H624" s="34">
        <f>IF($A624="","",CHOOSE(MONTH($A624),"ENERO","FEBRERO","MARZO","ABRIL","MAYO","JUNIO","JULIO","AGOSTO","SEPTIEMBRE","OCTUBRE","NOVIEMBRE","DICIEMBRE"))</f>
        <v/>
      </c>
      <c r="I624" s="34">
        <f>IF($A624="","",IF(OR($G624="SÁBADO",$G624="DOMINGO"),"FIN","LV"))</f>
        <v/>
      </c>
      <c r="J624" s="34">
        <f>IF(OR($A624="",$B624=""),"",IF($L624&lt;&gt;"",UPPER($L624),IF($C624="","FALTA",IFERROR(IF($C624&gt;=$O624,"ROJO FUERTE",IF($C624&gt;=$N624,"ROJO",IF($C624&gt;=$M624,"AMARILLO","VERDE"))),"REVISAR"))))</f>
        <v/>
      </c>
      <c r="K624" s="36">
        <f>IF(OR($C624="",$D624=""),"",IF($D624&gt;=$C624,($D624-$C624)*24,(1-$C624+$D624)*24))</f>
        <v/>
      </c>
      <c r="L624" s="34" t="n"/>
      <c r="M624" s="53">
        <f t="array" ref="M624">IFERROR(INDEX(EXCEPCIONES_FECHA!$D$2:$D$201,MATCH(1,(EXCEPCIONES_FECHA!$A$2:$A$201=$A624)*(EXCEPCIONES_FECHA!$B$2:$B$201=$B624),0)),IFERROR(INDEX(EXCEPCIONES_FECHA!$D$2:$D$201,MATCH(1,(EXCEPCIONES_FECHA!$A$2:$A$201=$A624)*(EXCEPCIONES_FECHA!$B$2:$B$201=""),0)),IFERROR(INDEX(IF($I624="FIN",HISTORIAL_HORARIOS!$J$2:$J$201,HISTORIAL_HORARIOS!$F$2:$F$201),MATCH(1,(HISTORIAL_HORARIOS!$A$2:$A$201=$B624)*(HISTORIAL_HORARIOS!$C$2:$C$201&lt;=$A624)*(HISTORIAL_HORARIOS!$D$2:$D$201&gt;=$A624),0)),INDEX(IF($I624="FIN",PERSONAL!$J$2:$J$80,PERSONAL!$F$2:$F$80),MATCH($B624,PERSONAL!$A$2:$A$80,0)))))</f>
        <v/>
      </c>
      <c r="N624" s="53">
        <f t="array" ref="N624">IFERROR(INDEX(EXCEPCIONES_FECHA!$E$2:$E$201,MATCH(1,(EXCEPCIONES_FECHA!$A$2:$A$201=$A624)*(EXCEPCIONES_FECHA!$B$2:$B$201=$B624),0)),IFERROR(INDEX(EXCEPCIONES_FECHA!$E$2:$E$201,MATCH(1,(EXCEPCIONES_FECHA!$A$2:$A$201=$A624)*(EXCEPCIONES_FECHA!$B$2:$B$201=""),0)),IFERROR(INDEX(IF($I624="FIN",HISTORIAL_HORARIOS!$K$2:$K$201,HISTORIAL_HORARIOS!$G$2:$G$201),MATCH(1,(HISTORIAL_HORARIOS!$A$2:$A$201=$B624)*(HISTORIAL_HORARIOS!$C$2:$C$201&lt;=$A624)*(HISTORIAL_HORARIOS!$D$2:$D$201&gt;=$A624),0)),INDEX(IF($I624="FIN",PERSONAL!$K$2:$K$80,PERSONAL!$G$2:$G$80),MATCH($B624,PERSONAL!$A$2:$A$80,0)))))</f>
        <v/>
      </c>
      <c r="O624" s="53">
        <f t="array" ref="O624">IFERROR(INDEX(EXCEPCIONES_FECHA!$F$2:$F$201,MATCH(1,(EXCEPCIONES_FECHA!$A$2:$A$201=$A624)*(EXCEPCIONES_FECHA!$B$2:$B$201=$B624),0)),IFERROR(INDEX(EXCEPCIONES_FECHA!$F$2:$F$201,MATCH(1,(EXCEPCIONES_FECHA!$A$2:$A$201=$A624)*(EXCEPCIONES_FECHA!$B$2:$B$201=""),0)),IFERROR(INDEX(IF($I624="FIN",HISTORIAL_HORARIOS!$L$2:$L$201,HISTORIAL_HORARIOS!$H$2:$H$201),MATCH(1,(HISTORIAL_HORARIOS!$A$2:$A$201=$B624)*(HISTORIAL_HORARIOS!$C$2:$C$201&lt;=$A624)*(HISTORIAL_HORARIOS!$D$2:$D$201&gt;=$A624),0)),INDEX(IF($I624="FIN",PERSONAL!$L$2:$L$80,PERSONAL!$H$2:$H$80),MATCH($B624,PERSONAL!$A$2:$A$80,0)))))</f>
        <v/>
      </c>
    </row>
    <row r="625" ht="15" customHeight="1" s="58">
      <c r="A625" s="37" t="n"/>
      <c r="B625" s="38" t="n"/>
      <c r="C625" s="39" t="n"/>
      <c r="D625" s="39" t="n"/>
      <c r="E625" s="34">
        <f t="array" ref="E625">IF($B625="","",IFERROR(INDEX(PERSONAL!$B$2:$B$80,MATCH($B625,PERSONAL!$A$2:$A$80,0)),"NO EXISTE"))</f>
        <v/>
      </c>
      <c r="F625" s="52">
        <f t="array" ref="F625">IF($B625="","",IFERROR(INDEX(PERSONAL!$C$2:$C$80,MATCH($B625,PERSONAL!$A$2:$A$80,0)),""))</f>
        <v/>
      </c>
      <c r="G625" s="52">
        <f>IF($A625="","",CHOOSE(WEEKDAY($A625,2),"LUNES","MARTES","MIÉRCOLES","JUEVES","VIERNES","SÁBADO","DOMINGO"))</f>
        <v/>
      </c>
      <c r="H625" s="34">
        <f>IF($A625="","",CHOOSE(MONTH($A625),"ENERO","FEBRERO","MARZO","ABRIL","MAYO","JUNIO","JULIO","AGOSTO","SEPTIEMBRE","OCTUBRE","NOVIEMBRE","DICIEMBRE"))</f>
        <v/>
      </c>
      <c r="I625" s="34">
        <f>IF($A625="","",IF(OR($G625="SÁBADO",$G625="DOMINGO"),"FIN","LV"))</f>
        <v/>
      </c>
      <c r="J625" s="34">
        <f>IF(OR($A625="",$B625=""),"",IF($L625&lt;&gt;"",UPPER($L625),IF($C625="","FALTA",IFERROR(IF($C625&gt;=$O625,"ROJO FUERTE",IF($C625&gt;=$N625,"ROJO",IF($C625&gt;=$M625,"AMARILLO","VERDE"))),"REVISAR"))))</f>
        <v/>
      </c>
      <c r="K625" s="36">
        <f>IF(OR($C625="",$D625=""),"",IF($D625&gt;=$C625,($D625-$C625)*24,(1-$C625+$D625)*24))</f>
        <v/>
      </c>
      <c r="L625" s="34" t="n"/>
      <c r="M625" s="53">
        <f t="array" ref="M625">IFERROR(INDEX(EXCEPCIONES_FECHA!$D$2:$D$201,MATCH(1,(EXCEPCIONES_FECHA!$A$2:$A$201=$A625)*(EXCEPCIONES_FECHA!$B$2:$B$201=$B625),0)),IFERROR(INDEX(EXCEPCIONES_FECHA!$D$2:$D$201,MATCH(1,(EXCEPCIONES_FECHA!$A$2:$A$201=$A625)*(EXCEPCIONES_FECHA!$B$2:$B$201=""),0)),IFERROR(INDEX(IF($I625="FIN",HISTORIAL_HORARIOS!$J$2:$J$201,HISTORIAL_HORARIOS!$F$2:$F$201),MATCH(1,(HISTORIAL_HORARIOS!$A$2:$A$201=$B625)*(HISTORIAL_HORARIOS!$C$2:$C$201&lt;=$A625)*(HISTORIAL_HORARIOS!$D$2:$D$201&gt;=$A625),0)),INDEX(IF($I625="FIN",PERSONAL!$J$2:$J$80,PERSONAL!$F$2:$F$80),MATCH($B625,PERSONAL!$A$2:$A$80,0)))))</f>
        <v/>
      </c>
      <c r="N625" s="53">
        <f t="array" ref="N625">IFERROR(INDEX(EXCEPCIONES_FECHA!$E$2:$E$201,MATCH(1,(EXCEPCIONES_FECHA!$A$2:$A$201=$A625)*(EXCEPCIONES_FECHA!$B$2:$B$201=$B625),0)),IFERROR(INDEX(EXCEPCIONES_FECHA!$E$2:$E$201,MATCH(1,(EXCEPCIONES_FECHA!$A$2:$A$201=$A625)*(EXCEPCIONES_FECHA!$B$2:$B$201=""),0)),IFERROR(INDEX(IF($I625="FIN",HISTORIAL_HORARIOS!$K$2:$K$201,HISTORIAL_HORARIOS!$G$2:$G$201),MATCH(1,(HISTORIAL_HORARIOS!$A$2:$A$201=$B625)*(HISTORIAL_HORARIOS!$C$2:$C$201&lt;=$A625)*(HISTORIAL_HORARIOS!$D$2:$D$201&gt;=$A625),0)),INDEX(IF($I625="FIN",PERSONAL!$K$2:$K$80,PERSONAL!$G$2:$G$80),MATCH($B625,PERSONAL!$A$2:$A$80,0)))))</f>
        <v/>
      </c>
      <c r="O625" s="53">
        <f t="array" ref="O625">IFERROR(INDEX(EXCEPCIONES_FECHA!$F$2:$F$201,MATCH(1,(EXCEPCIONES_FECHA!$A$2:$A$201=$A625)*(EXCEPCIONES_FECHA!$B$2:$B$201=$B625),0)),IFERROR(INDEX(EXCEPCIONES_FECHA!$F$2:$F$201,MATCH(1,(EXCEPCIONES_FECHA!$A$2:$A$201=$A625)*(EXCEPCIONES_FECHA!$B$2:$B$201=""),0)),IFERROR(INDEX(IF($I625="FIN",HISTORIAL_HORARIOS!$L$2:$L$201,HISTORIAL_HORARIOS!$H$2:$H$201),MATCH(1,(HISTORIAL_HORARIOS!$A$2:$A$201=$B625)*(HISTORIAL_HORARIOS!$C$2:$C$201&lt;=$A625)*(HISTORIAL_HORARIOS!$D$2:$D$201&gt;=$A625),0)),INDEX(IF($I625="FIN",PERSONAL!$L$2:$L$80,PERSONAL!$H$2:$H$80),MATCH($B625,PERSONAL!$A$2:$A$80,0)))))</f>
        <v/>
      </c>
    </row>
    <row r="626" ht="15" customHeight="1" s="58">
      <c r="A626" s="37" t="n"/>
      <c r="B626" s="38" t="n"/>
      <c r="C626" s="39" t="n"/>
      <c r="D626" s="39" t="n"/>
      <c r="E626" s="34">
        <f t="array" ref="E626">IF($B626="","",IFERROR(INDEX(PERSONAL!$B$2:$B$80,MATCH($B626,PERSONAL!$A$2:$A$80,0)),"NO EXISTE"))</f>
        <v/>
      </c>
      <c r="F626" s="52">
        <f t="array" ref="F626">IF($B626="","",IFERROR(INDEX(PERSONAL!$C$2:$C$80,MATCH($B626,PERSONAL!$A$2:$A$80,0)),""))</f>
        <v/>
      </c>
      <c r="G626" s="52">
        <f>IF($A626="","",CHOOSE(WEEKDAY($A626,2),"LUNES","MARTES","MIÉRCOLES","JUEVES","VIERNES","SÁBADO","DOMINGO"))</f>
        <v/>
      </c>
      <c r="H626" s="34">
        <f>IF($A626="","",CHOOSE(MONTH($A626),"ENERO","FEBRERO","MARZO","ABRIL","MAYO","JUNIO","JULIO","AGOSTO","SEPTIEMBRE","OCTUBRE","NOVIEMBRE","DICIEMBRE"))</f>
        <v/>
      </c>
      <c r="I626" s="34">
        <f>IF($A626="","",IF(OR($G626="SÁBADO",$G626="DOMINGO"),"FIN","LV"))</f>
        <v/>
      </c>
      <c r="J626" s="34">
        <f>IF(OR($A626="",$B626=""),"",IF($L626&lt;&gt;"",UPPER($L626),IF($C626="","FALTA",IFERROR(IF($C626&gt;=$O626,"ROJO FUERTE",IF($C626&gt;=$N626,"ROJO",IF($C626&gt;=$M626,"AMARILLO","VERDE"))),"REVISAR"))))</f>
        <v/>
      </c>
      <c r="K626" s="36">
        <f>IF(OR($C626="",$D626=""),"",IF($D626&gt;=$C626,($D626-$C626)*24,(1-$C626+$D626)*24))</f>
        <v/>
      </c>
      <c r="L626" s="34" t="n"/>
      <c r="M626" s="53">
        <f t="array" ref="M626">IFERROR(INDEX(EXCEPCIONES_FECHA!$D$2:$D$201,MATCH(1,(EXCEPCIONES_FECHA!$A$2:$A$201=$A626)*(EXCEPCIONES_FECHA!$B$2:$B$201=$B626),0)),IFERROR(INDEX(EXCEPCIONES_FECHA!$D$2:$D$201,MATCH(1,(EXCEPCIONES_FECHA!$A$2:$A$201=$A626)*(EXCEPCIONES_FECHA!$B$2:$B$201=""),0)),IFERROR(INDEX(IF($I626="FIN",HISTORIAL_HORARIOS!$J$2:$J$201,HISTORIAL_HORARIOS!$F$2:$F$201),MATCH(1,(HISTORIAL_HORARIOS!$A$2:$A$201=$B626)*(HISTORIAL_HORARIOS!$C$2:$C$201&lt;=$A626)*(HISTORIAL_HORARIOS!$D$2:$D$201&gt;=$A626),0)),INDEX(IF($I626="FIN",PERSONAL!$J$2:$J$80,PERSONAL!$F$2:$F$80),MATCH($B626,PERSONAL!$A$2:$A$80,0)))))</f>
        <v/>
      </c>
      <c r="N626" s="53">
        <f t="array" ref="N626">IFERROR(INDEX(EXCEPCIONES_FECHA!$E$2:$E$201,MATCH(1,(EXCEPCIONES_FECHA!$A$2:$A$201=$A626)*(EXCEPCIONES_FECHA!$B$2:$B$201=$B626),0)),IFERROR(INDEX(EXCEPCIONES_FECHA!$E$2:$E$201,MATCH(1,(EXCEPCIONES_FECHA!$A$2:$A$201=$A626)*(EXCEPCIONES_FECHA!$B$2:$B$201=""),0)),IFERROR(INDEX(IF($I626="FIN",HISTORIAL_HORARIOS!$K$2:$K$201,HISTORIAL_HORARIOS!$G$2:$G$201),MATCH(1,(HISTORIAL_HORARIOS!$A$2:$A$201=$B626)*(HISTORIAL_HORARIOS!$C$2:$C$201&lt;=$A626)*(HISTORIAL_HORARIOS!$D$2:$D$201&gt;=$A626),0)),INDEX(IF($I626="FIN",PERSONAL!$K$2:$K$80,PERSONAL!$G$2:$G$80),MATCH($B626,PERSONAL!$A$2:$A$80,0)))))</f>
        <v/>
      </c>
      <c r="O626" s="53">
        <f t="array" ref="O626">IFERROR(INDEX(EXCEPCIONES_FECHA!$F$2:$F$201,MATCH(1,(EXCEPCIONES_FECHA!$A$2:$A$201=$A626)*(EXCEPCIONES_FECHA!$B$2:$B$201=$B626),0)),IFERROR(INDEX(EXCEPCIONES_FECHA!$F$2:$F$201,MATCH(1,(EXCEPCIONES_FECHA!$A$2:$A$201=$A626)*(EXCEPCIONES_FECHA!$B$2:$B$201=""),0)),IFERROR(INDEX(IF($I626="FIN",HISTORIAL_HORARIOS!$L$2:$L$201,HISTORIAL_HORARIOS!$H$2:$H$201),MATCH(1,(HISTORIAL_HORARIOS!$A$2:$A$201=$B626)*(HISTORIAL_HORARIOS!$C$2:$C$201&lt;=$A626)*(HISTORIAL_HORARIOS!$D$2:$D$201&gt;=$A626),0)),INDEX(IF($I626="FIN",PERSONAL!$L$2:$L$80,PERSONAL!$H$2:$H$80),MATCH($B626,PERSONAL!$A$2:$A$80,0)))))</f>
        <v/>
      </c>
    </row>
    <row r="627" ht="15" customHeight="1" s="58">
      <c r="A627" s="37" t="n"/>
      <c r="B627" s="38" t="n"/>
      <c r="C627" s="39" t="n"/>
      <c r="D627" s="39" t="n"/>
      <c r="E627" s="34">
        <f t="array" ref="E627">IF($B627="","",IFERROR(INDEX(PERSONAL!$B$2:$B$80,MATCH($B627,PERSONAL!$A$2:$A$80,0)),"NO EXISTE"))</f>
        <v/>
      </c>
      <c r="F627" s="52">
        <f t="array" ref="F627">IF($B627="","",IFERROR(INDEX(PERSONAL!$C$2:$C$80,MATCH($B627,PERSONAL!$A$2:$A$80,0)),""))</f>
        <v/>
      </c>
      <c r="G627" s="52">
        <f>IF($A627="","",CHOOSE(WEEKDAY($A627,2),"LUNES","MARTES","MIÉRCOLES","JUEVES","VIERNES","SÁBADO","DOMINGO"))</f>
        <v/>
      </c>
      <c r="H627" s="34">
        <f>IF($A627="","",CHOOSE(MONTH($A627),"ENERO","FEBRERO","MARZO","ABRIL","MAYO","JUNIO","JULIO","AGOSTO","SEPTIEMBRE","OCTUBRE","NOVIEMBRE","DICIEMBRE"))</f>
        <v/>
      </c>
      <c r="I627" s="34">
        <f>IF($A627="","",IF(OR($G627="SÁBADO",$G627="DOMINGO"),"FIN","LV"))</f>
        <v/>
      </c>
      <c r="J627" s="34">
        <f>IF(OR($A627="",$B627=""),"",IF($L627&lt;&gt;"",UPPER($L627),IF($C627="","FALTA",IFERROR(IF($C627&gt;=$O627,"ROJO FUERTE",IF($C627&gt;=$N627,"ROJO",IF($C627&gt;=$M627,"AMARILLO","VERDE"))),"REVISAR"))))</f>
        <v/>
      </c>
      <c r="K627" s="36">
        <f>IF(OR($C627="",$D627=""),"",IF($D627&gt;=$C627,($D627-$C627)*24,(1-$C627+$D627)*24))</f>
        <v/>
      </c>
      <c r="L627" s="34" t="n"/>
      <c r="M627" s="53">
        <f t="array" ref="M627">IFERROR(INDEX(EXCEPCIONES_FECHA!$D$2:$D$201,MATCH(1,(EXCEPCIONES_FECHA!$A$2:$A$201=$A627)*(EXCEPCIONES_FECHA!$B$2:$B$201=$B627),0)),IFERROR(INDEX(EXCEPCIONES_FECHA!$D$2:$D$201,MATCH(1,(EXCEPCIONES_FECHA!$A$2:$A$201=$A627)*(EXCEPCIONES_FECHA!$B$2:$B$201=""),0)),IFERROR(INDEX(IF($I627="FIN",HISTORIAL_HORARIOS!$J$2:$J$201,HISTORIAL_HORARIOS!$F$2:$F$201),MATCH(1,(HISTORIAL_HORARIOS!$A$2:$A$201=$B627)*(HISTORIAL_HORARIOS!$C$2:$C$201&lt;=$A627)*(HISTORIAL_HORARIOS!$D$2:$D$201&gt;=$A627),0)),INDEX(IF($I627="FIN",PERSONAL!$J$2:$J$80,PERSONAL!$F$2:$F$80),MATCH($B627,PERSONAL!$A$2:$A$80,0)))))</f>
        <v/>
      </c>
      <c r="N627" s="53">
        <f t="array" ref="N627">IFERROR(INDEX(EXCEPCIONES_FECHA!$E$2:$E$201,MATCH(1,(EXCEPCIONES_FECHA!$A$2:$A$201=$A627)*(EXCEPCIONES_FECHA!$B$2:$B$201=$B627),0)),IFERROR(INDEX(EXCEPCIONES_FECHA!$E$2:$E$201,MATCH(1,(EXCEPCIONES_FECHA!$A$2:$A$201=$A627)*(EXCEPCIONES_FECHA!$B$2:$B$201=""),0)),IFERROR(INDEX(IF($I627="FIN",HISTORIAL_HORARIOS!$K$2:$K$201,HISTORIAL_HORARIOS!$G$2:$G$201),MATCH(1,(HISTORIAL_HORARIOS!$A$2:$A$201=$B627)*(HISTORIAL_HORARIOS!$C$2:$C$201&lt;=$A627)*(HISTORIAL_HORARIOS!$D$2:$D$201&gt;=$A627),0)),INDEX(IF($I627="FIN",PERSONAL!$K$2:$K$80,PERSONAL!$G$2:$G$80),MATCH($B627,PERSONAL!$A$2:$A$80,0)))))</f>
        <v/>
      </c>
      <c r="O627" s="53">
        <f t="array" ref="O627">IFERROR(INDEX(EXCEPCIONES_FECHA!$F$2:$F$201,MATCH(1,(EXCEPCIONES_FECHA!$A$2:$A$201=$A627)*(EXCEPCIONES_FECHA!$B$2:$B$201=$B627),0)),IFERROR(INDEX(EXCEPCIONES_FECHA!$F$2:$F$201,MATCH(1,(EXCEPCIONES_FECHA!$A$2:$A$201=$A627)*(EXCEPCIONES_FECHA!$B$2:$B$201=""),0)),IFERROR(INDEX(IF($I627="FIN",HISTORIAL_HORARIOS!$L$2:$L$201,HISTORIAL_HORARIOS!$H$2:$H$201),MATCH(1,(HISTORIAL_HORARIOS!$A$2:$A$201=$B627)*(HISTORIAL_HORARIOS!$C$2:$C$201&lt;=$A627)*(HISTORIAL_HORARIOS!$D$2:$D$201&gt;=$A627),0)),INDEX(IF($I627="FIN",PERSONAL!$L$2:$L$80,PERSONAL!$H$2:$H$80),MATCH($B627,PERSONAL!$A$2:$A$80,0)))))</f>
        <v/>
      </c>
    </row>
    <row r="628" ht="15" customHeight="1" s="58">
      <c r="A628" s="37" t="n"/>
      <c r="B628" s="38" t="n"/>
      <c r="C628" s="39" t="n"/>
      <c r="D628" s="39" t="n"/>
      <c r="E628" s="34">
        <f t="array" ref="E628">IF($B628="","",IFERROR(INDEX(PERSONAL!$B$2:$B$80,MATCH($B628,PERSONAL!$A$2:$A$80,0)),"NO EXISTE"))</f>
        <v/>
      </c>
      <c r="F628" s="52">
        <f t="array" ref="F628">IF($B628="","",IFERROR(INDEX(PERSONAL!$C$2:$C$80,MATCH($B628,PERSONAL!$A$2:$A$80,0)),""))</f>
        <v/>
      </c>
      <c r="G628" s="52">
        <f>IF($A628="","",CHOOSE(WEEKDAY($A628,2),"LUNES","MARTES","MIÉRCOLES","JUEVES","VIERNES","SÁBADO","DOMINGO"))</f>
        <v/>
      </c>
      <c r="H628" s="34">
        <f>IF($A628="","",CHOOSE(MONTH($A628),"ENERO","FEBRERO","MARZO","ABRIL","MAYO","JUNIO","JULIO","AGOSTO","SEPTIEMBRE","OCTUBRE","NOVIEMBRE","DICIEMBRE"))</f>
        <v/>
      </c>
      <c r="I628" s="34">
        <f>IF($A628="","",IF(OR($G628="SÁBADO",$G628="DOMINGO"),"FIN","LV"))</f>
        <v/>
      </c>
      <c r="J628" s="34">
        <f>IF(OR($A628="",$B628=""),"",IF($L628&lt;&gt;"",UPPER($L628),IF($C628="","FALTA",IFERROR(IF($C628&gt;=$O628,"ROJO FUERTE",IF($C628&gt;=$N628,"ROJO",IF($C628&gt;=$M628,"AMARILLO","VERDE"))),"REVISAR"))))</f>
        <v/>
      </c>
      <c r="K628" s="36">
        <f>IF(OR($C628="",$D628=""),"",IF($D628&gt;=$C628,($D628-$C628)*24,(1-$C628+$D628)*24))</f>
        <v/>
      </c>
      <c r="L628" s="34" t="n"/>
      <c r="M628" s="53">
        <f t="array" ref="M628">IFERROR(INDEX(EXCEPCIONES_FECHA!$D$2:$D$201,MATCH(1,(EXCEPCIONES_FECHA!$A$2:$A$201=$A628)*(EXCEPCIONES_FECHA!$B$2:$B$201=$B628),0)),IFERROR(INDEX(EXCEPCIONES_FECHA!$D$2:$D$201,MATCH(1,(EXCEPCIONES_FECHA!$A$2:$A$201=$A628)*(EXCEPCIONES_FECHA!$B$2:$B$201=""),0)),IFERROR(INDEX(IF($I628="FIN",HISTORIAL_HORARIOS!$J$2:$J$201,HISTORIAL_HORARIOS!$F$2:$F$201),MATCH(1,(HISTORIAL_HORARIOS!$A$2:$A$201=$B628)*(HISTORIAL_HORARIOS!$C$2:$C$201&lt;=$A628)*(HISTORIAL_HORARIOS!$D$2:$D$201&gt;=$A628),0)),INDEX(IF($I628="FIN",PERSONAL!$J$2:$J$80,PERSONAL!$F$2:$F$80),MATCH($B628,PERSONAL!$A$2:$A$80,0)))))</f>
        <v/>
      </c>
      <c r="N628" s="53">
        <f t="array" ref="N628">IFERROR(INDEX(EXCEPCIONES_FECHA!$E$2:$E$201,MATCH(1,(EXCEPCIONES_FECHA!$A$2:$A$201=$A628)*(EXCEPCIONES_FECHA!$B$2:$B$201=$B628),0)),IFERROR(INDEX(EXCEPCIONES_FECHA!$E$2:$E$201,MATCH(1,(EXCEPCIONES_FECHA!$A$2:$A$201=$A628)*(EXCEPCIONES_FECHA!$B$2:$B$201=""),0)),IFERROR(INDEX(IF($I628="FIN",HISTORIAL_HORARIOS!$K$2:$K$201,HISTORIAL_HORARIOS!$G$2:$G$201),MATCH(1,(HISTORIAL_HORARIOS!$A$2:$A$201=$B628)*(HISTORIAL_HORARIOS!$C$2:$C$201&lt;=$A628)*(HISTORIAL_HORARIOS!$D$2:$D$201&gt;=$A628),0)),INDEX(IF($I628="FIN",PERSONAL!$K$2:$K$80,PERSONAL!$G$2:$G$80),MATCH($B628,PERSONAL!$A$2:$A$80,0)))))</f>
        <v/>
      </c>
      <c r="O628" s="53">
        <f t="array" ref="O628">IFERROR(INDEX(EXCEPCIONES_FECHA!$F$2:$F$201,MATCH(1,(EXCEPCIONES_FECHA!$A$2:$A$201=$A628)*(EXCEPCIONES_FECHA!$B$2:$B$201=$B628),0)),IFERROR(INDEX(EXCEPCIONES_FECHA!$F$2:$F$201,MATCH(1,(EXCEPCIONES_FECHA!$A$2:$A$201=$A628)*(EXCEPCIONES_FECHA!$B$2:$B$201=""),0)),IFERROR(INDEX(IF($I628="FIN",HISTORIAL_HORARIOS!$L$2:$L$201,HISTORIAL_HORARIOS!$H$2:$H$201),MATCH(1,(HISTORIAL_HORARIOS!$A$2:$A$201=$B628)*(HISTORIAL_HORARIOS!$C$2:$C$201&lt;=$A628)*(HISTORIAL_HORARIOS!$D$2:$D$201&gt;=$A628),0)),INDEX(IF($I628="FIN",PERSONAL!$L$2:$L$80,PERSONAL!$H$2:$H$80),MATCH($B628,PERSONAL!$A$2:$A$80,0)))))</f>
        <v/>
      </c>
    </row>
    <row r="629" ht="15" customHeight="1" s="58">
      <c r="A629" s="37" t="n"/>
      <c r="B629" s="38" t="n"/>
      <c r="C629" s="39" t="n"/>
      <c r="D629" s="39" t="n"/>
      <c r="E629" s="34">
        <f t="array" ref="E629">IF($B629="","",IFERROR(INDEX(PERSONAL!$B$2:$B$80,MATCH($B629,PERSONAL!$A$2:$A$80,0)),"NO EXISTE"))</f>
        <v/>
      </c>
      <c r="F629" s="52">
        <f t="array" ref="F629">IF($B629="","",IFERROR(INDEX(PERSONAL!$C$2:$C$80,MATCH($B629,PERSONAL!$A$2:$A$80,0)),""))</f>
        <v/>
      </c>
      <c r="G629" s="52">
        <f>IF($A629="","",CHOOSE(WEEKDAY($A629,2),"LUNES","MARTES","MIÉRCOLES","JUEVES","VIERNES","SÁBADO","DOMINGO"))</f>
        <v/>
      </c>
      <c r="H629" s="34">
        <f>IF($A629="","",CHOOSE(MONTH($A629),"ENERO","FEBRERO","MARZO","ABRIL","MAYO","JUNIO","JULIO","AGOSTO","SEPTIEMBRE","OCTUBRE","NOVIEMBRE","DICIEMBRE"))</f>
        <v/>
      </c>
      <c r="I629" s="34">
        <f>IF($A629="","",IF(OR($G629="SÁBADO",$G629="DOMINGO"),"FIN","LV"))</f>
        <v/>
      </c>
      <c r="J629" s="34">
        <f>IF(OR($A629="",$B629=""),"",IF($L629&lt;&gt;"",UPPER($L629),IF($C629="","FALTA",IFERROR(IF($C629&gt;=$O629,"ROJO FUERTE",IF($C629&gt;=$N629,"ROJO",IF($C629&gt;=$M629,"AMARILLO","VERDE"))),"REVISAR"))))</f>
        <v/>
      </c>
      <c r="K629" s="36">
        <f>IF(OR($C629="",$D629=""),"",IF($D629&gt;=$C629,($D629-$C629)*24,(1-$C629+$D629)*24))</f>
        <v/>
      </c>
      <c r="L629" s="34" t="n"/>
      <c r="M629" s="53">
        <f t="array" ref="M629">IFERROR(INDEX(EXCEPCIONES_FECHA!$D$2:$D$201,MATCH(1,(EXCEPCIONES_FECHA!$A$2:$A$201=$A629)*(EXCEPCIONES_FECHA!$B$2:$B$201=$B629),0)),IFERROR(INDEX(EXCEPCIONES_FECHA!$D$2:$D$201,MATCH(1,(EXCEPCIONES_FECHA!$A$2:$A$201=$A629)*(EXCEPCIONES_FECHA!$B$2:$B$201=""),0)),IFERROR(INDEX(IF($I629="FIN",HISTORIAL_HORARIOS!$J$2:$J$201,HISTORIAL_HORARIOS!$F$2:$F$201),MATCH(1,(HISTORIAL_HORARIOS!$A$2:$A$201=$B629)*(HISTORIAL_HORARIOS!$C$2:$C$201&lt;=$A629)*(HISTORIAL_HORARIOS!$D$2:$D$201&gt;=$A629),0)),INDEX(IF($I629="FIN",PERSONAL!$J$2:$J$80,PERSONAL!$F$2:$F$80),MATCH($B629,PERSONAL!$A$2:$A$80,0)))))</f>
        <v/>
      </c>
      <c r="N629" s="53">
        <f t="array" ref="N629">IFERROR(INDEX(EXCEPCIONES_FECHA!$E$2:$E$201,MATCH(1,(EXCEPCIONES_FECHA!$A$2:$A$201=$A629)*(EXCEPCIONES_FECHA!$B$2:$B$201=$B629),0)),IFERROR(INDEX(EXCEPCIONES_FECHA!$E$2:$E$201,MATCH(1,(EXCEPCIONES_FECHA!$A$2:$A$201=$A629)*(EXCEPCIONES_FECHA!$B$2:$B$201=""),0)),IFERROR(INDEX(IF($I629="FIN",HISTORIAL_HORARIOS!$K$2:$K$201,HISTORIAL_HORARIOS!$G$2:$G$201),MATCH(1,(HISTORIAL_HORARIOS!$A$2:$A$201=$B629)*(HISTORIAL_HORARIOS!$C$2:$C$201&lt;=$A629)*(HISTORIAL_HORARIOS!$D$2:$D$201&gt;=$A629),0)),INDEX(IF($I629="FIN",PERSONAL!$K$2:$K$80,PERSONAL!$G$2:$G$80),MATCH($B629,PERSONAL!$A$2:$A$80,0)))))</f>
        <v/>
      </c>
      <c r="O629" s="53">
        <f t="array" ref="O629">IFERROR(INDEX(EXCEPCIONES_FECHA!$F$2:$F$201,MATCH(1,(EXCEPCIONES_FECHA!$A$2:$A$201=$A629)*(EXCEPCIONES_FECHA!$B$2:$B$201=$B629),0)),IFERROR(INDEX(EXCEPCIONES_FECHA!$F$2:$F$201,MATCH(1,(EXCEPCIONES_FECHA!$A$2:$A$201=$A629)*(EXCEPCIONES_FECHA!$B$2:$B$201=""),0)),IFERROR(INDEX(IF($I629="FIN",HISTORIAL_HORARIOS!$L$2:$L$201,HISTORIAL_HORARIOS!$H$2:$H$201),MATCH(1,(HISTORIAL_HORARIOS!$A$2:$A$201=$B629)*(HISTORIAL_HORARIOS!$C$2:$C$201&lt;=$A629)*(HISTORIAL_HORARIOS!$D$2:$D$201&gt;=$A629),0)),INDEX(IF($I629="FIN",PERSONAL!$L$2:$L$80,PERSONAL!$H$2:$H$80),MATCH($B629,PERSONAL!$A$2:$A$80,0)))))</f>
        <v/>
      </c>
    </row>
    <row r="630" ht="15" customHeight="1" s="58">
      <c r="A630" s="37" t="n"/>
      <c r="B630" s="38" t="n"/>
      <c r="C630" s="39" t="n"/>
      <c r="D630" s="39" t="n"/>
      <c r="E630" s="34">
        <f t="array" ref="E630">IF($B630="","",IFERROR(INDEX(PERSONAL!$B$2:$B$80,MATCH($B630,PERSONAL!$A$2:$A$80,0)),"NO EXISTE"))</f>
        <v/>
      </c>
      <c r="F630" s="52">
        <f t="array" ref="F630">IF($B630="","",IFERROR(INDEX(PERSONAL!$C$2:$C$80,MATCH($B630,PERSONAL!$A$2:$A$80,0)),""))</f>
        <v/>
      </c>
      <c r="G630" s="52">
        <f>IF($A630="","",CHOOSE(WEEKDAY($A630,2),"LUNES","MARTES","MIÉRCOLES","JUEVES","VIERNES","SÁBADO","DOMINGO"))</f>
        <v/>
      </c>
      <c r="H630" s="34">
        <f>IF($A630="","",CHOOSE(MONTH($A630),"ENERO","FEBRERO","MARZO","ABRIL","MAYO","JUNIO","JULIO","AGOSTO","SEPTIEMBRE","OCTUBRE","NOVIEMBRE","DICIEMBRE"))</f>
        <v/>
      </c>
      <c r="I630" s="34">
        <f>IF($A630="","",IF(OR($G630="SÁBADO",$G630="DOMINGO"),"FIN","LV"))</f>
        <v/>
      </c>
      <c r="J630" s="34">
        <f>IF(OR($A630="",$B630=""),"",IF($L630&lt;&gt;"",UPPER($L630),IF($C630="","FALTA",IFERROR(IF($C630&gt;=$O630,"ROJO FUERTE",IF($C630&gt;=$N630,"ROJO",IF($C630&gt;=$M630,"AMARILLO","VERDE"))),"REVISAR"))))</f>
        <v/>
      </c>
      <c r="K630" s="36">
        <f>IF(OR($C630="",$D630=""),"",IF($D630&gt;=$C630,($D630-$C630)*24,(1-$C630+$D630)*24))</f>
        <v/>
      </c>
      <c r="L630" s="34" t="n"/>
      <c r="M630" s="53">
        <f t="array" ref="M630">IFERROR(INDEX(EXCEPCIONES_FECHA!$D$2:$D$201,MATCH(1,(EXCEPCIONES_FECHA!$A$2:$A$201=$A630)*(EXCEPCIONES_FECHA!$B$2:$B$201=$B630),0)),IFERROR(INDEX(EXCEPCIONES_FECHA!$D$2:$D$201,MATCH(1,(EXCEPCIONES_FECHA!$A$2:$A$201=$A630)*(EXCEPCIONES_FECHA!$B$2:$B$201=""),0)),IFERROR(INDEX(IF($I630="FIN",HISTORIAL_HORARIOS!$J$2:$J$201,HISTORIAL_HORARIOS!$F$2:$F$201),MATCH(1,(HISTORIAL_HORARIOS!$A$2:$A$201=$B630)*(HISTORIAL_HORARIOS!$C$2:$C$201&lt;=$A630)*(HISTORIAL_HORARIOS!$D$2:$D$201&gt;=$A630),0)),INDEX(IF($I630="FIN",PERSONAL!$J$2:$J$80,PERSONAL!$F$2:$F$80),MATCH($B630,PERSONAL!$A$2:$A$80,0)))))</f>
        <v/>
      </c>
      <c r="N630" s="53">
        <f t="array" ref="N630">IFERROR(INDEX(EXCEPCIONES_FECHA!$E$2:$E$201,MATCH(1,(EXCEPCIONES_FECHA!$A$2:$A$201=$A630)*(EXCEPCIONES_FECHA!$B$2:$B$201=$B630),0)),IFERROR(INDEX(EXCEPCIONES_FECHA!$E$2:$E$201,MATCH(1,(EXCEPCIONES_FECHA!$A$2:$A$201=$A630)*(EXCEPCIONES_FECHA!$B$2:$B$201=""),0)),IFERROR(INDEX(IF($I630="FIN",HISTORIAL_HORARIOS!$K$2:$K$201,HISTORIAL_HORARIOS!$G$2:$G$201),MATCH(1,(HISTORIAL_HORARIOS!$A$2:$A$201=$B630)*(HISTORIAL_HORARIOS!$C$2:$C$201&lt;=$A630)*(HISTORIAL_HORARIOS!$D$2:$D$201&gt;=$A630),0)),INDEX(IF($I630="FIN",PERSONAL!$K$2:$K$80,PERSONAL!$G$2:$G$80),MATCH($B630,PERSONAL!$A$2:$A$80,0)))))</f>
        <v/>
      </c>
      <c r="O630" s="53">
        <f t="array" ref="O630">IFERROR(INDEX(EXCEPCIONES_FECHA!$F$2:$F$201,MATCH(1,(EXCEPCIONES_FECHA!$A$2:$A$201=$A630)*(EXCEPCIONES_FECHA!$B$2:$B$201=$B630),0)),IFERROR(INDEX(EXCEPCIONES_FECHA!$F$2:$F$201,MATCH(1,(EXCEPCIONES_FECHA!$A$2:$A$201=$A630)*(EXCEPCIONES_FECHA!$B$2:$B$201=""),0)),IFERROR(INDEX(IF($I630="FIN",HISTORIAL_HORARIOS!$L$2:$L$201,HISTORIAL_HORARIOS!$H$2:$H$201),MATCH(1,(HISTORIAL_HORARIOS!$A$2:$A$201=$B630)*(HISTORIAL_HORARIOS!$C$2:$C$201&lt;=$A630)*(HISTORIAL_HORARIOS!$D$2:$D$201&gt;=$A630),0)),INDEX(IF($I630="FIN",PERSONAL!$L$2:$L$80,PERSONAL!$H$2:$H$80),MATCH($B630,PERSONAL!$A$2:$A$80,0)))))</f>
        <v/>
      </c>
    </row>
    <row r="631" ht="15" customHeight="1" s="58">
      <c r="A631" s="37" t="n"/>
      <c r="B631" s="38" t="n"/>
      <c r="C631" s="39" t="n"/>
      <c r="D631" s="39" t="n"/>
      <c r="E631" s="34">
        <f t="array" ref="E631">IF($B631="","",IFERROR(INDEX(PERSONAL!$B$2:$B$80,MATCH($B631,PERSONAL!$A$2:$A$80,0)),"NO EXISTE"))</f>
        <v/>
      </c>
      <c r="F631" s="52">
        <f t="array" ref="F631">IF($B631="","",IFERROR(INDEX(PERSONAL!$C$2:$C$80,MATCH($B631,PERSONAL!$A$2:$A$80,0)),""))</f>
        <v/>
      </c>
      <c r="G631" s="52">
        <f>IF($A631="","",CHOOSE(WEEKDAY($A631,2),"LUNES","MARTES","MIÉRCOLES","JUEVES","VIERNES","SÁBADO","DOMINGO"))</f>
        <v/>
      </c>
      <c r="H631" s="34">
        <f>IF($A631="","",CHOOSE(MONTH($A631),"ENERO","FEBRERO","MARZO","ABRIL","MAYO","JUNIO","JULIO","AGOSTO","SEPTIEMBRE","OCTUBRE","NOVIEMBRE","DICIEMBRE"))</f>
        <v/>
      </c>
      <c r="I631" s="34">
        <f>IF($A631="","",IF(OR($G631="SÁBADO",$G631="DOMINGO"),"FIN","LV"))</f>
        <v/>
      </c>
      <c r="J631" s="34">
        <f>IF(OR($A631="",$B631=""),"",IF($L631&lt;&gt;"",UPPER($L631),IF($C631="","FALTA",IFERROR(IF($C631&gt;=$O631,"ROJO FUERTE",IF($C631&gt;=$N631,"ROJO",IF($C631&gt;=$M631,"AMARILLO","VERDE"))),"REVISAR"))))</f>
        <v/>
      </c>
      <c r="K631" s="36">
        <f>IF(OR($C631="",$D631=""),"",IF($D631&gt;=$C631,($D631-$C631)*24,(1-$C631+$D631)*24))</f>
        <v/>
      </c>
      <c r="L631" s="34" t="n"/>
      <c r="M631" s="53">
        <f t="array" ref="M631">IFERROR(INDEX(EXCEPCIONES_FECHA!$D$2:$D$201,MATCH(1,(EXCEPCIONES_FECHA!$A$2:$A$201=$A631)*(EXCEPCIONES_FECHA!$B$2:$B$201=$B631),0)),IFERROR(INDEX(EXCEPCIONES_FECHA!$D$2:$D$201,MATCH(1,(EXCEPCIONES_FECHA!$A$2:$A$201=$A631)*(EXCEPCIONES_FECHA!$B$2:$B$201=""),0)),IFERROR(INDEX(IF($I631="FIN",HISTORIAL_HORARIOS!$J$2:$J$201,HISTORIAL_HORARIOS!$F$2:$F$201),MATCH(1,(HISTORIAL_HORARIOS!$A$2:$A$201=$B631)*(HISTORIAL_HORARIOS!$C$2:$C$201&lt;=$A631)*(HISTORIAL_HORARIOS!$D$2:$D$201&gt;=$A631),0)),INDEX(IF($I631="FIN",PERSONAL!$J$2:$J$80,PERSONAL!$F$2:$F$80),MATCH($B631,PERSONAL!$A$2:$A$80,0)))))</f>
        <v/>
      </c>
      <c r="N631" s="53">
        <f t="array" ref="N631">IFERROR(INDEX(EXCEPCIONES_FECHA!$E$2:$E$201,MATCH(1,(EXCEPCIONES_FECHA!$A$2:$A$201=$A631)*(EXCEPCIONES_FECHA!$B$2:$B$201=$B631),0)),IFERROR(INDEX(EXCEPCIONES_FECHA!$E$2:$E$201,MATCH(1,(EXCEPCIONES_FECHA!$A$2:$A$201=$A631)*(EXCEPCIONES_FECHA!$B$2:$B$201=""),0)),IFERROR(INDEX(IF($I631="FIN",HISTORIAL_HORARIOS!$K$2:$K$201,HISTORIAL_HORARIOS!$G$2:$G$201),MATCH(1,(HISTORIAL_HORARIOS!$A$2:$A$201=$B631)*(HISTORIAL_HORARIOS!$C$2:$C$201&lt;=$A631)*(HISTORIAL_HORARIOS!$D$2:$D$201&gt;=$A631),0)),INDEX(IF($I631="FIN",PERSONAL!$K$2:$K$80,PERSONAL!$G$2:$G$80),MATCH($B631,PERSONAL!$A$2:$A$80,0)))))</f>
        <v/>
      </c>
      <c r="O631" s="53">
        <f t="array" ref="O631">IFERROR(INDEX(EXCEPCIONES_FECHA!$F$2:$F$201,MATCH(1,(EXCEPCIONES_FECHA!$A$2:$A$201=$A631)*(EXCEPCIONES_FECHA!$B$2:$B$201=$B631),0)),IFERROR(INDEX(EXCEPCIONES_FECHA!$F$2:$F$201,MATCH(1,(EXCEPCIONES_FECHA!$A$2:$A$201=$A631)*(EXCEPCIONES_FECHA!$B$2:$B$201=""),0)),IFERROR(INDEX(IF($I631="FIN",HISTORIAL_HORARIOS!$L$2:$L$201,HISTORIAL_HORARIOS!$H$2:$H$201),MATCH(1,(HISTORIAL_HORARIOS!$A$2:$A$201=$B631)*(HISTORIAL_HORARIOS!$C$2:$C$201&lt;=$A631)*(HISTORIAL_HORARIOS!$D$2:$D$201&gt;=$A631),0)),INDEX(IF($I631="FIN",PERSONAL!$L$2:$L$80,PERSONAL!$H$2:$H$80),MATCH($B631,PERSONAL!$A$2:$A$80,0)))))</f>
        <v/>
      </c>
    </row>
    <row r="632" ht="15" customHeight="1" s="58">
      <c r="A632" s="37" t="n"/>
      <c r="B632" s="38" t="n"/>
      <c r="C632" s="39" t="n"/>
      <c r="D632" s="39" t="n"/>
      <c r="E632" s="34">
        <f t="array" ref="E632">IF($B632="","",IFERROR(INDEX(PERSONAL!$B$2:$B$80,MATCH($B632,PERSONAL!$A$2:$A$80,0)),"NO EXISTE"))</f>
        <v/>
      </c>
      <c r="F632" s="52">
        <f t="array" ref="F632">IF($B632="","",IFERROR(INDEX(PERSONAL!$C$2:$C$80,MATCH($B632,PERSONAL!$A$2:$A$80,0)),""))</f>
        <v/>
      </c>
      <c r="G632" s="52">
        <f>IF($A632="","",CHOOSE(WEEKDAY($A632,2),"LUNES","MARTES","MIÉRCOLES","JUEVES","VIERNES","SÁBADO","DOMINGO"))</f>
        <v/>
      </c>
      <c r="H632" s="34">
        <f>IF($A632="","",CHOOSE(MONTH($A632),"ENERO","FEBRERO","MARZO","ABRIL","MAYO","JUNIO","JULIO","AGOSTO","SEPTIEMBRE","OCTUBRE","NOVIEMBRE","DICIEMBRE"))</f>
        <v/>
      </c>
      <c r="I632" s="34">
        <f>IF($A632="","",IF(OR($G632="SÁBADO",$G632="DOMINGO"),"FIN","LV"))</f>
        <v/>
      </c>
      <c r="J632" s="34">
        <f>IF(OR($A632="",$B632=""),"",IF($L632&lt;&gt;"",UPPER($L632),IF($C632="","FALTA",IFERROR(IF($C632&gt;=$O632,"ROJO FUERTE",IF($C632&gt;=$N632,"ROJO",IF($C632&gt;=$M632,"AMARILLO","VERDE"))),"REVISAR"))))</f>
        <v/>
      </c>
      <c r="K632" s="36">
        <f>IF(OR($C632="",$D632=""),"",IF($D632&gt;=$C632,($D632-$C632)*24,(1-$C632+$D632)*24))</f>
        <v/>
      </c>
      <c r="L632" s="34" t="n"/>
      <c r="M632" s="53">
        <f t="array" ref="M632">IFERROR(INDEX(EXCEPCIONES_FECHA!$D$2:$D$201,MATCH(1,(EXCEPCIONES_FECHA!$A$2:$A$201=$A632)*(EXCEPCIONES_FECHA!$B$2:$B$201=$B632),0)),IFERROR(INDEX(EXCEPCIONES_FECHA!$D$2:$D$201,MATCH(1,(EXCEPCIONES_FECHA!$A$2:$A$201=$A632)*(EXCEPCIONES_FECHA!$B$2:$B$201=""),0)),IFERROR(INDEX(IF($I632="FIN",HISTORIAL_HORARIOS!$J$2:$J$201,HISTORIAL_HORARIOS!$F$2:$F$201),MATCH(1,(HISTORIAL_HORARIOS!$A$2:$A$201=$B632)*(HISTORIAL_HORARIOS!$C$2:$C$201&lt;=$A632)*(HISTORIAL_HORARIOS!$D$2:$D$201&gt;=$A632),0)),INDEX(IF($I632="FIN",PERSONAL!$J$2:$J$80,PERSONAL!$F$2:$F$80),MATCH($B632,PERSONAL!$A$2:$A$80,0)))))</f>
        <v/>
      </c>
      <c r="N632" s="53">
        <f t="array" ref="N632">IFERROR(INDEX(EXCEPCIONES_FECHA!$E$2:$E$201,MATCH(1,(EXCEPCIONES_FECHA!$A$2:$A$201=$A632)*(EXCEPCIONES_FECHA!$B$2:$B$201=$B632),0)),IFERROR(INDEX(EXCEPCIONES_FECHA!$E$2:$E$201,MATCH(1,(EXCEPCIONES_FECHA!$A$2:$A$201=$A632)*(EXCEPCIONES_FECHA!$B$2:$B$201=""),0)),IFERROR(INDEX(IF($I632="FIN",HISTORIAL_HORARIOS!$K$2:$K$201,HISTORIAL_HORARIOS!$G$2:$G$201),MATCH(1,(HISTORIAL_HORARIOS!$A$2:$A$201=$B632)*(HISTORIAL_HORARIOS!$C$2:$C$201&lt;=$A632)*(HISTORIAL_HORARIOS!$D$2:$D$201&gt;=$A632),0)),INDEX(IF($I632="FIN",PERSONAL!$K$2:$K$80,PERSONAL!$G$2:$G$80),MATCH($B632,PERSONAL!$A$2:$A$80,0)))))</f>
        <v/>
      </c>
      <c r="O632" s="53">
        <f t="array" ref="O632">IFERROR(INDEX(EXCEPCIONES_FECHA!$F$2:$F$201,MATCH(1,(EXCEPCIONES_FECHA!$A$2:$A$201=$A632)*(EXCEPCIONES_FECHA!$B$2:$B$201=$B632),0)),IFERROR(INDEX(EXCEPCIONES_FECHA!$F$2:$F$201,MATCH(1,(EXCEPCIONES_FECHA!$A$2:$A$201=$A632)*(EXCEPCIONES_FECHA!$B$2:$B$201=""),0)),IFERROR(INDEX(IF($I632="FIN",HISTORIAL_HORARIOS!$L$2:$L$201,HISTORIAL_HORARIOS!$H$2:$H$201),MATCH(1,(HISTORIAL_HORARIOS!$A$2:$A$201=$B632)*(HISTORIAL_HORARIOS!$C$2:$C$201&lt;=$A632)*(HISTORIAL_HORARIOS!$D$2:$D$201&gt;=$A632),0)),INDEX(IF($I632="FIN",PERSONAL!$L$2:$L$80,PERSONAL!$H$2:$H$80),MATCH($B632,PERSONAL!$A$2:$A$80,0)))))</f>
        <v/>
      </c>
    </row>
    <row r="633" ht="15" customHeight="1" s="58">
      <c r="A633" s="37" t="n"/>
      <c r="B633" s="38" t="n"/>
      <c r="C633" s="39" t="n"/>
      <c r="D633" s="39" t="n"/>
      <c r="E633" s="34">
        <f t="array" ref="E633">IF($B633="","",IFERROR(INDEX(PERSONAL!$B$2:$B$80,MATCH($B633,PERSONAL!$A$2:$A$80,0)),"NO EXISTE"))</f>
        <v/>
      </c>
      <c r="F633" s="52">
        <f t="array" ref="F633">IF($B633="","",IFERROR(INDEX(PERSONAL!$C$2:$C$80,MATCH($B633,PERSONAL!$A$2:$A$80,0)),""))</f>
        <v/>
      </c>
      <c r="G633" s="52">
        <f>IF($A633="","",CHOOSE(WEEKDAY($A633,2),"LUNES","MARTES","MIÉRCOLES","JUEVES","VIERNES","SÁBADO","DOMINGO"))</f>
        <v/>
      </c>
      <c r="H633" s="34">
        <f>IF($A633="","",CHOOSE(MONTH($A633),"ENERO","FEBRERO","MARZO","ABRIL","MAYO","JUNIO","JULIO","AGOSTO","SEPTIEMBRE","OCTUBRE","NOVIEMBRE","DICIEMBRE"))</f>
        <v/>
      </c>
      <c r="I633" s="34">
        <f>IF($A633="","",IF(OR($G633="SÁBADO",$G633="DOMINGO"),"FIN","LV"))</f>
        <v/>
      </c>
      <c r="J633" s="34">
        <f>IF(OR($A633="",$B633=""),"",IF($L633&lt;&gt;"",UPPER($L633),IF($C633="","FALTA",IFERROR(IF($C633&gt;=$O633,"ROJO FUERTE",IF($C633&gt;=$N633,"ROJO",IF($C633&gt;=$M633,"AMARILLO","VERDE"))),"REVISAR"))))</f>
        <v/>
      </c>
      <c r="K633" s="36">
        <f>IF(OR($C633="",$D633=""),"",IF($D633&gt;=$C633,($D633-$C633)*24,(1-$C633+$D633)*24))</f>
        <v/>
      </c>
      <c r="L633" s="34" t="n"/>
      <c r="M633" s="53">
        <f t="array" ref="M633">IFERROR(INDEX(EXCEPCIONES_FECHA!$D$2:$D$201,MATCH(1,(EXCEPCIONES_FECHA!$A$2:$A$201=$A633)*(EXCEPCIONES_FECHA!$B$2:$B$201=$B633),0)),IFERROR(INDEX(EXCEPCIONES_FECHA!$D$2:$D$201,MATCH(1,(EXCEPCIONES_FECHA!$A$2:$A$201=$A633)*(EXCEPCIONES_FECHA!$B$2:$B$201=""),0)),IFERROR(INDEX(IF($I633="FIN",HISTORIAL_HORARIOS!$J$2:$J$201,HISTORIAL_HORARIOS!$F$2:$F$201),MATCH(1,(HISTORIAL_HORARIOS!$A$2:$A$201=$B633)*(HISTORIAL_HORARIOS!$C$2:$C$201&lt;=$A633)*(HISTORIAL_HORARIOS!$D$2:$D$201&gt;=$A633),0)),INDEX(IF($I633="FIN",PERSONAL!$J$2:$J$80,PERSONAL!$F$2:$F$80),MATCH($B633,PERSONAL!$A$2:$A$80,0)))))</f>
        <v/>
      </c>
      <c r="N633" s="53">
        <f t="array" ref="N633">IFERROR(INDEX(EXCEPCIONES_FECHA!$E$2:$E$201,MATCH(1,(EXCEPCIONES_FECHA!$A$2:$A$201=$A633)*(EXCEPCIONES_FECHA!$B$2:$B$201=$B633),0)),IFERROR(INDEX(EXCEPCIONES_FECHA!$E$2:$E$201,MATCH(1,(EXCEPCIONES_FECHA!$A$2:$A$201=$A633)*(EXCEPCIONES_FECHA!$B$2:$B$201=""),0)),IFERROR(INDEX(IF($I633="FIN",HISTORIAL_HORARIOS!$K$2:$K$201,HISTORIAL_HORARIOS!$G$2:$G$201),MATCH(1,(HISTORIAL_HORARIOS!$A$2:$A$201=$B633)*(HISTORIAL_HORARIOS!$C$2:$C$201&lt;=$A633)*(HISTORIAL_HORARIOS!$D$2:$D$201&gt;=$A633),0)),INDEX(IF($I633="FIN",PERSONAL!$K$2:$K$80,PERSONAL!$G$2:$G$80),MATCH($B633,PERSONAL!$A$2:$A$80,0)))))</f>
        <v/>
      </c>
      <c r="O633" s="53">
        <f t="array" ref="O633">IFERROR(INDEX(EXCEPCIONES_FECHA!$F$2:$F$201,MATCH(1,(EXCEPCIONES_FECHA!$A$2:$A$201=$A633)*(EXCEPCIONES_FECHA!$B$2:$B$201=$B633),0)),IFERROR(INDEX(EXCEPCIONES_FECHA!$F$2:$F$201,MATCH(1,(EXCEPCIONES_FECHA!$A$2:$A$201=$A633)*(EXCEPCIONES_FECHA!$B$2:$B$201=""),0)),IFERROR(INDEX(IF($I633="FIN",HISTORIAL_HORARIOS!$L$2:$L$201,HISTORIAL_HORARIOS!$H$2:$H$201),MATCH(1,(HISTORIAL_HORARIOS!$A$2:$A$201=$B633)*(HISTORIAL_HORARIOS!$C$2:$C$201&lt;=$A633)*(HISTORIAL_HORARIOS!$D$2:$D$201&gt;=$A633),0)),INDEX(IF($I633="FIN",PERSONAL!$L$2:$L$80,PERSONAL!$H$2:$H$80),MATCH($B633,PERSONAL!$A$2:$A$80,0)))))</f>
        <v/>
      </c>
    </row>
    <row r="634" ht="15" customHeight="1" s="58">
      <c r="A634" s="37" t="n"/>
      <c r="B634" s="38" t="n"/>
      <c r="C634" s="39" t="n"/>
      <c r="D634" s="39" t="n"/>
      <c r="E634" s="34">
        <f t="array" ref="E634">IF($B634="","",IFERROR(INDEX(PERSONAL!$B$2:$B$80,MATCH($B634,PERSONAL!$A$2:$A$80,0)),"NO EXISTE"))</f>
        <v/>
      </c>
      <c r="F634" s="52">
        <f t="array" ref="F634">IF($B634="","",IFERROR(INDEX(PERSONAL!$C$2:$C$80,MATCH($B634,PERSONAL!$A$2:$A$80,0)),""))</f>
        <v/>
      </c>
      <c r="G634" s="52">
        <f>IF($A634="","",CHOOSE(WEEKDAY($A634,2),"LUNES","MARTES","MIÉRCOLES","JUEVES","VIERNES","SÁBADO","DOMINGO"))</f>
        <v/>
      </c>
      <c r="H634" s="34">
        <f>IF($A634="","",CHOOSE(MONTH($A634),"ENERO","FEBRERO","MARZO","ABRIL","MAYO","JUNIO","JULIO","AGOSTO","SEPTIEMBRE","OCTUBRE","NOVIEMBRE","DICIEMBRE"))</f>
        <v/>
      </c>
      <c r="I634" s="34">
        <f>IF($A634="","",IF(OR($G634="SÁBADO",$G634="DOMINGO"),"FIN","LV"))</f>
        <v/>
      </c>
      <c r="J634" s="34">
        <f>IF(OR($A634="",$B634=""),"",IF($L634&lt;&gt;"",UPPER($L634),IF($C634="","FALTA",IFERROR(IF($C634&gt;=$O634,"ROJO FUERTE",IF($C634&gt;=$N634,"ROJO",IF($C634&gt;=$M634,"AMARILLO","VERDE"))),"REVISAR"))))</f>
        <v/>
      </c>
      <c r="K634" s="36">
        <f>IF(OR($C634="",$D634=""),"",IF($D634&gt;=$C634,($D634-$C634)*24,(1-$C634+$D634)*24))</f>
        <v/>
      </c>
      <c r="L634" s="34" t="n"/>
      <c r="M634" s="53">
        <f t="array" ref="M634">IFERROR(INDEX(EXCEPCIONES_FECHA!$D$2:$D$201,MATCH(1,(EXCEPCIONES_FECHA!$A$2:$A$201=$A634)*(EXCEPCIONES_FECHA!$B$2:$B$201=$B634),0)),IFERROR(INDEX(EXCEPCIONES_FECHA!$D$2:$D$201,MATCH(1,(EXCEPCIONES_FECHA!$A$2:$A$201=$A634)*(EXCEPCIONES_FECHA!$B$2:$B$201=""),0)),IFERROR(INDEX(IF($I634="FIN",HISTORIAL_HORARIOS!$J$2:$J$201,HISTORIAL_HORARIOS!$F$2:$F$201),MATCH(1,(HISTORIAL_HORARIOS!$A$2:$A$201=$B634)*(HISTORIAL_HORARIOS!$C$2:$C$201&lt;=$A634)*(HISTORIAL_HORARIOS!$D$2:$D$201&gt;=$A634),0)),INDEX(IF($I634="FIN",PERSONAL!$J$2:$J$80,PERSONAL!$F$2:$F$80),MATCH($B634,PERSONAL!$A$2:$A$80,0)))))</f>
        <v/>
      </c>
      <c r="N634" s="53">
        <f t="array" ref="N634">IFERROR(INDEX(EXCEPCIONES_FECHA!$E$2:$E$201,MATCH(1,(EXCEPCIONES_FECHA!$A$2:$A$201=$A634)*(EXCEPCIONES_FECHA!$B$2:$B$201=$B634),0)),IFERROR(INDEX(EXCEPCIONES_FECHA!$E$2:$E$201,MATCH(1,(EXCEPCIONES_FECHA!$A$2:$A$201=$A634)*(EXCEPCIONES_FECHA!$B$2:$B$201=""),0)),IFERROR(INDEX(IF($I634="FIN",HISTORIAL_HORARIOS!$K$2:$K$201,HISTORIAL_HORARIOS!$G$2:$G$201),MATCH(1,(HISTORIAL_HORARIOS!$A$2:$A$201=$B634)*(HISTORIAL_HORARIOS!$C$2:$C$201&lt;=$A634)*(HISTORIAL_HORARIOS!$D$2:$D$201&gt;=$A634),0)),INDEX(IF($I634="FIN",PERSONAL!$K$2:$K$80,PERSONAL!$G$2:$G$80),MATCH($B634,PERSONAL!$A$2:$A$80,0)))))</f>
        <v/>
      </c>
      <c r="O634" s="53">
        <f t="array" ref="O634">IFERROR(INDEX(EXCEPCIONES_FECHA!$F$2:$F$201,MATCH(1,(EXCEPCIONES_FECHA!$A$2:$A$201=$A634)*(EXCEPCIONES_FECHA!$B$2:$B$201=$B634),0)),IFERROR(INDEX(EXCEPCIONES_FECHA!$F$2:$F$201,MATCH(1,(EXCEPCIONES_FECHA!$A$2:$A$201=$A634)*(EXCEPCIONES_FECHA!$B$2:$B$201=""),0)),IFERROR(INDEX(IF($I634="FIN",HISTORIAL_HORARIOS!$L$2:$L$201,HISTORIAL_HORARIOS!$H$2:$H$201),MATCH(1,(HISTORIAL_HORARIOS!$A$2:$A$201=$B634)*(HISTORIAL_HORARIOS!$C$2:$C$201&lt;=$A634)*(HISTORIAL_HORARIOS!$D$2:$D$201&gt;=$A634),0)),INDEX(IF($I634="FIN",PERSONAL!$L$2:$L$80,PERSONAL!$H$2:$H$80),MATCH($B634,PERSONAL!$A$2:$A$80,0)))))</f>
        <v/>
      </c>
    </row>
    <row r="635" ht="15" customHeight="1" s="58">
      <c r="A635" s="37" t="n"/>
      <c r="B635" s="38" t="n"/>
      <c r="C635" s="39" t="n"/>
      <c r="D635" s="39" t="n"/>
      <c r="E635" s="34">
        <f t="array" ref="E635">IF($B635="","",IFERROR(INDEX(PERSONAL!$B$2:$B$80,MATCH($B635,PERSONAL!$A$2:$A$80,0)),"NO EXISTE"))</f>
        <v/>
      </c>
      <c r="F635" s="52">
        <f t="array" ref="F635">IF($B635="","",IFERROR(INDEX(PERSONAL!$C$2:$C$80,MATCH($B635,PERSONAL!$A$2:$A$80,0)),""))</f>
        <v/>
      </c>
      <c r="G635" s="52">
        <f>IF($A635="","",CHOOSE(WEEKDAY($A635,2),"LUNES","MARTES","MIÉRCOLES","JUEVES","VIERNES","SÁBADO","DOMINGO"))</f>
        <v/>
      </c>
      <c r="H635" s="34">
        <f>IF($A635="","",CHOOSE(MONTH($A635),"ENERO","FEBRERO","MARZO","ABRIL","MAYO","JUNIO","JULIO","AGOSTO","SEPTIEMBRE","OCTUBRE","NOVIEMBRE","DICIEMBRE"))</f>
        <v/>
      </c>
      <c r="I635" s="34">
        <f>IF($A635="","",IF(OR($G635="SÁBADO",$G635="DOMINGO"),"FIN","LV"))</f>
        <v/>
      </c>
      <c r="J635" s="34">
        <f>IF(OR($A635="",$B635=""),"",IF($L635&lt;&gt;"",UPPER($L635),IF($C635="","FALTA",IFERROR(IF($C635&gt;=$O635,"ROJO FUERTE",IF($C635&gt;=$N635,"ROJO",IF($C635&gt;=$M635,"AMARILLO","VERDE"))),"REVISAR"))))</f>
        <v/>
      </c>
      <c r="K635" s="36">
        <f>IF(OR($C635="",$D635=""),"",IF($D635&gt;=$C635,($D635-$C635)*24,(1-$C635+$D635)*24))</f>
        <v/>
      </c>
      <c r="L635" s="34" t="n"/>
      <c r="M635" s="53">
        <f t="array" ref="M635">IFERROR(INDEX(EXCEPCIONES_FECHA!$D$2:$D$201,MATCH(1,(EXCEPCIONES_FECHA!$A$2:$A$201=$A635)*(EXCEPCIONES_FECHA!$B$2:$B$201=$B635),0)),IFERROR(INDEX(EXCEPCIONES_FECHA!$D$2:$D$201,MATCH(1,(EXCEPCIONES_FECHA!$A$2:$A$201=$A635)*(EXCEPCIONES_FECHA!$B$2:$B$201=""),0)),IFERROR(INDEX(IF($I635="FIN",HISTORIAL_HORARIOS!$J$2:$J$201,HISTORIAL_HORARIOS!$F$2:$F$201),MATCH(1,(HISTORIAL_HORARIOS!$A$2:$A$201=$B635)*(HISTORIAL_HORARIOS!$C$2:$C$201&lt;=$A635)*(HISTORIAL_HORARIOS!$D$2:$D$201&gt;=$A635),0)),INDEX(IF($I635="FIN",PERSONAL!$J$2:$J$80,PERSONAL!$F$2:$F$80),MATCH($B635,PERSONAL!$A$2:$A$80,0)))))</f>
        <v/>
      </c>
      <c r="N635" s="53">
        <f t="array" ref="N635">IFERROR(INDEX(EXCEPCIONES_FECHA!$E$2:$E$201,MATCH(1,(EXCEPCIONES_FECHA!$A$2:$A$201=$A635)*(EXCEPCIONES_FECHA!$B$2:$B$201=$B635),0)),IFERROR(INDEX(EXCEPCIONES_FECHA!$E$2:$E$201,MATCH(1,(EXCEPCIONES_FECHA!$A$2:$A$201=$A635)*(EXCEPCIONES_FECHA!$B$2:$B$201=""),0)),IFERROR(INDEX(IF($I635="FIN",HISTORIAL_HORARIOS!$K$2:$K$201,HISTORIAL_HORARIOS!$G$2:$G$201),MATCH(1,(HISTORIAL_HORARIOS!$A$2:$A$201=$B635)*(HISTORIAL_HORARIOS!$C$2:$C$201&lt;=$A635)*(HISTORIAL_HORARIOS!$D$2:$D$201&gt;=$A635),0)),INDEX(IF($I635="FIN",PERSONAL!$K$2:$K$80,PERSONAL!$G$2:$G$80),MATCH($B635,PERSONAL!$A$2:$A$80,0)))))</f>
        <v/>
      </c>
      <c r="O635" s="53">
        <f t="array" ref="O635">IFERROR(INDEX(EXCEPCIONES_FECHA!$F$2:$F$201,MATCH(1,(EXCEPCIONES_FECHA!$A$2:$A$201=$A635)*(EXCEPCIONES_FECHA!$B$2:$B$201=$B635),0)),IFERROR(INDEX(EXCEPCIONES_FECHA!$F$2:$F$201,MATCH(1,(EXCEPCIONES_FECHA!$A$2:$A$201=$A635)*(EXCEPCIONES_FECHA!$B$2:$B$201=""),0)),IFERROR(INDEX(IF($I635="FIN",HISTORIAL_HORARIOS!$L$2:$L$201,HISTORIAL_HORARIOS!$H$2:$H$201),MATCH(1,(HISTORIAL_HORARIOS!$A$2:$A$201=$B635)*(HISTORIAL_HORARIOS!$C$2:$C$201&lt;=$A635)*(HISTORIAL_HORARIOS!$D$2:$D$201&gt;=$A635),0)),INDEX(IF($I635="FIN",PERSONAL!$L$2:$L$80,PERSONAL!$H$2:$H$80),MATCH($B635,PERSONAL!$A$2:$A$80,0)))))</f>
        <v/>
      </c>
    </row>
    <row r="636" ht="15" customHeight="1" s="58">
      <c r="A636" s="37" t="n"/>
      <c r="B636" s="38" t="n"/>
      <c r="C636" s="39" t="n"/>
      <c r="D636" s="39" t="n"/>
      <c r="E636" s="34">
        <f t="array" ref="E636">IF($B636="","",IFERROR(INDEX(PERSONAL!$B$2:$B$80,MATCH($B636,PERSONAL!$A$2:$A$80,0)),"NO EXISTE"))</f>
        <v/>
      </c>
      <c r="F636" s="52">
        <f t="array" ref="F636">IF($B636="","",IFERROR(INDEX(PERSONAL!$C$2:$C$80,MATCH($B636,PERSONAL!$A$2:$A$80,0)),""))</f>
        <v/>
      </c>
      <c r="G636" s="52">
        <f>IF($A636="","",CHOOSE(WEEKDAY($A636,2),"LUNES","MARTES","MIÉRCOLES","JUEVES","VIERNES","SÁBADO","DOMINGO"))</f>
        <v/>
      </c>
      <c r="H636" s="34">
        <f>IF($A636="","",CHOOSE(MONTH($A636),"ENERO","FEBRERO","MARZO","ABRIL","MAYO","JUNIO","JULIO","AGOSTO","SEPTIEMBRE","OCTUBRE","NOVIEMBRE","DICIEMBRE"))</f>
        <v/>
      </c>
      <c r="I636" s="34">
        <f>IF($A636="","",IF(OR($G636="SÁBADO",$G636="DOMINGO"),"FIN","LV"))</f>
        <v/>
      </c>
      <c r="J636" s="34">
        <f>IF(OR($A636="",$B636=""),"",IF($L636&lt;&gt;"",UPPER($L636),IF($C636="","FALTA",IFERROR(IF($C636&gt;=$O636,"ROJO FUERTE",IF($C636&gt;=$N636,"ROJO",IF($C636&gt;=$M636,"AMARILLO","VERDE"))),"REVISAR"))))</f>
        <v/>
      </c>
      <c r="K636" s="36">
        <f>IF(OR($C636="",$D636=""),"",IF($D636&gt;=$C636,($D636-$C636)*24,(1-$C636+$D636)*24))</f>
        <v/>
      </c>
      <c r="L636" s="34" t="n"/>
      <c r="M636" s="53">
        <f t="array" ref="M636">IFERROR(INDEX(EXCEPCIONES_FECHA!$D$2:$D$201,MATCH(1,(EXCEPCIONES_FECHA!$A$2:$A$201=$A636)*(EXCEPCIONES_FECHA!$B$2:$B$201=$B636),0)),IFERROR(INDEX(EXCEPCIONES_FECHA!$D$2:$D$201,MATCH(1,(EXCEPCIONES_FECHA!$A$2:$A$201=$A636)*(EXCEPCIONES_FECHA!$B$2:$B$201=""),0)),IFERROR(INDEX(IF($I636="FIN",HISTORIAL_HORARIOS!$J$2:$J$201,HISTORIAL_HORARIOS!$F$2:$F$201),MATCH(1,(HISTORIAL_HORARIOS!$A$2:$A$201=$B636)*(HISTORIAL_HORARIOS!$C$2:$C$201&lt;=$A636)*(HISTORIAL_HORARIOS!$D$2:$D$201&gt;=$A636),0)),INDEX(IF($I636="FIN",PERSONAL!$J$2:$J$80,PERSONAL!$F$2:$F$80),MATCH($B636,PERSONAL!$A$2:$A$80,0)))))</f>
        <v/>
      </c>
      <c r="N636" s="53">
        <f t="array" ref="N636">IFERROR(INDEX(EXCEPCIONES_FECHA!$E$2:$E$201,MATCH(1,(EXCEPCIONES_FECHA!$A$2:$A$201=$A636)*(EXCEPCIONES_FECHA!$B$2:$B$201=$B636),0)),IFERROR(INDEX(EXCEPCIONES_FECHA!$E$2:$E$201,MATCH(1,(EXCEPCIONES_FECHA!$A$2:$A$201=$A636)*(EXCEPCIONES_FECHA!$B$2:$B$201=""),0)),IFERROR(INDEX(IF($I636="FIN",HISTORIAL_HORARIOS!$K$2:$K$201,HISTORIAL_HORARIOS!$G$2:$G$201),MATCH(1,(HISTORIAL_HORARIOS!$A$2:$A$201=$B636)*(HISTORIAL_HORARIOS!$C$2:$C$201&lt;=$A636)*(HISTORIAL_HORARIOS!$D$2:$D$201&gt;=$A636),0)),INDEX(IF($I636="FIN",PERSONAL!$K$2:$K$80,PERSONAL!$G$2:$G$80),MATCH($B636,PERSONAL!$A$2:$A$80,0)))))</f>
        <v/>
      </c>
      <c r="O636" s="53">
        <f t="array" ref="O636">IFERROR(INDEX(EXCEPCIONES_FECHA!$F$2:$F$201,MATCH(1,(EXCEPCIONES_FECHA!$A$2:$A$201=$A636)*(EXCEPCIONES_FECHA!$B$2:$B$201=$B636),0)),IFERROR(INDEX(EXCEPCIONES_FECHA!$F$2:$F$201,MATCH(1,(EXCEPCIONES_FECHA!$A$2:$A$201=$A636)*(EXCEPCIONES_FECHA!$B$2:$B$201=""),0)),IFERROR(INDEX(IF($I636="FIN",HISTORIAL_HORARIOS!$L$2:$L$201,HISTORIAL_HORARIOS!$H$2:$H$201),MATCH(1,(HISTORIAL_HORARIOS!$A$2:$A$201=$B636)*(HISTORIAL_HORARIOS!$C$2:$C$201&lt;=$A636)*(HISTORIAL_HORARIOS!$D$2:$D$201&gt;=$A636),0)),INDEX(IF($I636="FIN",PERSONAL!$L$2:$L$80,PERSONAL!$H$2:$H$80),MATCH($B636,PERSONAL!$A$2:$A$80,0)))))</f>
        <v/>
      </c>
    </row>
    <row r="637" ht="15" customHeight="1" s="58">
      <c r="A637" s="37" t="n"/>
      <c r="B637" s="38" t="n"/>
      <c r="C637" s="39" t="n"/>
      <c r="D637" s="39" t="n"/>
      <c r="E637" s="34">
        <f t="array" ref="E637">IF($B637="","",IFERROR(INDEX(PERSONAL!$B$2:$B$80,MATCH($B637,PERSONAL!$A$2:$A$80,0)),"NO EXISTE"))</f>
        <v/>
      </c>
      <c r="F637" s="52">
        <f t="array" ref="F637">IF($B637="","",IFERROR(INDEX(PERSONAL!$C$2:$C$80,MATCH($B637,PERSONAL!$A$2:$A$80,0)),""))</f>
        <v/>
      </c>
      <c r="G637" s="52">
        <f>IF($A637="","",CHOOSE(WEEKDAY($A637,2),"LUNES","MARTES","MIÉRCOLES","JUEVES","VIERNES","SÁBADO","DOMINGO"))</f>
        <v/>
      </c>
      <c r="H637" s="34">
        <f>IF($A637="","",CHOOSE(MONTH($A637),"ENERO","FEBRERO","MARZO","ABRIL","MAYO","JUNIO","JULIO","AGOSTO","SEPTIEMBRE","OCTUBRE","NOVIEMBRE","DICIEMBRE"))</f>
        <v/>
      </c>
      <c r="I637" s="34">
        <f>IF($A637="","",IF(OR($G637="SÁBADO",$G637="DOMINGO"),"FIN","LV"))</f>
        <v/>
      </c>
      <c r="J637" s="34">
        <f>IF(OR($A637="",$B637=""),"",IF($L637&lt;&gt;"",UPPER($L637),IF($C637="","FALTA",IFERROR(IF($C637&gt;=$O637,"ROJO FUERTE",IF($C637&gt;=$N637,"ROJO",IF($C637&gt;=$M637,"AMARILLO","VERDE"))),"REVISAR"))))</f>
        <v/>
      </c>
      <c r="K637" s="36">
        <f>IF(OR($C637="",$D637=""),"",IF($D637&gt;=$C637,($D637-$C637)*24,(1-$C637+$D637)*24))</f>
        <v/>
      </c>
      <c r="L637" s="34" t="n"/>
      <c r="M637" s="53">
        <f t="array" ref="M637">IFERROR(INDEX(EXCEPCIONES_FECHA!$D$2:$D$201,MATCH(1,(EXCEPCIONES_FECHA!$A$2:$A$201=$A637)*(EXCEPCIONES_FECHA!$B$2:$B$201=$B637),0)),IFERROR(INDEX(EXCEPCIONES_FECHA!$D$2:$D$201,MATCH(1,(EXCEPCIONES_FECHA!$A$2:$A$201=$A637)*(EXCEPCIONES_FECHA!$B$2:$B$201=""),0)),IFERROR(INDEX(IF($I637="FIN",HISTORIAL_HORARIOS!$J$2:$J$201,HISTORIAL_HORARIOS!$F$2:$F$201),MATCH(1,(HISTORIAL_HORARIOS!$A$2:$A$201=$B637)*(HISTORIAL_HORARIOS!$C$2:$C$201&lt;=$A637)*(HISTORIAL_HORARIOS!$D$2:$D$201&gt;=$A637),0)),INDEX(IF($I637="FIN",PERSONAL!$J$2:$J$80,PERSONAL!$F$2:$F$80),MATCH($B637,PERSONAL!$A$2:$A$80,0)))))</f>
        <v/>
      </c>
      <c r="N637" s="53">
        <f t="array" ref="N637">IFERROR(INDEX(EXCEPCIONES_FECHA!$E$2:$E$201,MATCH(1,(EXCEPCIONES_FECHA!$A$2:$A$201=$A637)*(EXCEPCIONES_FECHA!$B$2:$B$201=$B637),0)),IFERROR(INDEX(EXCEPCIONES_FECHA!$E$2:$E$201,MATCH(1,(EXCEPCIONES_FECHA!$A$2:$A$201=$A637)*(EXCEPCIONES_FECHA!$B$2:$B$201=""),0)),IFERROR(INDEX(IF($I637="FIN",HISTORIAL_HORARIOS!$K$2:$K$201,HISTORIAL_HORARIOS!$G$2:$G$201),MATCH(1,(HISTORIAL_HORARIOS!$A$2:$A$201=$B637)*(HISTORIAL_HORARIOS!$C$2:$C$201&lt;=$A637)*(HISTORIAL_HORARIOS!$D$2:$D$201&gt;=$A637),0)),INDEX(IF($I637="FIN",PERSONAL!$K$2:$K$80,PERSONAL!$G$2:$G$80),MATCH($B637,PERSONAL!$A$2:$A$80,0)))))</f>
        <v/>
      </c>
      <c r="O637" s="53">
        <f t="array" ref="O637">IFERROR(INDEX(EXCEPCIONES_FECHA!$F$2:$F$201,MATCH(1,(EXCEPCIONES_FECHA!$A$2:$A$201=$A637)*(EXCEPCIONES_FECHA!$B$2:$B$201=$B637),0)),IFERROR(INDEX(EXCEPCIONES_FECHA!$F$2:$F$201,MATCH(1,(EXCEPCIONES_FECHA!$A$2:$A$201=$A637)*(EXCEPCIONES_FECHA!$B$2:$B$201=""),0)),IFERROR(INDEX(IF($I637="FIN",HISTORIAL_HORARIOS!$L$2:$L$201,HISTORIAL_HORARIOS!$H$2:$H$201),MATCH(1,(HISTORIAL_HORARIOS!$A$2:$A$201=$B637)*(HISTORIAL_HORARIOS!$C$2:$C$201&lt;=$A637)*(HISTORIAL_HORARIOS!$D$2:$D$201&gt;=$A637),0)),INDEX(IF($I637="FIN",PERSONAL!$L$2:$L$80,PERSONAL!$H$2:$H$80),MATCH($B637,PERSONAL!$A$2:$A$80,0)))))</f>
        <v/>
      </c>
    </row>
    <row r="638" ht="15" customHeight="1" s="58">
      <c r="A638" s="37" t="n"/>
      <c r="B638" s="38" t="n"/>
      <c r="C638" s="39" t="n"/>
      <c r="D638" s="39" t="n"/>
      <c r="E638" s="34">
        <f t="array" ref="E638">IF($B638="","",IFERROR(INDEX(PERSONAL!$B$2:$B$80,MATCH($B638,PERSONAL!$A$2:$A$80,0)),"NO EXISTE"))</f>
        <v/>
      </c>
      <c r="F638" s="52">
        <f t="array" ref="F638">IF($B638="","",IFERROR(INDEX(PERSONAL!$C$2:$C$80,MATCH($B638,PERSONAL!$A$2:$A$80,0)),""))</f>
        <v/>
      </c>
      <c r="G638" s="52">
        <f>IF($A638="","",CHOOSE(WEEKDAY($A638,2),"LUNES","MARTES","MIÉRCOLES","JUEVES","VIERNES","SÁBADO","DOMINGO"))</f>
        <v/>
      </c>
      <c r="H638" s="34">
        <f>IF($A638="","",CHOOSE(MONTH($A638),"ENERO","FEBRERO","MARZO","ABRIL","MAYO","JUNIO","JULIO","AGOSTO","SEPTIEMBRE","OCTUBRE","NOVIEMBRE","DICIEMBRE"))</f>
        <v/>
      </c>
      <c r="I638" s="34">
        <f>IF($A638="","",IF(OR($G638="SÁBADO",$G638="DOMINGO"),"FIN","LV"))</f>
        <v/>
      </c>
      <c r="J638" s="34">
        <f>IF(OR($A638="",$B638=""),"",IF($L638&lt;&gt;"",UPPER($L638),IF($C638="","FALTA",IFERROR(IF($C638&gt;=$O638,"ROJO FUERTE",IF($C638&gt;=$N638,"ROJO",IF($C638&gt;=$M638,"AMARILLO","VERDE"))),"REVISAR"))))</f>
        <v/>
      </c>
      <c r="K638" s="36">
        <f>IF(OR($C638="",$D638=""),"",IF($D638&gt;=$C638,($D638-$C638)*24,(1-$C638+$D638)*24))</f>
        <v/>
      </c>
      <c r="L638" s="34" t="n"/>
      <c r="M638" s="53">
        <f t="array" ref="M638">IFERROR(INDEX(EXCEPCIONES_FECHA!$D$2:$D$201,MATCH(1,(EXCEPCIONES_FECHA!$A$2:$A$201=$A638)*(EXCEPCIONES_FECHA!$B$2:$B$201=$B638),0)),IFERROR(INDEX(EXCEPCIONES_FECHA!$D$2:$D$201,MATCH(1,(EXCEPCIONES_FECHA!$A$2:$A$201=$A638)*(EXCEPCIONES_FECHA!$B$2:$B$201=""),0)),IFERROR(INDEX(IF($I638="FIN",HISTORIAL_HORARIOS!$J$2:$J$201,HISTORIAL_HORARIOS!$F$2:$F$201),MATCH(1,(HISTORIAL_HORARIOS!$A$2:$A$201=$B638)*(HISTORIAL_HORARIOS!$C$2:$C$201&lt;=$A638)*(HISTORIAL_HORARIOS!$D$2:$D$201&gt;=$A638),0)),INDEX(IF($I638="FIN",PERSONAL!$J$2:$J$80,PERSONAL!$F$2:$F$80),MATCH($B638,PERSONAL!$A$2:$A$80,0)))))</f>
        <v/>
      </c>
      <c r="N638" s="53">
        <f t="array" ref="N638">IFERROR(INDEX(EXCEPCIONES_FECHA!$E$2:$E$201,MATCH(1,(EXCEPCIONES_FECHA!$A$2:$A$201=$A638)*(EXCEPCIONES_FECHA!$B$2:$B$201=$B638),0)),IFERROR(INDEX(EXCEPCIONES_FECHA!$E$2:$E$201,MATCH(1,(EXCEPCIONES_FECHA!$A$2:$A$201=$A638)*(EXCEPCIONES_FECHA!$B$2:$B$201=""),0)),IFERROR(INDEX(IF($I638="FIN",HISTORIAL_HORARIOS!$K$2:$K$201,HISTORIAL_HORARIOS!$G$2:$G$201),MATCH(1,(HISTORIAL_HORARIOS!$A$2:$A$201=$B638)*(HISTORIAL_HORARIOS!$C$2:$C$201&lt;=$A638)*(HISTORIAL_HORARIOS!$D$2:$D$201&gt;=$A638),0)),INDEX(IF($I638="FIN",PERSONAL!$K$2:$K$80,PERSONAL!$G$2:$G$80),MATCH($B638,PERSONAL!$A$2:$A$80,0)))))</f>
        <v/>
      </c>
      <c r="O638" s="53">
        <f t="array" ref="O638">IFERROR(INDEX(EXCEPCIONES_FECHA!$F$2:$F$201,MATCH(1,(EXCEPCIONES_FECHA!$A$2:$A$201=$A638)*(EXCEPCIONES_FECHA!$B$2:$B$201=$B638),0)),IFERROR(INDEX(EXCEPCIONES_FECHA!$F$2:$F$201,MATCH(1,(EXCEPCIONES_FECHA!$A$2:$A$201=$A638)*(EXCEPCIONES_FECHA!$B$2:$B$201=""),0)),IFERROR(INDEX(IF($I638="FIN",HISTORIAL_HORARIOS!$L$2:$L$201,HISTORIAL_HORARIOS!$H$2:$H$201),MATCH(1,(HISTORIAL_HORARIOS!$A$2:$A$201=$B638)*(HISTORIAL_HORARIOS!$C$2:$C$201&lt;=$A638)*(HISTORIAL_HORARIOS!$D$2:$D$201&gt;=$A638),0)),INDEX(IF($I638="FIN",PERSONAL!$L$2:$L$80,PERSONAL!$H$2:$H$80),MATCH($B638,PERSONAL!$A$2:$A$80,0)))))</f>
        <v/>
      </c>
    </row>
    <row r="639" ht="15" customHeight="1" s="58">
      <c r="A639" s="37" t="n"/>
      <c r="B639" s="38" t="n"/>
      <c r="C639" s="39" t="n"/>
      <c r="D639" s="39" t="n"/>
      <c r="E639" s="34">
        <f t="array" ref="E639">IF($B639="","",IFERROR(INDEX(PERSONAL!$B$2:$B$80,MATCH($B639,PERSONAL!$A$2:$A$80,0)),"NO EXISTE"))</f>
        <v/>
      </c>
      <c r="F639" s="52">
        <f t="array" ref="F639">IF($B639="","",IFERROR(INDEX(PERSONAL!$C$2:$C$80,MATCH($B639,PERSONAL!$A$2:$A$80,0)),""))</f>
        <v/>
      </c>
      <c r="G639" s="52">
        <f>IF($A639="","",CHOOSE(WEEKDAY($A639,2),"LUNES","MARTES","MIÉRCOLES","JUEVES","VIERNES","SÁBADO","DOMINGO"))</f>
        <v/>
      </c>
      <c r="H639" s="34">
        <f>IF($A639="","",CHOOSE(MONTH($A639),"ENERO","FEBRERO","MARZO","ABRIL","MAYO","JUNIO","JULIO","AGOSTO","SEPTIEMBRE","OCTUBRE","NOVIEMBRE","DICIEMBRE"))</f>
        <v/>
      </c>
      <c r="I639" s="34">
        <f>IF($A639="","",IF(OR($G639="SÁBADO",$G639="DOMINGO"),"FIN","LV"))</f>
        <v/>
      </c>
      <c r="J639" s="34">
        <f>IF(OR($A639="",$B639=""),"",IF($L639&lt;&gt;"",UPPER($L639),IF($C639="","FALTA",IFERROR(IF($C639&gt;=$O639,"ROJO FUERTE",IF($C639&gt;=$N639,"ROJO",IF($C639&gt;=$M639,"AMARILLO","VERDE"))),"REVISAR"))))</f>
        <v/>
      </c>
      <c r="K639" s="36">
        <f>IF(OR($C639="",$D639=""),"",IF($D639&gt;=$C639,($D639-$C639)*24,(1-$C639+$D639)*24))</f>
        <v/>
      </c>
      <c r="L639" s="34" t="n"/>
      <c r="M639" s="53">
        <f t="array" ref="M639">IFERROR(INDEX(EXCEPCIONES_FECHA!$D$2:$D$201,MATCH(1,(EXCEPCIONES_FECHA!$A$2:$A$201=$A639)*(EXCEPCIONES_FECHA!$B$2:$B$201=$B639),0)),IFERROR(INDEX(EXCEPCIONES_FECHA!$D$2:$D$201,MATCH(1,(EXCEPCIONES_FECHA!$A$2:$A$201=$A639)*(EXCEPCIONES_FECHA!$B$2:$B$201=""),0)),IFERROR(INDEX(IF($I639="FIN",HISTORIAL_HORARIOS!$J$2:$J$201,HISTORIAL_HORARIOS!$F$2:$F$201),MATCH(1,(HISTORIAL_HORARIOS!$A$2:$A$201=$B639)*(HISTORIAL_HORARIOS!$C$2:$C$201&lt;=$A639)*(HISTORIAL_HORARIOS!$D$2:$D$201&gt;=$A639),0)),INDEX(IF($I639="FIN",PERSONAL!$J$2:$J$80,PERSONAL!$F$2:$F$80),MATCH($B639,PERSONAL!$A$2:$A$80,0)))))</f>
        <v/>
      </c>
      <c r="N639" s="53">
        <f t="array" ref="N639">IFERROR(INDEX(EXCEPCIONES_FECHA!$E$2:$E$201,MATCH(1,(EXCEPCIONES_FECHA!$A$2:$A$201=$A639)*(EXCEPCIONES_FECHA!$B$2:$B$201=$B639),0)),IFERROR(INDEX(EXCEPCIONES_FECHA!$E$2:$E$201,MATCH(1,(EXCEPCIONES_FECHA!$A$2:$A$201=$A639)*(EXCEPCIONES_FECHA!$B$2:$B$201=""),0)),IFERROR(INDEX(IF($I639="FIN",HISTORIAL_HORARIOS!$K$2:$K$201,HISTORIAL_HORARIOS!$G$2:$G$201),MATCH(1,(HISTORIAL_HORARIOS!$A$2:$A$201=$B639)*(HISTORIAL_HORARIOS!$C$2:$C$201&lt;=$A639)*(HISTORIAL_HORARIOS!$D$2:$D$201&gt;=$A639),0)),INDEX(IF($I639="FIN",PERSONAL!$K$2:$K$80,PERSONAL!$G$2:$G$80),MATCH($B639,PERSONAL!$A$2:$A$80,0)))))</f>
        <v/>
      </c>
      <c r="O639" s="53">
        <f t="array" ref="O639">IFERROR(INDEX(EXCEPCIONES_FECHA!$F$2:$F$201,MATCH(1,(EXCEPCIONES_FECHA!$A$2:$A$201=$A639)*(EXCEPCIONES_FECHA!$B$2:$B$201=$B639),0)),IFERROR(INDEX(EXCEPCIONES_FECHA!$F$2:$F$201,MATCH(1,(EXCEPCIONES_FECHA!$A$2:$A$201=$A639)*(EXCEPCIONES_FECHA!$B$2:$B$201=""),0)),IFERROR(INDEX(IF($I639="FIN",HISTORIAL_HORARIOS!$L$2:$L$201,HISTORIAL_HORARIOS!$H$2:$H$201),MATCH(1,(HISTORIAL_HORARIOS!$A$2:$A$201=$B639)*(HISTORIAL_HORARIOS!$C$2:$C$201&lt;=$A639)*(HISTORIAL_HORARIOS!$D$2:$D$201&gt;=$A639),0)),INDEX(IF($I639="FIN",PERSONAL!$L$2:$L$80,PERSONAL!$H$2:$H$80),MATCH($B639,PERSONAL!$A$2:$A$80,0)))))</f>
        <v/>
      </c>
    </row>
    <row r="640" ht="15" customHeight="1" s="58">
      <c r="A640" s="37" t="n"/>
      <c r="B640" s="38" t="n"/>
      <c r="C640" s="39" t="n"/>
      <c r="D640" s="39" t="n"/>
      <c r="E640" s="34">
        <f t="array" ref="E640">IF($B640="","",IFERROR(INDEX(PERSONAL!$B$2:$B$80,MATCH($B640,PERSONAL!$A$2:$A$80,0)),"NO EXISTE"))</f>
        <v/>
      </c>
      <c r="F640" s="52">
        <f t="array" ref="F640">IF($B640="","",IFERROR(INDEX(PERSONAL!$C$2:$C$80,MATCH($B640,PERSONAL!$A$2:$A$80,0)),""))</f>
        <v/>
      </c>
      <c r="G640" s="52">
        <f>IF($A640="","",CHOOSE(WEEKDAY($A640,2),"LUNES","MARTES","MIÉRCOLES","JUEVES","VIERNES","SÁBADO","DOMINGO"))</f>
        <v/>
      </c>
      <c r="H640" s="34">
        <f>IF($A640="","",CHOOSE(MONTH($A640),"ENERO","FEBRERO","MARZO","ABRIL","MAYO","JUNIO","JULIO","AGOSTO","SEPTIEMBRE","OCTUBRE","NOVIEMBRE","DICIEMBRE"))</f>
        <v/>
      </c>
      <c r="I640" s="34">
        <f>IF($A640="","",IF(OR($G640="SÁBADO",$G640="DOMINGO"),"FIN","LV"))</f>
        <v/>
      </c>
      <c r="J640" s="34">
        <f>IF(OR($A640="",$B640=""),"",IF($L640&lt;&gt;"",UPPER($L640),IF($C640="","FALTA",IFERROR(IF($C640&gt;=$O640,"ROJO FUERTE",IF($C640&gt;=$N640,"ROJO",IF($C640&gt;=$M640,"AMARILLO","VERDE"))),"REVISAR"))))</f>
        <v/>
      </c>
      <c r="K640" s="36">
        <f>IF(OR($C640="",$D640=""),"",IF($D640&gt;=$C640,($D640-$C640)*24,(1-$C640+$D640)*24))</f>
        <v/>
      </c>
      <c r="L640" s="34" t="n"/>
      <c r="M640" s="53">
        <f t="array" ref="M640">IFERROR(INDEX(EXCEPCIONES_FECHA!$D$2:$D$201,MATCH(1,(EXCEPCIONES_FECHA!$A$2:$A$201=$A640)*(EXCEPCIONES_FECHA!$B$2:$B$201=$B640),0)),IFERROR(INDEX(EXCEPCIONES_FECHA!$D$2:$D$201,MATCH(1,(EXCEPCIONES_FECHA!$A$2:$A$201=$A640)*(EXCEPCIONES_FECHA!$B$2:$B$201=""),0)),IFERROR(INDEX(IF($I640="FIN",HISTORIAL_HORARIOS!$J$2:$J$201,HISTORIAL_HORARIOS!$F$2:$F$201),MATCH(1,(HISTORIAL_HORARIOS!$A$2:$A$201=$B640)*(HISTORIAL_HORARIOS!$C$2:$C$201&lt;=$A640)*(HISTORIAL_HORARIOS!$D$2:$D$201&gt;=$A640),0)),INDEX(IF($I640="FIN",PERSONAL!$J$2:$J$80,PERSONAL!$F$2:$F$80),MATCH($B640,PERSONAL!$A$2:$A$80,0)))))</f>
        <v/>
      </c>
      <c r="N640" s="53">
        <f t="array" ref="N640">IFERROR(INDEX(EXCEPCIONES_FECHA!$E$2:$E$201,MATCH(1,(EXCEPCIONES_FECHA!$A$2:$A$201=$A640)*(EXCEPCIONES_FECHA!$B$2:$B$201=$B640),0)),IFERROR(INDEX(EXCEPCIONES_FECHA!$E$2:$E$201,MATCH(1,(EXCEPCIONES_FECHA!$A$2:$A$201=$A640)*(EXCEPCIONES_FECHA!$B$2:$B$201=""),0)),IFERROR(INDEX(IF($I640="FIN",HISTORIAL_HORARIOS!$K$2:$K$201,HISTORIAL_HORARIOS!$G$2:$G$201),MATCH(1,(HISTORIAL_HORARIOS!$A$2:$A$201=$B640)*(HISTORIAL_HORARIOS!$C$2:$C$201&lt;=$A640)*(HISTORIAL_HORARIOS!$D$2:$D$201&gt;=$A640),0)),INDEX(IF($I640="FIN",PERSONAL!$K$2:$K$80,PERSONAL!$G$2:$G$80),MATCH($B640,PERSONAL!$A$2:$A$80,0)))))</f>
        <v/>
      </c>
      <c r="O640" s="53">
        <f t="array" ref="O640">IFERROR(INDEX(EXCEPCIONES_FECHA!$F$2:$F$201,MATCH(1,(EXCEPCIONES_FECHA!$A$2:$A$201=$A640)*(EXCEPCIONES_FECHA!$B$2:$B$201=$B640),0)),IFERROR(INDEX(EXCEPCIONES_FECHA!$F$2:$F$201,MATCH(1,(EXCEPCIONES_FECHA!$A$2:$A$201=$A640)*(EXCEPCIONES_FECHA!$B$2:$B$201=""),0)),IFERROR(INDEX(IF($I640="FIN",HISTORIAL_HORARIOS!$L$2:$L$201,HISTORIAL_HORARIOS!$H$2:$H$201),MATCH(1,(HISTORIAL_HORARIOS!$A$2:$A$201=$B640)*(HISTORIAL_HORARIOS!$C$2:$C$201&lt;=$A640)*(HISTORIAL_HORARIOS!$D$2:$D$201&gt;=$A640),0)),INDEX(IF($I640="FIN",PERSONAL!$L$2:$L$80,PERSONAL!$H$2:$H$80),MATCH($B640,PERSONAL!$A$2:$A$80,0)))))</f>
        <v/>
      </c>
    </row>
    <row r="641" ht="15" customHeight="1" s="58">
      <c r="A641" s="37" t="n"/>
      <c r="B641" s="38" t="n"/>
      <c r="C641" s="39" t="n"/>
      <c r="D641" s="39" t="n"/>
      <c r="E641" s="34">
        <f t="array" ref="E641">IF($B641="","",IFERROR(INDEX(PERSONAL!$B$2:$B$80,MATCH($B641,PERSONAL!$A$2:$A$80,0)),"NO EXISTE"))</f>
        <v/>
      </c>
      <c r="F641" s="52">
        <f t="array" ref="F641">IF($B641="","",IFERROR(INDEX(PERSONAL!$C$2:$C$80,MATCH($B641,PERSONAL!$A$2:$A$80,0)),""))</f>
        <v/>
      </c>
      <c r="G641" s="52">
        <f>IF($A641="","",CHOOSE(WEEKDAY($A641,2),"LUNES","MARTES","MIÉRCOLES","JUEVES","VIERNES","SÁBADO","DOMINGO"))</f>
        <v/>
      </c>
      <c r="H641" s="34">
        <f>IF($A641="","",CHOOSE(MONTH($A641),"ENERO","FEBRERO","MARZO","ABRIL","MAYO","JUNIO","JULIO","AGOSTO","SEPTIEMBRE","OCTUBRE","NOVIEMBRE","DICIEMBRE"))</f>
        <v/>
      </c>
      <c r="I641" s="34">
        <f>IF($A641="","",IF(OR($G641="SÁBADO",$G641="DOMINGO"),"FIN","LV"))</f>
        <v/>
      </c>
      <c r="J641" s="34">
        <f>IF(OR($A641="",$B641=""),"",IF($L641&lt;&gt;"",UPPER($L641),IF($C641="","FALTA",IFERROR(IF($C641&gt;=$O641,"ROJO FUERTE",IF($C641&gt;=$N641,"ROJO",IF($C641&gt;=$M641,"AMARILLO","VERDE"))),"REVISAR"))))</f>
        <v/>
      </c>
      <c r="K641" s="36">
        <f>IF(OR($C641="",$D641=""),"",IF($D641&gt;=$C641,($D641-$C641)*24,(1-$C641+$D641)*24))</f>
        <v/>
      </c>
      <c r="L641" s="34" t="n"/>
      <c r="M641" s="53">
        <f t="array" ref="M641">IFERROR(INDEX(EXCEPCIONES_FECHA!$D$2:$D$201,MATCH(1,(EXCEPCIONES_FECHA!$A$2:$A$201=$A641)*(EXCEPCIONES_FECHA!$B$2:$B$201=$B641),0)),IFERROR(INDEX(EXCEPCIONES_FECHA!$D$2:$D$201,MATCH(1,(EXCEPCIONES_FECHA!$A$2:$A$201=$A641)*(EXCEPCIONES_FECHA!$B$2:$B$201=""),0)),IFERROR(INDEX(IF($I641="FIN",HISTORIAL_HORARIOS!$J$2:$J$201,HISTORIAL_HORARIOS!$F$2:$F$201),MATCH(1,(HISTORIAL_HORARIOS!$A$2:$A$201=$B641)*(HISTORIAL_HORARIOS!$C$2:$C$201&lt;=$A641)*(HISTORIAL_HORARIOS!$D$2:$D$201&gt;=$A641),0)),INDEX(IF($I641="FIN",PERSONAL!$J$2:$J$80,PERSONAL!$F$2:$F$80),MATCH($B641,PERSONAL!$A$2:$A$80,0)))))</f>
        <v/>
      </c>
      <c r="N641" s="53">
        <f t="array" ref="N641">IFERROR(INDEX(EXCEPCIONES_FECHA!$E$2:$E$201,MATCH(1,(EXCEPCIONES_FECHA!$A$2:$A$201=$A641)*(EXCEPCIONES_FECHA!$B$2:$B$201=$B641),0)),IFERROR(INDEX(EXCEPCIONES_FECHA!$E$2:$E$201,MATCH(1,(EXCEPCIONES_FECHA!$A$2:$A$201=$A641)*(EXCEPCIONES_FECHA!$B$2:$B$201=""),0)),IFERROR(INDEX(IF($I641="FIN",HISTORIAL_HORARIOS!$K$2:$K$201,HISTORIAL_HORARIOS!$G$2:$G$201),MATCH(1,(HISTORIAL_HORARIOS!$A$2:$A$201=$B641)*(HISTORIAL_HORARIOS!$C$2:$C$201&lt;=$A641)*(HISTORIAL_HORARIOS!$D$2:$D$201&gt;=$A641),0)),INDEX(IF($I641="FIN",PERSONAL!$K$2:$K$80,PERSONAL!$G$2:$G$80),MATCH($B641,PERSONAL!$A$2:$A$80,0)))))</f>
        <v/>
      </c>
      <c r="O641" s="53">
        <f t="array" ref="O641">IFERROR(INDEX(EXCEPCIONES_FECHA!$F$2:$F$201,MATCH(1,(EXCEPCIONES_FECHA!$A$2:$A$201=$A641)*(EXCEPCIONES_FECHA!$B$2:$B$201=$B641),0)),IFERROR(INDEX(EXCEPCIONES_FECHA!$F$2:$F$201,MATCH(1,(EXCEPCIONES_FECHA!$A$2:$A$201=$A641)*(EXCEPCIONES_FECHA!$B$2:$B$201=""),0)),IFERROR(INDEX(IF($I641="FIN",HISTORIAL_HORARIOS!$L$2:$L$201,HISTORIAL_HORARIOS!$H$2:$H$201),MATCH(1,(HISTORIAL_HORARIOS!$A$2:$A$201=$B641)*(HISTORIAL_HORARIOS!$C$2:$C$201&lt;=$A641)*(HISTORIAL_HORARIOS!$D$2:$D$201&gt;=$A641),0)),INDEX(IF($I641="FIN",PERSONAL!$L$2:$L$80,PERSONAL!$H$2:$H$80),MATCH($B641,PERSONAL!$A$2:$A$80,0)))))</f>
        <v/>
      </c>
    </row>
    <row r="642" ht="15" customHeight="1" s="58">
      <c r="A642" s="37" t="n"/>
      <c r="B642" s="38" t="n"/>
      <c r="C642" s="39" t="n"/>
      <c r="D642" s="39" t="n"/>
      <c r="E642" s="34">
        <f t="array" ref="E642">IF($B642="","",IFERROR(INDEX(PERSONAL!$B$2:$B$80,MATCH($B642,PERSONAL!$A$2:$A$80,0)),"NO EXISTE"))</f>
        <v/>
      </c>
      <c r="F642" s="52">
        <f t="array" ref="F642">IF($B642="","",IFERROR(INDEX(PERSONAL!$C$2:$C$80,MATCH($B642,PERSONAL!$A$2:$A$80,0)),""))</f>
        <v/>
      </c>
      <c r="G642" s="52">
        <f>IF($A642="","",CHOOSE(WEEKDAY($A642,2),"LUNES","MARTES","MIÉRCOLES","JUEVES","VIERNES","SÁBADO","DOMINGO"))</f>
        <v/>
      </c>
      <c r="H642" s="34">
        <f>IF($A642="","",CHOOSE(MONTH($A642),"ENERO","FEBRERO","MARZO","ABRIL","MAYO","JUNIO","JULIO","AGOSTO","SEPTIEMBRE","OCTUBRE","NOVIEMBRE","DICIEMBRE"))</f>
        <v/>
      </c>
      <c r="I642" s="34">
        <f>IF($A642="","",IF(OR($G642="SÁBADO",$G642="DOMINGO"),"FIN","LV"))</f>
        <v/>
      </c>
      <c r="J642" s="34">
        <f>IF(OR($A642="",$B642=""),"",IF($L642&lt;&gt;"",UPPER($L642),IF($C642="","FALTA",IFERROR(IF($C642&gt;=$O642,"ROJO FUERTE",IF($C642&gt;=$N642,"ROJO",IF($C642&gt;=$M642,"AMARILLO","VERDE"))),"REVISAR"))))</f>
        <v/>
      </c>
      <c r="K642" s="36">
        <f>IF(OR($C642="",$D642=""),"",IF($D642&gt;=$C642,($D642-$C642)*24,(1-$C642+$D642)*24))</f>
        <v/>
      </c>
      <c r="L642" s="34" t="n"/>
      <c r="M642" s="53">
        <f t="array" ref="M642">IFERROR(INDEX(EXCEPCIONES_FECHA!$D$2:$D$201,MATCH(1,(EXCEPCIONES_FECHA!$A$2:$A$201=$A642)*(EXCEPCIONES_FECHA!$B$2:$B$201=$B642),0)),IFERROR(INDEX(EXCEPCIONES_FECHA!$D$2:$D$201,MATCH(1,(EXCEPCIONES_FECHA!$A$2:$A$201=$A642)*(EXCEPCIONES_FECHA!$B$2:$B$201=""),0)),IFERROR(INDEX(IF($I642="FIN",HISTORIAL_HORARIOS!$J$2:$J$201,HISTORIAL_HORARIOS!$F$2:$F$201),MATCH(1,(HISTORIAL_HORARIOS!$A$2:$A$201=$B642)*(HISTORIAL_HORARIOS!$C$2:$C$201&lt;=$A642)*(HISTORIAL_HORARIOS!$D$2:$D$201&gt;=$A642),0)),INDEX(IF($I642="FIN",PERSONAL!$J$2:$J$80,PERSONAL!$F$2:$F$80),MATCH($B642,PERSONAL!$A$2:$A$80,0)))))</f>
        <v/>
      </c>
      <c r="N642" s="53">
        <f t="array" ref="N642">IFERROR(INDEX(EXCEPCIONES_FECHA!$E$2:$E$201,MATCH(1,(EXCEPCIONES_FECHA!$A$2:$A$201=$A642)*(EXCEPCIONES_FECHA!$B$2:$B$201=$B642),0)),IFERROR(INDEX(EXCEPCIONES_FECHA!$E$2:$E$201,MATCH(1,(EXCEPCIONES_FECHA!$A$2:$A$201=$A642)*(EXCEPCIONES_FECHA!$B$2:$B$201=""),0)),IFERROR(INDEX(IF($I642="FIN",HISTORIAL_HORARIOS!$K$2:$K$201,HISTORIAL_HORARIOS!$G$2:$G$201),MATCH(1,(HISTORIAL_HORARIOS!$A$2:$A$201=$B642)*(HISTORIAL_HORARIOS!$C$2:$C$201&lt;=$A642)*(HISTORIAL_HORARIOS!$D$2:$D$201&gt;=$A642),0)),INDEX(IF($I642="FIN",PERSONAL!$K$2:$K$80,PERSONAL!$G$2:$G$80),MATCH($B642,PERSONAL!$A$2:$A$80,0)))))</f>
        <v/>
      </c>
      <c r="O642" s="53">
        <f t="array" ref="O642">IFERROR(INDEX(EXCEPCIONES_FECHA!$F$2:$F$201,MATCH(1,(EXCEPCIONES_FECHA!$A$2:$A$201=$A642)*(EXCEPCIONES_FECHA!$B$2:$B$201=$B642),0)),IFERROR(INDEX(EXCEPCIONES_FECHA!$F$2:$F$201,MATCH(1,(EXCEPCIONES_FECHA!$A$2:$A$201=$A642)*(EXCEPCIONES_FECHA!$B$2:$B$201=""),0)),IFERROR(INDEX(IF($I642="FIN",HISTORIAL_HORARIOS!$L$2:$L$201,HISTORIAL_HORARIOS!$H$2:$H$201),MATCH(1,(HISTORIAL_HORARIOS!$A$2:$A$201=$B642)*(HISTORIAL_HORARIOS!$C$2:$C$201&lt;=$A642)*(HISTORIAL_HORARIOS!$D$2:$D$201&gt;=$A642),0)),INDEX(IF($I642="FIN",PERSONAL!$L$2:$L$80,PERSONAL!$H$2:$H$80),MATCH($B642,PERSONAL!$A$2:$A$80,0)))))</f>
        <v/>
      </c>
    </row>
    <row r="643" ht="15" customHeight="1" s="58">
      <c r="A643" s="37" t="n"/>
      <c r="B643" s="38" t="n"/>
      <c r="C643" s="39" t="n"/>
      <c r="D643" s="39" t="n"/>
      <c r="E643" s="34">
        <f t="array" ref="E643">IF($B643="","",IFERROR(INDEX(PERSONAL!$B$2:$B$80,MATCH($B643,PERSONAL!$A$2:$A$80,0)),"NO EXISTE"))</f>
        <v/>
      </c>
      <c r="F643" s="52">
        <f t="array" ref="F643">IF($B643="","",IFERROR(INDEX(PERSONAL!$C$2:$C$80,MATCH($B643,PERSONAL!$A$2:$A$80,0)),""))</f>
        <v/>
      </c>
      <c r="G643" s="52">
        <f>IF($A643="","",CHOOSE(WEEKDAY($A643,2),"LUNES","MARTES","MIÉRCOLES","JUEVES","VIERNES","SÁBADO","DOMINGO"))</f>
        <v/>
      </c>
      <c r="H643" s="34">
        <f>IF($A643="","",CHOOSE(MONTH($A643),"ENERO","FEBRERO","MARZO","ABRIL","MAYO","JUNIO","JULIO","AGOSTO","SEPTIEMBRE","OCTUBRE","NOVIEMBRE","DICIEMBRE"))</f>
        <v/>
      </c>
      <c r="I643" s="34">
        <f>IF($A643="","",IF(OR($G643="SÁBADO",$G643="DOMINGO"),"FIN","LV"))</f>
        <v/>
      </c>
      <c r="J643" s="34">
        <f>IF(OR($A643="",$B643=""),"",IF($L643&lt;&gt;"",UPPER($L643),IF($C643="","FALTA",IFERROR(IF($C643&gt;=$O643,"ROJO FUERTE",IF($C643&gt;=$N643,"ROJO",IF($C643&gt;=$M643,"AMARILLO","VERDE"))),"REVISAR"))))</f>
        <v/>
      </c>
      <c r="K643" s="36">
        <f>IF(OR($C643="",$D643=""),"",IF($D643&gt;=$C643,($D643-$C643)*24,(1-$C643+$D643)*24))</f>
        <v/>
      </c>
      <c r="L643" s="34" t="n"/>
      <c r="M643" s="53">
        <f t="array" ref="M643">IFERROR(INDEX(EXCEPCIONES_FECHA!$D$2:$D$201,MATCH(1,(EXCEPCIONES_FECHA!$A$2:$A$201=$A643)*(EXCEPCIONES_FECHA!$B$2:$B$201=$B643),0)),IFERROR(INDEX(EXCEPCIONES_FECHA!$D$2:$D$201,MATCH(1,(EXCEPCIONES_FECHA!$A$2:$A$201=$A643)*(EXCEPCIONES_FECHA!$B$2:$B$201=""),0)),IFERROR(INDEX(IF($I643="FIN",HISTORIAL_HORARIOS!$J$2:$J$201,HISTORIAL_HORARIOS!$F$2:$F$201),MATCH(1,(HISTORIAL_HORARIOS!$A$2:$A$201=$B643)*(HISTORIAL_HORARIOS!$C$2:$C$201&lt;=$A643)*(HISTORIAL_HORARIOS!$D$2:$D$201&gt;=$A643),0)),INDEX(IF($I643="FIN",PERSONAL!$J$2:$J$80,PERSONAL!$F$2:$F$80),MATCH($B643,PERSONAL!$A$2:$A$80,0)))))</f>
        <v/>
      </c>
      <c r="N643" s="53">
        <f t="array" ref="N643">IFERROR(INDEX(EXCEPCIONES_FECHA!$E$2:$E$201,MATCH(1,(EXCEPCIONES_FECHA!$A$2:$A$201=$A643)*(EXCEPCIONES_FECHA!$B$2:$B$201=$B643),0)),IFERROR(INDEX(EXCEPCIONES_FECHA!$E$2:$E$201,MATCH(1,(EXCEPCIONES_FECHA!$A$2:$A$201=$A643)*(EXCEPCIONES_FECHA!$B$2:$B$201=""),0)),IFERROR(INDEX(IF($I643="FIN",HISTORIAL_HORARIOS!$K$2:$K$201,HISTORIAL_HORARIOS!$G$2:$G$201),MATCH(1,(HISTORIAL_HORARIOS!$A$2:$A$201=$B643)*(HISTORIAL_HORARIOS!$C$2:$C$201&lt;=$A643)*(HISTORIAL_HORARIOS!$D$2:$D$201&gt;=$A643),0)),INDEX(IF($I643="FIN",PERSONAL!$K$2:$K$80,PERSONAL!$G$2:$G$80),MATCH($B643,PERSONAL!$A$2:$A$80,0)))))</f>
        <v/>
      </c>
      <c r="O643" s="53">
        <f t="array" ref="O643">IFERROR(INDEX(EXCEPCIONES_FECHA!$F$2:$F$201,MATCH(1,(EXCEPCIONES_FECHA!$A$2:$A$201=$A643)*(EXCEPCIONES_FECHA!$B$2:$B$201=$B643),0)),IFERROR(INDEX(EXCEPCIONES_FECHA!$F$2:$F$201,MATCH(1,(EXCEPCIONES_FECHA!$A$2:$A$201=$A643)*(EXCEPCIONES_FECHA!$B$2:$B$201=""),0)),IFERROR(INDEX(IF($I643="FIN",HISTORIAL_HORARIOS!$L$2:$L$201,HISTORIAL_HORARIOS!$H$2:$H$201),MATCH(1,(HISTORIAL_HORARIOS!$A$2:$A$201=$B643)*(HISTORIAL_HORARIOS!$C$2:$C$201&lt;=$A643)*(HISTORIAL_HORARIOS!$D$2:$D$201&gt;=$A643),0)),INDEX(IF($I643="FIN",PERSONAL!$L$2:$L$80,PERSONAL!$H$2:$H$80),MATCH($B643,PERSONAL!$A$2:$A$80,0)))))</f>
        <v/>
      </c>
    </row>
    <row r="644" ht="15" customHeight="1" s="58">
      <c r="A644" s="37" t="n"/>
      <c r="B644" s="38" t="n"/>
      <c r="C644" s="39" t="n"/>
      <c r="D644" s="39" t="n"/>
      <c r="E644" s="34">
        <f t="array" ref="E644">IF($B644="","",IFERROR(INDEX(PERSONAL!$B$2:$B$80,MATCH($B644,PERSONAL!$A$2:$A$80,0)),"NO EXISTE"))</f>
        <v/>
      </c>
      <c r="F644" s="52">
        <f t="array" ref="F644">IF($B644="","",IFERROR(INDEX(PERSONAL!$C$2:$C$80,MATCH($B644,PERSONAL!$A$2:$A$80,0)),""))</f>
        <v/>
      </c>
      <c r="G644" s="52">
        <f>IF($A644="","",CHOOSE(WEEKDAY($A644,2),"LUNES","MARTES","MIÉRCOLES","JUEVES","VIERNES","SÁBADO","DOMINGO"))</f>
        <v/>
      </c>
      <c r="H644" s="34">
        <f>IF($A644="","",CHOOSE(MONTH($A644),"ENERO","FEBRERO","MARZO","ABRIL","MAYO","JUNIO","JULIO","AGOSTO","SEPTIEMBRE","OCTUBRE","NOVIEMBRE","DICIEMBRE"))</f>
        <v/>
      </c>
      <c r="I644" s="34">
        <f>IF($A644="","",IF(OR($G644="SÁBADO",$G644="DOMINGO"),"FIN","LV"))</f>
        <v/>
      </c>
      <c r="J644" s="34">
        <f>IF(OR($A644="",$B644=""),"",IF($L644&lt;&gt;"",UPPER($L644),IF($C644="","FALTA",IFERROR(IF($C644&gt;=$O644,"ROJO FUERTE",IF($C644&gt;=$N644,"ROJO",IF($C644&gt;=$M644,"AMARILLO","VERDE"))),"REVISAR"))))</f>
        <v/>
      </c>
      <c r="K644" s="36">
        <f>IF(OR($C644="",$D644=""),"",IF($D644&gt;=$C644,($D644-$C644)*24,(1-$C644+$D644)*24))</f>
        <v/>
      </c>
      <c r="L644" s="34" t="n"/>
      <c r="M644" s="53">
        <f t="array" ref="M644">IFERROR(INDEX(EXCEPCIONES_FECHA!$D$2:$D$201,MATCH(1,(EXCEPCIONES_FECHA!$A$2:$A$201=$A644)*(EXCEPCIONES_FECHA!$B$2:$B$201=$B644),0)),IFERROR(INDEX(EXCEPCIONES_FECHA!$D$2:$D$201,MATCH(1,(EXCEPCIONES_FECHA!$A$2:$A$201=$A644)*(EXCEPCIONES_FECHA!$B$2:$B$201=""),0)),IFERROR(INDEX(IF($I644="FIN",HISTORIAL_HORARIOS!$J$2:$J$201,HISTORIAL_HORARIOS!$F$2:$F$201),MATCH(1,(HISTORIAL_HORARIOS!$A$2:$A$201=$B644)*(HISTORIAL_HORARIOS!$C$2:$C$201&lt;=$A644)*(HISTORIAL_HORARIOS!$D$2:$D$201&gt;=$A644),0)),INDEX(IF($I644="FIN",PERSONAL!$J$2:$J$80,PERSONAL!$F$2:$F$80),MATCH($B644,PERSONAL!$A$2:$A$80,0)))))</f>
        <v/>
      </c>
      <c r="N644" s="53">
        <f t="array" ref="N644">IFERROR(INDEX(EXCEPCIONES_FECHA!$E$2:$E$201,MATCH(1,(EXCEPCIONES_FECHA!$A$2:$A$201=$A644)*(EXCEPCIONES_FECHA!$B$2:$B$201=$B644),0)),IFERROR(INDEX(EXCEPCIONES_FECHA!$E$2:$E$201,MATCH(1,(EXCEPCIONES_FECHA!$A$2:$A$201=$A644)*(EXCEPCIONES_FECHA!$B$2:$B$201=""),0)),IFERROR(INDEX(IF($I644="FIN",HISTORIAL_HORARIOS!$K$2:$K$201,HISTORIAL_HORARIOS!$G$2:$G$201),MATCH(1,(HISTORIAL_HORARIOS!$A$2:$A$201=$B644)*(HISTORIAL_HORARIOS!$C$2:$C$201&lt;=$A644)*(HISTORIAL_HORARIOS!$D$2:$D$201&gt;=$A644),0)),INDEX(IF($I644="FIN",PERSONAL!$K$2:$K$80,PERSONAL!$G$2:$G$80),MATCH($B644,PERSONAL!$A$2:$A$80,0)))))</f>
        <v/>
      </c>
      <c r="O644" s="53">
        <f t="array" ref="O644">IFERROR(INDEX(EXCEPCIONES_FECHA!$F$2:$F$201,MATCH(1,(EXCEPCIONES_FECHA!$A$2:$A$201=$A644)*(EXCEPCIONES_FECHA!$B$2:$B$201=$B644),0)),IFERROR(INDEX(EXCEPCIONES_FECHA!$F$2:$F$201,MATCH(1,(EXCEPCIONES_FECHA!$A$2:$A$201=$A644)*(EXCEPCIONES_FECHA!$B$2:$B$201=""),0)),IFERROR(INDEX(IF($I644="FIN",HISTORIAL_HORARIOS!$L$2:$L$201,HISTORIAL_HORARIOS!$H$2:$H$201),MATCH(1,(HISTORIAL_HORARIOS!$A$2:$A$201=$B644)*(HISTORIAL_HORARIOS!$C$2:$C$201&lt;=$A644)*(HISTORIAL_HORARIOS!$D$2:$D$201&gt;=$A644),0)),INDEX(IF($I644="FIN",PERSONAL!$L$2:$L$80,PERSONAL!$H$2:$H$80),MATCH($B644,PERSONAL!$A$2:$A$80,0)))))</f>
        <v/>
      </c>
    </row>
    <row r="645" ht="15" customHeight="1" s="58">
      <c r="A645" s="37" t="n"/>
      <c r="B645" s="38" t="n"/>
      <c r="C645" s="39" t="n"/>
      <c r="D645" s="39" t="n"/>
      <c r="E645" s="34">
        <f t="array" ref="E645">IF($B645="","",IFERROR(INDEX(PERSONAL!$B$2:$B$80,MATCH($B645,PERSONAL!$A$2:$A$80,0)),"NO EXISTE"))</f>
        <v/>
      </c>
      <c r="F645" s="52">
        <f t="array" ref="F645">IF($B645="","",IFERROR(INDEX(PERSONAL!$C$2:$C$80,MATCH($B645,PERSONAL!$A$2:$A$80,0)),""))</f>
        <v/>
      </c>
      <c r="G645" s="52">
        <f>IF($A645="","",CHOOSE(WEEKDAY($A645,2),"LUNES","MARTES","MIÉRCOLES","JUEVES","VIERNES","SÁBADO","DOMINGO"))</f>
        <v/>
      </c>
      <c r="H645" s="34">
        <f>IF($A645="","",CHOOSE(MONTH($A645),"ENERO","FEBRERO","MARZO","ABRIL","MAYO","JUNIO","JULIO","AGOSTO","SEPTIEMBRE","OCTUBRE","NOVIEMBRE","DICIEMBRE"))</f>
        <v/>
      </c>
      <c r="I645" s="34">
        <f>IF($A645="","",IF(OR($G645="SÁBADO",$G645="DOMINGO"),"FIN","LV"))</f>
        <v/>
      </c>
      <c r="J645" s="34">
        <f>IF(OR($A645="",$B645=""),"",IF($L645&lt;&gt;"",UPPER($L645),IF($C645="","FALTA",IFERROR(IF($C645&gt;=$O645,"ROJO FUERTE",IF($C645&gt;=$N645,"ROJO",IF($C645&gt;=$M645,"AMARILLO","VERDE"))),"REVISAR"))))</f>
        <v/>
      </c>
      <c r="K645" s="36">
        <f>IF(OR($C645="",$D645=""),"",IF($D645&gt;=$C645,($D645-$C645)*24,(1-$C645+$D645)*24))</f>
        <v/>
      </c>
      <c r="L645" s="34" t="n"/>
      <c r="M645" s="53">
        <f t="array" ref="M645">IFERROR(INDEX(EXCEPCIONES_FECHA!$D$2:$D$201,MATCH(1,(EXCEPCIONES_FECHA!$A$2:$A$201=$A645)*(EXCEPCIONES_FECHA!$B$2:$B$201=$B645),0)),IFERROR(INDEX(EXCEPCIONES_FECHA!$D$2:$D$201,MATCH(1,(EXCEPCIONES_FECHA!$A$2:$A$201=$A645)*(EXCEPCIONES_FECHA!$B$2:$B$201=""),0)),IFERROR(INDEX(IF($I645="FIN",HISTORIAL_HORARIOS!$J$2:$J$201,HISTORIAL_HORARIOS!$F$2:$F$201),MATCH(1,(HISTORIAL_HORARIOS!$A$2:$A$201=$B645)*(HISTORIAL_HORARIOS!$C$2:$C$201&lt;=$A645)*(HISTORIAL_HORARIOS!$D$2:$D$201&gt;=$A645),0)),INDEX(IF($I645="FIN",PERSONAL!$J$2:$J$80,PERSONAL!$F$2:$F$80),MATCH($B645,PERSONAL!$A$2:$A$80,0)))))</f>
        <v/>
      </c>
      <c r="N645" s="53">
        <f t="array" ref="N645">IFERROR(INDEX(EXCEPCIONES_FECHA!$E$2:$E$201,MATCH(1,(EXCEPCIONES_FECHA!$A$2:$A$201=$A645)*(EXCEPCIONES_FECHA!$B$2:$B$201=$B645),0)),IFERROR(INDEX(EXCEPCIONES_FECHA!$E$2:$E$201,MATCH(1,(EXCEPCIONES_FECHA!$A$2:$A$201=$A645)*(EXCEPCIONES_FECHA!$B$2:$B$201=""),0)),IFERROR(INDEX(IF($I645="FIN",HISTORIAL_HORARIOS!$K$2:$K$201,HISTORIAL_HORARIOS!$G$2:$G$201),MATCH(1,(HISTORIAL_HORARIOS!$A$2:$A$201=$B645)*(HISTORIAL_HORARIOS!$C$2:$C$201&lt;=$A645)*(HISTORIAL_HORARIOS!$D$2:$D$201&gt;=$A645),0)),INDEX(IF($I645="FIN",PERSONAL!$K$2:$K$80,PERSONAL!$G$2:$G$80),MATCH($B645,PERSONAL!$A$2:$A$80,0)))))</f>
        <v/>
      </c>
      <c r="O645" s="53">
        <f t="array" ref="O645">IFERROR(INDEX(EXCEPCIONES_FECHA!$F$2:$F$201,MATCH(1,(EXCEPCIONES_FECHA!$A$2:$A$201=$A645)*(EXCEPCIONES_FECHA!$B$2:$B$201=$B645),0)),IFERROR(INDEX(EXCEPCIONES_FECHA!$F$2:$F$201,MATCH(1,(EXCEPCIONES_FECHA!$A$2:$A$201=$A645)*(EXCEPCIONES_FECHA!$B$2:$B$201=""),0)),IFERROR(INDEX(IF($I645="FIN",HISTORIAL_HORARIOS!$L$2:$L$201,HISTORIAL_HORARIOS!$H$2:$H$201),MATCH(1,(HISTORIAL_HORARIOS!$A$2:$A$201=$B645)*(HISTORIAL_HORARIOS!$C$2:$C$201&lt;=$A645)*(HISTORIAL_HORARIOS!$D$2:$D$201&gt;=$A645),0)),INDEX(IF($I645="FIN",PERSONAL!$L$2:$L$80,PERSONAL!$H$2:$H$80),MATCH($B645,PERSONAL!$A$2:$A$80,0)))))</f>
        <v/>
      </c>
    </row>
    <row r="646" ht="15" customHeight="1" s="58">
      <c r="A646" s="37" t="n"/>
      <c r="B646" s="38" t="n"/>
      <c r="C646" s="39" t="n"/>
      <c r="D646" s="39" t="n"/>
      <c r="E646" s="34">
        <f t="array" ref="E646">IF($B646="","",IFERROR(INDEX(PERSONAL!$B$2:$B$80,MATCH($B646,PERSONAL!$A$2:$A$80,0)),"NO EXISTE"))</f>
        <v/>
      </c>
      <c r="F646" s="52">
        <f t="array" ref="F646">IF($B646="","",IFERROR(INDEX(PERSONAL!$C$2:$C$80,MATCH($B646,PERSONAL!$A$2:$A$80,0)),""))</f>
        <v/>
      </c>
      <c r="G646" s="52">
        <f>IF($A646="","",CHOOSE(WEEKDAY($A646,2),"LUNES","MARTES","MIÉRCOLES","JUEVES","VIERNES","SÁBADO","DOMINGO"))</f>
        <v/>
      </c>
      <c r="H646" s="34">
        <f>IF($A646="","",CHOOSE(MONTH($A646),"ENERO","FEBRERO","MARZO","ABRIL","MAYO","JUNIO","JULIO","AGOSTO","SEPTIEMBRE","OCTUBRE","NOVIEMBRE","DICIEMBRE"))</f>
        <v/>
      </c>
      <c r="I646" s="34">
        <f>IF($A646="","",IF(OR($G646="SÁBADO",$G646="DOMINGO"),"FIN","LV"))</f>
        <v/>
      </c>
      <c r="J646" s="34">
        <f>IF(OR($A646="",$B646=""),"",IF($L646&lt;&gt;"",UPPER($L646),IF($C646="","FALTA",IFERROR(IF($C646&gt;=$O646,"ROJO FUERTE",IF($C646&gt;=$N646,"ROJO",IF($C646&gt;=$M646,"AMARILLO","VERDE"))),"REVISAR"))))</f>
        <v/>
      </c>
      <c r="K646" s="36">
        <f>IF(OR($C646="",$D646=""),"",IF($D646&gt;=$C646,($D646-$C646)*24,(1-$C646+$D646)*24))</f>
        <v/>
      </c>
      <c r="L646" s="34" t="n"/>
      <c r="M646" s="53">
        <f t="array" ref="M646">IFERROR(INDEX(EXCEPCIONES_FECHA!$D$2:$D$201,MATCH(1,(EXCEPCIONES_FECHA!$A$2:$A$201=$A646)*(EXCEPCIONES_FECHA!$B$2:$B$201=$B646),0)),IFERROR(INDEX(EXCEPCIONES_FECHA!$D$2:$D$201,MATCH(1,(EXCEPCIONES_FECHA!$A$2:$A$201=$A646)*(EXCEPCIONES_FECHA!$B$2:$B$201=""),0)),IFERROR(INDEX(IF($I646="FIN",HISTORIAL_HORARIOS!$J$2:$J$201,HISTORIAL_HORARIOS!$F$2:$F$201),MATCH(1,(HISTORIAL_HORARIOS!$A$2:$A$201=$B646)*(HISTORIAL_HORARIOS!$C$2:$C$201&lt;=$A646)*(HISTORIAL_HORARIOS!$D$2:$D$201&gt;=$A646),0)),INDEX(IF($I646="FIN",PERSONAL!$J$2:$J$80,PERSONAL!$F$2:$F$80),MATCH($B646,PERSONAL!$A$2:$A$80,0)))))</f>
        <v/>
      </c>
      <c r="N646" s="53">
        <f t="array" ref="N646">IFERROR(INDEX(EXCEPCIONES_FECHA!$E$2:$E$201,MATCH(1,(EXCEPCIONES_FECHA!$A$2:$A$201=$A646)*(EXCEPCIONES_FECHA!$B$2:$B$201=$B646),0)),IFERROR(INDEX(EXCEPCIONES_FECHA!$E$2:$E$201,MATCH(1,(EXCEPCIONES_FECHA!$A$2:$A$201=$A646)*(EXCEPCIONES_FECHA!$B$2:$B$201=""),0)),IFERROR(INDEX(IF($I646="FIN",HISTORIAL_HORARIOS!$K$2:$K$201,HISTORIAL_HORARIOS!$G$2:$G$201),MATCH(1,(HISTORIAL_HORARIOS!$A$2:$A$201=$B646)*(HISTORIAL_HORARIOS!$C$2:$C$201&lt;=$A646)*(HISTORIAL_HORARIOS!$D$2:$D$201&gt;=$A646),0)),INDEX(IF($I646="FIN",PERSONAL!$K$2:$K$80,PERSONAL!$G$2:$G$80),MATCH($B646,PERSONAL!$A$2:$A$80,0)))))</f>
        <v/>
      </c>
      <c r="O646" s="53">
        <f t="array" ref="O646">IFERROR(INDEX(EXCEPCIONES_FECHA!$F$2:$F$201,MATCH(1,(EXCEPCIONES_FECHA!$A$2:$A$201=$A646)*(EXCEPCIONES_FECHA!$B$2:$B$201=$B646),0)),IFERROR(INDEX(EXCEPCIONES_FECHA!$F$2:$F$201,MATCH(1,(EXCEPCIONES_FECHA!$A$2:$A$201=$A646)*(EXCEPCIONES_FECHA!$B$2:$B$201=""),0)),IFERROR(INDEX(IF($I646="FIN",HISTORIAL_HORARIOS!$L$2:$L$201,HISTORIAL_HORARIOS!$H$2:$H$201),MATCH(1,(HISTORIAL_HORARIOS!$A$2:$A$201=$B646)*(HISTORIAL_HORARIOS!$C$2:$C$201&lt;=$A646)*(HISTORIAL_HORARIOS!$D$2:$D$201&gt;=$A646),0)),INDEX(IF($I646="FIN",PERSONAL!$L$2:$L$80,PERSONAL!$H$2:$H$80),MATCH($B646,PERSONAL!$A$2:$A$80,0)))))</f>
        <v/>
      </c>
    </row>
    <row r="647" ht="15" customHeight="1" s="58">
      <c r="A647" s="37" t="n"/>
      <c r="B647" s="38" t="n"/>
      <c r="C647" s="39" t="n"/>
      <c r="D647" s="39" t="n"/>
      <c r="E647" s="34">
        <f t="array" ref="E647">IF($B647="","",IFERROR(INDEX(PERSONAL!$B$2:$B$80,MATCH($B647,PERSONAL!$A$2:$A$80,0)),"NO EXISTE"))</f>
        <v/>
      </c>
      <c r="F647" s="52">
        <f t="array" ref="F647">IF($B647="","",IFERROR(INDEX(PERSONAL!$C$2:$C$80,MATCH($B647,PERSONAL!$A$2:$A$80,0)),""))</f>
        <v/>
      </c>
      <c r="G647" s="52">
        <f>IF($A647="","",CHOOSE(WEEKDAY($A647,2),"LUNES","MARTES","MIÉRCOLES","JUEVES","VIERNES","SÁBADO","DOMINGO"))</f>
        <v/>
      </c>
      <c r="H647" s="34">
        <f>IF($A647="","",CHOOSE(MONTH($A647),"ENERO","FEBRERO","MARZO","ABRIL","MAYO","JUNIO","JULIO","AGOSTO","SEPTIEMBRE","OCTUBRE","NOVIEMBRE","DICIEMBRE"))</f>
        <v/>
      </c>
      <c r="I647" s="34">
        <f>IF($A647="","",IF(OR($G647="SÁBADO",$G647="DOMINGO"),"FIN","LV"))</f>
        <v/>
      </c>
      <c r="J647" s="34">
        <f>IF(OR($A647="",$B647=""),"",IF($L647&lt;&gt;"",UPPER($L647),IF($C647="","FALTA",IFERROR(IF($C647&gt;=$O647,"ROJO FUERTE",IF($C647&gt;=$N647,"ROJO",IF($C647&gt;=$M647,"AMARILLO","VERDE"))),"REVISAR"))))</f>
        <v/>
      </c>
      <c r="K647" s="36">
        <f>IF(OR($C647="",$D647=""),"",IF($D647&gt;=$C647,($D647-$C647)*24,(1-$C647+$D647)*24))</f>
        <v/>
      </c>
      <c r="L647" s="34" t="n"/>
      <c r="M647" s="53">
        <f t="array" ref="M647">IFERROR(INDEX(EXCEPCIONES_FECHA!$D$2:$D$201,MATCH(1,(EXCEPCIONES_FECHA!$A$2:$A$201=$A647)*(EXCEPCIONES_FECHA!$B$2:$B$201=$B647),0)),IFERROR(INDEX(EXCEPCIONES_FECHA!$D$2:$D$201,MATCH(1,(EXCEPCIONES_FECHA!$A$2:$A$201=$A647)*(EXCEPCIONES_FECHA!$B$2:$B$201=""),0)),IFERROR(INDEX(IF($I647="FIN",HISTORIAL_HORARIOS!$J$2:$J$201,HISTORIAL_HORARIOS!$F$2:$F$201),MATCH(1,(HISTORIAL_HORARIOS!$A$2:$A$201=$B647)*(HISTORIAL_HORARIOS!$C$2:$C$201&lt;=$A647)*(HISTORIAL_HORARIOS!$D$2:$D$201&gt;=$A647),0)),INDEX(IF($I647="FIN",PERSONAL!$J$2:$J$80,PERSONAL!$F$2:$F$80),MATCH($B647,PERSONAL!$A$2:$A$80,0)))))</f>
        <v/>
      </c>
      <c r="N647" s="53">
        <f t="array" ref="N647">IFERROR(INDEX(EXCEPCIONES_FECHA!$E$2:$E$201,MATCH(1,(EXCEPCIONES_FECHA!$A$2:$A$201=$A647)*(EXCEPCIONES_FECHA!$B$2:$B$201=$B647),0)),IFERROR(INDEX(EXCEPCIONES_FECHA!$E$2:$E$201,MATCH(1,(EXCEPCIONES_FECHA!$A$2:$A$201=$A647)*(EXCEPCIONES_FECHA!$B$2:$B$201=""),0)),IFERROR(INDEX(IF($I647="FIN",HISTORIAL_HORARIOS!$K$2:$K$201,HISTORIAL_HORARIOS!$G$2:$G$201),MATCH(1,(HISTORIAL_HORARIOS!$A$2:$A$201=$B647)*(HISTORIAL_HORARIOS!$C$2:$C$201&lt;=$A647)*(HISTORIAL_HORARIOS!$D$2:$D$201&gt;=$A647),0)),INDEX(IF($I647="FIN",PERSONAL!$K$2:$K$80,PERSONAL!$G$2:$G$80),MATCH($B647,PERSONAL!$A$2:$A$80,0)))))</f>
        <v/>
      </c>
      <c r="O647" s="53">
        <f t="array" ref="O647">IFERROR(INDEX(EXCEPCIONES_FECHA!$F$2:$F$201,MATCH(1,(EXCEPCIONES_FECHA!$A$2:$A$201=$A647)*(EXCEPCIONES_FECHA!$B$2:$B$201=$B647),0)),IFERROR(INDEX(EXCEPCIONES_FECHA!$F$2:$F$201,MATCH(1,(EXCEPCIONES_FECHA!$A$2:$A$201=$A647)*(EXCEPCIONES_FECHA!$B$2:$B$201=""),0)),IFERROR(INDEX(IF($I647="FIN",HISTORIAL_HORARIOS!$L$2:$L$201,HISTORIAL_HORARIOS!$H$2:$H$201),MATCH(1,(HISTORIAL_HORARIOS!$A$2:$A$201=$B647)*(HISTORIAL_HORARIOS!$C$2:$C$201&lt;=$A647)*(HISTORIAL_HORARIOS!$D$2:$D$201&gt;=$A647),0)),INDEX(IF($I647="FIN",PERSONAL!$L$2:$L$80,PERSONAL!$H$2:$H$80),MATCH($B647,PERSONAL!$A$2:$A$80,0)))))</f>
        <v/>
      </c>
    </row>
    <row r="648" ht="15" customHeight="1" s="58">
      <c r="A648" s="37" t="n"/>
      <c r="B648" s="38" t="n"/>
      <c r="C648" s="39" t="n"/>
      <c r="D648" s="39" t="n"/>
      <c r="E648" s="34">
        <f t="array" ref="E648">IF($B648="","",IFERROR(INDEX(PERSONAL!$B$2:$B$80,MATCH($B648,PERSONAL!$A$2:$A$80,0)),"NO EXISTE"))</f>
        <v/>
      </c>
      <c r="F648" s="52">
        <f t="array" ref="F648">IF($B648="","",IFERROR(INDEX(PERSONAL!$C$2:$C$80,MATCH($B648,PERSONAL!$A$2:$A$80,0)),""))</f>
        <v/>
      </c>
      <c r="G648" s="52">
        <f>IF($A648="","",CHOOSE(WEEKDAY($A648,2),"LUNES","MARTES","MIÉRCOLES","JUEVES","VIERNES","SÁBADO","DOMINGO"))</f>
        <v/>
      </c>
      <c r="H648" s="34">
        <f>IF($A648="","",CHOOSE(MONTH($A648),"ENERO","FEBRERO","MARZO","ABRIL","MAYO","JUNIO","JULIO","AGOSTO","SEPTIEMBRE","OCTUBRE","NOVIEMBRE","DICIEMBRE"))</f>
        <v/>
      </c>
      <c r="I648" s="34">
        <f>IF($A648="","",IF(OR($G648="SÁBADO",$G648="DOMINGO"),"FIN","LV"))</f>
        <v/>
      </c>
      <c r="J648" s="34">
        <f>IF(OR($A648="",$B648=""),"",IF($L648&lt;&gt;"",UPPER($L648),IF($C648="","FALTA",IFERROR(IF($C648&gt;=$O648,"ROJO FUERTE",IF($C648&gt;=$N648,"ROJO",IF($C648&gt;=$M648,"AMARILLO","VERDE"))),"REVISAR"))))</f>
        <v/>
      </c>
      <c r="K648" s="36">
        <f>IF(OR($C648="",$D648=""),"",IF($D648&gt;=$C648,($D648-$C648)*24,(1-$C648+$D648)*24))</f>
        <v/>
      </c>
      <c r="L648" s="34" t="n"/>
      <c r="M648" s="53">
        <f t="array" ref="M648">IFERROR(INDEX(EXCEPCIONES_FECHA!$D$2:$D$201,MATCH(1,(EXCEPCIONES_FECHA!$A$2:$A$201=$A648)*(EXCEPCIONES_FECHA!$B$2:$B$201=$B648),0)),IFERROR(INDEX(EXCEPCIONES_FECHA!$D$2:$D$201,MATCH(1,(EXCEPCIONES_FECHA!$A$2:$A$201=$A648)*(EXCEPCIONES_FECHA!$B$2:$B$201=""),0)),IFERROR(INDEX(IF($I648="FIN",HISTORIAL_HORARIOS!$J$2:$J$201,HISTORIAL_HORARIOS!$F$2:$F$201),MATCH(1,(HISTORIAL_HORARIOS!$A$2:$A$201=$B648)*(HISTORIAL_HORARIOS!$C$2:$C$201&lt;=$A648)*(HISTORIAL_HORARIOS!$D$2:$D$201&gt;=$A648),0)),INDEX(IF($I648="FIN",PERSONAL!$J$2:$J$80,PERSONAL!$F$2:$F$80),MATCH($B648,PERSONAL!$A$2:$A$80,0)))))</f>
        <v/>
      </c>
      <c r="N648" s="53">
        <f t="array" ref="N648">IFERROR(INDEX(EXCEPCIONES_FECHA!$E$2:$E$201,MATCH(1,(EXCEPCIONES_FECHA!$A$2:$A$201=$A648)*(EXCEPCIONES_FECHA!$B$2:$B$201=$B648),0)),IFERROR(INDEX(EXCEPCIONES_FECHA!$E$2:$E$201,MATCH(1,(EXCEPCIONES_FECHA!$A$2:$A$201=$A648)*(EXCEPCIONES_FECHA!$B$2:$B$201=""),0)),IFERROR(INDEX(IF($I648="FIN",HISTORIAL_HORARIOS!$K$2:$K$201,HISTORIAL_HORARIOS!$G$2:$G$201),MATCH(1,(HISTORIAL_HORARIOS!$A$2:$A$201=$B648)*(HISTORIAL_HORARIOS!$C$2:$C$201&lt;=$A648)*(HISTORIAL_HORARIOS!$D$2:$D$201&gt;=$A648),0)),INDEX(IF($I648="FIN",PERSONAL!$K$2:$K$80,PERSONAL!$G$2:$G$80),MATCH($B648,PERSONAL!$A$2:$A$80,0)))))</f>
        <v/>
      </c>
      <c r="O648" s="53">
        <f t="array" ref="O648">IFERROR(INDEX(EXCEPCIONES_FECHA!$F$2:$F$201,MATCH(1,(EXCEPCIONES_FECHA!$A$2:$A$201=$A648)*(EXCEPCIONES_FECHA!$B$2:$B$201=$B648),0)),IFERROR(INDEX(EXCEPCIONES_FECHA!$F$2:$F$201,MATCH(1,(EXCEPCIONES_FECHA!$A$2:$A$201=$A648)*(EXCEPCIONES_FECHA!$B$2:$B$201=""),0)),IFERROR(INDEX(IF($I648="FIN",HISTORIAL_HORARIOS!$L$2:$L$201,HISTORIAL_HORARIOS!$H$2:$H$201),MATCH(1,(HISTORIAL_HORARIOS!$A$2:$A$201=$B648)*(HISTORIAL_HORARIOS!$C$2:$C$201&lt;=$A648)*(HISTORIAL_HORARIOS!$D$2:$D$201&gt;=$A648),0)),INDEX(IF($I648="FIN",PERSONAL!$L$2:$L$80,PERSONAL!$H$2:$H$80),MATCH($B648,PERSONAL!$A$2:$A$80,0)))))</f>
        <v/>
      </c>
    </row>
    <row r="649" ht="15" customHeight="1" s="58">
      <c r="A649" s="37" t="n"/>
      <c r="B649" s="38" t="n"/>
      <c r="C649" s="39" t="n"/>
      <c r="D649" s="39" t="n"/>
      <c r="E649" s="34">
        <f t="array" ref="E649">IF($B649="","",IFERROR(INDEX(PERSONAL!$B$2:$B$80,MATCH($B649,PERSONAL!$A$2:$A$80,0)),"NO EXISTE"))</f>
        <v/>
      </c>
      <c r="F649" s="52">
        <f t="array" ref="F649">IF($B649="","",IFERROR(INDEX(PERSONAL!$C$2:$C$80,MATCH($B649,PERSONAL!$A$2:$A$80,0)),""))</f>
        <v/>
      </c>
      <c r="G649" s="52">
        <f>IF($A649="","",CHOOSE(WEEKDAY($A649,2),"LUNES","MARTES","MIÉRCOLES","JUEVES","VIERNES","SÁBADO","DOMINGO"))</f>
        <v/>
      </c>
      <c r="H649" s="34">
        <f>IF($A649="","",CHOOSE(MONTH($A649),"ENERO","FEBRERO","MARZO","ABRIL","MAYO","JUNIO","JULIO","AGOSTO","SEPTIEMBRE","OCTUBRE","NOVIEMBRE","DICIEMBRE"))</f>
        <v/>
      </c>
      <c r="I649" s="34">
        <f>IF($A649="","",IF(OR($G649="SÁBADO",$G649="DOMINGO"),"FIN","LV"))</f>
        <v/>
      </c>
      <c r="J649" s="34">
        <f>IF(OR($A649="",$B649=""),"",IF($L649&lt;&gt;"",UPPER($L649),IF($C649="","FALTA",IFERROR(IF($C649&gt;=$O649,"ROJO FUERTE",IF($C649&gt;=$N649,"ROJO",IF($C649&gt;=$M649,"AMARILLO","VERDE"))),"REVISAR"))))</f>
        <v/>
      </c>
      <c r="K649" s="36">
        <f>IF(OR($C649="",$D649=""),"",IF($D649&gt;=$C649,($D649-$C649)*24,(1-$C649+$D649)*24))</f>
        <v/>
      </c>
      <c r="L649" s="34" t="n"/>
      <c r="M649" s="53">
        <f t="array" ref="M649">IFERROR(INDEX(EXCEPCIONES_FECHA!$D$2:$D$201,MATCH(1,(EXCEPCIONES_FECHA!$A$2:$A$201=$A649)*(EXCEPCIONES_FECHA!$B$2:$B$201=$B649),0)),IFERROR(INDEX(EXCEPCIONES_FECHA!$D$2:$D$201,MATCH(1,(EXCEPCIONES_FECHA!$A$2:$A$201=$A649)*(EXCEPCIONES_FECHA!$B$2:$B$201=""),0)),IFERROR(INDEX(IF($I649="FIN",HISTORIAL_HORARIOS!$J$2:$J$201,HISTORIAL_HORARIOS!$F$2:$F$201),MATCH(1,(HISTORIAL_HORARIOS!$A$2:$A$201=$B649)*(HISTORIAL_HORARIOS!$C$2:$C$201&lt;=$A649)*(HISTORIAL_HORARIOS!$D$2:$D$201&gt;=$A649),0)),INDEX(IF($I649="FIN",PERSONAL!$J$2:$J$80,PERSONAL!$F$2:$F$80),MATCH($B649,PERSONAL!$A$2:$A$80,0)))))</f>
        <v/>
      </c>
      <c r="N649" s="53">
        <f t="array" ref="N649">IFERROR(INDEX(EXCEPCIONES_FECHA!$E$2:$E$201,MATCH(1,(EXCEPCIONES_FECHA!$A$2:$A$201=$A649)*(EXCEPCIONES_FECHA!$B$2:$B$201=$B649),0)),IFERROR(INDEX(EXCEPCIONES_FECHA!$E$2:$E$201,MATCH(1,(EXCEPCIONES_FECHA!$A$2:$A$201=$A649)*(EXCEPCIONES_FECHA!$B$2:$B$201=""),0)),IFERROR(INDEX(IF($I649="FIN",HISTORIAL_HORARIOS!$K$2:$K$201,HISTORIAL_HORARIOS!$G$2:$G$201),MATCH(1,(HISTORIAL_HORARIOS!$A$2:$A$201=$B649)*(HISTORIAL_HORARIOS!$C$2:$C$201&lt;=$A649)*(HISTORIAL_HORARIOS!$D$2:$D$201&gt;=$A649),0)),INDEX(IF($I649="FIN",PERSONAL!$K$2:$K$80,PERSONAL!$G$2:$G$80),MATCH($B649,PERSONAL!$A$2:$A$80,0)))))</f>
        <v/>
      </c>
      <c r="O649" s="53">
        <f t="array" ref="O649">IFERROR(INDEX(EXCEPCIONES_FECHA!$F$2:$F$201,MATCH(1,(EXCEPCIONES_FECHA!$A$2:$A$201=$A649)*(EXCEPCIONES_FECHA!$B$2:$B$201=$B649),0)),IFERROR(INDEX(EXCEPCIONES_FECHA!$F$2:$F$201,MATCH(1,(EXCEPCIONES_FECHA!$A$2:$A$201=$A649)*(EXCEPCIONES_FECHA!$B$2:$B$201=""),0)),IFERROR(INDEX(IF($I649="FIN",HISTORIAL_HORARIOS!$L$2:$L$201,HISTORIAL_HORARIOS!$H$2:$H$201),MATCH(1,(HISTORIAL_HORARIOS!$A$2:$A$201=$B649)*(HISTORIAL_HORARIOS!$C$2:$C$201&lt;=$A649)*(HISTORIAL_HORARIOS!$D$2:$D$201&gt;=$A649),0)),INDEX(IF($I649="FIN",PERSONAL!$L$2:$L$80,PERSONAL!$H$2:$H$80),MATCH($B649,PERSONAL!$A$2:$A$80,0)))))</f>
        <v/>
      </c>
    </row>
    <row r="650" ht="15" customHeight="1" s="58">
      <c r="A650" s="37" t="n"/>
      <c r="B650" s="38" t="n"/>
      <c r="C650" s="39" t="n"/>
      <c r="D650" s="39" t="n"/>
      <c r="E650" s="34">
        <f t="array" ref="E650">IF($B650="","",IFERROR(INDEX(PERSONAL!$B$2:$B$80,MATCH($B650,PERSONAL!$A$2:$A$80,0)),"NO EXISTE"))</f>
        <v/>
      </c>
      <c r="F650" s="52">
        <f t="array" ref="F650">IF($B650="","",IFERROR(INDEX(PERSONAL!$C$2:$C$80,MATCH($B650,PERSONAL!$A$2:$A$80,0)),""))</f>
        <v/>
      </c>
      <c r="G650" s="52">
        <f>IF($A650="","",CHOOSE(WEEKDAY($A650,2),"LUNES","MARTES","MIÉRCOLES","JUEVES","VIERNES","SÁBADO","DOMINGO"))</f>
        <v/>
      </c>
      <c r="H650" s="34">
        <f>IF($A650="","",CHOOSE(MONTH($A650),"ENERO","FEBRERO","MARZO","ABRIL","MAYO","JUNIO","JULIO","AGOSTO","SEPTIEMBRE","OCTUBRE","NOVIEMBRE","DICIEMBRE"))</f>
        <v/>
      </c>
      <c r="I650" s="34">
        <f>IF($A650="","",IF(OR($G650="SÁBADO",$G650="DOMINGO"),"FIN","LV"))</f>
        <v/>
      </c>
      <c r="J650" s="34">
        <f>IF(OR($A650="",$B650=""),"",IF($L650&lt;&gt;"",UPPER($L650),IF($C650="","FALTA",IFERROR(IF($C650&gt;=$O650,"ROJO FUERTE",IF($C650&gt;=$N650,"ROJO",IF($C650&gt;=$M650,"AMARILLO","VERDE"))),"REVISAR"))))</f>
        <v/>
      </c>
      <c r="K650" s="36">
        <f>IF(OR($C650="",$D650=""),"",IF($D650&gt;=$C650,($D650-$C650)*24,(1-$C650+$D650)*24))</f>
        <v/>
      </c>
      <c r="L650" s="34" t="n"/>
      <c r="M650" s="53">
        <f t="array" ref="M650">IFERROR(INDEX(EXCEPCIONES_FECHA!$D$2:$D$201,MATCH(1,(EXCEPCIONES_FECHA!$A$2:$A$201=$A650)*(EXCEPCIONES_FECHA!$B$2:$B$201=$B650),0)),IFERROR(INDEX(EXCEPCIONES_FECHA!$D$2:$D$201,MATCH(1,(EXCEPCIONES_FECHA!$A$2:$A$201=$A650)*(EXCEPCIONES_FECHA!$B$2:$B$201=""),0)),IFERROR(INDEX(IF($I650="FIN",HISTORIAL_HORARIOS!$J$2:$J$201,HISTORIAL_HORARIOS!$F$2:$F$201),MATCH(1,(HISTORIAL_HORARIOS!$A$2:$A$201=$B650)*(HISTORIAL_HORARIOS!$C$2:$C$201&lt;=$A650)*(HISTORIAL_HORARIOS!$D$2:$D$201&gt;=$A650),0)),INDEX(IF($I650="FIN",PERSONAL!$J$2:$J$80,PERSONAL!$F$2:$F$80),MATCH($B650,PERSONAL!$A$2:$A$80,0)))))</f>
        <v/>
      </c>
      <c r="N650" s="53">
        <f t="array" ref="N650">IFERROR(INDEX(EXCEPCIONES_FECHA!$E$2:$E$201,MATCH(1,(EXCEPCIONES_FECHA!$A$2:$A$201=$A650)*(EXCEPCIONES_FECHA!$B$2:$B$201=$B650),0)),IFERROR(INDEX(EXCEPCIONES_FECHA!$E$2:$E$201,MATCH(1,(EXCEPCIONES_FECHA!$A$2:$A$201=$A650)*(EXCEPCIONES_FECHA!$B$2:$B$201=""),0)),IFERROR(INDEX(IF($I650="FIN",HISTORIAL_HORARIOS!$K$2:$K$201,HISTORIAL_HORARIOS!$G$2:$G$201),MATCH(1,(HISTORIAL_HORARIOS!$A$2:$A$201=$B650)*(HISTORIAL_HORARIOS!$C$2:$C$201&lt;=$A650)*(HISTORIAL_HORARIOS!$D$2:$D$201&gt;=$A650),0)),INDEX(IF($I650="FIN",PERSONAL!$K$2:$K$80,PERSONAL!$G$2:$G$80),MATCH($B650,PERSONAL!$A$2:$A$80,0)))))</f>
        <v/>
      </c>
      <c r="O650" s="53">
        <f t="array" ref="O650">IFERROR(INDEX(EXCEPCIONES_FECHA!$F$2:$F$201,MATCH(1,(EXCEPCIONES_FECHA!$A$2:$A$201=$A650)*(EXCEPCIONES_FECHA!$B$2:$B$201=$B650),0)),IFERROR(INDEX(EXCEPCIONES_FECHA!$F$2:$F$201,MATCH(1,(EXCEPCIONES_FECHA!$A$2:$A$201=$A650)*(EXCEPCIONES_FECHA!$B$2:$B$201=""),0)),IFERROR(INDEX(IF($I650="FIN",HISTORIAL_HORARIOS!$L$2:$L$201,HISTORIAL_HORARIOS!$H$2:$H$201),MATCH(1,(HISTORIAL_HORARIOS!$A$2:$A$201=$B650)*(HISTORIAL_HORARIOS!$C$2:$C$201&lt;=$A650)*(HISTORIAL_HORARIOS!$D$2:$D$201&gt;=$A650),0)),INDEX(IF($I650="FIN",PERSONAL!$L$2:$L$80,PERSONAL!$H$2:$H$80),MATCH($B650,PERSONAL!$A$2:$A$80,0)))))</f>
        <v/>
      </c>
    </row>
    <row r="651" ht="15" customHeight="1" s="58">
      <c r="A651" s="37" t="n"/>
      <c r="B651" s="38" t="n"/>
      <c r="C651" s="39" t="n"/>
      <c r="D651" s="39" t="n"/>
      <c r="E651" s="34">
        <f t="array" ref="E651">IF($B651="","",IFERROR(INDEX(PERSONAL!$B$2:$B$80,MATCH($B651,PERSONAL!$A$2:$A$80,0)),"NO EXISTE"))</f>
        <v/>
      </c>
      <c r="F651" s="52">
        <f t="array" ref="F651">IF($B651="","",IFERROR(INDEX(PERSONAL!$C$2:$C$80,MATCH($B651,PERSONAL!$A$2:$A$80,0)),""))</f>
        <v/>
      </c>
      <c r="G651" s="52">
        <f>IF($A651="","",CHOOSE(WEEKDAY($A651,2),"LUNES","MARTES","MIÉRCOLES","JUEVES","VIERNES","SÁBADO","DOMINGO"))</f>
        <v/>
      </c>
      <c r="H651" s="34">
        <f>IF($A651="","",CHOOSE(MONTH($A651),"ENERO","FEBRERO","MARZO","ABRIL","MAYO","JUNIO","JULIO","AGOSTO","SEPTIEMBRE","OCTUBRE","NOVIEMBRE","DICIEMBRE"))</f>
        <v/>
      </c>
      <c r="I651" s="34">
        <f>IF($A651="","",IF(OR($G651="SÁBADO",$G651="DOMINGO"),"FIN","LV"))</f>
        <v/>
      </c>
      <c r="J651" s="34">
        <f>IF(OR($A651="",$B651=""),"",IF($L651&lt;&gt;"",UPPER($L651),IF($C651="","FALTA",IFERROR(IF($C651&gt;=$O651,"ROJO FUERTE",IF($C651&gt;=$N651,"ROJO",IF($C651&gt;=$M651,"AMARILLO","VERDE"))),"REVISAR"))))</f>
        <v/>
      </c>
      <c r="K651" s="36">
        <f>IF(OR($C651="",$D651=""),"",IF($D651&gt;=$C651,($D651-$C651)*24,(1-$C651+$D651)*24))</f>
        <v/>
      </c>
      <c r="L651" s="34" t="n"/>
      <c r="M651" s="53">
        <f t="array" ref="M651">IFERROR(INDEX(EXCEPCIONES_FECHA!$D$2:$D$201,MATCH(1,(EXCEPCIONES_FECHA!$A$2:$A$201=$A651)*(EXCEPCIONES_FECHA!$B$2:$B$201=$B651),0)),IFERROR(INDEX(EXCEPCIONES_FECHA!$D$2:$D$201,MATCH(1,(EXCEPCIONES_FECHA!$A$2:$A$201=$A651)*(EXCEPCIONES_FECHA!$B$2:$B$201=""),0)),IFERROR(INDEX(IF($I651="FIN",HISTORIAL_HORARIOS!$J$2:$J$201,HISTORIAL_HORARIOS!$F$2:$F$201),MATCH(1,(HISTORIAL_HORARIOS!$A$2:$A$201=$B651)*(HISTORIAL_HORARIOS!$C$2:$C$201&lt;=$A651)*(HISTORIAL_HORARIOS!$D$2:$D$201&gt;=$A651),0)),INDEX(IF($I651="FIN",PERSONAL!$J$2:$J$80,PERSONAL!$F$2:$F$80),MATCH($B651,PERSONAL!$A$2:$A$80,0)))))</f>
        <v/>
      </c>
      <c r="N651" s="53">
        <f t="array" ref="N651">IFERROR(INDEX(EXCEPCIONES_FECHA!$E$2:$E$201,MATCH(1,(EXCEPCIONES_FECHA!$A$2:$A$201=$A651)*(EXCEPCIONES_FECHA!$B$2:$B$201=$B651),0)),IFERROR(INDEX(EXCEPCIONES_FECHA!$E$2:$E$201,MATCH(1,(EXCEPCIONES_FECHA!$A$2:$A$201=$A651)*(EXCEPCIONES_FECHA!$B$2:$B$201=""),0)),IFERROR(INDEX(IF($I651="FIN",HISTORIAL_HORARIOS!$K$2:$K$201,HISTORIAL_HORARIOS!$G$2:$G$201),MATCH(1,(HISTORIAL_HORARIOS!$A$2:$A$201=$B651)*(HISTORIAL_HORARIOS!$C$2:$C$201&lt;=$A651)*(HISTORIAL_HORARIOS!$D$2:$D$201&gt;=$A651),0)),INDEX(IF($I651="FIN",PERSONAL!$K$2:$K$80,PERSONAL!$G$2:$G$80),MATCH($B651,PERSONAL!$A$2:$A$80,0)))))</f>
        <v/>
      </c>
      <c r="O651" s="53">
        <f t="array" ref="O651">IFERROR(INDEX(EXCEPCIONES_FECHA!$F$2:$F$201,MATCH(1,(EXCEPCIONES_FECHA!$A$2:$A$201=$A651)*(EXCEPCIONES_FECHA!$B$2:$B$201=$B651),0)),IFERROR(INDEX(EXCEPCIONES_FECHA!$F$2:$F$201,MATCH(1,(EXCEPCIONES_FECHA!$A$2:$A$201=$A651)*(EXCEPCIONES_FECHA!$B$2:$B$201=""),0)),IFERROR(INDEX(IF($I651="FIN",HISTORIAL_HORARIOS!$L$2:$L$201,HISTORIAL_HORARIOS!$H$2:$H$201),MATCH(1,(HISTORIAL_HORARIOS!$A$2:$A$201=$B651)*(HISTORIAL_HORARIOS!$C$2:$C$201&lt;=$A651)*(HISTORIAL_HORARIOS!$D$2:$D$201&gt;=$A651),0)),INDEX(IF($I651="FIN",PERSONAL!$L$2:$L$80,PERSONAL!$H$2:$H$80),MATCH($B651,PERSONAL!$A$2:$A$80,0)))))</f>
        <v/>
      </c>
    </row>
    <row r="652" ht="15" customHeight="1" s="58">
      <c r="A652" s="37" t="n"/>
      <c r="B652" s="38" t="n"/>
      <c r="C652" s="39" t="n"/>
      <c r="D652" s="39" t="n"/>
      <c r="E652" s="34">
        <f t="array" ref="E652">IF($B652="","",IFERROR(INDEX(PERSONAL!$B$2:$B$80,MATCH($B652,PERSONAL!$A$2:$A$80,0)),"NO EXISTE"))</f>
        <v/>
      </c>
      <c r="F652" s="52">
        <f t="array" ref="F652">IF($B652="","",IFERROR(INDEX(PERSONAL!$C$2:$C$80,MATCH($B652,PERSONAL!$A$2:$A$80,0)),""))</f>
        <v/>
      </c>
      <c r="G652" s="52">
        <f>IF($A652="","",CHOOSE(WEEKDAY($A652,2),"LUNES","MARTES","MIÉRCOLES","JUEVES","VIERNES","SÁBADO","DOMINGO"))</f>
        <v/>
      </c>
      <c r="H652" s="34">
        <f>IF($A652="","",CHOOSE(MONTH($A652),"ENERO","FEBRERO","MARZO","ABRIL","MAYO","JUNIO","JULIO","AGOSTO","SEPTIEMBRE","OCTUBRE","NOVIEMBRE","DICIEMBRE"))</f>
        <v/>
      </c>
      <c r="I652" s="34">
        <f>IF($A652="","",IF(OR($G652="SÁBADO",$G652="DOMINGO"),"FIN","LV"))</f>
        <v/>
      </c>
      <c r="J652" s="34">
        <f>IF(OR($A652="",$B652=""),"",IF($L652&lt;&gt;"",UPPER($L652),IF($C652="","FALTA",IFERROR(IF($C652&gt;=$O652,"ROJO FUERTE",IF($C652&gt;=$N652,"ROJO",IF($C652&gt;=$M652,"AMARILLO","VERDE"))),"REVISAR"))))</f>
        <v/>
      </c>
      <c r="K652" s="36">
        <f>IF(OR($C652="",$D652=""),"",IF($D652&gt;=$C652,($D652-$C652)*24,(1-$C652+$D652)*24))</f>
        <v/>
      </c>
      <c r="L652" s="34" t="n"/>
      <c r="M652" s="53">
        <f t="array" ref="M652">IFERROR(INDEX(EXCEPCIONES_FECHA!$D$2:$D$201,MATCH(1,(EXCEPCIONES_FECHA!$A$2:$A$201=$A652)*(EXCEPCIONES_FECHA!$B$2:$B$201=$B652),0)),IFERROR(INDEX(EXCEPCIONES_FECHA!$D$2:$D$201,MATCH(1,(EXCEPCIONES_FECHA!$A$2:$A$201=$A652)*(EXCEPCIONES_FECHA!$B$2:$B$201=""),0)),IFERROR(INDEX(IF($I652="FIN",HISTORIAL_HORARIOS!$J$2:$J$201,HISTORIAL_HORARIOS!$F$2:$F$201),MATCH(1,(HISTORIAL_HORARIOS!$A$2:$A$201=$B652)*(HISTORIAL_HORARIOS!$C$2:$C$201&lt;=$A652)*(HISTORIAL_HORARIOS!$D$2:$D$201&gt;=$A652),0)),INDEX(IF($I652="FIN",PERSONAL!$J$2:$J$80,PERSONAL!$F$2:$F$80),MATCH($B652,PERSONAL!$A$2:$A$80,0)))))</f>
        <v/>
      </c>
      <c r="N652" s="53">
        <f t="array" ref="N652">IFERROR(INDEX(EXCEPCIONES_FECHA!$E$2:$E$201,MATCH(1,(EXCEPCIONES_FECHA!$A$2:$A$201=$A652)*(EXCEPCIONES_FECHA!$B$2:$B$201=$B652),0)),IFERROR(INDEX(EXCEPCIONES_FECHA!$E$2:$E$201,MATCH(1,(EXCEPCIONES_FECHA!$A$2:$A$201=$A652)*(EXCEPCIONES_FECHA!$B$2:$B$201=""),0)),IFERROR(INDEX(IF($I652="FIN",HISTORIAL_HORARIOS!$K$2:$K$201,HISTORIAL_HORARIOS!$G$2:$G$201),MATCH(1,(HISTORIAL_HORARIOS!$A$2:$A$201=$B652)*(HISTORIAL_HORARIOS!$C$2:$C$201&lt;=$A652)*(HISTORIAL_HORARIOS!$D$2:$D$201&gt;=$A652),0)),INDEX(IF($I652="FIN",PERSONAL!$K$2:$K$80,PERSONAL!$G$2:$G$80),MATCH($B652,PERSONAL!$A$2:$A$80,0)))))</f>
        <v/>
      </c>
      <c r="O652" s="53">
        <f t="array" ref="O652">IFERROR(INDEX(EXCEPCIONES_FECHA!$F$2:$F$201,MATCH(1,(EXCEPCIONES_FECHA!$A$2:$A$201=$A652)*(EXCEPCIONES_FECHA!$B$2:$B$201=$B652),0)),IFERROR(INDEX(EXCEPCIONES_FECHA!$F$2:$F$201,MATCH(1,(EXCEPCIONES_FECHA!$A$2:$A$201=$A652)*(EXCEPCIONES_FECHA!$B$2:$B$201=""),0)),IFERROR(INDEX(IF($I652="FIN",HISTORIAL_HORARIOS!$L$2:$L$201,HISTORIAL_HORARIOS!$H$2:$H$201),MATCH(1,(HISTORIAL_HORARIOS!$A$2:$A$201=$B652)*(HISTORIAL_HORARIOS!$C$2:$C$201&lt;=$A652)*(HISTORIAL_HORARIOS!$D$2:$D$201&gt;=$A652),0)),INDEX(IF($I652="FIN",PERSONAL!$L$2:$L$80,PERSONAL!$H$2:$H$80),MATCH($B652,PERSONAL!$A$2:$A$80,0)))))</f>
        <v/>
      </c>
    </row>
    <row r="653" ht="15" customHeight="1" s="58">
      <c r="A653" s="37" t="n"/>
      <c r="B653" s="38" t="n"/>
      <c r="C653" s="39" t="n"/>
      <c r="D653" s="39" t="n"/>
      <c r="E653" s="34">
        <f t="array" ref="E653">IF($B653="","",IFERROR(INDEX(PERSONAL!$B$2:$B$80,MATCH($B653,PERSONAL!$A$2:$A$80,0)),"NO EXISTE"))</f>
        <v/>
      </c>
      <c r="F653" s="52">
        <f t="array" ref="F653">IF($B653="","",IFERROR(INDEX(PERSONAL!$C$2:$C$80,MATCH($B653,PERSONAL!$A$2:$A$80,0)),""))</f>
        <v/>
      </c>
      <c r="G653" s="52">
        <f>IF($A653="","",CHOOSE(WEEKDAY($A653,2),"LUNES","MARTES","MIÉRCOLES","JUEVES","VIERNES","SÁBADO","DOMINGO"))</f>
        <v/>
      </c>
      <c r="H653" s="34">
        <f>IF($A653="","",CHOOSE(MONTH($A653),"ENERO","FEBRERO","MARZO","ABRIL","MAYO","JUNIO","JULIO","AGOSTO","SEPTIEMBRE","OCTUBRE","NOVIEMBRE","DICIEMBRE"))</f>
        <v/>
      </c>
      <c r="I653" s="34">
        <f>IF($A653="","",IF(OR($G653="SÁBADO",$G653="DOMINGO"),"FIN","LV"))</f>
        <v/>
      </c>
      <c r="J653" s="34">
        <f>IF(OR($A653="",$B653=""),"",IF($L653&lt;&gt;"",UPPER($L653),IF($C653="","FALTA",IFERROR(IF($C653&gt;=$O653,"ROJO FUERTE",IF($C653&gt;=$N653,"ROJO",IF($C653&gt;=$M653,"AMARILLO","VERDE"))),"REVISAR"))))</f>
        <v/>
      </c>
      <c r="K653" s="36">
        <f>IF(OR($C653="",$D653=""),"",IF($D653&gt;=$C653,($D653-$C653)*24,(1-$C653+$D653)*24))</f>
        <v/>
      </c>
      <c r="L653" s="34" t="n"/>
      <c r="M653" s="53">
        <f t="array" ref="M653">IFERROR(INDEX(EXCEPCIONES_FECHA!$D$2:$D$201,MATCH(1,(EXCEPCIONES_FECHA!$A$2:$A$201=$A653)*(EXCEPCIONES_FECHA!$B$2:$B$201=$B653),0)),IFERROR(INDEX(EXCEPCIONES_FECHA!$D$2:$D$201,MATCH(1,(EXCEPCIONES_FECHA!$A$2:$A$201=$A653)*(EXCEPCIONES_FECHA!$B$2:$B$201=""),0)),IFERROR(INDEX(IF($I653="FIN",HISTORIAL_HORARIOS!$J$2:$J$201,HISTORIAL_HORARIOS!$F$2:$F$201),MATCH(1,(HISTORIAL_HORARIOS!$A$2:$A$201=$B653)*(HISTORIAL_HORARIOS!$C$2:$C$201&lt;=$A653)*(HISTORIAL_HORARIOS!$D$2:$D$201&gt;=$A653),0)),INDEX(IF($I653="FIN",PERSONAL!$J$2:$J$80,PERSONAL!$F$2:$F$80),MATCH($B653,PERSONAL!$A$2:$A$80,0)))))</f>
        <v/>
      </c>
      <c r="N653" s="53">
        <f t="array" ref="N653">IFERROR(INDEX(EXCEPCIONES_FECHA!$E$2:$E$201,MATCH(1,(EXCEPCIONES_FECHA!$A$2:$A$201=$A653)*(EXCEPCIONES_FECHA!$B$2:$B$201=$B653),0)),IFERROR(INDEX(EXCEPCIONES_FECHA!$E$2:$E$201,MATCH(1,(EXCEPCIONES_FECHA!$A$2:$A$201=$A653)*(EXCEPCIONES_FECHA!$B$2:$B$201=""),0)),IFERROR(INDEX(IF($I653="FIN",HISTORIAL_HORARIOS!$K$2:$K$201,HISTORIAL_HORARIOS!$G$2:$G$201),MATCH(1,(HISTORIAL_HORARIOS!$A$2:$A$201=$B653)*(HISTORIAL_HORARIOS!$C$2:$C$201&lt;=$A653)*(HISTORIAL_HORARIOS!$D$2:$D$201&gt;=$A653),0)),INDEX(IF($I653="FIN",PERSONAL!$K$2:$K$80,PERSONAL!$G$2:$G$80),MATCH($B653,PERSONAL!$A$2:$A$80,0)))))</f>
        <v/>
      </c>
      <c r="O653" s="53">
        <f t="array" ref="O653">IFERROR(INDEX(EXCEPCIONES_FECHA!$F$2:$F$201,MATCH(1,(EXCEPCIONES_FECHA!$A$2:$A$201=$A653)*(EXCEPCIONES_FECHA!$B$2:$B$201=$B653),0)),IFERROR(INDEX(EXCEPCIONES_FECHA!$F$2:$F$201,MATCH(1,(EXCEPCIONES_FECHA!$A$2:$A$201=$A653)*(EXCEPCIONES_FECHA!$B$2:$B$201=""),0)),IFERROR(INDEX(IF($I653="FIN",HISTORIAL_HORARIOS!$L$2:$L$201,HISTORIAL_HORARIOS!$H$2:$H$201),MATCH(1,(HISTORIAL_HORARIOS!$A$2:$A$201=$B653)*(HISTORIAL_HORARIOS!$C$2:$C$201&lt;=$A653)*(HISTORIAL_HORARIOS!$D$2:$D$201&gt;=$A653),0)),INDEX(IF($I653="FIN",PERSONAL!$L$2:$L$80,PERSONAL!$H$2:$H$80),MATCH($B653,PERSONAL!$A$2:$A$80,0)))))</f>
        <v/>
      </c>
    </row>
    <row r="654" ht="15" customHeight="1" s="58">
      <c r="A654" s="37" t="n"/>
      <c r="B654" s="38" t="n"/>
      <c r="C654" s="39" t="n"/>
      <c r="D654" s="39" t="n"/>
      <c r="E654" s="34">
        <f t="array" ref="E654">IF($B654="","",IFERROR(INDEX(PERSONAL!$B$2:$B$80,MATCH($B654,PERSONAL!$A$2:$A$80,0)),"NO EXISTE"))</f>
        <v/>
      </c>
      <c r="F654" s="52">
        <f t="array" ref="F654">IF($B654="","",IFERROR(INDEX(PERSONAL!$C$2:$C$80,MATCH($B654,PERSONAL!$A$2:$A$80,0)),""))</f>
        <v/>
      </c>
      <c r="G654" s="52">
        <f>IF($A654="","",CHOOSE(WEEKDAY($A654,2),"LUNES","MARTES","MIÉRCOLES","JUEVES","VIERNES","SÁBADO","DOMINGO"))</f>
        <v/>
      </c>
      <c r="H654" s="34">
        <f>IF($A654="","",CHOOSE(MONTH($A654),"ENERO","FEBRERO","MARZO","ABRIL","MAYO","JUNIO","JULIO","AGOSTO","SEPTIEMBRE","OCTUBRE","NOVIEMBRE","DICIEMBRE"))</f>
        <v/>
      </c>
      <c r="I654" s="34">
        <f>IF($A654="","",IF(OR($G654="SÁBADO",$G654="DOMINGO"),"FIN","LV"))</f>
        <v/>
      </c>
      <c r="J654" s="34">
        <f>IF(OR($A654="",$B654=""),"",IF($L654&lt;&gt;"",UPPER($L654),IF($C654="","FALTA",IFERROR(IF($C654&gt;=$O654,"ROJO FUERTE",IF($C654&gt;=$N654,"ROJO",IF($C654&gt;=$M654,"AMARILLO","VERDE"))),"REVISAR"))))</f>
        <v/>
      </c>
      <c r="K654" s="36">
        <f>IF(OR($C654="",$D654=""),"",IF($D654&gt;=$C654,($D654-$C654)*24,(1-$C654+$D654)*24))</f>
        <v/>
      </c>
      <c r="L654" s="34" t="n"/>
      <c r="M654" s="53">
        <f t="array" ref="M654">IFERROR(INDEX(EXCEPCIONES_FECHA!$D$2:$D$201,MATCH(1,(EXCEPCIONES_FECHA!$A$2:$A$201=$A654)*(EXCEPCIONES_FECHA!$B$2:$B$201=$B654),0)),IFERROR(INDEX(EXCEPCIONES_FECHA!$D$2:$D$201,MATCH(1,(EXCEPCIONES_FECHA!$A$2:$A$201=$A654)*(EXCEPCIONES_FECHA!$B$2:$B$201=""),0)),IFERROR(INDEX(IF($I654="FIN",HISTORIAL_HORARIOS!$J$2:$J$201,HISTORIAL_HORARIOS!$F$2:$F$201),MATCH(1,(HISTORIAL_HORARIOS!$A$2:$A$201=$B654)*(HISTORIAL_HORARIOS!$C$2:$C$201&lt;=$A654)*(HISTORIAL_HORARIOS!$D$2:$D$201&gt;=$A654),0)),INDEX(IF($I654="FIN",PERSONAL!$J$2:$J$80,PERSONAL!$F$2:$F$80),MATCH($B654,PERSONAL!$A$2:$A$80,0)))))</f>
        <v/>
      </c>
      <c r="N654" s="53">
        <f t="array" ref="N654">IFERROR(INDEX(EXCEPCIONES_FECHA!$E$2:$E$201,MATCH(1,(EXCEPCIONES_FECHA!$A$2:$A$201=$A654)*(EXCEPCIONES_FECHA!$B$2:$B$201=$B654),0)),IFERROR(INDEX(EXCEPCIONES_FECHA!$E$2:$E$201,MATCH(1,(EXCEPCIONES_FECHA!$A$2:$A$201=$A654)*(EXCEPCIONES_FECHA!$B$2:$B$201=""),0)),IFERROR(INDEX(IF($I654="FIN",HISTORIAL_HORARIOS!$K$2:$K$201,HISTORIAL_HORARIOS!$G$2:$G$201),MATCH(1,(HISTORIAL_HORARIOS!$A$2:$A$201=$B654)*(HISTORIAL_HORARIOS!$C$2:$C$201&lt;=$A654)*(HISTORIAL_HORARIOS!$D$2:$D$201&gt;=$A654),0)),INDEX(IF($I654="FIN",PERSONAL!$K$2:$K$80,PERSONAL!$G$2:$G$80),MATCH($B654,PERSONAL!$A$2:$A$80,0)))))</f>
        <v/>
      </c>
      <c r="O654" s="53">
        <f t="array" ref="O654">IFERROR(INDEX(EXCEPCIONES_FECHA!$F$2:$F$201,MATCH(1,(EXCEPCIONES_FECHA!$A$2:$A$201=$A654)*(EXCEPCIONES_FECHA!$B$2:$B$201=$B654),0)),IFERROR(INDEX(EXCEPCIONES_FECHA!$F$2:$F$201,MATCH(1,(EXCEPCIONES_FECHA!$A$2:$A$201=$A654)*(EXCEPCIONES_FECHA!$B$2:$B$201=""),0)),IFERROR(INDEX(IF($I654="FIN",HISTORIAL_HORARIOS!$L$2:$L$201,HISTORIAL_HORARIOS!$H$2:$H$201),MATCH(1,(HISTORIAL_HORARIOS!$A$2:$A$201=$B654)*(HISTORIAL_HORARIOS!$C$2:$C$201&lt;=$A654)*(HISTORIAL_HORARIOS!$D$2:$D$201&gt;=$A654),0)),INDEX(IF($I654="FIN",PERSONAL!$L$2:$L$80,PERSONAL!$H$2:$H$80),MATCH($B654,PERSONAL!$A$2:$A$80,0)))))</f>
        <v/>
      </c>
    </row>
    <row r="655" ht="15" customHeight="1" s="58">
      <c r="A655" s="37" t="n"/>
      <c r="B655" s="38" t="n"/>
      <c r="C655" s="39" t="n"/>
      <c r="D655" s="39" t="n"/>
      <c r="E655" s="34">
        <f t="array" ref="E655">IF($B655="","",IFERROR(INDEX(PERSONAL!$B$2:$B$80,MATCH($B655,PERSONAL!$A$2:$A$80,0)),"NO EXISTE"))</f>
        <v/>
      </c>
      <c r="F655" s="52">
        <f t="array" ref="F655">IF($B655="","",IFERROR(INDEX(PERSONAL!$C$2:$C$80,MATCH($B655,PERSONAL!$A$2:$A$80,0)),""))</f>
        <v/>
      </c>
      <c r="G655" s="52">
        <f>IF($A655="","",CHOOSE(WEEKDAY($A655,2),"LUNES","MARTES","MIÉRCOLES","JUEVES","VIERNES","SÁBADO","DOMINGO"))</f>
        <v/>
      </c>
      <c r="H655" s="34">
        <f>IF($A655="","",CHOOSE(MONTH($A655),"ENERO","FEBRERO","MARZO","ABRIL","MAYO","JUNIO","JULIO","AGOSTO","SEPTIEMBRE","OCTUBRE","NOVIEMBRE","DICIEMBRE"))</f>
        <v/>
      </c>
      <c r="I655" s="34">
        <f>IF($A655="","",IF(OR($G655="SÁBADO",$G655="DOMINGO"),"FIN","LV"))</f>
        <v/>
      </c>
      <c r="J655" s="34">
        <f>IF(OR($A655="",$B655=""),"",IF($L655&lt;&gt;"",UPPER($L655),IF($C655="","FALTA",IFERROR(IF($C655&gt;=$O655,"ROJO FUERTE",IF($C655&gt;=$N655,"ROJO",IF($C655&gt;=$M655,"AMARILLO","VERDE"))),"REVISAR"))))</f>
        <v/>
      </c>
      <c r="K655" s="36">
        <f>IF(OR($C655="",$D655=""),"",IF($D655&gt;=$C655,($D655-$C655)*24,(1-$C655+$D655)*24))</f>
        <v/>
      </c>
      <c r="L655" s="34" t="n"/>
      <c r="M655" s="53">
        <f t="array" ref="M655">IFERROR(INDEX(EXCEPCIONES_FECHA!$D$2:$D$201,MATCH(1,(EXCEPCIONES_FECHA!$A$2:$A$201=$A655)*(EXCEPCIONES_FECHA!$B$2:$B$201=$B655),0)),IFERROR(INDEX(EXCEPCIONES_FECHA!$D$2:$D$201,MATCH(1,(EXCEPCIONES_FECHA!$A$2:$A$201=$A655)*(EXCEPCIONES_FECHA!$B$2:$B$201=""),0)),IFERROR(INDEX(IF($I655="FIN",HISTORIAL_HORARIOS!$J$2:$J$201,HISTORIAL_HORARIOS!$F$2:$F$201),MATCH(1,(HISTORIAL_HORARIOS!$A$2:$A$201=$B655)*(HISTORIAL_HORARIOS!$C$2:$C$201&lt;=$A655)*(HISTORIAL_HORARIOS!$D$2:$D$201&gt;=$A655),0)),INDEX(IF($I655="FIN",PERSONAL!$J$2:$J$80,PERSONAL!$F$2:$F$80),MATCH($B655,PERSONAL!$A$2:$A$80,0)))))</f>
        <v/>
      </c>
      <c r="N655" s="53">
        <f t="array" ref="N655">IFERROR(INDEX(EXCEPCIONES_FECHA!$E$2:$E$201,MATCH(1,(EXCEPCIONES_FECHA!$A$2:$A$201=$A655)*(EXCEPCIONES_FECHA!$B$2:$B$201=$B655),0)),IFERROR(INDEX(EXCEPCIONES_FECHA!$E$2:$E$201,MATCH(1,(EXCEPCIONES_FECHA!$A$2:$A$201=$A655)*(EXCEPCIONES_FECHA!$B$2:$B$201=""),0)),IFERROR(INDEX(IF($I655="FIN",HISTORIAL_HORARIOS!$K$2:$K$201,HISTORIAL_HORARIOS!$G$2:$G$201),MATCH(1,(HISTORIAL_HORARIOS!$A$2:$A$201=$B655)*(HISTORIAL_HORARIOS!$C$2:$C$201&lt;=$A655)*(HISTORIAL_HORARIOS!$D$2:$D$201&gt;=$A655),0)),INDEX(IF($I655="FIN",PERSONAL!$K$2:$K$80,PERSONAL!$G$2:$G$80),MATCH($B655,PERSONAL!$A$2:$A$80,0)))))</f>
        <v/>
      </c>
      <c r="O655" s="53">
        <f t="array" ref="O655">IFERROR(INDEX(EXCEPCIONES_FECHA!$F$2:$F$201,MATCH(1,(EXCEPCIONES_FECHA!$A$2:$A$201=$A655)*(EXCEPCIONES_FECHA!$B$2:$B$201=$B655),0)),IFERROR(INDEX(EXCEPCIONES_FECHA!$F$2:$F$201,MATCH(1,(EXCEPCIONES_FECHA!$A$2:$A$201=$A655)*(EXCEPCIONES_FECHA!$B$2:$B$201=""),0)),IFERROR(INDEX(IF($I655="FIN",HISTORIAL_HORARIOS!$L$2:$L$201,HISTORIAL_HORARIOS!$H$2:$H$201),MATCH(1,(HISTORIAL_HORARIOS!$A$2:$A$201=$B655)*(HISTORIAL_HORARIOS!$C$2:$C$201&lt;=$A655)*(HISTORIAL_HORARIOS!$D$2:$D$201&gt;=$A655),0)),INDEX(IF($I655="FIN",PERSONAL!$L$2:$L$80,PERSONAL!$H$2:$H$80),MATCH($B655,PERSONAL!$A$2:$A$80,0)))))</f>
        <v/>
      </c>
    </row>
    <row r="656" ht="15" customHeight="1" s="58">
      <c r="A656" s="37" t="n"/>
      <c r="B656" s="38" t="n"/>
      <c r="C656" s="39" t="n"/>
      <c r="D656" s="39" t="n"/>
      <c r="E656" s="34">
        <f t="array" ref="E656">IF($B656="","",IFERROR(INDEX(PERSONAL!$B$2:$B$80,MATCH($B656,PERSONAL!$A$2:$A$80,0)),"NO EXISTE"))</f>
        <v/>
      </c>
      <c r="F656" s="52">
        <f t="array" ref="F656">IF($B656="","",IFERROR(INDEX(PERSONAL!$C$2:$C$80,MATCH($B656,PERSONAL!$A$2:$A$80,0)),""))</f>
        <v/>
      </c>
      <c r="G656" s="52">
        <f>IF($A656="","",CHOOSE(WEEKDAY($A656,2),"LUNES","MARTES","MIÉRCOLES","JUEVES","VIERNES","SÁBADO","DOMINGO"))</f>
        <v/>
      </c>
      <c r="H656" s="34">
        <f>IF($A656="","",CHOOSE(MONTH($A656),"ENERO","FEBRERO","MARZO","ABRIL","MAYO","JUNIO","JULIO","AGOSTO","SEPTIEMBRE","OCTUBRE","NOVIEMBRE","DICIEMBRE"))</f>
        <v/>
      </c>
      <c r="I656" s="34">
        <f>IF($A656="","",IF(OR($G656="SÁBADO",$G656="DOMINGO"),"FIN","LV"))</f>
        <v/>
      </c>
      <c r="J656" s="34">
        <f>IF(OR($A656="",$B656=""),"",IF($L656&lt;&gt;"",UPPER($L656),IF($C656="","FALTA",IFERROR(IF($C656&gt;=$O656,"ROJO FUERTE",IF($C656&gt;=$N656,"ROJO",IF($C656&gt;=$M656,"AMARILLO","VERDE"))),"REVISAR"))))</f>
        <v/>
      </c>
      <c r="K656" s="36">
        <f>IF(OR($C656="",$D656=""),"",IF($D656&gt;=$C656,($D656-$C656)*24,(1-$C656+$D656)*24))</f>
        <v/>
      </c>
      <c r="L656" s="34" t="n"/>
      <c r="M656" s="53">
        <f t="array" ref="M656">IFERROR(INDEX(EXCEPCIONES_FECHA!$D$2:$D$201,MATCH(1,(EXCEPCIONES_FECHA!$A$2:$A$201=$A656)*(EXCEPCIONES_FECHA!$B$2:$B$201=$B656),0)),IFERROR(INDEX(EXCEPCIONES_FECHA!$D$2:$D$201,MATCH(1,(EXCEPCIONES_FECHA!$A$2:$A$201=$A656)*(EXCEPCIONES_FECHA!$B$2:$B$201=""),0)),IFERROR(INDEX(IF($I656="FIN",HISTORIAL_HORARIOS!$J$2:$J$201,HISTORIAL_HORARIOS!$F$2:$F$201),MATCH(1,(HISTORIAL_HORARIOS!$A$2:$A$201=$B656)*(HISTORIAL_HORARIOS!$C$2:$C$201&lt;=$A656)*(HISTORIAL_HORARIOS!$D$2:$D$201&gt;=$A656),0)),INDEX(IF($I656="FIN",PERSONAL!$J$2:$J$80,PERSONAL!$F$2:$F$80),MATCH($B656,PERSONAL!$A$2:$A$80,0)))))</f>
        <v/>
      </c>
      <c r="N656" s="53">
        <f t="array" ref="N656">IFERROR(INDEX(EXCEPCIONES_FECHA!$E$2:$E$201,MATCH(1,(EXCEPCIONES_FECHA!$A$2:$A$201=$A656)*(EXCEPCIONES_FECHA!$B$2:$B$201=$B656),0)),IFERROR(INDEX(EXCEPCIONES_FECHA!$E$2:$E$201,MATCH(1,(EXCEPCIONES_FECHA!$A$2:$A$201=$A656)*(EXCEPCIONES_FECHA!$B$2:$B$201=""),0)),IFERROR(INDEX(IF($I656="FIN",HISTORIAL_HORARIOS!$K$2:$K$201,HISTORIAL_HORARIOS!$G$2:$G$201),MATCH(1,(HISTORIAL_HORARIOS!$A$2:$A$201=$B656)*(HISTORIAL_HORARIOS!$C$2:$C$201&lt;=$A656)*(HISTORIAL_HORARIOS!$D$2:$D$201&gt;=$A656),0)),INDEX(IF($I656="FIN",PERSONAL!$K$2:$K$80,PERSONAL!$G$2:$G$80),MATCH($B656,PERSONAL!$A$2:$A$80,0)))))</f>
        <v/>
      </c>
      <c r="O656" s="53">
        <f t="array" ref="O656">IFERROR(INDEX(EXCEPCIONES_FECHA!$F$2:$F$201,MATCH(1,(EXCEPCIONES_FECHA!$A$2:$A$201=$A656)*(EXCEPCIONES_FECHA!$B$2:$B$201=$B656),0)),IFERROR(INDEX(EXCEPCIONES_FECHA!$F$2:$F$201,MATCH(1,(EXCEPCIONES_FECHA!$A$2:$A$201=$A656)*(EXCEPCIONES_FECHA!$B$2:$B$201=""),0)),IFERROR(INDEX(IF($I656="FIN",HISTORIAL_HORARIOS!$L$2:$L$201,HISTORIAL_HORARIOS!$H$2:$H$201),MATCH(1,(HISTORIAL_HORARIOS!$A$2:$A$201=$B656)*(HISTORIAL_HORARIOS!$C$2:$C$201&lt;=$A656)*(HISTORIAL_HORARIOS!$D$2:$D$201&gt;=$A656),0)),INDEX(IF($I656="FIN",PERSONAL!$L$2:$L$80,PERSONAL!$H$2:$H$80),MATCH($B656,PERSONAL!$A$2:$A$80,0)))))</f>
        <v/>
      </c>
    </row>
    <row r="657" ht="15" customHeight="1" s="58">
      <c r="A657" s="37" t="n"/>
      <c r="B657" s="38" t="n"/>
      <c r="C657" s="39" t="n"/>
      <c r="D657" s="39" t="n"/>
      <c r="E657" s="34">
        <f t="array" ref="E657">IF($B657="","",IFERROR(INDEX(PERSONAL!$B$2:$B$80,MATCH($B657,PERSONAL!$A$2:$A$80,0)),"NO EXISTE"))</f>
        <v/>
      </c>
      <c r="F657" s="52">
        <f t="array" ref="F657">IF($B657="","",IFERROR(INDEX(PERSONAL!$C$2:$C$80,MATCH($B657,PERSONAL!$A$2:$A$80,0)),""))</f>
        <v/>
      </c>
      <c r="G657" s="52">
        <f>IF($A657="","",CHOOSE(WEEKDAY($A657,2),"LUNES","MARTES","MIÉRCOLES","JUEVES","VIERNES","SÁBADO","DOMINGO"))</f>
        <v/>
      </c>
      <c r="H657" s="34">
        <f>IF($A657="","",CHOOSE(MONTH($A657),"ENERO","FEBRERO","MARZO","ABRIL","MAYO","JUNIO","JULIO","AGOSTO","SEPTIEMBRE","OCTUBRE","NOVIEMBRE","DICIEMBRE"))</f>
        <v/>
      </c>
      <c r="I657" s="34">
        <f>IF($A657="","",IF(OR($G657="SÁBADO",$G657="DOMINGO"),"FIN","LV"))</f>
        <v/>
      </c>
      <c r="J657" s="34">
        <f>IF(OR($A657="",$B657=""),"",IF($L657&lt;&gt;"",UPPER($L657),IF($C657="","FALTA",IFERROR(IF($C657&gt;=$O657,"ROJO FUERTE",IF($C657&gt;=$N657,"ROJO",IF($C657&gt;=$M657,"AMARILLO","VERDE"))),"REVISAR"))))</f>
        <v/>
      </c>
      <c r="K657" s="36">
        <f>IF(OR($C657="",$D657=""),"",IF($D657&gt;=$C657,($D657-$C657)*24,(1-$C657+$D657)*24))</f>
        <v/>
      </c>
      <c r="L657" s="34" t="n"/>
      <c r="M657" s="53">
        <f t="array" ref="M657">IFERROR(INDEX(EXCEPCIONES_FECHA!$D$2:$D$201,MATCH(1,(EXCEPCIONES_FECHA!$A$2:$A$201=$A657)*(EXCEPCIONES_FECHA!$B$2:$B$201=$B657),0)),IFERROR(INDEX(EXCEPCIONES_FECHA!$D$2:$D$201,MATCH(1,(EXCEPCIONES_FECHA!$A$2:$A$201=$A657)*(EXCEPCIONES_FECHA!$B$2:$B$201=""),0)),IFERROR(INDEX(IF($I657="FIN",HISTORIAL_HORARIOS!$J$2:$J$201,HISTORIAL_HORARIOS!$F$2:$F$201),MATCH(1,(HISTORIAL_HORARIOS!$A$2:$A$201=$B657)*(HISTORIAL_HORARIOS!$C$2:$C$201&lt;=$A657)*(HISTORIAL_HORARIOS!$D$2:$D$201&gt;=$A657),0)),INDEX(IF($I657="FIN",PERSONAL!$J$2:$J$80,PERSONAL!$F$2:$F$80),MATCH($B657,PERSONAL!$A$2:$A$80,0)))))</f>
        <v/>
      </c>
      <c r="N657" s="53">
        <f t="array" ref="N657">IFERROR(INDEX(EXCEPCIONES_FECHA!$E$2:$E$201,MATCH(1,(EXCEPCIONES_FECHA!$A$2:$A$201=$A657)*(EXCEPCIONES_FECHA!$B$2:$B$201=$B657),0)),IFERROR(INDEX(EXCEPCIONES_FECHA!$E$2:$E$201,MATCH(1,(EXCEPCIONES_FECHA!$A$2:$A$201=$A657)*(EXCEPCIONES_FECHA!$B$2:$B$201=""),0)),IFERROR(INDEX(IF($I657="FIN",HISTORIAL_HORARIOS!$K$2:$K$201,HISTORIAL_HORARIOS!$G$2:$G$201),MATCH(1,(HISTORIAL_HORARIOS!$A$2:$A$201=$B657)*(HISTORIAL_HORARIOS!$C$2:$C$201&lt;=$A657)*(HISTORIAL_HORARIOS!$D$2:$D$201&gt;=$A657),0)),INDEX(IF($I657="FIN",PERSONAL!$K$2:$K$80,PERSONAL!$G$2:$G$80),MATCH($B657,PERSONAL!$A$2:$A$80,0)))))</f>
        <v/>
      </c>
      <c r="O657" s="53">
        <f t="array" ref="O657">IFERROR(INDEX(EXCEPCIONES_FECHA!$F$2:$F$201,MATCH(1,(EXCEPCIONES_FECHA!$A$2:$A$201=$A657)*(EXCEPCIONES_FECHA!$B$2:$B$201=$B657),0)),IFERROR(INDEX(EXCEPCIONES_FECHA!$F$2:$F$201,MATCH(1,(EXCEPCIONES_FECHA!$A$2:$A$201=$A657)*(EXCEPCIONES_FECHA!$B$2:$B$201=""),0)),IFERROR(INDEX(IF($I657="FIN",HISTORIAL_HORARIOS!$L$2:$L$201,HISTORIAL_HORARIOS!$H$2:$H$201),MATCH(1,(HISTORIAL_HORARIOS!$A$2:$A$201=$B657)*(HISTORIAL_HORARIOS!$C$2:$C$201&lt;=$A657)*(HISTORIAL_HORARIOS!$D$2:$D$201&gt;=$A657),0)),INDEX(IF($I657="FIN",PERSONAL!$L$2:$L$80,PERSONAL!$H$2:$H$80),MATCH($B657,PERSONAL!$A$2:$A$80,0)))))</f>
        <v/>
      </c>
    </row>
    <row r="658" ht="15" customHeight="1" s="58">
      <c r="A658" s="37" t="n"/>
      <c r="B658" s="38" t="n"/>
      <c r="C658" s="39" t="n"/>
      <c r="D658" s="39" t="n"/>
      <c r="E658" s="34">
        <f t="array" ref="E658">IF($B658="","",IFERROR(INDEX(PERSONAL!$B$2:$B$80,MATCH($B658,PERSONAL!$A$2:$A$80,0)),"NO EXISTE"))</f>
        <v/>
      </c>
      <c r="F658" s="52">
        <f t="array" ref="F658">IF($B658="","",IFERROR(INDEX(PERSONAL!$C$2:$C$80,MATCH($B658,PERSONAL!$A$2:$A$80,0)),""))</f>
        <v/>
      </c>
      <c r="G658" s="52">
        <f>IF($A658="","",CHOOSE(WEEKDAY($A658,2),"LUNES","MARTES","MIÉRCOLES","JUEVES","VIERNES","SÁBADO","DOMINGO"))</f>
        <v/>
      </c>
      <c r="H658" s="34">
        <f>IF($A658="","",CHOOSE(MONTH($A658),"ENERO","FEBRERO","MARZO","ABRIL","MAYO","JUNIO","JULIO","AGOSTO","SEPTIEMBRE","OCTUBRE","NOVIEMBRE","DICIEMBRE"))</f>
        <v/>
      </c>
      <c r="I658" s="34">
        <f>IF($A658="","",IF(OR($G658="SÁBADO",$G658="DOMINGO"),"FIN","LV"))</f>
        <v/>
      </c>
      <c r="J658" s="34">
        <f>IF(OR($A658="",$B658=""),"",IF($L658&lt;&gt;"",UPPER($L658),IF($C658="","FALTA",IFERROR(IF($C658&gt;=$O658,"ROJO FUERTE",IF($C658&gt;=$N658,"ROJO",IF($C658&gt;=$M658,"AMARILLO","VERDE"))),"REVISAR"))))</f>
        <v/>
      </c>
      <c r="K658" s="36">
        <f>IF(OR($C658="",$D658=""),"",IF($D658&gt;=$C658,($D658-$C658)*24,(1-$C658+$D658)*24))</f>
        <v/>
      </c>
      <c r="L658" s="34" t="n"/>
      <c r="M658" s="53">
        <f t="array" ref="M658">IFERROR(INDEX(EXCEPCIONES_FECHA!$D$2:$D$201,MATCH(1,(EXCEPCIONES_FECHA!$A$2:$A$201=$A658)*(EXCEPCIONES_FECHA!$B$2:$B$201=$B658),0)),IFERROR(INDEX(EXCEPCIONES_FECHA!$D$2:$D$201,MATCH(1,(EXCEPCIONES_FECHA!$A$2:$A$201=$A658)*(EXCEPCIONES_FECHA!$B$2:$B$201=""),0)),IFERROR(INDEX(IF($I658="FIN",HISTORIAL_HORARIOS!$J$2:$J$201,HISTORIAL_HORARIOS!$F$2:$F$201),MATCH(1,(HISTORIAL_HORARIOS!$A$2:$A$201=$B658)*(HISTORIAL_HORARIOS!$C$2:$C$201&lt;=$A658)*(HISTORIAL_HORARIOS!$D$2:$D$201&gt;=$A658),0)),INDEX(IF($I658="FIN",PERSONAL!$J$2:$J$80,PERSONAL!$F$2:$F$80),MATCH($B658,PERSONAL!$A$2:$A$80,0)))))</f>
        <v/>
      </c>
      <c r="N658" s="53">
        <f t="array" ref="N658">IFERROR(INDEX(EXCEPCIONES_FECHA!$E$2:$E$201,MATCH(1,(EXCEPCIONES_FECHA!$A$2:$A$201=$A658)*(EXCEPCIONES_FECHA!$B$2:$B$201=$B658),0)),IFERROR(INDEX(EXCEPCIONES_FECHA!$E$2:$E$201,MATCH(1,(EXCEPCIONES_FECHA!$A$2:$A$201=$A658)*(EXCEPCIONES_FECHA!$B$2:$B$201=""),0)),IFERROR(INDEX(IF($I658="FIN",HISTORIAL_HORARIOS!$K$2:$K$201,HISTORIAL_HORARIOS!$G$2:$G$201),MATCH(1,(HISTORIAL_HORARIOS!$A$2:$A$201=$B658)*(HISTORIAL_HORARIOS!$C$2:$C$201&lt;=$A658)*(HISTORIAL_HORARIOS!$D$2:$D$201&gt;=$A658),0)),INDEX(IF($I658="FIN",PERSONAL!$K$2:$K$80,PERSONAL!$G$2:$G$80),MATCH($B658,PERSONAL!$A$2:$A$80,0)))))</f>
        <v/>
      </c>
      <c r="O658" s="53">
        <f t="array" ref="O658">IFERROR(INDEX(EXCEPCIONES_FECHA!$F$2:$F$201,MATCH(1,(EXCEPCIONES_FECHA!$A$2:$A$201=$A658)*(EXCEPCIONES_FECHA!$B$2:$B$201=$B658),0)),IFERROR(INDEX(EXCEPCIONES_FECHA!$F$2:$F$201,MATCH(1,(EXCEPCIONES_FECHA!$A$2:$A$201=$A658)*(EXCEPCIONES_FECHA!$B$2:$B$201=""),0)),IFERROR(INDEX(IF($I658="FIN",HISTORIAL_HORARIOS!$L$2:$L$201,HISTORIAL_HORARIOS!$H$2:$H$201),MATCH(1,(HISTORIAL_HORARIOS!$A$2:$A$201=$B658)*(HISTORIAL_HORARIOS!$C$2:$C$201&lt;=$A658)*(HISTORIAL_HORARIOS!$D$2:$D$201&gt;=$A658),0)),INDEX(IF($I658="FIN",PERSONAL!$L$2:$L$80,PERSONAL!$H$2:$H$80),MATCH($B658,PERSONAL!$A$2:$A$80,0)))))</f>
        <v/>
      </c>
    </row>
    <row r="659" ht="15" customHeight="1" s="58">
      <c r="A659" s="37" t="n"/>
      <c r="B659" s="38" t="n"/>
      <c r="C659" s="39" t="n"/>
      <c r="D659" s="39" t="n"/>
      <c r="E659" s="34">
        <f t="array" ref="E659">IF($B659="","",IFERROR(INDEX(PERSONAL!$B$2:$B$80,MATCH($B659,PERSONAL!$A$2:$A$80,0)),"NO EXISTE"))</f>
        <v/>
      </c>
      <c r="F659" s="52">
        <f t="array" ref="F659">IF($B659="","",IFERROR(INDEX(PERSONAL!$C$2:$C$80,MATCH($B659,PERSONAL!$A$2:$A$80,0)),""))</f>
        <v/>
      </c>
      <c r="G659" s="52">
        <f>IF($A659="","",CHOOSE(WEEKDAY($A659,2),"LUNES","MARTES","MIÉRCOLES","JUEVES","VIERNES","SÁBADO","DOMINGO"))</f>
        <v/>
      </c>
      <c r="H659" s="34">
        <f>IF($A659="","",CHOOSE(MONTH($A659),"ENERO","FEBRERO","MARZO","ABRIL","MAYO","JUNIO","JULIO","AGOSTO","SEPTIEMBRE","OCTUBRE","NOVIEMBRE","DICIEMBRE"))</f>
        <v/>
      </c>
      <c r="I659" s="34">
        <f>IF($A659="","",IF(OR($G659="SÁBADO",$G659="DOMINGO"),"FIN","LV"))</f>
        <v/>
      </c>
      <c r="J659" s="34">
        <f>IF(OR($A659="",$B659=""),"",IF($L659&lt;&gt;"",UPPER($L659),IF($C659="","FALTA",IFERROR(IF($C659&gt;=$O659,"ROJO FUERTE",IF($C659&gt;=$N659,"ROJO",IF($C659&gt;=$M659,"AMARILLO","VERDE"))),"REVISAR"))))</f>
        <v/>
      </c>
      <c r="K659" s="36">
        <f>IF(OR($C659="",$D659=""),"",IF($D659&gt;=$C659,($D659-$C659)*24,(1-$C659+$D659)*24))</f>
        <v/>
      </c>
      <c r="L659" s="34" t="n"/>
      <c r="M659" s="53">
        <f t="array" ref="M659">IFERROR(INDEX(EXCEPCIONES_FECHA!$D$2:$D$201,MATCH(1,(EXCEPCIONES_FECHA!$A$2:$A$201=$A659)*(EXCEPCIONES_FECHA!$B$2:$B$201=$B659),0)),IFERROR(INDEX(EXCEPCIONES_FECHA!$D$2:$D$201,MATCH(1,(EXCEPCIONES_FECHA!$A$2:$A$201=$A659)*(EXCEPCIONES_FECHA!$B$2:$B$201=""),0)),IFERROR(INDEX(IF($I659="FIN",HISTORIAL_HORARIOS!$J$2:$J$201,HISTORIAL_HORARIOS!$F$2:$F$201),MATCH(1,(HISTORIAL_HORARIOS!$A$2:$A$201=$B659)*(HISTORIAL_HORARIOS!$C$2:$C$201&lt;=$A659)*(HISTORIAL_HORARIOS!$D$2:$D$201&gt;=$A659),0)),INDEX(IF($I659="FIN",PERSONAL!$J$2:$J$80,PERSONAL!$F$2:$F$80),MATCH($B659,PERSONAL!$A$2:$A$80,0)))))</f>
        <v/>
      </c>
      <c r="N659" s="53">
        <f t="array" ref="N659">IFERROR(INDEX(EXCEPCIONES_FECHA!$E$2:$E$201,MATCH(1,(EXCEPCIONES_FECHA!$A$2:$A$201=$A659)*(EXCEPCIONES_FECHA!$B$2:$B$201=$B659),0)),IFERROR(INDEX(EXCEPCIONES_FECHA!$E$2:$E$201,MATCH(1,(EXCEPCIONES_FECHA!$A$2:$A$201=$A659)*(EXCEPCIONES_FECHA!$B$2:$B$201=""),0)),IFERROR(INDEX(IF($I659="FIN",HISTORIAL_HORARIOS!$K$2:$K$201,HISTORIAL_HORARIOS!$G$2:$G$201),MATCH(1,(HISTORIAL_HORARIOS!$A$2:$A$201=$B659)*(HISTORIAL_HORARIOS!$C$2:$C$201&lt;=$A659)*(HISTORIAL_HORARIOS!$D$2:$D$201&gt;=$A659),0)),INDEX(IF($I659="FIN",PERSONAL!$K$2:$K$80,PERSONAL!$G$2:$G$80),MATCH($B659,PERSONAL!$A$2:$A$80,0)))))</f>
        <v/>
      </c>
      <c r="O659" s="53">
        <f t="array" ref="O659">IFERROR(INDEX(EXCEPCIONES_FECHA!$F$2:$F$201,MATCH(1,(EXCEPCIONES_FECHA!$A$2:$A$201=$A659)*(EXCEPCIONES_FECHA!$B$2:$B$201=$B659),0)),IFERROR(INDEX(EXCEPCIONES_FECHA!$F$2:$F$201,MATCH(1,(EXCEPCIONES_FECHA!$A$2:$A$201=$A659)*(EXCEPCIONES_FECHA!$B$2:$B$201=""),0)),IFERROR(INDEX(IF($I659="FIN",HISTORIAL_HORARIOS!$L$2:$L$201,HISTORIAL_HORARIOS!$H$2:$H$201),MATCH(1,(HISTORIAL_HORARIOS!$A$2:$A$201=$B659)*(HISTORIAL_HORARIOS!$C$2:$C$201&lt;=$A659)*(HISTORIAL_HORARIOS!$D$2:$D$201&gt;=$A659),0)),INDEX(IF($I659="FIN",PERSONAL!$L$2:$L$80,PERSONAL!$H$2:$H$80),MATCH($B659,PERSONAL!$A$2:$A$80,0)))))</f>
        <v/>
      </c>
    </row>
    <row r="660" ht="15" customHeight="1" s="58">
      <c r="A660" s="37" t="n"/>
      <c r="B660" s="38" t="n"/>
      <c r="C660" s="39" t="n"/>
      <c r="D660" s="39" t="n"/>
      <c r="E660" s="34">
        <f t="array" ref="E660">IF($B660="","",IFERROR(INDEX(PERSONAL!$B$2:$B$80,MATCH($B660,PERSONAL!$A$2:$A$80,0)),"NO EXISTE"))</f>
        <v/>
      </c>
      <c r="F660" s="52">
        <f t="array" ref="F660">IF($B660="","",IFERROR(INDEX(PERSONAL!$C$2:$C$80,MATCH($B660,PERSONAL!$A$2:$A$80,0)),""))</f>
        <v/>
      </c>
      <c r="G660" s="52">
        <f>IF($A660="","",CHOOSE(WEEKDAY($A660,2),"LUNES","MARTES","MIÉRCOLES","JUEVES","VIERNES","SÁBADO","DOMINGO"))</f>
        <v/>
      </c>
      <c r="H660" s="34">
        <f>IF($A660="","",CHOOSE(MONTH($A660),"ENERO","FEBRERO","MARZO","ABRIL","MAYO","JUNIO","JULIO","AGOSTO","SEPTIEMBRE","OCTUBRE","NOVIEMBRE","DICIEMBRE"))</f>
        <v/>
      </c>
      <c r="I660" s="34">
        <f>IF($A660="","",IF(OR($G660="SÁBADO",$G660="DOMINGO"),"FIN","LV"))</f>
        <v/>
      </c>
      <c r="J660" s="34">
        <f>IF(OR($A660="",$B660=""),"",IF($L660&lt;&gt;"",UPPER($L660),IF($C660="","FALTA",IFERROR(IF($C660&gt;=$O660,"ROJO FUERTE",IF($C660&gt;=$N660,"ROJO",IF($C660&gt;=$M660,"AMARILLO","VERDE"))),"REVISAR"))))</f>
        <v/>
      </c>
      <c r="K660" s="36">
        <f>IF(OR($C660="",$D660=""),"",IF($D660&gt;=$C660,($D660-$C660)*24,(1-$C660+$D660)*24))</f>
        <v/>
      </c>
      <c r="L660" s="34" t="n"/>
      <c r="M660" s="53">
        <f t="array" ref="M660">IFERROR(INDEX(EXCEPCIONES_FECHA!$D$2:$D$201,MATCH(1,(EXCEPCIONES_FECHA!$A$2:$A$201=$A660)*(EXCEPCIONES_FECHA!$B$2:$B$201=$B660),0)),IFERROR(INDEX(EXCEPCIONES_FECHA!$D$2:$D$201,MATCH(1,(EXCEPCIONES_FECHA!$A$2:$A$201=$A660)*(EXCEPCIONES_FECHA!$B$2:$B$201=""),0)),IFERROR(INDEX(IF($I660="FIN",HISTORIAL_HORARIOS!$J$2:$J$201,HISTORIAL_HORARIOS!$F$2:$F$201),MATCH(1,(HISTORIAL_HORARIOS!$A$2:$A$201=$B660)*(HISTORIAL_HORARIOS!$C$2:$C$201&lt;=$A660)*(HISTORIAL_HORARIOS!$D$2:$D$201&gt;=$A660),0)),INDEX(IF($I660="FIN",PERSONAL!$J$2:$J$80,PERSONAL!$F$2:$F$80),MATCH($B660,PERSONAL!$A$2:$A$80,0)))))</f>
        <v/>
      </c>
      <c r="N660" s="53">
        <f t="array" ref="N660">IFERROR(INDEX(EXCEPCIONES_FECHA!$E$2:$E$201,MATCH(1,(EXCEPCIONES_FECHA!$A$2:$A$201=$A660)*(EXCEPCIONES_FECHA!$B$2:$B$201=$B660),0)),IFERROR(INDEX(EXCEPCIONES_FECHA!$E$2:$E$201,MATCH(1,(EXCEPCIONES_FECHA!$A$2:$A$201=$A660)*(EXCEPCIONES_FECHA!$B$2:$B$201=""),0)),IFERROR(INDEX(IF($I660="FIN",HISTORIAL_HORARIOS!$K$2:$K$201,HISTORIAL_HORARIOS!$G$2:$G$201),MATCH(1,(HISTORIAL_HORARIOS!$A$2:$A$201=$B660)*(HISTORIAL_HORARIOS!$C$2:$C$201&lt;=$A660)*(HISTORIAL_HORARIOS!$D$2:$D$201&gt;=$A660),0)),INDEX(IF($I660="FIN",PERSONAL!$K$2:$K$80,PERSONAL!$G$2:$G$80),MATCH($B660,PERSONAL!$A$2:$A$80,0)))))</f>
        <v/>
      </c>
      <c r="O660" s="53">
        <f t="array" ref="O660">IFERROR(INDEX(EXCEPCIONES_FECHA!$F$2:$F$201,MATCH(1,(EXCEPCIONES_FECHA!$A$2:$A$201=$A660)*(EXCEPCIONES_FECHA!$B$2:$B$201=$B660),0)),IFERROR(INDEX(EXCEPCIONES_FECHA!$F$2:$F$201,MATCH(1,(EXCEPCIONES_FECHA!$A$2:$A$201=$A660)*(EXCEPCIONES_FECHA!$B$2:$B$201=""),0)),IFERROR(INDEX(IF($I660="FIN",HISTORIAL_HORARIOS!$L$2:$L$201,HISTORIAL_HORARIOS!$H$2:$H$201),MATCH(1,(HISTORIAL_HORARIOS!$A$2:$A$201=$B660)*(HISTORIAL_HORARIOS!$C$2:$C$201&lt;=$A660)*(HISTORIAL_HORARIOS!$D$2:$D$201&gt;=$A660),0)),INDEX(IF($I660="FIN",PERSONAL!$L$2:$L$80,PERSONAL!$H$2:$H$80),MATCH($B660,PERSONAL!$A$2:$A$80,0)))))</f>
        <v/>
      </c>
    </row>
    <row r="661" ht="15" customHeight="1" s="58">
      <c r="A661" s="37" t="n"/>
      <c r="B661" s="38" t="n"/>
      <c r="C661" s="39" t="n"/>
      <c r="D661" s="39" t="n"/>
      <c r="E661" s="34">
        <f t="array" ref="E661">IF($B661="","",IFERROR(INDEX(PERSONAL!$B$2:$B$80,MATCH($B661,PERSONAL!$A$2:$A$80,0)),"NO EXISTE"))</f>
        <v/>
      </c>
      <c r="F661" s="52">
        <f t="array" ref="F661">IF($B661="","",IFERROR(INDEX(PERSONAL!$C$2:$C$80,MATCH($B661,PERSONAL!$A$2:$A$80,0)),""))</f>
        <v/>
      </c>
      <c r="G661" s="52">
        <f>IF($A661="","",CHOOSE(WEEKDAY($A661,2),"LUNES","MARTES","MIÉRCOLES","JUEVES","VIERNES","SÁBADO","DOMINGO"))</f>
        <v/>
      </c>
      <c r="H661" s="34">
        <f>IF($A661="","",CHOOSE(MONTH($A661),"ENERO","FEBRERO","MARZO","ABRIL","MAYO","JUNIO","JULIO","AGOSTO","SEPTIEMBRE","OCTUBRE","NOVIEMBRE","DICIEMBRE"))</f>
        <v/>
      </c>
      <c r="I661" s="34">
        <f>IF($A661="","",IF(OR($G661="SÁBADO",$G661="DOMINGO"),"FIN","LV"))</f>
        <v/>
      </c>
      <c r="J661" s="34">
        <f>IF(OR($A661="",$B661=""),"",IF($L661&lt;&gt;"",UPPER($L661),IF($C661="","FALTA",IFERROR(IF($C661&gt;=$O661,"ROJO FUERTE",IF($C661&gt;=$N661,"ROJO",IF($C661&gt;=$M661,"AMARILLO","VERDE"))),"REVISAR"))))</f>
        <v/>
      </c>
      <c r="K661" s="36">
        <f>IF(OR($C661="",$D661=""),"",IF($D661&gt;=$C661,($D661-$C661)*24,(1-$C661+$D661)*24))</f>
        <v/>
      </c>
      <c r="L661" s="34" t="n"/>
      <c r="M661" s="53">
        <f t="array" ref="M661">IFERROR(INDEX(EXCEPCIONES_FECHA!$D$2:$D$201,MATCH(1,(EXCEPCIONES_FECHA!$A$2:$A$201=$A661)*(EXCEPCIONES_FECHA!$B$2:$B$201=$B661),0)),IFERROR(INDEX(EXCEPCIONES_FECHA!$D$2:$D$201,MATCH(1,(EXCEPCIONES_FECHA!$A$2:$A$201=$A661)*(EXCEPCIONES_FECHA!$B$2:$B$201=""),0)),IFERROR(INDEX(IF($I661="FIN",HISTORIAL_HORARIOS!$J$2:$J$201,HISTORIAL_HORARIOS!$F$2:$F$201),MATCH(1,(HISTORIAL_HORARIOS!$A$2:$A$201=$B661)*(HISTORIAL_HORARIOS!$C$2:$C$201&lt;=$A661)*(HISTORIAL_HORARIOS!$D$2:$D$201&gt;=$A661),0)),INDEX(IF($I661="FIN",PERSONAL!$J$2:$J$80,PERSONAL!$F$2:$F$80),MATCH($B661,PERSONAL!$A$2:$A$80,0)))))</f>
        <v/>
      </c>
      <c r="N661" s="53">
        <f t="array" ref="N661">IFERROR(INDEX(EXCEPCIONES_FECHA!$E$2:$E$201,MATCH(1,(EXCEPCIONES_FECHA!$A$2:$A$201=$A661)*(EXCEPCIONES_FECHA!$B$2:$B$201=$B661),0)),IFERROR(INDEX(EXCEPCIONES_FECHA!$E$2:$E$201,MATCH(1,(EXCEPCIONES_FECHA!$A$2:$A$201=$A661)*(EXCEPCIONES_FECHA!$B$2:$B$201=""),0)),IFERROR(INDEX(IF($I661="FIN",HISTORIAL_HORARIOS!$K$2:$K$201,HISTORIAL_HORARIOS!$G$2:$G$201),MATCH(1,(HISTORIAL_HORARIOS!$A$2:$A$201=$B661)*(HISTORIAL_HORARIOS!$C$2:$C$201&lt;=$A661)*(HISTORIAL_HORARIOS!$D$2:$D$201&gt;=$A661),0)),INDEX(IF($I661="FIN",PERSONAL!$K$2:$K$80,PERSONAL!$G$2:$G$80),MATCH($B661,PERSONAL!$A$2:$A$80,0)))))</f>
        <v/>
      </c>
      <c r="O661" s="53">
        <f t="array" ref="O661">IFERROR(INDEX(EXCEPCIONES_FECHA!$F$2:$F$201,MATCH(1,(EXCEPCIONES_FECHA!$A$2:$A$201=$A661)*(EXCEPCIONES_FECHA!$B$2:$B$201=$B661),0)),IFERROR(INDEX(EXCEPCIONES_FECHA!$F$2:$F$201,MATCH(1,(EXCEPCIONES_FECHA!$A$2:$A$201=$A661)*(EXCEPCIONES_FECHA!$B$2:$B$201=""),0)),IFERROR(INDEX(IF($I661="FIN",HISTORIAL_HORARIOS!$L$2:$L$201,HISTORIAL_HORARIOS!$H$2:$H$201),MATCH(1,(HISTORIAL_HORARIOS!$A$2:$A$201=$B661)*(HISTORIAL_HORARIOS!$C$2:$C$201&lt;=$A661)*(HISTORIAL_HORARIOS!$D$2:$D$201&gt;=$A661),0)),INDEX(IF($I661="FIN",PERSONAL!$L$2:$L$80,PERSONAL!$H$2:$H$80),MATCH($B661,PERSONAL!$A$2:$A$80,0)))))</f>
        <v/>
      </c>
    </row>
    <row r="662" ht="15" customHeight="1" s="58">
      <c r="A662" s="37" t="n"/>
      <c r="B662" s="38" t="n"/>
      <c r="C662" s="39" t="n"/>
      <c r="D662" s="39" t="n"/>
      <c r="E662" s="34">
        <f t="array" ref="E662">IF($B662="","",IFERROR(INDEX(PERSONAL!$B$2:$B$80,MATCH($B662,PERSONAL!$A$2:$A$80,0)),"NO EXISTE"))</f>
        <v/>
      </c>
      <c r="F662" s="52">
        <f t="array" ref="F662">IF($B662="","",IFERROR(INDEX(PERSONAL!$C$2:$C$80,MATCH($B662,PERSONAL!$A$2:$A$80,0)),""))</f>
        <v/>
      </c>
      <c r="G662" s="52">
        <f>IF($A662="","",CHOOSE(WEEKDAY($A662,2),"LUNES","MARTES","MIÉRCOLES","JUEVES","VIERNES","SÁBADO","DOMINGO"))</f>
        <v/>
      </c>
      <c r="H662" s="34">
        <f>IF($A662="","",CHOOSE(MONTH($A662),"ENERO","FEBRERO","MARZO","ABRIL","MAYO","JUNIO","JULIO","AGOSTO","SEPTIEMBRE","OCTUBRE","NOVIEMBRE","DICIEMBRE"))</f>
        <v/>
      </c>
      <c r="I662" s="34">
        <f>IF($A662="","",IF(OR($G662="SÁBADO",$G662="DOMINGO"),"FIN","LV"))</f>
        <v/>
      </c>
      <c r="J662" s="34">
        <f>IF(OR($A662="",$B662=""),"",IF($L662&lt;&gt;"",UPPER($L662),IF($C662="","FALTA",IFERROR(IF($C662&gt;=$O662,"ROJO FUERTE",IF($C662&gt;=$N662,"ROJO",IF($C662&gt;=$M662,"AMARILLO","VERDE"))),"REVISAR"))))</f>
        <v/>
      </c>
      <c r="K662" s="36">
        <f>IF(OR($C662="",$D662=""),"",IF($D662&gt;=$C662,($D662-$C662)*24,(1-$C662+$D662)*24))</f>
        <v/>
      </c>
      <c r="L662" s="34" t="n"/>
      <c r="M662" s="53">
        <f t="array" ref="M662">IFERROR(INDEX(EXCEPCIONES_FECHA!$D$2:$D$201,MATCH(1,(EXCEPCIONES_FECHA!$A$2:$A$201=$A662)*(EXCEPCIONES_FECHA!$B$2:$B$201=$B662),0)),IFERROR(INDEX(EXCEPCIONES_FECHA!$D$2:$D$201,MATCH(1,(EXCEPCIONES_FECHA!$A$2:$A$201=$A662)*(EXCEPCIONES_FECHA!$B$2:$B$201=""),0)),IFERROR(INDEX(IF($I662="FIN",HISTORIAL_HORARIOS!$J$2:$J$201,HISTORIAL_HORARIOS!$F$2:$F$201),MATCH(1,(HISTORIAL_HORARIOS!$A$2:$A$201=$B662)*(HISTORIAL_HORARIOS!$C$2:$C$201&lt;=$A662)*(HISTORIAL_HORARIOS!$D$2:$D$201&gt;=$A662),0)),INDEX(IF($I662="FIN",PERSONAL!$J$2:$J$80,PERSONAL!$F$2:$F$80),MATCH($B662,PERSONAL!$A$2:$A$80,0)))))</f>
        <v/>
      </c>
      <c r="N662" s="53">
        <f t="array" ref="N662">IFERROR(INDEX(EXCEPCIONES_FECHA!$E$2:$E$201,MATCH(1,(EXCEPCIONES_FECHA!$A$2:$A$201=$A662)*(EXCEPCIONES_FECHA!$B$2:$B$201=$B662),0)),IFERROR(INDEX(EXCEPCIONES_FECHA!$E$2:$E$201,MATCH(1,(EXCEPCIONES_FECHA!$A$2:$A$201=$A662)*(EXCEPCIONES_FECHA!$B$2:$B$201=""),0)),IFERROR(INDEX(IF($I662="FIN",HISTORIAL_HORARIOS!$K$2:$K$201,HISTORIAL_HORARIOS!$G$2:$G$201),MATCH(1,(HISTORIAL_HORARIOS!$A$2:$A$201=$B662)*(HISTORIAL_HORARIOS!$C$2:$C$201&lt;=$A662)*(HISTORIAL_HORARIOS!$D$2:$D$201&gt;=$A662),0)),INDEX(IF($I662="FIN",PERSONAL!$K$2:$K$80,PERSONAL!$G$2:$G$80),MATCH($B662,PERSONAL!$A$2:$A$80,0)))))</f>
        <v/>
      </c>
      <c r="O662" s="53">
        <f t="array" ref="O662">IFERROR(INDEX(EXCEPCIONES_FECHA!$F$2:$F$201,MATCH(1,(EXCEPCIONES_FECHA!$A$2:$A$201=$A662)*(EXCEPCIONES_FECHA!$B$2:$B$201=$B662),0)),IFERROR(INDEX(EXCEPCIONES_FECHA!$F$2:$F$201,MATCH(1,(EXCEPCIONES_FECHA!$A$2:$A$201=$A662)*(EXCEPCIONES_FECHA!$B$2:$B$201=""),0)),IFERROR(INDEX(IF($I662="FIN",HISTORIAL_HORARIOS!$L$2:$L$201,HISTORIAL_HORARIOS!$H$2:$H$201),MATCH(1,(HISTORIAL_HORARIOS!$A$2:$A$201=$B662)*(HISTORIAL_HORARIOS!$C$2:$C$201&lt;=$A662)*(HISTORIAL_HORARIOS!$D$2:$D$201&gt;=$A662),0)),INDEX(IF($I662="FIN",PERSONAL!$L$2:$L$80,PERSONAL!$H$2:$H$80),MATCH($B662,PERSONAL!$A$2:$A$80,0)))))</f>
        <v/>
      </c>
    </row>
    <row r="663" ht="15" customHeight="1" s="58">
      <c r="A663" s="37" t="n"/>
      <c r="B663" s="38" t="n"/>
      <c r="C663" s="39" t="n"/>
      <c r="D663" s="39" t="n"/>
      <c r="E663" s="34">
        <f t="array" ref="E663">IF($B663="","",IFERROR(INDEX(PERSONAL!$B$2:$B$80,MATCH($B663,PERSONAL!$A$2:$A$80,0)),"NO EXISTE"))</f>
        <v/>
      </c>
      <c r="F663" s="52">
        <f t="array" ref="F663">IF($B663="","",IFERROR(INDEX(PERSONAL!$C$2:$C$80,MATCH($B663,PERSONAL!$A$2:$A$80,0)),""))</f>
        <v/>
      </c>
      <c r="G663" s="52">
        <f>IF($A663="","",CHOOSE(WEEKDAY($A663,2),"LUNES","MARTES","MIÉRCOLES","JUEVES","VIERNES","SÁBADO","DOMINGO"))</f>
        <v/>
      </c>
      <c r="H663" s="34">
        <f>IF($A663="","",CHOOSE(MONTH($A663),"ENERO","FEBRERO","MARZO","ABRIL","MAYO","JUNIO","JULIO","AGOSTO","SEPTIEMBRE","OCTUBRE","NOVIEMBRE","DICIEMBRE"))</f>
        <v/>
      </c>
      <c r="I663" s="34">
        <f>IF($A663="","",IF(OR($G663="SÁBADO",$G663="DOMINGO"),"FIN","LV"))</f>
        <v/>
      </c>
      <c r="J663" s="34">
        <f>IF(OR($A663="",$B663=""),"",IF($L663&lt;&gt;"",UPPER($L663),IF($C663="","FALTA",IFERROR(IF($C663&gt;=$O663,"ROJO FUERTE",IF($C663&gt;=$N663,"ROJO",IF($C663&gt;=$M663,"AMARILLO","VERDE"))),"REVISAR"))))</f>
        <v/>
      </c>
      <c r="K663" s="36">
        <f>IF(OR($C663="",$D663=""),"",IF($D663&gt;=$C663,($D663-$C663)*24,(1-$C663+$D663)*24))</f>
        <v/>
      </c>
      <c r="L663" s="34" t="n"/>
      <c r="M663" s="53">
        <f t="array" ref="M663">IFERROR(INDEX(EXCEPCIONES_FECHA!$D$2:$D$201,MATCH(1,(EXCEPCIONES_FECHA!$A$2:$A$201=$A663)*(EXCEPCIONES_FECHA!$B$2:$B$201=$B663),0)),IFERROR(INDEX(EXCEPCIONES_FECHA!$D$2:$D$201,MATCH(1,(EXCEPCIONES_FECHA!$A$2:$A$201=$A663)*(EXCEPCIONES_FECHA!$B$2:$B$201=""),0)),IFERROR(INDEX(IF($I663="FIN",HISTORIAL_HORARIOS!$J$2:$J$201,HISTORIAL_HORARIOS!$F$2:$F$201),MATCH(1,(HISTORIAL_HORARIOS!$A$2:$A$201=$B663)*(HISTORIAL_HORARIOS!$C$2:$C$201&lt;=$A663)*(HISTORIAL_HORARIOS!$D$2:$D$201&gt;=$A663),0)),INDEX(IF($I663="FIN",PERSONAL!$J$2:$J$80,PERSONAL!$F$2:$F$80),MATCH($B663,PERSONAL!$A$2:$A$80,0)))))</f>
        <v/>
      </c>
      <c r="N663" s="53">
        <f t="array" ref="N663">IFERROR(INDEX(EXCEPCIONES_FECHA!$E$2:$E$201,MATCH(1,(EXCEPCIONES_FECHA!$A$2:$A$201=$A663)*(EXCEPCIONES_FECHA!$B$2:$B$201=$B663),0)),IFERROR(INDEX(EXCEPCIONES_FECHA!$E$2:$E$201,MATCH(1,(EXCEPCIONES_FECHA!$A$2:$A$201=$A663)*(EXCEPCIONES_FECHA!$B$2:$B$201=""),0)),IFERROR(INDEX(IF($I663="FIN",HISTORIAL_HORARIOS!$K$2:$K$201,HISTORIAL_HORARIOS!$G$2:$G$201),MATCH(1,(HISTORIAL_HORARIOS!$A$2:$A$201=$B663)*(HISTORIAL_HORARIOS!$C$2:$C$201&lt;=$A663)*(HISTORIAL_HORARIOS!$D$2:$D$201&gt;=$A663),0)),INDEX(IF($I663="FIN",PERSONAL!$K$2:$K$80,PERSONAL!$G$2:$G$80),MATCH($B663,PERSONAL!$A$2:$A$80,0)))))</f>
        <v/>
      </c>
      <c r="O663" s="53">
        <f t="array" ref="O663">IFERROR(INDEX(EXCEPCIONES_FECHA!$F$2:$F$201,MATCH(1,(EXCEPCIONES_FECHA!$A$2:$A$201=$A663)*(EXCEPCIONES_FECHA!$B$2:$B$201=$B663),0)),IFERROR(INDEX(EXCEPCIONES_FECHA!$F$2:$F$201,MATCH(1,(EXCEPCIONES_FECHA!$A$2:$A$201=$A663)*(EXCEPCIONES_FECHA!$B$2:$B$201=""),0)),IFERROR(INDEX(IF($I663="FIN",HISTORIAL_HORARIOS!$L$2:$L$201,HISTORIAL_HORARIOS!$H$2:$H$201),MATCH(1,(HISTORIAL_HORARIOS!$A$2:$A$201=$B663)*(HISTORIAL_HORARIOS!$C$2:$C$201&lt;=$A663)*(HISTORIAL_HORARIOS!$D$2:$D$201&gt;=$A663),0)),INDEX(IF($I663="FIN",PERSONAL!$L$2:$L$80,PERSONAL!$H$2:$H$80),MATCH($B663,PERSONAL!$A$2:$A$80,0)))))</f>
        <v/>
      </c>
    </row>
    <row r="664" ht="15" customHeight="1" s="58">
      <c r="A664" s="37" t="n"/>
      <c r="B664" s="38" t="n"/>
      <c r="C664" s="39" t="n"/>
      <c r="D664" s="39" t="n"/>
      <c r="E664" s="34">
        <f t="array" ref="E664">IF($B664="","",IFERROR(INDEX(PERSONAL!$B$2:$B$80,MATCH($B664,PERSONAL!$A$2:$A$80,0)),"NO EXISTE"))</f>
        <v/>
      </c>
      <c r="F664" s="52">
        <f t="array" ref="F664">IF($B664="","",IFERROR(INDEX(PERSONAL!$C$2:$C$80,MATCH($B664,PERSONAL!$A$2:$A$80,0)),""))</f>
        <v/>
      </c>
      <c r="G664" s="52">
        <f>IF($A664="","",CHOOSE(WEEKDAY($A664,2),"LUNES","MARTES","MIÉRCOLES","JUEVES","VIERNES","SÁBADO","DOMINGO"))</f>
        <v/>
      </c>
      <c r="H664" s="34">
        <f>IF($A664="","",CHOOSE(MONTH($A664),"ENERO","FEBRERO","MARZO","ABRIL","MAYO","JUNIO","JULIO","AGOSTO","SEPTIEMBRE","OCTUBRE","NOVIEMBRE","DICIEMBRE"))</f>
        <v/>
      </c>
      <c r="I664" s="34">
        <f>IF($A664="","",IF(OR($G664="SÁBADO",$G664="DOMINGO"),"FIN","LV"))</f>
        <v/>
      </c>
      <c r="J664" s="34">
        <f>IF(OR($A664="",$B664=""),"",IF($L664&lt;&gt;"",UPPER($L664),IF($C664="","FALTA",IFERROR(IF($C664&gt;=$O664,"ROJO FUERTE",IF($C664&gt;=$N664,"ROJO",IF($C664&gt;=$M664,"AMARILLO","VERDE"))),"REVISAR"))))</f>
        <v/>
      </c>
      <c r="K664" s="36">
        <f>IF(OR($C664="",$D664=""),"",IF($D664&gt;=$C664,($D664-$C664)*24,(1-$C664+$D664)*24))</f>
        <v/>
      </c>
      <c r="L664" s="34" t="n"/>
      <c r="M664" s="53">
        <f t="array" ref="M664">IFERROR(INDEX(EXCEPCIONES_FECHA!$D$2:$D$201,MATCH(1,(EXCEPCIONES_FECHA!$A$2:$A$201=$A664)*(EXCEPCIONES_FECHA!$B$2:$B$201=$B664),0)),IFERROR(INDEX(EXCEPCIONES_FECHA!$D$2:$D$201,MATCH(1,(EXCEPCIONES_FECHA!$A$2:$A$201=$A664)*(EXCEPCIONES_FECHA!$B$2:$B$201=""),0)),IFERROR(INDEX(IF($I664="FIN",HISTORIAL_HORARIOS!$J$2:$J$201,HISTORIAL_HORARIOS!$F$2:$F$201),MATCH(1,(HISTORIAL_HORARIOS!$A$2:$A$201=$B664)*(HISTORIAL_HORARIOS!$C$2:$C$201&lt;=$A664)*(HISTORIAL_HORARIOS!$D$2:$D$201&gt;=$A664),0)),INDEX(IF($I664="FIN",PERSONAL!$J$2:$J$80,PERSONAL!$F$2:$F$80),MATCH($B664,PERSONAL!$A$2:$A$80,0)))))</f>
        <v/>
      </c>
      <c r="N664" s="53">
        <f t="array" ref="N664">IFERROR(INDEX(EXCEPCIONES_FECHA!$E$2:$E$201,MATCH(1,(EXCEPCIONES_FECHA!$A$2:$A$201=$A664)*(EXCEPCIONES_FECHA!$B$2:$B$201=$B664),0)),IFERROR(INDEX(EXCEPCIONES_FECHA!$E$2:$E$201,MATCH(1,(EXCEPCIONES_FECHA!$A$2:$A$201=$A664)*(EXCEPCIONES_FECHA!$B$2:$B$201=""),0)),IFERROR(INDEX(IF($I664="FIN",HISTORIAL_HORARIOS!$K$2:$K$201,HISTORIAL_HORARIOS!$G$2:$G$201),MATCH(1,(HISTORIAL_HORARIOS!$A$2:$A$201=$B664)*(HISTORIAL_HORARIOS!$C$2:$C$201&lt;=$A664)*(HISTORIAL_HORARIOS!$D$2:$D$201&gt;=$A664),0)),INDEX(IF($I664="FIN",PERSONAL!$K$2:$K$80,PERSONAL!$G$2:$G$80),MATCH($B664,PERSONAL!$A$2:$A$80,0)))))</f>
        <v/>
      </c>
      <c r="O664" s="53">
        <f t="array" ref="O664">IFERROR(INDEX(EXCEPCIONES_FECHA!$F$2:$F$201,MATCH(1,(EXCEPCIONES_FECHA!$A$2:$A$201=$A664)*(EXCEPCIONES_FECHA!$B$2:$B$201=$B664),0)),IFERROR(INDEX(EXCEPCIONES_FECHA!$F$2:$F$201,MATCH(1,(EXCEPCIONES_FECHA!$A$2:$A$201=$A664)*(EXCEPCIONES_FECHA!$B$2:$B$201=""),0)),IFERROR(INDEX(IF($I664="FIN",HISTORIAL_HORARIOS!$L$2:$L$201,HISTORIAL_HORARIOS!$H$2:$H$201),MATCH(1,(HISTORIAL_HORARIOS!$A$2:$A$201=$B664)*(HISTORIAL_HORARIOS!$C$2:$C$201&lt;=$A664)*(HISTORIAL_HORARIOS!$D$2:$D$201&gt;=$A664),0)),INDEX(IF($I664="FIN",PERSONAL!$L$2:$L$80,PERSONAL!$H$2:$H$80),MATCH($B664,PERSONAL!$A$2:$A$80,0)))))</f>
        <v/>
      </c>
    </row>
    <row r="665" ht="15" customHeight="1" s="58">
      <c r="A665" s="37" t="n"/>
      <c r="B665" s="38" t="n"/>
      <c r="C665" s="39" t="n"/>
      <c r="D665" s="39" t="n"/>
      <c r="E665" s="34">
        <f t="array" ref="E665">IF($B665="","",IFERROR(INDEX(PERSONAL!$B$2:$B$80,MATCH($B665,PERSONAL!$A$2:$A$80,0)),"NO EXISTE"))</f>
        <v/>
      </c>
      <c r="F665" s="52">
        <f t="array" ref="F665">IF($B665="","",IFERROR(INDEX(PERSONAL!$C$2:$C$80,MATCH($B665,PERSONAL!$A$2:$A$80,0)),""))</f>
        <v/>
      </c>
      <c r="G665" s="52">
        <f>IF($A665="","",CHOOSE(WEEKDAY($A665,2),"LUNES","MARTES","MIÉRCOLES","JUEVES","VIERNES","SÁBADO","DOMINGO"))</f>
        <v/>
      </c>
      <c r="H665" s="34">
        <f>IF($A665="","",CHOOSE(MONTH($A665),"ENERO","FEBRERO","MARZO","ABRIL","MAYO","JUNIO","JULIO","AGOSTO","SEPTIEMBRE","OCTUBRE","NOVIEMBRE","DICIEMBRE"))</f>
        <v/>
      </c>
      <c r="I665" s="34">
        <f>IF($A665="","",IF(OR($G665="SÁBADO",$G665="DOMINGO"),"FIN","LV"))</f>
        <v/>
      </c>
      <c r="J665" s="34">
        <f>IF(OR($A665="",$B665=""),"",IF($L665&lt;&gt;"",UPPER($L665),IF($C665="","FALTA",IFERROR(IF($C665&gt;=$O665,"ROJO FUERTE",IF($C665&gt;=$N665,"ROJO",IF($C665&gt;=$M665,"AMARILLO","VERDE"))),"REVISAR"))))</f>
        <v/>
      </c>
      <c r="K665" s="36">
        <f>IF(OR($C665="",$D665=""),"",IF($D665&gt;=$C665,($D665-$C665)*24,(1-$C665+$D665)*24))</f>
        <v/>
      </c>
      <c r="L665" s="34" t="n"/>
      <c r="M665" s="53">
        <f t="array" ref="M665">IFERROR(INDEX(EXCEPCIONES_FECHA!$D$2:$D$201,MATCH(1,(EXCEPCIONES_FECHA!$A$2:$A$201=$A665)*(EXCEPCIONES_FECHA!$B$2:$B$201=$B665),0)),IFERROR(INDEX(EXCEPCIONES_FECHA!$D$2:$D$201,MATCH(1,(EXCEPCIONES_FECHA!$A$2:$A$201=$A665)*(EXCEPCIONES_FECHA!$B$2:$B$201=""),0)),IFERROR(INDEX(IF($I665="FIN",HISTORIAL_HORARIOS!$J$2:$J$201,HISTORIAL_HORARIOS!$F$2:$F$201),MATCH(1,(HISTORIAL_HORARIOS!$A$2:$A$201=$B665)*(HISTORIAL_HORARIOS!$C$2:$C$201&lt;=$A665)*(HISTORIAL_HORARIOS!$D$2:$D$201&gt;=$A665),0)),INDEX(IF($I665="FIN",PERSONAL!$J$2:$J$80,PERSONAL!$F$2:$F$80),MATCH($B665,PERSONAL!$A$2:$A$80,0)))))</f>
        <v/>
      </c>
      <c r="N665" s="53">
        <f t="array" ref="N665">IFERROR(INDEX(EXCEPCIONES_FECHA!$E$2:$E$201,MATCH(1,(EXCEPCIONES_FECHA!$A$2:$A$201=$A665)*(EXCEPCIONES_FECHA!$B$2:$B$201=$B665),0)),IFERROR(INDEX(EXCEPCIONES_FECHA!$E$2:$E$201,MATCH(1,(EXCEPCIONES_FECHA!$A$2:$A$201=$A665)*(EXCEPCIONES_FECHA!$B$2:$B$201=""),0)),IFERROR(INDEX(IF($I665="FIN",HISTORIAL_HORARIOS!$K$2:$K$201,HISTORIAL_HORARIOS!$G$2:$G$201),MATCH(1,(HISTORIAL_HORARIOS!$A$2:$A$201=$B665)*(HISTORIAL_HORARIOS!$C$2:$C$201&lt;=$A665)*(HISTORIAL_HORARIOS!$D$2:$D$201&gt;=$A665),0)),INDEX(IF($I665="FIN",PERSONAL!$K$2:$K$80,PERSONAL!$G$2:$G$80),MATCH($B665,PERSONAL!$A$2:$A$80,0)))))</f>
        <v/>
      </c>
      <c r="O665" s="53">
        <f t="array" ref="O665">IFERROR(INDEX(EXCEPCIONES_FECHA!$F$2:$F$201,MATCH(1,(EXCEPCIONES_FECHA!$A$2:$A$201=$A665)*(EXCEPCIONES_FECHA!$B$2:$B$201=$B665),0)),IFERROR(INDEX(EXCEPCIONES_FECHA!$F$2:$F$201,MATCH(1,(EXCEPCIONES_FECHA!$A$2:$A$201=$A665)*(EXCEPCIONES_FECHA!$B$2:$B$201=""),0)),IFERROR(INDEX(IF($I665="FIN",HISTORIAL_HORARIOS!$L$2:$L$201,HISTORIAL_HORARIOS!$H$2:$H$201),MATCH(1,(HISTORIAL_HORARIOS!$A$2:$A$201=$B665)*(HISTORIAL_HORARIOS!$C$2:$C$201&lt;=$A665)*(HISTORIAL_HORARIOS!$D$2:$D$201&gt;=$A665),0)),INDEX(IF($I665="FIN",PERSONAL!$L$2:$L$80,PERSONAL!$H$2:$H$80),MATCH($B665,PERSONAL!$A$2:$A$80,0)))))</f>
        <v/>
      </c>
    </row>
    <row r="666" ht="15" customHeight="1" s="58">
      <c r="A666" s="37" t="n"/>
      <c r="B666" s="38" t="n"/>
      <c r="C666" s="39" t="n"/>
      <c r="D666" s="39" t="n"/>
      <c r="E666" s="34">
        <f t="array" ref="E666">IF($B666="","",IFERROR(INDEX(PERSONAL!$B$2:$B$80,MATCH($B666,PERSONAL!$A$2:$A$80,0)),"NO EXISTE"))</f>
        <v/>
      </c>
      <c r="F666" s="52">
        <f t="array" ref="F666">IF($B666="","",IFERROR(INDEX(PERSONAL!$C$2:$C$80,MATCH($B666,PERSONAL!$A$2:$A$80,0)),""))</f>
        <v/>
      </c>
      <c r="G666" s="52">
        <f>IF($A666="","",CHOOSE(WEEKDAY($A666,2),"LUNES","MARTES","MIÉRCOLES","JUEVES","VIERNES","SÁBADO","DOMINGO"))</f>
        <v/>
      </c>
      <c r="H666" s="34">
        <f>IF($A666="","",CHOOSE(MONTH($A666),"ENERO","FEBRERO","MARZO","ABRIL","MAYO","JUNIO","JULIO","AGOSTO","SEPTIEMBRE","OCTUBRE","NOVIEMBRE","DICIEMBRE"))</f>
        <v/>
      </c>
      <c r="I666" s="34">
        <f>IF($A666="","",IF(OR($G666="SÁBADO",$G666="DOMINGO"),"FIN","LV"))</f>
        <v/>
      </c>
      <c r="J666" s="34">
        <f>IF(OR($A666="",$B666=""),"",IF($L666&lt;&gt;"",UPPER($L666),IF($C666="","FALTA",IFERROR(IF($C666&gt;=$O666,"ROJO FUERTE",IF($C666&gt;=$N666,"ROJO",IF($C666&gt;=$M666,"AMARILLO","VERDE"))),"REVISAR"))))</f>
        <v/>
      </c>
      <c r="K666" s="36">
        <f>IF(OR($C666="",$D666=""),"",IF($D666&gt;=$C666,($D666-$C666)*24,(1-$C666+$D666)*24))</f>
        <v/>
      </c>
      <c r="L666" s="34" t="n"/>
      <c r="M666" s="53">
        <f t="array" ref="M666">IFERROR(INDEX(EXCEPCIONES_FECHA!$D$2:$D$201,MATCH(1,(EXCEPCIONES_FECHA!$A$2:$A$201=$A666)*(EXCEPCIONES_FECHA!$B$2:$B$201=$B666),0)),IFERROR(INDEX(EXCEPCIONES_FECHA!$D$2:$D$201,MATCH(1,(EXCEPCIONES_FECHA!$A$2:$A$201=$A666)*(EXCEPCIONES_FECHA!$B$2:$B$201=""),0)),IFERROR(INDEX(IF($I666="FIN",HISTORIAL_HORARIOS!$J$2:$J$201,HISTORIAL_HORARIOS!$F$2:$F$201),MATCH(1,(HISTORIAL_HORARIOS!$A$2:$A$201=$B666)*(HISTORIAL_HORARIOS!$C$2:$C$201&lt;=$A666)*(HISTORIAL_HORARIOS!$D$2:$D$201&gt;=$A666),0)),INDEX(IF($I666="FIN",PERSONAL!$J$2:$J$80,PERSONAL!$F$2:$F$80),MATCH($B666,PERSONAL!$A$2:$A$80,0)))))</f>
        <v/>
      </c>
      <c r="N666" s="53">
        <f t="array" ref="N666">IFERROR(INDEX(EXCEPCIONES_FECHA!$E$2:$E$201,MATCH(1,(EXCEPCIONES_FECHA!$A$2:$A$201=$A666)*(EXCEPCIONES_FECHA!$B$2:$B$201=$B666),0)),IFERROR(INDEX(EXCEPCIONES_FECHA!$E$2:$E$201,MATCH(1,(EXCEPCIONES_FECHA!$A$2:$A$201=$A666)*(EXCEPCIONES_FECHA!$B$2:$B$201=""),0)),IFERROR(INDEX(IF($I666="FIN",HISTORIAL_HORARIOS!$K$2:$K$201,HISTORIAL_HORARIOS!$G$2:$G$201),MATCH(1,(HISTORIAL_HORARIOS!$A$2:$A$201=$B666)*(HISTORIAL_HORARIOS!$C$2:$C$201&lt;=$A666)*(HISTORIAL_HORARIOS!$D$2:$D$201&gt;=$A666),0)),INDEX(IF($I666="FIN",PERSONAL!$K$2:$K$80,PERSONAL!$G$2:$G$80),MATCH($B666,PERSONAL!$A$2:$A$80,0)))))</f>
        <v/>
      </c>
      <c r="O666" s="53">
        <f t="array" ref="O666">IFERROR(INDEX(EXCEPCIONES_FECHA!$F$2:$F$201,MATCH(1,(EXCEPCIONES_FECHA!$A$2:$A$201=$A666)*(EXCEPCIONES_FECHA!$B$2:$B$201=$B666),0)),IFERROR(INDEX(EXCEPCIONES_FECHA!$F$2:$F$201,MATCH(1,(EXCEPCIONES_FECHA!$A$2:$A$201=$A666)*(EXCEPCIONES_FECHA!$B$2:$B$201=""),0)),IFERROR(INDEX(IF($I666="FIN",HISTORIAL_HORARIOS!$L$2:$L$201,HISTORIAL_HORARIOS!$H$2:$H$201),MATCH(1,(HISTORIAL_HORARIOS!$A$2:$A$201=$B666)*(HISTORIAL_HORARIOS!$C$2:$C$201&lt;=$A666)*(HISTORIAL_HORARIOS!$D$2:$D$201&gt;=$A666),0)),INDEX(IF($I666="FIN",PERSONAL!$L$2:$L$80,PERSONAL!$H$2:$H$80),MATCH($B666,PERSONAL!$A$2:$A$80,0)))))</f>
        <v/>
      </c>
    </row>
    <row r="667" ht="15" customHeight="1" s="58">
      <c r="A667" s="37" t="n"/>
      <c r="B667" s="38" t="n"/>
      <c r="C667" s="39" t="n"/>
      <c r="D667" s="39" t="n"/>
      <c r="E667" s="34">
        <f t="array" ref="E667">IF($B667="","",IFERROR(INDEX(PERSONAL!$B$2:$B$80,MATCH($B667,PERSONAL!$A$2:$A$80,0)),"NO EXISTE"))</f>
        <v/>
      </c>
      <c r="F667" s="52">
        <f t="array" ref="F667">IF($B667="","",IFERROR(INDEX(PERSONAL!$C$2:$C$80,MATCH($B667,PERSONAL!$A$2:$A$80,0)),""))</f>
        <v/>
      </c>
      <c r="G667" s="52">
        <f>IF($A667="","",CHOOSE(WEEKDAY($A667,2),"LUNES","MARTES","MIÉRCOLES","JUEVES","VIERNES","SÁBADO","DOMINGO"))</f>
        <v/>
      </c>
      <c r="H667" s="34">
        <f>IF($A667="","",CHOOSE(MONTH($A667),"ENERO","FEBRERO","MARZO","ABRIL","MAYO","JUNIO","JULIO","AGOSTO","SEPTIEMBRE","OCTUBRE","NOVIEMBRE","DICIEMBRE"))</f>
        <v/>
      </c>
      <c r="I667" s="34">
        <f>IF($A667="","",IF(OR($G667="SÁBADO",$G667="DOMINGO"),"FIN","LV"))</f>
        <v/>
      </c>
      <c r="J667" s="34">
        <f>IF(OR($A667="",$B667=""),"",IF($L667&lt;&gt;"",UPPER($L667),IF($C667="","FALTA",IFERROR(IF($C667&gt;=$O667,"ROJO FUERTE",IF($C667&gt;=$N667,"ROJO",IF($C667&gt;=$M667,"AMARILLO","VERDE"))),"REVISAR"))))</f>
        <v/>
      </c>
      <c r="K667" s="36">
        <f>IF(OR($C667="",$D667=""),"",IF($D667&gt;=$C667,($D667-$C667)*24,(1-$C667+$D667)*24))</f>
        <v/>
      </c>
      <c r="L667" s="34" t="n"/>
      <c r="M667" s="53">
        <f t="array" ref="M667">IFERROR(INDEX(EXCEPCIONES_FECHA!$D$2:$D$201,MATCH(1,(EXCEPCIONES_FECHA!$A$2:$A$201=$A667)*(EXCEPCIONES_FECHA!$B$2:$B$201=$B667),0)),IFERROR(INDEX(EXCEPCIONES_FECHA!$D$2:$D$201,MATCH(1,(EXCEPCIONES_FECHA!$A$2:$A$201=$A667)*(EXCEPCIONES_FECHA!$B$2:$B$201=""),0)),IFERROR(INDEX(IF($I667="FIN",HISTORIAL_HORARIOS!$J$2:$J$201,HISTORIAL_HORARIOS!$F$2:$F$201),MATCH(1,(HISTORIAL_HORARIOS!$A$2:$A$201=$B667)*(HISTORIAL_HORARIOS!$C$2:$C$201&lt;=$A667)*(HISTORIAL_HORARIOS!$D$2:$D$201&gt;=$A667),0)),INDEX(IF($I667="FIN",PERSONAL!$J$2:$J$80,PERSONAL!$F$2:$F$80),MATCH($B667,PERSONAL!$A$2:$A$80,0)))))</f>
        <v/>
      </c>
      <c r="N667" s="53">
        <f t="array" ref="N667">IFERROR(INDEX(EXCEPCIONES_FECHA!$E$2:$E$201,MATCH(1,(EXCEPCIONES_FECHA!$A$2:$A$201=$A667)*(EXCEPCIONES_FECHA!$B$2:$B$201=$B667),0)),IFERROR(INDEX(EXCEPCIONES_FECHA!$E$2:$E$201,MATCH(1,(EXCEPCIONES_FECHA!$A$2:$A$201=$A667)*(EXCEPCIONES_FECHA!$B$2:$B$201=""),0)),IFERROR(INDEX(IF($I667="FIN",HISTORIAL_HORARIOS!$K$2:$K$201,HISTORIAL_HORARIOS!$G$2:$G$201),MATCH(1,(HISTORIAL_HORARIOS!$A$2:$A$201=$B667)*(HISTORIAL_HORARIOS!$C$2:$C$201&lt;=$A667)*(HISTORIAL_HORARIOS!$D$2:$D$201&gt;=$A667),0)),INDEX(IF($I667="FIN",PERSONAL!$K$2:$K$80,PERSONAL!$G$2:$G$80),MATCH($B667,PERSONAL!$A$2:$A$80,0)))))</f>
        <v/>
      </c>
      <c r="O667" s="53">
        <f t="array" ref="O667">IFERROR(INDEX(EXCEPCIONES_FECHA!$F$2:$F$201,MATCH(1,(EXCEPCIONES_FECHA!$A$2:$A$201=$A667)*(EXCEPCIONES_FECHA!$B$2:$B$201=$B667),0)),IFERROR(INDEX(EXCEPCIONES_FECHA!$F$2:$F$201,MATCH(1,(EXCEPCIONES_FECHA!$A$2:$A$201=$A667)*(EXCEPCIONES_FECHA!$B$2:$B$201=""),0)),IFERROR(INDEX(IF($I667="FIN",HISTORIAL_HORARIOS!$L$2:$L$201,HISTORIAL_HORARIOS!$H$2:$H$201),MATCH(1,(HISTORIAL_HORARIOS!$A$2:$A$201=$B667)*(HISTORIAL_HORARIOS!$C$2:$C$201&lt;=$A667)*(HISTORIAL_HORARIOS!$D$2:$D$201&gt;=$A667),0)),INDEX(IF($I667="FIN",PERSONAL!$L$2:$L$80,PERSONAL!$H$2:$H$80),MATCH($B667,PERSONAL!$A$2:$A$80,0)))))</f>
        <v/>
      </c>
    </row>
    <row r="668" ht="15" customHeight="1" s="58">
      <c r="A668" s="37" t="n"/>
      <c r="B668" s="38" t="n"/>
      <c r="C668" s="39" t="n"/>
      <c r="D668" s="39" t="n"/>
      <c r="E668" s="34">
        <f t="array" ref="E668">IF($B668="","",IFERROR(INDEX(PERSONAL!$B$2:$B$80,MATCH($B668,PERSONAL!$A$2:$A$80,0)),"NO EXISTE"))</f>
        <v/>
      </c>
      <c r="F668" s="52">
        <f t="array" ref="F668">IF($B668="","",IFERROR(INDEX(PERSONAL!$C$2:$C$80,MATCH($B668,PERSONAL!$A$2:$A$80,0)),""))</f>
        <v/>
      </c>
      <c r="G668" s="52">
        <f>IF($A668="","",CHOOSE(WEEKDAY($A668,2),"LUNES","MARTES","MIÉRCOLES","JUEVES","VIERNES","SÁBADO","DOMINGO"))</f>
        <v/>
      </c>
      <c r="H668" s="34">
        <f>IF($A668="","",CHOOSE(MONTH($A668),"ENERO","FEBRERO","MARZO","ABRIL","MAYO","JUNIO","JULIO","AGOSTO","SEPTIEMBRE","OCTUBRE","NOVIEMBRE","DICIEMBRE"))</f>
        <v/>
      </c>
      <c r="I668" s="34">
        <f>IF($A668="","",IF(OR($G668="SÁBADO",$G668="DOMINGO"),"FIN","LV"))</f>
        <v/>
      </c>
      <c r="J668" s="34">
        <f>IF(OR($A668="",$B668=""),"",IF($L668&lt;&gt;"",UPPER($L668),IF($C668="","FALTA",IFERROR(IF($C668&gt;=$O668,"ROJO FUERTE",IF($C668&gt;=$N668,"ROJO",IF($C668&gt;=$M668,"AMARILLO","VERDE"))),"REVISAR"))))</f>
        <v/>
      </c>
      <c r="K668" s="36">
        <f>IF(OR($C668="",$D668=""),"",IF($D668&gt;=$C668,($D668-$C668)*24,(1-$C668+$D668)*24))</f>
        <v/>
      </c>
      <c r="L668" s="34" t="n"/>
      <c r="M668" s="53">
        <f t="array" ref="M668">IFERROR(INDEX(EXCEPCIONES_FECHA!$D$2:$D$201,MATCH(1,(EXCEPCIONES_FECHA!$A$2:$A$201=$A668)*(EXCEPCIONES_FECHA!$B$2:$B$201=$B668),0)),IFERROR(INDEX(EXCEPCIONES_FECHA!$D$2:$D$201,MATCH(1,(EXCEPCIONES_FECHA!$A$2:$A$201=$A668)*(EXCEPCIONES_FECHA!$B$2:$B$201=""),0)),IFERROR(INDEX(IF($I668="FIN",HISTORIAL_HORARIOS!$J$2:$J$201,HISTORIAL_HORARIOS!$F$2:$F$201),MATCH(1,(HISTORIAL_HORARIOS!$A$2:$A$201=$B668)*(HISTORIAL_HORARIOS!$C$2:$C$201&lt;=$A668)*(HISTORIAL_HORARIOS!$D$2:$D$201&gt;=$A668),0)),INDEX(IF($I668="FIN",PERSONAL!$J$2:$J$80,PERSONAL!$F$2:$F$80),MATCH($B668,PERSONAL!$A$2:$A$80,0)))))</f>
        <v/>
      </c>
      <c r="N668" s="53">
        <f t="array" ref="N668">IFERROR(INDEX(EXCEPCIONES_FECHA!$E$2:$E$201,MATCH(1,(EXCEPCIONES_FECHA!$A$2:$A$201=$A668)*(EXCEPCIONES_FECHA!$B$2:$B$201=$B668),0)),IFERROR(INDEX(EXCEPCIONES_FECHA!$E$2:$E$201,MATCH(1,(EXCEPCIONES_FECHA!$A$2:$A$201=$A668)*(EXCEPCIONES_FECHA!$B$2:$B$201=""),0)),IFERROR(INDEX(IF($I668="FIN",HISTORIAL_HORARIOS!$K$2:$K$201,HISTORIAL_HORARIOS!$G$2:$G$201),MATCH(1,(HISTORIAL_HORARIOS!$A$2:$A$201=$B668)*(HISTORIAL_HORARIOS!$C$2:$C$201&lt;=$A668)*(HISTORIAL_HORARIOS!$D$2:$D$201&gt;=$A668),0)),INDEX(IF($I668="FIN",PERSONAL!$K$2:$K$80,PERSONAL!$G$2:$G$80),MATCH($B668,PERSONAL!$A$2:$A$80,0)))))</f>
        <v/>
      </c>
      <c r="O668" s="53">
        <f t="array" ref="O668">IFERROR(INDEX(EXCEPCIONES_FECHA!$F$2:$F$201,MATCH(1,(EXCEPCIONES_FECHA!$A$2:$A$201=$A668)*(EXCEPCIONES_FECHA!$B$2:$B$201=$B668),0)),IFERROR(INDEX(EXCEPCIONES_FECHA!$F$2:$F$201,MATCH(1,(EXCEPCIONES_FECHA!$A$2:$A$201=$A668)*(EXCEPCIONES_FECHA!$B$2:$B$201=""),0)),IFERROR(INDEX(IF($I668="FIN",HISTORIAL_HORARIOS!$L$2:$L$201,HISTORIAL_HORARIOS!$H$2:$H$201),MATCH(1,(HISTORIAL_HORARIOS!$A$2:$A$201=$B668)*(HISTORIAL_HORARIOS!$C$2:$C$201&lt;=$A668)*(HISTORIAL_HORARIOS!$D$2:$D$201&gt;=$A668),0)),INDEX(IF($I668="FIN",PERSONAL!$L$2:$L$80,PERSONAL!$H$2:$H$80),MATCH($B668,PERSONAL!$A$2:$A$80,0)))))</f>
        <v/>
      </c>
    </row>
    <row r="669" ht="15" customHeight="1" s="58">
      <c r="A669" s="37" t="n"/>
      <c r="B669" s="38" t="n"/>
      <c r="C669" s="39" t="n"/>
      <c r="D669" s="39" t="n"/>
      <c r="E669" s="34">
        <f t="array" ref="E669">IF($B669="","",IFERROR(INDEX(PERSONAL!$B$2:$B$80,MATCH($B669,PERSONAL!$A$2:$A$80,0)),"NO EXISTE"))</f>
        <v/>
      </c>
      <c r="F669" s="52">
        <f t="array" ref="F669">IF($B669="","",IFERROR(INDEX(PERSONAL!$C$2:$C$80,MATCH($B669,PERSONAL!$A$2:$A$80,0)),""))</f>
        <v/>
      </c>
      <c r="G669" s="52">
        <f>IF($A669="","",CHOOSE(WEEKDAY($A669,2),"LUNES","MARTES","MIÉRCOLES","JUEVES","VIERNES","SÁBADO","DOMINGO"))</f>
        <v/>
      </c>
      <c r="H669" s="34">
        <f>IF($A669="","",CHOOSE(MONTH($A669),"ENERO","FEBRERO","MARZO","ABRIL","MAYO","JUNIO","JULIO","AGOSTO","SEPTIEMBRE","OCTUBRE","NOVIEMBRE","DICIEMBRE"))</f>
        <v/>
      </c>
      <c r="I669" s="34">
        <f>IF($A669="","",IF(OR($G669="SÁBADO",$G669="DOMINGO"),"FIN","LV"))</f>
        <v/>
      </c>
      <c r="J669" s="34">
        <f>IF(OR($A669="",$B669=""),"",IF($L669&lt;&gt;"",UPPER($L669),IF($C669="","FALTA",IFERROR(IF($C669&gt;=$O669,"ROJO FUERTE",IF($C669&gt;=$N669,"ROJO",IF($C669&gt;=$M669,"AMARILLO","VERDE"))),"REVISAR"))))</f>
        <v/>
      </c>
      <c r="K669" s="36">
        <f>IF(OR($C669="",$D669=""),"",IF($D669&gt;=$C669,($D669-$C669)*24,(1-$C669+$D669)*24))</f>
        <v/>
      </c>
      <c r="L669" s="34" t="n"/>
      <c r="M669" s="53">
        <f t="array" ref="M669">IFERROR(INDEX(EXCEPCIONES_FECHA!$D$2:$D$201,MATCH(1,(EXCEPCIONES_FECHA!$A$2:$A$201=$A669)*(EXCEPCIONES_FECHA!$B$2:$B$201=$B669),0)),IFERROR(INDEX(EXCEPCIONES_FECHA!$D$2:$D$201,MATCH(1,(EXCEPCIONES_FECHA!$A$2:$A$201=$A669)*(EXCEPCIONES_FECHA!$B$2:$B$201=""),0)),IFERROR(INDEX(IF($I669="FIN",HISTORIAL_HORARIOS!$J$2:$J$201,HISTORIAL_HORARIOS!$F$2:$F$201),MATCH(1,(HISTORIAL_HORARIOS!$A$2:$A$201=$B669)*(HISTORIAL_HORARIOS!$C$2:$C$201&lt;=$A669)*(HISTORIAL_HORARIOS!$D$2:$D$201&gt;=$A669),0)),INDEX(IF($I669="FIN",PERSONAL!$J$2:$J$80,PERSONAL!$F$2:$F$80),MATCH($B669,PERSONAL!$A$2:$A$80,0)))))</f>
        <v/>
      </c>
      <c r="N669" s="53">
        <f t="array" ref="N669">IFERROR(INDEX(EXCEPCIONES_FECHA!$E$2:$E$201,MATCH(1,(EXCEPCIONES_FECHA!$A$2:$A$201=$A669)*(EXCEPCIONES_FECHA!$B$2:$B$201=$B669),0)),IFERROR(INDEX(EXCEPCIONES_FECHA!$E$2:$E$201,MATCH(1,(EXCEPCIONES_FECHA!$A$2:$A$201=$A669)*(EXCEPCIONES_FECHA!$B$2:$B$201=""),0)),IFERROR(INDEX(IF($I669="FIN",HISTORIAL_HORARIOS!$K$2:$K$201,HISTORIAL_HORARIOS!$G$2:$G$201),MATCH(1,(HISTORIAL_HORARIOS!$A$2:$A$201=$B669)*(HISTORIAL_HORARIOS!$C$2:$C$201&lt;=$A669)*(HISTORIAL_HORARIOS!$D$2:$D$201&gt;=$A669),0)),INDEX(IF($I669="FIN",PERSONAL!$K$2:$K$80,PERSONAL!$G$2:$G$80),MATCH($B669,PERSONAL!$A$2:$A$80,0)))))</f>
        <v/>
      </c>
      <c r="O669" s="53">
        <f t="array" ref="O669">IFERROR(INDEX(EXCEPCIONES_FECHA!$F$2:$F$201,MATCH(1,(EXCEPCIONES_FECHA!$A$2:$A$201=$A669)*(EXCEPCIONES_FECHA!$B$2:$B$201=$B669),0)),IFERROR(INDEX(EXCEPCIONES_FECHA!$F$2:$F$201,MATCH(1,(EXCEPCIONES_FECHA!$A$2:$A$201=$A669)*(EXCEPCIONES_FECHA!$B$2:$B$201=""),0)),IFERROR(INDEX(IF($I669="FIN",HISTORIAL_HORARIOS!$L$2:$L$201,HISTORIAL_HORARIOS!$H$2:$H$201),MATCH(1,(HISTORIAL_HORARIOS!$A$2:$A$201=$B669)*(HISTORIAL_HORARIOS!$C$2:$C$201&lt;=$A669)*(HISTORIAL_HORARIOS!$D$2:$D$201&gt;=$A669),0)),INDEX(IF($I669="FIN",PERSONAL!$L$2:$L$80,PERSONAL!$H$2:$H$80),MATCH($B669,PERSONAL!$A$2:$A$80,0)))))</f>
        <v/>
      </c>
    </row>
    <row r="670" ht="15" customHeight="1" s="58">
      <c r="A670" s="37" t="n"/>
      <c r="B670" s="38" t="n"/>
      <c r="C670" s="39" t="n"/>
      <c r="D670" s="39" t="n"/>
      <c r="E670" s="34">
        <f t="array" ref="E670">IF($B670="","",IFERROR(INDEX(PERSONAL!$B$2:$B$80,MATCH($B670,PERSONAL!$A$2:$A$80,0)),"NO EXISTE"))</f>
        <v/>
      </c>
      <c r="F670" s="52">
        <f t="array" ref="F670">IF($B670="","",IFERROR(INDEX(PERSONAL!$C$2:$C$80,MATCH($B670,PERSONAL!$A$2:$A$80,0)),""))</f>
        <v/>
      </c>
      <c r="G670" s="52">
        <f>IF($A670="","",CHOOSE(WEEKDAY($A670,2),"LUNES","MARTES","MIÉRCOLES","JUEVES","VIERNES","SÁBADO","DOMINGO"))</f>
        <v/>
      </c>
      <c r="H670" s="34">
        <f>IF($A670="","",CHOOSE(MONTH($A670),"ENERO","FEBRERO","MARZO","ABRIL","MAYO","JUNIO","JULIO","AGOSTO","SEPTIEMBRE","OCTUBRE","NOVIEMBRE","DICIEMBRE"))</f>
        <v/>
      </c>
      <c r="I670" s="34">
        <f>IF($A670="","",IF(OR($G670="SÁBADO",$G670="DOMINGO"),"FIN","LV"))</f>
        <v/>
      </c>
      <c r="J670" s="34">
        <f>IF(OR($A670="",$B670=""),"",IF($L670&lt;&gt;"",UPPER($L670),IF($C670="","FALTA",IFERROR(IF($C670&gt;=$O670,"ROJO FUERTE",IF($C670&gt;=$N670,"ROJO",IF($C670&gt;=$M670,"AMARILLO","VERDE"))),"REVISAR"))))</f>
        <v/>
      </c>
      <c r="K670" s="36">
        <f>IF(OR($C670="",$D670=""),"",IF($D670&gt;=$C670,($D670-$C670)*24,(1-$C670+$D670)*24))</f>
        <v/>
      </c>
      <c r="L670" s="34" t="n"/>
      <c r="M670" s="53">
        <f t="array" ref="M670">IFERROR(INDEX(EXCEPCIONES_FECHA!$D$2:$D$201,MATCH(1,(EXCEPCIONES_FECHA!$A$2:$A$201=$A670)*(EXCEPCIONES_FECHA!$B$2:$B$201=$B670),0)),IFERROR(INDEX(EXCEPCIONES_FECHA!$D$2:$D$201,MATCH(1,(EXCEPCIONES_FECHA!$A$2:$A$201=$A670)*(EXCEPCIONES_FECHA!$B$2:$B$201=""),0)),IFERROR(INDEX(IF($I670="FIN",HISTORIAL_HORARIOS!$J$2:$J$201,HISTORIAL_HORARIOS!$F$2:$F$201),MATCH(1,(HISTORIAL_HORARIOS!$A$2:$A$201=$B670)*(HISTORIAL_HORARIOS!$C$2:$C$201&lt;=$A670)*(HISTORIAL_HORARIOS!$D$2:$D$201&gt;=$A670),0)),INDEX(IF($I670="FIN",PERSONAL!$J$2:$J$80,PERSONAL!$F$2:$F$80),MATCH($B670,PERSONAL!$A$2:$A$80,0)))))</f>
        <v/>
      </c>
      <c r="N670" s="53">
        <f t="array" ref="N670">IFERROR(INDEX(EXCEPCIONES_FECHA!$E$2:$E$201,MATCH(1,(EXCEPCIONES_FECHA!$A$2:$A$201=$A670)*(EXCEPCIONES_FECHA!$B$2:$B$201=$B670),0)),IFERROR(INDEX(EXCEPCIONES_FECHA!$E$2:$E$201,MATCH(1,(EXCEPCIONES_FECHA!$A$2:$A$201=$A670)*(EXCEPCIONES_FECHA!$B$2:$B$201=""),0)),IFERROR(INDEX(IF($I670="FIN",HISTORIAL_HORARIOS!$K$2:$K$201,HISTORIAL_HORARIOS!$G$2:$G$201),MATCH(1,(HISTORIAL_HORARIOS!$A$2:$A$201=$B670)*(HISTORIAL_HORARIOS!$C$2:$C$201&lt;=$A670)*(HISTORIAL_HORARIOS!$D$2:$D$201&gt;=$A670),0)),INDEX(IF($I670="FIN",PERSONAL!$K$2:$K$80,PERSONAL!$G$2:$G$80),MATCH($B670,PERSONAL!$A$2:$A$80,0)))))</f>
        <v/>
      </c>
      <c r="O670" s="53">
        <f t="array" ref="O670">IFERROR(INDEX(EXCEPCIONES_FECHA!$F$2:$F$201,MATCH(1,(EXCEPCIONES_FECHA!$A$2:$A$201=$A670)*(EXCEPCIONES_FECHA!$B$2:$B$201=$B670),0)),IFERROR(INDEX(EXCEPCIONES_FECHA!$F$2:$F$201,MATCH(1,(EXCEPCIONES_FECHA!$A$2:$A$201=$A670)*(EXCEPCIONES_FECHA!$B$2:$B$201=""),0)),IFERROR(INDEX(IF($I670="FIN",HISTORIAL_HORARIOS!$L$2:$L$201,HISTORIAL_HORARIOS!$H$2:$H$201),MATCH(1,(HISTORIAL_HORARIOS!$A$2:$A$201=$B670)*(HISTORIAL_HORARIOS!$C$2:$C$201&lt;=$A670)*(HISTORIAL_HORARIOS!$D$2:$D$201&gt;=$A670),0)),INDEX(IF($I670="FIN",PERSONAL!$L$2:$L$80,PERSONAL!$H$2:$H$80),MATCH($B670,PERSONAL!$A$2:$A$80,0)))))</f>
        <v/>
      </c>
    </row>
    <row r="671" ht="15" customHeight="1" s="58">
      <c r="A671" s="37" t="n"/>
      <c r="B671" s="38" t="n"/>
      <c r="C671" s="39" t="n"/>
      <c r="D671" s="39" t="n"/>
      <c r="E671" s="34">
        <f t="array" ref="E671">IF($B671="","",IFERROR(INDEX(PERSONAL!$B$2:$B$80,MATCH($B671,PERSONAL!$A$2:$A$80,0)),"NO EXISTE"))</f>
        <v/>
      </c>
      <c r="F671" s="52">
        <f t="array" ref="F671">IF($B671="","",IFERROR(INDEX(PERSONAL!$C$2:$C$80,MATCH($B671,PERSONAL!$A$2:$A$80,0)),""))</f>
        <v/>
      </c>
      <c r="G671" s="52">
        <f>IF($A671="","",CHOOSE(WEEKDAY($A671,2),"LUNES","MARTES","MIÉRCOLES","JUEVES","VIERNES","SÁBADO","DOMINGO"))</f>
        <v/>
      </c>
      <c r="H671" s="34">
        <f>IF($A671="","",CHOOSE(MONTH($A671),"ENERO","FEBRERO","MARZO","ABRIL","MAYO","JUNIO","JULIO","AGOSTO","SEPTIEMBRE","OCTUBRE","NOVIEMBRE","DICIEMBRE"))</f>
        <v/>
      </c>
      <c r="I671" s="34">
        <f>IF($A671="","",IF(OR($G671="SÁBADO",$G671="DOMINGO"),"FIN","LV"))</f>
        <v/>
      </c>
      <c r="J671" s="34">
        <f>IF(OR($A671="",$B671=""),"",IF($L671&lt;&gt;"",UPPER($L671),IF($C671="","FALTA",IFERROR(IF($C671&gt;=$O671,"ROJO FUERTE",IF($C671&gt;=$N671,"ROJO",IF($C671&gt;=$M671,"AMARILLO","VERDE"))),"REVISAR"))))</f>
        <v/>
      </c>
      <c r="K671" s="36">
        <f>IF(OR($C671="",$D671=""),"",IF($D671&gt;=$C671,($D671-$C671)*24,(1-$C671+$D671)*24))</f>
        <v/>
      </c>
      <c r="L671" s="34" t="n"/>
      <c r="M671" s="53">
        <f t="array" ref="M671">IFERROR(INDEX(EXCEPCIONES_FECHA!$D$2:$D$201,MATCH(1,(EXCEPCIONES_FECHA!$A$2:$A$201=$A671)*(EXCEPCIONES_FECHA!$B$2:$B$201=$B671),0)),IFERROR(INDEX(EXCEPCIONES_FECHA!$D$2:$D$201,MATCH(1,(EXCEPCIONES_FECHA!$A$2:$A$201=$A671)*(EXCEPCIONES_FECHA!$B$2:$B$201=""),0)),IFERROR(INDEX(IF($I671="FIN",HISTORIAL_HORARIOS!$J$2:$J$201,HISTORIAL_HORARIOS!$F$2:$F$201),MATCH(1,(HISTORIAL_HORARIOS!$A$2:$A$201=$B671)*(HISTORIAL_HORARIOS!$C$2:$C$201&lt;=$A671)*(HISTORIAL_HORARIOS!$D$2:$D$201&gt;=$A671),0)),INDEX(IF($I671="FIN",PERSONAL!$J$2:$J$80,PERSONAL!$F$2:$F$80),MATCH($B671,PERSONAL!$A$2:$A$80,0)))))</f>
        <v/>
      </c>
      <c r="N671" s="53">
        <f t="array" ref="N671">IFERROR(INDEX(EXCEPCIONES_FECHA!$E$2:$E$201,MATCH(1,(EXCEPCIONES_FECHA!$A$2:$A$201=$A671)*(EXCEPCIONES_FECHA!$B$2:$B$201=$B671),0)),IFERROR(INDEX(EXCEPCIONES_FECHA!$E$2:$E$201,MATCH(1,(EXCEPCIONES_FECHA!$A$2:$A$201=$A671)*(EXCEPCIONES_FECHA!$B$2:$B$201=""),0)),IFERROR(INDEX(IF($I671="FIN",HISTORIAL_HORARIOS!$K$2:$K$201,HISTORIAL_HORARIOS!$G$2:$G$201),MATCH(1,(HISTORIAL_HORARIOS!$A$2:$A$201=$B671)*(HISTORIAL_HORARIOS!$C$2:$C$201&lt;=$A671)*(HISTORIAL_HORARIOS!$D$2:$D$201&gt;=$A671),0)),INDEX(IF($I671="FIN",PERSONAL!$K$2:$K$80,PERSONAL!$G$2:$G$80),MATCH($B671,PERSONAL!$A$2:$A$80,0)))))</f>
        <v/>
      </c>
      <c r="O671" s="53">
        <f t="array" ref="O671">IFERROR(INDEX(EXCEPCIONES_FECHA!$F$2:$F$201,MATCH(1,(EXCEPCIONES_FECHA!$A$2:$A$201=$A671)*(EXCEPCIONES_FECHA!$B$2:$B$201=$B671),0)),IFERROR(INDEX(EXCEPCIONES_FECHA!$F$2:$F$201,MATCH(1,(EXCEPCIONES_FECHA!$A$2:$A$201=$A671)*(EXCEPCIONES_FECHA!$B$2:$B$201=""),0)),IFERROR(INDEX(IF($I671="FIN",HISTORIAL_HORARIOS!$L$2:$L$201,HISTORIAL_HORARIOS!$H$2:$H$201),MATCH(1,(HISTORIAL_HORARIOS!$A$2:$A$201=$B671)*(HISTORIAL_HORARIOS!$C$2:$C$201&lt;=$A671)*(HISTORIAL_HORARIOS!$D$2:$D$201&gt;=$A671),0)),INDEX(IF($I671="FIN",PERSONAL!$L$2:$L$80,PERSONAL!$H$2:$H$80),MATCH($B671,PERSONAL!$A$2:$A$80,0)))))</f>
        <v/>
      </c>
    </row>
    <row r="672" ht="15" customHeight="1" s="58">
      <c r="A672" s="37" t="n"/>
      <c r="B672" s="38" t="n"/>
      <c r="C672" s="39" t="n"/>
      <c r="D672" s="39" t="n"/>
      <c r="E672" s="34">
        <f t="array" ref="E672">IF($B672="","",IFERROR(INDEX(PERSONAL!$B$2:$B$80,MATCH($B672,PERSONAL!$A$2:$A$80,0)),"NO EXISTE"))</f>
        <v/>
      </c>
      <c r="F672" s="52">
        <f t="array" ref="F672">IF($B672="","",IFERROR(INDEX(PERSONAL!$C$2:$C$80,MATCH($B672,PERSONAL!$A$2:$A$80,0)),""))</f>
        <v/>
      </c>
      <c r="G672" s="52">
        <f>IF($A672="","",CHOOSE(WEEKDAY($A672,2),"LUNES","MARTES","MIÉRCOLES","JUEVES","VIERNES","SÁBADO","DOMINGO"))</f>
        <v/>
      </c>
      <c r="H672" s="34">
        <f>IF($A672="","",CHOOSE(MONTH($A672),"ENERO","FEBRERO","MARZO","ABRIL","MAYO","JUNIO","JULIO","AGOSTO","SEPTIEMBRE","OCTUBRE","NOVIEMBRE","DICIEMBRE"))</f>
        <v/>
      </c>
      <c r="I672" s="34">
        <f>IF($A672="","",IF(OR($G672="SÁBADO",$G672="DOMINGO"),"FIN","LV"))</f>
        <v/>
      </c>
      <c r="J672" s="34">
        <f>IF(OR($A672="",$B672=""),"",IF($L672&lt;&gt;"",UPPER($L672),IF($C672="","FALTA",IFERROR(IF($C672&gt;=$O672,"ROJO FUERTE",IF($C672&gt;=$N672,"ROJO",IF($C672&gt;=$M672,"AMARILLO","VERDE"))),"REVISAR"))))</f>
        <v/>
      </c>
      <c r="K672" s="36">
        <f>IF(OR($C672="",$D672=""),"",IF($D672&gt;=$C672,($D672-$C672)*24,(1-$C672+$D672)*24))</f>
        <v/>
      </c>
      <c r="L672" s="34" t="n"/>
      <c r="M672" s="53">
        <f t="array" ref="M672">IFERROR(INDEX(EXCEPCIONES_FECHA!$D$2:$D$201,MATCH(1,(EXCEPCIONES_FECHA!$A$2:$A$201=$A672)*(EXCEPCIONES_FECHA!$B$2:$B$201=$B672),0)),IFERROR(INDEX(EXCEPCIONES_FECHA!$D$2:$D$201,MATCH(1,(EXCEPCIONES_FECHA!$A$2:$A$201=$A672)*(EXCEPCIONES_FECHA!$B$2:$B$201=""),0)),IFERROR(INDEX(IF($I672="FIN",HISTORIAL_HORARIOS!$J$2:$J$201,HISTORIAL_HORARIOS!$F$2:$F$201),MATCH(1,(HISTORIAL_HORARIOS!$A$2:$A$201=$B672)*(HISTORIAL_HORARIOS!$C$2:$C$201&lt;=$A672)*(HISTORIAL_HORARIOS!$D$2:$D$201&gt;=$A672),0)),INDEX(IF($I672="FIN",PERSONAL!$J$2:$J$80,PERSONAL!$F$2:$F$80),MATCH($B672,PERSONAL!$A$2:$A$80,0)))))</f>
        <v/>
      </c>
      <c r="N672" s="53">
        <f t="array" ref="N672">IFERROR(INDEX(EXCEPCIONES_FECHA!$E$2:$E$201,MATCH(1,(EXCEPCIONES_FECHA!$A$2:$A$201=$A672)*(EXCEPCIONES_FECHA!$B$2:$B$201=$B672),0)),IFERROR(INDEX(EXCEPCIONES_FECHA!$E$2:$E$201,MATCH(1,(EXCEPCIONES_FECHA!$A$2:$A$201=$A672)*(EXCEPCIONES_FECHA!$B$2:$B$201=""),0)),IFERROR(INDEX(IF($I672="FIN",HISTORIAL_HORARIOS!$K$2:$K$201,HISTORIAL_HORARIOS!$G$2:$G$201),MATCH(1,(HISTORIAL_HORARIOS!$A$2:$A$201=$B672)*(HISTORIAL_HORARIOS!$C$2:$C$201&lt;=$A672)*(HISTORIAL_HORARIOS!$D$2:$D$201&gt;=$A672),0)),INDEX(IF($I672="FIN",PERSONAL!$K$2:$K$80,PERSONAL!$G$2:$G$80),MATCH($B672,PERSONAL!$A$2:$A$80,0)))))</f>
        <v/>
      </c>
      <c r="O672" s="53">
        <f t="array" ref="O672">IFERROR(INDEX(EXCEPCIONES_FECHA!$F$2:$F$201,MATCH(1,(EXCEPCIONES_FECHA!$A$2:$A$201=$A672)*(EXCEPCIONES_FECHA!$B$2:$B$201=$B672),0)),IFERROR(INDEX(EXCEPCIONES_FECHA!$F$2:$F$201,MATCH(1,(EXCEPCIONES_FECHA!$A$2:$A$201=$A672)*(EXCEPCIONES_FECHA!$B$2:$B$201=""),0)),IFERROR(INDEX(IF($I672="FIN",HISTORIAL_HORARIOS!$L$2:$L$201,HISTORIAL_HORARIOS!$H$2:$H$201),MATCH(1,(HISTORIAL_HORARIOS!$A$2:$A$201=$B672)*(HISTORIAL_HORARIOS!$C$2:$C$201&lt;=$A672)*(HISTORIAL_HORARIOS!$D$2:$D$201&gt;=$A672),0)),INDEX(IF($I672="FIN",PERSONAL!$L$2:$L$80,PERSONAL!$H$2:$H$80),MATCH($B672,PERSONAL!$A$2:$A$80,0)))))</f>
        <v/>
      </c>
    </row>
    <row r="673" ht="15" customHeight="1" s="58">
      <c r="A673" s="37" t="n"/>
      <c r="B673" s="38" t="n"/>
      <c r="C673" s="39" t="n"/>
      <c r="D673" s="39" t="n"/>
      <c r="E673" s="34">
        <f t="array" ref="E673">IF($B673="","",IFERROR(INDEX(PERSONAL!$B$2:$B$80,MATCH($B673,PERSONAL!$A$2:$A$80,0)),"NO EXISTE"))</f>
        <v/>
      </c>
      <c r="F673" s="52">
        <f t="array" ref="F673">IF($B673="","",IFERROR(INDEX(PERSONAL!$C$2:$C$80,MATCH($B673,PERSONAL!$A$2:$A$80,0)),""))</f>
        <v/>
      </c>
      <c r="G673" s="52">
        <f>IF($A673="","",CHOOSE(WEEKDAY($A673,2),"LUNES","MARTES","MIÉRCOLES","JUEVES","VIERNES","SÁBADO","DOMINGO"))</f>
        <v/>
      </c>
      <c r="H673" s="34">
        <f>IF($A673="","",CHOOSE(MONTH($A673),"ENERO","FEBRERO","MARZO","ABRIL","MAYO","JUNIO","JULIO","AGOSTO","SEPTIEMBRE","OCTUBRE","NOVIEMBRE","DICIEMBRE"))</f>
        <v/>
      </c>
      <c r="I673" s="34">
        <f>IF($A673="","",IF(OR($G673="SÁBADO",$G673="DOMINGO"),"FIN","LV"))</f>
        <v/>
      </c>
      <c r="J673" s="34">
        <f>IF(OR($A673="",$B673=""),"",IF($L673&lt;&gt;"",UPPER($L673),IF($C673="","FALTA",IFERROR(IF($C673&gt;=$O673,"ROJO FUERTE",IF($C673&gt;=$N673,"ROJO",IF($C673&gt;=$M673,"AMARILLO","VERDE"))),"REVISAR"))))</f>
        <v/>
      </c>
      <c r="K673" s="36">
        <f>IF(OR($C673="",$D673=""),"",IF($D673&gt;=$C673,($D673-$C673)*24,(1-$C673+$D673)*24))</f>
        <v/>
      </c>
      <c r="L673" s="34" t="n"/>
      <c r="M673" s="53">
        <f t="array" ref="M673">IFERROR(INDEX(EXCEPCIONES_FECHA!$D$2:$D$201,MATCH(1,(EXCEPCIONES_FECHA!$A$2:$A$201=$A673)*(EXCEPCIONES_FECHA!$B$2:$B$201=$B673),0)),IFERROR(INDEX(EXCEPCIONES_FECHA!$D$2:$D$201,MATCH(1,(EXCEPCIONES_FECHA!$A$2:$A$201=$A673)*(EXCEPCIONES_FECHA!$B$2:$B$201=""),0)),IFERROR(INDEX(IF($I673="FIN",HISTORIAL_HORARIOS!$J$2:$J$201,HISTORIAL_HORARIOS!$F$2:$F$201),MATCH(1,(HISTORIAL_HORARIOS!$A$2:$A$201=$B673)*(HISTORIAL_HORARIOS!$C$2:$C$201&lt;=$A673)*(HISTORIAL_HORARIOS!$D$2:$D$201&gt;=$A673),0)),INDEX(IF($I673="FIN",PERSONAL!$J$2:$J$80,PERSONAL!$F$2:$F$80),MATCH($B673,PERSONAL!$A$2:$A$80,0)))))</f>
        <v/>
      </c>
      <c r="N673" s="53">
        <f t="array" ref="N673">IFERROR(INDEX(EXCEPCIONES_FECHA!$E$2:$E$201,MATCH(1,(EXCEPCIONES_FECHA!$A$2:$A$201=$A673)*(EXCEPCIONES_FECHA!$B$2:$B$201=$B673),0)),IFERROR(INDEX(EXCEPCIONES_FECHA!$E$2:$E$201,MATCH(1,(EXCEPCIONES_FECHA!$A$2:$A$201=$A673)*(EXCEPCIONES_FECHA!$B$2:$B$201=""),0)),IFERROR(INDEX(IF($I673="FIN",HISTORIAL_HORARIOS!$K$2:$K$201,HISTORIAL_HORARIOS!$G$2:$G$201),MATCH(1,(HISTORIAL_HORARIOS!$A$2:$A$201=$B673)*(HISTORIAL_HORARIOS!$C$2:$C$201&lt;=$A673)*(HISTORIAL_HORARIOS!$D$2:$D$201&gt;=$A673),0)),INDEX(IF($I673="FIN",PERSONAL!$K$2:$K$80,PERSONAL!$G$2:$G$80),MATCH($B673,PERSONAL!$A$2:$A$80,0)))))</f>
        <v/>
      </c>
      <c r="O673" s="53">
        <f t="array" ref="O673">IFERROR(INDEX(EXCEPCIONES_FECHA!$F$2:$F$201,MATCH(1,(EXCEPCIONES_FECHA!$A$2:$A$201=$A673)*(EXCEPCIONES_FECHA!$B$2:$B$201=$B673),0)),IFERROR(INDEX(EXCEPCIONES_FECHA!$F$2:$F$201,MATCH(1,(EXCEPCIONES_FECHA!$A$2:$A$201=$A673)*(EXCEPCIONES_FECHA!$B$2:$B$201=""),0)),IFERROR(INDEX(IF($I673="FIN",HISTORIAL_HORARIOS!$L$2:$L$201,HISTORIAL_HORARIOS!$H$2:$H$201),MATCH(1,(HISTORIAL_HORARIOS!$A$2:$A$201=$B673)*(HISTORIAL_HORARIOS!$C$2:$C$201&lt;=$A673)*(HISTORIAL_HORARIOS!$D$2:$D$201&gt;=$A673),0)),INDEX(IF($I673="FIN",PERSONAL!$L$2:$L$80,PERSONAL!$H$2:$H$80),MATCH($B673,PERSONAL!$A$2:$A$80,0)))))</f>
        <v/>
      </c>
    </row>
    <row r="674" ht="15" customHeight="1" s="58">
      <c r="A674" s="37" t="n"/>
      <c r="B674" s="38" t="n"/>
      <c r="C674" s="39" t="n"/>
      <c r="D674" s="39" t="n"/>
      <c r="E674" s="34">
        <f t="array" ref="E674">IF($B674="","",IFERROR(INDEX(PERSONAL!$B$2:$B$80,MATCH($B674,PERSONAL!$A$2:$A$80,0)),"NO EXISTE"))</f>
        <v/>
      </c>
      <c r="F674" s="52">
        <f t="array" ref="F674">IF($B674="","",IFERROR(INDEX(PERSONAL!$C$2:$C$80,MATCH($B674,PERSONAL!$A$2:$A$80,0)),""))</f>
        <v/>
      </c>
      <c r="G674" s="52">
        <f>IF($A674="","",CHOOSE(WEEKDAY($A674,2),"LUNES","MARTES","MIÉRCOLES","JUEVES","VIERNES","SÁBADO","DOMINGO"))</f>
        <v/>
      </c>
      <c r="H674" s="34">
        <f>IF($A674="","",CHOOSE(MONTH($A674),"ENERO","FEBRERO","MARZO","ABRIL","MAYO","JUNIO","JULIO","AGOSTO","SEPTIEMBRE","OCTUBRE","NOVIEMBRE","DICIEMBRE"))</f>
        <v/>
      </c>
      <c r="I674" s="34">
        <f>IF($A674="","",IF(OR($G674="SÁBADO",$G674="DOMINGO"),"FIN","LV"))</f>
        <v/>
      </c>
      <c r="J674" s="34">
        <f>IF(OR($A674="",$B674=""),"",IF($L674&lt;&gt;"",UPPER($L674),IF($C674="","FALTA",IFERROR(IF($C674&gt;=$O674,"ROJO FUERTE",IF($C674&gt;=$N674,"ROJO",IF($C674&gt;=$M674,"AMARILLO","VERDE"))),"REVISAR"))))</f>
        <v/>
      </c>
      <c r="K674" s="36">
        <f>IF(OR($C674="",$D674=""),"",IF($D674&gt;=$C674,($D674-$C674)*24,(1-$C674+$D674)*24))</f>
        <v/>
      </c>
      <c r="L674" s="34" t="n"/>
      <c r="M674" s="53">
        <f t="array" ref="M674">IFERROR(INDEX(EXCEPCIONES_FECHA!$D$2:$D$201,MATCH(1,(EXCEPCIONES_FECHA!$A$2:$A$201=$A674)*(EXCEPCIONES_FECHA!$B$2:$B$201=$B674),0)),IFERROR(INDEX(EXCEPCIONES_FECHA!$D$2:$D$201,MATCH(1,(EXCEPCIONES_FECHA!$A$2:$A$201=$A674)*(EXCEPCIONES_FECHA!$B$2:$B$201=""),0)),IFERROR(INDEX(IF($I674="FIN",HISTORIAL_HORARIOS!$J$2:$J$201,HISTORIAL_HORARIOS!$F$2:$F$201),MATCH(1,(HISTORIAL_HORARIOS!$A$2:$A$201=$B674)*(HISTORIAL_HORARIOS!$C$2:$C$201&lt;=$A674)*(HISTORIAL_HORARIOS!$D$2:$D$201&gt;=$A674),0)),INDEX(IF($I674="FIN",PERSONAL!$J$2:$J$80,PERSONAL!$F$2:$F$80),MATCH($B674,PERSONAL!$A$2:$A$80,0)))))</f>
        <v/>
      </c>
      <c r="N674" s="53">
        <f t="array" ref="N674">IFERROR(INDEX(EXCEPCIONES_FECHA!$E$2:$E$201,MATCH(1,(EXCEPCIONES_FECHA!$A$2:$A$201=$A674)*(EXCEPCIONES_FECHA!$B$2:$B$201=$B674),0)),IFERROR(INDEX(EXCEPCIONES_FECHA!$E$2:$E$201,MATCH(1,(EXCEPCIONES_FECHA!$A$2:$A$201=$A674)*(EXCEPCIONES_FECHA!$B$2:$B$201=""),0)),IFERROR(INDEX(IF($I674="FIN",HISTORIAL_HORARIOS!$K$2:$K$201,HISTORIAL_HORARIOS!$G$2:$G$201),MATCH(1,(HISTORIAL_HORARIOS!$A$2:$A$201=$B674)*(HISTORIAL_HORARIOS!$C$2:$C$201&lt;=$A674)*(HISTORIAL_HORARIOS!$D$2:$D$201&gt;=$A674),0)),INDEX(IF($I674="FIN",PERSONAL!$K$2:$K$80,PERSONAL!$G$2:$G$80),MATCH($B674,PERSONAL!$A$2:$A$80,0)))))</f>
        <v/>
      </c>
      <c r="O674" s="53">
        <f t="array" ref="O674">IFERROR(INDEX(EXCEPCIONES_FECHA!$F$2:$F$201,MATCH(1,(EXCEPCIONES_FECHA!$A$2:$A$201=$A674)*(EXCEPCIONES_FECHA!$B$2:$B$201=$B674),0)),IFERROR(INDEX(EXCEPCIONES_FECHA!$F$2:$F$201,MATCH(1,(EXCEPCIONES_FECHA!$A$2:$A$201=$A674)*(EXCEPCIONES_FECHA!$B$2:$B$201=""),0)),IFERROR(INDEX(IF($I674="FIN",HISTORIAL_HORARIOS!$L$2:$L$201,HISTORIAL_HORARIOS!$H$2:$H$201),MATCH(1,(HISTORIAL_HORARIOS!$A$2:$A$201=$B674)*(HISTORIAL_HORARIOS!$C$2:$C$201&lt;=$A674)*(HISTORIAL_HORARIOS!$D$2:$D$201&gt;=$A674),0)),INDEX(IF($I674="FIN",PERSONAL!$L$2:$L$80,PERSONAL!$H$2:$H$80),MATCH($B674,PERSONAL!$A$2:$A$80,0)))))</f>
        <v/>
      </c>
    </row>
    <row r="675" ht="15" customHeight="1" s="58">
      <c r="A675" s="37" t="n"/>
      <c r="B675" s="38" t="n"/>
      <c r="C675" s="39" t="n"/>
      <c r="D675" s="39" t="n"/>
      <c r="E675" s="34">
        <f t="array" ref="E675">IF($B675="","",IFERROR(INDEX(PERSONAL!$B$2:$B$80,MATCH($B675,PERSONAL!$A$2:$A$80,0)),"NO EXISTE"))</f>
        <v/>
      </c>
      <c r="F675" s="52">
        <f t="array" ref="F675">IF($B675="","",IFERROR(INDEX(PERSONAL!$C$2:$C$80,MATCH($B675,PERSONAL!$A$2:$A$80,0)),""))</f>
        <v/>
      </c>
      <c r="G675" s="52">
        <f>IF($A675="","",CHOOSE(WEEKDAY($A675,2),"LUNES","MARTES","MIÉRCOLES","JUEVES","VIERNES","SÁBADO","DOMINGO"))</f>
        <v/>
      </c>
      <c r="H675" s="34">
        <f>IF($A675="","",CHOOSE(MONTH($A675),"ENERO","FEBRERO","MARZO","ABRIL","MAYO","JUNIO","JULIO","AGOSTO","SEPTIEMBRE","OCTUBRE","NOVIEMBRE","DICIEMBRE"))</f>
        <v/>
      </c>
      <c r="I675" s="34">
        <f>IF($A675="","",IF(OR($G675="SÁBADO",$G675="DOMINGO"),"FIN","LV"))</f>
        <v/>
      </c>
      <c r="J675" s="34">
        <f>IF(OR($A675="",$B675=""),"",IF($L675&lt;&gt;"",UPPER($L675),IF($C675="","FALTA",IFERROR(IF($C675&gt;=$O675,"ROJO FUERTE",IF($C675&gt;=$N675,"ROJO",IF($C675&gt;=$M675,"AMARILLO","VERDE"))),"REVISAR"))))</f>
        <v/>
      </c>
      <c r="K675" s="36">
        <f>IF(OR($C675="",$D675=""),"",IF($D675&gt;=$C675,($D675-$C675)*24,(1-$C675+$D675)*24))</f>
        <v/>
      </c>
      <c r="L675" s="34" t="n"/>
      <c r="M675" s="53">
        <f t="array" ref="M675">IFERROR(INDEX(EXCEPCIONES_FECHA!$D$2:$D$201,MATCH(1,(EXCEPCIONES_FECHA!$A$2:$A$201=$A675)*(EXCEPCIONES_FECHA!$B$2:$B$201=$B675),0)),IFERROR(INDEX(EXCEPCIONES_FECHA!$D$2:$D$201,MATCH(1,(EXCEPCIONES_FECHA!$A$2:$A$201=$A675)*(EXCEPCIONES_FECHA!$B$2:$B$201=""),0)),IFERROR(INDEX(IF($I675="FIN",HISTORIAL_HORARIOS!$J$2:$J$201,HISTORIAL_HORARIOS!$F$2:$F$201),MATCH(1,(HISTORIAL_HORARIOS!$A$2:$A$201=$B675)*(HISTORIAL_HORARIOS!$C$2:$C$201&lt;=$A675)*(HISTORIAL_HORARIOS!$D$2:$D$201&gt;=$A675),0)),INDEX(IF($I675="FIN",PERSONAL!$J$2:$J$80,PERSONAL!$F$2:$F$80),MATCH($B675,PERSONAL!$A$2:$A$80,0)))))</f>
        <v/>
      </c>
      <c r="N675" s="53">
        <f t="array" ref="N675">IFERROR(INDEX(EXCEPCIONES_FECHA!$E$2:$E$201,MATCH(1,(EXCEPCIONES_FECHA!$A$2:$A$201=$A675)*(EXCEPCIONES_FECHA!$B$2:$B$201=$B675),0)),IFERROR(INDEX(EXCEPCIONES_FECHA!$E$2:$E$201,MATCH(1,(EXCEPCIONES_FECHA!$A$2:$A$201=$A675)*(EXCEPCIONES_FECHA!$B$2:$B$201=""),0)),IFERROR(INDEX(IF($I675="FIN",HISTORIAL_HORARIOS!$K$2:$K$201,HISTORIAL_HORARIOS!$G$2:$G$201),MATCH(1,(HISTORIAL_HORARIOS!$A$2:$A$201=$B675)*(HISTORIAL_HORARIOS!$C$2:$C$201&lt;=$A675)*(HISTORIAL_HORARIOS!$D$2:$D$201&gt;=$A675),0)),INDEX(IF($I675="FIN",PERSONAL!$K$2:$K$80,PERSONAL!$G$2:$G$80),MATCH($B675,PERSONAL!$A$2:$A$80,0)))))</f>
        <v/>
      </c>
      <c r="O675" s="53">
        <f t="array" ref="O675">IFERROR(INDEX(EXCEPCIONES_FECHA!$F$2:$F$201,MATCH(1,(EXCEPCIONES_FECHA!$A$2:$A$201=$A675)*(EXCEPCIONES_FECHA!$B$2:$B$201=$B675),0)),IFERROR(INDEX(EXCEPCIONES_FECHA!$F$2:$F$201,MATCH(1,(EXCEPCIONES_FECHA!$A$2:$A$201=$A675)*(EXCEPCIONES_FECHA!$B$2:$B$201=""),0)),IFERROR(INDEX(IF($I675="FIN",HISTORIAL_HORARIOS!$L$2:$L$201,HISTORIAL_HORARIOS!$H$2:$H$201),MATCH(1,(HISTORIAL_HORARIOS!$A$2:$A$201=$B675)*(HISTORIAL_HORARIOS!$C$2:$C$201&lt;=$A675)*(HISTORIAL_HORARIOS!$D$2:$D$201&gt;=$A675),0)),INDEX(IF($I675="FIN",PERSONAL!$L$2:$L$80,PERSONAL!$H$2:$H$80),MATCH($B675,PERSONAL!$A$2:$A$80,0)))))</f>
        <v/>
      </c>
    </row>
    <row r="676" ht="15" customHeight="1" s="58">
      <c r="A676" s="37" t="n"/>
      <c r="B676" s="38" t="n"/>
      <c r="C676" s="39" t="n"/>
      <c r="D676" s="39" t="n"/>
      <c r="E676" s="34">
        <f t="array" ref="E676">IF($B676="","",IFERROR(INDEX(PERSONAL!$B$2:$B$80,MATCH($B676,PERSONAL!$A$2:$A$80,0)),"NO EXISTE"))</f>
        <v/>
      </c>
      <c r="F676" s="52">
        <f t="array" ref="F676">IF($B676="","",IFERROR(INDEX(PERSONAL!$C$2:$C$80,MATCH($B676,PERSONAL!$A$2:$A$80,0)),""))</f>
        <v/>
      </c>
      <c r="G676" s="52">
        <f>IF($A676="","",CHOOSE(WEEKDAY($A676,2),"LUNES","MARTES","MIÉRCOLES","JUEVES","VIERNES","SÁBADO","DOMINGO"))</f>
        <v/>
      </c>
      <c r="H676" s="34">
        <f>IF($A676="","",CHOOSE(MONTH($A676),"ENERO","FEBRERO","MARZO","ABRIL","MAYO","JUNIO","JULIO","AGOSTO","SEPTIEMBRE","OCTUBRE","NOVIEMBRE","DICIEMBRE"))</f>
        <v/>
      </c>
      <c r="I676" s="34">
        <f>IF($A676="","",IF(OR($G676="SÁBADO",$G676="DOMINGO"),"FIN","LV"))</f>
        <v/>
      </c>
      <c r="J676" s="34">
        <f>IF(OR($A676="",$B676=""),"",IF($L676&lt;&gt;"",UPPER($L676),IF($C676="","FALTA",IFERROR(IF($C676&gt;=$O676,"ROJO FUERTE",IF($C676&gt;=$N676,"ROJO",IF($C676&gt;=$M676,"AMARILLO","VERDE"))),"REVISAR"))))</f>
        <v/>
      </c>
      <c r="K676" s="36">
        <f>IF(OR($C676="",$D676=""),"",IF($D676&gt;=$C676,($D676-$C676)*24,(1-$C676+$D676)*24))</f>
        <v/>
      </c>
      <c r="L676" s="34" t="n"/>
      <c r="M676" s="53">
        <f t="array" ref="M676">IFERROR(INDEX(EXCEPCIONES_FECHA!$D$2:$D$201,MATCH(1,(EXCEPCIONES_FECHA!$A$2:$A$201=$A676)*(EXCEPCIONES_FECHA!$B$2:$B$201=$B676),0)),IFERROR(INDEX(EXCEPCIONES_FECHA!$D$2:$D$201,MATCH(1,(EXCEPCIONES_FECHA!$A$2:$A$201=$A676)*(EXCEPCIONES_FECHA!$B$2:$B$201=""),0)),IFERROR(INDEX(IF($I676="FIN",HISTORIAL_HORARIOS!$J$2:$J$201,HISTORIAL_HORARIOS!$F$2:$F$201),MATCH(1,(HISTORIAL_HORARIOS!$A$2:$A$201=$B676)*(HISTORIAL_HORARIOS!$C$2:$C$201&lt;=$A676)*(HISTORIAL_HORARIOS!$D$2:$D$201&gt;=$A676),0)),INDEX(IF($I676="FIN",PERSONAL!$J$2:$J$80,PERSONAL!$F$2:$F$80),MATCH($B676,PERSONAL!$A$2:$A$80,0)))))</f>
        <v/>
      </c>
      <c r="N676" s="53">
        <f t="array" ref="N676">IFERROR(INDEX(EXCEPCIONES_FECHA!$E$2:$E$201,MATCH(1,(EXCEPCIONES_FECHA!$A$2:$A$201=$A676)*(EXCEPCIONES_FECHA!$B$2:$B$201=$B676),0)),IFERROR(INDEX(EXCEPCIONES_FECHA!$E$2:$E$201,MATCH(1,(EXCEPCIONES_FECHA!$A$2:$A$201=$A676)*(EXCEPCIONES_FECHA!$B$2:$B$201=""),0)),IFERROR(INDEX(IF($I676="FIN",HISTORIAL_HORARIOS!$K$2:$K$201,HISTORIAL_HORARIOS!$G$2:$G$201),MATCH(1,(HISTORIAL_HORARIOS!$A$2:$A$201=$B676)*(HISTORIAL_HORARIOS!$C$2:$C$201&lt;=$A676)*(HISTORIAL_HORARIOS!$D$2:$D$201&gt;=$A676),0)),INDEX(IF($I676="FIN",PERSONAL!$K$2:$K$80,PERSONAL!$G$2:$G$80),MATCH($B676,PERSONAL!$A$2:$A$80,0)))))</f>
        <v/>
      </c>
      <c r="O676" s="53">
        <f t="array" ref="O676">IFERROR(INDEX(EXCEPCIONES_FECHA!$F$2:$F$201,MATCH(1,(EXCEPCIONES_FECHA!$A$2:$A$201=$A676)*(EXCEPCIONES_FECHA!$B$2:$B$201=$B676),0)),IFERROR(INDEX(EXCEPCIONES_FECHA!$F$2:$F$201,MATCH(1,(EXCEPCIONES_FECHA!$A$2:$A$201=$A676)*(EXCEPCIONES_FECHA!$B$2:$B$201=""),0)),IFERROR(INDEX(IF($I676="FIN",HISTORIAL_HORARIOS!$L$2:$L$201,HISTORIAL_HORARIOS!$H$2:$H$201),MATCH(1,(HISTORIAL_HORARIOS!$A$2:$A$201=$B676)*(HISTORIAL_HORARIOS!$C$2:$C$201&lt;=$A676)*(HISTORIAL_HORARIOS!$D$2:$D$201&gt;=$A676),0)),INDEX(IF($I676="FIN",PERSONAL!$L$2:$L$80,PERSONAL!$H$2:$H$80),MATCH($B676,PERSONAL!$A$2:$A$80,0)))))</f>
        <v/>
      </c>
    </row>
    <row r="677" ht="15" customHeight="1" s="58">
      <c r="A677" s="37" t="n"/>
      <c r="B677" s="38" t="n"/>
      <c r="C677" s="39" t="n"/>
      <c r="D677" s="39" t="n"/>
      <c r="E677" s="34">
        <f t="array" ref="E677">IF($B677="","",IFERROR(INDEX(PERSONAL!$B$2:$B$80,MATCH($B677,PERSONAL!$A$2:$A$80,0)),"NO EXISTE"))</f>
        <v/>
      </c>
      <c r="F677" s="52">
        <f t="array" ref="F677">IF($B677="","",IFERROR(INDEX(PERSONAL!$C$2:$C$80,MATCH($B677,PERSONAL!$A$2:$A$80,0)),""))</f>
        <v/>
      </c>
      <c r="G677" s="52">
        <f>IF($A677="","",CHOOSE(WEEKDAY($A677,2),"LUNES","MARTES","MIÉRCOLES","JUEVES","VIERNES","SÁBADO","DOMINGO"))</f>
        <v/>
      </c>
      <c r="H677" s="34">
        <f>IF($A677="","",CHOOSE(MONTH($A677),"ENERO","FEBRERO","MARZO","ABRIL","MAYO","JUNIO","JULIO","AGOSTO","SEPTIEMBRE","OCTUBRE","NOVIEMBRE","DICIEMBRE"))</f>
        <v/>
      </c>
      <c r="I677" s="34">
        <f>IF($A677="","",IF(OR($G677="SÁBADO",$G677="DOMINGO"),"FIN","LV"))</f>
        <v/>
      </c>
      <c r="J677" s="34">
        <f>IF(OR($A677="",$B677=""),"",IF($L677&lt;&gt;"",UPPER($L677),IF($C677="","FALTA",IFERROR(IF($C677&gt;=$O677,"ROJO FUERTE",IF($C677&gt;=$N677,"ROJO",IF($C677&gt;=$M677,"AMARILLO","VERDE"))),"REVISAR"))))</f>
        <v/>
      </c>
      <c r="K677" s="36">
        <f>IF(OR($C677="",$D677=""),"",IF($D677&gt;=$C677,($D677-$C677)*24,(1-$C677+$D677)*24))</f>
        <v/>
      </c>
      <c r="L677" s="34" t="n"/>
      <c r="M677" s="53">
        <f t="array" ref="M677">IFERROR(INDEX(EXCEPCIONES_FECHA!$D$2:$D$201,MATCH(1,(EXCEPCIONES_FECHA!$A$2:$A$201=$A677)*(EXCEPCIONES_FECHA!$B$2:$B$201=$B677),0)),IFERROR(INDEX(EXCEPCIONES_FECHA!$D$2:$D$201,MATCH(1,(EXCEPCIONES_FECHA!$A$2:$A$201=$A677)*(EXCEPCIONES_FECHA!$B$2:$B$201=""),0)),IFERROR(INDEX(IF($I677="FIN",HISTORIAL_HORARIOS!$J$2:$J$201,HISTORIAL_HORARIOS!$F$2:$F$201),MATCH(1,(HISTORIAL_HORARIOS!$A$2:$A$201=$B677)*(HISTORIAL_HORARIOS!$C$2:$C$201&lt;=$A677)*(HISTORIAL_HORARIOS!$D$2:$D$201&gt;=$A677),0)),INDEX(IF($I677="FIN",PERSONAL!$J$2:$J$80,PERSONAL!$F$2:$F$80),MATCH($B677,PERSONAL!$A$2:$A$80,0)))))</f>
        <v/>
      </c>
      <c r="N677" s="53">
        <f t="array" ref="N677">IFERROR(INDEX(EXCEPCIONES_FECHA!$E$2:$E$201,MATCH(1,(EXCEPCIONES_FECHA!$A$2:$A$201=$A677)*(EXCEPCIONES_FECHA!$B$2:$B$201=$B677),0)),IFERROR(INDEX(EXCEPCIONES_FECHA!$E$2:$E$201,MATCH(1,(EXCEPCIONES_FECHA!$A$2:$A$201=$A677)*(EXCEPCIONES_FECHA!$B$2:$B$201=""),0)),IFERROR(INDEX(IF($I677="FIN",HISTORIAL_HORARIOS!$K$2:$K$201,HISTORIAL_HORARIOS!$G$2:$G$201),MATCH(1,(HISTORIAL_HORARIOS!$A$2:$A$201=$B677)*(HISTORIAL_HORARIOS!$C$2:$C$201&lt;=$A677)*(HISTORIAL_HORARIOS!$D$2:$D$201&gt;=$A677),0)),INDEX(IF($I677="FIN",PERSONAL!$K$2:$K$80,PERSONAL!$G$2:$G$80),MATCH($B677,PERSONAL!$A$2:$A$80,0)))))</f>
        <v/>
      </c>
      <c r="O677" s="53">
        <f t="array" ref="O677">IFERROR(INDEX(EXCEPCIONES_FECHA!$F$2:$F$201,MATCH(1,(EXCEPCIONES_FECHA!$A$2:$A$201=$A677)*(EXCEPCIONES_FECHA!$B$2:$B$201=$B677),0)),IFERROR(INDEX(EXCEPCIONES_FECHA!$F$2:$F$201,MATCH(1,(EXCEPCIONES_FECHA!$A$2:$A$201=$A677)*(EXCEPCIONES_FECHA!$B$2:$B$201=""),0)),IFERROR(INDEX(IF($I677="FIN",HISTORIAL_HORARIOS!$L$2:$L$201,HISTORIAL_HORARIOS!$H$2:$H$201),MATCH(1,(HISTORIAL_HORARIOS!$A$2:$A$201=$B677)*(HISTORIAL_HORARIOS!$C$2:$C$201&lt;=$A677)*(HISTORIAL_HORARIOS!$D$2:$D$201&gt;=$A677),0)),INDEX(IF($I677="FIN",PERSONAL!$L$2:$L$80,PERSONAL!$H$2:$H$80),MATCH($B677,PERSONAL!$A$2:$A$80,0)))))</f>
        <v/>
      </c>
    </row>
    <row r="678" ht="15" customHeight="1" s="58">
      <c r="A678" s="37" t="n"/>
      <c r="B678" s="38" t="n"/>
      <c r="C678" s="39" t="n"/>
      <c r="D678" s="39" t="n"/>
      <c r="E678" s="34">
        <f t="array" ref="E678">IF($B678="","",IFERROR(INDEX(PERSONAL!$B$2:$B$80,MATCH($B678,PERSONAL!$A$2:$A$80,0)),"NO EXISTE"))</f>
        <v/>
      </c>
      <c r="F678" s="52">
        <f t="array" ref="F678">IF($B678="","",IFERROR(INDEX(PERSONAL!$C$2:$C$80,MATCH($B678,PERSONAL!$A$2:$A$80,0)),""))</f>
        <v/>
      </c>
      <c r="G678" s="52">
        <f>IF($A678="","",CHOOSE(WEEKDAY($A678,2),"LUNES","MARTES","MIÉRCOLES","JUEVES","VIERNES","SÁBADO","DOMINGO"))</f>
        <v/>
      </c>
      <c r="H678" s="34">
        <f>IF($A678="","",CHOOSE(MONTH($A678),"ENERO","FEBRERO","MARZO","ABRIL","MAYO","JUNIO","JULIO","AGOSTO","SEPTIEMBRE","OCTUBRE","NOVIEMBRE","DICIEMBRE"))</f>
        <v/>
      </c>
      <c r="I678" s="34">
        <f>IF($A678="","",IF(OR($G678="SÁBADO",$G678="DOMINGO"),"FIN","LV"))</f>
        <v/>
      </c>
      <c r="J678" s="34">
        <f>IF(OR($A678="",$B678=""),"",IF($L678&lt;&gt;"",UPPER($L678),IF($C678="","FALTA",IFERROR(IF($C678&gt;=$O678,"ROJO FUERTE",IF($C678&gt;=$N678,"ROJO",IF($C678&gt;=$M678,"AMARILLO","VERDE"))),"REVISAR"))))</f>
        <v/>
      </c>
      <c r="K678" s="36">
        <f>IF(OR($C678="",$D678=""),"",IF($D678&gt;=$C678,($D678-$C678)*24,(1-$C678+$D678)*24))</f>
        <v/>
      </c>
      <c r="L678" s="34" t="n"/>
      <c r="M678" s="53">
        <f t="array" ref="M678">IFERROR(INDEX(EXCEPCIONES_FECHA!$D$2:$D$201,MATCH(1,(EXCEPCIONES_FECHA!$A$2:$A$201=$A678)*(EXCEPCIONES_FECHA!$B$2:$B$201=$B678),0)),IFERROR(INDEX(EXCEPCIONES_FECHA!$D$2:$D$201,MATCH(1,(EXCEPCIONES_FECHA!$A$2:$A$201=$A678)*(EXCEPCIONES_FECHA!$B$2:$B$201=""),0)),IFERROR(INDEX(IF($I678="FIN",HISTORIAL_HORARIOS!$J$2:$J$201,HISTORIAL_HORARIOS!$F$2:$F$201),MATCH(1,(HISTORIAL_HORARIOS!$A$2:$A$201=$B678)*(HISTORIAL_HORARIOS!$C$2:$C$201&lt;=$A678)*(HISTORIAL_HORARIOS!$D$2:$D$201&gt;=$A678),0)),INDEX(IF($I678="FIN",PERSONAL!$J$2:$J$80,PERSONAL!$F$2:$F$80),MATCH($B678,PERSONAL!$A$2:$A$80,0)))))</f>
        <v/>
      </c>
      <c r="N678" s="53">
        <f t="array" ref="N678">IFERROR(INDEX(EXCEPCIONES_FECHA!$E$2:$E$201,MATCH(1,(EXCEPCIONES_FECHA!$A$2:$A$201=$A678)*(EXCEPCIONES_FECHA!$B$2:$B$201=$B678),0)),IFERROR(INDEX(EXCEPCIONES_FECHA!$E$2:$E$201,MATCH(1,(EXCEPCIONES_FECHA!$A$2:$A$201=$A678)*(EXCEPCIONES_FECHA!$B$2:$B$201=""),0)),IFERROR(INDEX(IF($I678="FIN",HISTORIAL_HORARIOS!$K$2:$K$201,HISTORIAL_HORARIOS!$G$2:$G$201),MATCH(1,(HISTORIAL_HORARIOS!$A$2:$A$201=$B678)*(HISTORIAL_HORARIOS!$C$2:$C$201&lt;=$A678)*(HISTORIAL_HORARIOS!$D$2:$D$201&gt;=$A678),0)),INDEX(IF($I678="FIN",PERSONAL!$K$2:$K$80,PERSONAL!$G$2:$G$80),MATCH($B678,PERSONAL!$A$2:$A$80,0)))))</f>
        <v/>
      </c>
      <c r="O678" s="53">
        <f t="array" ref="O678">IFERROR(INDEX(EXCEPCIONES_FECHA!$F$2:$F$201,MATCH(1,(EXCEPCIONES_FECHA!$A$2:$A$201=$A678)*(EXCEPCIONES_FECHA!$B$2:$B$201=$B678),0)),IFERROR(INDEX(EXCEPCIONES_FECHA!$F$2:$F$201,MATCH(1,(EXCEPCIONES_FECHA!$A$2:$A$201=$A678)*(EXCEPCIONES_FECHA!$B$2:$B$201=""),0)),IFERROR(INDEX(IF($I678="FIN",HISTORIAL_HORARIOS!$L$2:$L$201,HISTORIAL_HORARIOS!$H$2:$H$201),MATCH(1,(HISTORIAL_HORARIOS!$A$2:$A$201=$B678)*(HISTORIAL_HORARIOS!$C$2:$C$201&lt;=$A678)*(HISTORIAL_HORARIOS!$D$2:$D$201&gt;=$A678),0)),INDEX(IF($I678="FIN",PERSONAL!$L$2:$L$80,PERSONAL!$H$2:$H$80),MATCH($B678,PERSONAL!$A$2:$A$80,0)))))</f>
        <v/>
      </c>
    </row>
    <row r="679" ht="15" customHeight="1" s="58">
      <c r="A679" s="37" t="n"/>
      <c r="B679" s="38" t="n"/>
      <c r="C679" s="39" t="n"/>
      <c r="D679" s="39" t="n"/>
      <c r="E679" s="34">
        <f t="array" ref="E679">IF($B679="","",IFERROR(INDEX(PERSONAL!$B$2:$B$80,MATCH($B679,PERSONAL!$A$2:$A$80,0)),"NO EXISTE"))</f>
        <v/>
      </c>
      <c r="F679" s="52">
        <f t="array" ref="F679">IF($B679="","",IFERROR(INDEX(PERSONAL!$C$2:$C$80,MATCH($B679,PERSONAL!$A$2:$A$80,0)),""))</f>
        <v/>
      </c>
      <c r="G679" s="52">
        <f>IF($A679="","",CHOOSE(WEEKDAY($A679,2),"LUNES","MARTES","MIÉRCOLES","JUEVES","VIERNES","SÁBADO","DOMINGO"))</f>
        <v/>
      </c>
      <c r="H679" s="34">
        <f>IF($A679="","",CHOOSE(MONTH($A679),"ENERO","FEBRERO","MARZO","ABRIL","MAYO","JUNIO","JULIO","AGOSTO","SEPTIEMBRE","OCTUBRE","NOVIEMBRE","DICIEMBRE"))</f>
        <v/>
      </c>
      <c r="I679" s="34">
        <f>IF($A679="","",IF(OR($G679="SÁBADO",$G679="DOMINGO"),"FIN","LV"))</f>
        <v/>
      </c>
      <c r="J679" s="34">
        <f>IF(OR($A679="",$B679=""),"",IF($L679&lt;&gt;"",UPPER($L679),IF($C679="","FALTA",IFERROR(IF($C679&gt;=$O679,"ROJO FUERTE",IF($C679&gt;=$N679,"ROJO",IF($C679&gt;=$M679,"AMARILLO","VERDE"))),"REVISAR"))))</f>
        <v/>
      </c>
      <c r="K679" s="36">
        <f>IF(OR($C679="",$D679=""),"",IF($D679&gt;=$C679,($D679-$C679)*24,(1-$C679+$D679)*24))</f>
        <v/>
      </c>
      <c r="L679" s="34" t="n"/>
      <c r="M679" s="53">
        <f t="array" ref="M679">IFERROR(INDEX(EXCEPCIONES_FECHA!$D$2:$D$201,MATCH(1,(EXCEPCIONES_FECHA!$A$2:$A$201=$A679)*(EXCEPCIONES_FECHA!$B$2:$B$201=$B679),0)),IFERROR(INDEX(EXCEPCIONES_FECHA!$D$2:$D$201,MATCH(1,(EXCEPCIONES_FECHA!$A$2:$A$201=$A679)*(EXCEPCIONES_FECHA!$B$2:$B$201=""),0)),IFERROR(INDEX(IF($I679="FIN",HISTORIAL_HORARIOS!$J$2:$J$201,HISTORIAL_HORARIOS!$F$2:$F$201),MATCH(1,(HISTORIAL_HORARIOS!$A$2:$A$201=$B679)*(HISTORIAL_HORARIOS!$C$2:$C$201&lt;=$A679)*(HISTORIAL_HORARIOS!$D$2:$D$201&gt;=$A679),0)),INDEX(IF($I679="FIN",PERSONAL!$J$2:$J$80,PERSONAL!$F$2:$F$80),MATCH($B679,PERSONAL!$A$2:$A$80,0)))))</f>
        <v/>
      </c>
      <c r="N679" s="53">
        <f t="array" ref="N679">IFERROR(INDEX(EXCEPCIONES_FECHA!$E$2:$E$201,MATCH(1,(EXCEPCIONES_FECHA!$A$2:$A$201=$A679)*(EXCEPCIONES_FECHA!$B$2:$B$201=$B679),0)),IFERROR(INDEX(EXCEPCIONES_FECHA!$E$2:$E$201,MATCH(1,(EXCEPCIONES_FECHA!$A$2:$A$201=$A679)*(EXCEPCIONES_FECHA!$B$2:$B$201=""),0)),IFERROR(INDEX(IF($I679="FIN",HISTORIAL_HORARIOS!$K$2:$K$201,HISTORIAL_HORARIOS!$G$2:$G$201),MATCH(1,(HISTORIAL_HORARIOS!$A$2:$A$201=$B679)*(HISTORIAL_HORARIOS!$C$2:$C$201&lt;=$A679)*(HISTORIAL_HORARIOS!$D$2:$D$201&gt;=$A679),0)),INDEX(IF($I679="FIN",PERSONAL!$K$2:$K$80,PERSONAL!$G$2:$G$80),MATCH($B679,PERSONAL!$A$2:$A$80,0)))))</f>
        <v/>
      </c>
      <c r="O679" s="53">
        <f t="array" ref="O679">IFERROR(INDEX(EXCEPCIONES_FECHA!$F$2:$F$201,MATCH(1,(EXCEPCIONES_FECHA!$A$2:$A$201=$A679)*(EXCEPCIONES_FECHA!$B$2:$B$201=$B679),0)),IFERROR(INDEX(EXCEPCIONES_FECHA!$F$2:$F$201,MATCH(1,(EXCEPCIONES_FECHA!$A$2:$A$201=$A679)*(EXCEPCIONES_FECHA!$B$2:$B$201=""),0)),IFERROR(INDEX(IF($I679="FIN",HISTORIAL_HORARIOS!$L$2:$L$201,HISTORIAL_HORARIOS!$H$2:$H$201),MATCH(1,(HISTORIAL_HORARIOS!$A$2:$A$201=$B679)*(HISTORIAL_HORARIOS!$C$2:$C$201&lt;=$A679)*(HISTORIAL_HORARIOS!$D$2:$D$201&gt;=$A679),0)),INDEX(IF($I679="FIN",PERSONAL!$L$2:$L$80,PERSONAL!$H$2:$H$80),MATCH($B679,PERSONAL!$A$2:$A$80,0)))))</f>
        <v/>
      </c>
    </row>
    <row r="680" ht="15" customHeight="1" s="58">
      <c r="A680" s="37" t="n"/>
      <c r="B680" s="38" t="n"/>
      <c r="C680" s="39" t="n"/>
      <c r="D680" s="39" t="n"/>
      <c r="E680" s="34">
        <f t="array" ref="E680">IF($B680="","",IFERROR(INDEX(PERSONAL!$B$2:$B$80,MATCH($B680,PERSONAL!$A$2:$A$80,0)),"NO EXISTE"))</f>
        <v/>
      </c>
      <c r="F680" s="52">
        <f t="array" ref="F680">IF($B680="","",IFERROR(INDEX(PERSONAL!$C$2:$C$80,MATCH($B680,PERSONAL!$A$2:$A$80,0)),""))</f>
        <v/>
      </c>
      <c r="G680" s="52">
        <f>IF($A680="","",CHOOSE(WEEKDAY($A680,2),"LUNES","MARTES","MIÉRCOLES","JUEVES","VIERNES","SÁBADO","DOMINGO"))</f>
        <v/>
      </c>
      <c r="H680" s="34">
        <f>IF($A680="","",CHOOSE(MONTH($A680),"ENERO","FEBRERO","MARZO","ABRIL","MAYO","JUNIO","JULIO","AGOSTO","SEPTIEMBRE","OCTUBRE","NOVIEMBRE","DICIEMBRE"))</f>
        <v/>
      </c>
      <c r="I680" s="34">
        <f>IF($A680="","",IF(OR($G680="SÁBADO",$G680="DOMINGO"),"FIN","LV"))</f>
        <v/>
      </c>
      <c r="J680" s="34">
        <f>IF(OR($A680="",$B680=""),"",IF($L680&lt;&gt;"",UPPER($L680),IF($C680="","FALTA",IFERROR(IF($C680&gt;=$O680,"ROJO FUERTE",IF($C680&gt;=$N680,"ROJO",IF($C680&gt;=$M680,"AMARILLO","VERDE"))),"REVISAR"))))</f>
        <v/>
      </c>
      <c r="K680" s="36">
        <f>IF(OR($C680="",$D680=""),"",IF($D680&gt;=$C680,($D680-$C680)*24,(1-$C680+$D680)*24))</f>
        <v/>
      </c>
      <c r="L680" s="34" t="n"/>
      <c r="M680" s="53">
        <f t="array" ref="M680">IFERROR(INDEX(EXCEPCIONES_FECHA!$D$2:$D$201,MATCH(1,(EXCEPCIONES_FECHA!$A$2:$A$201=$A680)*(EXCEPCIONES_FECHA!$B$2:$B$201=$B680),0)),IFERROR(INDEX(EXCEPCIONES_FECHA!$D$2:$D$201,MATCH(1,(EXCEPCIONES_FECHA!$A$2:$A$201=$A680)*(EXCEPCIONES_FECHA!$B$2:$B$201=""),0)),IFERROR(INDEX(IF($I680="FIN",HISTORIAL_HORARIOS!$J$2:$J$201,HISTORIAL_HORARIOS!$F$2:$F$201),MATCH(1,(HISTORIAL_HORARIOS!$A$2:$A$201=$B680)*(HISTORIAL_HORARIOS!$C$2:$C$201&lt;=$A680)*(HISTORIAL_HORARIOS!$D$2:$D$201&gt;=$A680),0)),INDEX(IF($I680="FIN",PERSONAL!$J$2:$J$80,PERSONAL!$F$2:$F$80),MATCH($B680,PERSONAL!$A$2:$A$80,0)))))</f>
        <v/>
      </c>
      <c r="N680" s="53">
        <f t="array" ref="N680">IFERROR(INDEX(EXCEPCIONES_FECHA!$E$2:$E$201,MATCH(1,(EXCEPCIONES_FECHA!$A$2:$A$201=$A680)*(EXCEPCIONES_FECHA!$B$2:$B$201=$B680),0)),IFERROR(INDEX(EXCEPCIONES_FECHA!$E$2:$E$201,MATCH(1,(EXCEPCIONES_FECHA!$A$2:$A$201=$A680)*(EXCEPCIONES_FECHA!$B$2:$B$201=""),0)),IFERROR(INDEX(IF($I680="FIN",HISTORIAL_HORARIOS!$K$2:$K$201,HISTORIAL_HORARIOS!$G$2:$G$201),MATCH(1,(HISTORIAL_HORARIOS!$A$2:$A$201=$B680)*(HISTORIAL_HORARIOS!$C$2:$C$201&lt;=$A680)*(HISTORIAL_HORARIOS!$D$2:$D$201&gt;=$A680),0)),INDEX(IF($I680="FIN",PERSONAL!$K$2:$K$80,PERSONAL!$G$2:$G$80),MATCH($B680,PERSONAL!$A$2:$A$80,0)))))</f>
        <v/>
      </c>
      <c r="O680" s="53">
        <f t="array" ref="O680">IFERROR(INDEX(EXCEPCIONES_FECHA!$F$2:$F$201,MATCH(1,(EXCEPCIONES_FECHA!$A$2:$A$201=$A680)*(EXCEPCIONES_FECHA!$B$2:$B$201=$B680),0)),IFERROR(INDEX(EXCEPCIONES_FECHA!$F$2:$F$201,MATCH(1,(EXCEPCIONES_FECHA!$A$2:$A$201=$A680)*(EXCEPCIONES_FECHA!$B$2:$B$201=""),0)),IFERROR(INDEX(IF($I680="FIN",HISTORIAL_HORARIOS!$L$2:$L$201,HISTORIAL_HORARIOS!$H$2:$H$201),MATCH(1,(HISTORIAL_HORARIOS!$A$2:$A$201=$B680)*(HISTORIAL_HORARIOS!$C$2:$C$201&lt;=$A680)*(HISTORIAL_HORARIOS!$D$2:$D$201&gt;=$A680),0)),INDEX(IF($I680="FIN",PERSONAL!$L$2:$L$80,PERSONAL!$H$2:$H$80),MATCH($B680,PERSONAL!$A$2:$A$80,0)))))</f>
        <v/>
      </c>
    </row>
    <row r="681" ht="15" customHeight="1" s="58">
      <c r="A681" s="37" t="n"/>
      <c r="B681" s="38" t="n"/>
      <c r="C681" s="39" t="n"/>
      <c r="D681" s="39" t="n"/>
      <c r="E681" s="34">
        <f t="array" ref="E681">IF($B681="","",IFERROR(INDEX(PERSONAL!$B$2:$B$80,MATCH($B681,PERSONAL!$A$2:$A$80,0)),"NO EXISTE"))</f>
        <v/>
      </c>
      <c r="F681" s="52">
        <f t="array" ref="F681">IF($B681="","",IFERROR(INDEX(PERSONAL!$C$2:$C$80,MATCH($B681,PERSONAL!$A$2:$A$80,0)),""))</f>
        <v/>
      </c>
      <c r="G681" s="52">
        <f>IF($A681="","",CHOOSE(WEEKDAY($A681,2),"LUNES","MARTES","MIÉRCOLES","JUEVES","VIERNES","SÁBADO","DOMINGO"))</f>
        <v/>
      </c>
      <c r="H681" s="34">
        <f>IF($A681="","",CHOOSE(MONTH($A681),"ENERO","FEBRERO","MARZO","ABRIL","MAYO","JUNIO","JULIO","AGOSTO","SEPTIEMBRE","OCTUBRE","NOVIEMBRE","DICIEMBRE"))</f>
        <v/>
      </c>
      <c r="I681" s="34">
        <f>IF($A681="","",IF(OR($G681="SÁBADO",$G681="DOMINGO"),"FIN","LV"))</f>
        <v/>
      </c>
      <c r="J681" s="34">
        <f>IF(OR($A681="",$B681=""),"",IF($L681&lt;&gt;"",UPPER($L681),IF($C681="","FALTA",IFERROR(IF($C681&gt;=$O681,"ROJO FUERTE",IF($C681&gt;=$N681,"ROJO",IF($C681&gt;=$M681,"AMARILLO","VERDE"))),"REVISAR"))))</f>
        <v/>
      </c>
      <c r="K681" s="36">
        <f>IF(OR($C681="",$D681=""),"",IF($D681&gt;=$C681,($D681-$C681)*24,(1-$C681+$D681)*24))</f>
        <v/>
      </c>
      <c r="L681" s="34" t="n"/>
      <c r="M681" s="53">
        <f t="array" ref="M681">IFERROR(INDEX(EXCEPCIONES_FECHA!$D$2:$D$201,MATCH(1,(EXCEPCIONES_FECHA!$A$2:$A$201=$A681)*(EXCEPCIONES_FECHA!$B$2:$B$201=$B681),0)),IFERROR(INDEX(EXCEPCIONES_FECHA!$D$2:$D$201,MATCH(1,(EXCEPCIONES_FECHA!$A$2:$A$201=$A681)*(EXCEPCIONES_FECHA!$B$2:$B$201=""),0)),IFERROR(INDEX(IF($I681="FIN",HISTORIAL_HORARIOS!$J$2:$J$201,HISTORIAL_HORARIOS!$F$2:$F$201),MATCH(1,(HISTORIAL_HORARIOS!$A$2:$A$201=$B681)*(HISTORIAL_HORARIOS!$C$2:$C$201&lt;=$A681)*(HISTORIAL_HORARIOS!$D$2:$D$201&gt;=$A681),0)),INDEX(IF($I681="FIN",PERSONAL!$J$2:$J$80,PERSONAL!$F$2:$F$80),MATCH($B681,PERSONAL!$A$2:$A$80,0)))))</f>
        <v/>
      </c>
      <c r="N681" s="53">
        <f t="array" ref="N681">IFERROR(INDEX(EXCEPCIONES_FECHA!$E$2:$E$201,MATCH(1,(EXCEPCIONES_FECHA!$A$2:$A$201=$A681)*(EXCEPCIONES_FECHA!$B$2:$B$201=$B681),0)),IFERROR(INDEX(EXCEPCIONES_FECHA!$E$2:$E$201,MATCH(1,(EXCEPCIONES_FECHA!$A$2:$A$201=$A681)*(EXCEPCIONES_FECHA!$B$2:$B$201=""),0)),IFERROR(INDEX(IF($I681="FIN",HISTORIAL_HORARIOS!$K$2:$K$201,HISTORIAL_HORARIOS!$G$2:$G$201),MATCH(1,(HISTORIAL_HORARIOS!$A$2:$A$201=$B681)*(HISTORIAL_HORARIOS!$C$2:$C$201&lt;=$A681)*(HISTORIAL_HORARIOS!$D$2:$D$201&gt;=$A681),0)),INDEX(IF($I681="FIN",PERSONAL!$K$2:$K$80,PERSONAL!$G$2:$G$80),MATCH($B681,PERSONAL!$A$2:$A$80,0)))))</f>
        <v/>
      </c>
      <c r="O681" s="53">
        <f t="array" ref="O681">IFERROR(INDEX(EXCEPCIONES_FECHA!$F$2:$F$201,MATCH(1,(EXCEPCIONES_FECHA!$A$2:$A$201=$A681)*(EXCEPCIONES_FECHA!$B$2:$B$201=$B681),0)),IFERROR(INDEX(EXCEPCIONES_FECHA!$F$2:$F$201,MATCH(1,(EXCEPCIONES_FECHA!$A$2:$A$201=$A681)*(EXCEPCIONES_FECHA!$B$2:$B$201=""),0)),IFERROR(INDEX(IF($I681="FIN",HISTORIAL_HORARIOS!$L$2:$L$201,HISTORIAL_HORARIOS!$H$2:$H$201),MATCH(1,(HISTORIAL_HORARIOS!$A$2:$A$201=$B681)*(HISTORIAL_HORARIOS!$C$2:$C$201&lt;=$A681)*(HISTORIAL_HORARIOS!$D$2:$D$201&gt;=$A681),0)),INDEX(IF($I681="FIN",PERSONAL!$L$2:$L$80,PERSONAL!$H$2:$H$80),MATCH($B681,PERSONAL!$A$2:$A$80,0)))))</f>
        <v/>
      </c>
    </row>
    <row r="682" ht="15" customHeight="1" s="58">
      <c r="A682" s="37" t="n"/>
      <c r="B682" s="38" t="n"/>
      <c r="C682" s="39" t="n"/>
      <c r="D682" s="39" t="n"/>
      <c r="E682" s="34">
        <f t="array" ref="E682">IF($B682="","",IFERROR(INDEX(PERSONAL!$B$2:$B$80,MATCH($B682,PERSONAL!$A$2:$A$80,0)),"NO EXISTE"))</f>
        <v/>
      </c>
      <c r="F682" s="52">
        <f t="array" ref="F682">IF($B682="","",IFERROR(INDEX(PERSONAL!$C$2:$C$80,MATCH($B682,PERSONAL!$A$2:$A$80,0)),""))</f>
        <v/>
      </c>
      <c r="G682" s="52">
        <f>IF($A682="","",CHOOSE(WEEKDAY($A682,2),"LUNES","MARTES","MIÉRCOLES","JUEVES","VIERNES","SÁBADO","DOMINGO"))</f>
        <v/>
      </c>
      <c r="H682" s="34">
        <f>IF($A682="","",CHOOSE(MONTH($A682),"ENERO","FEBRERO","MARZO","ABRIL","MAYO","JUNIO","JULIO","AGOSTO","SEPTIEMBRE","OCTUBRE","NOVIEMBRE","DICIEMBRE"))</f>
        <v/>
      </c>
      <c r="I682" s="34">
        <f>IF($A682="","",IF(OR($G682="SÁBADO",$G682="DOMINGO"),"FIN","LV"))</f>
        <v/>
      </c>
      <c r="J682" s="34">
        <f>IF(OR($A682="",$B682=""),"",IF($L682&lt;&gt;"",UPPER($L682),IF($C682="","FALTA",IFERROR(IF($C682&gt;=$O682,"ROJO FUERTE",IF($C682&gt;=$N682,"ROJO",IF($C682&gt;=$M682,"AMARILLO","VERDE"))),"REVISAR"))))</f>
        <v/>
      </c>
      <c r="K682" s="36">
        <f>IF(OR($C682="",$D682=""),"",IF($D682&gt;=$C682,($D682-$C682)*24,(1-$C682+$D682)*24))</f>
        <v/>
      </c>
      <c r="L682" s="34" t="n"/>
      <c r="M682" s="53">
        <f t="array" ref="M682">IFERROR(INDEX(EXCEPCIONES_FECHA!$D$2:$D$201,MATCH(1,(EXCEPCIONES_FECHA!$A$2:$A$201=$A682)*(EXCEPCIONES_FECHA!$B$2:$B$201=$B682),0)),IFERROR(INDEX(EXCEPCIONES_FECHA!$D$2:$D$201,MATCH(1,(EXCEPCIONES_FECHA!$A$2:$A$201=$A682)*(EXCEPCIONES_FECHA!$B$2:$B$201=""),0)),IFERROR(INDEX(IF($I682="FIN",HISTORIAL_HORARIOS!$J$2:$J$201,HISTORIAL_HORARIOS!$F$2:$F$201),MATCH(1,(HISTORIAL_HORARIOS!$A$2:$A$201=$B682)*(HISTORIAL_HORARIOS!$C$2:$C$201&lt;=$A682)*(HISTORIAL_HORARIOS!$D$2:$D$201&gt;=$A682),0)),INDEX(IF($I682="FIN",PERSONAL!$J$2:$J$80,PERSONAL!$F$2:$F$80),MATCH($B682,PERSONAL!$A$2:$A$80,0)))))</f>
        <v/>
      </c>
      <c r="N682" s="53">
        <f t="array" ref="N682">IFERROR(INDEX(EXCEPCIONES_FECHA!$E$2:$E$201,MATCH(1,(EXCEPCIONES_FECHA!$A$2:$A$201=$A682)*(EXCEPCIONES_FECHA!$B$2:$B$201=$B682),0)),IFERROR(INDEX(EXCEPCIONES_FECHA!$E$2:$E$201,MATCH(1,(EXCEPCIONES_FECHA!$A$2:$A$201=$A682)*(EXCEPCIONES_FECHA!$B$2:$B$201=""),0)),IFERROR(INDEX(IF($I682="FIN",HISTORIAL_HORARIOS!$K$2:$K$201,HISTORIAL_HORARIOS!$G$2:$G$201),MATCH(1,(HISTORIAL_HORARIOS!$A$2:$A$201=$B682)*(HISTORIAL_HORARIOS!$C$2:$C$201&lt;=$A682)*(HISTORIAL_HORARIOS!$D$2:$D$201&gt;=$A682),0)),INDEX(IF($I682="FIN",PERSONAL!$K$2:$K$80,PERSONAL!$G$2:$G$80),MATCH($B682,PERSONAL!$A$2:$A$80,0)))))</f>
        <v/>
      </c>
      <c r="O682" s="53">
        <f t="array" ref="O682">IFERROR(INDEX(EXCEPCIONES_FECHA!$F$2:$F$201,MATCH(1,(EXCEPCIONES_FECHA!$A$2:$A$201=$A682)*(EXCEPCIONES_FECHA!$B$2:$B$201=$B682),0)),IFERROR(INDEX(EXCEPCIONES_FECHA!$F$2:$F$201,MATCH(1,(EXCEPCIONES_FECHA!$A$2:$A$201=$A682)*(EXCEPCIONES_FECHA!$B$2:$B$201=""),0)),IFERROR(INDEX(IF($I682="FIN",HISTORIAL_HORARIOS!$L$2:$L$201,HISTORIAL_HORARIOS!$H$2:$H$201),MATCH(1,(HISTORIAL_HORARIOS!$A$2:$A$201=$B682)*(HISTORIAL_HORARIOS!$C$2:$C$201&lt;=$A682)*(HISTORIAL_HORARIOS!$D$2:$D$201&gt;=$A682),0)),INDEX(IF($I682="FIN",PERSONAL!$L$2:$L$80,PERSONAL!$H$2:$H$80),MATCH($B682,PERSONAL!$A$2:$A$80,0)))))</f>
        <v/>
      </c>
    </row>
    <row r="683" ht="15" customHeight="1" s="58">
      <c r="A683" s="37" t="n"/>
      <c r="B683" s="38" t="n"/>
      <c r="C683" s="39" t="n"/>
      <c r="D683" s="39" t="n"/>
      <c r="E683" s="34">
        <f t="array" ref="E683">IF($B683="","",IFERROR(INDEX(PERSONAL!$B$2:$B$80,MATCH($B683,PERSONAL!$A$2:$A$80,0)),"NO EXISTE"))</f>
        <v/>
      </c>
      <c r="F683" s="52">
        <f t="array" ref="F683">IF($B683="","",IFERROR(INDEX(PERSONAL!$C$2:$C$80,MATCH($B683,PERSONAL!$A$2:$A$80,0)),""))</f>
        <v/>
      </c>
      <c r="G683" s="52">
        <f>IF($A683="","",CHOOSE(WEEKDAY($A683,2),"LUNES","MARTES","MIÉRCOLES","JUEVES","VIERNES","SÁBADO","DOMINGO"))</f>
        <v/>
      </c>
      <c r="H683" s="34">
        <f>IF($A683="","",CHOOSE(MONTH($A683),"ENERO","FEBRERO","MARZO","ABRIL","MAYO","JUNIO","JULIO","AGOSTO","SEPTIEMBRE","OCTUBRE","NOVIEMBRE","DICIEMBRE"))</f>
        <v/>
      </c>
      <c r="I683" s="34">
        <f>IF($A683="","",IF(OR($G683="SÁBADO",$G683="DOMINGO"),"FIN","LV"))</f>
        <v/>
      </c>
      <c r="J683" s="34">
        <f>IF(OR($A683="",$B683=""),"",IF($L683&lt;&gt;"",UPPER($L683),IF($C683="","FALTA",IFERROR(IF($C683&gt;=$O683,"ROJO FUERTE",IF($C683&gt;=$N683,"ROJO",IF($C683&gt;=$M683,"AMARILLO","VERDE"))),"REVISAR"))))</f>
        <v/>
      </c>
      <c r="K683" s="36">
        <f>IF(OR($C683="",$D683=""),"",IF($D683&gt;=$C683,($D683-$C683)*24,(1-$C683+$D683)*24))</f>
        <v/>
      </c>
      <c r="L683" s="34" t="n"/>
      <c r="M683" s="53">
        <f t="array" ref="M683">IFERROR(INDEX(EXCEPCIONES_FECHA!$D$2:$D$201,MATCH(1,(EXCEPCIONES_FECHA!$A$2:$A$201=$A683)*(EXCEPCIONES_FECHA!$B$2:$B$201=$B683),0)),IFERROR(INDEX(EXCEPCIONES_FECHA!$D$2:$D$201,MATCH(1,(EXCEPCIONES_FECHA!$A$2:$A$201=$A683)*(EXCEPCIONES_FECHA!$B$2:$B$201=""),0)),IFERROR(INDEX(IF($I683="FIN",HISTORIAL_HORARIOS!$J$2:$J$201,HISTORIAL_HORARIOS!$F$2:$F$201),MATCH(1,(HISTORIAL_HORARIOS!$A$2:$A$201=$B683)*(HISTORIAL_HORARIOS!$C$2:$C$201&lt;=$A683)*(HISTORIAL_HORARIOS!$D$2:$D$201&gt;=$A683),0)),INDEX(IF($I683="FIN",PERSONAL!$J$2:$J$80,PERSONAL!$F$2:$F$80),MATCH($B683,PERSONAL!$A$2:$A$80,0)))))</f>
        <v/>
      </c>
      <c r="N683" s="53">
        <f t="array" ref="N683">IFERROR(INDEX(EXCEPCIONES_FECHA!$E$2:$E$201,MATCH(1,(EXCEPCIONES_FECHA!$A$2:$A$201=$A683)*(EXCEPCIONES_FECHA!$B$2:$B$201=$B683),0)),IFERROR(INDEX(EXCEPCIONES_FECHA!$E$2:$E$201,MATCH(1,(EXCEPCIONES_FECHA!$A$2:$A$201=$A683)*(EXCEPCIONES_FECHA!$B$2:$B$201=""),0)),IFERROR(INDEX(IF($I683="FIN",HISTORIAL_HORARIOS!$K$2:$K$201,HISTORIAL_HORARIOS!$G$2:$G$201),MATCH(1,(HISTORIAL_HORARIOS!$A$2:$A$201=$B683)*(HISTORIAL_HORARIOS!$C$2:$C$201&lt;=$A683)*(HISTORIAL_HORARIOS!$D$2:$D$201&gt;=$A683),0)),INDEX(IF($I683="FIN",PERSONAL!$K$2:$K$80,PERSONAL!$G$2:$G$80),MATCH($B683,PERSONAL!$A$2:$A$80,0)))))</f>
        <v/>
      </c>
      <c r="O683" s="53">
        <f t="array" ref="O683">IFERROR(INDEX(EXCEPCIONES_FECHA!$F$2:$F$201,MATCH(1,(EXCEPCIONES_FECHA!$A$2:$A$201=$A683)*(EXCEPCIONES_FECHA!$B$2:$B$201=$B683),0)),IFERROR(INDEX(EXCEPCIONES_FECHA!$F$2:$F$201,MATCH(1,(EXCEPCIONES_FECHA!$A$2:$A$201=$A683)*(EXCEPCIONES_FECHA!$B$2:$B$201=""),0)),IFERROR(INDEX(IF($I683="FIN",HISTORIAL_HORARIOS!$L$2:$L$201,HISTORIAL_HORARIOS!$H$2:$H$201),MATCH(1,(HISTORIAL_HORARIOS!$A$2:$A$201=$B683)*(HISTORIAL_HORARIOS!$C$2:$C$201&lt;=$A683)*(HISTORIAL_HORARIOS!$D$2:$D$201&gt;=$A683),0)),INDEX(IF($I683="FIN",PERSONAL!$L$2:$L$80,PERSONAL!$H$2:$H$80),MATCH($B683,PERSONAL!$A$2:$A$80,0)))))</f>
        <v/>
      </c>
    </row>
    <row r="684" ht="15" customHeight="1" s="58">
      <c r="A684" s="37" t="n"/>
      <c r="B684" s="38" t="n"/>
      <c r="C684" s="39" t="n"/>
      <c r="D684" s="39" t="n"/>
      <c r="E684" s="34">
        <f t="array" ref="E684">IF($B684="","",IFERROR(INDEX(PERSONAL!$B$2:$B$80,MATCH($B684,PERSONAL!$A$2:$A$80,0)),"NO EXISTE"))</f>
        <v/>
      </c>
      <c r="F684" s="52">
        <f t="array" ref="F684">IF($B684="","",IFERROR(INDEX(PERSONAL!$C$2:$C$80,MATCH($B684,PERSONAL!$A$2:$A$80,0)),""))</f>
        <v/>
      </c>
      <c r="G684" s="52">
        <f>IF($A684="","",CHOOSE(WEEKDAY($A684,2),"LUNES","MARTES","MIÉRCOLES","JUEVES","VIERNES","SÁBADO","DOMINGO"))</f>
        <v/>
      </c>
      <c r="H684" s="34">
        <f>IF($A684="","",CHOOSE(MONTH($A684),"ENERO","FEBRERO","MARZO","ABRIL","MAYO","JUNIO","JULIO","AGOSTO","SEPTIEMBRE","OCTUBRE","NOVIEMBRE","DICIEMBRE"))</f>
        <v/>
      </c>
      <c r="I684" s="34">
        <f>IF($A684="","",IF(OR($G684="SÁBADO",$G684="DOMINGO"),"FIN","LV"))</f>
        <v/>
      </c>
      <c r="J684" s="34">
        <f>IF(OR($A684="",$B684=""),"",IF($L684&lt;&gt;"",UPPER($L684),IF($C684="","FALTA",IFERROR(IF($C684&gt;=$O684,"ROJO FUERTE",IF($C684&gt;=$N684,"ROJO",IF($C684&gt;=$M684,"AMARILLO","VERDE"))),"REVISAR"))))</f>
        <v/>
      </c>
      <c r="K684" s="36">
        <f>IF(OR($C684="",$D684=""),"",IF($D684&gt;=$C684,($D684-$C684)*24,(1-$C684+$D684)*24))</f>
        <v/>
      </c>
      <c r="L684" s="34" t="n"/>
      <c r="M684" s="53">
        <f t="array" ref="M684">IFERROR(INDEX(EXCEPCIONES_FECHA!$D$2:$D$201,MATCH(1,(EXCEPCIONES_FECHA!$A$2:$A$201=$A684)*(EXCEPCIONES_FECHA!$B$2:$B$201=$B684),0)),IFERROR(INDEX(EXCEPCIONES_FECHA!$D$2:$D$201,MATCH(1,(EXCEPCIONES_FECHA!$A$2:$A$201=$A684)*(EXCEPCIONES_FECHA!$B$2:$B$201=""),0)),IFERROR(INDEX(IF($I684="FIN",HISTORIAL_HORARIOS!$J$2:$J$201,HISTORIAL_HORARIOS!$F$2:$F$201),MATCH(1,(HISTORIAL_HORARIOS!$A$2:$A$201=$B684)*(HISTORIAL_HORARIOS!$C$2:$C$201&lt;=$A684)*(HISTORIAL_HORARIOS!$D$2:$D$201&gt;=$A684),0)),INDEX(IF($I684="FIN",PERSONAL!$J$2:$J$80,PERSONAL!$F$2:$F$80),MATCH($B684,PERSONAL!$A$2:$A$80,0)))))</f>
        <v/>
      </c>
      <c r="N684" s="53">
        <f t="array" ref="N684">IFERROR(INDEX(EXCEPCIONES_FECHA!$E$2:$E$201,MATCH(1,(EXCEPCIONES_FECHA!$A$2:$A$201=$A684)*(EXCEPCIONES_FECHA!$B$2:$B$201=$B684),0)),IFERROR(INDEX(EXCEPCIONES_FECHA!$E$2:$E$201,MATCH(1,(EXCEPCIONES_FECHA!$A$2:$A$201=$A684)*(EXCEPCIONES_FECHA!$B$2:$B$201=""),0)),IFERROR(INDEX(IF($I684="FIN",HISTORIAL_HORARIOS!$K$2:$K$201,HISTORIAL_HORARIOS!$G$2:$G$201),MATCH(1,(HISTORIAL_HORARIOS!$A$2:$A$201=$B684)*(HISTORIAL_HORARIOS!$C$2:$C$201&lt;=$A684)*(HISTORIAL_HORARIOS!$D$2:$D$201&gt;=$A684),0)),INDEX(IF($I684="FIN",PERSONAL!$K$2:$K$80,PERSONAL!$G$2:$G$80),MATCH($B684,PERSONAL!$A$2:$A$80,0)))))</f>
        <v/>
      </c>
      <c r="O684" s="53">
        <f t="array" ref="O684">IFERROR(INDEX(EXCEPCIONES_FECHA!$F$2:$F$201,MATCH(1,(EXCEPCIONES_FECHA!$A$2:$A$201=$A684)*(EXCEPCIONES_FECHA!$B$2:$B$201=$B684),0)),IFERROR(INDEX(EXCEPCIONES_FECHA!$F$2:$F$201,MATCH(1,(EXCEPCIONES_FECHA!$A$2:$A$201=$A684)*(EXCEPCIONES_FECHA!$B$2:$B$201=""),0)),IFERROR(INDEX(IF($I684="FIN",HISTORIAL_HORARIOS!$L$2:$L$201,HISTORIAL_HORARIOS!$H$2:$H$201),MATCH(1,(HISTORIAL_HORARIOS!$A$2:$A$201=$B684)*(HISTORIAL_HORARIOS!$C$2:$C$201&lt;=$A684)*(HISTORIAL_HORARIOS!$D$2:$D$201&gt;=$A684),0)),INDEX(IF($I684="FIN",PERSONAL!$L$2:$L$80,PERSONAL!$H$2:$H$80),MATCH($B684,PERSONAL!$A$2:$A$80,0)))))</f>
        <v/>
      </c>
    </row>
    <row r="685" ht="15" customHeight="1" s="58">
      <c r="A685" s="37" t="n"/>
      <c r="B685" s="38" t="n"/>
      <c r="C685" s="39" t="n"/>
      <c r="D685" s="39" t="n"/>
      <c r="E685" s="34">
        <f t="array" ref="E685">IF($B685="","",IFERROR(INDEX(PERSONAL!$B$2:$B$80,MATCH($B685,PERSONAL!$A$2:$A$80,0)),"NO EXISTE"))</f>
        <v/>
      </c>
      <c r="F685" s="52">
        <f t="array" ref="F685">IF($B685="","",IFERROR(INDEX(PERSONAL!$C$2:$C$80,MATCH($B685,PERSONAL!$A$2:$A$80,0)),""))</f>
        <v/>
      </c>
      <c r="G685" s="52">
        <f>IF($A685="","",CHOOSE(WEEKDAY($A685,2),"LUNES","MARTES","MIÉRCOLES","JUEVES","VIERNES","SÁBADO","DOMINGO"))</f>
        <v/>
      </c>
      <c r="H685" s="34">
        <f>IF($A685="","",CHOOSE(MONTH($A685),"ENERO","FEBRERO","MARZO","ABRIL","MAYO","JUNIO","JULIO","AGOSTO","SEPTIEMBRE","OCTUBRE","NOVIEMBRE","DICIEMBRE"))</f>
        <v/>
      </c>
      <c r="I685" s="34">
        <f>IF($A685="","",IF(OR($G685="SÁBADO",$G685="DOMINGO"),"FIN","LV"))</f>
        <v/>
      </c>
      <c r="J685" s="34">
        <f>IF(OR($A685="",$B685=""),"",IF($L685&lt;&gt;"",UPPER($L685),IF($C685="","FALTA",IFERROR(IF($C685&gt;=$O685,"ROJO FUERTE",IF($C685&gt;=$N685,"ROJO",IF($C685&gt;=$M685,"AMARILLO","VERDE"))),"REVISAR"))))</f>
        <v/>
      </c>
      <c r="K685" s="36">
        <f>IF(OR($C685="",$D685=""),"",IF($D685&gt;=$C685,($D685-$C685)*24,(1-$C685+$D685)*24))</f>
        <v/>
      </c>
      <c r="L685" s="34" t="n"/>
      <c r="M685" s="53">
        <f t="array" ref="M685">IFERROR(INDEX(EXCEPCIONES_FECHA!$D$2:$D$201,MATCH(1,(EXCEPCIONES_FECHA!$A$2:$A$201=$A685)*(EXCEPCIONES_FECHA!$B$2:$B$201=$B685),0)),IFERROR(INDEX(EXCEPCIONES_FECHA!$D$2:$D$201,MATCH(1,(EXCEPCIONES_FECHA!$A$2:$A$201=$A685)*(EXCEPCIONES_FECHA!$B$2:$B$201=""),0)),IFERROR(INDEX(IF($I685="FIN",HISTORIAL_HORARIOS!$J$2:$J$201,HISTORIAL_HORARIOS!$F$2:$F$201),MATCH(1,(HISTORIAL_HORARIOS!$A$2:$A$201=$B685)*(HISTORIAL_HORARIOS!$C$2:$C$201&lt;=$A685)*(HISTORIAL_HORARIOS!$D$2:$D$201&gt;=$A685),0)),INDEX(IF($I685="FIN",PERSONAL!$J$2:$J$80,PERSONAL!$F$2:$F$80),MATCH($B685,PERSONAL!$A$2:$A$80,0)))))</f>
        <v/>
      </c>
      <c r="N685" s="53">
        <f t="array" ref="N685">IFERROR(INDEX(EXCEPCIONES_FECHA!$E$2:$E$201,MATCH(1,(EXCEPCIONES_FECHA!$A$2:$A$201=$A685)*(EXCEPCIONES_FECHA!$B$2:$B$201=$B685),0)),IFERROR(INDEX(EXCEPCIONES_FECHA!$E$2:$E$201,MATCH(1,(EXCEPCIONES_FECHA!$A$2:$A$201=$A685)*(EXCEPCIONES_FECHA!$B$2:$B$201=""),0)),IFERROR(INDEX(IF($I685="FIN",HISTORIAL_HORARIOS!$K$2:$K$201,HISTORIAL_HORARIOS!$G$2:$G$201),MATCH(1,(HISTORIAL_HORARIOS!$A$2:$A$201=$B685)*(HISTORIAL_HORARIOS!$C$2:$C$201&lt;=$A685)*(HISTORIAL_HORARIOS!$D$2:$D$201&gt;=$A685),0)),INDEX(IF($I685="FIN",PERSONAL!$K$2:$K$80,PERSONAL!$G$2:$G$80),MATCH($B685,PERSONAL!$A$2:$A$80,0)))))</f>
        <v/>
      </c>
      <c r="O685" s="53">
        <f t="array" ref="O685">IFERROR(INDEX(EXCEPCIONES_FECHA!$F$2:$F$201,MATCH(1,(EXCEPCIONES_FECHA!$A$2:$A$201=$A685)*(EXCEPCIONES_FECHA!$B$2:$B$201=$B685),0)),IFERROR(INDEX(EXCEPCIONES_FECHA!$F$2:$F$201,MATCH(1,(EXCEPCIONES_FECHA!$A$2:$A$201=$A685)*(EXCEPCIONES_FECHA!$B$2:$B$201=""),0)),IFERROR(INDEX(IF($I685="FIN",HISTORIAL_HORARIOS!$L$2:$L$201,HISTORIAL_HORARIOS!$H$2:$H$201),MATCH(1,(HISTORIAL_HORARIOS!$A$2:$A$201=$B685)*(HISTORIAL_HORARIOS!$C$2:$C$201&lt;=$A685)*(HISTORIAL_HORARIOS!$D$2:$D$201&gt;=$A685),0)),INDEX(IF($I685="FIN",PERSONAL!$L$2:$L$80,PERSONAL!$H$2:$H$80),MATCH($B685,PERSONAL!$A$2:$A$80,0)))))</f>
        <v/>
      </c>
    </row>
    <row r="686" ht="15" customHeight="1" s="58">
      <c r="A686" s="37" t="n"/>
      <c r="B686" s="38" t="n"/>
      <c r="C686" s="39" t="n"/>
      <c r="D686" s="39" t="n"/>
      <c r="E686" s="34">
        <f t="array" ref="E686">IF($B686="","",IFERROR(INDEX(PERSONAL!$B$2:$B$80,MATCH($B686,PERSONAL!$A$2:$A$80,0)),"NO EXISTE"))</f>
        <v/>
      </c>
      <c r="F686" s="52">
        <f t="array" ref="F686">IF($B686="","",IFERROR(INDEX(PERSONAL!$C$2:$C$80,MATCH($B686,PERSONAL!$A$2:$A$80,0)),""))</f>
        <v/>
      </c>
      <c r="G686" s="52">
        <f>IF($A686="","",CHOOSE(WEEKDAY($A686,2),"LUNES","MARTES","MIÉRCOLES","JUEVES","VIERNES","SÁBADO","DOMINGO"))</f>
        <v/>
      </c>
      <c r="H686" s="34">
        <f>IF($A686="","",CHOOSE(MONTH($A686),"ENERO","FEBRERO","MARZO","ABRIL","MAYO","JUNIO","JULIO","AGOSTO","SEPTIEMBRE","OCTUBRE","NOVIEMBRE","DICIEMBRE"))</f>
        <v/>
      </c>
      <c r="I686" s="34">
        <f>IF($A686="","",IF(OR($G686="SÁBADO",$G686="DOMINGO"),"FIN","LV"))</f>
        <v/>
      </c>
      <c r="J686" s="34">
        <f>IF(OR($A686="",$B686=""),"",IF($L686&lt;&gt;"",UPPER($L686),IF($C686="","FALTA",IFERROR(IF($C686&gt;=$O686,"ROJO FUERTE",IF($C686&gt;=$N686,"ROJO",IF($C686&gt;=$M686,"AMARILLO","VERDE"))),"REVISAR"))))</f>
        <v/>
      </c>
      <c r="K686" s="36">
        <f>IF(OR($C686="",$D686=""),"",IF($D686&gt;=$C686,($D686-$C686)*24,(1-$C686+$D686)*24))</f>
        <v/>
      </c>
      <c r="L686" s="34" t="n"/>
      <c r="M686" s="53">
        <f t="array" ref="M686">IFERROR(INDEX(EXCEPCIONES_FECHA!$D$2:$D$201,MATCH(1,(EXCEPCIONES_FECHA!$A$2:$A$201=$A686)*(EXCEPCIONES_FECHA!$B$2:$B$201=$B686),0)),IFERROR(INDEX(EXCEPCIONES_FECHA!$D$2:$D$201,MATCH(1,(EXCEPCIONES_FECHA!$A$2:$A$201=$A686)*(EXCEPCIONES_FECHA!$B$2:$B$201=""),0)),IFERROR(INDEX(IF($I686="FIN",HISTORIAL_HORARIOS!$J$2:$J$201,HISTORIAL_HORARIOS!$F$2:$F$201),MATCH(1,(HISTORIAL_HORARIOS!$A$2:$A$201=$B686)*(HISTORIAL_HORARIOS!$C$2:$C$201&lt;=$A686)*(HISTORIAL_HORARIOS!$D$2:$D$201&gt;=$A686),0)),INDEX(IF($I686="FIN",PERSONAL!$J$2:$J$80,PERSONAL!$F$2:$F$80),MATCH($B686,PERSONAL!$A$2:$A$80,0)))))</f>
        <v/>
      </c>
      <c r="N686" s="53">
        <f t="array" ref="N686">IFERROR(INDEX(EXCEPCIONES_FECHA!$E$2:$E$201,MATCH(1,(EXCEPCIONES_FECHA!$A$2:$A$201=$A686)*(EXCEPCIONES_FECHA!$B$2:$B$201=$B686),0)),IFERROR(INDEX(EXCEPCIONES_FECHA!$E$2:$E$201,MATCH(1,(EXCEPCIONES_FECHA!$A$2:$A$201=$A686)*(EXCEPCIONES_FECHA!$B$2:$B$201=""),0)),IFERROR(INDEX(IF($I686="FIN",HISTORIAL_HORARIOS!$K$2:$K$201,HISTORIAL_HORARIOS!$G$2:$G$201),MATCH(1,(HISTORIAL_HORARIOS!$A$2:$A$201=$B686)*(HISTORIAL_HORARIOS!$C$2:$C$201&lt;=$A686)*(HISTORIAL_HORARIOS!$D$2:$D$201&gt;=$A686),0)),INDEX(IF($I686="FIN",PERSONAL!$K$2:$K$80,PERSONAL!$G$2:$G$80),MATCH($B686,PERSONAL!$A$2:$A$80,0)))))</f>
        <v/>
      </c>
      <c r="O686" s="53">
        <f t="array" ref="O686">IFERROR(INDEX(EXCEPCIONES_FECHA!$F$2:$F$201,MATCH(1,(EXCEPCIONES_FECHA!$A$2:$A$201=$A686)*(EXCEPCIONES_FECHA!$B$2:$B$201=$B686),0)),IFERROR(INDEX(EXCEPCIONES_FECHA!$F$2:$F$201,MATCH(1,(EXCEPCIONES_FECHA!$A$2:$A$201=$A686)*(EXCEPCIONES_FECHA!$B$2:$B$201=""),0)),IFERROR(INDEX(IF($I686="FIN",HISTORIAL_HORARIOS!$L$2:$L$201,HISTORIAL_HORARIOS!$H$2:$H$201),MATCH(1,(HISTORIAL_HORARIOS!$A$2:$A$201=$B686)*(HISTORIAL_HORARIOS!$C$2:$C$201&lt;=$A686)*(HISTORIAL_HORARIOS!$D$2:$D$201&gt;=$A686),0)),INDEX(IF($I686="FIN",PERSONAL!$L$2:$L$80,PERSONAL!$H$2:$H$80),MATCH($B686,PERSONAL!$A$2:$A$80,0)))))</f>
        <v/>
      </c>
    </row>
    <row r="687" ht="15" customHeight="1" s="58">
      <c r="A687" s="37" t="n"/>
      <c r="B687" s="38" t="n"/>
      <c r="C687" s="39" t="n"/>
      <c r="D687" s="39" t="n"/>
      <c r="E687" s="34">
        <f t="array" ref="E687">IF($B687="","",IFERROR(INDEX(PERSONAL!$B$2:$B$80,MATCH($B687,PERSONAL!$A$2:$A$80,0)),"NO EXISTE"))</f>
        <v/>
      </c>
      <c r="F687" s="52">
        <f t="array" ref="F687">IF($B687="","",IFERROR(INDEX(PERSONAL!$C$2:$C$80,MATCH($B687,PERSONAL!$A$2:$A$80,0)),""))</f>
        <v/>
      </c>
      <c r="G687" s="52">
        <f>IF($A687="","",CHOOSE(WEEKDAY($A687,2),"LUNES","MARTES","MIÉRCOLES","JUEVES","VIERNES","SÁBADO","DOMINGO"))</f>
        <v/>
      </c>
      <c r="H687" s="34">
        <f>IF($A687="","",CHOOSE(MONTH($A687),"ENERO","FEBRERO","MARZO","ABRIL","MAYO","JUNIO","JULIO","AGOSTO","SEPTIEMBRE","OCTUBRE","NOVIEMBRE","DICIEMBRE"))</f>
        <v/>
      </c>
      <c r="I687" s="34">
        <f>IF($A687="","",IF(OR($G687="SÁBADO",$G687="DOMINGO"),"FIN","LV"))</f>
        <v/>
      </c>
      <c r="J687" s="34">
        <f>IF(OR($A687="",$B687=""),"",IF($L687&lt;&gt;"",UPPER($L687),IF($C687="","FALTA",IFERROR(IF($C687&gt;=$O687,"ROJO FUERTE",IF($C687&gt;=$N687,"ROJO",IF($C687&gt;=$M687,"AMARILLO","VERDE"))),"REVISAR"))))</f>
        <v/>
      </c>
      <c r="K687" s="36">
        <f>IF(OR($C687="",$D687=""),"",IF($D687&gt;=$C687,($D687-$C687)*24,(1-$C687+$D687)*24))</f>
        <v/>
      </c>
      <c r="L687" s="34" t="n"/>
      <c r="M687" s="53">
        <f t="array" ref="M687">IFERROR(INDEX(EXCEPCIONES_FECHA!$D$2:$D$201,MATCH(1,(EXCEPCIONES_FECHA!$A$2:$A$201=$A687)*(EXCEPCIONES_FECHA!$B$2:$B$201=$B687),0)),IFERROR(INDEX(EXCEPCIONES_FECHA!$D$2:$D$201,MATCH(1,(EXCEPCIONES_FECHA!$A$2:$A$201=$A687)*(EXCEPCIONES_FECHA!$B$2:$B$201=""),0)),IFERROR(INDEX(IF($I687="FIN",HISTORIAL_HORARIOS!$J$2:$J$201,HISTORIAL_HORARIOS!$F$2:$F$201),MATCH(1,(HISTORIAL_HORARIOS!$A$2:$A$201=$B687)*(HISTORIAL_HORARIOS!$C$2:$C$201&lt;=$A687)*(HISTORIAL_HORARIOS!$D$2:$D$201&gt;=$A687),0)),INDEX(IF($I687="FIN",PERSONAL!$J$2:$J$80,PERSONAL!$F$2:$F$80),MATCH($B687,PERSONAL!$A$2:$A$80,0)))))</f>
        <v/>
      </c>
      <c r="N687" s="53">
        <f t="array" ref="N687">IFERROR(INDEX(EXCEPCIONES_FECHA!$E$2:$E$201,MATCH(1,(EXCEPCIONES_FECHA!$A$2:$A$201=$A687)*(EXCEPCIONES_FECHA!$B$2:$B$201=$B687),0)),IFERROR(INDEX(EXCEPCIONES_FECHA!$E$2:$E$201,MATCH(1,(EXCEPCIONES_FECHA!$A$2:$A$201=$A687)*(EXCEPCIONES_FECHA!$B$2:$B$201=""),0)),IFERROR(INDEX(IF($I687="FIN",HISTORIAL_HORARIOS!$K$2:$K$201,HISTORIAL_HORARIOS!$G$2:$G$201),MATCH(1,(HISTORIAL_HORARIOS!$A$2:$A$201=$B687)*(HISTORIAL_HORARIOS!$C$2:$C$201&lt;=$A687)*(HISTORIAL_HORARIOS!$D$2:$D$201&gt;=$A687),0)),INDEX(IF($I687="FIN",PERSONAL!$K$2:$K$80,PERSONAL!$G$2:$G$80),MATCH($B687,PERSONAL!$A$2:$A$80,0)))))</f>
        <v/>
      </c>
      <c r="O687" s="53">
        <f t="array" ref="O687">IFERROR(INDEX(EXCEPCIONES_FECHA!$F$2:$F$201,MATCH(1,(EXCEPCIONES_FECHA!$A$2:$A$201=$A687)*(EXCEPCIONES_FECHA!$B$2:$B$201=$B687),0)),IFERROR(INDEX(EXCEPCIONES_FECHA!$F$2:$F$201,MATCH(1,(EXCEPCIONES_FECHA!$A$2:$A$201=$A687)*(EXCEPCIONES_FECHA!$B$2:$B$201=""),0)),IFERROR(INDEX(IF($I687="FIN",HISTORIAL_HORARIOS!$L$2:$L$201,HISTORIAL_HORARIOS!$H$2:$H$201),MATCH(1,(HISTORIAL_HORARIOS!$A$2:$A$201=$B687)*(HISTORIAL_HORARIOS!$C$2:$C$201&lt;=$A687)*(HISTORIAL_HORARIOS!$D$2:$D$201&gt;=$A687),0)),INDEX(IF($I687="FIN",PERSONAL!$L$2:$L$80,PERSONAL!$H$2:$H$80),MATCH($B687,PERSONAL!$A$2:$A$80,0)))))</f>
        <v/>
      </c>
    </row>
    <row r="688" ht="15" customHeight="1" s="58">
      <c r="A688" s="37" t="n"/>
      <c r="B688" s="38" t="n"/>
      <c r="C688" s="39" t="n"/>
      <c r="D688" s="39" t="n"/>
      <c r="E688" s="34">
        <f t="array" ref="E688">IF($B688="","",IFERROR(INDEX(PERSONAL!$B$2:$B$80,MATCH($B688,PERSONAL!$A$2:$A$80,0)),"NO EXISTE"))</f>
        <v/>
      </c>
      <c r="F688" s="52">
        <f t="array" ref="F688">IF($B688="","",IFERROR(INDEX(PERSONAL!$C$2:$C$80,MATCH($B688,PERSONAL!$A$2:$A$80,0)),""))</f>
        <v/>
      </c>
      <c r="G688" s="52">
        <f>IF($A688="","",CHOOSE(WEEKDAY($A688,2),"LUNES","MARTES","MIÉRCOLES","JUEVES","VIERNES","SÁBADO","DOMINGO"))</f>
        <v/>
      </c>
      <c r="H688" s="34">
        <f>IF($A688="","",CHOOSE(MONTH($A688),"ENERO","FEBRERO","MARZO","ABRIL","MAYO","JUNIO","JULIO","AGOSTO","SEPTIEMBRE","OCTUBRE","NOVIEMBRE","DICIEMBRE"))</f>
        <v/>
      </c>
      <c r="I688" s="34">
        <f>IF($A688="","",IF(OR($G688="SÁBADO",$G688="DOMINGO"),"FIN","LV"))</f>
        <v/>
      </c>
      <c r="J688" s="34">
        <f>IF(OR($A688="",$B688=""),"",IF($L688&lt;&gt;"",UPPER($L688),IF($C688="","FALTA",IFERROR(IF($C688&gt;=$O688,"ROJO FUERTE",IF($C688&gt;=$N688,"ROJO",IF($C688&gt;=$M688,"AMARILLO","VERDE"))),"REVISAR"))))</f>
        <v/>
      </c>
      <c r="K688" s="36">
        <f>IF(OR($C688="",$D688=""),"",IF($D688&gt;=$C688,($D688-$C688)*24,(1-$C688+$D688)*24))</f>
        <v/>
      </c>
      <c r="L688" s="34" t="n"/>
      <c r="M688" s="53">
        <f t="array" ref="M688">IFERROR(INDEX(EXCEPCIONES_FECHA!$D$2:$D$201,MATCH(1,(EXCEPCIONES_FECHA!$A$2:$A$201=$A688)*(EXCEPCIONES_FECHA!$B$2:$B$201=$B688),0)),IFERROR(INDEX(EXCEPCIONES_FECHA!$D$2:$D$201,MATCH(1,(EXCEPCIONES_FECHA!$A$2:$A$201=$A688)*(EXCEPCIONES_FECHA!$B$2:$B$201=""),0)),IFERROR(INDEX(IF($I688="FIN",HISTORIAL_HORARIOS!$J$2:$J$201,HISTORIAL_HORARIOS!$F$2:$F$201),MATCH(1,(HISTORIAL_HORARIOS!$A$2:$A$201=$B688)*(HISTORIAL_HORARIOS!$C$2:$C$201&lt;=$A688)*(HISTORIAL_HORARIOS!$D$2:$D$201&gt;=$A688),0)),INDEX(IF($I688="FIN",PERSONAL!$J$2:$J$80,PERSONAL!$F$2:$F$80),MATCH($B688,PERSONAL!$A$2:$A$80,0)))))</f>
        <v/>
      </c>
      <c r="N688" s="53">
        <f t="array" ref="N688">IFERROR(INDEX(EXCEPCIONES_FECHA!$E$2:$E$201,MATCH(1,(EXCEPCIONES_FECHA!$A$2:$A$201=$A688)*(EXCEPCIONES_FECHA!$B$2:$B$201=$B688),0)),IFERROR(INDEX(EXCEPCIONES_FECHA!$E$2:$E$201,MATCH(1,(EXCEPCIONES_FECHA!$A$2:$A$201=$A688)*(EXCEPCIONES_FECHA!$B$2:$B$201=""),0)),IFERROR(INDEX(IF($I688="FIN",HISTORIAL_HORARIOS!$K$2:$K$201,HISTORIAL_HORARIOS!$G$2:$G$201),MATCH(1,(HISTORIAL_HORARIOS!$A$2:$A$201=$B688)*(HISTORIAL_HORARIOS!$C$2:$C$201&lt;=$A688)*(HISTORIAL_HORARIOS!$D$2:$D$201&gt;=$A688),0)),INDEX(IF($I688="FIN",PERSONAL!$K$2:$K$80,PERSONAL!$G$2:$G$80),MATCH($B688,PERSONAL!$A$2:$A$80,0)))))</f>
        <v/>
      </c>
      <c r="O688" s="53">
        <f t="array" ref="O688">IFERROR(INDEX(EXCEPCIONES_FECHA!$F$2:$F$201,MATCH(1,(EXCEPCIONES_FECHA!$A$2:$A$201=$A688)*(EXCEPCIONES_FECHA!$B$2:$B$201=$B688),0)),IFERROR(INDEX(EXCEPCIONES_FECHA!$F$2:$F$201,MATCH(1,(EXCEPCIONES_FECHA!$A$2:$A$201=$A688)*(EXCEPCIONES_FECHA!$B$2:$B$201=""),0)),IFERROR(INDEX(IF($I688="FIN",HISTORIAL_HORARIOS!$L$2:$L$201,HISTORIAL_HORARIOS!$H$2:$H$201),MATCH(1,(HISTORIAL_HORARIOS!$A$2:$A$201=$B688)*(HISTORIAL_HORARIOS!$C$2:$C$201&lt;=$A688)*(HISTORIAL_HORARIOS!$D$2:$D$201&gt;=$A688),0)),INDEX(IF($I688="FIN",PERSONAL!$L$2:$L$80,PERSONAL!$H$2:$H$80),MATCH($B688,PERSONAL!$A$2:$A$80,0)))))</f>
        <v/>
      </c>
    </row>
    <row r="689" ht="15" customHeight="1" s="58">
      <c r="A689" s="37" t="n"/>
      <c r="B689" s="38" t="n"/>
      <c r="C689" s="39" t="n"/>
      <c r="D689" s="39" t="n"/>
      <c r="E689" s="34">
        <f t="array" ref="E689">IF($B689="","",IFERROR(INDEX(PERSONAL!$B$2:$B$80,MATCH($B689,PERSONAL!$A$2:$A$80,0)),"NO EXISTE"))</f>
        <v/>
      </c>
      <c r="F689" s="52">
        <f t="array" ref="F689">IF($B689="","",IFERROR(INDEX(PERSONAL!$C$2:$C$80,MATCH($B689,PERSONAL!$A$2:$A$80,0)),""))</f>
        <v/>
      </c>
      <c r="G689" s="52">
        <f>IF($A689="","",CHOOSE(WEEKDAY($A689,2),"LUNES","MARTES","MIÉRCOLES","JUEVES","VIERNES","SÁBADO","DOMINGO"))</f>
        <v/>
      </c>
      <c r="H689" s="34">
        <f>IF($A689="","",CHOOSE(MONTH($A689),"ENERO","FEBRERO","MARZO","ABRIL","MAYO","JUNIO","JULIO","AGOSTO","SEPTIEMBRE","OCTUBRE","NOVIEMBRE","DICIEMBRE"))</f>
        <v/>
      </c>
      <c r="I689" s="34">
        <f>IF($A689="","",IF(OR($G689="SÁBADO",$G689="DOMINGO"),"FIN","LV"))</f>
        <v/>
      </c>
      <c r="J689" s="34">
        <f>IF(OR($A689="",$B689=""),"",IF($L689&lt;&gt;"",UPPER($L689),IF($C689="","FALTA",IFERROR(IF($C689&gt;=$O689,"ROJO FUERTE",IF($C689&gt;=$N689,"ROJO",IF($C689&gt;=$M689,"AMARILLO","VERDE"))),"REVISAR"))))</f>
        <v/>
      </c>
      <c r="K689" s="36">
        <f>IF(OR($C689="",$D689=""),"",IF($D689&gt;=$C689,($D689-$C689)*24,(1-$C689+$D689)*24))</f>
        <v/>
      </c>
      <c r="L689" s="34" t="n"/>
      <c r="M689" s="53">
        <f t="array" ref="M689">IFERROR(INDEX(EXCEPCIONES_FECHA!$D$2:$D$201,MATCH(1,(EXCEPCIONES_FECHA!$A$2:$A$201=$A689)*(EXCEPCIONES_FECHA!$B$2:$B$201=$B689),0)),IFERROR(INDEX(EXCEPCIONES_FECHA!$D$2:$D$201,MATCH(1,(EXCEPCIONES_FECHA!$A$2:$A$201=$A689)*(EXCEPCIONES_FECHA!$B$2:$B$201=""),0)),IFERROR(INDEX(IF($I689="FIN",HISTORIAL_HORARIOS!$J$2:$J$201,HISTORIAL_HORARIOS!$F$2:$F$201),MATCH(1,(HISTORIAL_HORARIOS!$A$2:$A$201=$B689)*(HISTORIAL_HORARIOS!$C$2:$C$201&lt;=$A689)*(HISTORIAL_HORARIOS!$D$2:$D$201&gt;=$A689),0)),INDEX(IF($I689="FIN",PERSONAL!$J$2:$J$80,PERSONAL!$F$2:$F$80),MATCH($B689,PERSONAL!$A$2:$A$80,0)))))</f>
        <v/>
      </c>
      <c r="N689" s="53">
        <f t="array" ref="N689">IFERROR(INDEX(EXCEPCIONES_FECHA!$E$2:$E$201,MATCH(1,(EXCEPCIONES_FECHA!$A$2:$A$201=$A689)*(EXCEPCIONES_FECHA!$B$2:$B$201=$B689),0)),IFERROR(INDEX(EXCEPCIONES_FECHA!$E$2:$E$201,MATCH(1,(EXCEPCIONES_FECHA!$A$2:$A$201=$A689)*(EXCEPCIONES_FECHA!$B$2:$B$201=""),0)),IFERROR(INDEX(IF($I689="FIN",HISTORIAL_HORARIOS!$K$2:$K$201,HISTORIAL_HORARIOS!$G$2:$G$201),MATCH(1,(HISTORIAL_HORARIOS!$A$2:$A$201=$B689)*(HISTORIAL_HORARIOS!$C$2:$C$201&lt;=$A689)*(HISTORIAL_HORARIOS!$D$2:$D$201&gt;=$A689),0)),INDEX(IF($I689="FIN",PERSONAL!$K$2:$K$80,PERSONAL!$G$2:$G$80),MATCH($B689,PERSONAL!$A$2:$A$80,0)))))</f>
        <v/>
      </c>
      <c r="O689" s="53">
        <f t="array" ref="O689">IFERROR(INDEX(EXCEPCIONES_FECHA!$F$2:$F$201,MATCH(1,(EXCEPCIONES_FECHA!$A$2:$A$201=$A689)*(EXCEPCIONES_FECHA!$B$2:$B$201=$B689),0)),IFERROR(INDEX(EXCEPCIONES_FECHA!$F$2:$F$201,MATCH(1,(EXCEPCIONES_FECHA!$A$2:$A$201=$A689)*(EXCEPCIONES_FECHA!$B$2:$B$201=""),0)),IFERROR(INDEX(IF($I689="FIN",HISTORIAL_HORARIOS!$L$2:$L$201,HISTORIAL_HORARIOS!$H$2:$H$201),MATCH(1,(HISTORIAL_HORARIOS!$A$2:$A$201=$B689)*(HISTORIAL_HORARIOS!$C$2:$C$201&lt;=$A689)*(HISTORIAL_HORARIOS!$D$2:$D$201&gt;=$A689),0)),INDEX(IF($I689="FIN",PERSONAL!$L$2:$L$80,PERSONAL!$H$2:$H$80),MATCH($B689,PERSONAL!$A$2:$A$80,0)))))</f>
        <v/>
      </c>
    </row>
    <row r="690" ht="15" customHeight="1" s="58">
      <c r="A690" s="37" t="n"/>
      <c r="B690" s="38" t="n"/>
      <c r="C690" s="39" t="n"/>
      <c r="D690" s="39" t="n"/>
      <c r="E690" s="34">
        <f t="array" ref="E690">IF($B690="","",IFERROR(INDEX(PERSONAL!$B$2:$B$80,MATCH($B690,PERSONAL!$A$2:$A$80,0)),"NO EXISTE"))</f>
        <v/>
      </c>
      <c r="F690" s="52">
        <f t="array" ref="F690">IF($B690="","",IFERROR(INDEX(PERSONAL!$C$2:$C$80,MATCH($B690,PERSONAL!$A$2:$A$80,0)),""))</f>
        <v/>
      </c>
      <c r="G690" s="52">
        <f>IF($A690="","",CHOOSE(WEEKDAY($A690,2),"LUNES","MARTES","MIÉRCOLES","JUEVES","VIERNES","SÁBADO","DOMINGO"))</f>
        <v/>
      </c>
      <c r="H690" s="34">
        <f>IF($A690="","",CHOOSE(MONTH($A690),"ENERO","FEBRERO","MARZO","ABRIL","MAYO","JUNIO","JULIO","AGOSTO","SEPTIEMBRE","OCTUBRE","NOVIEMBRE","DICIEMBRE"))</f>
        <v/>
      </c>
      <c r="I690" s="34">
        <f>IF($A690="","",IF(OR($G690="SÁBADO",$G690="DOMINGO"),"FIN","LV"))</f>
        <v/>
      </c>
      <c r="J690" s="34">
        <f>IF(OR($A690="",$B690=""),"",IF($L690&lt;&gt;"",UPPER($L690),IF($C690="","FALTA",IFERROR(IF($C690&gt;=$O690,"ROJO FUERTE",IF($C690&gt;=$N690,"ROJO",IF($C690&gt;=$M690,"AMARILLO","VERDE"))),"REVISAR"))))</f>
        <v/>
      </c>
      <c r="K690" s="36">
        <f>IF(OR($C690="",$D690=""),"",IF($D690&gt;=$C690,($D690-$C690)*24,(1-$C690+$D690)*24))</f>
        <v/>
      </c>
      <c r="L690" s="34" t="n"/>
      <c r="M690" s="53">
        <f t="array" ref="M690">IFERROR(INDEX(EXCEPCIONES_FECHA!$D$2:$D$201,MATCH(1,(EXCEPCIONES_FECHA!$A$2:$A$201=$A690)*(EXCEPCIONES_FECHA!$B$2:$B$201=$B690),0)),IFERROR(INDEX(EXCEPCIONES_FECHA!$D$2:$D$201,MATCH(1,(EXCEPCIONES_FECHA!$A$2:$A$201=$A690)*(EXCEPCIONES_FECHA!$B$2:$B$201=""),0)),IFERROR(INDEX(IF($I690="FIN",HISTORIAL_HORARIOS!$J$2:$J$201,HISTORIAL_HORARIOS!$F$2:$F$201),MATCH(1,(HISTORIAL_HORARIOS!$A$2:$A$201=$B690)*(HISTORIAL_HORARIOS!$C$2:$C$201&lt;=$A690)*(HISTORIAL_HORARIOS!$D$2:$D$201&gt;=$A690),0)),INDEX(IF($I690="FIN",PERSONAL!$J$2:$J$80,PERSONAL!$F$2:$F$80),MATCH($B690,PERSONAL!$A$2:$A$80,0)))))</f>
        <v/>
      </c>
      <c r="N690" s="53">
        <f t="array" ref="N690">IFERROR(INDEX(EXCEPCIONES_FECHA!$E$2:$E$201,MATCH(1,(EXCEPCIONES_FECHA!$A$2:$A$201=$A690)*(EXCEPCIONES_FECHA!$B$2:$B$201=$B690),0)),IFERROR(INDEX(EXCEPCIONES_FECHA!$E$2:$E$201,MATCH(1,(EXCEPCIONES_FECHA!$A$2:$A$201=$A690)*(EXCEPCIONES_FECHA!$B$2:$B$201=""),0)),IFERROR(INDEX(IF($I690="FIN",HISTORIAL_HORARIOS!$K$2:$K$201,HISTORIAL_HORARIOS!$G$2:$G$201),MATCH(1,(HISTORIAL_HORARIOS!$A$2:$A$201=$B690)*(HISTORIAL_HORARIOS!$C$2:$C$201&lt;=$A690)*(HISTORIAL_HORARIOS!$D$2:$D$201&gt;=$A690),0)),INDEX(IF($I690="FIN",PERSONAL!$K$2:$K$80,PERSONAL!$G$2:$G$80),MATCH($B690,PERSONAL!$A$2:$A$80,0)))))</f>
        <v/>
      </c>
      <c r="O690" s="53">
        <f t="array" ref="O690">IFERROR(INDEX(EXCEPCIONES_FECHA!$F$2:$F$201,MATCH(1,(EXCEPCIONES_FECHA!$A$2:$A$201=$A690)*(EXCEPCIONES_FECHA!$B$2:$B$201=$B690),0)),IFERROR(INDEX(EXCEPCIONES_FECHA!$F$2:$F$201,MATCH(1,(EXCEPCIONES_FECHA!$A$2:$A$201=$A690)*(EXCEPCIONES_FECHA!$B$2:$B$201=""),0)),IFERROR(INDEX(IF($I690="FIN",HISTORIAL_HORARIOS!$L$2:$L$201,HISTORIAL_HORARIOS!$H$2:$H$201),MATCH(1,(HISTORIAL_HORARIOS!$A$2:$A$201=$B690)*(HISTORIAL_HORARIOS!$C$2:$C$201&lt;=$A690)*(HISTORIAL_HORARIOS!$D$2:$D$201&gt;=$A690),0)),INDEX(IF($I690="FIN",PERSONAL!$L$2:$L$80,PERSONAL!$H$2:$H$80),MATCH($B690,PERSONAL!$A$2:$A$80,0)))))</f>
        <v/>
      </c>
    </row>
    <row r="691" ht="15" customHeight="1" s="58">
      <c r="A691" s="37" t="n"/>
      <c r="B691" s="38" t="n"/>
      <c r="C691" s="39" t="n"/>
      <c r="D691" s="39" t="n"/>
      <c r="E691" s="34">
        <f t="array" ref="E691">IF($B691="","",IFERROR(INDEX(PERSONAL!$B$2:$B$80,MATCH($B691,PERSONAL!$A$2:$A$80,0)),"NO EXISTE"))</f>
        <v/>
      </c>
      <c r="F691" s="52">
        <f t="array" ref="F691">IF($B691="","",IFERROR(INDEX(PERSONAL!$C$2:$C$80,MATCH($B691,PERSONAL!$A$2:$A$80,0)),""))</f>
        <v/>
      </c>
      <c r="G691" s="52">
        <f>IF($A691="","",CHOOSE(WEEKDAY($A691,2),"LUNES","MARTES","MIÉRCOLES","JUEVES","VIERNES","SÁBADO","DOMINGO"))</f>
        <v/>
      </c>
      <c r="H691" s="34">
        <f>IF($A691="","",CHOOSE(MONTH($A691),"ENERO","FEBRERO","MARZO","ABRIL","MAYO","JUNIO","JULIO","AGOSTO","SEPTIEMBRE","OCTUBRE","NOVIEMBRE","DICIEMBRE"))</f>
        <v/>
      </c>
      <c r="I691" s="34">
        <f>IF($A691="","",IF(OR($G691="SÁBADO",$G691="DOMINGO"),"FIN","LV"))</f>
        <v/>
      </c>
      <c r="J691" s="34">
        <f>IF(OR($A691="",$B691=""),"",IF($L691&lt;&gt;"",UPPER($L691),IF($C691="","FALTA",IFERROR(IF($C691&gt;=$O691,"ROJO FUERTE",IF($C691&gt;=$N691,"ROJO",IF($C691&gt;=$M691,"AMARILLO","VERDE"))),"REVISAR"))))</f>
        <v/>
      </c>
      <c r="K691" s="36">
        <f>IF(OR($C691="",$D691=""),"",IF($D691&gt;=$C691,($D691-$C691)*24,(1-$C691+$D691)*24))</f>
        <v/>
      </c>
      <c r="L691" s="34" t="n"/>
      <c r="M691" s="53">
        <f t="array" ref="M691">IFERROR(INDEX(EXCEPCIONES_FECHA!$D$2:$D$201,MATCH(1,(EXCEPCIONES_FECHA!$A$2:$A$201=$A691)*(EXCEPCIONES_FECHA!$B$2:$B$201=$B691),0)),IFERROR(INDEX(EXCEPCIONES_FECHA!$D$2:$D$201,MATCH(1,(EXCEPCIONES_FECHA!$A$2:$A$201=$A691)*(EXCEPCIONES_FECHA!$B$2:$B$201=""),0)),IFERROR(INDEX(IF($I691="FIN",HISTORIAL_HORARIOS!$J$2:$J$201,HISTORIAL_HORARIOS!$F$2:$F$201),MATCH(1,(HISTORIAL_HORARIOS!$A$2:$A$201=$B691)*(HISTORIAL_HORARIOS!$C$2:$C$201&lt;=$A691)*(HISTORIAL_HORARIOS!$D$2:$D$201&gt;=$A691),0)),INDEX(IF($I691="FIN",PERSONAL!$J$2:$J$80,PERSONAL!$F$2:$F$80),MATCH($B691,PERSONAL!$A$2:$A$80,0)))))</f>
        <v/>
      </c>
      <c r="N691" s="53">
        <f t="array" ref="N691">IFERROR(INDEX(EXCEPCIONES_FECHA!$E$2:$E$201,MATCH(1,(EXCEPCIONES_FECHA!$A$2:$A$201=$A691)*(EXCEPCIONES_FECHA!$B$2:$B$201=$B691),0)),IFERROR(INDEX(EXCEPCIONES_FECHA!$E$2:$E$201,MATCH(1,(EXCEPCIONES_FECHA!$A$2:$A$201=$A691)*(EXCEPCIONES_FECHA!$B$2:$B$201=""),0)),IFERROR(INDEX(IF($I691="FIN",HISTORIAL_HORARIOS!$K$2:$K$201,HISTORIAL_HORARIOS!$G$2:$G$201),MATCH(1,(HISTORIAL_HORARIOS!$A$2:$A$201=$B691)*(HISTORIAL_HORARIOS!$C$2:$C$201&lt;=$A691)*(HISTORIAL_HORARIOS!$D$2:$D$201&gt;=$A691),0)),INDEX(IF($I691="FIN",PERSONAL!$K$2:$K$80,PERSONAL!$G$2:$G$80),MATCH($B691,PERSONAL!$A$2:$A$80,0)))))</f>
        <v/>
      </c>
      <c r="O691" s="53">
        <f t="array" ref="O691">IFERROR(INDEX(EXCEPCIONES_FECHA!$F$2:$F$201,MATCH(1,(EXCEPCIONES_FECHA!$A$2:$A$201=$A691)*(EXCEPCIONES_FECHA!$B$2:$B$201=$B691),0)),IFERROR(INDEX(EXCEPCIONES_FECHA!$F$2:$F$201,MATCH(1,(EXCEPCIONES_FECHA!$A$2:$A$201=$A691)*(EXCEPCIONES_FECHA!$B$2:$B$201=""),0)),IFERROR(INDEX(IF($I691="FIN",HISTORIAL_HORARIOS!$L$2:$L$201,HISTORIAL_HORARIOS!$H$2:$H$201),MATCH(1,(HISTORIAL_HORARIOS!$A$2:$A$201=$B691)*(HISTORIAL_HORARIOS!$C$2:$C$201&lt;=$A691)*(HISTORIAL_HORARIOS!$D$2:$D$201&gt;=$A691),0)),INDEX(IF($I691="FIN",PERSONAL!$L$2:$L$80,PERSONAL!$H$2:$H$80),MATCH($B691,PERSONAL!$A$2:$A$80,0)))))</f>
        <v/>
      </c>
    </row>
    <row r="692" ht="15" customHeight="1" s="58">
      <c r="A692" s="37" t="n"/>
      <c r="B692" s="38" t="n"/>
      <c r="C692" s="39" t="n"/>
      <c r="D692" s="39" t="n"/>
      <c r="E692" s="34">
        <f t="array" ref="E692">IF($B692="","",IFERROR(INDEX(PERSONAL!$B$2:$B$80,MATCH($B692,PERSONAL!$A$2:$A$80,0)),"NO EXISTE"))</f>
        <v/>
      </c>
      <c r="F692" s="52">
        <f t="array" ref="F692">IF($B692="","",IFERROR(INDEX(PERSONAL!$C$2:$C$80,MATCH($B692,PERSONAL!$A$2:$A$80,0)),""))</f>
        <v/>
      </c>
      <c r="G692" s="52">
        <f>IF($A692="","",CHOOSE(WEEKDAY($A692,2),"LUNES","MARTES","MIÉRCOLES","JUEVES","VIERNES","SÁBADO","DOMINGO"))</f>
        <v/>
      </c>
      <c r="H692" s="34">
        <f>IF($A692="","",CHOOSE(MONTH($A692),"ENERO","FEBRERO","MARZO","ABRIL","MAYO","JUNIO","JULIO","AGOSTO","SEPTIEMBRE","OCTUBRE","NOVIEMBRE","DICIEMBRE"))</f>
        <v/>
      </c>
      <c r="I692" s="34">
        <f>IF($A692="","",IF(OR($G692="SÁBADO",$G692="DOMINGO"),"FIN","LV"))</f>
        <v/>
      </c>
      <c r="J692" s="34">
        <f>IF(OR($A692="",$B692=""),"",IF($L692&lt;&gt;"",UPPER($L692),IF($C692="","FALTA",IFERROR(IF($C692&gt;=$O692,"ROJO FUERTE",IF($C692&gt;=$N692,"ROJO",IF($C692&gt;=$M692,"AMARILLO","VERDE"))),"REVISAR"))))</f>
        <v/>
      </c>
      <c r="K692" s="36">
        <f>IF(OR($C692="",$D692=""),"",IF($D692&gt;=$C692,($D692-$C692)*24,(1-$C692+$D692)*24))</f>
        <v/>
      </c>
      <c r="L692" s="34" t="n"/>
      <c r="M692" s="53">
        <f t="array" ref="M692">IFERROR(INDEX(EXCEPCIONES_FECHA!$D$2:$D$201,MATCH(1,(EXCEPCIONES_FECHA!$A$2:$A$201=$A692)*(EXCEPCIONES_FECHA!$B$2:$B$201=$B692),0)),IFERROR(INDEX(EXCEPCIONES_FECHA!$D$2:$D$201,MATCH(1,(EXCEPCIONES_FECHA!$A$2:$A$201=$A692)*(EXCEPCIONES_FECHA!$B$2:$B$201=""),0)),IFERROR(INDEX(IF($I692="FIN",HISTORIAL_HORARIOS!$J$2:$J$201,HISTORIAL_HORARIOS!$F$2:$F$201),MATCH(1,(HISTORIAL_HORARIOS!$A$2:$A$201=$B692)*(HISTORIAL_HORARIOS!$C$2:$C$201&lt;=$A692)*(HISTORIAL_HORARIOS!$D$2:$D$201&gt;=$A692),0)),INDEX(IF($I692="FIN",PERSONAL!$J$2:$J$80,PERSONAL!$F$2:$F$80),MATCH($B692,PERSONAL!$A$2:$A$80,0)))))</f>
        <v/>
      </c>
      <c r="N692" s="53">
        <f t="array" ref="N692">IFERROR(INDEX(EXCEPCIONES_FECHA!$E$2:$E$201,MATCH(1,(EXCEPCIONES_FECHA!$A$2:$A$201=$A692)*(EXCEPCIONES_FECHA!$B$2:$B$201=$B692),0)),IFERROR(INDEX(EXCEPCIONES_FECHA!$E$2:$E$201,MATCH(1,(EXCEPCIONES_FECHA!$A$2:$A$201=$A692)*(EXCEPCIONES_FECHA!$B$2:$B$201=""),0)),IFERROR(INDEX(IF($I692="FIN",HISTORIAL_HORARIOS!$K$2:$K$201,HISTORIAL_HORARIOS!$G$2:$G$201),MATCH(1,(HISTORIAL_HORARIOS!$A$2:$A$201=$B692)*(HISTORIAL_HORARIOS!$C$2:$C$201&lt;=$A692)*(HISTORIAL_HORARIOS!$D$2:$D$201&gt;=$A692),0)),INDEX(IF($I692="FIN",PERSONAL!$K$2:$K$80,PERSONAL!$G$2:$G$80),MATCH($B692,PERSONAL!$A$2:$A$80,0)))))</f>
        <v/>
      </c>
      <c r="O692" s="53">
        <f t="array" ref="O692">IFERROR(INDEX(EXCEPCIONES_FECHA!$F$2:$F$201,MATCH(1,(EXCEPCIONES_FECHA!$A$2:$A$201=$A692)*(EXCEPCIONES_FECHA!$B$2:$B$201=$B692),0)),IFERROR(INDEX(EXCEPCIONES_FECHA!$F$2:$F$201,MATCH(1,(EXCEPCIONES_FECHA!$A$2:$A$201=$A692)*(EXCEPCIONES_FECHA!$B$2:$B$201=""),0)),IFERROR(INDEX(IF($I692="FIN",HISTORIAL_HORARIOS!$L$2:$L$201,HISTORIAL_HORARIOS!$H$2:$H$201),MATCH(1,(HISTORIAL_HORARIOS!$A$2:$A$201=$B692)*(HISTORIAL_HORARIOS!$C$2:$C$201&lt;=$A692)*(HISTORIAL_HORARIOS!$D$2:$D$201&gt;=$A692),0)),INDEX(IF($I692="FIN",PERSONAL!$L$2:$L$80,PERSONAL!$H$2:$H$80),MATCH($B692,PERSONAL!$A$2:$A$80,0)))))</f>
        <v/>
      </c>
    </row>
    <row r="693" ht="15" customHeight="1" s="58">
      <c r="A693" s="37" t="n"/>
      <c r="B693" s="38" t="n"/>
      <c r="C693" s="39" t="n"/>
      <c r="D693" s="39" t="n"/>
      <c r="E693" s="34">
        <f t="array" ref="E693">IF($B693="","",IFERROR(INDEX(PERSONAL!$B$2:$B$80,MATCH($B693,PERSONAL!$A$2:$A$80,0)),"NO EXISTE"))</f>
        <v/>
      </c>
      <c r="F693" s="52">
        <f t="array" ref="F693">IF($B693="","",IFERROR(INDEX(PERSONAL!$C$2:$C$80,MATCH($B693,PERSONAL!$A$2:$A$80,0)),""))</f>
        <v/>
      </c>
      <c r="G693" s="52">
        <f>IF($A693="","",CHOOSE(WEEKDAY($A693,2),"LUNES","MARTES","MIÉRCOLES","JUEVES","VIERNES","SÁBADO","DOMINGO"))</f>
        <v/>
      </c>
      <c r="H693" s="34">
        <f>IF($A693="","",CHOOSE(MONTH($A693),"ENERO","FEBRERO","MARZO","ABRIL","MAYO","JUNIO","JULIO","AGOSTO","SEPTIEMBRE","OCTUBRE","NOVIEMBRE","DICIEMBRE"))</f>
        <v/>
      </c>
      <c r="I693" s="34">
        <f>IF($A693="","",IF(OR($G693="SÁBADO",$G693="DOMINGO"),"FIN","LV"))</f>
        <v/>
      </c>
      <c r="J693" s="34">
        <f>IF(OR($A693="",$B693=""),"",IF($L693&lt;&gt;"",UPPER($L693),IF($C693="","FALTA",IFERROR(IF($C693&gt;=$O693,"ROJO FUERTE",IF($C693&gt;=$N693,"ROJO",IF($C693&gt;=$M693,"AMARILLO","VERDE"))),"REVISAR"))))</f>
        <v/>
      </c>
      <c r="K693" s="36">
        <f>IF(OR($C693="",$D693=""),"",IF($D693&gt;=$C693,($D693-$C693)*24,(1-$C693+$D693)*24))</f>
        <v/>
      </c>
      <c r="L693" s="34" t="n"/>
      <c r="M693" s="53">
        <f t="array" ref="M693">IFERROR(INDEX(EXCEPCIONES_FECHA!$D$2:$D$201,MATCH(1,(EXCEPCIONES_FECHA!$A$2:$A$201=$A693)*(EXCEPCIONES_FECHA!$B$2:$B$201=$B693),0)),IFERROR(INDEX(EXCEPCIONES_FECHA!$D$2:$D$201,MATCH(1,(EXCEPCIONES_FECHA!$A$2:$A$201=$A693)*(EXCEPCIONES_FECHA!$B$2:$B$201=""),0)),IFERROR(INDEX(IF($I693="FIN",HISTORIAL_HORARIOS!$J$2:$J$201,HISTORIAL_HORARIOS!$F$2:$F$201),MATCH(1,(HISTORIAL_HORARIOS!$A$2:$A$201=$B693)*(HISTORIAL_HORARIOS!$C$2:$C$201&lt;=$A693)*(HISTORIAL_HORARIOS!$D$2:$D$201&gt;=$A693),0)),INDEX(IF($I693="FIN",PERSONAL!$J$2:$J$80,PERSONAL!$F$2:$F$80),MATCH($B693,PERSONAL!$A$2:$A$80,0)))))</f>
        <v/>
      </c>
      <c r="N693" s="53">
        <f t="array" ref="N693">IFERROR(INDEX(EXCEPCIONES_FECHA!$E$2:$E$201,MATCH(1,(EXCEPCIONES_FECHA!$A$2:$A$201=$A693)*(EXCEPCIONES_FECHA!$B$2:$B$201=$B693),0)),IFERROR(INDEX(EXCEPCIONES_FECHA!$E$2:$E$201,MATCH(1,(EXCEPCIONES_FECHA!$A$2:$A$201=$A693)*(EXCEPCIONES_FECHA!$B$2:$B$201=""),0)),IFERROR(INDEX(IF($I693="FIN",HISTORIAL_HORARIOS!$K$2:$K$201,HISTORIAL_HORARIOS!$G$2:$G$201),MATCH(1,(HISTORIAL_HORARIOS!$A$2:$A$201=$B693)*(HISTORIAL_HORARIOS!$C$2:$C$201&lt;=$A693)*(HISTORIAL_HORARIOS!$D$2:$D$201&gt;=$A693),0)),INDEX(IF($I693="FIN",PERSONAL!$K$2:$K$80,PERSONAL!$G$2:$G$80),MATCH($B693,PERSONAL!$A$2:$A$80,0)))))</f>
        <v/>
      </c>
      <c r="O693" s="53">
        <f t="array" ref="O693">IFERROR(INDEX(EXCEPCIONES_FECHA!$F$2:$F$201,MATCH(1,(EXCEPCIONES_FECHA!$A$2:$A$201=$A693)*(EXCEPCIONES_FECHA!$B$2:$B$201=$B693),0)),IFERROR(INDEX(EXCEPCIONES_FECHA!$F$2:$F$201,MATCH(1,(EXCEPCIONES_FECHA!$A$2:$A$201=$A693)*(EXCEPCIONES_FECHA!$B$2:$B$201=""),0)),IFERROR(INDEX(IF($I693="FIN",HISTORIAL_HORARIOS!$L$2:$L$201,HISTORIAL_HORARIOS!$H$2:$H$201),MATCH(1,(HISTORIAL_HORARIOS!$A$2:$A$201=$B693)*(HISTORIAL_HORARIOS!$C$2:$C$201&lt;=$A693)*(HISTORIAL_HORARIOS!$D$2:$D$201&gt;=$A693),0)),INDEX(IF($I693="FIN",PERSONAL!$L$2:$L$80,PERSONAL!$H$2:$H$80),MATCH($B693,PERSONAL!$A$2:$A$80,0)))))</f>
        <v/>
      </c>
    </row>
    <row r="694" ht="15" customHeight="1" s="58">
      <c r="A694" s="37" t="n"/>
      <c r="B694" s="38" t="n"/>
      <c r="C694" s="39" t="n"/>
      <c r="D694" s="39" t="n"/>
      <c r="E694" s="34">
        <f t="array" ref="E694">IF($B694="","",IFERROR(INDEX(PERSONAL!$B$2:$B$80,MATCH($B694,PERSONAL!$A$2:$A$80,0)),"NO EXISTE"))</f>
        <v/>
      </c>
      <c r="F694" s="52">
        <f t="array" ref="F694">IF($B694="","",IFERROR(INDEX(PERSONAL!$C$2:$C$80,MATCH($B694,PERSONAL!$A$2:$A$80,0)),""))</f>
        <v/>
      </c>
      <c r="G694" s="52">
        <f>IF($A694="","",CHOOSE(WEEKDAY($A694,2),"LUNES","MARTES","MIÉRCOLES","JUEVES","VIERNES","SÁBADO","DOMINGO"))</f>
        <v/>
      </c>
      <c r="H694" s="34">
        <f>IF($A694="","",CHOOSE(MONTH($A694),"ENERO","FEBRERO","MARZO","ABRIL","MAYO","JUNIO","JULIO","AGOSTO","SEPTIEMBRE","OCTUBRE","NOVIEMBRE","DICIEMBRE"))</f>
        <v/>
      </c>
      <c r="I694" s="34">
        <f>IF($A694="","",IF(OR($G694="SÁBADO",$G694="DOMINGO"),"FIN","LV"))</f>
        <v/>
      </c>
      <c r="J694" s="34">
        <f>IF(OR($A694="",$B694=""),"",IF($L694&lt;&gt;"",UPPER($L694),IF($C694="","FALTA",IFERROR(IF($C694&gt;=$O694,"ROJO FUERTE",IF($C694&gt;=$N694,"ROJO",IF($C694&gt;=$M694,"AMARILLO","VERDE"))),"REVISAR"))))</f>
        <v/>
      </c>
      <c r="K694" s="36">
        <f>IF(OR($C694="",$D694=""),"",IF($D694&gt;=$C694,($D694-$C694)*24,(1-$C694+$D694)*24))</f>
        <v/>
      </c>
      <c r="L694" s="34" t="n"/>
      <c r="M694" s="53">
        <f t="array" ref="M694">IFERROR(INDEX(EXCEPCIONES_FECHA!$D$2:$D$201,MATCH(1,(EXCEPCIONES_FECHA!$A$2:$A$201=$A694)*(EXCEPCIONES_FECHA!$B$2:$B$201=$B694),0)),IFERROR(INDEX(EXCEPCIONES_FECHA!$D$2:$D$201,MATCH(1,(EXCEPCIONES_FECHA!$A$2:$A$201=$A694)*(EXCEPCIONES_FECHA!$B$2:$B$201=""),0)),IFERROR(INDEX(IF($I694="FIN",HISTORIAL_HORARIOS!$J$2:$J$201,HISTORIAL_HORARIOS!$F$2:$F$201),MATCH(1,(HISTORIAL_HORARIOS!$A$2:$A$201=$B694)*(HISTORIAL_HORARIOS!$C$2:$C$201&lt;=$A694)*(HISTORIAL_HORARIOS!$D$2:$D$201&gt;=$A694),0)),INDEX(IF($I694="FIN",PERSONAL!$J$2:$J$80,PERSONAL!$F$2:$F$80),MATCH($B694,PERSONAL!$A$2:$A$80,0)))))</f>
        <v/>
      </c>
      <c r="N694" s="53">
        <f t="array" ref="N694">IFERROR(INDEX(EXCEPCIONES_FECHA!$E$2:$E$201,MATCH(1,(EXCEPCIONES_FECHA!$A$2:$A$201=$A694)*(EXCEPCIONES_FECHA!$B$2:$B$201=$B694),0)),IFERROR(INDEX(EXCEPCIONES_FECHA!$E$2:$E$201,MATCH(1,(EXCEPCIONES_FECHA!$A$2:$A$201=$A694)*(EXCEPCIONES_FECHA!$B$2:$B$201=""),0)),IFERROR(INDEX(IF($I694="FIN",HISTORIAL_HORARIOS!$K$2:$K$201,HISTORIAL_HORARIOS!$G$2:$G$201),MATCH(1,(HISTORIAL_HORARIOS!$A$2:$A$201=$B694)*(HISTORIAL_HORARIOS!$C$2:$C$201&lt;=$A694)*(HISTORIAL_HORARIOS!$D$2:$D$201&gt;=$A694),0)),INDEX(IF($I694="FIN",PERSONAL!$K$2:$K$80,PERSONAL!$G$2:$G$80),MATCH($B694,PERSONAL!$A$2:$A$80,0)))))</f>
        <v/>
      </c>
      <c r="O694" s="53">
        <f t="array" ref="O694">IFERROR(INDEX(EXCEPCIONES_FECHA!$F$2:$F$201,MATCH(1,(EXCEPCIONES_FECHA!$A$2:$A$201=$A694)*(EXCEPCIONES_FECHA!$B$2:$B$201=$B694),0)),IFERROR(INDEX(EXCEPCIONES_FECHA!$F$2:$F$201,MATCH(1,(EXCEPCIONES_FECHA!$A$2:$A$201=$A694)*(EXCEPCIONES_FECHA!$B$2:$B$201=""),0)),IFERROR(INDEX(IF($I694="FIN",HISTORIAL_HORARIOS!$L$2:$L$201,HISTORIAL_HORARIOS!$H$2:$H$201),MATCH(1,(HISTORIAL_HORARIOS!$A$2:$A$201=$B694)*(HISTORIAL_HORARIOS!$C$2:$C$201&lt;=$A694)*(HISTORIAL_HORARIOS!$D$2:$D$201&gt;=$A694),0)),INDEX(IF($I694="FIN",PERSONAL!$L$2:$L$80,PERSONAL!$H$2:$H$80),MATCH($B694,PERSONAL!$A$2:$A$80,0)))))</f>
        <v/>
      </c>
    </row>
    <row r="695" ht="15" customHeight="1" s="58">
      <c r="A695" s="37" t="n"/>
      <c r="B695" s="38" t="n"/>
      <c r="C695" s="39" t="n"/>
      <c r="D695" s="39" t="n"/>
      <c r="E695" s="34">
        <f t="array" ref="E695">IF($B695="","",IFERROR(INDEX(PERSONAL!$B$2:$B$80,MATCH($B695,PERSONAL!$A$2:$A$80,0)),"NO EXISTE"))</f>
        <v/>
      </c>
      <c r="F695" s="52">
        <f t="array" ref="F695">IF($B695="","",IFERROR(INDEX(PERSONAL!$C$2:$C$80,MATCH($B695,PERSONAL!$A$2:$A$80,0)),""))</f>
        <v/>
      </c>
      <c r="G695" s="52">
        <f>IF($A695="","",CHOOSE(WEEKDAY($A695,2),"LUNES","MARTES","MIÉRCOLES","JUEVES","VIERNES","SÁBADO","DOMINGO"))</f>
        <v/>
      </c>
      <c r="H695" s="34">
        <f>IF($A695="","",CHOOSE(MONTH($A695),"ENERO","FEBRERO","MARZO","ABRIL","MAYO","JUNIO","JULIO","AGOSTO","SEPTIEMBRE","OCTUBRE","NOVIEMBRE","DICIEMBRE"))</f>
        <v/>
      </c>
      <c r="I695" s="34">
        <f>IF($A695="","",IF(OR($G695="SÁBADO",$G695="DOMINGO"),"FIN","LV"))</f>
        <v/>
      </c>
      <c r="J695" s="34">
        <f>IF(OR($A695="",$B695=""),"",IF($L695&lt;&gt;"",UPPER($L695),IF($C695="","FALTA",IFERROR(IF($C695&gt;=$O695,"ROJO FUERTE",IF($C695&gt;=$N695,"ROJO",IF($C695&gt;=$M695,"AMARILLO","VERDE"))),"REVISAR"))))</f>
        <v/>
      </c>
      <c r="K695" s="36">
        <f>IF(OR($C695="",$D695=""),"",IF($D695&gt;=$C695,($D695-$C695)*24,(1-$C695+$D695)*24))</f>
        <v/>
      </c>
      <c r="L695" s="34" t="n"/>
      <c r="M695" s="53">
        <f t="array" ref="M695">IFERROR(INDEX(EXCEPCIONES_FECHA!$D$2:$D$201,MATCH(1,(EXCEPCIONES_FECHA!$A$2:$A$201=$A695)*(EXCEPCIONES_FECHA!$B$2:$B$201=$B695),0)),IFERROR(INDEX(EXCEPCIONES_FECHA!$D$2:$D$201,MATCH(1,(EXCEPCIONES_FECHA!$A$2:$A$201=$A695)*(EXCEPCIONES_FECHA!$B$2:$B$201=""),0)),IFERROR(INDEX(IF($I695="FIN",HISTORIAL_HORARIOS!$J$2:$J$201,HISTORIAL_HORARIOS!$F$2:$F$201),MATCH(1,(HISTORIAL_HORARIOS!$A$2:$A$201=$B695)*(HISTORIAL_HORARIOS!$C$2:$C$201&lt;=$A695)*(HISTORIAL_HORARIOS!$D$2:$D$201&gt;=$A695),0)),INDEX(IF($I695="FIN",PERSONAL!$J$2:$J$80,PERSONAL!$F$2:$F$80),MATCH($B695,PERSONAL!$A$2:$A$80,0)))))</f>
        <v/>
      </c>
      <c r="N695" s="53">
        <f t="array" ref="N695">IFERROR(INDEX(EXCEPCIONES_FECHA!$E$2:$E$201,MATCH(1,(EXCEPCIONES_FECHA!$A$2:$A$201=$A695)*(EXCEPCIONES_FECHA!$B$2:$B$201=$B695),0)),IFERROR(INDEX(EXCEPCIONES_FECHA!$E$2:$E$201,MATCH(1,(EXCEPCIONES_FECHA!$A$2:$A$201=$A695)*(EXCEPCIONES_FECHA!$B$2:$B$201=""),0)),IFERROR(INDEX(IF($I695="FIN",HISTORIAL_HORARIOS!$K$2:$K$201,HISTORIAL_HORARIOS!$G$2:$G$201),MATCH(1,(HISTORIAL_HORARIOS!$A$2:$A$201=$B695)*(HISTORIAL_HORARIOS!$C$2:$C$201&lt;=$A695)*(HISTORIAL_HORARIOS!$D$2:$D$201&gt;=$A695),0)),INDEX(IF($I695="FIN",PERSONAL!$K$2:$K$80,PERSONAL!$G$2:$G$80),MATCH($B695,PERSONAL!$A$2:$A$80,0)))))</f>
        <v/>
      </c>
      <c r="O695" s="53">
        <f t="array" ref="O695">IFERROR(INDEX(EXCEPCIONES_FECHA!$F$2:$F$201,MATCH(1,(EXCEPCIONES_FECHA!$A$2:$A$201=$A695)*(EXCEPCIONES_FECHA!$B$2:$B$201=$B695),0)),IFERROR(INDEX(EXCEPCIONES_FECHA!$F$2:$F$201,MATCH(1,(EXCEPCIONES_FECHA!$A$2:$A$201=$A695)*(EXCEPCIONES_FECHA!$B$2:$B$201=""),0)),IFERROR(INDEX(IF($I695="FIN",HISTORIAL_HORARIOS!$L$2:$L$201,HISTORIAL_HORARIOS!$H$2:$H$201),MATCH(1,(HISTORIAL_HORARIOS!$A$2:$A$201=$B695)*(HISTORIAL_HORARIOS!$C$2:$C$201&lt;=$A695)*(HISTORIAL_HORARIOS!$D$2:$D$201&gt;=$A695),0)),INDEX(IF($I695="FIN",PERSONAL!$L$2:$L$80,PERSONAL!$H$2:$H$80),MATCH($B695,PERSONAL!$A$2:$A$80,0)))))</f>
        <v/>
      </c>
    </row>
    <row r="696" ht="15" customHeight="1" s="58">
      <c r="A696" s="37" t="n"/>
      <c r="B696" s="38" t="n"/>
      <c r="C696" s="39" t="n"/>
      <c r="D696" s="39" t="n"/>
      <c r="E696" s="34">
        <f t="array" ref="E696">IF($B696="","",IFERROR(INDEX(PERSONAL!$B$2:$B$80,MATCH($B696,PERSONAL!$A$2:$A$80,0)),"NO EXISTE"))</f>
        <v/>
      </c>
      <c r="F696" s="52">
        <f t="array" ref="F696">IF($B696="","",IFERROR(INDEX(PERSONAL!$C$2:$C$80,MATCH($B696,PERSONAL!$A$2:$A$80,0)),""))</f>
        <v/>
      </c>
      <c r="G696" s="52">
        <f>IF($A696="","",CHOOSE(WEEKDAY($A696,2),"LUNES","MARTES","MIÉRCOLES","JUEVES","VIERNES","SÁBADO","DOMINGO"))</f>
        <v/>
      </c>
      <c r="H696" s="34">
        <f>IF($A696="","",CHOOSE(MONTH($A696),"ENERO","FEBRERO","MARZO","ABRIL","MAYO","JUNIO","JULIO","AGOSTO","SEPTIEMBRE","OCTUBRE","NOVIEMBRE","DICIEMBRE"))</f>
        <v/>
      </c>
      <c r="I696" s="34">
        <f>IF($A696="","",IF(OR($G696="SÁBADO",$G696="DOMINGO"),"FIN","LV"))</f>
        <v/>
      </c>
      <c r="J696" s="34">
        <f>IF(OR($A696="",$B696=""),"",IF($L696&lt;&gt;"",UPPER($L696),IF($C696="","FALTA",IFERROR(IF($C696&gt;=$O696,"ROJO FUERTE",IF($C696&gt;=$N696,"ROJO",IF($C696&gt;=$M696,"AMARILLO","VERDE"))),"REVISAR"))))</f>
        <v/>
      </c>
      <c r="K696" s="36">
        <f>IF(OR($C696="",$D696=""),"",IF($D696&gt;=$C696,($D696-$C696)*24,(1-$C696+$D696)*24))</f>
        <v/>
      </c>
      <c r="L696" s="34" t="n"/>
      <c r="M696" s="53">
        <f t="array" ref="M696">IFERROR(INDEX(EXCEPCIONES_FECHA!$D$2:$D$201,MATCH(1,(EXCEPCIONES_FECHA!$A$2:$A$201=$A696)*(EXCEPCIONES_FECHA!$B$2:$B$201=$B696),0)),IFERROR(INDEX(EXCEPCIONES_FECHA!$D$2:$D$201,MATCH(1,(EXCEPCIONES_FECHA!$A$2:$A$201=$A696)*(EXCEPCIONES_FECHA!$B$2:$B$201=""),0)),IFERROR(INDEX(IF($I696="FIN",HISTORIAL_HORARIOS!$J$2:$J$201,HISTORIAL_HORARIOS!$F$2:$F$201),MATCH(1,(HISTORIAL_HORARIOS!$A$2:$A$201=$B696)*(HISTORIAL_HORARIOS!$C$2:$C$201&lt;=$A696)*(HISTORIAL_HORARIOS!$D$2:$D$201&gt;=$A696),0)),INDEX(IF($I696="FIN",PERSONAL!$J$2:$J$80,PERSONAL!$F$2:$F$80),MATCH($B696,PERSONAL!$A$2:$A$80,0)))))</f>
        <v/>
      </c>
      <c r="N696" s="53">
        <f t="array" ref="N696">IFERROR(INDEX(EXCEPCIONES_FECHA!$E$2:$E$201,MATCH(1,(EXCEPCIONES_FECHA!$A$2:$A$201=$A696)*(EXCEPCIONES_FECHA!$B$2:$B$201=$B696),0)),IFERROR(INDEX(EXCEPCIONES_FECHA!$E$2:$E$201,MATCH(1,(EXCEPCIONES_FECHA!$A$2:$A$201=$A696)*(EXCEPCIONES_FECHA!$B$2:$B$201=""),0)),IFERROR(INDEX(IF($I696="FIN",HISTORIAL_HORARIOS!$K$2:$K$201,HISTORIAL_HORARIOS!$G$2:$G$201),MATCH(1,(HISTORIAL_HORARIOS!$A$2:$A$201=$B696)*(HISTORIAL_HORARIOS!$C$2:$C$201&lt;=$A696)*(HISTORIAL_HORARIOS!$D$2:$D$201&gt;=$A696),0)),INDEX(IF($I696="FIN",PERSONAL!$K$2:$K$80,PERSONAL!$G$2:$G$80),MATCH($B696,PERSONAL!$A$2:$A$80,0)))))</f>
        <v/>
      </c>
      <c r="O696" s="53">
        <f t="array" ref="O696">IFERROR(INDEX(EXCEPCIONES_FECHA!$F$2:$F$201,MATCH(1,(EXCEPCIONES_FECHA!$A$2:$A$201=$A696)*(EXCEPCIONES_FECHA!$B$2:$B$201=$B696),0)),IFERROR(INDEX(EXCEPCIONES_FECHA!$F$2:$F$201,MATCH(1,(EXCEPCIONES_FECHA!$A$2:$A$201=$A696)*(EXCEPCIONES_FECHA!$B$2:$B$201=""),0)),IFERROR(INDEX(IF($I696="FIN",HISTORIAL_HORARIOS!$L$2:$L$201,HISTORIAL_HORARIOS!$H$2:$H$201),MATCH(1,(HISTORIAL_HORARIOS!$A$2:$A$201=$B696)*(HISTORIAL_HORARIOS!$C$2:$C$201&lt;=$A696)*(HISTORIAL_HORARIOS!$D$2:$D$201&gt;=$A696),0)),INDEX(IF($I696="FIN",PERSONAL!$L$2:$L$80,PERSONAL!$H$2:$H$80),MATCH($B696,PERSONAL!$A$2:$A$80,0)))))</f>
        <v/>
      </c>
    </row>
    <row r="697" ht="15" customHeight="1" s="58">
      <c r="A697" s="37" t="n"/>
      <c r="B697" s="38" t="n"/>
      <c r="C697" s="39" t="n"/>
      <c r="D697" s="39" t="n"/>
      <c r="E697" s="34">
        <f t="array" ref="E697">IF($B697="","",IFERROR(INDEX(PERSONAL!$B$2:$B$80,MATCH($B697,PERSONAL!$A$2:$A$80,0)),"NO EXISTE"))</f>
        <v/>
      </c>
      <c r="F697" s="52">
        <f t="array" ref="F697">IF($B697="","",IFERROR(INDEX(PERSONAL!$C$2:$C$80,MATCH($B697,PERSONAL!$A$2:$A$80,0)),""))</f>
        <v/>
      </c>
      <c r="G697" s="52">
        <f>IF($A697="","",CHOOSE(WEEKDAY($A697,2),"LUNES","MARTES","MIÉRCOLES","JUEVES","VIERNES","SÁBADO","DOMINGO"))</f>
        <v/>
      </c>
      <c r="H697" s="34">
        <f>IF($A697="","",CHOOSE(MONTH($A697),"ENERO","FEBRERO","MARZO","ABRIL","MAYO","JUNIO","JULIO","AGOSTO","SEPTIEMBRE","OCTUBRE","NOVIEMBRE","DICIEMBRE"))</f>
        <v/>
      </c>
      <c r="I697" s="34">
        <f>IF($A697="","",IF(OR($G697="SÁBADO",$G697="DOMINGO"),"FIN","LV"))</f>
        <v/>
      </c>
      <c r="J697" s="34">
        <f>IF(OR($A697="",$B697=""),"",IF($L697&lt;&gt;"",UPPER($L697),IF($C697="","FALTA",IFERROR(IF($C697&gt;=$O697,"ROJO FUERTE",IF($C697&gt;=$N697,"ROJO",IF($C697&gt;=$M697,"AMARILLO","VERDE"))),"REVISAR"))))</f>
        <v/>
      </c>
      <c r="K697" s="36">
        <f>IF(OR($C697="",$D697=""),"",IF($D697&gt;=$C697,($D697-$C697)*24,(1-$C697+$D697)*24))</f>
        <v/>
      </c>
      <c r="L697" s="34" t="n"/>
      <c r="M697" s="53">
        <f t="array" ref="M697">IFERROR(INDEX(EXCEPCIONES_FECHA!$D$2:$D$201,MATCH(1,(EXCEPCIONES_FECHA!$A$2:$A$201=$A697)*(EXCEPCIONES_FECHA!$B$2:$B$201=$B697),0)),IFERROR(INDEX(EXCEPCIONES_FECHA!$D$2:$D$201,MATCH(1,(EXCEPCIONES_FECHA!$A$2:$A$201=$A697)*(EXCEPCIONES_FECHA!$B$2:$B$201=""),0)),IFERROR(INDEX(IF($I697="FIN",HISTORIAL_HORARIOS!$J$2:$J$201,HISTORIAL_HORARIOS!$F$2:$F$201),MATCH(1,(HISTORIAL_HORARIOS!$A$2:$A$201=$B697)*(HISTORIAL_HORARIOS!$C$2:$C$201&lt;=$A697)*(HISTORIAL_HORARIOS!$D$2:$D$201&gt;=$A697),0)),INDEX(IF($I697="FIN",PERSONAL!$J$2:$J$80,PERSONAL!$F$2:$F$80),MATCH($B697,PERSONAL!$A$2:$A$80,0)))))</f>
        <v/>
      </c>
      <c r="N697" s="53">
        <f t="array" ref="N697">IFERROR(INDEX(EXCEPCIONES_FECHA!$E$2:$E$201,MATCH(1,(EXCEPCIONES_FECHA!$A$2:$A$201=$A697)*(EXCEPCIONES_FECHA!$B$2:$B$201=$B697),0)),IFERROR(INDEX(EXCEPCIONES_FECHA!$E$2:$E$201,MATCH(1,(EXCEPCIONES_FECHA!$A$2:$A$201=$A697)*(EXCEPCIONES_FECHA!$B$2:$B$201=""),0)),IFERROR(INDEX(IF($I697="FIN",HISTORIAL_HORARIOS!$K$2:$K$201,HISTORIAL_HORARIOS!$G$2:$G$201),MATCH(1,(HISTORIAL_HORARIOS!$A$2:$A$201=$B697)*(HISTORIAL_HORARIOS!$C$2:$C$201&lt;=$A697)*(HISTORIAL_HORARIOS!$D$2:$D$201&gt;=$A697),0)),INDEX(IF($I697="FIN",PERSONAL!$K$2:$K$80,PERSONAL!$G$2:$G$80),MATCH($B697,PERSONAL!$A$2:$A$80,0)))))</f>
        <v/>
      </c>
      <c r="O697" s="53">
        <f t="array" ref="O697">IFERROR(INDEX(EXCEPCIONES_FECHA!$F$2:$F$201,MATCH(1,(EXCEPCIONES_FECHA!$A$2:$A$201=$A697)*(EXCEPCIONES_FECHA!$B$2:$B$201=$B697),0)),IFERROR(INDEX(EXCEPCIONES_FECHA!$F$2:$F$201,MATCH(1,(EXCEPCIONES_FECHA!$A$2:$A$201=$A697)*(EXCEPCIONES_FECHA!$B$2:$B$201=""),0)),IFERROR(INDEX(IF($I697="FIN",HISTORIAL_HORARIOS!$L$2:$L$201,HISTORIAL_HORARIOS!$H$2:$H$201),MATCH(1,(HISTORIAL_HORARIOS!$A$2:$A$201=$B697)*(HISTORIAL_HORARIOS!$C$2:$C$201&lt;=$A697)*(HISTORIAL_HORARIOS!$D$2:$D$201&gt;=$A697),0)),INDEX(IF($I697="FIN",PERSONAL!$L$2:$L$80,PERSONAL!$H$2:$H$80),MATCH($B697,PERSONAL!$A$2:$A$80,0)))))</f>
        <v/>
      </c>
    </row>
    <row r="698" ht="15" customHeight="1" s="58">
      <c r="A698" s="37" t="n"/>
      <c r="B698" s="38" t="n"/>
      <c r="C698" s="39" t="n"/>
      <c r="D698" s="39" t="n"/>
      <c r="E698" s="34">
        <f t="array" ref="E698">IF($B698="","",IFERROR(INDEX(PERSONAL!$B$2:$B$80,MATCH($B698,PERSONAL!$A$2:$A$80,0)),"NO EXISTE"))</f>
        <v/>
      </c>
      <c r="F698" s="52">
        <f t="array" ref="F698">IF($B698="","",IFERROR(INDEX(PERSONAL!$C$2:$C$80,MATCH($B698,PERSONAL!$A$2:$A$80,0)),""))</f>
        <v/>
      </c>
      <c r="G698" s="52">
        <f>IF($A698="","",CHOOSE(WEEKDAY($A698,2),"LUNES","MARTES","MIÉRCOLES","JUEVES","VIERNES","SÁBADO","DOMINGO"))</f>
        <v/>
      </c>
      <c r="H698" s="34">
        <f>IF($A698="","",CHOOSE(MONTH($A698),"ENERO","FEBRERO","MARZO","ABRIL","MAYO","JUNIO","JULIO","AGOSTO","SEPTIEMBRE","OCTUBRE","NOVIEMBRE","DICIEMBRE"))</f>
        <v/>
      </c>
      <c r="I698" s="34">
        <f>IF($A698="","",IF(OR($G698="SÁBADO",$G698="DOMINGO"),"FIN","LV"))</f>
        <v/>
      </c>
      <c r="J698" s="34">
        <f>IF(OR($A698="",$B698=""),"",IF($L698&lt;&gt;"",UPPER($L698),IF($C698="","FALTA",IFERROR(IF($C698&gt;=$O698,"ROJO FUERTE",IF($C698&gt;=$N698,"ROJO",IF($C698&gt;=$M698,"AMARILLO","VERDE"))),"REVISAR"))))</f>
        <v/>
      </c>
      <c r="K698" s="36">
        <f>IF(OR($C698="",$D698=""),"",IF($D698&gt;=$C698,($D698-$C698)*24,(1-$C698+$D698)*24))</f>
        <v/>
      </c>
      <c r="L698" s="34" t="n"/>
      <c r="M698" s="53">
        <f t="array" ref="M698">IFERROR(INDEX(EXCEPCIONES_FECHA!$D$2:$D$201,MATCH(1,(EXCEPCIONES_FECHA!$A$2:$A$201=$A698)*(EXCEPCIONES_FECHA!$B$2:$B$201=$B698),0)),IFERROR(INDEX(EXCEPCIONES_FECHA!$D$2:$D$201,MATCH(1,(EXCEPCIONES_FECHA!$A$2:$A$201=$A698)*(EXCEPCIONES_FECHA!$B$2:$B$201=""),0)),IFERROR(INDEX(IF($I698="FIN",HISTORIAL_HORARIOS!$J$2:$J$201,HISTORIAL_HORARIOS!$F$2:$F$201),MATCH(1,(HISTORIAL_HORARIOS!$A$2:$A$201=$B698)*(HISTORIAL_HORARIOS!$C$2:$C$201&lt;=$A698)*(HISTORIAL_HORARIOS!$D$2:$D$201&gt;=$A698),0)),INDEX(IF($I698="FIN",PERSONAL!$J$2:$J$80,PERSONAL!$F$2:$F$80),MATCH($B698,PERSONAL!$A$2:$A$80,0)))))</f>
        <v/>
      </c>
      <c r="N698" s="53">
        <f t="array" ref="N698">IFERROR(INDEX(EXCEPCIONES_FECHA!$E$2:$E$201,MATCH(1,(EXCEPCIONES_FECHA!$A$2:$A$201=$A698)*(EXCEPCIONES_FECHA!$B$2:$B$201=$B698),0)),IFERROR(INDEX(EXCEPCIONES_FECHA!$E$2:$E$201,MATCH(1,(EXCEPCIONES_FECHA!$A$2:$A$201=$A698)*(EXCEPCIONES_FECHA!$B$2:$B$201=""),0)),IFERROR(INDEX(IF($I698="FIN",HISTORIAL_HORARIOS!$K$2:$K$201,HISTORIAL_HORARIOS!$G$2:$G$201),MATCH(1,(HISTORIAL_HORARIOS!$A$2:$A$201=$B698)*(HISTORIAL_HORARIOS!$C$2:$C$201&lt;=$A698)*(HISTORIAL_HORARIOS!$D$2:$D$201&gt;=$A698),0)),INDEX(IF($I698="FIN",PERSONAL!$K$2:$K$80,PERSONAL!$G$2:$G$80),MATCH($B698,PERSONAL!$A$2:$A$80,0)))))</f>
        <v/>
      </c>
      <c r="O698" s="53">
        <f t="array" ref="O698">IFERROR(INDEX(EXCEPCIONES_FECHA!$F$2:$F$201,MATCH(1,(EXCEPCIONES_FECHA!$A$2:$A$201=$A698)*(EXCEPCIONES_FECHA!$B$2:$B$201=$B698),0)),IFERROR(INDEX(EXCEPCIONES_FECHA!$F$2:$F$201,MATCH(1,(EXCEPCIONES_FECHA!$A$2:$A$201=$A698)*(EXCEPCIONES_FECHA!$B$2:$B$201=""),0)),IFERROR(INDEX(IF($I698="FIN",HISTORIAL_HORARIOS!$L$2:$L$201,HISTORIAL_HORARIOS!$H$2:$H$201),MATCH(1,(HISTORIAL_HORARIOS!$A$2:$A$201=$B698)*(HISTORIAL_HORARIOS!$C$2:$C$201&lt;=$A698)*(HISTORIAL_HORARIOS!$D$2:$D$201&gt;=$A698),0)),INDEX(IF($I698="FIN",PERSONAL!$L$2:$L$80,PERSONAL!$H$2:$H$80),MATCH($B698,PERSONAL!$A$2:$A$80,0)))))</f>
        <v/>
      </c>
    </row>
    <row r="699" ht="15" customHeight="1" s="58">
      <c r="A699" s="37" t="n"/>
      <c r="B699" s="38" t="n"/>
      <c r="C699" s="39" t="n"/>
      <c r="D699" s="39" t="n"/>
      <c r="E699" s="34">
        <f t="array" ref="E699">IF($B699="","",IFERROR(INDEX(PERSONAL!$B$2:$B$80,MATCH($B699,PERSONAL!$A$2:$A$80,0)),"NO EXISTE"))</f>
        <v/>
      </c>
      <c r="F699" s="52">
        <f t="array" ref="F699">IF($B699="","",IFERROR(INDEX(PERSONAL!$C$2:$C$80,MATCH($B699,PERSONAL!$A$2:$A$80,0)),""))</f>
        <v/>
      </c>
      <c r="G699" s="52">
        <f>IF($A699="","",CHOOSE(WEEKDAY($A699,2),"LUNES","MARTES","MIÉRCOLES","JUEVES","VIERNES","SÁBADO","DOMINGO"))</f>
        <v/>
      </c>
      <c r="H699" s="34">
        <f>IF($A699="","",CHOOSE(MONTH($A699),"ENERO","FEBRERO","MARZO","ABRIL","MAYO","JUNIO","JULIO","AGOSTO","SEPTIEMBRE","OCTUBRE","NOVIEMBRE","DICIEMBRE"))</f>
        <v/>
      </c>
      <c r="I699" s="34">
        <f>IF($A699="","",IF(OR($G699="SÁBADO",$G699="DOMINGO"),"FIN","LV"))</f>
        <v/>
      </c>
      <c r="J699" s="34">
        <f>IF(OR($A699="",$B699=""),"",IF($L699&lt;&gt;"",UPPER($L699),IF($C699="","FALTA",IFERROR(IF($C699&gt;=$O699,"ROJO FUERTE",IF($C699&gt;=$N699,"ROJO",IF($C699&gt;=$M699,"AMARILLO","VERDE"))),"REVISAR"))))</f>
        <v/>
      </c>
      <c r="K699" s="36">
        <f>IF(OR($C699="",$D699=""),"",IF($D699&gt;=$C699,($D699-$C699)*24,(1-$C699+$D699)*24))</f>
        <v/>
      </c>
      <c r="L699" s="34" t="n"/>
      <c r="M699" s="53">
        <f t="array" ref="M699">IFERROR(INDEX(EXCEPCIONES_FECHA!$D$2:$D$201,MATCH(1,(EXCEPCIONES_FECHA!$A$2:$A$201=$A699)*(EXCEPCIONES_FECHA!$B$2:$B$201=$B699),0)),IFERROR(INDEX(EXCEPCIONES_FECHA!$D$2:$D$201,MATCH(1,(EXCEPCIONES_FECHA!$A$2:$A$201=$A699)*(EXCEPCIONES_FECHA!$B$2:$B$201=""),0)),IFERROR(INDEX(IF($I699="FIN",HISTORIAL_HORARIOS!$J$2:$J$201,HISTORIAL_HORARIOS!$F$2:$F$201),MATCH(1,(HISTORIAL_HORARIOS!$A$2:$A$201=$B699)*(HISTORIAL_HORARIOS!$C$2:$C$201&lt;=$A699)*(HISTORIAL_HORARIOS!$D$2:$D$201&gt;=$A699),0)),INDEX(IF($I699="FIN",PERSONAL!$J$2:$J$80,PERSONAL!$F$2:$F$80),MATCH($B699,PERSONAL!$A$2:$A$80,0)))))</f>
        <v/>
      </c>
      <c r="N699" s="53">
        <f t="array" ref="N699">IFERROR(INDEX(EXCEPCIONES_FECHA!$E$2:$E$201,MATCH(1,(EXCEPCIONES_FECHA!$A$2:$A$201=$A699)*(EXCEPCIONES_FECHA!$B$2:$B$201=$B699),0)),IFERROR(INDEX(EXCEPCIONES_FECHA!$E$2:$E$201,MATCH(1,(EXCEPCIONES_FECHA!$A$2:$A$201=$A699)*(EXCEPCIONES_FECHA!$B$2:$B$201=""),0)),IFERROR(INDEX(IF($I699="FIN",HISTORIAL_HORARIOS!$K$2:$K$201,HISTORIAL_HORARIOS!$G$2:$G$201),MATCH(1,(HISTORIAL_HORARIOS!$A$2:$A$201=$B699)*(HISTORIAL_HORARIOS!$C$2:$C$201&lt;=$A699)*(HISTORIAL_HORARIOS!$D$2:$D$201&gt;=$A699),0)),INDEX(IF($I699="FIN",PERSONAL!$K$2:$K$80,PERSONAL!$G$2:$G$80),MATCH($B699,PERSONAL!$A$2:$A$80,0)))))</f>
        <v/>
      </c>
      <c r="O699" s="53">
        <f t="array" ref="O699">IFERROR(INDEX(EXCEPCIONES_FECHA!$F$2:$F$201,MATCH(1,(EXCEPCIONES_FECHA!$A$2:$A$201=$A699)*(EXCEPCIONES_FECHA!$B$2:$B$201=$B699),0)),IFERROR(INDEX(EXCEPCIONES_FECHA!$F$2:$F$201,MATCH(1,(EXCEPCIONES_FECHA!$A$2:$A$201=$A699)*(EXCEPCIONES_FECHA!$B$2:$B$201=""),0)),IFERROR(INDEX(IF($I699="FIN",HISTORIAL_HORARIOS!$L$2:$L$201,HISTORIAL_HORARIOS!$H$2:$H$201),MATCH(1,(HISTORIAL_HORARIOS!$A$2:$A$201=$B699)*(HISTORIAL_HORARIOS!$C$2:$C$201&lt;=$A699)*(HISTORIAL_HORARIOS!$D$2:$D$201&gt;=$A699),0)),INDEX(IF($I699="FIN",PERSONAL!$L$2:$L$80,PERSONAL!$H$2:$H$80),MATCH($B699,PERSONAL!$A$2:$A$80,0)))))</f>
        <v/>
      </c>
    </row>
    <row r="700" ht="15" customHeight="1" s="58">
      <c r="A700" s="37" t="n"/>
      <c r="B700" s="38" t="n"/>
      <c r="C700" s="39" t="n"/>
      <c r="D700" s="39" t="n"/>
      <c r="E700" s="34">
        <f t="array" ref="E700">IF($B700="","",IFERROR(INDEX(PERSONAL!$B$2:$B$80,MATCH($B700,PERSONAL!$A$2:$A$80,0)),"NO EXISTE"))</f>
        <v/>
      </c>
      <c r="F700" s="52">
        <f t="array" ref="F700">IF($B700="","",IFERROR(INDEX(PERSONAL!$C$2:$C$80,MATCH($B700,PERSONAL!$A$2:$A$80,0)),""))</f>
        <v/>
      </c>
      <c r="G700" s="52">
        <f>IF($A700="","",CHOOSE(WEEKDAY($A700,2),"LUNES","MARTES","MIÉRCOLES","JUEVES","VIERNES","SÁBADO","DOMINGO"))</f>
        <v/>
      </c>
      <c r="H700" s="34">
        <f>IF($A700="","",CHOOSE(MONTH($A700),"ENERO","FEBRERO","MARZO","ABRIL","MAYO","JUNIO","JULIO","AGOSTO","SEPTIEMBRE","OCTUBRE","NOVIEMBRE","DICIEMBRE"))</f>
        <v/>
      </c>
      <c r="I700" s="34">
        <f>IF($A700="","",IF(OR($G700="SÁBADO",$G700="DOMINGO"),"FIN","LV"))</f>
        <v/>
      </c>
      <c r="J700" s="34">
        <f>IF(OR($A700="",$B700=""),"",IF($L700&lt;&gt;"",UPPER($L700),IF($C700="","FALTA",IFERROR(IF($C700&gt;=$O700,"ROJO FUERTE",IF($C700&gt;=$N700,"ROJO",IF($C700&gt;=$M700,"AMARILLO","VERDE"))),"REVISAR"))))</f>
        <v/>
      </c>
      <c r="K700" s="36">
        <f>IF(OR($C700="",$D700=""),"",IF($D700&gt;=$C700,($D700-$C700)*24,(1-$C700+$D700)*24))</f>
        <v/>
      </c>
      <c r="L700" s="34" t="n"/>
      <c r="M700" s="53">
        <f t="array" ref="M700">IFERROR(INDEX(EXCEPCIONES_FECHA!$D$2:$D$201,MATCH(1,(EXCEPCIONES_FECHA!$A$2:$A$201=$A700)*(EXCEPCIONES_FECHA!$B$2:$B$201=$B700),0)),IFERROR(INDEX(EXCEPCIONES_FECHA!$D$2:$D$201,MATCH(1,(EXCEPCIONES_FECHA!$A$2:$A$201=$A700)*(EXCEPCIONES_FECHA!$B$2:$B$201=""),0)),IFERROR(INDEX(IF($I700="FIN",HISTORIAL_HORARIOS!$J$2:$J$201,HISTORIAL_HORARIOS!$F$2:$F$201),MATCH(1,(HISTORIAL_HORARIOS!$A$2:$A$201=$B700)*(HISTORIAL_HORARIOS!$C$2:$C$201&lt;=$A700)*(HISTORIAL_HORARIOS!$D$2:$D$201&gt;=$A700),0)),INDEX(IF($I700="FIN",PERSONAL!$J$2:$J$80,PERSONAL!$F$2:$F$80),MATCH($B700,PERSONAL!$A$2:$A$80,0)))))</f>
        <v/>
      </c>
      <c r="N700" s="53">
        <f t="array" ref="N700">IFERROR(INDEX(EXCEPCIONES_FECHA!$E$2:$E$201,MATCH(1,(EXCEPCIONES_FECHA!$A$2:$A$201=$A700)*(EXCEPCIONES_FECHA!$B$2:$B$201=$B700),0)),IFERROR(INDEX(EXCEPCIONES_FECHA!$E$2:$E$201,MATCH(1,(EXCEPCIONES_FECHA!$A$2:$A$201=$A700)*(EXCEPCIONES_FECHA!$B$2:$B$201=""),0)),IFERROR(INDEX(IF($I700="FIN",HISTORIAL_HORARIOS!$K$2:$K$201,HISTORIAL_HORARIOS!$G$2:$G$201),MATCH(1,(HISTORIAL_HORARIOS!$A$2:$A$201=$B700)*(HISTORIAL_HORARIOS!$C$2:$C$201&lt;=$A700)*(HISTORIAL_HORARIOS!$D$2:$D$201&gt;=$A700),0)),INDEX(IF($I700="FIN",PERSONAL!$K$2:$K$80,PERSONAL!$G$2:$G$80),MATCH($B700,PERSONAL!$A$2:$A$80,0)))))</f>
        <v/>
      </c>
      <c r="O700" s="53">
        <f t="array" ref="O700">IFERROR(INDEX(EXCEPCIONES_FECHA!$F$2:$F$201,MATCH(1,(EXCEPCIONES_FECHA!$A$2:$A$201=$A700)*(EXCEPCIONES_FECHA!$B$2:$B$201=$B700),0)),IFERROR(INDEX(EXCEPCIONES_FECHA!$F$2:$F$201,MATCH(1,(EXCEPCIONES_FECHA!$A$2:$A$201=$A700)*(EXCEPCIONES_FECHA!$B$2:$B$201=""),0)),IFERROR(INDEX(IF($I700="FIN",HISTORIAL_HORARIOS!$L$2:$L$201,HISTORIAL_HORARIOS!$H$2:$H$201),MATCH(1,(HISTORIAL_HORARIOS!$A$2:$A$201=$B700)*(HISTORIAL_HORARIOS!$C$2:$C$201&lt;=$A700)*(HISTORIAL_HORARIOS!$D$2:$D$201&gt;=$A700),0)),INDEX(IF($I700="FIN",PERSONAL!$L$2:$L$80,PERSONAL!$H$2:$H$80),MATCH($B700,PERSONAL!$A$2:$A$80,0)))))</f>
        <v/>
      </c>
    </row>
    <row r="701" ht="15" customHeight="1" s="58">
      <c r="A701" s="37" t="n"/>
      <c r="B701" s="38" t="n"/>
      <c r="C701" s="39" t="n"/>
      <c r="D701" s="39" t="n"/>
      <c r="E701" s="34">
        <f t="array" ref="E701">IF($B701="","",IFERROR(INDEX(PERSONAL!$B$2:$B$80,MATCH($B701,PERSONAL!$A$2:$A$80,0)),"NO EXISTE"))</f>
        <v/>
      </c>
      <c r="F701" s="52">
        <f t="array" ref="F701">IF($B701="","",IFERROR(INDEX(PERSONAL!$C$2:$C$80,MATCH($B701,PERSONAL!$A$2:$A$80,0)),""))</f>
        <v/>
      </c>
      <c r="G701" s="52">
        <f>IF($A701="","",CHOOSE(WEEKDAY($A701,2),"LUNES","MARTES","MIÉRCOLES","JUEVES","VIERNES","SÁBADO","DOMINGO"))</f>
        <v/>
      </c>
      <c r="H701" s="34">
        <f>IF($A701="","",CHOOSE(MONTH($A701),"ENERO","FEBRERO","MARZO","ABRIL","MAYO","JUNIO","JULIO","AGOSTO","SEPTIEMBRE","OCTUBRE","NOVIEMBRE","DICIEMBRE"))</f>
        <v/>
      </c>
      <c r="I701" s="34">
        <f>IF($A701="","",IF(OR($G701="SÁBADO",$G701="DOMINGO"),"FIN","LV"))</f>
        <v/>
      </c>
      <c r="J701" s="34">
        <f>IF(OR($A701="",$B701=""),"",IF($L701&lt;&gt;"",UPPER($L701),IF($C701="","FALTA",IFERROR(IF($C701&gt;=$O701,"ROJO FUERTE",IF($C701&gt;=$N701,"ROJO",IF($C701&gt;=$M701,"AMARILLO","VERDE"))),"REVISAR"))))</f>
        <v/>
      </c>
      <c r="K701" s="36">
        <f>IF(OR($C701="",$D701=""),"",IF($D701&gt;=$C701,($D701-$C701)*24,(1-$C701+$D701)*24))</f>
        <v/>
      </c>
      <c r="L701" s="34" t="n"/>
      <c r="M701" s="53">
        <f t="array" ref="M701">IFERROR(INDEX(EXCEPCIONES_FECHA!$D$2:$D$201,MATCH(1,(EXCEPCIONES_FECHA!$A$2:$A$201=$A701)*(EXCEPCIONES_FECHA!$B$2:$B$201=$B701),0)),IFERROR(INDEX(EXCEPCIONES_FECHA!$D$2:$D$201,MATCH(1,(EXCEPCIONES_FECHA!$A$2:$A$201=$A701)*(EXCEPCIONES_FECHA!$B$2:$B$201=""),0)),IFERROR(INDEX(IF($I701="FIN",HISTORIAL_HORARIOS!$J$2:$J$201,HISTORIAL_HORARIOS!$F$2:$F$201),MATCH(1,(HISTORIAL_HORARIOS!$A$2:$A$201=$B701)*(HISTORIAL_HORARIOS!$C$2:$C$201&lt;=$A701)*(HISTORIAL_HORARIOS!$D$2:$D$201&gt;=$A701),0)),INDEX(IF($I701="FIN",PERSONAL!$J$2:$J$80,PERSONAL!$F$2:$F$80),MATCH($B701,PERSONAL!$A$2:$A$80,0)))))</f>
        <v/>
      </c>
      <c r="N701" s="53">
        <f t="array" ref="N701">IFERROR(INDEX(EXCEPCIONES_FECHA!$E$2:$E$201,MATCH(1,(EXCEPCIONES_FECHA!$A$2:$A$201=$A701)*(EXCEPCIONES_FECHA!$B$2:$B$201=$B701),0)),IFERROR(INDEX(EXCEPCIONES_FECHA!$E$2:$E$201,MATCH(1,(EXCEPCIONES_FECHA!$A$2:$A$201=$A701)*(EXCEPCIONES_FECHA!$B$2:$B$201=""),0)),IFERROR(INDEX(IF($I701="FIN",HISTORIAL_HORARIOS!$K$2:$K$201,HISTORIAL_HORARIOS!$G$2:$G$201),MATCH(1,(HISTORIAL_HORARIOS!$A$2:$A$201=$B701)*(HISTORIAL_HORARIOS!$C$2:$C$201&lt;=$A701)*(HISTORIAL_HORARIOS!$D$2:$D$201&gt;=$A701),0)),INDEX(IF($I701="FIN",PERSONAL!$K$2:$K$80,PERSONAL!$G$2:$G$80),MATCH($B701,PERSONAL!$A$2:$A$80,0)))))</f>
        <v/>
      </c>
      <c r="O701" s="53">
        <f t="array" ref="O701">IFERROR(INDEX(EXCEPCIONES_FECHA!$F$2:$F$201,MATCH(1,(EXCEPCIONES_FECHA!$A$2:$A$201=$A701)*(EXCEPCIONES_FECHA!$B$2:$B$201=$B701),0)),IFERROR(INDEX(EXCEPCIONES_FECHA!$F$2:$F$201,MATCH(1,(EXCEPCIONES_FECHA!$A$2:$A$201=$A701)*(EXCEPCIONES_FECHA!$B$2:$B$201=""),0)),IFERROR(INDEX(IF($I701="FIN",HISTORIAL_HORARIOS!$L$2:$L$201,HISTORIAL_HORARIOS!$H$2:$H$201),MATCH(1,(HISTORIAL_HORARIOS!$A$2:$A$201=$B701)*(HISTORIAL_HORARIOS!$C$2:$C$201&lt;=$A701)*(HISTORIAL_HORARIOS!$D$2:$D$201&gt;=$A701),0)),INDEX(IF($I701="FIN",PERSONAL!$L$2:$L$80,PERSONAL!$H$2:$H$80),MATCH($B701,PERSONAL!$A$2:$A$80,0)))))</f>
        <v/>
      </c>
    </row>
    <row r="702" ht="15" customHeight="1" s="58">
      <c r="A702" s="37" t="n"/>
      <c r="B702" s="38" t="n"/>
      <c r="C702" s="39" t="n"/>
      <c r="D702" s="39" t="n"/>
      <c r="E702" s="34">
        <f t="array" ref="E702">IF($B702="","",IFERROR(INDEX(PERSONAL!$B$2:$B$80,MATCH($B702,PERSONAL!$A$2:$A$80,0)),"NO EXISTE"))</f>
        <v/>
      </c>
      <c r="F702" s="52">
        <f t="array" ref="F702">IF($B702="","",IFERROR(INDEX(PERSONAL!$C$2:$C$80,MATCH($B702,PERSONAL!$A$2:$A$80,0)),""))</f>
        <v/>
      </c>
      <c r="G702" s="52">
        <f>IF($A702="","",CHOOSE(WEEKDAY($A702,2),"LUNES","MARTES","MIÉRCOLES","JUEVES","VIERNES","SÁBADO","DOMINGO"))</f>
        <v/>
      </c>
      <c r="H702" s="34">
        <f>IF($A702="","",CHOOSE(MONTH($A702),"ENERO","FEBRERO","MARZO","ABRIL","MAYO","JUNIO","JULIO","AGOSTO","SEPTIEMBRE","OCTUBRE","NOVIEMBRE","DICIEMBRE"))</f>
        <v/>
      </c>
      <c r="I702" s="34">
        <f>IF($A702="","",IF(OR($G702="SÁBADO",$G702="DOMINGO"),"FIN","LV"))</f>
        <v/>
      </c>
      <c r="J702" s="34">
        <f>IF(OR($A702="",$B702=""),"",IF($L702&lt;&gt;"",UPPER($L702),IF($C702="","FALTA",IFERROR(IF($C702&gt;=$O702,"ROJO FUERTE",IF($C702&gt;=$N702,"ROJO",IF($C702&gt;=$M702,"AMARILLO","VERDE"))),"REVISAR"))))</f>
        <v/>
      </c>
      <c r="K702" s="36">
        <f>IF(OR($C702="",$D702=""),"",IF($D702&gt;=$C702,($D702-$C702)*24,(1-$C702+$D702)*24))</f>
        <v/>
      </c>
      <c r="L702" s="34" t="n"/>
      <c r="M702" s="53">
        <f t="array" ref="M702">IFERROR(INDEX(EXCEPCIONES_FECHA!$D$2:$D$201,MATCH(1,(EXCEPCIONES_FECHA!$A$2:$A$201=$A702)*(EXCEPCIONES_FECHA!$B$2:$B$201=$B702),0)),IFERROR(INDEX(EXCEPCIONES_FECHA!$D$2:$D$201,MATCH(1,(EXCEPCIONES_FECHA!$A$2:$A$201=$A702)*(EXCEPCIONES_FECHA!$B$2:$B$201=""),0)),IFERROR(INDEX(IF($I702="FIN",HISTORIAL_HORARIOS!$J$2:$J$201,HISTORIAL_HORARIOS!$F$2:$F$201),MATCH(1,(HISTORIAL_HORARIOS!$A$2:$A$201=$B702)*(HISTORIAL_HORARIOS!$C$2:$C$201&lt;=$A702)*(HISTORIAL_HORARIOS!$D$2:$D$201&gt;=$A702),0)),INDEX(IF($I702="FIN",PERSONAL!$J$2:$J$80,PERSONAL!$F$2:$F$80),MATCH($B702,PERSONAL!$A$2:$A$80,0)))))</f>
        <v/>
      </c>
      <c r="N702" s="53">
        <f t="array" ref="N702">IFERROR(INDEX(EXCEPCIONES_FECHA!$E$2:$E$201,MATCH(1,(EXCEPCIONES_FECHA!$A$2:$A$201=$A702)*(EXCEPCIONES_FECHA!$B$2:$B$201=$B702),0)),IFERROR(INDEX(EXCEPCIONES_FECHA!$E$2:$E$201,MATCH(1,(EXCEPCIONES_FECHA!$A$2:$A$201=$A702)*(EXCEPCIONES_FECHA!$B$2:$B$201=""),0)),IFERROR(INDEX(IF($I702="FIN",HISTORIAL_HORARIOS!$K$2:$K$201,HISTORIAL_HORARIOS!$G$2:$G$201),MATCH(1,(HISTORIAL_HORARIOS!$A$2:$A$201=$B702)*(HISTORIAL_HORARIOS!$C$2:$C$201&lt;=$A702)*(HISTORIAL_HORARIOS!$D$2:$D$201&gt;=$A702),0)),INDEX(IF($I702="FIN",PERSONAL!$K$2:$K$80,PERSONAL!$G$2:$G$80),MATCH($B702,PERSONAL!$A$2:$A$80,0)))))</f>
        <v/>
      </c>
      <c r="O702" s="53">
        <f t="array" ref="O702">IFERROR(INDEX(EXCEPCIONES_FECHA!$F$2:$F$201,MATCH(1,(EXCEPCIONES_FECHA!$A$2:$A$201=$A702)*(EXCEPCIONES_FECHA!$B$2:$B$201=$B702),0)),IFERROR(INDEX(EXCEPCIONES_FECHA!$F$2:$F$201,MATCH(1,(EXCEPCIONES_FECHA!$A$2:$A$201=$A702)*(EXCEPCIONES_FECHA!$B$2:$B$201=""),0)),IFERROR(INDEX(IF($I702="FIN",HISTORIAL_HORARIOS!$L$2:$L$201,HISTORIAL_HORARIOS!$H$2:$H$201),MATCH(1,(HISTORIAL_HORARIOS!$A$2:$A$201=$B702)*(HISTORIAL_HORARIOS!$C$2:$C$201&lt;=$A702)*(HISTORIAL_HORARIOS!$D$2:$D$201&gt;=$A702),0)),INDEX(IF($I702="FIN",PERSONAL!$L$2:$L$80,PERSONAL!$H$2:$H$80),MATCH($B702,PERSONAL!$A$2:$A$80,0)))))</f>
        <v/>
      </c>
    </row>
    <row r="703" ht="15" customHeight="1" s="58">
      <c r="A703" s="37" t="n"/>
      <c r="B703" s="38" t="n"/>
      <c r="C703" s="39" t="n"/>
      <c r="D703" s="39" t="n"/>
      <c r="E703" s="34">
        <f t="array" ref="E703">IF($B703="","",IFERROR(INDEX(PERSONAL!$B$2:$B$80,MATCH($B703,PERSONAL!$A$2:$A$80,0)),"NO EXISTE"))</f>
        <v/>
      </c>
      <c r="F703" s="52">
        <f t="array" ref="F703">IF($B703="","",IFERROR(INDEX(PERSONAL!$C$2:$C$80,MATCH($B703,PERSONAL!$A$2:$A$80,0)),""))</f>
        <v/>
      </c>
      <c r="G703" s="52">
        <f>IF($A703="","",CHOOSE(WEEKDAY($A703,2),"LUNES","MARTES","MIÉRCOLES","JUEVES","VIERNES","SÁBADO","DOMINGO"))</f>
        <v/>
      </c>
      <c r="H703" s="34">
        <f>IF($A703="","",CHOOSE(MONTH($A703),"ENERO","FEBRERO","MARZO","ABRIL","MAYO","JUNIO","JULIO","AGOSTO","SEPTIEMBRE","OCTUBRE","NOVIEMBRE","DICIEMBRE"))</f>
        <v/>
      </c>
      <c r="I703" s="34">
        <f>IF($A703="","",IF(OR($G703="SÁBADO",$G703="DOMINGO"),"FIN","LV"))</f>
        <v/>
      </c>
      <c r="J703" s="34">
        <f>IF(OR($A703="",$B703=""),"",IF($L703&lt;&gt;"",UPPER($L703),IF($C703="","FALTA",IFERROR(IF($C703&gt;=$O703,"ROJO FUERTE",IF($C703&gt;=$N703,"ROJO",IF($C703&gt;=$M703,"AMARILLO","VERDE"))),"REVISAR"))))</f>
        <v/>
      </c>
      <c r="K703" s="36">
        <f>IF(OR($C703="",$D703=""),"",IF($D703&gt;=$C703,($D703-$C703)*24,(1-$C703+$D703)*24))</f>
        <v/>
      </c>
      <c r="L703" s="34" t="n"/>
      <c r="M703" s="53">
        <f t="array" ref="M703">IFERROR(INDEX(EXCEPCIONES_FECHA!$D$2:$D$201,MATCH(1,(EXCEPCIONES_FECHA!$A$2:$A$201=$A703)*(EXCEPCIONES_FECHA!$B$2:$B$201=$B703),0)),IFERROR(INDEX(EXCEPCIONES_FECHA!$D$2:$D$201,MATCH(1,(EXCEPCIONES_FECHA!$A$2:$A$201=$A703)*(EXCEPCIONES_FECHA!$B$2:$B$201=""),0)),IFERROR(INDEX(IF($I703="FIN",HISTORIAL_HORARIOS!$J$2:$J$201,HISTORIAL_HORARIOS!$F$2:$F$201),MATCH(1,(HISTORIAL_HORARIOS!$A$2:$A$201=$B703)*(HISTORIAL_HORARIOS!$C$2:$C$201&lt;=$A703)*(HISTORIAL_HORARIOS!$D$2:$D$201&gt;=$A703),0)),INDEX(IF($I703="FIN",PERSONAL!$J$2:$J$80,PERSONAL!$F$2:$F$80),MATCH($B703,PERSONAL!$A$2:$A$80,0)))))</f>
        <v/>
      </c>
      <c r="N703" s="53">
        <f t="array" ref="N703">IFERROR(INDEX(EXCEPCIONES_FECHA!$E$2:$E$201,MATCH(1,(EXCEPCIONES_FECHA!$A$2:$A$201=$A703)*(EXCEPCIONES_FECHA!$B$2:$B$201=$B703),0)),IFERROR(INDEX(EXCEPCIONES_FECHA!$E$2:$E$201,MATCH(1,(EXCEPCIONES_FECHA!$A$2:$A$201=$A703)*(EXCEPCIONES_FECHA!$B$2:$B$201=""),0)),IFERROR(INDEX(IF($I703="FIN",HISTORIAL_HORARIOS!$K$2:$K$201,HISTORIAL_HORARIOS!$G$2:$G$201),MATCH(1,(HISTORIAL_HORARIOS!$A$2:$A$201=$B703)*(HISTORIAL_HORARIOS!$C$2:$C$201&lt;=$A703)*(HISTORIAL_HORARIOS!$D$2:$D$201&gt;=$A703),0)),INDEX(IF($I703="FIN",PERSONAL!$K$2:$K$80,PERSONAL!$G$2:$G$80),MATCH($B703,PERSONAL!$A$2:$A$80,0)))))</f>
        <v/>
      </c>
      <c r="O703" s="53">
        <f t="array" ref="O703">IFERROR(INDEX(EXCEPCIONES_FECHA!$F$2:$F$201,MATCH(1,(EXCEPCIONES_FECHA!$A$2:$A$201=$A703)*(EXCEPCIONES_FECHA!$B$2:$B$201=$B703),0)),IFERROR(INDEX(EXCEPCIONES_FECHA!$F$2:$F$201,MATCH(1,(EXCEPCIONES_FECHA!$A$2:$A$201=$A703)*(EXCEPCIONES_FECHA!$B$2:$B$201=""),0)),IFERROR(INDEX(IF($I703="FIN",HISTORIAL_HORARIOS!$L$2:$L$201,HISTORIAL_HORARIOS!$H$2:$H$201),MATCH(1,(HISTORIAL_HORARIOS!$A$2:$A$201=$B703)*(HISTORIAL_HORARIOS!$C$2:$C$201&lt;=$A703)*(HISTORIAL_HORARIOS!$D$2:$D$201&gt;=$A703),0)),INDEX(IF($I703="FIN",PERSONAL!$L$2:$L$80,PERSONAL!$H$2:$H$80),MATCH($B703,PERSONAL!$A$2:$A$80,0)))))</f>
        <v/>
      </c>
    </row>
    <row r="704" ht="15" customHeight="1" s="58">
      <c r="A704" s="37" t="n"/>
      <c r="B704" s="38" t="n"/>
      <c r="C704" s="39" t="n"/>
      <c r="D704" s="39" t="n"/>
      <c r="E704" s="34">
        <f t="array" ref="E704">IF($B704="","",IFERROR(INDEX(PERSONAL!$B$2:$B$80,MATCH($B704,PERSONAL!$A$2:$A$80,0)),"NO EXISTE"))</f>
        <v/>
      </c>
      <c r="F704" s="52">
        <f t="array" ref="F704">IF($B704="","",IFERROR(INDEX(PERSONAL!$C$2:$C$80,MATCH($B704,PERSONAL!$A$2:$A$80,0)),""))</f>
        <v/>
      </c>
      <c r="G704" s="52">
        <f>IF($A704="","",CHOOSE(WEEKDAY($A704,2),"LUNES","MARTES","MIÉRCOLES","JUEVES","VIERNES","SÁBADO","DOMINGO"))</f>
        <v/>
      </c>
      <c r="H704" s="34">
        <f>IF($A704="","",CHOOSE(MONTH($A704),"ENERO","FEBRERO","MARZO","ABRIL","MAYO","JUNIO","JULIO","AGOSTO","SEPTIEMBRE","OCTUBRE","NOVIEMBRE","DICIEMBRE"))</f>
        <v/>
      </c>
      <c r="I704" s="34">
        <f>IF($A704="","",IF(OR($G704="SÁBADO",$G704="DOMINGO"),"FIN","LV"))</f>
        <v/>
      </c>
      <c r="J704" s="34">
        <f>IF(OR($A704="",$B704=""),"",IF($L704&lt;&gt;"",UPPER($L704),IF($C704="","FALTA",IFERROR(IF($C704&gt;=$O704,"ROJO FUERTE",IF($C704&gt;=$N704,"ROJO",IF($C704&gt;=$M704,"AMARILLO","VERDE"))),"REVISAR"))))</f>
        <v/>
      </c>
      <c r="K704" s="36">
        <f>IF(OR($C704="",$D704=""),"",IF($D704&gt;=$C704,($D704-$C704)*24,(1-$C704+$D704)*24))</f>
        <v/>
      </c>
      <c r="L704" s="34" t="n"/>
      <c r="M704" s="53">
        <f t="array" ref="M704">IFERROR(INDEX(EXCEPCIONES_FECHA!$D$2:$D$201,MATCH(1,(EXCEPCIONES_FECHA!$A$2:$A$201=$A704)*(EXCEPCIONES_FECHA!$B$2:$B$201=$B704),0)),IFERROR(INDEX(EXCEPCIONES_FECHA!$D$2:$D$201,MATCH(1,(EXCEPCIONES_FECHA!$A$2:$A$201=$A704)*(EXCEPCIONES_FECHA!$B$2:$B$201=""),0)),IFERROR(INDEX(IF($I704="FIN",HISTORIAL_HORARIOS!$J$2:$J$201,HISTORIAL_HORARIOS!$F$2:$F$201),MATCH(1,(HISTORIAL_HORARIOS!$A$2:$A$201=$B704)*(HISTORIAL_HORARIOS!$C$2:$C$201&lt;=$A704)*(HISTORIAL_HORARIOS!$D$2:$D$201&gt;=$A704),0)),INDEX(IF($I704="FIN",PERSONAL!$J$2:$J$80,PERSONAL!$F$2:$F$80),MATCH($B704,PERSONAL!$A$2:$A$80,0)))))</f>
        <v/>
      </c>
      <c r="N704" s="53">
        <f t="array" ref="N704">IFERROR(INDEX(EXCEPCIONES_FECHA!$E$2:$E$201,MATCH(1,(EXCEPCIONES_FECHA!$A$2:$A$201=$A704)*(EXCEPCIONES_FECHA!$B$2:$B$201=$B704),0)),IFERROR(INDEX(EXCEPCIONES_FECHA!$E$2:$E$201,MATCH(1,(EXCEPCIONES_FECHA!$A$2:$A$201=$A704)*(EXCEPCIONES_FECHA!$B$2:$B$201=""),0)),IFERROR(INDEX(IF($I704="FIN",HISTORIAL_HORARIOS!$K$2:$K$201,HISTORIAL_HORARIOS!$G$2:$G$201),MATCH(1,(HISTORIAL_HORARIOS!$A$2:$A$201=$B704)*(HISTORIAL_HORARIOS!$C$2:$C$201&lt;=$A704)*(HISTORIAL_HORARIOS!$D$2:$D$201&gt;=$A704),0)),INDEX(IF($I704="FIN",PERSONAL!$K$2:$K$80,PERSONAL!$G$2:$G$80),MATCH($B704,PERSONAL!$A$2:$A$80,0)))))</f>
        <v/>
      </c>
      <c r="O704" s="53">
        <f t="array" ref="O704">IFERROR(INDEX(EXCEPCIONES_FECHA!$F$2:$F$201,MATCH(1,(EXCEPCIONES_FECHA!$A$2:$A$201=$A704)*(EXCEPCIONES_FECHA!$B$2:$B$201=$B704),0)),IFERROR(INDEX(EXCEPCIONES_FECHA!$F$2:$F$201,MATCH(1,(EXCEPCIONES_FECHA!$A$2:$A$201=$A704)*(EXCEPCIONES_FECHA!$B$2:$B$201=""),0)),IFERROR(INDEX(IF($I704="FIN",HISTORIAL_HORARIOS!$L$2:$L$201,HISTORIAL_HORARIOS!$H$2:$H$201),MATCH(1,(HISTORIAL_HORARIOS!$A$2:$A$201=$B704)*(HISTORIAL_HORARIOS!$C$2:$C$201&lt;=$A704)*(HISTORIAL_HORARIOS!$D$2:$D$201&gt;=$A704),0)),INDEX(IF($I704="FIN",PERSONAL!$L$2:$L$80,PERSONAL!$H$2:$H$80),MATCH($B704,PERSONAL!$A$2:$A$80,0)))))</f>
        <v/>
      </c>
    </row>
    <row r="705" ht="15" customHeight="1" s="58">
      <c r="A705" s="37" t="n"/>
      <c r="B705" s="38" t="n"/>
      <c r="C705" s="39" t="n"/>
      <c r="D705" s="39" t="n"/>
      <c r="E705" s="34">
        <f t="array" ref="E705">IF($B705="","",IFERROR(INDEX(PERSONAL!$B$2:$B$80,MATCH($B705,PERSONAL!$A$2:$A$80,0)),"NO EXISTE"))</f>
        <v/>
      </c>
      <c r="F705" s="52">
        <f t="array" ref="F705">IF($B705="","",IFERROR(INDEX(PERSONAL!$C$2:$C$80,MATCH($B705,PERSONAL!$A$2:$A$80,0)),""))</f>
        <v/>
      </c>
      <c r="G705" s="52">
        <f>IF($A705="","",CHOOSE(WEEKDAY($A705,2),"LUNES","MARTES","MIÉRCOLES","JUEVES","VIERNES","SÁBADO","DOMINGO"))</f>
        <v/>
      </c>
      <c r="H705" s="34">
        <f>IF($A705="","",CHOOSE(MONTH($A705),"ENERO","FEBRERO","MARZO","ABRIL","MAYO","JUNIO","JULIO","AGOSTO","SEPTIEMBRE","OCTUBRE","NOVIEMBRE","DICIEMBRE"))</f>
        <v/>
      </c>
      <c r="I705" s="34">
        <f>IF($A705="","",IF(OR($G705="SÁBADO",$G705="DOMINGO"),"FIN","LV"))</f>
        <v/>
      </c>
      <c r="J705" s="34">
        <f>IF(OR($A705="",$B705=""),"",IF($L705&lt;&gt;"",UPPER($L705),IF($C705="","FALTA",IFERROR(IF($C705&gt;=$O705,"ROJO FUERTE",IF($C705&gt;=$N705,"ROJO",IF($C705&gt;=$M705,"AMARILLO","VERDE"))),"REVISAR"))))</f>
        <v/>
      </c>
      <c r="K705" s="36">
        <f>IF(OR($C705="",$D705=""),"",IF($D705&gt;=$C705,($D705-$C705)*24,(1-$C705+$D705)*24))</f>
        <v/>
      </c>
      <c r="L705" s="34" t="n"/>
      <c r="M705" s="53">
        <f t="array" ref="M705">IFERROR(INDEX(EXCEPCIONES_FECHA!$D$2:$D$201,MATCH(1,(EXCEPCIONES_FECHA!$A$2:$A$201=$A705)*(EXCEPCIONES_FECHA!$B$2:$B$201=$B705),0)),IFERROR(INDEX(EXCEPCIONES_FECHA!$D$2:$D$201,MATCH(1,(EXCEPCIONES_FECHA!$A$2:$A$201=$A705)*(EXCEPCIONES_FECHA!$B$2:$B$201=""),0)),IFERROR(INDEX(IF($I705="FIN",HISTORIAL_HORARIOS!$J$2:$J$201,HISTORIAL_HORARIOS!$F$2:$F$201),MATCH(1,(HISTORIAL_HORARIOS!$A$2:$A$201=$B705)*(HISTORIAL_HORARIOS!$C$2:$C$201&lt;=$A705)*(HISTORIAL_HORARIOS!$D$2:$D$201&gt;=$A705),0)),INDEX(IF($I705="FIN",PERSONAL!$J$2:$J$80,PERSONAL!$F$2:$F$80),MATCH($B705,PERSONAL!$A$2:$A$80,0)))))</f>
        <v/>
      </c>
      <c r="N705" s="53">
        <f t="array" ref="N705">IFERROR(INDEX(EXCEPCIONES_FECHA!$E$2:$E$201,MATCH(1,(EXCEPCIONES_FECHA!$A$2:$A$201=$A705)*(EXCEPCIONES_FECHA!$B$2:$B$201=$B705),0)),IFERROR(INDEX(EXCEPCIONES_FECHA!$E$2:$E$201,MATCH(1,(EXCEPCIONES_FECHA!$A$2:$A$201=$A705)*(EXCEPCIONES_FECHA!$B$2:$B$201=""),0)),IFERROR(INDEX(IF($I705="FIN",HISTORIAL_HORARIOS!$K$2:$K$201,HISTORIAL_HORARIOS!$G$2:$G$201),MATCH(1,(HISTORIAL_HORARIOS!$A$2:$A$201=$B705)*(HISTORIAL_HORARIOS!$C$2:$C$201&lt;=$A705)*(HISTORIAL_HORARIOS!$D$2:$D$201&gt;=$A705),0)),INDEX(IF($I705="FIN",PERSONAL!$K$2:$K$80,PERSONAL!$G$2:$G$80),MATCH($B705,PERSONAL!$A$2:$A$80,0)))))</f>
        <v/>
      </c>
      <c r="O705" s="53">
        <f t="array" ref="O705">IFERROR(INDEX(EXCEPCIONES_FECHA!$F$2:$F$201,MATCH(1,(EXCEPCIONES_FECHA!$A$2:$A$201=$A705)*(EXCEPCIONES_FECHA!$B$2:$B$201=$B705),0)),IFERROR(INDEX(EXCEPCIONES_FECHA!$F$2:$F$201,MATCH(1,(EXCEPCIONES_FECHA!$A$2:$A$201=$A705)*(EXCEPCIONES_FECHA!$B$2:$B$201=""),0)),IFERROR(INDEX(IF($I705="FIN",HISTORIAL_HORARIOS!$L$2:$L$201,HISTORIAL_HORARIOS!$H$2:$H$201),MATCH(1,(HISTORIAL_HORARIOS!$A$2:$A$201=$B705)*(HISTORIAL_HORARIOS!$C$2:$C$201&lt;=$A705)*(HISTORIAL_HORARIOS!$D$2:$D$201&gt;=$A705),0)),INDEX(IF($I705="FIN",PERSONAL!$L$2:$L$80,PERSONAL!$H$2:$H$80),MATCH($B705,PERSONAL!$A$2:$A$80,0)))))</f>
        <v/>
      </c>
    </row>
    <row r="706" ht="15" customHeight="1" s="58">
      <c r="A706" s="37" t="n"/>
      <c r="B706" s="38" t="n"/>
      <c r="C706" s="39" t="n"/>
      <c r="D706" s="39" t="n"/>
      <c r="E706" s="34">
        <f t="array" ref="E706">IF($B706="","",IFERROR(INDEX(PERSONAL!$B$2:$B$80,MATCH($B706,PERSONAL!$A$2:$A$80,0)),"NO EXISTE"))</f>
        <v/>
      </c>
      <c r="F706" s="52">
        <f t="array" ref="F706">IF($B706="","",IFERROR(INDEX(PERSONAL!$C$2:$C$80,MATCH($B706,PERSONAL!$A$2:$A$80,0)),""))</f>
        <v/>
      </c>
      <c r="G706" s="52">
        <f>IF($A706="","",CHOOSE(WEEKDAY($A706,2),"LUNES","MARTES","MIÉRCOLES","JUEVES","VIERNES","SÁBADO","DOMINGO"))</f>
        <v/>
      </c>
      <c r="H706" s="34">
        <f>IF($A706="","",CHOOSE(MONTH($A706),"ENERO","FEBRERO","MARZO","ABRIL","MAYO","JUNIO","JULIO","AGOSTO","SEPTIEMBRE","OCTUBRE","NOVIEMBRE","DICIEMBRE"))</f>
        <v/>
      </c>
      <c r="I706" s="34">
        <f>IF($A706="","",IF(OR($G706="SÁBADO",$G706="DOMINGO"),"FIN","LV"))</f>
        <v/>
      </c>
      <c r="J706" s="34">
        <f>IF(OR($A706="",$B706=""),"",IF($L706&lt;&gt;"",UPPER($L706),IF($C706="","FALTA",IFERROR(IF($C706&gt;=$O706,"ROJO FUERTE",IF($C706&gt;=$N706,"ROJO",IF($C706&gt;=$M706,"AMARILLO","VERDE"))),"REVISAR"))))</f>
        <v/>
      </c>
      <c r="K706" s="36">
        <f>IF(OR($C706="",$D706=""),"",IF($D706&gt;=$C706,($D706-$C706)*24,(1-$C706+$D706)*24))</f>
        <v/>
      </c>
      <c r="L706" s="34" t="n"/>
      <c r="M706" s="53">
        <f t="array" ref="M706">IFERROR(INDEX(EXCEPCIONES_FECHA!$D$2:$D$201,MATCH(1,(EXCEPCIONES_FECHA!$A$2:$A$201=$A706)*(EXCEPCIONES_FECHA!$B$2:$B$201=$B706),0)),IFERROR(INDEX(EXCEPCIONES_FECHA!$D$2:$D$201,MATCH(1,(EXCEPCIONES_FECHA!$A$2:$A$201=$A706)*(EXCEPCIONES_FECHA!$B$2:$B$201=""),0)),IFERROR(INDEX(IF($I706="FIN",HISTORIAL_HORARIOS!$J$2:$J$201,HISTORIAL_HORARIOS!$F$2:$F$201),MATCH(1,(HISTORIAL_HORARIOS!$A$2:$A$201=$B706)*(HISTORIAL_HORARIOS!$C$2:$C$201&lt;=$A706)*(HISTORIAL_HORARIOS!$D$2:$D$201&gt;=$A706),0)),INDEX(IF($I706="FIN",PERSONAL!$J$2:$J$80,PERSONAL!$F$2:$F$80),MATCH($B706,PERSONAL!$A$2:$A$80,0)))))</f>
        <v/>
      </c>
      <c r="N706" s="53">
        <f t="array" ref="N706">IFERROR(INDEX(EXCEPCIONES_FECHA!$E$2:$E$201,MATCH(1,(EXCEPCIONES_FECHA!$A$2:$A$201=$A706)*(EXCEPCIONES_FECHA!$B$2:$B$201=$B706),0)),IFERROR(INDEX(EXCEPCIONES_FECHA!$E$2:$E$201,MATCH(1,(EXCEPCIONES_FECHA!$A$2:$A$201=$A706)*(EXCEPCIONES_FECHA!$B$2:$B$201=""),0)),IFERROR(INDEX(IF($I706="FIN",HISTORIAL_HORARIOS!$K$2:$K$201,HISTORIAL_HORARIOS!$G$2:$G$201),MATCH(1,(HISTORIAL_HORARIOS!$A$2:$A$201=$B706)*(HISTORIAL_HORARIOS!$C$2:$C$201&lt;=$A706)*(HISTORIAL_HORARIOS!$D$2:$D$201&gt;=$A706),0)),INDEX(IF($I706="FIN",PERSONAL!$K$2:$K$80,PERSONAL!$G$2:$G$80),MATCH($B706,PERSONAL!$A$2:$A$80,0)))))</f>
        <v/>
      </c>
      <c r="O706" s="53">
        <f t="array" ref="O706">IFERROR(INDEX(EXCEPCIONES_FECHA!$F$2:$F$201,MATCH(1,(EXCEPCIONES_FECHA!$A$2:$A$201=$A706)*(EXCEPCIONES_FECHA!$B$2:$B$201=$B706),0)),IFERROR(INDEX(EXCEPCIONES_FECHA!$F$2:$F$201,MATCH(1,(EXCEPCIONES_FECHA!$A$2:$A$201=$A706)*(EXCEPCIONES_FECHA!$B$2:$B$201=""),0)),IFERROR(INDEX(IF($I706="FIN",HISTORIAL_HORARIOS!$L$2:$L$201,HISTORIAL_HORARIOS!$H$2:$H$201),MATCH(1,(HISTORIAL_HORARIOS!$A$2:$A$201=$B706)*(HISTORIAL_HORARIOS!$C$2:$C$201&lt;=$A706)*(HISTORIAL_HORARIOS!$D$2:$D$201&gt;=$A706),0)),INDEX(IF($I706="FIN",PERSONAL!$L$2:$L$80,PERSONAL!$H$2:$H$80),MATCH($B706,PERSONAL!$A$2:$A$80,0)))))</f>
        <v/>
      </c>
    </row>
    <row r="707" ht="15" customHeight="1" s="58">
      <c r="A707" s="37" t="n"/>
      <c r="B707" s="38" t="n"/>
      <c r="C707" s="39" t="n"/>
      <c r="D707" s="39" t="n"/>
      <c r="E707" s="34">
        <f t="array" ref="E707">IF($B707="","",IFERROR(INDEX(PERSONAL!$B$2:$B$80,MATCH($B707,PERSONAL!$A$2:$A$80,0)),"NO EXISTE"))</f>
        <v/>
      </c>
      <c r="F707" s="52">
        <f t="array" ref="F707">IF($B707="","",IFERROR(INDEX(PERSONAL!$C$2:$C$80,MATCH($B707,PERSONAL!$A$2:$A$80,0)),""))</f>
        <v/>
      </c>
      <c r="G707" s="52">
        <f>IF($A707="","",CHOOSE(WEEKDAY($A707,2),"LUNES","MARTES","MIÉRCOLES","JUEVES","VIERNES","SÁBADO","DOMINGO"))</f>
        <v/>
      </c>
      <c r="H707" s="34">
        <f>IF($A707="","",CHOOSE(MONTH($A707),"ENERO","FEBRERO","MARZO","ABRIL","MAYO","JUNIO","JULIO","AGOSTO","SEPTIEMBRE","OCTUBRE","NOVIEMBRE","DICIEMBRE"))</f>
        <v/>
      </c>
      <c r="I707" s="34">
        <f>IF($A707="","",IF(OR($G707="SÁBADO",$G707="DOMINGO"),"FIN","LV"))</f>
        <v/>
      </c>
      <c r="J707" s="34">
        <f>IF(OR($A707="",$B707=""),"",IF($L707&lt;&gt;"",UPPER($L707),IF($C707="","FALTA",IFERROR(IF($C707&gt;=$O707,"ROJO FUERTE",IF($C707&gt;=$N707,"ROJO",IF($C707&gt;=$M707,"AMARILLO","VERDE"))),"REVISAR"))))</f>
        <v/>
      </c>
      <c r="K707" s="36">
        <f>IF(OR($C707="",$D707=""),"",IF($D707&gt;=$C707,($D707-$C707)*24,(1-$C707+$D707)*24))</f>
        <v/>
      </c>
      <c r="L707" s="34" t="n"/>
      <c r="M707" s="53">
        <f t="array" ref="M707">IFERROR(INDEX(EXCEPCIONES_FECHA!$D$2:$D$201,MATCH(1,(EXCEPCIONES_FECHA!$A$2:$A$201=$A707)*(EXCEPCIONES_FECHA!$B$2:$B$201=$B707),0)),IFERROR(INDEX(EXCEPCIONES_FECHA!$D$2:$D$201,MATCH(1,(EXCEPCIONES_FECHA!$A$2:$A$201=$A707)*(EXCEPCIONES_FECHA!$B$2:$B$201=""),0)),IFERROR(INDEX(IF($I707="FIN",HISTORIAL_HORARIOS!$J$2:$J$201,HISTORIAL_HORARIOS!$F$2:$F$201),MATCH(1,(HISTORIAL_HORARIOS!$A$2:$A$201=$B707)*(HISTORIAL_HORARIOS!$C$2:$C$201&lt;=$A707)*(HISTORIAL_HORARIOS!$D$2:$D$201&gt;=$A707),0)),INDEX(IF($I707="FIN",PERSONAL!$J$2:$J$80,PERSONAL!$F$2:$F$80),MATCH($B707,PERSONAL!$A$2:$A$80,0)))))</f>
        <v/>
      </c>
      <c r="N707" s="53">
        <f t="array" ref="N707">IFERROR(INDEX(EXCEPCIONES_FECHA!$E$2:$E$201,MATCH(1,(EXCEPCIONES_FECHA!$A$2:$A$201=$A707)*(EXCEPCIONES_FECHA!$B$2:$B$201=$B707),0)),IFERROR(INDEX(EXCEPCIONES_FECHA!$E$2:$E$201,MATCH(1,(EXCEPCIONES_FECHA!$A$2:$A$201=$A707)*(EXCEPCIONES_FECHA!$B$2:$B$201=""),0)),IFERROR(INDEX(IF($I707="FIN",HISTORIAL_HORARIOS!$K$2:$K$201,HISTORIAL_HORARIOS!$G$2:$G$201),MATCH(1,(HISTORIAL_HORARIOS!$A$2:$A$201=$B707)*(HISTORIAL_HORARIOS!$C$2:$C$201&lt;=$A707)*(HISTORIAL_HORARIOS!$D$2:$D$201&gt;=$A707),0)),INDEX(IF($I707="FIN",PERSONAL!$K$2:$K$80,PERSONAL!$G$2:$G$80),MATCH($B707,PERSONAL!$A$2:$A$80,0)))))</f>
        <v/>
      </c>
      <c r="O707" s="53">
        <f t="array" ref="O707">IFERROR(INDEX(EXCEPCIONES_FECHA!$F$2:$F$201,MATCH(1,(EXCEPCIONES_FECHA!$A$2:$A$201=$A707)*(EXCEPCIONES_FECHA!$B$2:$B$201=$B707),0)),IFERROR(INDEX(EXCEPCIONES_FECHA!$F$2:$F$201,MATCH(1,(EXCEPCIONES_FECHA!$A$2:$A$201=$A707)*(EXCEPCIONES_FECHA!$B$2:$B$201=""),0)),IFERROR(INDEX(IF($I707="FIN",HISTORIAL_HORARIOS!$L$2:$L$201,HISTORIAL_HORARIOS!$H$2:$H$201),MATCH(1,(HISTORIAL_HORARIOS!$A$2:$A$201=$B707)*(HISTORIAL_HORARIOS!$C$2:$C$201&lt;=$A707)*(HISTORIAL_HORARIOS!$D$2:$D$201&gt;=$A707),0)),INDEX(IF($I707="FIN",PERSONAL!$L$2:$L$80,PERSONAL!$H$2:$H$80),MATCH($B707,PERSONAL!$A$2:$A$80,0)))))</f>
        <v/>
      </c>
    </row>
    <row r="708" ht="15" customHeight="1" s="58">
      <c r="A708" s="37" t="n"/>
      <c r="B708" s="38" t="n"/>
      <c r="C708" s="39" t="n"/>
      <c r="D708" s="39" t="n"/>
      <c r="E708" s="34">
        <f t="array" ref="E708">IF($B708="","",IFERROR(INDEX(PERSONAL!$B$2:$B$80,MATCH($B708,PERSONAL!$A$2:$A$80,0)),"NO EXISTE"))</f>
        <v/>
      </c>
      <c r="F708" s="52">
        <f t="array" ref="F708">IF($B708="","",IFERROR(INDEX(PERSONAL!$C$2:$C$80,MATCH($B708,PERSONAL!$A$2:$A$80,0)),""))</f>
        <v/>
      </c>
      <c r="G708" s="52">
        <f>IF($A708="","",CHOOSE(WEEKDAY($A708,2),"LUNES","MARTES","MIÉRCOLES","JUEVES","VIERNES","SÁBADO","DOMINGO"))</f>
        <v/>
      </c>
      <c r="H708" s="34">
        <f>IF($A708="","",CHOOSE(MONTH($A708),"ENERO","FEBRERO","MARZO","ABRIL","MAYO","JUNIO","JULIO","AGOSTO","SEPTIEMBRE","OCTUBRE","NOVIEMBRE","DICIEMBRE"))</f>
        <v/>
      </c>
      <c r="I708" s="34">
        <f>IF($A708="","",IF(OR($G708="SÁBADO",$G708="DOMINGO"),"FIN","LV"))</f>
        <v/>
      </c>
      <c r="J708" s="34">
        <f>IF(OR($A708="",$B708=""),"",IF($L708&lt;&gt;"",UPPER($L708),IF($C708="","FALTA",IFERROR(IF($C708&gt;=$O708,"ROJO FUERTE",IF($C708&gt;=$N708,"ROJO",IF($C708&gt;=$M708,"AMARILLO","VERDE"))),"REVISAR"))))</f>
        <v/>
      </c>
      <c r="K708" s="36">
        <f>IF(OR($C708="",$D708=""),"",IF($D708&gt;=$C708,($D708-$C708)*24,(1-$C708+$D708)*24))</f>
        <v/>
      </c>
      <c r="L708" s="34" t="n"/>
      <c r="M708" s="53">
        <f t="array" ref="M708">IFERROR(INDEX(EXCEPCIONES_FECHA!$D$2:$D$201,MATCH(1,(EXCEPCIONES_FECHA!$A$2:$A$201=$A708)*(EXCEPCIONES_FECHA!$B$2:$B$201=$B708),0)),IFERROR(INDEX(EXCEPCIONES_FECHA!$D$2:$D$201,MATCH(1,(EXCEPCIONES_FECHA!$A$2:$A$201=$A708)*(EXCEPCIONES_FECHA!$B$2:$B$201=""),0)),IFERROR(INDEX(IF($I708="FIN",HISTORIAL_HORARIOS!$J$2:$J$201,HISTORIAL_HORARIOS!$F$2:$F$201),MATCH(1,(HISTORIAL_HORARIOS!$A$2:$A$201=$B708)*(HISTORIAL_HORARIOS!$C$2:$C$201&lt;=$A708)*(HISTORIAL_HORARIOS!$D$2:$D$201&gt;=$A708),0)),INDEX(IF($I708="FIN",PERSONAL!$J$2:$J$80,PERSONAL!$F$2:$F$80),MATCH($B708,PERSONAL!$A$2:$A$80,0)))))</f>
        <v/>
      </c>
      <c r="N708" s="53">
        <f t="array" ref="N708">IFERROR(INDEX(EXCEPCIONES_FECHA!$E$2:$E$201,MATCH(1,(EXCEPCIONES_FECHA!$A$2:$A$201=$A708)*(EXCEPCIONES_FECHA!$B$2:$B$201=$B708),0)),IFERROR(INDEX(EXCEPCIONES_FECHA!$E$2:$E$201,MATCH(1,(EXCEPCIONES_FECHA!$A$2:$A$201=$A708)*(EXCEPCIONES_FECHA!$B$2:$B$201=""),0)),IFERROR(INDEX(IF($I708="FIN",HISTORIAL_HORARIOS!$K$2:$K$201,HISTORIAL_HORARIOS!$G$2:$G$201),MATCH(1,(HISTORIAL_HORARIOS!$A$2:$A$201=$B708)*(HISTORIAL_HORARIOS!$C$2:$C$201&lt;=$A708)*(HISTORIAL_HORARIOS!$D$2:$D$201&gt;=$A708),0)),INDEX(IF($I708="FIN",PERSONAL!$K$2:$K$80,PERSONAL!$G$2:$G$80),MATCH($B708,PERSONAL!$A$2:$A$80,0)))))</f>
        <v/>
      </c>
      <c r="O708" s="53">
        <f t="array" ref="O708">IFERROR(INDEX(EXCEPCIONES_FECHA!$F$2:$F$201,MATCH(1,(EXCEPCIONES_FECHA!$A$2:$A$201=$A708)*(EXCEPCIONES_FECHA!$B$2:$B$201=$B708),0)),IFERROR(INDEX(EXCEPCIONES_FECHA!$F$2:$F$201,MATCH(1,(EXCEPCIONES_FECHA!$A$2:$A$201=$A708)*(EXCEPCIONES_FECHA!$B$2:$B$201=""),0)),IFERROR(INDEX(IF($I708="FIN",HISTORIAL_HORARIOS!$L$2:$L$201,HISTORIAL_HORARIOS!$H$2:$H$201),MATCH(1,(HISTORIAL_HORARIOS!$A$2:$A$201=$B708)*(HISTORIAL_HORARIOS!$C$2:$C$201&lt;=$A708)*(HISTORIAL_HORARIOS!$D$2:$D$201&gt;=$A708),0)),INDEX(IF($I708="FIN",PERSONAL!$L$2:$L$80,PERSONAL!$H$2:$H$80),MATCH($B708,PERSONAL!$A$2:$A$80,0)))))</f>
        <v/>
      </c>
    </row>
    <row r="709" ht="15" customHeight="1" s="58">
      <c r="A709" s="37" t="n"/>
      <c r="B709" s="38" t="n"/>
      <c r="C709" s="39" t="n"/>
      <c r="D709" s="39" t="n"/>
      <c r="E709" s="34">
        <f t="array" ref="E709">IF($B709="","",IFERROR(INDEX(PERSONAL!$B$2:$B$80,MATCH($B709,PERSONAL!$A$2:$A$80,0)),"NO EXISTE"))</f>
        <v/>
      </c>
      <c r="F709" s="52">
        <f t="array" ref="F709">IF($B709="","",IFERROR(INDEX(PERSONAL!$C$2:$C$80,MATCH($B709,PERSONAL!$A$2:$A$80,0)),""))</f>
        <v/>
      </c>
      <c r="G709" s="52">
        <f>IF($A709="","",CHOOSE(WEEKDAY($A709,2),"LUNES","MARTES","MIÉRCOLES","JUEVES","VIERNES","SÁBADO","DOMINGO"))</f>
        <v/>
      </c>
      <c r="H709" s="34">
        <f>IF($A709="","",CHOOSE(MONTH($A709),"ENERO","FEBRERO","MARZO","ABRIL","MAYO","JUNIO","JULIO","AGOSTO","SEPTIEMBRE","OCTUBRE","NOVIEMBRE","DICIEMBRE"))</f>
        <v/>
      </c>
      <c r="I709" s="34">
        <f>IF($A709="","",IF(OR($G709="SÁBADO",$G709="DOMINGO"),"FIN","LV"))</f>
        <v/>
      </c>
      <c r="J709" s="34">
        <f>IF(OR($A709="",$B709=""),"",IF($L709&lt;&gt;"",UPPER($L709),IF($C709="","FALTA",IFERROR(IF($C709&gt;=$O709,"ROJO FUERTE",IF($C709&gt;=$N709,"ROJO",IF($C709&gt;=$M709,"AMARILLO","VERDE"))),"REVISAR"))))</f>
        <v/>
      </c>
      <c r="K709" s="36">
        <f>IF(OR($C709="",$D709=""),"",IF($D709&gt;=$C709,($D709-$C709)*24,(1-$C709+$D709)*24))</f>
        <v/>
      </c>
      <c r="L709" s="34" t="n"/>
      <c r="M709" s="53">
        <f t="array" ref="M709">IFERROR(INDEX(EXCEPCIONES_FECHA!$D$2:$D$201,MATCH(1,(EXCEPCIONES_FECHA!$A$2:$A$201=$A709)*(EXCEPCIONES_FECHA!$B$2:$B$201=$B709),0)),IFERROR(INDEX(EXCEPCIONES_FECHA!$D$2:$D$201,MATCH(1,(EXCEPCIONES_FECHA!$A$2:$A$201=$A709)*(EXCEPCIONES_FECHA!$B$2:$B$201=""),0)),IFERROR(INDEX(IF($I709="FIN",HISTORIAL_HORARIOS!$J$2:$J$201,HISTORIAL_HORARIOS!$F$2:$F$201),MATCH(1,(HISTORIAL_HORARIOS!$A$2:$A$201=$B709)*(HISTORIAL_HORARIOS!$C$2:$C$201&lt;=$A709)*(HISTORIAL_HORARIOS!$D$2:$D$201&gt;=$A709),0)),INDEX(IF($I709="FIN",PERSONAL!$J$2:$J$80,PERSONAL!$F$2:$F$80),MATCH($B709,PERSONAL!$A$2:$A$80,0)))))</f>
        <v/>
      </c>
      <c r="N709" s="53">
        <f t="array" ref="N709">IFERROR(INDEX(EXCEPCIONES_FECHA!$E$2:$E$201,MATCH(1,(EXCEPCIONES_FECHA!$A$2:$A$201=$A709)*(EXCEPCIONES_FECHA!$B$2:$B$201=$B709),0)),IFERROR(INDEX(EXCEPCIONES_FECHA!$E$2:$E$201,MATCH(1,(EXCEPCIONES_FECHA!$A$2:$A$201=$A709)*(EXCEPCIONES_FECHA!$B$2:$B$201=""),0)),IFERROR(INDEX(IF($I709="FIN",HISTORIAL_HORARIOS!$K$2:$K$201,HISTORIAL_HORARIOS!$G$2:$G$201),MATCH(1,(HISTORIAL_HORARIOS!$A$2:$A$201=$B709)*(HISTORIAL_HORARIOS!$C$2:$C$201&lt;=$A709)*(HISTORIAL_HORARIOS!$D$2:$D$201&gt;=$A709),0)),INDEX(IF($I709="FIN",PERSONAL!$K$2:$K$80,PERSONAL!$G$2:$G$80),MATCH($B709,PERSONAL!$A$2:$A$80,0)))))</f>
        <v/>
      </c>
      <c r="O709" s="53">
        <f t="array" ref="O709">IFERROR(INDEX(EXCEPCIONES_FECHA!$F$2:$F$201,MATCH(1,(EXCEPCIONES_FECHA!$A$2:$A$201=$A709)*(EXCEPCIONES_FECHA!$B$2:$B$201=$B709),0)),IFERROR(INDEX(EXCEPCIONES_FECHA!$F$2:$F$201,MATCH(1,(EXCEPCIONES_FECHA!$A$2:$A$201=$A709)*(EXCEPCIONES_FECHA!$B$2:$B$201=""),0)),IFERROR(INDEX(IF($I709="FIN",HISTORIAL_HORARIOS!$L$2:$L$201,HISTORIAL_HORARIOS!$H$2:$H$201),MATCH(1,(HISTORIAL_HORARIOS!$A$2:$A$201=$B709)*(HISTORIAL_HORARIOS!$C$2:$C$201&lt;=$A709)*(HISTORIAL_HORARIOS!$D$2:$D$201&gt;=$A709),0)),INDEX(IF($I709="FIN",PERSONAL!$L$2:$L$80,PERSONAL!$H$2:$H$80),MATCH($B709,PERSONAL!$A$2:$A$80,0)))))</f>
        <v/>
      </c>
    </row>
    <row r="710" ht="15" customHeight="1" s="58">
      <c r="A710" s="37" t="n"/>
      <c r="B710" s="38" t="n"/>
      <c r="C710" s="39" t="n"/>
      <c r="D710" s="39" t="n"/>
      <c r="E710" s="34">
        <f t="array" ref="E710">IF($B710="","",IFERROR(INDEX(PERSONAL!$B$2:$B$80,MATCH($B710,PERSONAL!$A$2:$A$80,0)),"NO EXISTE"))</f>
        <v/>
      </c>
      <c r="F710" s="52">
        <f t="array" ref="F710">IF($B710="","",IFERROR(INDEX(PERSONAL!$C$2:$C$80,MATCH($B710,PERSONAL!$A$2:$A$80,0)),""))</f>
        <v/>
      </c>
      <c r="G710" s="52">
        <f>IF($A710="","",CHOOSE(WEEKDAY($A710,2),"LUNES","MARTES","MIÉRCOLES","JUEVES","VIERNES","SÁBADO","DOMINGO"))</f>
        <v/>
      </c>
      <c r="H710" s="34">
        <f>IF($A710="","",CHOOSE(MONTH($A710),"ENERO","FEBRERO","MARZO","ABRIL","MAYO","JUNIO","JULIO","AGOSTO","SEPTIEMBRE","OCTUBRE","NOVIEMBRE","DICIEMBRE"))</f>
        <v/>
      </c>
      <c r="I710" s="34">
        <f>IF($A710="","",IF(OR($G710="SÁBADO",$G710="DOMINGO"),"FIN","LV"))</f>
        <v/>
      </c>
      <c r="J710" s="34">
        <f>IF(OR($A710="",$B710=""),"",IF($L710&lt;&gt;"",UPPER($L710),IF($C710="","FALTA",IFERROR(IF($C710&gt;=$O710,"ROJO FUERTE",IF($C710&gt;=$N710,"ROJO",IF($C710&gt;=$M710,"AMARILLO","VERDE"))),"REVISAR"))))</f>
        <v/>
      </c>
      <c r="K710" s="36">
        <f>IF(OR($C710="",$D710=""),"",IF($D710&gt;=$C710,($D710-$C710)*24,(1-$C710+$D710)*24))</f>
        <v/>
      </c>
      <c r="L710" s="34" t="n"/>
      <c r="M710" s="53">
        <f t="array" ref="M710">IFERROR(INDEX(EXCEPCIONES_FECHA!$D$2:$D$201,MATCH(1,(EXCEPCIONES_FECHA!$A$2:$A$201=$A710)*(EXCEPCIONES_FECHA!$B$2:$B$201=$B710),0)),IFERROR(INDEX(EXCEPCIONES_FECHA!$D$2:$D$201,MATCH(1,(EXCEPCIONES_FECHA!$A$2:$A$201=$A710)*(EXCEPCIONES_FECHA!$B$2:$B$201=""),0)),IFERROR(INDEX(IF($I710="FIN",HISTORIAL_HORARIOS!$J$2:$J$201,HISTORIAL_HORARIOS!$F$2:$F$201),MATCH(1,(HISTORIAL_HORARIOS!$A$2:$A$201=$B710)*(HISTORIAL_HORARIOS!$C$2:$C$201&lt;=$A710)*(HISTORIAL_HORARIOS!$D$2:$D$201&gt;=$A710),0)),INDEX(IF($I710="FIN",PERSONAL!$J$2:$J$80,PERSONAL!$F$2:$F$80),MATCH($B710,PERSONAL!$A$2:$A$80,0)))))</f>
        <v/>
      </c>
      <c r="N710" s="53">
        <f t="array" ref="N710">IFERROR(INDEX(EXCEPCIONES_FECHA!$E$2:$E$201,MATCH(1,(EXCEPCIONES_FECHA!$A$2:$A$201=$A710)*(EXCEPCIONES_FECHA!$B$2:$B$201=$B710),0)),IFERROR(INDEX(EXCEPCIONES_FECHA!$E$2:$E$201,MATCH(1,(EXCEPCIONES_FECHA!$A$2:$A$201=$A710)*(EXCEPCIONES_FECHA!$B$2:$B$201=""),0)),IFERROR(INDEX(IF($I710="FIN",HISTORIAL_HORARIOS!$K$2:$K$201,HISTORIAL_HORARIOS!$G$2:$G$201),MATCH(1,(HISTORIAL_HORARIOS!$A$2:$A$201=$B710)*(HISTORIAL_HORARIOS!$C$2:$C$201&lt;=$A710)*(HISTORIAL_HORARIOS!$D$2:$D$201&gt;=$A710),0)),INDEX(IF($I710="FIN",PERSONAL!$K$2:$K$80,PERSONAL!$G$2:$G$80),MATCH($B710,PERSONAL!$A$2:$A$80,0)))))</f>
        <v/>
      </c>
      <c r="O710" s="53">
        <f t="array" ref="O710">IFERROR(INDEX(EXCEPCIONES_FECHA!$F$2:$F$201,MATCH(1,(EXCEPCIONES_FECHA!$A$2:$A$201=$A710)*(EXCEPCIONES_FECHA!$B$2:$B$201=$B710),0)),IFERROR(INDEX(EXCEPCIONES_FECHA!$F$2:$F$201,MATCH(1,(EXCEPCIONES_FECHA!$A$2:$A$201=$A710)*(EXCEPCIONES_FECHA!$B$2:$B$201=""),0)),IFERROR(INDEX(IF($I710="FIN",HISTORIAL_HORARIOS!$L$2:$L$201,HISTORIAL_HORARIOS!$H$2:$H$201),MATCH(1,(HISTORIAL_HORARIOS!$A$2:$A$201=$B710)*(HISTORIAL_HORARIOS!$C$2:$C$201&lt;=$A710)*(HISTORIAL_HORARIOS!$D$2:$D$201&gt;=$A710),0)),INDEX(IF($I710="FIN",PERSONAL!$L$2:$L$80,PERSONAL!$H$2:$H$80),MATCH($B710,PERSONAL!$A$2:$A$80,0)))))</f>
        <v/>
      </c>
    </row>
    <row r="711" ht="15" customHeight="1" s="58">
      <c r="A711" s="37" t="n"/>
      <c r="B711" s="38" t="n"/>
      <c r="C711" s="39" t="n"/>
      <c r="D711" s="39" t="n"/>
      <c r="E711" s="34">
        <f t="array" ref="E711">IF($B711="","",IFERROR(INDEX(PERSONAL!$B$2:$B$80,MATCH($B711,PERSONAL!$A$2:$A$80,0)),"NO EXISTE"))</f>
        <v/>
      </c>
      <c r="F711" s="52">
        <f t="array" ref="F711">IF($B711="","",IFERROR(INDEX(PERSONAL!$C$2:$C$80,MATCH($B711,PERSONAL!$A$2:$A$80,0)),""))</f>
        <v/>
      </c>
      <c r="G711" s="52">
        <f>IF($A711="","",CHOOSE(WEEKDAY($A711,2),"LUNES","MARTES","MIÉRCOLES","JUEVES","VIERNES","SÁBADO","DOMINGO"))</f>
        <v/>
      </c>
      <c r="H711" s="34">
        <f>IF($A711="","",CHOOSE(MONTH($A711),"ENERO","FEBRERO","MARZO","ABRIL","MAYO","JUNIO","JULIO","AGOSTO","SEPTIEMBRE","OCTUBRE","NOVIEMBRE","DICIEMBRE"))</f>
        <v/>
      </c>
      <c r="I711" s="34">
        <f>IF($A711="","",IF(OR($G711="SÁBADO",$G711="DOMINGO"),"FIN","LV"))</f>
        <v/>
      </c>
      <c r="J711" s="34">
        <f>IF(OR($A711="",$B711=""),"",IF($L711&lt;&gt;"",UPPER($L711),IF($C711="","FALTA",IFERROR(IF($C711&gt;=$O711,"ROJO FUERTE",IF($C711&gt;=$N711,"ROJO",IF($C711&gt;=$M711,"AMARILLO","VERDE"))),"REVISAR"))))</f>
        <v/>
      </c>
      <c r="K711" s="36">
        <f>IF(OR($C711="",$D711=""),"",IF($D711&gt;=$C711,($D711-$C711)*24,(1-$C711+$D711)*24))</f>
        <v/>
      </c>
      <c r="L711" s="34" t="n"/>
      <c r="M711" s="53">
        <f t="array" ref="M711">IFERROR(INDEX(EXCEPCIONES_FECHA!$D$2:$D$201,MATCH(1,(EXCEPCIONES_FECHA!$A$2:$A$201=$A711)*(EXCEPCIONES_FECHA!$B$2:$B$201=$B711),0)),IFERROR(INDEX(EXCEPCIONES_FECHA!$D$2:$D$201,MATCH(1,(EXCEPCIONES_FECHA!$A$2:$A$201=$A711)*(EXCEPCIONES_FECHA!$B$2:$B$201=""),0)),IFERROR(INDEX(IF($I711="FIN",HISTORIAL_HORARIOS!$J$2:$J$201,HISTORIAL_HORARIOS!$F$2:$F$201),MATCH(1,(HISTORIAL_HORARIOS!$A$2:$A$201=$B711)*(HISTORIAL_HORARIOS!$C$2:$C$201&lt;=$A711)*(HISTORIAL_HORARIOS!$D$2:$D$201&gt;=$A711),0)),INDEX(IF($I711="FIN",PERSONAL!$J$2:$J$80,PERSONAL!$F$2:$F$80),MATCH($B711,PERSONAL!$A$2:$A$80,0)))))</f>
        <v/>
      </c>
      <c r="N711" s="53">
        <f t="array" ref="N711">IFERROR(INDEX(EXCEPCIONES_FECHA!$E$2:$E$201,MATCH(1,(EXCEPCIONES_FECHA!$A$2:$A$201=$A711)*(EXCEPCIONES_FECHA!$B$2:$B$201=$B711),0)),IFERROR(INDEX(EXCEPCIONES_FECHA!$E$2:$E$201,MATCH(1,(EXCEPCIONES_FECHA!$A$2:$A$201=$A711)*(EXCEPCIONES_FECHA!$B$2:$B$201=""),0)),IFERROR(INDEX(IF($I711="FIN",HISTORIAL_HORARIOS!$K$2:$K$201,HISTORIAL_HORARIOS!$G$2:$G$201),MATCH(1,(HISTORIAL_HORARIOS!$A$2:$A$201=$B711)*(HISTORIAL_HORARIOS!$C$2:$C$201&lt;=$A711)*(HISTORIAL_HORARIOS!$D$2:$D$201&gt;=$A711),0)),INDEX(IF($I711="FIN",PERSONAL!$K$2:$K$80,PERSONAL!$G$2:$G$80),MATCH($B711,PERSONAL!$A$2:$A$80,0)))))</f>
        <v/>
      </c>
      <c r="O711" s="53">
        <f t="array" ref="O711">IFERROR(INDEX(EXCEPCIONES_FECHA!$F$2:$F$201,MATCH(1,(EXCEPCIONES_FECHA!$A$2:$A$201=$A711)*(EXCEPCIONES_FECHA!$B$2:$B$201=$B711),0)),IFERROR(INDEX(EXCEPCIONES_FECHA!$F$2:$F$201,MATCH(1,(EXCEPCIONES_FECHA!$A$2:$A$201=$A711)*(EXCEPCIONES_FECHA!$B$2:$B$201=""),0)),IFERROR(INDEX(IF($I711="FIN",HISTORIAL_HORARIOS!$L$2:$L$201,HISTORIAL_HORARIOS!$H$2:$H$201),MATCH(1,(HISTORIAL_HORARIOS!$A$2:$A$201=$B711)*(HISTORIAL_HORARIOS!$C$2:$C$201&lt;=$A711)*(HISTORIAL_HORARIOS!$D$2:$D$201&gt;=$A711),0)),INDEX(IF($I711="FIN",PERSONAL!$L$2:$L$80,PERSONAL!$H$2:$H$80),MATCH($B711,PERSONAL!$A$2:$A$80,0)))))</f>
        <v/>
      </c>
    </row>
    <row r="712" ht="15" customHeight="1" s="58">
      <c r="A712" s="37" t="n"/>
      <c r="B712" s="38" t="n"/>
      <c r="C712" s="39" t="n"/>
      <c r="D712" s="39" t="n"/>
      <c r="E712" s="34">
        <f t="array" ref="E712">IF($B712="","",IFERROR(INDEX(PERSONAL!$B$2:$B$80,MATCH($B712,PERSONAL!$A$2:$A$80,0)),"NO EXISTE"))</f>
        <v/>
      </c>
      <c r="F712" s="52">
        <f t="array" ref="F712">IF($B712="","",IFERROR(INDEX(PERSONAL!$C$2:$C$80,MATCH($B712,PERSONAL!$A$2:$A$80,0)),""))</f>
        <v/>
      </c>
      <c r="G712" s="52">
        <f>IF($A712="","",CHOOSE(WEEKDAY($A712,2),"LUNES","MARTES","MIÉRCOLES","JUEVES","VIERNES","SÁBADO","DOMINGO"))</f>
        <v/>
      </c>
      <c r="H712" s="34">
        <f>IF($A712="","",CHOOSE(MONTH($A712),"ENERO","FEBRERO","MARZO","ABRIL","MAYO","JUNIO","JULIO","AGOSTO","SEPTIEMBRE","OCTUBRE","NOVIEMBRE","DICIEMBRE"))</f>
        <v/>
      </c>
      <c r="I712" s="34">
        <f>IF($A712="","",IF(OR($G712="SÁBADO",$G712="DOMINGO"),"FIN","LV"))</f>
        <v/>
      </c>
      <c r="J712" s="34">
        <f>IF(OR($A712="",$B712=""),"",IF($L712&lt;&gt;"",UPPER($L712),IF($C712="","FALTA",IFERROR(IF($C712&gt;=$O712,"ROJO FUERTE",IF($C712&gt;=$N712,"ROJO",IF($C712&gt;=$M712,"AMARILLO","VERDE"))),"REVISAR"))))</f>
        <v/>
      </c>
      <c r="K712" s="36">
        <f>IF(OR($C712="",$D712=""),"",IF($D712&gt;=$C712,($D712-$C712)*24,(1-$C712+$D712)*24))</f>
        <v/>
      </c>
      <c r="L712" s="34" t="n"/>
      <c r="M712" s="53">
        <f t="array" ref="M712">IFERROR(INDEX(EXCEPCIONES_FECHA!$D$2:$D$201,MATCH(1,(EXCEPCIONES_FECHA!$A$2:$A$201=$A712)*(EXCEPCIONES_FECHA!$B$2:$B$201=$B712),0)),IFERROR(INDEX(EXCEPCIONES_FECHA!$D$2:$D$201,MATCH(1,(EXCEPCIONES_FECHA!$A$2:$A$201=$A712)*(EXCEPCIONES_FECHA!$B$2:$B$201=""),0)),IFERROR(INDEX(IF($I712="FIN",HISTORIAL_HORARIOS!$J$2:$J$201,HISTORIAL_HORARIOS!$F$2:$F$201),MATCH(1,(HISTORIAL_HORARIOS!$A$2:$A$201=$B712)*(HISTORIAL_HORARIOS!$C$2:$C$201&lt;=$A712)*(HISTORIAL_HORARIOS!$D$2:$D$201&gt;=$A712),0)),INDEX(IF($I712="FIN",PERSONAL!$J$2:$J$80,PERSONAL!$F$2:$F$80),MATCH($B712,PERSONAL!$A$2:$A$80,0)))))</f>
        <v/>
      </c>
      <c r="N712" s="53">
        <f t="array" ref="N712">IFERROR(INDEX(EXCEPCIONES_FECHA!$E$2:$E$201,MATCH(1,(EXCEPCIONES_FECHA!$A$2:$A$201=$A712)*(EXCEPCIONES_FECHA!$B$2:$B$201=$B712),0)),IFERROR(INDEX(EXCEPCIONES_FECHA!$E$2:$E$201,MATCH(1,(EXCEPCIONES_FECHA!$A$2:$A$201=$A712)*(EXCEPCIONES_FECHA!$B$2:$B$201=""),0)),IFERROR(INDEX(IF($I712="FIN",HISTORIAL_HORARIOS!$K$2:$K$201,HISTORIAL_HORARIOS!$G$2:$G$201),MATCH(1,(HISTORIAL_HORARIOS!$A$2:$A$201=$B712)*(HISTORIAL_HORARIOS!$C$2:$C$201&lt;=$A712)*(HISTORIAL_HORARIOS!$D$2:$D$201&gt;=$A712),0)),INDEX(IF($I712="FIN",PERSONAL!$K$2:$K$80,PERSONAL!$G$2:$G$80),MATCH($B712,PERSONAL!$A$2:$A$80,0)))))</f>
        <v/>
      </c>
      <c r="O712" s="53">
        <f t="array" ref="O712">IFERROR(INDEX(EXCEPCIONES_FECHA!$F$2:$F$201,MATCH(1,(EXCEPCIONES_FECHA!$A$2:$A$201=$A712)*(EXCEPCIONES_FECHA!$B$2:$B$201=$B712),0)),IFERROR(INDEX(EXCEPCIONES_FECHA!$F$2:$F$201,MATCH(1,(EXCEPCIONES_FECHA!$A$2:$A$201=$A712)*(EXCEPCIONES_FECHA!$B$2:$B$201=""),0)),IFERROR(INDEX(IF($I712="FIN",HISTORIAL_HORARIOS!$L$2:$L$201,HISTORIAL_HORARIOS!$H$2:$H$201),MATCH(1,(HISTORIAL_HORARIOS!$A$2:$A$201=$B712)*(HISTORIAL_HORARIOS!$C$2:$C$201&lt;=$A712)*(HISTORIAL_HORARIOS!$D$2:$D$201&gt;=$A712),0)),INDEX(IF($I712="FIN",PERSONAL!$L$2:$L$80,PERSONAL!$H$2:$H$80),MATCH($B712,PERSONAL!$A$2:$A$80,0)))))</f>
        <v/>
      </c>
    </row>
    <row r="713" ht="15" customHeight="1" s="58">
      <c r="A713" s="37" t="n"/>
      <c r="B713" s="38" t="n"/>
      <c r="C713" s="39" t="n"/>
      <c r="D713" s="39" t="n"/>
      <c r="E713" s="34">
        <f t="array" ref="E713">IF($B713="","",IFERROR(INDEX(PERSONAL!$B$2:$B$80,MATCH($B713,PERSONAL!$A$2:$A$80,0)),"NO EXISTE"))</f>
        <v/>
      </c>
      <c r="F713" s="52">
        <f t="array" ref="F713">IF($B713="","",IFERROR(INDEX(PERSONAL!$C$2:$C$80,MATCH($B713,PERSONAL!$A$2:$A$80,0)),""))</f>
        <v/>
      </c>
      <c r="G713" s="52">
        <f>IF($A713="","",CHOOSE(WEEKDAY($A713,2),"LUNES","MARTES","MIÉRCOLES","JUEVES","VIERNES","SÁBADO","DOMINGO"))</f>
        <v/>
      </c>
      <c r="H713" s="34">
        <f>IF($A713="","",CHOOSE(MONTH($A713),"ENERO","FEBRERO","MARZO","ABRIL","MAYO","JUNIO","JULIO","AGOSTO","SEPTIEMBRE","OCTUBRE","NOVIEMBRE","DICIEMBRE"))</f>
        <v/>
      </c>
      <c r="I713" s="34">
        <f>IF($A713="","",IF(OR($G713="SÁBADO",$G713="DOMINGO"),"FIN","LV"))</f>
        <v/>
      </c>
      <c r="J713" s="34">
        <f>IF(OR($A713="",$B713=""),"",IF($L713&lt;&gt;"",UPPER($L713),IF($C713="","FALTA",IFERROR(IF($C713&gt;=$O713,"ROJO FUERTE",IF($C713&gt;=$N713,"ROJO",IF($C713&gt;=$M713,"AMARILLO","VERDE"))),"REVISAR"))))</f>
        <v/>
      </c>
      <c r="K713" s="36">
        <f>IF(OR($C713="",$D713=""),"",IF($D713&gt;=$C713,($D713-$C713)*24,(1-$C713+$D713)*24))</f>
        <v/>
      </c>
      <c r="L713" s="34" t="n"/>
      <c r="M713" s="53">
        <f t="array" ref="M713">IFERROR(INDEX(EXCEPCIONES_FECHA!$D$2:$D$201,MATCH(1,(EXCEPCIONES_FECHA!$A$2:$A$201=$A713)*(EXCEPCIONES_FECHA!$B$2:$B$201=$B713),0)),IFERROR(INDEX(EXCEPCIONES_FECHA!$D$2:$D$201,MATCH(1,(EXCEPCIONES_FECHA!$A$2:$A$201=$A713)*(EXCEPCIONES_FECHA!$B$2:$B$201=""),0)),IFERROR(INDEX(IF($I713="FIN",HISTORIAL_HORARIOS!$J$2:$J$201,HISTORIAL_HORARIOS!$F$2:$F$201),MATCH(1,(HISTORIAL_HORARIOS!$A$2:$A$201=$B713)*(HISTORIAL_HORARIOS!$C$2:$C$201&lt;=$A713)*(HISTORIAL_HORARIOS!$D$2:$D$201&gt;=$A713),0)),INDEX(IF($I713="FIN",PERSONAL!$J$2:$J$80,PERSONAL!$F$2:$F$80),MATCH($B713,PERSONAL!$A$2:$A$80,0)))))</f>
        <v/>
      </c>
      <c r="N713" s="53">
        <f t="array" ref="N713">IFERROR(INDEX(EXCEPCIONES_FECHA!$E$2:$E$201,MATCH(1,(EXCEPCIONES_FECHA!$A$2:$A$201=$A713)*(EXCEPCIONES_FECHA!$B$2:$B$201=$B713),0)),IFERROR(INDEX(EXCEPCIONES_FECHA!$E$2:$E$201,MATCH(1,(EXCEPCIONES_FECHA!$A$2:$A$201=$A713)*(EXCEPCIONES_FECHA!$B$2:$B$201=""),0)),IFERROR(INDEX(IF($I713="FIN",HISTORIAL_HORARIOS!$K$2:$K$201,HISTORIAL_HORARIOS!$G$2:$G$201),MATCH(1,(HISTORIAL_HORARIOS!$A$2:$A$201=$B713)*(HISTORIAL_HORARIOS!$C$2:$C$201&lt;=$A713)*(HISTORIAL_HORARIOS!$D$2:$D$201&gt;=$A713),0)),INDEX(IF($I713="FIN",PERSONAL!$K$2:$K$80,PERSONAL!$G$2:$G$80),MATCH($B713,PERSONAL!$A$2:$A$80,0)))))</f>
        <v/>
      </c>
      <c r="O713" s="53">
        <f t="array" ref="O713">IFERROR(INDEX(EXCEPCIONES_FECHA!$F$2:$F$201,MATCH(1,(EXCEPCIONES_FECHA!$A$2:$A$201=$A713)*(EXCEPCIONES_FECHA!$B$2:$B$201=$B713),0)),IFERROR(INDEX(EXCEPCIONES_FECHA!$F$2:$F$201,MATCH(1,(EXCEPCIONES_FECHA!$A$2:$A$201=$A713)*(EXCEPCIONES_FECHA!$B$2:$B$201=""),0)),IFERROR(INDEX(IF($I713="FIN",HISTORIAL_HORARIOS!$L$2:$L$201,HISTORIAL_HORARIOS!$H$2:$H$201),MATCH(1,(HISTORIAL_HORARIOS!$A$2:$A$201=$B713)*(HISTORIAL_HORARIOS!$C$2:$C$201&lt;=$A713)*(HISTORIAL_HORARIOS!$D$2:$D$201&gt;=$A713),0)),INDEX(IF($I713="FIN",PERSONAL!$L$2:$L$80,PERSONAL!$H$2:$H$80),MATCH($B713,PERSONAL!$A$2:$A$80,0)))))</f>
        <v/>
      </c>
    </row>
    <row r="714" ht="15" customHeight="1" s="58">
      <c r="A714" s="37" t="n"/>
      <c r="B714" s="38" t="n"/>
      <c r="C714" s="39" t="n"/>
      <c r="D714" s="39" t="n"/>
      <c r="E714" s="34">
        <f t="array" ref="E714">IF($B714="","",IFERROR(INDEX(PERSONAL!$B$2:$B$80,MATCH($B714,PERSONAL!$A$2:$A$80,0)),"NO EXISTE"))</f>
        <v/>
      </c>
      <c r="F714" s="52">
        <f t="array" ref="F714">IF($B714="","",IFERROR(INDEX(PERSONAL!$C$2:$C$80,MATCH($B714,PERSONAL!$A$2:$A$80,0)),""))</f>
        <v/>
      </c>
      <c r="G714" s="52">
        <f>IF($A714="","",CHOOSE(WEEKDAY($A714,2),"LUNES","MARTES","MIÉRCOLES","JUEVES","VIERNES","SÁBADO","DOMINGO"))</f>
        <v/>
      </c>
      <c r="H714" s="34">
        <f>IF($A714="","",CHOOSE(MONTH($A714),"ENERO","FEBRERO","MARZO","ABRIL","MAYO","JUNIO","JULIO","AGOSTO","SEPTIEMBRE","OCTUBRE","NOVIEMBRE","DICIEMBRE"))</f>
        <v/>
      </c>
      <c r="I714" s="34">
        <f>IF($A714="","",IF(OR($G714="SÁBADO",$G714="DOMINGO"),"FIN","LV"))</f>
        <v/>
      </c>
      <c r="J714" s="34">
        <f>IF(OR($A714="",$B714=""),"",IF($L714&lt;&gt;"",UPPER($L714),IF($C714="","FALTA",IFERROR(IF($C714&gt;=$O714,"ROJO FUERTE",IF($C714&gt;=$N714,"ROJO",IF($C714&gt;=$M714,"AMARILLO","VERDE"))),"REVISAR"))))</f>
        <v/>
      </c>
      <c r="K714" s="36">
        <f>IF(OR($C714="",$D714=""),"",IF($D714&gt;=$C714,($D714-$C714)*24,(1-$C714+$D714)*24))</f>
        <v/>
      </c>
      <c r="L714" s="34" t="n"/>
      <c r="M714" s="53">
        <f t="array" ref="M714">IFERROR(INDEX(EXCEPCIONES_FECHA!$D$2:$D$201,MATCH(1,(EXCEPCIONES_FECHA!$A$2:$A$201=$A714)*(EXCEPCIONES_FECHA!$B$2:$B$201=$B714),0)),IFERROR(INDEX(EXCEPCIONES_FECHA!$D$2:$D$201,MATCH(1,(EXCEPCIONES_FECHA!$A$2:$A$201=$A714)*(EXCEPCIONES_FECHA!$B$2:$B$201=""),0)),IFERROR(INDEX(IF($I714="FIN",HISTORIAL_HORARIOS!$J$2:$J$201,HISTORIAL_HORARIOS!$F$2:$F$201),MATCH(1,(HISTORIAL_HORARIOS!$A$2:$A$201=$B714)*(HISTORIAL_HORARIOS!$C$2:$C$201&lt;=$A714)*(HISTORIAL_HORARIOS!$D$2:$D$201&gt;=$A714),0)),INDEX(IF($I714="FIN",PERSONAL!$J$2:$J$80,PERSONAL!$F$2:$F$80),MATCH($B714,PERSONAL!$A$2:$A$80,0)))))</f>
        <v/>
      </c>
      <c r="N714" s="53">
        <f t="array" ref="N714">IFERROR(INDEX(EXCEPCIONES_FECHA!$E$2:$E$201,MATCH(1,(EXCEPCIONES_FECHA!$A$2:$A$201=$A714)*(EXCEPCIONES_FECHA!$B$2:$B$201=$B714),0)),IFERROR(INDEX(EXCEPCIONES_FECHA!$E$2:$E$201,MATCH(1,(EXCEPCIONES_FECHA!$A$2:$A$201=$A714)*(EXCEPCIONES_FECHA!$B$2:$B$201=""),0)),IFERROR(INDEX(IF($I714="FIN",HISTORIAL_HORARIOS!$K$2:$K$201,HISTORIAL_HORARIOS!$G$2:$G$201),MATCH(1,(HISTORIAL_HORARIOS!$A$2:$A$201=$B714)*(HISTORIAL_HORARIOS!$C$2:$C$201&lt;=$A714)*(HISTORIAL_HORARIOS!$D$2:$D$201&gt;=$A714),0)),INDEX(IF($I714="FIN",PERSONAL!$K$2:$K$80,PERSONAL!$G$2:$G$80),MATCH($B714,PERSONAL!$A$2:$A$80,0)))))</f>
        <v/>
      </c>
      <c r="O714" s="53">
        <f t="array" ref="O714">IFERROR(INDEX(EXCEPCIONES_FECHA!$F$2:$F$201,MATCH(1,(EXCEPCIONES_FECHA!$A$2:$A$201=$A714)*(EXCEPCIONES_FECHA!$B$2:$B$201=$B714),0)),IFERROR(INDEX(EXCEPCIONES_FECHA!$F$2:$F$201,MATCH(1,(EXCEPCIONES_FECHA!$A$2:$A$201=$A714)*(EXCEPCIONES_FECHA!$B$2:$B$201=""),0)),IFERROR(INDEX(IF($I714="FIN",HISTORIAL_HORARIOS!$L$2:$L$201,HISTORIAL_HORARIOS!$H$2:$H$201),MATCH(1,(HISTORIAL_HORARIOS!$A$2:$A$201=$B714)*(HISTORIAL_HORARIOS!$C$2:$C$201&lt;=$A714)*(HISTORIAL_HORARIOS!$D$2:$D$201&gt;=$A714),0)),INDEX(IF($I714="FIN",PERSONAL!$L$2:$L$80,PERSONAL!$H$2:$H$80),MATCH($B714,PERSONAL!$A$2:$A$80,0)))))</f>
        <v/>
      </c>
    </row>
    <row r="715" ht="15" customHeight="1" s="58">
      <c r="A715" s="37" t="n"/>
      <c r="B715" s="38" t="n"/>
      <c r="C715" s="39" t="n"/>
      <c r="D715" s="39" t="n"/>
      <c r="E715" s="34">
        <f t="array" ref="E715">IF($B715="","",IFERROR(INDEX(PERSONAL!$B$2:$B$80,MATCH($B715,PERSONAL!$A$2:$A$80,0)),"NO EXISTE"))</f>
        <v/>
      </c>
      <c r="F715" s="52">
        <f t="array" ref="F715">IF($B715="","",IFERROR(INDEX(PERSONAL!$C$2:$C$80,MATCH($B715,PERSONAL!$A$2:$A$80,0)),""))</f>
        <v/>
      </c>
      <c r="G715" s="52">
        <f>IF($A715="","",CHOOSE(WEEKDAY($A715,2),"LUNES","MARTES","MIÉRCOLES","JUEVES","VIERNES","SÁBADO","DOMINGO"))</f>
        <v/>
      </c>
      <c r="H715" s="34">
        <f>IF($A715="","",CHOOSE(MONTH($A715),"ENERO","FEBRERO","MARZO","ABRIL","MAYO","JUNIO","JULIO","AGOSTO","SEPTIEMBRE","OCTUBRE","NOVIEMBRE","DICIEMBRE"))</f>
        <v/>
      </c>
      <c r="I715" s="34">
        <f>IF($A715="","",IF(OR($G715="SÁBADO",$G715="DOMINGO"),"FIN","LV"))</f>
        <v/>
      </c>
      <c r="J715" s="34">
        <f>IF(OR($A715="",$B715=""),"",IF($L715&lt;&gt;"",UPPER($L715),IF($C715="","FALTA",IFERROR(IF($C715&gt;=$O715,"ROJO FUERTE",IF($C715&gt;=$N715,"ROJO",IF($C715&gt;=$M715,"AMARILLO","VERDE"))),"REVISAR"))))</f>
        <v/>
      </c>
      <c r="K715" s="36">
        <f>IF(OR($C715="",$D715=""),"",IF($D715&gt;=$C715,($D715-$C715)*24,(1-$C715+$D715)*24))</f>
        <v/>
      </c>
      <c r="L715" s="34" t="n"/>
      <c r="M715" s="53">
        <f t="array" ref="M715">IFERROR(INDEX(EXCEPCIONES_FECHA!$D$2:$D$201,MATCH(1,(EXCEPCIONES_FECHA!$A$2:$A$201=$A715)*(EXCEPCIONES_FECHA!$B$2:$B$201=$B715),0)),IFERROR(INDEX(EXCEPCIONES_FECHA!$D$2:$D$201,MATCH(1,(EXCEPCIONES_FECHA!$A$2:$A$201=$A715)*(EXCEPCIONES_FECHA!$B$2:$B$201=""),0)),IFERROR(INDEX(IF($I715="FIN",HISTORIAL_HORARIOS!$J$2:$J$201,HISTORIAL_HORARIOS!$F$2:$F$201),MATCH(1,(HISTORIAL_HORARIOS!$A$2:$A$201=$B715)*(HISTORIAL_HORARIOS!$C$2:$C$201&lt;=$A715)*(HISTORIAL_HORARIOS!$D$2:$D$201&gt;=$A715),0)),INDEX(IF($I715="FIN",PERSONAL!$J$2:$J$80,PERSONAL!$F$2:$F$80),MATCH($B715,PERSONAL!$A$2:$A$80,0)))))</f>
        <v/>
      </c>
      <c r="N715" s="53">
        <f t="array" ref="N715">IFERROR(INDEX(EXCEPCIONES_FECHA!$E$2:$E$201,MATCH(1,(EXCEPCIONES_FECHA!$A$2:$A$201=$A715)*(EXCEPCIONES_FECHA!$B$2:$B$201=$B715),0)),IFERROR(INDEX(EXCEPCIONES_FECHA!$E$2:$E$201,MATCH(1,(EXCEPCIONES_FECHA!$A$2:$A$201=$A715)*(EXCEPCIONES_FECHA!$B$2:$B$201=""),0)),IFERROR(INDEX(IF($I715="FIN",HISTORIAL_HORARIOS!$K$2:$K$201,HISTORIAL_HORARIOS!$G$2:$G$201),MATCH(1,(HISTORIAL_HORARIOS!$A$2:$A$201=$B715)*(HISTORIAL_HORARIOS!$C$2:$C$201&lt;=$A715)*(HISTORIAL_HORARIOS!$D$2:$D$201&gt;=$A715),0)),INDEX(IF($I715="FIN",PERSONAL!$K$2:$K$80,PERSONAL!$G$2:$G$80),MATCH($B715,PERSONAL!$A$2:$A$80,0)))))</f>
        <v/>
      </c>
      <c r="O715" s="53">
        <f t="array" ref="O715">IFERROR(INDEX(EXCEPCIONES_FECHA!$F$2:$F$201,MATCH(1,(EXCEPCIONES_FECHA!$A$2:$A$201=$A715)*(EXCEPCIONES_FECHA!$B$2:$B$201=$B715),0)),IFERROR(INDEX(EXCEPCIONES_FECHA!$F$2:$F$201,MATCH(1,(EXCEPCIONES_FECHA!$A$2:$A$201=$A715)*(EXCEPCIONES_FECHA!$B$2:$B$201=""),0)),IFERROR(INDEX(IF($I715="FIN",HISTORIAL_HORARIOS!$L$2:$L$201,HISTORIAL_HORARIOS!$H$2:$H$201),MATCH(1,(HISTORIAL_HORARIOS!$A$2:$A$201=$B715)*(HISTORIAL_HORARIOS!$C$2:$C$201&lt;=$A715)*(HISTORIAL_HORARIOS!$D$2:$D$201&gt;=$A715),0)),INDEX(IF($I715="FIN",PERSONAL!$L$2:$L$80,PERSONAL!$H$2:$H$80),MATCH($B715,PERSONAL!$A$2:$A$80,0)))))</f>
        <v/>
      </c>
    </row>
    <row r="716" ht="15" customHeight="1" s="58">
      <c r="A716" s="37" t="n"/>
      <c r="B716" s="38" t="n"/>
      <c r="C716" s="39" t="n"/>
      <c r="D716" s="39" t="n"/>
      <c r="E716" s="34">
        <f t="array" ref="E716">IF($B716="","",IFERROR(INDEX(PERSONAL!$B$2:$B$80,MATCH($B716,PERSONAL!$A$2:$A$80,0)),"NO EXISTE"))</f>
        <v/>
      </c>
      <c r="F716" s="52">
        <f t="array" ref="F716">IF($B716="","",IFERROR(INDEX(PERSONAL!$C$2:$C$80,MATCH($B716,PERSONAL!$A$2:$A$80,0)),""))</f>
        <v/>
      </c>
      <c r="G716" s="52">
        <f>IF($A716="","",CHOOSE(WEEKDAY($A716,2),"LUNES","MARTES","MIÉRCOLES","JUEVES","VIERNES","SÁBADO","DOMINGO"))</f>
        <v/>
      </c>
      <c r="H716" s="34">
        <f>IF($A716="","",CHOOSE(MONTH($A716),"ENERO","FEBRERO","MARZO","ABRIL","MAYO","JUNIO","JULIO","AGOSTO","SEPTIEMBRE","OCTUBRE","NOVIEMBRE","DICIEMBRE"))</f>
        <v/>
      </c>
      <c r="I716" s="34">
        <f>IF($A716="","",IF(OR($G716="SÁBADO",$G716="DOMINGO"),"FIN","LV"))</f>
        <v/>
      </c>
      <c r="J716" s="34">
        <f>IF(OR($A716="",$B716=""),"",IF($L716&lt;&gt;"",UPPER($L716),IF($C716="","FALTA",IFERROR(IF($C716&gt;=$O716,"ROJO FUERTE",IF($C716&gt;=$N716,"ROJO",IF($C716&gt;=$M716,"AMARILLO","VERDE"))),"REVISAR"))))</f>
        <v/>
      </c>
      <c r="K716" s="36">
        <f>IF(OR($C716="",$D716=""),"",IF($D716&gt;=$C716,($D716-$C716)*24,(1-$C716+$D716)*24))</f>
        <v/>
      </c>
      <c r="L716" s="34" t="n"/>
      <c r="M716" s="53">
        <f t="array" ref="M716">IFERROR(INDEX(EXCEPCIONES_FECHA!$D$2:$D$201,MATCH(1,(EXCEPCIONES_FECHA!$A$2:$A$201=$A716)*(EXCEPCIONES_FECHA!$B$2:$B$201=$B716),0)),IFERROR(INDEX(EXCEPCIONES_FECHA!$D$2:$D$201,MATCH(1,(EXCEPCIONES_FECHA!$A$2:$A$201=$A716)*(EXCEPCIONES_FECHA!$B$2:$B$201=""),0)),IFERROR(INDEX(IF($I716="FIN",HISTORIAL_HORARIOS!$J$2:$J$201,HISTORIAL_HORARIOS!$F$2:$F$201),MATCH(1,(HISTORIAL_HORARIOS!$A$2:$A$201=$B716)*(HISTORIAL_HORARIOS!$C$2:$C$201&lt;=$A716)*(HISTORIAL_HORARIOS!$D$2:$D$201&gt;=$A716),0)),INDEX(IF($I716="FIN",PERSONAL!$J$2:$J$80,PERSONAL!$F$2:$F$80),MATCH($B716,PERSONAL!$A$2:$A$80,0)))))</f>
        <v/>
      </c>
      <c r="N716" s="53">
        <f t="array" ref="N716">IFERROR(INDEX(EXCEPCIONES_FECHA!$E$2:$E$201,MATCH(1,(EXCEPCIONES_FECHA!$A$2:$A$201=$A716)*(EXCEPCIONES_FECHA!$B$2:$B$201=$B716),0)),IFERROR(INDEX(EXCEPCIONES_FECHA!$E$2:$E$201,MATCH(1,(EXCEPCIONES_FECHA!$A$2:$A$201=$A716)*(EXCEPCIONES_FECHA!$B$2:$B$201=""),0)),IFERROR(INDEX(IF($I716="FIN",HISTORIAL_HORARIOS!$K$2:$K$201,HISTORIAL_HORARIOS!$G$2:$G$201),MATCH(1,(HISTORIAL_HORARIOS!$A$2:$A$201=$B716)*(HISTORIAL_HORARIOS!$C$2:$C$201&lt;=$A716)*(HISTORIAL_HORARIOS!$D$2:$D$201&gt;=$A716),0)),INDEX(IF($I716="FIN",PERSONAL!$K$2:$K$80,PERSONAL!$G$2:$G$80),MATCH($B716,PERSONAL!$A$2:$A$80,0)))))</f>
        <v/>
      </c>
      <c r="O716" s="53">
        <f t="array" ref="O716">IFERROR(INDEX(EXCEPCIONES_FECHA!$F$2:$F$201,MATCH(1,(EXCEPCIONES_FECHA!$A$2:$A$201=$A716)*(EXCEPCIONES_FECHA!$B$2:$B$201=$B716),0)),IFERROR(INDEX(EXCEPCIONES_FECHA!$F$2:$F$201,MATCH(1,(EXCEPCIONES_FECHA!$A$2:$A$201=$A716)*(EXCEPCIONES_FECHA!$B$2:$B$201=""),0)),IFERROR(INDEX(IF($I716="FIN",HISTORIAL_HORARIOS!$L$2:$L$201,HISTORIAL_HORARIOS!$H$2:$H$201),MATCH(1,(HISTORIAL_HORARIOS!$A$2:$A$201=$B716)*(HISTORIAL_HORARIOS!$C$2:$C$201&lt;=$A716)*(HISTORIAL_HORARIOS!$D$2:$D$201&gt;=$A716),0)),INDEX(IF($I716="FIN",PERSONAL!$L$2:$L$80,PERSONAL!$H$2:$H$80),MATCH($B716,PERSONAL!$A$2:$A$80,0)))))</f>
        <v/>
      </c>
    </row>
    <row r="717" ht="15" customHeight="1" s="58">
      <c r="A717" s="37" t="n"/>
      <c r="B717" s="38" t="n"/>
      <c r="C717" s="39" t="n"/>
      <c r="D717" s="39" t="n"/>
      <c r="E717" s="34">
        <f t="array" ref="E717">IF($B717="","",IFERROR(INDEX(PERSONAL!$B$2:$B$80,MATCH($B717,PERSONAL!$A$2:$A$80,0)),"NO EXISTE"))</f>
        <v/>
      </c>
      <c r="F717" s="52">
        <f t="array" ref="F717">IF($B717="","",IFERROR(INDEX(PERSONAL!$C$2:$C$80,MATCH($B717,PERSONAL!$A$2:$A$80,0)),""))</f>
        <v/>
      </c>
      <c r="G717" s="52">
        <f>IF($A717="","",CHOOSE(WEEKDAY($A717,2),"LUNES","MARTES","MIÉRCOLES","JUEVES","VIERNES","SÁBADO","DOMINGO"))</f>
        <v/>
      </c>
      <c r="H717" s="34">
        <f>IF($A717="","",CHOOSE(MONTH($A717),"ENERO","FEBRERO","MARZO","ABRIL","MAYO","JUNIO","JULIO","AGOSTO","SEPTIEMBRE","OCTUBRE","NOVIEMBRE","DICIEMBRE"))</f>
        <v/>
      </c>
      <c r="I717" s="34">
        <f>IF($A717="","",IF(OR($G717="SÁBADO",$G717="DOMINGO"),"FIN","LV"))</f>
        <v/>
      </c>
      <c r="J717" s="34">
        <f>IF(OR($A717="",$B717=""),"",IF($L717&lt;&gt;"",UPPER($L717),IF($C717="","FALTA",IFERROR(IF($C717&gt;=$O717,"ROJO FUERTE",IF($C717&gt;=$N717,"ROJO",IF($C717&gt;=$M717,"AMARILLO","VERDE"))),"REVISAR"))))</f>
        <v/>
      </c>
      <c r="K717" s="36">
        <f>IF(OR($C717="",$D717=""),"",IF($D717&gt;=$C717,($D717-$C717)*24,(1-$C717+$D717)*24))</f>
        <v/>
      </c>
      <c r="L717" s="34" t="n"/>
      <c r="M717" s="53">
        <f t="array" ref="M717">IFERROR(INDEX(EXCEPCIONES_FECHA!$D$2:$D$201,MATCH(1,(EXCEPCIONES_FECHA!$A$2:$A$201=$A717)*(EXCEPCIONES_FECHA!$B$2:$B$201=$B717),0)),IFERROR(INDEX(EXCEPCIONES_FECHA!$D$2:$D$201,MATCH(1,(EXCEPCIONES_FECHA!$A$2:$A$201=$A717)*(EXCEPCIONES_FECHA!$B$2:$B$201=""),0)),IFERROR(INDEX(IF($I717="FIN",HISTORIAL_HORARIOS!$J$2:$J$201,HISTORIAL_HORARIOS!$F$2:$F$201),MATCH(1,(HISTORIAL_HORARIOS!$A$2:$A$201=$B717)*(HISTORIAL_HORARIOS!$C$2:$C$201&lt;=$A717)*(HISTORIAL_HORARIOS!$D$2:$D$201&gt;=$A717),0)),INDEX(IF($I717="FIN",PERSONAL!$J$2:$J$80,PERSONAL!$F$2:$F$80),MATCH($B717,PERSONAL!$A$2:$A$80,0)))))</f>
        <v/>
      </c>
      <c r="N717" s="53">
        <f t="array" ref="N717">IFERROR(INDEX(EXCEPCIONES_FECHA!$E$2:$E$201,MATCH(1,(EXCEPCIONES_FECHA!$A$2:$A$201=$A717)*(EXCEPCIONES_FECHA!$B$2:$B$201=$B717),0)),IFERROR(INDEX(EXCEPCIONES_FECHA!$E$2:$E$201,MATCH(1,(EXCEPCIONES_FECHA!$A$2:$A$201=$A717)*(EXCEPCIONES_FECHA!$B$2:$B$201=""),0)),IFERROR(INDEX(IF($I717="FIN",HISTORIAL_HORARIOS!$K$2:$K$201,HISTORIAL_HORARIOS!$G$2:$G$201),MATCH(1,(HISTORIAL_HORARIOS!$A$2:$A$201=$B717)*(HISTORIAL_HORARIOS!$C$2:$C$201&lt;=$A717)*(HISTORIAL_HORARIOS!$D$2:$D$201&gt;=$A717),0)),INDEX(IF($I717="FIN",PERSONAL!$K$2:$K$80,PERSONAL!$G$2:$G$80),MATCH($B717,PERSONAL!$A$2:$A$80,0)))))</f>
        <v/>
      </c>
      <c r="O717" s="53">
        <f t="array" ref="O717">IFERROR(INDEX(EXCEPCIONES_FECHA!$F$2:$F$201,MATCH(1,(EXCEPCIONES_FECHA!$A$2:$A$201=$A717)*(EXCEPCIONES_FECHA!$B$2:$B$201=$B717),0)),IFERROR(INDEX(EXCEPCIONES_FECHA!$F$2:$F$201,MATCH(1,(EXCEPCIONES_FECHA!$A$2:$A$201=$A717)*(EXCEPCIONES_FECHA!$B$2:$B$201=""),0)),IFERROR(INDEX(IF($I717="FIN",HISTORIAL_HORARIOS!$L$2:$L$201,HISTORIAL_HORARIOS!$H$2:$H$201),MATCH(1,(HISTORIAL_HORARIOS!$A$2:$A$201=$B717)*(HISTORIAL_HORARIOS!$C$2:$C$201&lt;=$A717)*(HISTORIAL_HORARIOS!$D$2:$D$201&gt;=$A717),0)),INDEX(IF($I717="FIN",PERSONAL!$L$2:$L$80,PERSONAL!$H$2:$H$80),MATCH($B717,PERSONAL!$A$2:$A$80,0)))))</f>
        <v/>
      </c>
    </row>
    <row r="718" ht="15" customHeight="1" s="58">
      <c r="A718" s="37" t="n"/>
      <c r="B718" s="38" t="n"/>
      <c r="C718" s="39" t="n"/>
      <c r="D718" s="39" t="n"/>
      <c r="E718" s="34">
        <f t="array" ref="E718">IF($B718="","",IFERROR(INDEX(PERSONAL!$B$2:$B$80,MATCH($B718,PERSONAL!$A$2:$A$80,0)),"NO EXISTE"))</f>
        <v/>
      </c>
      <c r="F718" s="52">
        <f t="array" ref="F718">IF($B718="","",IFERROR(INDEX(PERSONAL!$C$2:$C$80,MATCH($B718,PERSONAL!$A$2:$A$80,0)),""))</f>
        <v/>
      </c>
      <c r="G718" s="52">
        <f>IF($A718="","",CHOOSE(WEEKDAY($A718,2),"LUNES","MARTES","MIÉRCOLES","JUEVES","VIERNES","SÁBADO","DOMINGO"))</f>
        <v/>
      </c>
      <c r="H718" s="34">
        <f>IF($A718="","",CHOOSE(MONTH($A718),"ENERO","FEBRERO","MARZO","ABRIL","MAYO","JUNIO","JULIO","AGOSTO","SEPTIEMBRE","OCTUBRE","NOVIEMBRE","DICIEMBRE"))</f>
        <v/>
      </c>
      <c r="I718" s="34">
        <f>IF($A718="","",IF(OR($G718="SÁBADO",$G718="DOMINGO"),"FIN","LV"))</f>
        <v/>
      </c>
      <c r="J718" s="34">
        <f>IF(OR($A718="",$B718=""),"",IF($L718&lt;&gt;"",UPPER($L718),IF($C718="","FALTA",IFERROR(IF($C718&gt;=$O718,"ROJO FUERTE",IF($C718&gt;=$N718,"ROJO",IF($C718&gt;=$M718,"AMARILLO","VERDE"))),"REVISAR"))))</f>
        <v/>
      </c>
      <c r="K718" s="36">
        <f>IF(OR($C718="",$D718=""),"",IF($D718&gt;=$C718,($D718-$C718)*24,(1-$C718+$D718)*24))</f>
        <v/>
      </c>
      <c r="L718" s="34" t="n"/>
      <c r="M718" s="53">
        <f t="array" ref="M718">IFERROR(INDEX(EXCEPCIONES_FECHA!$D$2:$D$201,MATCH(1,(EXCEPCIONES_FECHA!$A$2:$A$201=$A718)*(EXCEPCIONES_FECHA!$B$2:$B$201=$B718),0)),IFERROR(INDEX(EXCEPCIONES_FECHA!$D$2:$D$201,MATCH(1,(EXCEPCIONES_FECHA!$A$2:$A$201=$A718)*(EXCEPCIONES_FECHA!$B$2:$B$201=""),0)),IFERROR(INDEX(IF($I718="FIN",HISTORIAL_HORARIOS!$J$2:$J$201,HISTORIAL_HORARIOS!$F$2:$F$201),MATCH(1,(HISTORIAL_HORARIOS!$A$2:$A$201=$B718)*(HISTORIAL_HORARIOS!$C$2:$C$201&lt;=$A718)*(HISTORIAL_HORARIOS!$D$2:$D$201&gt;=$A718),0)),INDEX(IF($I718="FIN",PERSONAL!$J$2:$J$80,PERSONAL!$F$2:$F$80),MATCH($B718,PERSONAL!$A$2:$A$80,0)))))</f>
        <v/>
      </c>
      <c r="N718" s="53">
        <f t="array" ref="N718">IFERROR(INDEX(EXCEPCIONES_FECHA!$E$2:$E$201,MATCH(1,(EXCEPCIONES_FECHA!$A$2:$A$201=$A718)*(EXCEPCIONES_FECHA!$B$2:$B$201=$B718),0)),IFERROR(INDEX(EXCEPCIONES_FECHA!$E$2:$E$201,MATCH(1,(EXCEPCIONES_FECHA!$A$2:$A$201=$A718)*(EXCEPCIONES_FECHA!$B$2:$B$201=""),0)),IFERROR(INDEX(IF($I718="FIN",HISTORIAL_HORARIOS!$K$2:$K$201,HISTORIAL_HORARIOS!$G$2:$G$201),MATCH(1,(HISTORIAL_HORARIOS!$A$2:$A$201=$B718)*(HISTORIAL_HORARIOS!$C$2:$C$201&lt;=$A718)*(HISTORIAL_HORARIOS!$D$2:$D$201&gt;=$A718),0)),INDEX(IF($I718="FIN",PERSONAL!$K$2:$K$80,PERSONAL!$G$2:$G$80),MATCH($B718,PERSONAL!$A$2:$A$80,0)))))</f>
        <v/>
      </c>
      <c r="O718" s="53">
        <f t="array" ref="O718">IFERROR(INDEX(EXCEPCIONES_FECHA!$F$2:$F$201,MATCH(1,(EXCEPCIONES_FECHA!$A$2:$A$201=$A718)*(EXCEPCIONES_FECHA!$B$2:$B$201=$B718),0)),IFERROR(INDEX(EXCEPCIONES_FECHA!$F$2:$F$201,MATCH(1,(EXCEPCIONES_FECHA!$A$2:$A$201=$A718)*(EXCEPCIONES_FECHA!$B$2:$B$201=""),0)),IFERROR(INDEX(IF($I718="FIN",HISTORIAL_HORARIOS!$L$2:$L$201,HISTORIAL_HORARIOS!$H$2:$H$201),MATCH(1,(HISTORIAL_HORARIOS!$A$2:$A$201=$B718)*(HISTORIAL_HORARIOS!$C$2:$C$201&lt;=$A718)*(HISTORIAL_HORARIOS!$D$2:$D$201&gt;=$A718),0)),INDEX(IF($I718="FIN",PERSONAL!$L$2:$L$80,PERSONAL!$H$2:$H$80),MATCH($B718,PERSONAL!$A$2:$A$80,0)))))</f>
        <v/>
      </c>
    </row>
    <row r="719" ht="15" customHeight="1" s="58">
      <c r="A719" s="37" t="n"/>
      <c r="B719" s="38" t="n"/>
      <c r="C719" s="39" t="n"/>
      <c r="D719" s="39" t="n"/>
      <c r="E719" s="34">
        <f t="array" ref="E719">IF($B719="","",IFERROR(INDEX(PERSONAL!$B$2:$B$80,MATCH($B719,PERSONAL!$A$2:$A$80,0)),"NO EXISTE"))</f>
        <v/>
      </c>
      <c r="F719" s="52">
        <f t="array" ref="F719">IF($B719="","",IFERROR(INDEX(PERSONAL!$C$2:$C$80,MATCH($B719,PERSONAL!$A$2:$A$80,0)),""))</f>
        <v/>
      </c>
      <c r="G719" s="52">
        <f>IF($A719="","",CHOOSE(WEEKDAY($A719,2),"LUNES","MARTES","MIÉRCOLES","JUEVES","VIERNES","SÁBADO","DOMINGO"))</f>
        <v/>
      </c>
      <c r="H719" s="34">
        <f>IF($A719="","",CHOOSE(MONTH($A719),"ENERO","FEBRERO","MARZO","ABRIL","MAYO","JUNIO","JULIO","AGOSTO","SEPTIEMBRE","OCTUBRE","NOVIEMBRE","DICIEMBRE"))</f>
        <v/>
      </c>
      <c r="I719" s="34">
        <f>IF($A719="","",IF(OR($G719="SÁBADO",$G719="DOMINGO"),"FIN","LV"))</f>
        <v/>
      </c>
      <c r="J719" s="34">
        <f>IF(OR($A719="",$B719=""),"",IF($L719&lt;&gt;"",UPPER($L719),IF($C719="","FALTA",IFERROR(IF($C719&gt;=$O719,"ROJO FUERTE",IF($C719&gt;=$N719,"ROJO",IF($C719&gt;=$M719,"AMARILLO","VERDE"))),"REVISAR"))))</f>
        <v/>
      </c>
      <c r="K719" s="36">
        <f>IF(OR($C719="",$D719=""),"",IF($D719&gt;=$C719,($D719-$C719)*24,(1-$C719+$D719)*24))</f>
        <v/>
      </c>
      <c r="L719" s="34" t="n"/>
      <c r="M719" s="53">
        <f t="array" ref="M719">IFERROR(INDEX(EXCEPCIONES_FECHA!$D$2:$D$201,MATCH(1,(EXCEPCIONES_FECHA!$A$2:$A$201=$A719)*(EXCEPCIONES_FECHA!$B$2:$B$201=$B719),0)),IFERROR(INDEX(EXCEPCIONES_FECHA!$D$2:$D$201,MATCH(1,(EXCEPCIONES_FECHA!$A$2:$A$201=$A719)*(EXCEPCIONES_FECHA!$B$2:$B$201=""),0)),IFERROR(INDEX(IF($I719="FIN",HISTORIAL_HORARIOS!$J$2:$J$201,HISTORIAL_HORARIOS!$F$2:$F$201),MATCH(1,(HISTORIAL_HORARIOS!$A$2:$A$201=$B719)*(HISTORIAL_HORARIOS!$C$2:$C$201&lt;=$A719)*(HISTORIAL_HORARIOS!$D$2:$D$201&gt;=$A719),0)),INDEX(IF($I719="FIN",PERSONAL!$J$2:$J$80,PERSONAL!$F$2:$F$80),MATCH($B719,PERSONAL!$A$2:$A$80,0)))))</f>
        <v/>
      </c>
      <c r="N719" s="53">
        <f t="array" ref="N719">IFERROR(INDEX(EXCEPCIONES_FECHA!$E$2:$E$201,MATCH(1,(EXCEPCIONES_FECHA!$A$2:$A$201=$A719)*(EXCEPCIONES_FECHA!$B$2:$B$201=$B719),0)),IFERROR(INDEX(EXCEPCIONES_FECHA!$E$2:$E$201,MATCH(1,(EXCEPCIONES_FECHA!$A$2:$A$201=$A719)*(EXCEPCIONES_FECHA!$B$2:$B$201=""),0)),IFERROR(INDEX(IF($I719="FIN",HISTORIAL_HORARIOS!$K$2:$K$201,HISTORIAL_HORARIOS!$G$2:$G$201),MATCH(1,(HISTORIAL_HORARIOS!$A$2:$A$201=$B719)*(HISTORIAL_HORARIOS!$C$2:$C$201&lt;=$A719)*(HISTORIAL_HORARIOS!$D$2:$D$201&gt;=$A719),0)),INDEX(IF($I719="FIN",PERSONAL!$K$2:$K$80,PERSONAL!$G$2:$G$80),MATCH($B719,PERSONAL!$A$2:$A$80,0)))))</f>
        <v/>
      </c>
      <c r="O719" s="53">
        <f t="array" ref="O719">IFERROR(INDEX(EXCEPCIONES_FECHA!$F$2:$F$201,MATCH(1,(EXCEPCIONES_FECHA!$A$2:$A$201=$A719)*(EXCEPCIONES_FECHA!$B$2:$B$201=$B719),0)),IFERROR(INDEX(EXCEPCIONES_FECHA!$F$2:$F$201,MATCH(1,(EXCEPCIONES_FECHA!$A$2:$A$201=$A719)*(EXCEPCIONES_FECHA!$B$2:$B$201=""),0)),IFERROR(INDEX(IF($I719="FIN",HISTORIAL_HORARIOS!$L$2:$L$201,HISTORIAL_HORARIOS!$H$2:$H$201),MATCH(1,(HISTORIAL_HORARIOS!$A$2:$A$201=$B719)*(HISTORIAL_HORARIOS!$C$2:$C$201&lt;=$A719)*(HISTORIAL_HORARIOS!$D$2:$D$201&gt;=$A719),0)),INDEX(IF($I719="FIN",PERSONAL!$L$2:$L$80,PERSONAL!$H$2:$H$80),MATCH($B719,PERSONAL!$A$2:$A$80,0)))))</f>
        <v/>
      </c>
    </row>
    <row r="720" ht="15" customHeight="1" s="58">
      <c r="A720" s="37" t="n"/>
      <c r="B720" s="38" t="n"/>
      <c r="C720" s="39" t="n"/>
      <c r="D720" s="39" t="n"/>
      <c r="E720" s="34">
        <f t="array" ref="E720">IF($B720="","",IFERROR(INDEX(PERSONAL!$B$2:$B$80,MATCH($B720,PERSONAL!$A$2:$A$80,0)),"NO EXISTE"))</f>
        <v/>
      </c>
      <c r="F720" s="52">
        <f t="array" ref="F720">IF($B720="","",IFERROR(INDEX(PERSONAL!$C$2:$C$80,MATCH($B720,PERSONAL!$A$2:$A$80,0)),""))</f>
        <v/>
      </c>
      <c r="G720" s="52">
        <f>IF($A720="","",CHOOSE(WEEKDAY($A720,2),"LUNES","MARTES","MIÉRCOLES","JUEVES","VIERNES","SÁBADO","DOMINGO"))</f>
        <v/>
      </c>
      <c r="H720" s="34">
        <f>IF($A720="","",CHOOSE(MONTH($A720),"ENERO","FEBRERO","MARZO","ABRIL","MAYO","JUNIO","JULIO","AGOSTO","SEPTIEMBRE","OCTUBRE","NOVIEMBRE","DICIEMBRE"))</f>
        <v/>
      </c>
      <c r="I720" s="34">
        <f>IF($A720="","",IF(OR($G720="SÁBADO",$G720="DOMINGO"),"FIN","LV"))</f>
        <v/>
      </c>
      <c r="J720" s="34">
        <f>IF(OR($A720="",$B720=""),"",IF($L720&lt;&gt;"",UPPER($L720),IF($C720="","FALTA",IFERROR(IF($C720&gt;=$O720,"ROJO FUERTE",IF($C720&gt;=$N720,"ROJO",IF($C720&gt;=$M720,"AMARILLO","VERDE"))),"REVISAR"))))</f>
        <v/>
      </c>
      <c r="K720" s="36">
        <f>IF(OR($C720="",$D720=""),"",IF($D720&gt;=$C720,($D720-$C720)*24,(1-$C720+$D720)*24))</f>
        <v/>
      </c>
      <c r="L720" s="34" t="n"/>
      <c r="M720" s="53">
        <f t="array" ref="M720">IFERROR(INDEX(EXCEPCIONES_FECHA!$D$2:$D$201,MATCH(1,(EXCEPCIONES_FECHA!$A$2:$A$201=$A720)*(EXCEPCIONES_FECHA!$B$2:$B$201=$B720),0)),IFERROR(INDEX(EXCEPCIONES_FECHA!$D$2:$D$201,MATCH(1,(EXCEPCIONES_FECHA!$A$2:$A$201=$A720)*(EXCEPCIONES_FECHA!$B$2:$B$201=""),0)),IFERROR(INDEX(IF($I720="FIN",HISTORIAL_HORARIOS!$J$2:$J$201,HISTORIAL_HORARIOS!$F$2:$F$201),MATCH(1,(HISTORIAL_HORARIOS!$A$2:$A$201=$B720)*(HISTORIAL_HORARIOS!$C$2:$C$201&lt;=$A720)*(HISTORIAL_HORARIOS!$D$2:$D$201&gt;=$A720),0)),INDEX(IF($I720="FIN",PERSONAL!$J$2:$J$80,PERSONAL!$F$2:$F$80),MATCH($B720,PERSONAL!$A$2:$A$80,0)))))</f>
        <v/>
      </c>
      <c r="N720" s="53">
        <f t="array" ref="N720">IFERROR(INDEX(EXCEPCIONES_FECHA!$E$2:$E$201,MATCH(1,(EXCEPCIONES_FECHA!$A$2:$A$201=$A720)*(EXCEPCIONES_FECHA!$B$2:$B$201=$B720),0)),IFERROR(INDEX(EXCEPCIONES_FECHA!$E$2:$E$201,MATCH(1,(EXCEPCIONES_FECHA!$A$2:$A$201=$A720)*(EXCEPCIONES_FECHA!$B$2:$B$201=""),0)),IFERROR(INDEX(IF($I720="FIN",HISTORIAL_HORARIOS!$K$2:$K$201,HISTORIAL_HORARIOS!$G$2:$G$201),MATCH(1,(HISTORIAL_HORARIOS!$A$2:$A$201=$B720)*(HISTORIAL_HORARIOS!$C$2:$C$201&lt;=$A720)*(HISTORIAL_HORARIOS!$D$2:$D$201&gt;=$A720),0)),INDEX(IF($I720="FIN",PERSONAL!$K$2:$K$80,PERSONAL!$G$2:$G$80),MATCH($B720,PERSONAL!$A$2:$A$80,0)))))</f>
        <v/>
      </c>
      <c r="O720" s="53">
        <f t="array" ref="O720">IFERROR(INDEX(EXCEPCIONES_FECHA!$F$2:$F$201,MATCH(1,(EXCEPCIONES_FECHA!$A$2:$A$201=$A720)*(EXCEPCIONES_FECHA!$B$2:$B$201=$B720),0)),IFERROR(INDEX(EXCEPCIONES_FECHA!$F$2:$F$201,MATCH(1,(EXCEPCIONES_FECHA!$A$2:$A$201=$A720)*(EXCEPCIONES_FECHA!$B$2:$B$201=""),0)),IFERROR(INDEX(IF($I720="FIN",HISTORIAL_HORARIOS!$L$2:$L$201,HISTORIAL_HORARIOS!$H$2:$H$201),MATCH(1,(HISTORIAL_HORARIOS!$A$2:$A$201=$B720)*(HISTORIAL_HORARIOS!$C$2:$C$201&lt;=$A720)*(HISTORIAL_HORARIOS!$D$2:$D$201&gt;=$A720),0)),INDEX(IF($I720="FIN",PERSONAL!$L$2:$L$80,PERSONAL!$H$2:$H$80),MATCH($B720,PERSONAL!$A$2:$A$80,0)))))</f>
        <v/>
      </c>
    </row>
    <row r="721" ht="15" customHeight="1" s="58">
      <c r="A721" s="37" t="n"/>
      <c r="B721" s="38" t="n"/>
      <c r="C721" s="39" t="n"/>
      <c r="D721" s="39" t="n"/>
      <c r="E721" s="34">
        <f t="array" ref="E721">IF($B721="","",IFERROR(INDEX(PERSONAL!$B$2:$B$80,MATCH($B721,PERSONAL!$A$2:$A$80,0)),"NO EXISTE"))</f>
        <v/>
      </c>
      <c r="F721" s="52">
        <f t="array" ref="F721">IF($B721="","",IFERROR(INDEX(PERSONAL!$C$2:$C$80,MATCH($B721,PERSONAL!$A$2:$A$80,0)),""))</f>
        <v/>
      </c>
      <c r="G721" s="52">
        <f>IF($A721="","",CHOOSE(WEEKDAY($A721,2),"LUNES","MARTES","MIÉRCOLES","JUEVES","VIERNES","SÁBADO","DOMINGO"))</f>
        <v/>
      </c>
      <c r="H721" s="34">
        <f>IF($A721="","",CHOOSE(MONTH($A721),"ENERO","FEBRERO","MARZO","ABRIL","MAYO","JUNIO","JULIO","AGOSTO","SEPTIEMBRE","OCTUBRE","NOVIEMBRE","DICIEMBRE"))</f>
        <v/>
      </c>
      <c r="I721" s="34">
        <f>IF($A721="","",IF(OR($G721="SÁBADO",$G721="DOMINGO"),"FIN","LV"))</f>
        <v/>
      </c>
      <c r="J721" s="34">
        <f>IF(OR($A721="",$B721=""),"",IF($L721&lt;&gt;"",UPPER($L721),IF($C721="","FALTA",IFERROR(IF($C721&gt;=$O721,"ROJO FUERTE",IF($C721&gt;=$N721,"ROJO",IF($C721&gt;=$M721,"AMARILLO","VERDE"))),"REVISAR"))))</f>
        <v/>
      </c>
      <c r="K721" s="36">
        <f>IF(OR($C721="",$D721=""),"",IF($D721&gt;=$C721,($D721-$C721)*24,(1-$C721+$D721)*24))</f>
        <v/>
      </c>
      <c r="L721" s="34" t="n"/>
      <c r="M721" s="53">
        <f t="array" ref="M721">IFERROR(INDEX(EXCEPCIONES_FECHA!$D$2:$D$201,MATCH(1,(EXCEPCIONES_FECHA!$A$2:$A$201=$A721)*(EXCEPCIONES_FECHA!$B$2:$B$201=$B721),0)),IFERROR(INDEX(EXCEPCIONES_FECHA!$D$2:$D$201,MATCH(1,(EXCEPCIONES_FECHA!$A$2:$A$201=$A721)*(EXCEPCIONES_FECHA!$B$2:$B$201=""),0)),IFERROR(INDEX(IF($I721="FIN",HISTORIAL_HORARIOS!$J$2:$J$201,HISTORIAL_HORARIOS!$F$2:$F$201),MATCH(1,(HISTORIAL_HORARIOS!$A$2:$A$201=$B721)*(HISTORIAL_HORARIOS!$C$2:$C$201&lt;=$A721)*(HISTORIAL_HORARIOS!$D$2:$D$201&gt;=$A721),0)),INDEX(IF($I721="FIN",PERSONAL!$J$2:$J$80,PERSONAL!$F$2:$F$80),MATCH($B721,PERSONAL!$A$2:$A$80,0)))))</f>
        <v/>
      </c>
      <c r="N721" s="53">
        <f t="array" ref="N721">IFERROR(INDEX(EXCEPCIONES_FECHA!$E$2:$E$201,MATCH(1,(EXCEPCIONES_FECHA!$A$2:$A$201=$A721)*(EXCEPCIONES_FECHA!$B$2:$B$201=$B721),0)),IFERROR(INDEX(EXCEPCIONES_FECHA!$E$2:$E$201,MATCH(1,(EXCEPCIONES_FECHA!$A$2:$A$201=$A721)*(EXCEPCIONES_FECHA!$B$2:$B$201=""),0)),IFERROR(INDEX(IF($I721="FIN",HISTORIAL_HORARIOS!$K$2:$K$201,HISTORIAL_HORARIOS!$G$2:$G$201),MATCH(1,(HISTORIAL_HORARIOS!$A$2:$A$201=$B721)*(HISTORIAL_HORARIOS!$C$2:$C$201&lt;=$A721)*(HISTORIAL_HORARIOS!$D$2:$D$201&gt;=$A721),0)),INDEX(IF($I721="FIN",PERSONAL!$K$2:$K$80,PERSONAL!$G$2:$G$80),MATCH($B721,PERSONAL!$A$2:$A$80,0)))))</f>
        <v/>
      </c>
      <c r="O721" s="53">
        <f t="array" ref="O721">IFERROR(INDEX(EXCEPCIONES_FECHA!$F$2:$F$201,MATCH(1,(EXCEPCIONES_FECHA!$A$2:$A$201=$A721)*(EXCEPCIONES_FECHA!$B$2:$B$201=$B721),0)),IFERROR(INDEX(EXCEPCIONES_FECHA!$F$2:$F$201,MATCH(1,(EXCEPCIONES_FECHA!$A$2:$A$201=$A721)*(EXCEPCIONES_FECHA!$B$2:$B$201=""),0)),IFERROR(INDEX(IF($I721="FIN",HISTORIAL_HORARIOS!$L$2:$L$201,HISTORIAL_HORARIOS!$H$2:$H$201),MATCH(1,(HISTORIAL_HORARIOS!$A$2:$A$201=$B721)*(HISTORIAL_HORARIOS!$C$2:$C$201&lt;=$A721)*(HISTORIAL_HORARIOS!$D$2:$D$201&gt;=$A721),0)),INDEX(IF($I721="FIN",PERSONAL!$L$2:$L$80,PERSONAL!$H$2:$H$80),MATCH($B721,PERSONAL!$A$2:$A$80,0)))))</f>
        <v/>
      </c>
    </row>
    <row r="722" ht="15" customHeight="1" s="58">
      <c r="A722" s="37" t="n"/>
      <c r="B722" s="38" t="n"/>
      <c r="C722" s="39" t="n"/>
      <c r="D722" s="39" t="n"/>
      <c r="E722" s="34">
        <f t="array" ref="E722">IF($B722="","",IFERROR(INDEX(PERSONAL!$B$2:$B$80,MATCH($B722,PERSONAL!$A$2:$A$80,0)),"NO EXISTE"))</f>
        <v/>
      </c>
      <c r="F722" s="52">
        <f t="array" ref="F722">IF($B722="","",IFERROR(INDEX(PERSONAL!$C$2:$C$80,MATCH($B722,PERSONAL!$A$2:$A$80,0)),""))</f>
        <v/>
      </c>
      <c r="G722" s="52">
        <f>IF($A722="","",CHOOSE(WEEKDAY($A722,2),"LUNES","MARTES","MIÉRCOLES","JUEVES","VIERNES","SÁBADO","DOMINGO"))</f>
        <v/>
      </c>
      <c r="H722" s="34">
        <f>IF($A722="","",CHOOSE(MONTH($A722),"ENERO","FEBRERO","MARZO","ABRIL","MAYO","JUNIO","JULIO","AGOSTO","SEPTIEMBRE","OCTUBRE","NOVIEMBRE","DICIEMBRE"))</f>
        <v/>
      </c>
      <c r="I722" s="34">
        <f>IF($A722="","",IF(OR($G722="SÁBADO",$G722="DOMINGO"),"FIN","LV"))</f>
        <v/>
      </c>
      <c r="J722" s="34">
        <f>IF(OR($A722="",$B722=""),"",IF($L722&lt;&gt;"",UPPER($L722),IF($C722="","FALTA",IFERROR(IF($C722&gt;=$O722,"ROJO FUERTE",IF($C722&gt;=$N722,"ROJO",IF($C722&gt;=$M722,"AMARILLO","VERDE"))),"REVISAR"))))</f>
        <v/>
      </c>
      <c r="K722" s="36">
        <f>IF(OR($C722="",$D722=""),"",IF($D722&gt;=$C722,($D722-$C722)*24,(1-$C722+$D722)*24))</f>
        <v/>
      </c>
      <c r="L722" s="34" t="n"/>
      <c r="M722" s="53">
        <f t="array" ref="M722">IFERROR(INDEX(EXCEPCIONES_FECHA!$D$2:$D$201,MATCH(1,(EXCEPCIONES_FECHA!$A$2:$A$201=$A722)*(EXCEPCIONES_FECHA!$B$2:$B$201=$B722),0)),IFERROR(INDEX(EXCEPCIONES_FECHA!$D$2:$D$201,MATCH(1,(EXCEPCIONES_FECHA!$A$2:$A$201=$A722)*(EXCEPCIONES_FECHA!$B$2:$B$201=""),0)),IFERROR(INDEX(IF($I722="FIN",HISTORIAL_HORARIOS!$J$2:$J$201,HISTORIAL_HORARIOS!$F$2:$F$201),MATCH(1,(HISTORIAL_HORARIOS!$A$2:$A$201=$B722)*(HISTORIAL_HORARIOS!$C$2:$C$201&lt;=$A722)*(HISTORIAL_HORARIOS!$D$2:$D$201&gt;=$A722),0)),INDEX(IF($I722="FIN",PERSONAL!$J$2:$J$80,PERSONAL!$F$2:$F$80),MATCH($B722,PERSONAL!$A$2:$A$80,0)))))</f>
        <v/>
      </c>
      <c r="N722" s="53">
        <f t="array" ref="N722">IFERROR(INDEX(EXCEPCIONES_FECHA!$E$2:$E$201,MATCH(1,(EXCEPCIONES_FECHA!$A$2:$A$201=$A722)*(EXCEPCIONES_FECHA!$B$2:$B$201=$B722),0)),IFERROR(INDEX(EXCEPCIONES_FECHA!$E$2:$E$201,MATCH(1,(EXCEPCIONES_FECHA!$A$2:$A$201=$A722)*(EXCEPCIONES_FECHA!$B$2:$B$201=""),0)),IFERROR(INDEX(IF($I722="FIN",HISTORIAL_HORARIOS!$K$2:$K$201,HISTORIAL_HORARIOS!$G$2:$G$201),MATCH(1,(HISTORIAL_HORARIOS!$A$2:$A$201=$B722)*(HISTORIAL_HORARIOS!$C$2:$C$201&lt;=$A722)*(HISTORIAL_HORARIOS!$D$2:$D$201&gt;=$A722),0)),INDEX(IF($I722="FIN",PERSONAL!$K$2:$K$80,PERSONAL!$G$2:$G$80),MATCH($B722,PERSONAL!$A$2:$A$80,0)))))</f>
        <v/>
      </c>
      <c r="O722" s="53">
        <f t="array" ref="O722">IFERROR(INDEX(EXCEPCIONES_FECHA!$F$2:$F$201,MATCH(1,(EXCEPCIONES_FECHA!$A$2:$A$201=$A722)*(EXCEPCIONES_FECHA!$B$2:$B$201=$B722),0)),IFERROR(INDEX(EXCEPCIONES_FECHA!$F$2:$F$201,MATCH(1,(EXCEPCIONES_FECHA!$A$2:$A$201=$A722)*(EXCEPCIONES_FECHA!$B$2:$B$201=""),0)),IFERROR(INDEX(IF($I722="FIN",HISTORIAL_HORARIOS!$L$2:$L$201,HISTORIAL_HORARIOS!$H$2:$H$201),MATCH(1,(HISTORIAL_HORARIOS!$A$2:$A$201=$B722)*(HISTORIAL_HORARIOS!$C$2:$C$201&lt;=$A722)*(HISTORIAL_HORARIOS!$D$2:$D$201&gt;=$A722),0)),INDEX(IF($I722="FIN",PERSONAL!$L$2:$L$80,PERSONAL!$H$2:$H$80),MATCH($B722,PERSONAL!$A$2:$A$80,0)))))</f>
        <v/>
      </c>
    </row>
    <row r="723" ht="15" customHeight="1" s="58">
      <c r="A723" s="37" t="n"/>
      <c r="B723" s="38" t="n"/>
      <c r="C723" s="39" t="n"/>
      <c r="D723" s="39" t="n"/>
      <c r="E723" s="34">
        <f t="array" ref="E723">IF($B723="","",IFERROR(INDEX(PERSONAL!$B$2:$B$80,MATCH($B723,PERSONAL!$A$2:$A$80,0)),"NO EXISTE"))</f>
        <v/>
      </c>
      <c r="F723" s="52">
        <f t="array" ref="F723">IF($B723="","",IFERROR(INDEX(PERSONAL!$C$2:$C$80,MATCH($B723,PERSONAL!$A$2:$A$80,0)),""))</f>
        <v/>
      </c>
      <c r="G723" s="52">
        <f>IF($A723="","",CHOOSE(WEEKDAY($A723,2),"LUNES","MARTES","MIÉRCOLES","JUEVES","VIERNES","SÁBADO","DOMINGO"))</f>
        <v/>
      </c>
      <c r="H723" s="34">
        <f>IF($A723="","",CHOOSE(MONTH($A723),"ENERO","FEBRERO","MARZO","ABRIL","MAYO","JUNIO","JULIO","AGOSTO","SEPTIEMBRE","OCTUBRE","NOVIEMBRE","DICIEMBRE"))</f>
        <v/>
      </c>
      <c r="I723" s="34">
        <f>IF($A723="","",IF(OR($G723="SÁBADO",$G723="DOMINGO"),"FIN","LV"))</f>
        <v/>
      </c>
      <c r="J723" s="34">
        <f>IF(OR($A723="",$B723=""),"",IF($L723&lt;&gt;"",UPPER($L723),IF($C723="","FALTA",IFERROR(IF($C723&gt;=$O723,"ROJO FUERTE",IF($C723&gt;=$N723,"ROJO",IF($C723&gt;=$M723,"AMARILLO","VERDE"))),"REVISAR"))))</f>
        <v/>
      </c>
      <c r="K723" s="36">
        <f>IF(OR($C723="",$D723=""),"",IF($D723&gt;=$C723,($D723-$C723)*24,(1-$C723+$D723)*24))</f>
        <v/>
      </c>
      <c r="L723" s="34" t="n"/>
      <c r="M723" s="53">
        <f t="array" ref="M723">IFERROR(INDEX(EXCEPCIONES_FECHA!$D$2:$D$201,MATCH(1,(EXCEPCIONES_FECHA!$A$2:$A$201=$A723)*(EXCEPCIONES_FECHA!$B$2:$B$201=$B723),0)),IFERROR(INDEX(EXCEPCIONES_FECHA!$D$2:$D$201,MATCH(1,(EXCEPCIONES_FECHA!$A$2:$A$201=$A723)*(EXCEPCIONES_FECHA!$B$2:$B$201=""),0)),IFERROR(INDEX(IF($I723="FIN",HISTORIAL_HORARIOS!$J$2:$J$201,HISTORIAL_HORARIOS!$F$2:$F$201),MATCH(1,(HISTORIAL_HORARIOS!$A$2:$A$201=$B723)*(HISTORIAL_HORARIOS!$C$2:$C$201&lt;=$A723)*(HISTORIAL_HORARIOS!$D$2:$D$201&gt;=$A723),0)),INDEX(IF($I723="FIN",PERSONAL!$J$2:$J$80,PERSONAL!$F$2:$F$80),MATCH($B723,PERSONAL!$A$2:$A$80,0)))))</f>
        <v/>
      </c>
      <c r="N723" s="53">
        <f t="array" ref="N723">IFERROR(INDEX(EXCEPCIONES_FECHA!$E$2:$E$201,MATCH(1,(EXCEPCIONES_FECHA!$A$2:$A$201=$A723)*(EXCEPCIONES_FECHA!$B$2:$B$201=$B723),0)),IFERROR(INDEX(EXCEPCIONES_FECHA!$E$2:$E$201,MATCH(1,(EXCEPCIONES_FECHA!$A$2:$A$201=$A723)*(EXCEPCIONES_FECHA!$B$2:$B$201=""),0)),IFERROR(INDEX(IF($I723="FIN",HISTORIAL_HORARIOS!$K$2:$K$201,HISTORIAL_HORARIOS!$G$2:$G$201),MATCH(1,(HISTORIAL_HORARIOS!$A$2:$A$201=$B723)*(HISTORIAL_HORARIOS!$C$2:$C$201&lt;=$A723)*(HISTORIAL_HORARIOS!$D$2:$D$201&gt;=$A723),0)),INDEX(IF($I723="FIN",PERSONAL!$K$2:$K$80,PERSONAL!$G$2:$G$80),MATCH($B723,PERSONAL!$A$2:$A$80,0)))))</f>
        <v/>
      </c>
      <c r="O723" s="53">
        <f t="array" ref="O723">IFERROR(INDEX(EXCEPCIONES_FECHA!$F$2:$F$201,MATCH(1,(EXCEPCIONES_FECHA!$A$2:$A$201=$A723)*(EXCEPCIONES_FECHA!$B$2:$B$201=$B723),0)),IFERROR(INDEX(EXCEPCIONES_FECHA!$F$2:$F$201,MATCH(1,(EXCEPCIONES_FECHA!$A$2:$A$201=$A723)*(EXCEPCIONES_FECHA!$B$2:$B$201=""),0)),IFERROR(INDEX(IF($I723="FIN",HISTORIAL_HORARIOS!$L$2:$L$201,HISTORIAL_HORARIOS!$H$2:$H$201),MATCH(1,(HISTORIAL_HORARIOS!$A$2:$A$201=$B723)*(HISTORIAL_HORARIOS!$C$2:$C$201&lt;=$A723)*(HISTORIAL_HORARIOS!$D$2:$D$201&gt;=$A723),0)),INDEX(IF($I723="FIN",PERSONAL!$L$2:$L$80,PERSONAL!$H$2:$H$80),MATCH($B723,PERSONAL!$A$2:$A$80,0)))))</f>
        <v/>
      </c>
    </row>
    <row r="724" ht="15" customHeight="1" s="58">
      <c r="A724" s="37" t="n"/>
      <c r="B724" s="38" t="n"/>
      <c r="C724" s="39" t="n"/>
      <c r="D724" s="39" t="n"/>
      <c r="E724" s="34">
        <f t="array" ref="E724">IF($B724="","",IFERROR(INDEX(PERSONAL!$B$2:$B$80,MATCH($B724,PERSONAL!$A$2:$A$80,0)),"NO EXISTE"))</f>
        <v/>
      </c>
      <c r="F724" s="52">
        <f t="array" ref="F724">IF($B724="","",IFERROR(INDEX(PERSONAL!$C$2:$C$80,MATCH($B724,PERSONAL!$A$2:$A$80,0)),""))</f>
        <v/>
      </c>
      <c r="G724" s="52">
        <f>IF($A724="","",CHOOSE(WEEKDAY($A724,2),"LUNES","MARTES","MIÉRCOLES","JUEVES","VIERNES","SÁBADO","DOMINGO"))</f>
        <v/>
      </c>
      <c r="H724" s="34">
        <f>IF($A724="","",CHOOSE(MONTH($A724),"ENERO","FEBRERO","MARZO","ABRIL","MAYO","JUNIO","JULIO","AGOSTO","SEPTIEMBRE","OCTUBRE","NOVIEMBRE","DICIEMBRE"))</f>
        <v/>
      </c>
      <c r="I724" s="34">
        <f>IF($A724="","",IF(OR($G724="SÁBADO",$G724="DOMINGO"),"FIN","LV"))</f>
        <v/>
      </c>
      <c r="J724" s="34">
        <f>IF(OR($A724="",$B724=""),"",IF($L724&lt;&gt;"",UPPER($L724),IF($C724="","FALTA",IFERROR(IF($C724&gt;=$O724,"ROJO FUERTE",IF($C724&gt;=$N724,"ROJO",IF($C724&gt;=$M724,"AMARILLO","VERDE"))),"REVISAR"))))</f>
        <v/>
      </c>
      <c r="K724" s="36">
        <f>IF(OR($C724="",$D724=""),"",IF($D724&gt;=$C724,($D724-$C724)*24,(1-$C724+$D724)*24))</f>
        <v/>
      </c>
      <c r="L724" s="34" t="n"/>
      <c r="M724" s="53">
        <f t="array" ref="M724">IFERROR(INDEX(EXCEPCIONES_FECHA!$D$2:$D$201,MATCH(1,(EXCEPCIONES_FECHA!$A$2:$A$201=$A724)*(EXCEPCIONES_FECHA!$B$2:$B$201=$B724),0)),IFERROR(INDEX(EXCEPCIONES_FECHA!$D$2:$D$201,MATCH(1,(EXCEPCIONES_FECHA!$A$2:$A$201=$A724)*(EXCEPCIONES_FECHA!$B$2:$B$201=""),0)),IFERROR(INDEX(IF($I724="FIN",HISTORIAL_HORARIOS!$J$2:$J$201,HISTORIAL_HORARIOS!$F$2:$F$201),MATCH(1,(HISTORIAL_HORARIOS!$A$2:$A$201=$B724)*(HISTORIAL_HORARIOS!$C$2:$C$201&lt;=$A724)*(HISTORIAL_HORARIOS!$D$2:$D$201&gt;=$A724),0)),INDEX(IF($I724="FIN",PERSONAL!$J$2:$J$80,PERSONAL!$F$2:$F$80),MATCH($B724,PERSONAL!$A$2:$A$80,0)))))</f>
        <v/>
      </c>
      <c r="N724" s="53">
        <f t="array" ref="N724">IFERROR(INDEX(EXCEPCIONES_FECHA!$E$2:$E$201,MATCH(1,(EXCEPCIONES_FECHA!$A$2:$A$201=$A724)*(EXCEPCIONES_FECHA!$B$2:$B$201=$B724),0)),IFERROR(INDEX(EXCEPCIONES_FECHA!$E$2:$E$201,MATCH(1,(EXCEPCIONES_FECHA!$A$2:$A$201=$A724)*(EXCEPCIONES_FECHA!$B$2:$B$201=""),0)),IFERROR(INDEX(IF($I724="FIN",HISTORIAL_HORARIOS!$K$2:$K$201,HISTORIAL_HORARIOS!$G$2:$G$201),MATCH(1,(HISTORIAL_HORARIOS!$A$2:$A$201=$B724)*(HISTORIAL_HORARIOS!$C$2:$C$201&lt;=$A724)*(HISTORIAL_HORARIOS!$D$2:$D$201&gt;=$A724),0)),INDEX(IF($I724="FIN",PERSONAL!$K$2:$K$80,PERSONAL!$G$2:$G$80),MATCH($B724,PERSONAL!$A$2:$A$80,0)))))</f>
        <v/>
      </c>
      <c r="O724" s="53">
        <f t="array" ref="O724">IFERROR(INDEX(EXCEPCIONES_FECHA!$F$2:$F$201,MATCH(1,(EXCEPCIONES_FECHA!$A$2:$A$201=$A724)*(EXCEPCIONES_FECHA!$B$2:$B$201=$B724),0)),IFERROR(INDEX(EXCEPCIONES_FECHA!$F$2:$F$201,MATCH(1,(EXCEPCIONES_FECHA!$A$2:$A$201=$A724)*(EXCEPCIONES_FECHA!$B$2:$B$201=""),0)),IFERROR(INDEX(IF($I724="FIN",HISTORIAL_HORARIOS!$L$2:$L$201,HISTORIAL_HORARIOS!$H$2:$H$201),MATCH(1,(HISTORIAL_HORARIOS!$A$2:$A$201=$B724)*(HISTORIAL_HORARIOS!$C$2:$C$201&lt;=$A724)*(HISTORIAL_HORARIOS!$D$2:$D$201&gt;=$A724),0)),INDEX(IF($I724="FIN",PERSONAL!$L$2:$L$80,PERSONAL!$H$2:$H$80),MATCH($B724,PERSONAL!$A$2:$A$80,0)))))</f>
        <v/>
      </c>
    </row>
    <row r="725" ht="15" customHeight="1" s="58">
      <c r="A725" s="37" t="n"/>
      <c r="B725" s="38" t="n"/>
      <c r="C725" s="39" t="n"/>
      <c r="D725" s="39" t="n"/>
      <c r="E725" s="34">
        <f t="array" ref="E725">IF($B725="","",IFERROR(INDEX(PERSONAL!$B$2:$B$80,MATCH($B725,PERSONAL!$A$2:$A$80,0)),"NO EXISTE"))</f>
        <v/>
      </c>
      <c r="F725" s="52">
        <f t="array" ref="F725">IF($B725="","",IFERROR(INDEX(PERSONAL!$C$2:$C$80,MATCH($B725,PERSONAL!$A$2:$A$80,0)),""))</f>
        <v/>
      </c>
      <c r="G725" s="52">
        <f>IF($A725="","",CHOOSE(WEEKDAY($A725,2),"LUNES","MARTES","MIÉRCOLES","JUEVES","VIERNES","SÁBADO","DOMINGO"))</f>
        <v/>
      </c>
      <c r="H725" s="34">
        <f>IF($A725="","",CHOOSE(MONTH($A725),"ENERO","FEBRERO","MARZO","ABRIL","MAYO","JUNIO","JULIO","AGOSTO","SEPTIEMBRE","OCTUBRE","NOVIEMBRE","DICIEMBRE"))</f>
        <v/>
      </c>
      <c r="I725" s="34">
        <f>IF($A725="","",IF(OR($G725="SÁBADO",$G725="DOMINGO"),"FIN","LV"))</f>
        <v/>
      </c>
      <c r="J725" s="34">
        <f>IF(OR($A725="",$B725=""),"",IF($L725&lt;&gt;"",UPPER($L725),IF($C725="","FALTA",IFERROR(IF($C725&gt;=$O725,"ROJO FUERTE",IF($C725&gt;=$N725,"ROJO",IF($C725&gt;=$M725,"AMARILLO","VERDE"))),"REVISAR"))))</f>
        <v/>
      </c>
      <c r="K725" s="36">
        <f>IF(OR($C725="",$D725=""),"",IF($D725&gt;=$C725,($D725-$C725)*24,(1-$C725+$D725)*24))</f>
        <v/>
      </c>
      <c r="L725" s="34" t="n"/>
      <c r="M725" s="53">
        <f t="array" ref="M725">IFERROR(INDEX(EXCEPCIONES_FECHA!$D$2:$D$201,MATCH(1,(EXCEPCIONES_FECHA!$A$2:$A$201=$A725)*(EXCEPCIONES_FECHA!$B$2:$B$201=$B725),0)),IFERROR(INDEX(EXCEPCIONES_FECHA!$D$2:$D$201,MATCH(1,(EXCEPCIONES_FECHA!$A$2:$A$201=$A725)*(EXCEPCIONES_FECHA!$B$2:$B$201=""),0)),IFERROR(INDEX(IF($I725="FIN",HISTORIAL_HORARIOS!$J$2:$J$201,HISTORIAL_HORARIOS!$F$2:$F$201),MATCH(1,(HISTORIAL_HORARIOS!$A$2:$A$201=$B725)*(HISTORIAL_HORARIOS!$C$2:$C$201&lt;=$A725)*(HISTORIAL_HORARIOS!$D$2:$D$201&gt;=$A725),0)),INDEX(IF($I725="FIN",PERSONAL!$J$2:$J$80,PERSONAL!$F$2:$F$80),MATCH($B725,PERSONAL!$A$2:$A$80,0)))))</f>
        <v/>
      </c>
      <c r="N725" s="53">
        <f t="array" ref="N725">IFERROR(INDEX(EXCEPCIONES_FECHA!$E$2:$E$201,MATCH(1,(EXCEPCIONES_FECHA!$A$2:$A$201=$A725)*(EXCEPCIONES_FECHA!$B$2:$B$201=$B725),0)),IFERROR(INDEX(EXCEPCIONES_FECHA!$E$2:$E$201,MATCH(1,(EXCEPCIONES_FECHA!$A$2:$A$201=$A725)*(EXCEPCIONES_FECHA!$B$2:$B$201=""),0)),IFERROR(INDEX(IF($I725="FIN",HISTORIAL_HORARIOS!$K$2:$K$201,HISTORIAL_HORARIOS!$G$2:$G$201),MATCH(1,(HISTORIAL_HORARIOS!$A$2:$A$201=$B725)*(HISTORIAL_HORARIOS!$C$2:$C$201&lt;=$A725)*(HISTORIAL_HORARIOS!$D$2:$D$201&gt;=$A725),0)),INDEX(IF($I725="FIN",PERSONAL!$K$2:$K$80,PERSONAL!$G$2:$G$80),MATCH($B725,PERSONAL!$A$2:$A$80,0)))))</f>
        <v/>
      </c>
      <c r="O725" s="53">
        <f t="array" ref="O725">IFERROR(INDEX(EXCEPCIONES_FECHA!$F$2:$F$201,MATCH(1,(EXCEPCIONES_FECHA!$A$2:$A$201=$A725)*(EXCEPCIONES_FECHA!$B$2:$B$201=$B725),0)),IFERROR(INDEX(EXCEPCIONES_FECHA!$F$2:$F$201,MATCH(1,(EXCEPCIONES_FECHA!$A$2:$A$201=$A725)*(EXCEPCIONES_FECHA!$B$2:$B$201=""),0)),IFERROR(INDEX(IF($I725="FIN",HISTORIAL_HORARIOS!$L$2:$L$201,HISTORIAL_HORARIOS!$H$2:$H$201),MATCH(1,(HISTORIAL_HORARIOS!$A$2:$A$201=$B725)*(HISTORIAL_HORARIOS!$C$2:$C$201&lt;=$A725)*(HISTORIAL_HORARIOS!$D$2:$D$201&gt;=$A725),0)),INDEX(IF($I725="FIN",PERSONAL!$L$2:$L$80,PERSONAL!$H$2:$H$80),MATCH($B725,PERSONAL!$A$2:$A$80,0)))))</f>
        <v/>
      </c>
    </row>
    <row r="726" ht="15" customHeight="1" s="58">
      <c r="A726" s="37" t="n"/>
      <c r="B726" s="38" t="n"/>
      <c r="C726" s="39" t="n"/>
      <c r="D726" s="39" t="n"/>
      <c r="E726" s="34">
        <f t="array" ref="E726">IF($B726="","",IFERROR(INDEX(PERSONAL!$B$2:$B$80,MATCH($B726,PERSONAL!$A$2:$A$80,0)),"NO EXISTE"))</f>
        <v/>
      </c>
      <c r="F726" s="52">
        <f t="array" ref="F726">IF($B726="","",IFERROR(INDEX(PERSONAL!$C$2:$C$80,MATCH($B726,PERSONAL!$A$2:$A$80,0)),""))</f>
        <v/>
      </c>
      <c r="G726" s="52">
        <f>IF($A726="","",CHOOSE(WEEKDAY($A726,2),"LUNES","MARTES","MIÉRCOLES","JUEVES","VIERNES","SÁBADO","DOMINGO"))</f>
        <v/>
      </c>
      <c r="H726" s="34">
        <f>IF($A726="","",CHOOSE(MONTH($A726),"ENERO","FEBRERO","MARZO","ABRIL","MAYO","JUNIO","JULIO","AGOSTO","SEPTIEMBRE","OCTUBRE","NOVIEMBRE","DICIEMBRE"))</f>
        <v/>
      </c>
      <c r="I726" s="34">
        <f>IF($A726="","",IF(OR($G726="SÁBADO",$G726="DOMINGO"),"FIN","LV"))</f>
        <v/>
      </c>
      <c r="J726" s="34">
        <f>IF(OR($A726="",$B726=""),"",IF($L726&lt;&gt;"",UPPER($L726),IF($C726="","FALTA",IFERROR(IF($C726&gt;=$O726,"ROJO FUERTE",IF($C726&gt;=$N726,"ROJO",IF($C726&gt;=$M726,"AMARILLO","VERDE"))),"REVISAR"))))</f>
        <v/>
      </c>
      <c r="K726" s="36">
        <f>IF(OR($C726="",$D726=""),"",IF($D726&gt;=$C726,($D726-$C726)*24,(1-$C726+$D726)*24))</f>
        <v/>
      </c>
      <c r="L726" s="34" t="n"/>
      <c r="M726" s="53">
        <f t="array" ref="M726">IFERROR(INDEX(EXCEPCIONES_FECHA!$D$2:$D$201,MATCH(1,(EXCEPCIONES_FECHA!$A$2:$A$201=$A726)*(EXCEPCIONES_FECHA!$B$2:$B$201=$B726),0)),IFERROR(INDEX(EXCEPCIONES_FECHA!$D$2:$D$201,MATCH(1,(EXCEPCIONES_FECHA!$A$2:$A$201=$A726)*(EXCEPCIONES_FECHA!$B$2:$B$201=""),0)),IFERROR(INDEX(IF($I726="FIN",HISTORIAL_HORARIOS!$J$2:$J$201,HISTORIAL_HORARIOS!$F$2:$F$201),MATCH(1,(HISTORIAL_HORARIOS!$A$2:$A$201=$B726)*(HISTORIAL_HORARIOS!$C$2:$C$201&lt;=$A726)*(HISTORIAL_HORARIOS!$D$2:$D$201&gt;=$A726),0)),INDEX(IF($I726="FIN",PERSONAL!$J$2:$J$80,PERSONAL!$F$2:$F$80),MATCH($B726,PERSONAL!$A$2:$A$80,0)))))</f>
        <v/>
      </c>
      <c r="N726" s="53">
        <f t="array" ref="N726">IFERROR(INDEX(EXCEPCIONES_FECHA!$E$2:$E$201,MATCH(1,(EXCEPCIONES_FECHA!$A$2:$A$201=$A726)*(EXCEPCIONES_FECHA!$B$2:$B$201=$B726),0)),IFERROR(INDEX(EXCEPCIONES_FECHA!$E$2:$E$201,MATCH(1,(EXCEPCIONES_FECHA!$A$2:$A$201=$A726)*(EXCEPCIONES_FECHA!$B$2:$B$201=""),0)),IFERROR(INDEX(IF($I726="FIN",HISTORIAL_HORARIOS!$K$2:$K$201,HISTORIAL_HORARIOS!$G$2:$G$201),MATCH(1,(HISTORIAL_HORARIOS!$A$2:$A$201=$B726)*(HISTORIAL_HORARIOS!$C$2:$C$201&lt;=$A726)*(HISTORIAL_HORARIOS!$D$2:$D$201&gt;=$A726),0)),INDEX(IF($I726="FIN",PERSONAL!$K$2:$K$80,PERSONAL!$G$2:$G$80),MATCH($B726,PERSONAL!$A$2:$A$80,0)))))</f>
        <v/>
      </c>
      <c r="O726" s="53">
        <f t="array" ref="O726">IFERROR(INDEX(EXCEPCIONES_FECHA!$F$2:$F$201,MATCH(1,(EXCEPCIONES_FECHA!$A$2:$A$201=$A726)*(EXCEPCIONES_FECHA!$B$2:$B$201=$B726),0)),IFERROR(INDEX(EXCEPCIONES_FECHA!$F$2:$F$201,MATCH(1,(EXCEPCIONES_FECHA!$A$2:$A$201=$A726)*(EXCEPCIONES_FECHA!$B$2:$B$201=""),0)),IFERROR(INDEX(IF($I726="FIN",HISTORIAL_HORARIOS!$L$2:$L$201,HISTORIAL_HORARIOS!$H$2:$H$201),MATCH(1,(HISTORIAL_HORARIOS!$A$2:$A$201=$B726)*(HISTORIAL_HORARIOS!$C$2:$C$201&lt;=$A726)*(HISTORIAL_HORARIOS!$D$2:$D$201&gt;=$A726),0)),INDEX(IF($I726="FIN",PERSONAL!$L$2:$L$80,PERSONAL!$H$2:$H$80),MATCH($B726,PERSONAL!$A$2:$A$80,0)))))</f>
        <v/>
      </c>
    </row>
    <row r="727" ht="15" customHeight="1" s="58">
      <c r="A727" s="37" t="n"/>
      <c r="B727" s="38" t="n"/>
      <c r="C727" s="39" t="n"/>
      <c r="D727" s="39" t="n"/>
      <c r="E727" s="34">
        <f t="array" ref="E727">IF($B727="","",IFERROR(INDEX(PERSONAL!$B$2:$B$80,MATCH($B727,PERSONAL!$A$2:$A$80,0)),"NO EXISTE"))</f>
        <v/>
      </c>
      <c r="F727" s="52">
        <f t="array" ref="F727">IF($B727="","",IFERROR(INDEX(PERSONAL!$C$2:$C$80,MATCH($B727,PERSONAL!$A$2:$A$80,0)),""))</f>
        <v/>
      </c>
      <c r="G727" s="52">
        <f>IF($A727="","",CHOOSE(WEEKDAY($A727,2),"LUNES","MARTES","MIÉRCOLES","JUEVES","VIERNES","SÁBADO","DOMINGO"))</f>
        <v/>
      </c>
      <c r="H727" s="34">
        <f>IF($A727="","",CHOOSE(MONTH($A727),"ENERO","FEBRERO","MARZO","ABRIL","MAYO","JUNIO","JULIO","AGOSTO","SEPTIEMBRE","OCTUBRE","NOVIEMBRE","DICIEMBRE"))</f>
        <v/>
      </c>
      <c r="I727" s="34">
        <f>IF($A727="","",IF(OR($G727="SÁBADO",$G727="DOMINGO"),"FIN","LV"))</f>
        <v/>
      </c>
      <c r="J727" s="34">
        <f>IF(OR($A727="",$B727=""),"",IF($L727&lt;&gt;"",UPPER($L727),IF($C727="","FALTA",IFERROR(IF($C727&gt;=$O727,"ROJO FUERTE",IF($C727&gt;=$N727,"ROJO",IF($C727&gt;=$M727,"AMARILLO","VERDE"))),"REVISAR"))))</f>
        <v/>
      </c>
      <c r="K727" s="36">
        <f>IF(OR($C727="",$D727=""),"",IF($D727&gt;=$C727,($D727-$C727)*24,(1-$C727+$D727)*24))</f>
        <v/>
      </c>
      <c r="L727" s="34" t="n"/>
      <c r="M727" s="53">
        <f t="array" ref="M727">IFERROR(INDEX(EXCEPCIONES_FECHA!$D$2:$D$201,MATCH(1,(EXCEPCIONES_FECHA!$A$2:$A$201=$A727)*(EXCEPCIONES_FECHA!$B$2:$B$201=$B727),0)),IFERROR(INDEX(EXCEPCIONES_FECHA!$D$2:$D$201,MATCH(1,(EXCEPCIONES_FECHA!$A$2:$A$201=$A727)*(EXCEPCIONES_FECHA!$B$2:$B$201=""),0)),IFERROR(INDEX(IF($I727="FIN",HISTORIAL_HORARIOS!$J$2:$J$201,HISTORIAL_HORARIOS!$F$2:$F$201),MATCH(1,(HISTORIAL_HORARIOS!$A$2:$A$201=$B727)*(HISTORIAL_HORARIOS!$C$2:$C$201&lt;=$A727)*(HISTORIAL_HORARIOS!$D$2:$D$201&gt;=$A727),0)),INDEX(IF($I727="FIN",PERSONAL!$J$2:$J$80,PERSONAL!$F$2:$F$80),MATCH($B727,PERSONAL!$A$2:$A$80,0)))))</f>
        <v/>
      </c>
      <c r="N727" s="53">
        <f t="array" ref="N727">IFERROR(INDEX(EXCEPCIONES_FECHA!$E$2:$E$201,MATCH(1,(EXCEPCIONES_FECHA!$A$2:$A$201=$A727)*(EXCEPCIONES_FECHA!$B$2:$B$201=$B727),0)),IFERROR(INDEX(EXCEPCIONES_FECHA!$E$2:$E$201,MATCH(1,(EXCEPCIONES_FECHA!$A$2:$A$201=$A727)*(EXCEPCIONES_FECHA!$B$2:$B$201=""),0)),IFERROR(INDEX(IF($I727="FIN",HISTORIAL_HORARIOS!$K$2:$K$201,HISTORIAL_HORARIOS!$G$2:$G$201),MATCH(1,(HISTORIAL_HORARIOS!$A$2:$A$201=$B727)*(HISTORIAL_HORARIOS!$C$2:$C$201&lt;=$A727)*(HISTORIAL_HORARIOS!$D$2:$D$201&gt;=$A727),0)),INDEX(IF($I727="FIN",PERSONAL!$K$2:$K$80,PERSONAL!$G$2:$G$80),MATCH($B727,PERSONAL!$A$2:$A$80,0)))))</f>
        <v/>
      </c>
      <c r="O727" s="53">
        <f t="array" ref="O727">IFERROR(INDEX(EXCEPCIONES_FECHA!$F$2:$F$201,MATCH(1,(EXCEPCIONES_FECHA!$A$2:$A$201=$A727)*(EXCEPCIONES_FECHA!$B$2:$B$201=$B727),0)),IFERROR(INDEX(EXCEPCIONES_FECHA!$F$2:$F$201,MATCH(1,(EXCEPCIONES_FECHA!$A$2:$A$201=$A727)*(EXCEPCIONES_FECHA!$B$2:$B$201=""),0)),IFERROR(INDEX(IF($I727="FIN",HISTORIAL_HORARIOS!$L$2:$L$201,HISTORIAL_HORARIOS!$H$2:$H$201),MATCH(1,(HISTORIAL_HORARIOS!$A$2:$A$201=$B727)*(HISTORIAL_HORARIOS!$C$2:$C$201&lt;=$A727)*(HISTORIAL_HORARIOS!$D$2:$D$201&gt;=$A727),0)),INDEX(IF($I727="FIN",PERSONAL!$L$2:$L$80,PERSONAL!$H$2:$H$80),MATCH($B727,PERSONAL!$A$2:$A$80,0)))))</f>
        <v/>
      </c>
    </row>
    <row r="728" ht="15" customHeight="1" s="58">
      <c r="A728" s="37" t="n"/>
      <c r="B728" s="38" t="n"/>
      <c r="C728" s="39" t="n"/>
      <c r="D728" s="39" t="n"/>
      <c r="E728" s="34">
        <f t="array" ref="E728">IF($B728="","",IFERROR(INDEX(PERSONAL!$B$2:$B$80,MATCH($B728,PERSONAL!$A$2:$A$80,0)),"NO EXISTE"))</f>
        <v/>
      </c>
      <c r="F728" s="52">
        <f t="array" ref="F728">IF($B728="","",IFERROR(INDEX(PERSONAL!$C$2:$C$80,MATCH($B728,PERSONAL!$A$2:$A$80,0)),""))</f>
        <v/>
      </c>
      <c r="G728" s="52">
        <f>IF($A728="","",CHOOSE(WEEKDAY($A728,2),"LUNES","MARTES","MIÉRCOLES","JUEVES","VIERNES","SÁBADO","DOMINGO"))</f>
        <v/>
      </c>
      <c r="H728" s="34">
        <f>IF($A728="","",CHOOSE(MONTH($A728),"ENERO","FEBRERO","MARZO","ABRIL","MAYO","JUNIO","JULIO","AGOSTO","SEPTIEMBRE","OCTUBRE","NOVIEMBRE","DICIEMBRE"))</f>
        <v/>
      </c>
      <c r="I728" s="34">
        <f>IF($A728="","",IF(OR($G728="SÁBADO",$G728="DOMINGO"),"FIN","LV"))</f>
        <v/>
      </c>
      <c r="J728" s="34">
        <f>IF(OR($A728="",$B728=""),"",IF($L728&lt;&gt;"",UPPER($L728),IF($C728="","FALTA",IFERROR(IF($C728&gt;=$O728,"ROJO FUERTE",IF($C728&gt;=$N728,"ROJO",IF($C728&gt;=$M728,"AMARILLO","VERDE"))),"REVISAR"))))</f>
        <v/>
      </c>
      <c r="K728" s="36">
        <f>IF(OR($C728="",$D728=""),"",IF($D728&gt;=$C728,($D728-$C728)*24,(1-$C728+$D728)*24))</f>
        <v/>
      </c>
      <c r="L728" s="34" t="n"/>
      <c r="M728" s="53">
        <f t="array" ref="M728">IFERROR(INDEX(EXCEPCIONES_FECHA!$D$2:$D$201,MATCH(1,(EXCEPCIONES_FECHA!$A$2:$A$201=$A728)*(EXCEPCIONES_FECHA!$B$2:$B$201=$B728),0)),IFERROR(INDEX(EXCEPCIONES_FECHA!$D$2:$D$201,MATCH(1,(EXCEPCIONES_FECHA!$A$2:$A$201=$A728)*(EXCEPCIONES_FECHA!$B$2:$B$201=""),0)),IFERROR(INDEX(IF($I728="FIN",HISTORIAL_HORARIOS!$J$2:$J$201,HISTORIAL_HORARIOS!$F$2:$F$201),MATCH(1,(HISTORIAL_HORARIOS!$A$2:$A$201=$B728)*(HISTORIAL_HORARIOS!$C$2:$C$201&lt;=$A728)*(HISTORIAL_HORARIOS!$D$2:$D$201&gt;=$A728),0)),INDEX(IF($I728="FIN",PERSONAL!$J$2:$J$80,PERSONAL!$F$2:$F$80),MATCH($B728,PERSONAL!$A$2:$A$80,0)))))</f>
        <v/>
      </c>
      <c r="N728" s="53">
        <f t="array" ref="N728">IFERROR(INDEX(EXCEPCIONES_FECHA!$E$2:$E$201,MATCH(1,(EXCEPCIONES_FECHA!$A$2:$A$201=$A728)*(EXCEPCIONES_FECHA!$B$2:$B$201=$B728),0)),IFERROR(INDEX(EXCEPCIONES_FECHA!$E$2:$E$201,MATCH(1,(EXCEPCIONES_FECHA!$A$2:$A$201=$A728)*(EXCEPCIONES_FECHA!$B$2:$B$201=""),0)),IFERROR(INDEX(IF($I728="FIN",HISTORIAL_HORARIOS!$K$2:$K$201,HISTORIAL_HORARIOS!$G$2:$G$201),MATCH(1,(HISTORIAL_HORARIOS!$A$2:$A$201=$B728)*(HISTORIAL_HORARIOS!$C$2:$C$201&lt;=$A728)*(HISTORIAL_HORARIOS!$D$2:$D$201&gt;=$A728),0)),INDEX(IF($I728="FIN",PERSONAL!$K$2:$K$80,PERSONAL!$G$2:$G$80),MATCH($B728,PERSONAL!$A$2:$A$80,0)))))</f>
        <v/>
      </c>
      <c r="O728" s="53">
        <f t="array" ref="O728">IFERROR(INDEX(EXCEPCIONES_FECHA!$F$2:$F$201,MATCH(1,(EXCEPCIONES_FECHA!$A$2:$A$201=$A728)*(EXCEPCIONES_FECHA!$B$2:$B$201=$B728),0)),IFERROR(INDEX(EXCEPCIONES_FECHA!$F$2:$F$201,MATCH(1,(EXCEPCIONES_FECHA!$A$2:$A$201=$A728)*(EXCEPCIONES_FECHA!$B$2:$B$201=""),0)),IFERROR(INDEX(IF($I728="FIN",HISTORIAL_HORARIOS!$L$2:$L$201,HISTORIAL_HORARIOS!$H$2:$H$201),MATCH(1,(HISTORIAL_HORARIOS!$A$2:$A$201=$B728)*(HISTORIAL_HORARIOS!$C$2:$C$201&lt;=$A728)*(HISTORIAL_HORARIOS!$D$2:$D$201&gt;=$A728),0)),INDEX(IF($I728="FIN",PERSONAL!$L$2:$L$80,PERSONAL!$H$2:$H$80),MATCH($B728,PERSONAL!$A$2:$A$80,0)))))</f>
        <v/>
      </c>
    </row>
    <row r="729" ht="15" customHeight="1" s="58">
      <c r="A729" s="37" t="n"/>
      <c r="B729" s="38" t="n"/>
      <c r="C729" s="39" t="n"/>
      <c r="D729" s="39" t="n"/>
      <c r="E729" s="34">
        <f t="array" ref="E729">IF($B729="","",IFERROR(INDEX(PERSONAL!$B$2:$B$80,MATCH($B729,PERSONAL!$A$2:$A$80,0)),"NO EXISTE"))</f>
        <v/>
      </c>
      <c r="F729" s="52">
        <f t="array" ref="F729">IF($B729="","",IFERROR(INDEX(PERSONAL!$C$2:$C$80,MATCH($B729,PERSONAL!$A$2:$A$80,0)),""))</f>
        <v/>
      </c>
      <c r="G729" s="52">
        <f>IF($A729="","",CHOOSE(WEEKDAY($A729,2),"LUNES","MARTES","MIÉRCOLES","JUEVES","VIERNES","SÁBADO","DOMINGO"))</f>
        <v/>
      </c>
      <c r="H729" s="34">
        <f>IF($A729="","",CHOOSE(MONTH($A729),"ENERO","FEBRERO","MARZO","ABRIL","MAYO","JUNIO","JULIO","AGOSTO","SEPTIEMBRE","OCTUBRE","NOVIEMBRE","DICIEMBRE"))</f>
        <v/>
      </c>
      <c r="I729" s="34">
        <f>IF($A729="","",IF(OR($G729="SÁBADO",$G729="DOMINGO"),"FIN","LV"))</f>
        <v/>
      </c>
      <c r="J729" s="34">
        <f>IF(OR($A729="",$B729=""),"",IF($L729&lt;&gt;"",UPPER($L729),IF($C729="","FALTA",IFERROR(IF($C729&gt;=$O729,"ROJO FUERTE",IF($C729&gt;=$N729,"ROJO",IF($C729&gt;=$M729,"AMARILLO","VERDE"))),"REVISAR"))))</f>
        <v/>
      </c>
      <c r="K729" s="36">
        <f>IF(OR($C729="",$D729=""),"",IF($D729&gt;=$C729,($D729-$C729)*24,(1-$C729+$D729)*24))</f>
        <v/>
      </c>
      <c r="L729" s="34" t="n"/>
      <c r="M729" s="53">
        <f t="array" ref="M729">IFERROR(INDEX(EXCEPCIONES_FECHA!$D$2:$D$201,MATCH(1,(EXCEPCIONES_FECHA!$A$2:$A$201=$A729)*(EXCEPCIONES_FECHA!$B$2:$B$201=$B729),0)),IFERROR(INDEX(EXCEPCIONES_FECHA!$D$2:$D$201,MATCH(1,(EXCEPCIONES_FECHA!$A$2:$A$201=$A729)*(EXCEPCIONES_FECHA!$B$2:$B$201=""),0)),IFERROR(INDEX(IF($I729="FIN",HISTORIAL_HORARIOS!$J$2:$J$201,HISTORIAL_HORARIOS!$F$2:$F$201),MATCH(1,(HISTORIAL_HORARIOS!$A$2:$A$201=$B729)*(HISTORIAL_HORARIOS!$C$2:$C$201&lt;=$A729)*(HISTORIAL_HORARIOS!$D$2:$D$201&gt;=$A729),0)),INDEX(IF($I729="FIN",PERSONAL!$J$2:$J$80,PERSONAL!$F$2:$F$80),MATCH($B729,PERSONAL!$A$2:$A$80,0)))))</f>
        <v/>
      </c>
      <c r="N729" s="53">
        <f t="array" ref="N729">IFERROR(INDEX(EXCEPCIONES_FECHA!$E$2:$E$201,MATCH(1,(EXCEPCIONES_FECHA!$A$2:$A$201=$A729)*(EXCEPCIONES_FECHA!$B$2:$B$201=$B729),0)),IFERROR(INDEX(EXCEPCIONES_FECHA!$E$2:$E$201,MATCH(1,(EXCEPCIONES_FECHA!$A$2:$A$201=$A729)*(EXCEPCIONES_FECHA!$B$2:$B$201=""),0)),IFERROR(INDEX(IF($I729="FIN",HISTORIAL_HORARIOS!$K$2:$K$201,HISTORIAL_HORARIOS!$G$2:$G$201),MATCH(1,(HISTORIAL_HORARIOS!$A$2:$A$201=$B729)*(HISTORIAL_HORARIOS!$C$2:$C$201&lt;=$A729)*(HISTORIAL_HORARIOS!$D$2:$D$201&gt;=$A729),0)),INDEX(IF($I729="FIN",PERSONAL!$K$2:$K$80,PERSONAL!$G$2:$G$80),MATCH($B729,PERSONAL!$A$2:$A$80,0)))))</f>
        <v/>
      </c>
      <c r="O729" s="53">
        <f t="array" ref="O729">IFERROR(INDEX(EXCEPCIONES_FECHA!$F$2:$F$201,MATCH(1,(EXCEPCIONES_FECHA!$A$2:$A$201=$A729)*(EXCEPCIONES_FECHA!$B$2:$B$201=$B729),0)),IFERROR(INDEX(EXCEPCIONES_FECHA!$F$2:$F$201,MATCH(1,(EXCEPCIONES_FECHA!$A$2:$A$201=$A729)*(EXCEPCIONES_FECHA!$B$2:$B$201=""),0)),IFERROR(INDEX(IF($I729="FIN",HISTORIAL_HORARIOS!$L$2:$L$201,HISTORIAL_HORARIOS!$H$2:$H$201),MATCH(1,(HISTORIAL_HORARIOS!$A$2:$A$201=$B729)*(HISTORIAL_HORARIOS!$C$2:$C$201&lt;=$A729)*(HISTORIAL_HORARIOS!$D$2:$D$201&gt;=$A729),0)),INDEX(IF($I729="FIN",PERSONAL!$L$2:$L$80,PERSONAL!$H$2:$H$80),MATCH($B729,PERSONAL!$A$2:$A$80,0)))))</f>
        <v/>
      </c>
    </row>
    <row r="730" ht="15" customHeight="1" s="58">
      <c r="A730" s="37" t="n"/>
      <c r="B730" s="38" t="n"/>
      <c r="C730" s="39" t="n"/>
      <c r="D730" s="39" t="n"/>
      <c r="E730" s="34">
        <f t="array" ref="E730">IF($B730="","",IFERROR(INDEX(PERSONAL!$B$2:$B$80,MATCH($B730,PERSONAL!$A$2:$A$80,0)),"NO EXISTE"))</f>
        <v/>
      </c>
      <c r="F730" s="52">
        <f t="array" ref="F730">IF($B730="","",IFERROR(INDEX(PERSONAL!$C$2:$C$80,MATCH($B730,PERSONAL!$A$2:$A$80,0)),""))</f>
        <v/>
      </c>
      <c r="G730" s="52">
        <f>IF($A730="","",CHOOSE(WEEKDAY($A730,2),"LUNES","MARTES","MIÉRCOLES","JUEVES","VIERNES","SÁBADO","DOMINGO"))</f>
        <v/>
      </c>
      <c r="H730" s="34">
        <f>IF($A730="","",CHOOSE(MONTH($A730),"ENERO","FEBRERO","MARZO","ABRIL","MAYO","JUNIO","JULIO","AGOSTO","SEPTIEMBRE","OCTUBRE","NOVIEMBRE","DICIEMBRE"))</f>
        <v/>
      </c>
      <c r="I730" s="34">
        <f>IF($A730="","",IF(OR($G730="SÁBADO",$G730="DOMINGO"),"FIN","LV"))</f>
        <v/>
      </c>
      <c r="J730" s="34">
        <f>IF(OR($A730="",$B730=""),"",IF($L730&lt;&gt;"",UPPER($L730),IF($C730="","FALTA",IFERROR(IF($C730&gt;=$O730,"ROJO FUERTE",IF($C730&gt;=$N730,"ROJO",IF($C730&gt;=$M730,"AMARILLO","VERDE"))),"REVISAR"))))</f>
        <v/>
      </c>
      <c r="K730" s="36">
        <f>IF(OR($C730="",$D730=""),"",IF($D730&gt;=$C730,($D730-$C730)*24,(1-$C730+$D730)*24))</f>
        <v/>
      </c>
      <c r="L730" s="34" t="n"/>
      <c r="M730" s="53">
        <f t="array" ref="M730">IFERROR(INDEX(EXCEPCIONES_FECHA!$D$2:$D$201,MATCH(1,(EXCEPCIONES_FECHA!$A$2:$A$201=$A730)*(EXCEPCIONES_FECHA!$B$2:$B$201=$B730),0)),IFERROR(INDEX(EXCEPCIONES_FECHA!$D$2:$D$201,MATCH(1,(EXCEPCIONES_FECHA!$A$2:$A$201=$A730)*(EXCEPCIONES_FECHA!$B$2:$B$201=""),0)),IFERROR(INDEX(IF($I730="FIN",HISTORIAL_HORARIOS!$J$2:$J$201,HISTORIAL_HORARIOS!$F$2:$F$201),MATCH(1,(HISTORIAL_HORARIOS!$A$2:$A$201=$B730)*(HISTORIAL_HORARIOS!$C$2:$C$201&lt;=$A730)*(HISTORIAL_HORARIOS!$D$2:$D$201&gt;=$A730),0)),INDEX(IF($I730="FIN",PERSONAL!$J$2:$J$80,PERSONAL!$F$2:$F$80),MATCH($B730,PERSONAL!$A$2:$A$80,0)))))</f>
        <v/>
      </c>
      <c r="N730" s="53">
        <f t="array" ref="N730">IFERROR(INDEX(EXCEPCIONES_FECHA!$E$2:$E$201,MATCH(1,(EXCEPCIONES_FECHA!$A$2:$A$201=$A730)*(EXCEPCIONES_FECHA!$B$2:$B$201=$B730),0)),IFERROR(INDEX(EXCEPCIONES_FECHA!$E$2:$E$201,MATCH(1,(EXCEPCIONES_FECHA!$A$2:$A$201=$A730)*(EXCEPCIONES_FECHA!$B$2:$B$201=""),0)),IFERROR(INDEX(IF($I730="FIN",HISTORIAL_HORARIOS!$K$2:$K$201,HISTORIAL_HORARIOS!$G$2:$G$201),MATCH(1,(HISTORIAL_HORARIOS!$A$2:$A$201=$B730)*(HISTORIAL_HORARIOS!$C$2:$C$201&lt;=$A730)*(HISTORIAL_HORARIOS!$D$2:$D$201&gt;=$A730),0)),INDEX(IF($I730="FIN",PERSONAL!$K$2:$K$80,PERSONAL!$G$2:$G$80),MATCH($B730,PERSONAL!$A$2:$A$80,0)))))</f>
        <v/>
      </c>
      <c r="O730" s="53">
        <f t="array" ref="O730">IFERROR(INDEX(EXCEPCIONES_FECHA!$F$2:$F$201,MATCH(1,(EXCEPCIONES_FECHA!$A$2:$A$201=$A730)*(EXCEPCIONES_FECHA!$B$2:$B$201=$B730),0)),IFERROR(INDEX(EXCEPCIONES_FECHA!$F$2:$F$201,MATCH(1,(EXCEPCIONES_FECHA!$A$2:$A$201=$A730)*(EXCEPCIONES_FECHA!$B$2:$B$201=""),0)),IFERROR(INDEX(IF($I730="FIN",HISTORIAL_HORARIOS!$L$2:$L$201,HISTORIAL_HORARIOS!$H$2:$H$201),MATCH(1,(HISTORIAL_HORARIOS!$A$2:$A$201=$B730)*(HISTORIAL_HORARIOS!$C$2:$C$201&lt;=$A730)*(HISTORIAL_HORARIOS!$D$2:$D$201&gt;=$A730),0)),INDEX(IF($I730="FIN",PERSONAL!$L$2:$L$80,PERSONAL!$H$2:$H$80),MATCH($B730,PERSONAL!$A$2:$A$80,0)))))</f>
        <v/>
      </c>
    </row>
    <row r="731" ht="15" customHeight="1" s="58">
      <c r="A731" s="37" t="n"/>
      <c r="B731" s="38" t="n"/>
      <c r="C731" s="39" t="n"/>
      <c r="D731" s="39" t="n"/>
      <c r="E731" s="34">
        <f t="array" ref="E731">IF($B731="","",IFERROR(INDEX(PERSONAL!$B$2:$B$80,MATCH($B731,PERSONAL!$A$2:$A$80,0)),"NO EXISTE"))</f>
        <v/>
      </c>
      <c r="F731" s="52">
        <f t="array" ref="F731">IF($B731="","",IFERROR(INDEX(PERSONAL!$C$2:$C$80,MATCH($B731,PERSONAL!$A$2:$A$80,0)),""))</f>
        <v/>
      </c>
      <c r="G731" s="52">
        <f>IF($A731="","",CHOOSE(WEEKDAY($A731,2),"LUNES","MARTES","MIÉRCOLES","JUEVES","VIERNES","SÁBADO","DOMINGO"))</f>
        <v/>
      </c>
      <c r="H731" s="34">
        <f>IF($A731="","",CHOOSE(MONTH($A731),"ENERO","FEBRERO","MARZO","ABRIL","MAYO","JUNIO","JULIO","AGOSTO","SEPTIEMBRE","OCTUBRE","NOVIEMBRE","DICIEMBRE"))</f>
        <v/>
      </c>
      <c r="I731" s="34">
        <f>IF($A731="","",IF(OR($G731="SÁBADO",$G731="DOMINGO"),"FIN","LV"))</f>
        <v/>
      </c>
      <c r="J731" s="34">
        <f>IF(OR($A731="",$B731=""),"",IF($L731&lt;&gt;"",UPPER($L731),IF($C731="","FALTA",IFERROR(IF($C731&gt;=$O731,"ROJO FUERTE",IF($C731&gt;=$N731,"ROJO",IF($C731&gt;=$M731,"AMARILLO","VERDE"))),"REVISAR"))))</f>
        <v/>
      </c>
      <c r="K731" s="36">
        <f>IF(OR($C731="",$D731=""),"",IF($D731&gt;=$C731,($D731-$C731)*24,(1-$C731+$D731)*24))</f>
        <v/>
      </c>
      <c r="L731" s="34" t="n"/>
      <c r="M731" s="53">
        <f t="array" ref="M731">IFERROR(INDEX(EXCEPCIONES_FECHA!$D$2:$D$201,MATCH(1,(EXCEPCIONES_FECHA!$A$2:$A$201=$A731)*(EXCEPCIONES_FECHA!$B$2:$B$201=$B731),0)),IFERROR(INDEX(EXCEPCIONES_FECHA!$D$2:$D$201,MATCH(1,(EXCEPCIONES_FECHA!$A$2:$A$201=$A731)*(EXCEPCIONES_FECHA!$B$2:$B$201=""),0)),IFERROR(INDEX(IF($I731="FIN",HISTORIAL_HORARIOS!$J$2:$J$201,HISTORIAL_HORARIOS!$F$2:$F$201),MATCH(1,(HISTORIAL_HORARIOS!$A$2:$A$201=$B731)*(HISTORIAL_HORARIOS!$C$2:$C$201&lt;=$A731)*(HISTORIAL_HORARIOS!$D$2:$D$201&gt;=$A731),0)),INDEX(IF($I731="FIN",PERSONAL!$J$2:$J$80,PERSONAL!$F$2:$F$80),MATCH($B731,PERSONAL!$A$2:$A$80,0)))))</f>
        <v/>
      </c>
      <c r="N731" s="53">
        <f t="array" ref="N731">IFERROR(INDEX(EXCEPCIONES_FECHA!$E$2:$E$201,MATCH(1,(EXCEPCIONES_FECHA!$A$2:$A$201=$A731)*(EXCEPCIONES_FECHA!$B$2:$B$201=$B731),0)),IFERROR(INDEX(EXCEPCIONES_FECHA!$E$2:$E$201,MATCH(1,(EXCEPCIONES_FECHA!$A$2:$A$201=$A731)*(EXCEPCIONES_FECHA!$B$2:$B$201=""),0)),IFERROR(INDEX(IF($I731="FIN",HISTORIAL_HORARIOS!$K$2:$K$201,HISTORIAL_HORARIOS!$G$2:$G$201),MATCH(1,(HISTORIAL_HORARIOS!$A$2:$A$201=$B731)*(HISTORIAL_HORARIOS!$C$2:$C$201&lt;=$A731)*(HISTORIAL_HORARIOS!$D$2:$D$201&gt;=$A731),0)),INDEX(IF($I731="FIN",PERSONAL!$K$2:$K$80,PERSONAL!$G$2:$G$80),MATCH($B731,PERSONAL!$A$2:$A$80,0)))))</f>
        <v/>
      </c>
      <c r="O731" s="53">
        <f t="array" ref="O731">IFERROR(INDEX(EXCEPCIONES_FECHA!$F$2:$F$201,MATCH(1,(EXCEPCIONES_FECHA!$A$2:$A$201=$A731)*(EXCEPCIONES_FECHA!$B$2:$B$201=$B731),0)),IFERROR(INDEX(EXCEPCIONES_FECHA!$F$2:$F$201,MATCH(1,(EXCEPCIONES_FECHA!$A$2:$A$201=$A731)*(EXCEPCIONES_FECHA!$B$2:$B$201=""),0)),IFERROR(INDEX(IF($I731="FIN",HISTORIAL_HORARIOS!$L$2:$L$201,HISTORIAL_HORARIOS!$H$2:$H$201),MATCH(1,(HISTORIAL_HORARIOS!$A$2:$A$201=$B731)*(HISTORIAL_HORARIOS!$C$2:$C$201&lt;=$A731)*(HISTORIAL_HORARIOS!$D$2:$D$201&gt;=$A731),0)),INDEX(IF($I731="FIN",PERSONAL!$L$2:$L$80,PERSONAL!$H$2:$H$80),MATCH($B731,PERSONAL!$A$2:$A$80,0)))))</f>
        <v/>
      </c>
    </row>
    <row r="732" ht="15" customHeight="1" s="58">
      <c r="A732" s="37" t="n"/>
      <c r="B732" s="38" t="n"/>
      <c r="C732" s="39" t="n"/>
      <c r="D732" s="39" t="n"/>
      <c r="E732" s="34">
        <f t="array" ref="E732">IF($B732="","",IFERROR(INDEX(PERSONAL!$B$2:$B$80,MATCH($B732,PERSONAL!$A$2:$A$80,0)),"NO EXISTE"))</f>
        <v/>
      </c>
      <c r="F732" s="52">
        <f t="array" ref="F732">IF($B732="","",IFERROR(INDEX(PERSONAL!$C$2:$C$80,MATCH($B732,PERSONAL!$A$2:$A$80,0)),""))</f>
        <v/>
      </c>
      <c r="G732" s="52">
        <f>IF($A732="","",CHOOSE(WEEKDAY($A732,2),"LUNES","MARTES","MIÉRCOLES","JUEVES","VIERNES","SÁBADO","DOMINGO"))</f>
        <v/>
      </c>
      <c r="H732" s="34">
        <f>IF($A732="","",CHOOSE(MONTH($A732),"ENERO","FEBRERO","MARZO","ABRIL","MAYO","JUNIO","JULIO","AGOSTO","SEPTIEMBRE","OCTUBRE","NOVIEMBRE","DICIEMBRE"))</f>
        <v/>
      </c>
      <c r="I732" s="34">
        <f>IF($A732="","",IF(OR($G732="SÁBADO",$G732="DOMINGO"),"FIN","LV"))</f>
        <v/>
      </c>
      <c r="J732" s="34">
        <f>IF(OR($A732="",$B732=""),"",IF($L732&lt;&gt;"",UPPER($L732),IF($C732="","FALTA",IFERROR(IF($C732&gt;=$O732,"ROJO FUERTE",IF($C732&gt;=$N732,"ROJO",IF($C732&gt;=$M732,"AMARILLO","VERDE"))),"REVISAR"))))</f>
        <v/>
      </c>
      <c r="K732" s="36">
        <f>IF(OR($C732="",$D732=""),"",IF($D732&gt;=$C732,($D732-$C732)*24,(1-$C732+$D732)*24))</f>
        <v/>
      </c>
      <c r="L732" s="34" t="n"/>
      <c r="M732" s="53">
        <f t="array" ref="M732">IFERROR(INDEX(EXCEPCIONES_FECHA!$D$2:$D$201,MATCH(1,(EXCEPCIONES_FECHA!$A$2:$A$201=$A732)*(EXCEPCIONES_FECHA!$B$2:$B$201=$B732),0)),IFERROR(INDEX(EXCEPCIONES_FECHA!$D$2:$D$201,MATCH(1,(EXCEPCIONES_FECHA!$A$2:$A$201=$A732)*(EXCEPCIONES_FECHA!$B$2:$B$201=""),0)),IFERROR(INDEX(IF($I732="FIN",HISTORIAL_HORARIOS!$J$2:$J$201,HISTORIAL_HORARIOS!$F$2:$F$201),MATCH(1,(HISTORIAL_HORARIOS!$A$2:$A$201=$B732)*(HISTORIAL_HORARIOS!$C$2:$C$201&lt;=$A732)*(HISTORIAL_HORARIOS!$D$2:$D$201&gt;=$A732),0)),INDEX(IF($I732="FIN",PERSONAL!$J$2:$J$80,PERSONAL!$F$2:$F$80),MATCH($B732,PERSONAL!$A$2:$A$80,0)))))</f>
        <v/>
      </c>
      <c r="N732" s="53">
        <f t="array" ref="N732">IFERROR(INDEX(EXCEPCIONES_FECHA!$E$2:$E$201,MATCH(1,(EXCEPCIONES_FECHA!$A$2:$A$201=$A732)*(EXCEPCIONES_FECHA!$B$2:$B$201=$B732),0)),IFERROR(INDEX(EXCEPCIONES_FECHA!$E$2:$E$201,MATCH(1,(EXCEPCIONES_FECHA!$A$2:$A$201=$A732)*(EXCEPCIONES_FECHA!$B$2:$B$201=""),0)),IFERROR(INDEX(IF($I732="FIN",HISTORIAL_HORARIOS!$K$2:$K$201,HISTORIAL_HORARIOS!$G$2:$G$201),MATCH(1,(HISTORIAL_HORARIOS!$A$2:$A$201=$B732)*(HISTORIAL_HORARIOS!$C$2:$C$201&lt;=$A732)*(HISTORIAL_HORARIOS!$D$2:$D$201&gt;=$A732),0)),INDEX(IF($I732="FIN",PERSONAL!$K$2:$K$80,PERSONAL!$G$2:$G$80),MATCH($B732,PERSONAL!$A$2:$A$80,0)))))</f>
        <v/>
      </c>
      <c r="O732" s="53">
        <f t="array" ref="O732">IFERROR(INDEX(EXCEPCIONES_FECHA!$F$2:$F$201,MATCH(1,(EXCEPCIONES_FECHA!$A$2:$A$201=$A732)*(EXCEPCIONES_FECHA!$B$2:$B$201=$B732),0)),IFERROR(INDEX(EXCEPCIONES_FECHA!$F$2:$F$201,MATCH(1,(EXCEPCIONES_FECHA!$A$2:$A$201=$A732)*(EXCEPCIONES_FECHA!$B$2:$B$201=""),0)),IFERROR(INDEX(IF($I732="FIN",HISTORIAL_HORARIOS!$L$2:$L$201,HISTORIAL_HORARIOS!$H$2:$H$201),MATCH(1,(HISTORIAL_HORARIOS!$A$2:$A$201=$B732)*(HISTORIAL_HORARIOS!$C$2:$C$201&lt;=$A732)*(HISTORIAL_HORARIOS!$D$2:$D$201&gt;=$A732),0)),INDEX(IF($I732="FIN",PERSONAL!$L$2:$L$80,PERSONAL!$H$2:$H$80),MATCH($B732,PERSONAL!$A$2:$A$80,0)))))</f>
        <v/>
      </c>
    </row>
    <row r="733" ht="15" customHeight="1" s="58">
      <c r="A733" s="37" t="n"/>
      <c r="B733" s="38" t="n"/>
      <c r="C733" s="39" t="n"/>
      <c r="D733" s="39" t="n"/>
      <c r="E733" s="34">
        <f t="array" ref="E733">IF($B733="","",IFERROR(INDEX(PERSONAL!$B$2:$B$80,MATCH($B733,PERSONAL!$A$2:$A$80,0)),"NO EXISTE"))</f>
        <v/>
      </c>
      <c r="F733" s="52">
        <f t="array" ref="F733">IF($B733="","",IFERROR(INDEX(PERSONAL!$C$2:$C$80,MATCH($B733,PERSONAL!$A$2:$A$80,0)),""))</f>
        <v/>
      </c>
      <c r="G733" s="52">
        <f>IF($A733="","",CHOOSE(WEEKDAY($A733,2),"LUNES","MARTES","MIÉRCOLES","JUEVES","VIERNES","SÁBADO","DOMINGO"))</f>
        <v/>
      </c>
      <c r="H733" s="34">
        <f>IF($A733="","",CHOOSE(MONTH($A733),"ENERO","FEBRERO","MARZO","ABRIL","MAYO","JUNIO","JULIO","AGOSTO","SEPTIEMBRE","OCTUBRE","NOVIEMBRE","DICIEMBRE"))</f>
        <v/>
      </c>
      <c r="I733" s="34">
        <f>IF($A733="","",IF(OR($G733="SÁBADO",$G733="DOMINGO"),"FIN","LV"))</f>
        <v/>
      </c>
      <c r="J733" s="34">
        <f>IF(OR($A733="",$B733=""),"",IF($L733&lt;&gt;"",UPPER($L733),IF($C733="","FALTA",IFERROR(IF($C733&gt;=$O733,"ROJO FUERTE",IF($C733&gt;=$N733,"ROJO",IF($C733&gt;=$M733,"AMARILLO","VERDE"))),"REVISAR"))))</f>
        <v/>
      </c>
      <c r="K733" s="36">
        <f>IF(OR($C733="",$D733=""),"",IF($D733&gt;=$C733,($D733-$C733)*24,(1-$C733+$D733)*24))</f>
        <v/>
      </c>
      <c r="L733" s="34" t="n"/>
      <c r="M733" s="53">
        <f t="array" ref="M733">IFERROR(INDEX(EXCEPCIONES_FECHA!$D$2:$D$201,MATCH(1,(EXCEPCIONES_FECHA!$A$2:$A$201=$A733)*(EXCEPCIONES_FECHA!$B$2:$B$201=$B733),0)),IFERROR(INDEX(EXCEPCIONES_FECHA!$D$2:$D$201,MATCH(1,(EXCEPCIONES_FECHA!$A$2:$A$201=$A733)*(EXCEPCIONES_FECHA!$B$2:$B$201=""),0)),IFERROR(INDEX(IF($I733="FIN",HISTORIAL_HORARIOS!$J$2:$J$201,HISTORIAL_HORARIOS!$F$2:$F$201),MATCH(1,(HISTORIAL_HORARIOS!$A$2:$A$201=$B733)*(HISTORIAL_HORARIOS!$C$2:$C$201&lt;=$A733)*(HISTORIAL_HORARIOS!$D$2:$D$201&gt;=$A733),0)),INDEX(IF($I733="FIN",PERSONAL!$J$2:$J$80,PERSONAL!$F$2:$F$80),MATCH($B733,PERSONAL!$A$2:$A$80,0)))))</f>
        <v/>
      </c>
      <c r="N733" s="53">
        <f t="array" ref="N733">IFERROR(INDEX(EXCEPCIONES_FECHA!$E$2:$E$201,MATCH(1,(EXCEPCIONES_FECHA!$A$2:$A$201=$A733)*(EXCEPCIONES_FECHA!$B$2:$B$201=$B733),0)),IFERROR(INDEX(EXCEPCIONES_FECHA!$E$2:$E$201,MATCH(1,(EXCEPCIONES_FECHA!$A$2:$A$201=$A733)*(EXCEPCIONES_FECHA!$B$2:$B$201=""),0)),IFERROR(INDEX(IF($I733="FIN",HISTORIAL_HORARIOS!$K$2:$K$201,HISTORIAL_HORARIOS!$G$2:$G$201),MATCH(1,(HISTORIAL_HORARIOS!$A$2:$A$201=$B733)*(HISTORIAL_HORARIOS!$C$2:$C$201&lt;=$A733)*(HISTORIAL_HORARIOS!$D$2:$D$201&gt;=$A733),0)),INDEX(IF($I733="FIN",PERSONAL!$K$2:$K$80,PERSONAL!$G$2:$G$80),MATCH($B733,PERSONAL!$A$2:$A$80,0)))))</f>
        <v/>
      </c>
      <c r="O733" s="53">
        <f t="array" ref="O733">IFERROR(INDEX(EXCEPCIONES_FECHA!$F$2:$F$201,MATCH(1,(EXCEPCIONES_FECHA!$A$2:$A$201=$A733)*(EXCEPCIONES_FECHA!$B$2:$B$201=$B733),0)),IFERROR(INDEX(EXCEPCIONES_FECHA!$F$2:$F$201,MATCH(1,(EXCEPCIONES_FECHA!$A$2:$A$201=$A733)*(EXCEPCIONES_FECHA!$B$2:$B$201=""),0)),IFERROR(INDEX(IF($I733="FIN",HISTORIAL_HORARIOS!$L$2:$L$201,HISTORIAL_HORARIOS!$H$2:$H$201),MATCH(1,(HISTORIAL_HORARIOS!$A$2:$A$201=$B733)*(HISTORIAL_HORARIOS!$C$2:$C$201&lt;=$A733)*(HISTORIAL_HORARIOS!$D$2:$D$201&gt;=$A733),0)),INDEX(IF($I733="FIN",PERSONAL!$L$2:$L$80,PERSONAL!$H$2:$H$80),MATCH($B733,PERSONAL!$A$2:$A$80,0)))))</f>
        <v/>
      </c>
    </row>
    <row r="734" ht="15" customHeight="1" s="58">
      <c r="A734" s="37" t="n"/>
      <c r="B734" s="38" t="n"/>
      <c r="C734" s="39" t="n"/>
      <c r="D734" s="39" t="n"/>
      <c r="E734" s="34">
        <f t="array" ref="E734">IF($B734="","",IFERROR(INDEX(PERSONAL!$B$2:$B$80,MATCH($B734,PERSONAL!$A$2:$A$80,0)),"NO EXISTE"))</f>
        <v/>
      </c>
      <c r="F734" s="52">
        <f t="array" ref="F734">IF($B734="","",IFERROR(INDEX(PERSONAL!$C$2:$C$80,MATCH($B734,PERSONAL!$A$2:$A$80,0)),""))</f>
        <v/>
      </c>
      <c r="G734" s="52">
        <f>IF($A734="","",CHOOSE(WEEKDAY($A734,2),"LUNES","MARTES","MIÉRCOLES","JUEVES","VIERNES","SÁBADO","DOMINGO"))</f>
        <v/>
      </c>
      <c r="H734" s="34">
        <f>IF($A734="","",CHOOSE(MONTH($A734),"ENERO","FEBRERO","MARZO","ABRIL","MAYO","JUNIO","JULIO","AGOSTO","SEPTIEMBRE","OCTUBRE","NOVIEMBRE","DICIEMBRE"))</f>
        <v/>
      </c>
      <c r="I734" s="34">
        <f>IF($A734="","",IF(OR($G734="SÁBADO",$G734="DOMINGO"),"FIN","LV"))</f>
        <v/>
      </c>
      <c r="J734" s="34">
        <f>IF(OR($A734="",$B734=""),"",IF($L734&lt;&gt;"",UPPER($L734),IF($C734="","FALTA",IFERROR(IF($C734&gt;=$O734,"ROJO FUERTE",IF($C734&gt;=$N734,"ROJO",IF($C734&gt;=$M734,"AMARILLO","VERDE"))),"REVISAR"))))</f>
        <v/>
      </c>
      <c r="K734" s="36">
        <f>IF(OR($C734="",$D734=""),"",IF($D734&gt;=$C734,($D734-$C734)*24,(1-$C734+$D734)*24))</f>
        <v/>
      </c>
      <c r="L734" s="34" t="n"/>
      <c r="M734" s="53">
        <f t="array" ref="M734">IFERROR(INDEX(EXCEPCIONES_FECHA!$D$2:$D$201,MATCH(1,(EXCEPCIONES_FECHA!$A$2:$A$201=$A734)*(EXCEPCIONES_FECHA!$B$2:$B$201=$B734),0)),IFERROR(INDEX(EXCEPCIONES_FECHA!$D$2:$D$201,MATCH(1,(EXCEPCIONES_FECHA!$A$2:$A$201=$A734)*(EXCEPCIONES_FECHA!$B$2:$B$201=""),0)),IFERROR(INDEX(IF($I734="FIN",HISTORIAL_HORARIOS!$J$2:$J$201,HISTORIAL_HORARIOS!$F$2:$F$201),MATCH(1,(HISTORIAL_HORARIOS!$A$2:$A$201=$B734)*(HISTORIAL_HORARIOS!$C$2:$C$201&lt;=$A734)*(HISTORIAL_HORARIOS!$D$2:$D$201&gt;=$A734),0)),INDEX(IF($I734="FIN",PERSONAL!$J$2:$J$80,PERSONAL!$F$2:$F$80),MATCH($B734,PERSONAL!$A$2:$A$80,0)))))</f>
        <v/>
      </c>
      <c r="N734" s="53">
        <f t="array" ref="N734">IFERROR(INDEX(EXCEPCIONES_FECHA!$E$2:$E$201,MATCH(1,(EXCEPCIONES_FECHA!$A$2:$A$201=$A734)*(EXCEPCIONES_FECHA!$B$2:$B$201=$B734),0)),IFERROR(INDEX(EXCEPCIONES_FECHA!$E$2:$E$201,MATCH(1,(EXCEPCIONES_FECHA!$A$2:$A$201=$A734)*(EXCEPCIONES_FECHA!$B$2:$B$201=""),0)),IFERROR(INDEX(IF($I734="FIN",HISTORIAL_HORARIOS!$K$2:$K$201,HISTORIAL_HORARIOS!$G$2:$G$201),MATCH(1,(HISTORIAL_HORARIOS!$A$2:$A$201=$B734)*(HISTORIAL_HORARIOS!$C$2:$C$201&lt;=$A734)*(HISTORIAL_HORARIOS!$D$2:$D$201&gt;=$A734),0)),INDEX(IF($I734="FIN",PERSONAL!$K$2:$K$80,PERSONAL!$G$2:$G$80),MATCH($B734,PERSONAL!$A$2:$A$80,0)))))</f>
        <v/>
      </c>
      <c r="O734" s="53">
        <f t="array" ref="O734">IFERROR(INDEX(EXCEPCIONES_FECHA!$F$2:$F$201,MATCH(1,(EXCEPCIONES_FECHA!$A$2:$A$201=$A734)*(EXCEPCIONES_FECHA!$B$2:$B$201=$B734),0)),IFERROR(INDEX(EXCEPCIONES_FECHA!$F$2:$F$201,MATCH(1,(EXCEPCIONES_FECHA!$A$2:$A$201=$A734)*(EXCEPCIONES_FECHA!$B$2:$B$201=""),0)),IFERROR(INDEX(IF($I734="FIN",HISTORIAL_HORARIOS!$L$2:$L$201,HISTORIAL_HORARIOS!$H$2:$H$201),MATCH(1,(HISTORIAL_HORARIOS!$A$2:$A$201=$B734)*(HISTORIAL_HORARIOS!$C$2:$C$201&lt;=$A734)*(HISTORIAL_HORARIOS!$D$2:$D$201&gt;=$A734),0)),INDEX(IF($I734="FIN",PERSONAL!$L$2:$L$80,PERSONAL!$H$2:$H$80),MATCH($B734,PERSONAL!$A$2:$A$80,0)))))</f>
        <v/>
      </c>
    </row>
    <row r="735" ht="15" customHeight="1" s="58">
      <c r="A735" s="37" t="n"/>
      <c r="B735" s="38" t="n"/>
      <c r="C735" s="39" t="n"/>
      <c r="D735" s="39" t="n"/>
      <c r="E735" s="34">
        <f t="array" ref="E735">IF($B735="","",IFERROR(INDEX(PERSONAL!$B$2:$B$80,MATCH($B735,PERSONAL!$A$2:$A$80,0)),"NO EXISTE"))</f>
        <v/>
      </c>
      <c r="F735" s="52">
        <f t="array" ref="F735">IF($B735="","",IFERROR(INDEX(PERSONAL!$C$2:$C$80,MATCH($B735,PERSONAL!$A$2:$A$80,0)),""))</f>
        <v/>
      </c>
      <c r="G735" s="52">
        <f>IF($A735="","",CHOOSE(WEEKDAY($A735,2),"LUNES","MARTES","MIÉRCOLES","JUEVES","VIERNES","SÁBADO","DOMINGO"))</f>
        <v/>
      </c>
      <c r="H735" s="34">
        <f>IF($A735="","",CHOOSE(MONTH($A735),"ENERO","FEBRERO","MARZO","ABRIL","MAYO","JUNIO","JULIO","AGOSTO","SEPTIEMBRE","OCTUBRE","NOVIEMBRE","DICIEMBRE"))</f>
        <v/>
      </c>
      <c r="I735" s="34">
        <f>IF($A735="","",IF(OR($G735="SÁBADO",$G735="DOMINGO"),"FIN","LV"))</f>
        <v/>
      </c>
      <c r="J735" s="34">
        <f>IF(OR($A735="",$B735=""),"",IF($L735&lt;&gt;"",UPPER($L735),IF($C735="","FALTA",IFERROR(IF($C735&gt;=$O735,"ROJO FUERTE",IF($C735&gt;=$N735,"ROJO",IF($C735&gt;=$M735,"AMARILLO","VERDE"))),"REVISAR"))))</f>
        <v/>
      </c>
      <c r="K735" s="36">
        <f>IF(OR($C735="",$D735=""),"",IF($D735&gt;=$C735,($D735-$C735)*24,(1-$C735+$D735)*24))</f>
        <v/>
      </c>
      <c r="L735" s="34" t="n"/>
      <c r="M735" s="53">
        <f t="array" ref="M735">IFERROR(INDEX(EXCEPCIONES_FECHA!$D$2:$D$201,MATCH(1,(EXCEPCIONES_FECHA!$A$2:$A$201=$A735)*(EXCEPCIONES_FECHA!$B$2:$B$201=$B735),0)),IFERROR(INDEX(EXCEPCIONES_FECHA!$D$2:$D$201,MATCH(1,(EXCEPCIONES_FECHA!$A$2:$A$201=$A735)*(EXCEPCIONES_FECHA!$B$2:$B$201=""),0)),IFERROR(INDEX(IF($I735="FIN",HISTORIAL_HORARIOS!$J$2:$J$201,HISTORIAL_HORARIOS!$F$2:$F$201),MATCH(1,(HISTORIAL_HORARIOS!$A$2:$A$201=$B735)*(HISTORIAL_HORARIOS!$C$2:$C$201&lt;=$A735)*(HISTORIAL_HORARIOS!$D$2:$D$201&gt;=$A735),0)),INDEX(IF($I735="FIN",PERSONAL!$J$2:$J$80,PERSONAL!$F$2:$F$80),MATCH($B735,PERSONAL!$A$2:$A$80,0)))))</f>
        <v/>
      </c>
      <c r="N735" s="53">
        <f t="array" ref="N735">IFERROR(INDEX(EXCEPCIONES_FECHA!$E$2:$E$201,MATCH(1,(EXCEPCIONES_FECHA!$A$2:$A$201=$A735)*(EXCEPCIONES_FECHA!$B$2:$B$201=$B735),0)),IFERROR(INDEX(EXCEPCIONES_FECHA!$E$2:$E$201,MATCH(1,(EXCEPCIONES_FECHA!$A$2:$A$201=$A735)*(EXCEPCIONES_FECHA!$B$2:$B$201=""),0)),IFERROR(INDEX(IF($I735="FIN",HISTORIAL_HORARIOS!$K$2:$K$201,HISTORIAL_HORARIOS!$G$2:$G$201),MATCH(1,(HISTORIAL_HORARIOS!$A$2:$A$201=$B735)*(HISTORIAL_HORARIOS!$C$2:$C$201&lt;=$A735)*(HISTORIAL_HORARIOS!$D$2:$D$201&gt;=$A735),0)),INDEX(IF($I735="FIN",PERSONAL!$K$2:$K$80,PERSONAL!$G$2:$G$80),MATCH($B735,PERSONAL!$A$2:$A$80,0)))))</f>
        <v/>
      </c>
      <c r="O735" s="53">
        <f t="array" ref="O735">IFERROR(INDEX(EXCEPCIONES_FECHA!$F$2:$F$201,MATCH(1,(EXCEPCIONES_FECHA!$A$2:$A$201=$A735)*(EXCEPCIONES_FECHA!$B$2:$B$201=$B735),0)),IFERROR(INDEX(EXCEPCIONES_FECHA!$F$2:$F$201,MATCH(1,(EXCEPCIONES_FECHA!$A$2:$A$201=$A735)*(EXCEPCIONES_FECHA!$B$2:$B$201=""),0)),IFERROR(INDEX(IF($I735="FIN",HISTORIAL_HORARIOS!$L$2:$L$201,HISTORIAL_HORARIOS!$H$2:$H$201),MATCH(1,(HISTORIAL_HORARIOS!$A$2:$A$201=$B735)*(HISTORIAL_HORARIOS!$C$2:$C$201&lt;=$A735)*(HISTORIAL_HORARIOS!$D$2:$D$201&gt;=$A735),0)),INDEX(IF($I735="FIN",PERSONAL!$L$2:$L$80,PERSONAL!$H$2:$H$80),MATCH($B735,PERSONAL!$A$2:$A$80,0)))))</f>
        <v/>
      </c>
    </row>
    <row r="736" ht="15" customHeight="1" s="58">
      <c r="A736" s="37" t="n"/>
      <c r="B736" s="38" t="n"/>
      <c r="C736" s="39" t="n"/>
      <c r="D736" s="39" t="n"/>
      <c r="E736" s="34">
        <f t="array" ref="E736">IF($B736="","",IFERROR(INDEX(PERSONAL!$B$2:$B$80,MATCH($B736,PERSONAL!$A$2:$A$80,0)),"NO EXISTE"))</f>
        <v/>
      </c>
      <c r="F736" s="52">
        <f t="array" ref="F736">IF($B736="","",IFERROR(INDEX(PERSONAL!$C$2:$C$80,MATCH($B736,PERSONAL!$A$2:$A$80,0)),""))</f>
        <v/>
      </c>
      <c r="G736" s="52">
        <f>IF($A736="","",CHOOSE(WEEKDAY($A736,2),"LUNES","MARTES","MIÉRCOLES","JUEVES","VIERNES","SÁBADO","DOMINGO"))</f>
        <v/>
      </c>
      <c r="H736" s="34">
        <f>IF($A736="","",CHOOSE(MONTH($A736),"ENERO","FEBRERO","MARZO","ABRIL","MAYO","JUNIO","JULIO","AGOSTO","SEPTIEMBRE","OCTUBRE","NOVIEMBRE","DICIEMBRE"))</f>
        <v/>
      </c>
      <c r="I736" s="34">
        <f>IF($A736="","",IF(OR($G736="SÁBADO",$G736="DOMINGO"),"FIN","LV"))</f>
        <v/>
      </c>
      <c r="J736" s="34">
        <f>IF(OR($A736="",$B736=""),"",IF($L736&lt;&gt;"",UPPER($L736),IF($C736="","FALTA",IFERROR(IF($C736&gt;=$O736,"ROJO FUERTE",IF($C736&gt;=$N736,"ROJO",IF($C736&gt;=$M736,"AMARILLO","VERDE"))),"REVISAR"))))</f>
        <v/>
      </c>
      <c r="K736" s="36">
        <f>IF(OR($C736="",$D736=""),"",IF($D736&gt;=$C736,($D736-$C736)*24,(1-$C736+$D736)*24))</f>
        <v/>
      </c>
      <c r="L736" s="34" t="n"/>
      <c r="M736" s="53">
        <f t="array" ref="M736">IFERROR(INDEX(EXCEPCIONES_FECHA!$D$2:$D$201,MATCH(1,(EXCEPCIONES_FECHA!$A$2:$A$201=$A736)*(EXCEPCIONES_FECHA!$B$2:$B$201=$B736),0)),IFERROR(INDEX(EXCEPCIONES_FECHA!$D$2:$D$201,MATCH(1,(EXCEPCIONES_FECHA!$A$2:$A$201=$A736)*(EXCEPCIONES_FECHA!$B$2:$B$201=""),0)),IFERROR(INDEX(IF($I736="FIN",HISTORIAL_HORARIOS!$J$2:$J$201,HISTORIAL_HORARIOS!$F$2:$F$201),MATCH(1,(HISTORIAL_HORARIOS!$A$2:$A$201=$B736)*(HISTORIAL_HORARIOS!$C$2:$C$201&lt;=$A736)*(HISTORIAL_HORARIOS!$D$2:$D$201&gt;=$A736),0)),INDEX(IF($I736="FIN",PERSONAL!$J$2:$J$80,PERSONAL!$F$2:$F$80),MATCH($B736,PERSONAL!$A$2:$A$80,0)))))</f>
        <v/>
      </c>
      <c r="N736" s="53">
        <f t="array" ref="N736">IFERROR(INDEX(EXCEPCIONES_FECHA!$E$2:$E$201,MATCH(1,(EXCEPCIONES_FECHA!$A$2:$A$201=$A736)*(EXCEPCIONES_FECHA!$B$2:$B$201=$B736),0)),IFERROR(INDEX(EXCEPCIONES_FECHA!$E$2:$E$201,MATCH(1,(EXCEPCIONES_FECHA!$A$2:$A$201=$A736)*(EXCEPCIONES_FECHA!$B$2:$B$201=""),0)),IFERROR(INDEX(IF($I736="FIN",HISTORIAL_HORARIOS!$K$2:$K$201,HISTORIAL_HORARIOS!$G$2:$G$201),MATCH(1,(HISTORIAL_HORARIOS!$A$2:$A$201=$B736)*(HISTORIAL_HORARIOS!$C$2:$C$201&lt;=$A736)*(HISTORIAL_HORARIOS!$D$2:$D$201&gt;=$A736),0)),INDEX(IF($I736="FIN",PERSONAL!$K$2:$K$80,PERSONAL!$G$2:$G$80),MATCH($B736,PERSONAL!$A$2:$A$80,0)))))</f>
        <v/>
      </c>
      <c r="O736" s="53">
        <f t="array" ref="O736">IFERROR(INDEX(EXCEPCIONES_FECHA!$F$2:$F$201,MATCH(1,(EXCEPCIONES_FECHA!$A$2:$A$201=$A736)*(EXCEPCIONES_FECHA!$B$2:$B$201=$B736),0)),IFERROR(INDEX(EXCEPCIONES_FECHA!$F$2:$F$201,MATCH(1,(EXCEPCIONES_FECHA!$A$2:$A$201=$A736)*(EXCEPCIONES_FECHA!$B$2:$B$201=""),0)),IFERROR(INDEX(IF($I736="FIN",HISTORIAL_HORARIOS!$L$2:$L$201,HISTORIAL_HORARIOS!$H$2:$H$201),MATCH(1,(HISTORIAL_HORARIOS!$A$2:$A$201=$B736)*(HISTORIAL_HORARIOS!$C$2:$C$201&lt;=$A736)*(HISTORIAL_HORARIOS!$D$2:$D$201&gt;=$A736),0)),INDEX(IF($I736="FIN",PERSONAL!$L$2:$L$80,PERSONAL!$H$2:$H$80),MATCH($B736,PERSONAL!$A$2:$A$80,0)))))</f>
        <v/>
      </c>
    </row>
    <row r="737" ht="15" customHeight="1" s="58">
      <c r="A737" s="37" t="n"/>
      <c r="B737" s="38" t="n"/>
      <c r="C737" s="39" t="n"/>
      <c r="D737" s="39" t="n"/>
      <c r="E737" s="34">
        <f t="array" ref="E737">IF($B737="","",IFERROR(INDEX(PERSONAL!$B$2:$B$80,MATCH($B737,PERSONAL!$A$2:$A$80,0)),"NO EXISTE"))</f>
        <v/>
      </c>
      <c r="F737" s="52">
        <f t="array" ref="F737">IF($B737="","",IFERROR(INDEX(PERSONAL!$C$2:$C$80,MATCH($B737,PERSONAL!$A$2:$A$80,0)),""))</f>
        <v/>
      </c>
      <c r="G737" s="52">
        <f>IF($A737="","",CHOOSE(WEEKDAY($A737,2),"LUNES","MARTES","MIÉRCOLES","JUEVES","VIERNES","SÁBADO","DOMINGO"))</f>
        <v/>
      </c>
      <c r="H737" s="34">
        <f>IF($A737="","",CHOOSE(MONTH($A737),"ENERO","FEBRERO","MARZO","ABRIL","MAYO","JUNIO","JULIO","AGOSTO","SEPTIEMBRE","OCTUBRE","NOVIEMBRE","DICIEMBRE"))</f>
        <v/>
      </c>
      <c r="I737" s="34">
        <f>IF($A737="","",IF(OR($G737="SÁBADO",$G737="DOMINGO"),"FIN","LV"))</f>
        <v/>
      </c>
      <c r="J737" s="34">
        <f>IF(OR($A737="",$B737=""),"",IF($L737&lt;&gt;"",UPPER($L737),IF($C737="","FALTA",IFERROR(IF($C737&gt;=$O737,"ROJO FUERTE",IF($C737&gt;=$N737,"ROJO",IF($C737&gt;=$M737,"AMARILLO","VERDE"))),"REVISAR"))))</f>
        <v/>
      </c>
      <c r="K737" s="36">
        <f>IF(OR($C737="",$D737=""),"",IF($D737&gt;=$C737,($D737-$C737)*24,(1-$C737+$D737)*24))</f>
        <v/>
      </c>
      <c r="L737" s="34" t="n"/>
      <c r="M737" s="53">
        <f t="array" ref="M737">IFERROR(INDEX(EXCEPCIONES_FECHA!$D$2:$D$201,MATCH(1,(EXCEPCIONES_FECHA!$A$2:$A$201=$A737)*(EXCEPCIONES_FECHA!$B$2:$B$201=$B737),0)),IFERROR(INDEX(EXCEPCIONES_FECHA!$D$2:$D$201,MATCH(1,(EXCEPCIONES_FECHA!$A$2:$A$201=$A737)*(EXCEPCIONES_FECHA!$B$2:$B$201=""),0)),IFERROR(INDEX(IF($I737="FIN",HISTORIAL_HORARIOS!$J$2:$J$201,HISTORIAL_HORARIOS!$F$2:$F$201),MATCH(1,(HISTORIAL_HORARIOS!$A$2:$A$201=$B737)*(HISTORIAL_HORARIOS!$C$2:$C$201&lt;=$A737)*(HISTORIAL_HORARIOS!$D$2:$D$201&gt;=$A737),0)),INDEX(IF($I737="FIN",PERSONAL!$J$2:$J$80,PERSONAL!$F$2:$F$80),MATCH($B737,PERSONAL!$A$2:$A$80,0)))))</f>
        <v/>
      </c>
      <c r="N737" s="53">
        <f t="array" ref="N737">IFERROR(INDEX(EXCEPCIONES_FECHA!$E$2:$E$201,MATCH(1,(EXCEPCIONES_FECHA!$A$2:$A$201=$A737)*(EXCEPCIONES_FECHA!$B$2:$B$201=$B737),0)),IFERROR(INDEX(EXCEPCIONES_FECHA!$E$2:$E$201,MATCH(1,(EXCEPCIONES_FECHA!$A$2:$A$201=$A737)*(EXCEPCIONES_FECHA!$B$2:$B$201=""),0)),IFERROR(INDEX(IF($I737="FIN",HISTORIAL_HORARIOS!$K$2:$K$201,HISTORIAL_HORARIOS!$G$2:$G$201),MATCH(1,(HISTORIAL_HORARIOS!$A$2:$A$201=$B737)*(HISTORIAL_HORARIOS!$C$2:$C$201&lt;=$A737)*(HISTORIAL_HORARIOS!$D$2:$D$201&gt;=$A737),0)),INDEX(IF($I737="FIN",PERSONAL!$K$2:$K$80,PERSONAL!$G$2:$G$80),MATCH($B737,PERSONAL!$A$2:$A$80,0)))))</f>
        <v/>
      </c>
      <c r="O737" s="53">
        <f t="array" ref="O737">IFERROR(INDEX(EXCEPCIONES_FECHA!$F$2:$F$201,MATCH(1,(EXCEPCIONES_FECHA!$A$2:$A$201=$A737)*(EXCEPCIONES_FECHA!$B$2:$B$201=$B737),0)),IFERROR(INDEX(EXCEPCIONES_FECHA!$F$2:$F$201,MATCH(1,(EXCEPCIONES_FECHA!$A$2:$A$201=$A737)*(EXCEPCIONES_FECHA!$B$2:$B$201=""),0)),IFERROR(INDEX(IF($I737="FIN",HISTORIAL_HORARIOS!$L$2:$L$201,HISTORIAL_HORARIOS!$H$2:$H$201),MATCH(1,(HISTORIAL_HORARIOS!$A$2:$A$201=$B737)*(HISTORIAL_HORARIOS!$C$2:$C$201&lt;=$A737)*(HISTORIAL_HORARIOS!$D$2:$D$201&gt;=$A737),0)),INDEX(IF($I737="FIN",PERSONAL!$L$2:$L$80,PERSONAL!$H$2:$H$80),MATCH($B737,PERSONAL!$A$2:$A$80,0)))))</f>
        <v/>
      </c>
    </row>
    <row r="738" ht="15" customHeight="1" s="58">
      <c r="A738" s="37" t="n"/>
      <c r="B738" s="38" t="n"/>
      <c r="C738" s="39" t="n"/>
      <c r="D738" s="39" t="n"/>
      <c r="E738" s="34">
        <f t="array" ref="E738">IF($B738="","",IFERROR(INDEX(PERSONAL!$B$2:$B$80,MATCH($B738,PERSONAL!$A$2:$A$80,0)),"NO EXISTE"))</f>
        <v/>
      </c>
      <c r="F738" s="52">
        <f t="array" ref="F738">IF($B738="","",IFERROR(INDEX(PERSONAL!$C$2:$C$80,MATCH($B738,PERSONAL!$A$2:$A$80,0)),""))</f>
        <v/>
      </c>
      <c r="G738" s="52">
        <f>IF($A738="","",CHOOSE(WEEKDAY($A738,2),"LUNES","MARTES","MIÉRCOLES","JUEVES","VIERNES","SÁBADO","DOMINGO"))</f>
        <v/>
      </c>
      <c r="H738" s="34">
        <f>IF($A738="","",CHOOSE(MONTH($A738),"ENERO","FEBRERO","MARZO","ABRIL","MAYO","JUNIO","JULIO","AGOSTO","SEPTIEMBRE","OCTUBRE","NOVIEMBRE","DICIEMBRE"))</f>
        <v/>
      </c>
      <c r="I738" s="34">
        <f>IF($A738="","",IF(OR($G738="SÁBADO",$G738="DOMINGO"),"FIN","LV"))</f>
        <v/>
      </c>
      <c r="J738" s="34">
        <f>IF(OR($A738="",$B738=""),"",IF($L738&lt;&gt;"",UPPER($L738),IF($C738="","FALTA",IFERROR(IF($C738&gt;=$O738,"ROJO FUERTE",IF($C738&gt;=$N738,"ROJO",IF($C738&gt;=$M738,"AMARILLO","VERDE"))),"REVISAR"))))</f>
        <v/>
      </c>
      <c r="K738" s="36">
        <f>IF(OR($C738="",$D738=""),"",IF($D738&gt;=$C738,($D738-$C738)*24,(1-$C738+$D738)*24))</f>
        <v/>
      </c>
      <c r="L738" s="34" t="n"/>
      <c r="M738" s="53">
        <f t="array" ref="M738">IFERROR(INDEX(EXCEPCIONES_FECHA!$D$2:$D$201,MATCH(1,(EXCEPCIONES_FECHA!$A$2:$A$201=$A738)*(EXCEPCIONES_FECHA!$B$2:$B$201=$B738),0)),IFERROR(INDEX(EXCEPCIONES_FECHA!$D$2:$D$201,MATCH(1,(EXCEPCIONES_FECHA!$A$2:$A$201=$A738)*(EXCEPCIONES_FECHA!$B$2:$B$201=""),0)),IFERROR(INDEX(IF($I738="FIN",HISTORIAL_HORARIOS!$J$2:$J$201,HISTORIAL_HORARIOS!$F$2:$F$201),MATCH(1,(HISTORIAL_HORARIOS!$A$2:$A$201=$B738)*(HISTORIAL_HORARIOS!$C$2:$C$201&lt;=$A738)*(HISTORIAL_HORARIOS!$D$2:$D$201&gt;=$A738),0)),INDEX(IF($I738="FIN",PERSONAL!$J$2:$J$80,PERSONAL!$F$2:$F$80),MATCH($B738,PERSONAL!$A$2:$A$80,0)))))</f>
        <v/>
      </c>
      <c r="N738" s="53">
        <f t="array" ref="N738">IFERROR(INDEX(EXCEPCIONES_FECHA!$E$2:$E$201,MATCH(1,(EXCEPCIONES_FECHA!$A$2:$A$201=$A738)*(EXCEPCIONES_FECHA!$B$2:$B$201=$B738),0)),IFERROR(INDEX(EXCEPCIONES_FECHA!$E$2:$E$201,MATCH(1,(EXCEPCIONES_FECHA!$A$2:$A$201=$A738)*(EXCEPCIONES_FECHA!$B$2:$B$201=""),0)),IFERROR(INDEX(IF($I738="FIN",HISTORIAL_HORARIOS!$K$2:$K$201,HISTORIAL_HORARIOS!$G$2:$G$201),MATCH(1,(HISTORIAL_HORARIOS!$A$2:$A$201=$B738)*(HISTORIAL_HORARIOS!$C$2:$C$201&lt;=$A738)*(HISTORIAL_HORARIOS!$D$2:$D$201&gt;=$A738),0)),INDEX(IF($I738="FIN",PERSONAL!$K$2:$K$80,PERSONAL!$G$2:$G$80),MATCH($B738,PERSONAL!$A$2:$A$80,0)))))</f>
        <v/>
      </c>
      <c r="O738" s="53">
        <f t="array" ref="O738">IFERROR(INDEX(EXCEPCIONES_FECHA!$F$2:$F$201,MATCH(1,(EXCEPCIONES_FECHA!$A$2:$A$201=$A738)*(EXCEPCIONES_FECHA!$B$2:$B$201=$B738),0)),IFERROR(INDEX(EXCEPCIONES_FECHA!$F$2:$F$201,MATCH(1,(EXCEPCIONES_FECHA!$A$2:$A$201=$A738)*(EXCEPCIONES_FECHA!$B$2:$B$201=""),0)),IFERROR(INDEX(IF($I738="FIN",HISTORIAL_HORARIOS!$L$2:$L$201,HISTORIAL_HORARIOS!$H$2:$H$201),MATCH(1,(HISTORIAL_HORARIOS!$A$2:$A$201=$B738)*(HISTORIAL_HORARIOS!$C$2:$C$201&lt;=$A738)*(HISTORIAL_HORARIOS!$D$2:$D$201&gt;=$A738),0)),INDEX(IF($I738="FIN",PERSONAL!$L$2:$L$80,PERSONAL!$H$2:$H$80),MATCH($B738,PERSONAL!$A$2:$A$80,0)))))</f>
        <v/>
      </c>
    </row>
    <row r="739" ht="15" customHeight="1" s="58">
      <c r="A739" s="37" t="n"/>
      <c r="B739" s="38" t="n"/>
      <c r="C739" s="39" t="n"/>
      <c r="D739" s="39" t="n"/>
      <c r="E739" s="34">
        <f t="array" ref="E739">IF($B739="","",IFERROR(INDEX(PERSONAL!$B$2:$B$80,MATCH($B739,PERSONAL!$A$2:$A$80,0)),"NO EXISTE"))</f>
        <v/>
      </c>
      <c r="F739" s="52">
        <f t="array" ref="F739">IF($B739="","",IFERROR(INDEX(PERSONAL!$C$2:$C$80,MATCH($B739,PERSONAL!$A$2:$A$80,0)),""))</f>
        <v/>
      </c>
      <c r="G739" s="52">
        <f>IF($A739="","",CHOOSE(WEEKDAY($A739,2),"LUNES","MARTES","MIÉRCOLES","JUEVES","VIERNES","SÁBADO","DOMINGO"))</f>
        <v/>
      </c>
      <c r="H739" s="34">
        <f>IF($A739="","",CHOOSE(MONTH($A739),"ENERO","FEBRERO","MARZO","ABRIL","MAYO","JUNIO","JULIO","AGOSTO","SEPTIEMBRE","OCTUBRE","NOVIEMBRE","DICIEMBRE"))</f>
        <v/>
      </c>
      <c r="I739" s="34">
        <f>IF($A739="","",IF(OR($G739="SÁBADO",$G739="DOMINGO"),"FIN","LV"))</f>
        <v/>
      </c>
      <c r="J739" s="34">
        <f>IF(OR($A739="",$B739=""),"",IF($L739&lt;&gt;"",UPPER($L739),IF($C739="","FALTA",IFERROR(IF($C739&gt;=$O739,"ROJO FUERTE",IF($C739&gt;=$N739,"ROJO",IF($C739&gt;=$M739,"AMARILLO","VERDE"))),"REVISAR"))))</f>
        <v/>
      </c>
      <c r="K739" s="36">
        <f>IF(OR($C739="",$D739=""),"",IF($D739&gt;=$C739,($D739-$C739)*24,(1-$C739+$D739)*24))</f>
        <v/>
      </c>
      <c r="L739" s="34" t="n"/>
      <c r="M739" s="53">
        <f t="array" ref="M739">IFERROR(INDEX(EXCEPCIONES_FECHA!$D$2:$D$201,MATCH(1,(EXCEPCIONES_FECHA!$A$2:$A$201=$A739)*(EXCEPCIONES_FECHA!$B$2:$B$201=$B739),0)),IFERROR(INDEX(EXCEPCIONES_FECHA!$D$2:$D$201,MATCH(1,(EXCEPCIONES_FECHA!$A$2:$A$201=$A739)*(EXCEPCIONES_FECHA!$B$2:$B$201=""),0)),IFERROR(INDEX(IF($I739="FIN",HISTORIAL_HORARIOS!$J$2:$J$201,HISTORIAL_HORARIOS!$F$2:$F$201),MATCH(1,(HISTORIAL_HORARIOS!$A$2:$A$201=$B739)*(HISTORIAL_HORARIOS!$C$2:$C$201&lt;=$A739)*(HISTORIAL_HORARIOS!$D$2:$D$201&gt;=$A739),0)),INDEX(IF($I739="FIN",PERSONAL!$J$2:$J$80,PERSONAL!$F$2:$F$80),MATCH($B739,PERSONAL!$A$2:$A$80,0)))))</f>
        <v/>
      </c>
      <c r="N739" s="53">
        <f t="array" ref="N739">IFERROR(INDEX(EXCEPCIONES_FECHA!$E$2:$E$201,MATCH(1,(EXCEPCIONES_FECHA!$A$2:$A$201=$A739)*(EXCEPCIONES_FECHA!$B$2:$B$201=$B739),0)),IFERROR(INDEX(EXCEPCIONES_FECHA!$E$2:$E$201,MATCH(1,(EXCEPCIONES_FECHA!$A$2:$A$201=$A739)*(EXCEPCIONES_FECHA!$B$2:$B$201=""),0)),IFERROR(INDEX(IF($I739="FIN",HISTORIAL_HORARIOS!$K$2:$K$201,HISTORIAL_HORARIOS!$G$2:$G$201),MATCH(1,(HISTORIAL_HORARIOS!$A$2:$A$201=$B739)*(HISTORIAL_HORARIOS!$C$2:$C$201&lt;=$A739)*(HISTORIAL_HORARIOS!$D$2:$D$201&gt;=$A739),0)),INDEX(IF($I739="FIN",PERSONAL!$K$2:$K$80,PERSONAL!$G$2:$G$80),MATCH($B739,PERSONAL!$A$2:$A$80,0)))))</f>
        <v/>
      </c>
      <c r="O739" s="53">
        <f t="array" ref="O739">IFERROR(INDEX(EXCEPCIONES_FECHA!$F$2:$F$201,MATCH(1,(EXCEPCIONES_FECHA!$A$2:$A$201=$A739)*(EXCEPCIONES_FECHA!$B$2:$B$201=$B739),0)),IFERROR(INDEX(EXCEPCIONES_FECHA!$F$2:$F$201,MATCH(1,(EXCEPCIONES_FECHA!$A$2:$A$201=$A739)*(EXCEPCIONES_FECHA!$B$2:$B$201=""),0)),IFERROR(INDEX(IF($I739="FIN",HISTORIAL_HORARIOS!$L$2:$L$201,HISTORIAL_HORARIOS!$H$2:$H$201),MATCH(1,(HISTORIAL_HORARIOS!$A$2:$A$201=$B739)*(HISTORIAL_HORARIOS!$C$2:$C$201&lt;=$A739)*(HISTORIAL_HORARIOS!$D$2:$D$201&gt;=$A739),0)),INDEX(IF($I739="FIN",PERSONAL!$L$2:$L$80,PERSONAL!$H$2:$H$80),MATCH($B739,PERSONAL!$A$2:$A$80,0)))))</f>
        <v/>
      </c>
    </row>
    <row r="740" ht="15" customHeight="1" s="58">
      <c r="A740" s="37" t="n"/>
      <c r="B740" s="38" t="n"/>
      <c r="C740" s="39" t="n"/>
      <c r="D740" s="39" t="n"/>
      <c r="E740" s="34">
        <f t="array" ref="E740">IF($B740="","",IFERROR(INDEX(PERSONAL!$B$2:$B$80,MATCH($B740,PERSONAL!$A$2:$A$80,0)),"NO EXISTE"))</f>
        <v/>
      </c>
      <c r="F740" s="52">
        <f t="array" ref="F740">IF($B740="","",IFERROR(INDEX(PERSONAL!$C$2:$C$80,MATCH($B740,PERSONAL!$A$2:$A$80,0)),""))</f>
        <v/>
      </c>
      <c r="G740" s="52">
        <f>IF($A740="","",CHOOSE(WEEKDAY($A740,2),"LUNES","MARTES","MIÉRCOLES","JUEVES","VIERNES","SÁBADO","DOMINGO"))</f>
        <v/>
      </c>
      <c r="H740" s="34">
        <f>IF($A740="","",CHOOSE(MONTH($A740),"ENERO","FEBRERO","MARZO","ABRIL","MAYO","JUNIO","JULIO","AGOSTO","SEPTIEMBRE","OCTUBRE","NOVIEMBRE","DICIEMBRE"))</f>
        <v/>
      </c>
      <c r="I740" s="34">
        <f>IF($A740="","",IF(OR($G740="SÁBADO",$G740="DOMINGO"),"FIN","LV"))</f>
        <v/>
      </c>
      <c r="J740" s="34">
        <f>IF(OR($A740="",$B740=""),"",IF($L740&lt;&gt;"",UPPER($L740),IF($C740="","FALTA",IFERROR(IF($C740&gt;=$O740,"ROJO FUERTE",IF($C740&gt;=$N740,"ROJO",IF($C740&gt;=$M740,"AMARILLO","VERDE"))),"REVISAR"))))</f>
        <v/>
      </c>
      <c r="K740" s="36">
        <f>IF(OR($C740="",$D740=""),"",IF($D740&gt;=$C740,($D740-$C740)*24,(1-$C740+$D740)*24))</f>
        <v/>
      </c>
      <c r="L740" s="34" t="n"/>
      <c r="M740" s="53">
        <f t="array" ref="M740">IFERROR(INDEX(EXCEPCIONES_FECHA!$D$2:$D$201,MATCH(1,(EXCEPCIONES_FECHA!$A$2:$A$201=$A740)*(EXCEPCIONES_FECHA!$B$2:$B$201=$B740),0)),IFERROR(INDEX(EXCEPCIONES_FECHA!$D$2:$D$201,MATCH(1,(EXCEPCIONES_FECHA!$A$2:$A$201=$A740)*(EXCEPCIONES_FECHA!$B$2:$B$201=""),0)),IFERROR(INDEX(IF($I740="FIN",HISTORIAL_HORARIOS!$J$2:$J$201,HISTORIAL_HORARIOS!$F$2:$F$201),MATCH(1,(HISTORIAL_HORARIOS!$A$2:$A$201=$B740)*(HISTORIAL_HORARIOS!$C$2:$C$201&lt;=$A740)*(HISTORIAL_HORARIOS!$D$2:$D$201&gt;=$A740),0)),INDEX(IF($I740="FIN",PERSONAL!$J$2:$J$80,PERSONAL!$F$2:$F$80),MATCH($B740,PERSONAL!$A$2:$A$80,0)))))</f>
        <v/>
      </c>
      <c r="N740" s="53">
        <f t="array" ref="N740">IFERROR(INDEX(EXCEPCIONES_FECHA!$E$2:$E$201,MATCH(1,(EXCEPCIONES_FECHA!$A$2:$A$201=$A740)*(EXCEPCIONES_FECHA!$B$2:$B$201=$B740),0)),IFERROR(INDEX(EXCEPCIONES_FECHA!$E$2:$E$201,MATCH(1,(EXCEPCIONES_FECHA!$A$2:$A$201=$A740)*(EXCEPCIONES_FECHA!$B$2:$B$201=""),0)),IFERROR(INDEX(IF($I740="FIN",HISTORIAL_HORARIOS!$K$2:$K$201,HISTORIAL_HORARIOS!$G$2:$G$201),MATCH(1,(HISTORIAL_HORARIOS!$A$2:$A$201=$B740)*(HISTORIAL_HORARIOS!$C$2:$C$201&lt;=$A740)*(HISTORIAL_HORARIOS!$D$2:$D$201&gt;=$A740),0)),INDEX(IF($I740="FIN",PERSONAL!$K$2:$K$80,PERSONAL!$G$2:$G$80),MATCH($B740,PERSONAL!$A$2:$A$80,0)))))</f>
        <v/>
      </c>
      <c r="O740" s="53">
        <f t="array" ref="O740">IFERROR(INDEX(EXCEPCIONES_FECHA!$F$2:$F$201,MATCH(1,(EXCEPCIONES_FECHA!$A$2:$A$201=$A740)*(EXCEPCIONES_FECHA!$B$2:$B$201=$B740),0)),IFERROR(INDEX(EXCEPCIONES_FECHA!$F$2:$F$201,MATCH(1,(EXCEPCIONES_FECHA!$A$2:$A$201=$A740)*(EXCEPCIONES_FECHA!$B$2:$B$201=""),0)),IFERROR(INDEX(IF($I740="FIN",HISTORIAL_HORARIOS!$L$2:$L$201,HISTORIAL_HORARIOS!$H$2:$H$201),MATCH(1,(HISTORIAL_HORARIOS!$A$2:$A$201=$B740)*(HISTORIAL_HORARIOS!$C$2:$C$201&lt;=$A740)*(HISTORIAL_HORARIOS!$D$2:$D$201&gt;=$A740),0)),INDEX(IF($I740="FIN",PERSONAL!$L$2:$L$80,PERSONAL!$H$2:$H$80),MATCH($B740,PERSONAL!$A$2:$A$80,0)))))</f>
        <v/>
      </c>
    </row>
    <row r="741" ht="15" customHeight="1" s="58">
      <c r="A741" s="37" t="n"/>
      <c r="B741" s="38" t="n"/>
      <c r="C741" s="39" t="n"/>
      <c r="D741" s="39" t="n"/>
      <c r="E741" s="34">
        <f t="array" ref="E741">IF($B741="","",IFERROR(INDEX(PERSONAL!$B$2:$B$80,MATCH($B741,PERSONAL!$A$2:$A$80,0)),"NO EXISTE"))</f>
        <v/>
      </c>
      <c r="F741" s="52">
        <f t="array" ref="F741">IF($B741="","",IFERROR(INDEX(PERSONAL!$C$2:$C$80,MATCH($B741,PERSONAL!$A$2:$A$80,0)),""))</f>
        <v/>
      </c>
      <c r="G741" s="52">
        <f>IF($A741="","",CHOOSE(WEEKDAY($A741,2),"LUNES","MARTES","MIÉRCOLES","JUEVES","VIERNES","SÁBADO","DOMINGO"))</f>
        <v/>
      </c>
      <c r="H741" s="34">
        <f>IF($A741="","",CHOOSE(MONTH($A741),"ENERO","FEBRERO","MARZO","ABRIL","MAYO","JUNIO","JULIO","AGOSTO","SEPTIEMBRE","OCTUBRE","NOVIEMBRE","DICIEMBRE"))</f>
        <v/>
      </c>
      <c r="I741" s="34">
        <f>IF($A741="","",IF(OR($G741="SÁBADO",$G741="DOMINGO"),"FIN","LV"))</f>
        <v/>
      </c>
      <c r="J741" s="34">
        <f>IF(OR($A741="",$B741=""),"",IF($L741&lt;&gt;"",UPPER($L741),IF($C741="","FALTA",IFERROR(IF($C741&gt;=$O741,"ROJO FUERTE",IF($C741&gt;=$N741,"ROJO",IF($C741&gt;=$M741,"AMARILLO","VERDE"))),"REVISAR"))))</f>
        <v/>
      </c>
      <c r="K741" s="36">
        <f>IF(OR($C741="",$D741=""),"",IF($D741&gt;=$C741,($D741-$C741)*24,(1-$C741+$D741)*24))</f>
        <v/>
      </c>
      <c r="L741" s="34" t="n"/>
      <c r="M741" s="53">
        <f t="array" ref="M741">IFERROR(INDEX(EXCEPCIONES_FECHA!$D$2:$D$201,MATCH(1,(EXCEPCIONES_FECHA!$A$2:$A$201=$A741)*(EXCEPCIONES_FECHA!$B$2:$B$201=$B741),0)),IFERROR(INDEX(EXCEPCIONES_FECHA!$D$2:$D$201,MATCH(1,(EXCEPCIONES_FECHA!$A$2:$A$201=$A741)*(EXCEPCIONES_FECHA!$B$2:$B$201=""),0)),IFERROR(INDEX(IF($I741="FIN",HISTORIAL_HORARIOS!$J$2:$J$201,HISTORIAL_HORARIOS!$F$2:$F$201),MATCH(1,(HISTORIAL_HORARIOS!$A$2:$A$201=$B741)*(HISTORIAL_HORARIOS!$C$2:$C$201&lt;=$A741)*(HISTORIAL_HORARIOS!$D$2:$D$201&gt;=$A741),0)),INDEX(IF($I741="FIN",PERSONAL!$J$2:$J$80,PERSONAL!$F$2:$F$80),MATCH($B741,PERSONAL!$A$2:$A$80,0)))))</f>
        <v/>
      </c>
      <c r="N741" s="53">
        <f t="array" ref="N741">IFERROR(INDEX(EXCEPCIONES_FECHA!$E$2:$E$201,MATCH(1,(EXCEPCIONES_FECHA!$A$2:$A$201=$A741)*(EXCEPCIONES_FECHA!$B$2:$B$201=$B741),0)),IFERROR(INDEX(EXCEPCIONES_FECHA!$E$2:$E$201,MATCH(1,(EXCEPCIONES_FECHA!$A$2:$A$201=$A741)*(EXCEPCIONES_FECHA!$B$2:$B$201=""),0)),IFERROR(INDEX(IF($I741="FIN",HISTORIAL_HORARIOS!$K$2:$K$201,HISTORIAL_HORARIOS!$G$2:$G$201),MATCH(1,(HISTORIAL_HORARIOS!$A$2:$A$201=$B741)*(HISTORIAL_HORARIOS!$C$2:$C$201&lt;=$A741)*(HISTORIAL_HORARIOS!$D$2:$D$201&gt;=$A741),0)),INDEX(IF($I741="FIN",PERSONAL!$K$2:$K$80,PERSONAL!$G$2:$G$80),MATCH($B741,PERSONAL!$A$2:$A$80,0)))))</f>
        <v/>
      </c>
      <c r="O741" s="53">
        <f t="array" ref="O741">IFERROR(INDEX(EXCEPCIONES_FECHA!$F$2:$F$201,MATCH(1,(EXCEPCIONES_FECHA!$A$2:$A$201=$A741)*(EXCEPCIONES_FECHA!$B$2:$B$201=$B741),0)),IFERROR(INDEX(EXCEPCIONES_FECHA!$F$2:$F$201,MATCH(1,(EXCEPCIONES_FECHA!$A$2:$A$201=$A741)*(EXCEPCIONES_FECHA!$B$2:$B$201=""),0)),IFERROR(INDEX(IF($I741="FIN",HISTORIAL_HORARIOS!$L$2:$L$201,HISTORIAL_HORARIOS!$H$2:$H$201),MATCH(1,(HISTORIAL_HORARIOS!$A$2:$A$201=$B741)*(HISTORIAL_HORARIOS!$C$2:$C$201&lt;=$A741)*(HISTORIAL_HORARIOS!$D$2:$D$201&gt;=$A741),0)),INDEX(IF($I741="FIN",PERSONAL!$L$2:$L$80,PERSONAL!$H$2:$H$80),MATCH($B741,PERSONAL!$A$2:$A$80,0)))))</f>
        <v/>
      </c>
    </row>
    <row r="742" ht="15" customHeight="1" s="58">
      <c r="A742" s="37" t="n"/>
      <c r="B742" s="38" t="n"/>
      <c r="C742" s="39" t="n"/>
      <c r="D742" s="39" t="n"/>
      <c r="E742" s="34">
        <f t="array" ref="E742">IF($B742="","",IFERROR(INDEX(PERSONAL!$B$2:$B$80,MATCH($B742,PERSONAL!$A$2:$A$80,0)),"NO EXISTE"))</f>
        <v/>
      </c>
      <c r="F742" s="52">
        <f t="array" ref="F742">IF($B742="","",IFERROR(INDEX(PERSONAL!$C$2:$C$80,MATCH($B742,PERSONAL!$A$2:$A$80,0)),""))</f>
        <v/>
      </c>
      <c r="G742" s="52">
        <f>IF($A742="","",CHOOSE(WEEKDAY($A742,2),"LUNES","MARTES","MIÉRCOLES","JUEVES","VIERNES","SÁBADO","DOMINGO"))</f>
        <v/>
      </c>
      <c r="H742" s="34">
        <f>IF($A742="","",CHOOSE(MONTH($A742),"ENERO","FEBRERO","MARZO","ABRIL","MAYO","JUNIO","JULIO","AGOSTO","SEPTIEMBRE","OCTUBRE","NOVIEMBRE","DICIEMBRE"))</f>
        <v/>
      </c>
      <c r="I742" s="34">
        <f>IF($A742="","",IF(OR($G742="SÁBADO",$G742="DOMINGO"),"FIN","LV"))</f>
        <v/>
      </c>
      <c r="J742" s="34">
        <f>IF(OR($A742="",$B742=""),"",IF($L742&lt;&gt;"",UPPER($L742),IF($C742="","FALTA",IFERROR(IF($C742&gt;=$O742,"ROJO FUERTE",IF($C742&gt;=$N742,"ROJO",IF($C742&gt;=$M742,"AMARILLO","VERDE"))),"REVISAR"))))</f>
        <v/>
      </c>
      <c r="K742" s="36">
        <f>IF(OR($C742="",$D742=""),"",IF($D742&gt;=$C742,($D742-$C742)*24,(1-$C742+$D742)*24))</f>
        <v/>
      </c>
      <c r="L742" s="34" t="n"/>
      <c r="M742" s="53">
        <f t="array" ref="M742">IFERROR(INDEX(EXCEPCIONES_FECHA!$D$2:$D$201,MATCH(1,(EXCEPCIONES_FECHA!$A$2:$A$201=$A742)*(EXCEPCIONES_FECHA!$B$2:$B$201=$B742),0)),IFERROR(INDEX(EXCEPCIONES_FECHA!$D$2:$D$201,MATCH(1,(EXCEPCIONES_FECHA!$A$2:$A$201=$A742)*(EXCEPCIONES_FECHA!$B$2:$B$201=""),0)),IFERROR(INDEX(IF($I742="FIN",HISTORIAL_HORARIOS!$J$2:$J$201,HISTORIAL_HORARIOS!$F$2:$F$201),MATCH(1,(HISTORIAL_HORARIOS!$A$2:$A$201=$B742)*(HISTORIAL_HORARIOS!$C$2:$C$201&lt;=$A742)*(HISTORIAL_HORARIOS!$D$2:$D$201&gt;=$A742),0)),INDEX(IF($I742="FIN",PERSONAL!$J$2:$J$80,PERSONAL!$F$2:$F$80),MATCH($B742,PERSONAL!$A$2:$A$80,0)))))</f>
        <v/>
      </c>
      <c r="N742" s="53">
        <f t="array" ref="N742">IFERROR(INDEX(EXCEPCIONES_FECHA!$E$2:$E$201,MATCH(1,(EXCEPCIONES_FECHA!$A$2:$A$201=$A742)*(EXCEPCIONES_FECHA!$B$2:$B$201=$B742),0)),IFERROR(INDEX(EXCEPCIONES_FECHA!$E$2:$E$201,MATCH(1,(EXCEPCIONES_FECHA!$A$2:$A$201=$A742)*(EXCEPCIONES_FECHA!$B$2:$B$201=""),0)),IFERROR(INDEX(IF($I742="FIN",HISTORIAL_HORARIOS!$K$2:$K$201,HISTORIAL_HORARIOS!$G$2:$G$201),MATCH(1,(HISTORIAL_HORARIOS!$A$2:$A$201=$B742)*(HISTORIAL_HORARIOS!$C$2:$C$201&lt;=$A742)*(HISTORIAL_HORARIOS!$D$2:$D$201&gt;=$A742),0)),INDEX(IF($I742="FIN",PERSONAL!$K$2:$K$80,PERSONAL!$G$2:$G$80),MATCH($B742,PERSONAL!$A$2:$A$80,0)))))</f>
        <v/>
      </c>
      <c r="O742" s="53">
        <f t="array" ref="O742">IFERROR(INDEX(EXCEPCIONES_FECHA!$F$2:$F$201,MATCH(1,(EXCEPCIONES_FECHA!$A$2:$A$201=$A742)*(EXCEPCIONES_FECHA!$B$2:$B$201=$B742),0)),IFERROR(INDEX(EXCEPCIONES_FECHA!$F$2:$F$201,MATCH(1,(EXCEPCIONES_FECHA!$A$2:$A$201=$A742)*(EXCEPCIONES_FECHA!$B$2:$B$201=""),0)),IFERROR(INDEX(IF($I742="FIN",HISTORIAL_HORARIOS!$L$2:$L$201,HISTORIAL_HORARIOS!$H$2:$H$201),MATCH(1,(HISTORIAL_HORARIOS!$A$2:$A$201=$B742)*(HISTORIAL_HORARIOS!$C$2:$C$201&lt;=$A742)*(HISTORIAL_HORARIOS!$D$2:$D$201&gt;=$A742),0)),INDEX(IF($I742="FIN",PERSONAL!$L$2:$L$80,PERSONAL!$H$2:$H$80),MATCH($B742,PERSONAL!$A$2:$A$80,0)))))</f>
        <v/>
      </c>
    </row>
    <row r="743" ht="15" customHeight="1" s="58">
      <c r="A743" s="37" t="n"/>
      <c r="B743" s="38" t="n"/>
      <c r="C743" s="39" t="n"/>
      <c r="D743" s="39" t="n"/>
      <c r="E743" s="34">
        <f t="array" ref="E743">IF($B743="","",IFERROR(INDEX(PERSONAL!$B$2:$B$80,MATCH($B743,PERSONAL!$A$2:$A$80,0)),"NO EXISTE"))</f>
        <v/>
      </c>
      <c r="F743" s="52">
        <f t="array" ref="F743">IF($B743="","",IFERROR(INDEX(PERSONAL!$C$2:$C$80,MATCH($B743,PERSONAL!$A$2:$A$80,0)),""))</f>
        <v/>
      </c>
      <c r="G743" s="52">
        <f>IF($A743="","",CHOOSE(WEEKDAY($A743,2),"LUNES","MARTES","MIÉRCOLES","JUEVES","VIERNES","SÁBADO","DOMINGO"))</f>
        <v/>
      </c>
      <c r="H743" s="34">
        <f>IF($A743="","",CHOOSE(MONTH($A743),"ENERO","FEBRERO","MARZO","ABRIL","MAYO","JUNIO","JULIO","AGOSTO","SEPTIEMBRE","OCTUBRE","NOVIEMBRE","DICIEMBRE"))</f>
        <v/>
      </c>
      <c r="I743" s="34">
        <f>IF($A743="","",IF(OR($G743="SÁBADO",$G743="DOMINGO"),"FIN","LV"))</f>
        <v/>
      </c>
      <c r="J743" s="34">
        <f>IF(OR($A743="",$B743=""),"",IF($L743&lt;&gt;"",UPPER($L743),IF($C743="","FALTA",IFERROR(IF($C743&gt;=$O743,"ROJO FUERTE",IF($C743&gt;=$N743,"ROJO",IF($C743&gt;=$M743,"AMARILLO","VERDE"))),"REVISAR"))))</f>
        <v/>
      </c>
      <c r="K743" s="36">
        <f>IF(OR($C743="",$D743=""),"",IF($D743&gt;=$C743,($D743-$C743)*24,(1-$C743+$D743)*24))</f>
        <v/>
      </c>
      <c r="L743" s="34" t="n"/>
      <c r="M743" s="53">
        <f t="array" ref="M743">IFERROR(INDEX(EXCEPCIONES_FECHA!$D$2:$D$201,MATCH(1,(EXCEPCIONES_FECHA!$A$2:$A$201=$A743)*(EXCEPCIONES_FECHA!$B$2:$B$201=$B743),0)),IFERROR(INDEX(EXCEPCIONES_FECHA!$D$2:$D$201,MATCH(1,(EXCEPCIONES_FECHA!$A$2:$A$201=$A743)*(EXCEPCIONES_FECHA!$B$2:$B$201=""),0)),IFERROR(INDEX(IF($I743="FIN",HISTORIAL_HORARIOS!$J$2:$J$201,HISTORIAL_HORARIOS!$F$2:$F$201),MATCH(1,(HISTORIAL_HORARIOS!$A$2:$A$201=$B743)*(HISTORIAL_HORARIOS!$C$2:$C$201&lt;=$A743)*(HISTORIAL_HORARIOS!$D$2:$D$201&gt;=$A743),0)),INDEX(IF($I743="FIN",PERSONAL!$J$2:$J$80,PERSONAL!$F$2:$F$80),MATCH($B743,PERSONAL!$A$2:$A$80,0)))))</f>
        <v/>
      </c>
      <c r="N743" s="53">
        <f t="array" ref="N743">IFERROR(INDEX(EXCEPCIONES_FECHA!$E$2:$E$201,MATCH(1,(EXCEPCIONES_FECHA!$A$2:$A$201=$A743)*(EXCEPCIONES_FECHA!$B$2:$B$201=$B743),0)),IFERROR(INDEX(EXCEPCIONES_FECHA!$E$2:$E$201,MATCH(1,(EXCEPCIONES_FECHA!$A$2:$A$201=$A743)*(EXCEPCIONES_FECHA!$B$2:$B$201=""),0)),IFERROR(INDEX(IF($I743="FIN",HISTORIAL_HORARIOS!$K$2:$K$201,HISTORIAL_HORARIOS!$G$2:$G$201),MATCH(1,(HISTORIAL_HORARIOS!$A$2:$A$201=$B743)*(HISTORIAL_HORARIOS!$C$2:$C$201&lt;=$A743)*(HISTORIAL_HORARIOS!$D$2:$D$201&gt;=$A743),0)),INDEX(IF($I743="FIN",PERSONAL!$K$2:$K$80,PERSONAL!$G$2:$G$80),MATCH($B743,PERSONAL!$A$2:$A$80,0)))))</f>
        <v/>
      </c>
      <c r="O743" s="53">
        <f t="array" ref="O743">IFERROR(INDEX(EXCEPCIONES_FECHA!$F$2:$F$201,MATCH(1,(EXCEPCIONES_FECHA!$A$2:$A$201=$A743)*(EXCEPCIONES_FECHA!$B$2:$B$201=$B743),0)),IFERROR(INDEX(EXCEPCIONES_FECHA!$F$2:$F$201,MATCH(1,(EXCEPCIONES_FECHA!$A$2:$A$201=$A743)*(EXCEPCIONES_FECHA!$B$2:$B$201=""),0)),IFERROR(INDEX(IF($I743="FIN",HISTORIAL_HORARIOS!$L$2:$L$201,HISTORIAL_HORARIOS!$H$2:$H$201),MATCH(1,(HISTORIAL_HORARIOS!$A$2:$A$201=$B743)*(HISTORIAL_HORARIOS!$C$2:$C$201&lt;=$A743)*(HISTORIAL_HORARIOS!$D$2:$D$201&gt;=$A743),0)),INDEX(IF($I743="FIN",PERSONAL!$L$2:$L$80,PERSONAL!$H$2:$H$80),MATCH($B743,PERSONAL!$A$2:$A$80,0)))))</f>
        <v/>
      </c>
    </row>
    <row r="744" ht="15" customHeight="1" s="58">
      <c r="A744" s="37" t="n"/>
      <c r="B744" s="38" t="n"/>
      <c r="C744" s="39" t="n"/>
      <c r="D744" s="39" t="n"/>
      <c r="E744" s="34">
        <f t="array" ref="E744">IF($B744="","",IFERROR(INDEX(PERSONAL!$B$2:$B$80,MATCH($B744,PERSONAL!$A$2:$A$80,0)),"NO EXISTE"))</f>
        <v/>
      </c>
      <c r="F744" s="52">
        <f t="array" ref="F744">IF($B744="","",IFERROR(INDEX(PERSONAL!$C$2:$C$80,MATCH($B744,PERSONAL!$A$2:$A$80,0)),""))</f>
        <v/>
      </c>
      <c r="G744" s="52">
        <f>IF($A744="","",CHOOSE(WEEKDAY($A744,2),"LUNES","MARTES","MIÉRCOLES","JUEVES","VIERNES","SÁBADO","DOMINGO"))</f>
        <v/>
      </c>
      <c r="H744" s="34">
        <f>IF($A744="","",CHOOSE(MONTH($A744),"ENERO","FEBRERO","MARZO","ABRIL","MAYO","JUNIO","JULIO","AGOSTO","SEPTIEMBRE","OCTUBRE","NOVIEMBRE","DICIEMBRE"))</f>
        <v/>
      </c>
      <c r="I744" s="34">
        <f>IF($A744="","",IF(OR($G744="SÁBADO",$G744="DOMINGO"),"FIN","LV"))</f>
        <v/>
      </c>
      <c r="J744" s="34">
        <f>IF(OR($A744="",$B744=""),"",IF($L744&lt;&gt;"",UPPER($L744),IF($C744="","FALTA",IFERROR(IF($C744&gt;=$O744,"ROJO FUERTE",IF($C744&gt;=$N744,"ROJO",IF($C744&gt;=$M744,"AMARILLO","VERDE"))),"REVISAR"))))</f>
        <v/>
      </c>
      <c r="K744" s="36">
        <f>IF(OR($C744="",$D744=""),"",IF($D744&gt;=$C744,($D744-$C744)*24,(1-$C744+$D744)*24))</f>
        <v/>
      </c>
      <c r="L744" s="34" t="n"/>
      <c r="M744" s="53">
        <f t="array" ref="M744">IFERROR(INDEX(EXCEPCIONES_FECHA!$D$2:$D$201,MATCH(1,(EXCEPCIONES_FECHA!$A$2:$A$201=$A744)*(EXCEPCIONES_FECHA!$B$2:$B$201=$B744),0)),IFERROR(INDEX(EXCEPCIONES_FECHA!$D$2:$D$201,MATCH(1,(EXCEPCIONES_FECHA!$A$2:$A$201=$A744)*(EXCEPCIONES_FECHA!$B$2:$B$201=""),0)),IFERROR(INDEX(IF($I744="FIN",HISTORIAL_HORARIOS!$J$2:$J$201,HISTORIAL_HORARIOS!$F$2:$F$201),MATCH(1,(HISTORIAL_HORARIOS!$A$2:$A$201=$B744)*(HISTORIAL_HORARIOS!$C$2:$C$201&lt;=$A744)*(HISTORIAL_HORARIOS!$D$2:$D$201&gt;=$A744),0)),INDEX(IF($I744="FIN",PERSONAL!$J$2:$J$80,PERSONAL!$F$2:$F$80),MATCH($B744,PERSONAL!$A$2:$A$80,0)))))</f>
        <v/>
      </c>
      <c r="N744" s="53">
        <f t="array" ref="N744">IFERROR(INDEX(EXCEPCIONES_FECHA!$E$2:$E$201,MATCH(1,(EXCEPCIONES_FECHA!$A$2:$A$201=$A744)*(EXCEPCIONES_FECHA!$B$2:$B$201=$B744),0)),IFERROR(INDEX(EXCEPCIONES_FECHA!$E$2:$E$201,MATCH(1,(EXCEPCIONES_FECHA!$A$2:$A$201=$A744)*(EXCEPCIONES_FECHA!$B$2:$B$201=""),0)),IFERROR(INDEX(IF($I744="FIN",HISTORIAL_HORARIOS!$K$2:$K$201,HISTORIAL_HORARIOS!$G$2:$G$201),MATCH(1,(HISTORIAL_HORARIOS!$A$2:$A$201=$B744)*(HISTORIAL_HORARIOS!$C$2:$C$201&lt;=$A744)*(HISTORIAL_HORARIOS!$D$2:$D$201&gt;=$A744),0)),INDEX(IF($I744="FIN",PERSONAL!$K$2:$K$80,PERSONAL!$G$2:$G$80),MATCH($B744,PERSONAL!$A$2:$A$80,0)))))</f>
        <v/>
      </c>
      <c r="O744" s="53">
        <f t="array" ref="O744">IFERROR(INDEX(EXCEPCIONES_FECHA!$F$2:$F$201,MATCH(1,(EXCEPCIONES_FECHA!$A$2:$A$201=$A744)*(EXCEPCIONES_FECHA!$B$2:$B$201=$B744),0)),IFERROR(INDEX(EXCEPCIONES_FECHA!$F$2:$F$201,MATCH(1,(EXCEPCIONES_FECHA!$A$2:$A$201=$A744)*(EXCEPCIONES_FECHA!$B$2:$B$201=""),0)),IFERROR(INDEX(IF($I744="FIN",HISTORIAL_HORARIOS!$L$2:$L$201,HISTORIAL_HORARIOS!$H$2:$H$201),MATCH(1,(HISTORIAL_HORARIOS!$A$2:$A$201=$B744)*(HISTORIAL_HORARIOS!$C$2:$C$201&lt;=$A744)*(HISTORIAL_HORARIOS!$D$2:$D$201&gt;=$A744),0)),INDEX(IF($I744="FIN",PERSONAL!$L$2:$L$80,PERSONAL!$H$2:$H$80),MATCH($B744,PERSONAL!$A$2:$A$80,0)))))</f>
        <v/>
      </c>
    </row>
    <row r="745" ht="15" customHeight="1" s="58">
      <c r="A745" s="37" t="n"/>
      <c r="B745" s="38" t="n"/>
      <c r="C745" s="39" t="n"/>
      <c r="D745" s="39" t="n"/>
      <c r="E745" s="34">
        <f t="array" ref="E745">IF($B745="","",IFERROR(INDEX(PERSONAL!$B$2:$B$80,MATCH($B745,PERSONAL!$A$2:$A$80,0)),"NO EXISTE"))</f>
        <v/>
      </c>
      <c r="F745" s="52">
        <f t="array" ref="F745">IF($B745="","",IFERROR(INDEX(PERSONAL!$C$2:$C$80,MATCH($B745,PERSONAL!$A$2:$A$80,0)),""))</f>
        <v/>
      </c>
      <c r="G745" s="52">
        <f>IF($A745="","",CHOOSE(WEEKDAY($A745,2),"LUNES","MARTES","MIÉRCOLES","JUEVES","VIERNES","SÁBADO","DOMINGO"))</f>
        <v/>
      </c>
      <c r="H745" s="34">
        <f>IF($A745="","",CHOOSE(MONTH($A745),"ENERO","FEBRERO","MARZO","ABRIL","MAYO","JUNIO","JULIO","AGOSTO","SEPTIEMBRE","OCTUBRE","NOVIEMBRE","DICIEMBRE"))</f>
        <v/>
      </c>
      <c r="I745" s="34">
        <f>IF($A745="","",IF(OR($G745="SÁBADO",$G745="DOMINGO"),"FIN","LV"))</f>
        <v/>
      </c>
      <c r="J745" s="34">
        <f>IF(OR($A745="",$B745=""),"",IF($L745&lt;&gt;"",UPPER($L745),IF($C745="","FALTA",IFERROR(IF($C745&gt;=$O745,"ROJO FUERTE",IF($C745&gt;=$N745,"ROJO",IF($C745&gt;=$M745,"AMARILLO","VERDE"))),"REVISAR"))))</f>
        <v/>
      </c>
      <c r="K745" s="36">
        <f>IF(OR($C745="",$D745=""),"",IF($D745&gt;=$C745,($D745-$C745)*24,(1-$C745+$D745)*24))</f>
        <v/>
      </c>
      <c r="L745" s="34" t="n"/>
      <c r="M745" s="53">
        <f t="array" ref="M745">IFERROR(INDEX(EXCEPCIONES_FECHA!$D$2:$D$201,MATCH(1,(EXCEPCIONES_FECHA!$A$2:$A$201=$A745)*(EXCEPCIONES_FECHA!$B$2:$B$201=$B745),0)),IFERROR(INDEX(EXCEPCIONES_FECHA!$D$2:$D$201,MATCH(1,(EXCEPCIONES_FECHA!$A$2:$A$201=$A745)*(EXCEPCIONES_FECHA!$B$2:$B$201=""),0)),IFERROR(INDEX(IF($I745="FIN",HISTORIAL_HORARIOS!$J$2:$J$201,HISTORIAL_HORARIOS!$F$2:$F$201),MATCH(1,(HISTORIAL_HORARIOS!$A$2:$A$201=$B745)*(HISTORIAL_HORARIOS!$C$2:$C$201&lt;=$A745)*(HISTORIAL_HORARIOS!$D$2:$D$201&gt;=$A745),0)),INDEX(IF($I745="FIN",PERSONAL!$J$2:$J$80,PERSONAL!$F$2:$F$80),MATCH($B745,PERSONAL!$A$2:$A$80,0)))))</f>
        <v/>
      </c>
      <c r="N745" s="53">
        <f t="array" ref="N745">IFERROR(INDEX(EXCEPCIONES_FECHA!$E$2:$E$201,MATCH(1,(EXCEPCIONES_FECHA!$A$2:$A$201=$A745)*(EXCEPCIONES_FECHA!$B$2:$B$201=$B745),0)),IFERROR(INDEX(EXCEPCIONES_FECHA!$E$2:$E$201,MATCH(1,(EXCEPCIONES_FECHA!$A$2:$A$201=$A745)*(EXCEPCIONES_FECHA!$B$2:$B$201=""),0)),IFERROR(INDEX(IF($I745="FIN",HISTORIAL_HORARIOS!$K$2:$K$201,HISTORIAL_HORARIOS!$G$2:$G$201),MATCH(1,(HISTORIAL_HORARIOS!$A$2:$A$201=$B745)*(HISTORIAL_HORARIOS!$C$2:$C$201&lt;=$A745)*(HISTORIAL_HORARIOS!$D$2:$D$201&gt;=$A745),0)),INDEX(IF($I745="FIN",PERSONAL!$K$2:$K$80,PERSONAL!$G$2:$G$80),MATCH($B745,PERSONAL!$A$2:$A$80,0)))))</f>
        <v/>
      </c>
      <c r="O745" s="53">
        <f t="array" ref="O745">IFERROR(INDEX(EXCEPCIONES_FECHA!$F$2:$F$201,MATCH(1,(EXCEPCIONES_FECHA!$A$2:$A$201=$A745)*(EXCEPCIONES_FECHA!$B$2:$B$201=$B745),0)),IFERROR(INDEX(EXCEPCIONES_FECHA!$F$2:$F$201,MATCH(1,(EXCEPCIONES_FECHA!$A$2:$A$201=$A745)*(EXCEPCIONES_FECHA!$B$2:$B$201=""),0)),IFERROR(INDEX(IF($I745="FIN",HISTORIAL_HORARIOS!$L$2:$L$201,HISTORIAL_HORARIOS!$H$2:$H$201),MATCH(1,(HISTORIAL_HORARIOS!$A$2:$A$201=$B745)*(HISTORIAL_HORARIOS!$C$2:$C$201&lt;=$A745)*(HISTORIAL_HORARIOS!$D$2:$D$201&gt;=$A745),0)),INDEX(IF($I745="FIN",PERSONAL!$L$2:$L$80,PERSONAL!$H$2:$H$80),MATCH($B745,PERSONAL!$A$2:$A$80,0)))))</f>
        <v/>
      </c>
    </row>
    <row r="746" ht="15" customHeight="1" s="58">
      <c r="A746" s="37" t="n"/>
      <c r="B746" s="38" t="n"/>
      <c r="C746" s="39" t="n"/>
      <c r="D746" s="39" t="n"/>
      <c r="E746" s="34">
        <f t="array" ref="E746">IF($B746="","",IFERROR(INDEX(PERSONAL!$B$2:$B$80,MATCH($B746,PERSONAL!$A$2:$A$80,0)),"NO EXISTE"))</f>
        <v/>
      </c>
      <c r="F746" s="52">
        <f t="array" ref="F746">IF($B746="","",IFERROR(INDEX(PERSONAL!$C$2:$C$80,MATCH($B746,PERSONAL!$A$2:$A$80,0)),""))</f>
        <v/>
      </c>
      <c r="G746" s="52">
        <f>IF($A746="","",CHOOSE(WEEKDAY($A746,2),"LUNES","MARTES","MIÉRCOLES","JUEVES","VIERNES","SÁBADO","DOMINGO"))</f>
        <v/>
      </c>
      <c r="H746" s="34">
        <f>IF($A746="","",CHOOSE(MONTH($A746),"ENERO","FEBRERO","MARZO","ABRIL","MAYO","JUNIO","JULIO","AGOSTO","SEPTIEMBRE","OCTUBRE","NOVIEMBRE","DICIEMBRE"))</f>
        <v/>
      </c>
      <c r="I746" s="34">
        <f>IF($A746="","",IF(OR($G746="SÁBADO",$G746="DOMINGO"),"FIN","LV"))</f>
        <v/>
      </c>
      <c r="J746" s="34">
        <f>IF(OR($A746="",$B746=""),"",IF($L746&lt;&gt;"",UPPER($L746),IF($C746="","FALTA",IFERROR(IF($C746&gt;=$O746,"ROJO FUERTE",IF($C746&gt;=$N746,"ROJO",IF($C746&gt;=$M746,"AMARILLO","VERDE"))),"REVISAR"))))</f>
        <v/>
      </c>
      <c r="K746" s="36">
        <f>IF(OR($C746="",$D746=""),"",IF($D746&gt;=$C746,($D746-$C746)*24,(1-$C746+$D746)*24))</f>
        <v/>
      </c>
      <c r="L746" s="34" t="n"/>
      <c r="M746" s="53">
        <f t="array" ref="M746">IFERROR(INDEX(EXCEPCIONES_FECHA!$D$2:$D$201,MATCH(1,(EXCEPCIONES_FECHA!$A$2:$A$201=$A746)*(EXCEPCIONES_FECHA!$B$2:$B$201=$B746),0)),IFERROR(INDEX(EXCEPCIONES_FECHA!$D$2:$D$201,MATCH(1,(EXCEPCIONES_FECHA!$A$2:$A$201=$A746)*(EXCEPCIONES_FECHA!$B$2:$B$201=""),0)),IFERROR(INDEX(IF($I746="FIN",HISTORIAL_HORARIOS!$J$2:$J$201,HISTORIAL_HORARIOS!$F$2:$F$201),MATCH(1,(HISTORIAL_HORARIOS!$A$2:$A$201=$B746)*(HISTORIAL_HORARIOS!$C$2:$C$201&lt;=$A746)*(HISTORIAL_HORARIOS!$D$2:$D$201&gt;=$A746),0)),INDEX(IF($I746="FIN",PERSONAL!$J$2:$J$80,PERSONAL!$F$2:$F$80),MATCH($B746,PERSONAL!$A$2:$A$80,0)))))</f>
        <v/>
      </c>
      <c r="N746" s="53">
        <f t="array" ref="N746">IFERROR(INDEX(EXCEPCIONES_FECHA!$E$2:$E$201,MATCH(1,(EXCEPCIONES_FECHA!$A$2:$A$201=$A746)*(EXCEPCIONES_FECHA!$B$2:$B$201=$B746),0)),IFERROR(INDEX(EXCEPCIONES_FECHA!$E$2:$E$201,MATCH(1,(EXCEPCIONES_FECHA!$A$2:$A$201=$A746)*(EXCEPCIONES_FECHA!$B$2:$B$201=""),0)),IFERROR(INDEX(IF($I746="FIN",HISTORIAL_HORARIOS!$K$2:$K$201,HISTORIAL_HORARIOS!$G$2:$G$201),MATCH(1,(HISTORIAL_HORARIOS!$A$2:$A$201=$B746)*(HISTORIAL_HORARIOS!$C$2:$C$201&lt;=$A746)*(HISTORIAL_HORARIOS!$D$2:$D$201&gt;=$A746),0)),INDEX(IF($I746="FIN",PERSONAL!$K$2:$K$80,PERSONAL!$G$2:$G$80),MATCH($B746,PERSONAL!$A$2:$A$80,0)))))</f>
        <v/>
      </c>
      <c r="O746" s="53">
        <f t="array" ref="O746">IFERROR(INDEX(EXCEPCIONES_FECHA!$F$2:$F$201,MATCH(1,(EXCEPCIONES_FECHA!$A$2:$A$201=$A746)*(EXCEPCIONES_FECHA!$B$2:$B$201=$B746),0)),IFERROR(INDEX(EXCEPCIONES_FECHA!$F$2:$F$201,MATCH(1,(EXCEPCIONES_FECHA!$A$2:$A$201=$A746)*(EXCEPCIONES_FECHA!$B$2:$B$201=""),0)),IFERROR(INDEX(IF($I746="FIN",HISTORIAL_HORARIOS!$L$2:$L$201,HISTORIAL_HORARIOS!$H$2:$H$201),MATCH(1,(HISTORIAL_HORARIOS!$A$2:$A$201=$B746)*(HISTORIAL_HORARIOS!$C$2:$C$201&lt;=$A746)*(HISTORIAL_HORARIOS!$D$2:$D$201&gt;=$A746),0)),INDEX(IF($I746="FIN",PERSONAL!$L$2:$L$80,PERSONAL!$H$2:$H$80),MATCH($B746,PERSONAL!$A$2:$A$80,0)))))</f>
        <v/>
      </c>
    </row>
    <row r="747" ht="15" customHeight="1" s="58">
      <c r="A747" s="37" t="n"/>
      <c r="B747" s="38" t="n"/>
      <c r="C747" s="39" t="n"/>
      <c r="D747" s="39" t="n"/>
      <c r="E747" s="34">
        <f t="array" ref="E747">IF($B747="","",IFERROR(INDEX(PERSONAL!$B$2:$B$80,MATCH($B747,PERSONAL!$A$2:$A$80,0)),"NO EXISTE"))</f>
        <v/>
      </c>
      <c r="F747" s="52">
        <f t="array" ref="F747">IF($B747="","",IFERROR(INDEX(PERSONAL!$C$2:$C$80,MATCH($B747,PERSONAL!$A$2:$A$80,0)),""))</f>
        <v/>
      </c>
      <c r="G747" s="52">
        <f>IF($A747="","",CHOOSE(WEEKDAY($A747,2),"LUNES","MARTES","MIÉRCOLES","JUEVES","VIERNES","SÁBADO","DOMINGO"))</f>
        <v/>
      </c>
      <c r="H747" s="34">
        <f>IF($A747="","",CHOOSE(MONTH($A747),"ENERO","FEBRERO","MARZO","ABRIL","MAYO","JUNIO","JULIO","AGOSTO","SEPTIEMBRE","OCTUBRE","NOVIEMBRE","DICIEMBRE"))</f>
        <v/>
      </c>
      <c r="I747" s="34">
        <f>IF($A747="","",IF(OR($G747="SÁBADO",$G747="DOMINGO"),"FIN","LV"))</f>
        <v/>
      </c>
      <c r="J747" s="34">
        <f>IF(OR($A747="",$B747=""),"",IF($L747&lt;&gt;"",UPPER($L747),IF($C747="","FALTA",IFERROR(IF($C747&gt;=$O747,"ROJO FUERTE",IF($C747&gt;=$N747,"ROJO",IF($C747&gt;=$M747,"AMARILLO","VERDE"))),"REVISAR"))))</f>
        <v/>
      </c>
      <c r="K747" s="36">
        <f>IF(OR($C747="",$D747=""),"",IF($D747&gt;=$C747,($D747-$C747)*24,(1-$C747+$D747)*24))</f>
        <v/>
      </c>
      <c r="L747" s="34" t="n"/>
      <c r="M747" s="53">
        <f t="array" ref="M747">IFERROR(INDEX(EXCEPCIONES_FECHA!$D$2:$D$201,MATCH(1,(EXCEPCIONES_FECHA!$A$2:$A$201=$A747)*(EXCEPCIONES_FECHA!$B$2:$B$201=$B747),0)),IFERROR(INDEX(EXCEPCIONES_FECHA!$D$2:$D$201,MATCH(1,(EXCEPCIONES_FECHA!$A$2:$A$201=$A747)*(EXCEPCIONES_FECHA!$B$2:$B$201=""),0)),IFERROR(INDEX(IF($I747="FIN",HISTORIAL_HORARIOS!$J$2:$J$201,HISTORIAL_HORARIOS!$F$2:$F$201),MATCH(1,(HISTORIAL_HORARIOS!$A$2:$A$201=$B747)*(HISTORIAL_HORARIOS!$C$2:$C$201&lt;=$A747)*(HISTORIAL_HORARIOS!$D$2:$D$201&gt;=$A747),0)),INDEX(IF($I747="FIN",PERSONAL!$J$2:$J$80,PERSONAL!$F$2:$F$80),MATCH($B747,PERSONAL!$A$2:$A$80,0)))))</f>
        <v/>
      </c>
      <c r="N747" s="53">
        <f t="array" ref="N747">IFERROR(INDEX(EXCEPCIONES_FECHA!$E$2:$E$201,MATCH(1,(EXCEPCIONES_FECHA!$A$2:$A$201=$A747)*(EXCEPCIONES_FECHA!$B$2:$B$201=$B747),0)),IFERROR(INDEX(EXCEPCIONES_FECHA!$E$2:$E$201,MATCH(1,(EXCEPCIONES_FECHA!$A$2:$A$201=$A747)*(EXCEPCIONES_FECHA!$B$2:$B$201=""),0)),IFERROR(INDEX(IF($I747="FIN",HISTORIAL_HORARIOS!$K$2:$K$201,HISTORIAL_HORARIOS!$G$2:$G$201),MATCH(1,(HISTORIAL_HORARIOS!$A$2:$A$201=$B747)*(HISTORIAL_HORARIOS!$C$2:$C$201&lt;=$A747)*(HISTORIAL_HORARIOS!$D$2:$D$201&gt;=$A747),0)),INDEX(IF($I747="FIN",PERSONAL!$K$2:$K$80,PERSONAL!$G$2:$G$80),MATCH($B747,PERSONAL!$A$2:$A$80,0)))))</f>
        <v/>
      </c>
      <c r="O747" s="53">
        <f t="array" ref="O747">IFERROR(INDEX(EXCEPCIONES_FECHA!$F$2:$F$201,MATCH(1,(EXCEPCIONES_FECHA!$A$2:$A$201=$A747)*(EXCEPCIONES_FECHA!$B$2:$B$201=$B747),0)),IFERROR(INDEX(EXCEPCIONES_FECHA!$F$2:$F$201,MATCH(1,(EXCEPCIONES_FECHA!$A$2:$A$201=$A747)*(EXCEPCIONES_FECHA!$B$2:$B$201=""),0)),IFERROR(INDEX(IF($I747="FIN",HISTORIAL_HORARIOS!$L$2:$L$201,HISTORIAL_HORARIOS!$H$2:$H$201),MATCH(1,(HISTORIAL_HORARIOS!$A$2:$A$201=$B747)*(HISTORIAL_HORARIOS!$C$2:$C$201&lt;=$A747)*(HISTORIAL_HORARIOS!$D$2:$D$201&gt;=$A747),0)),INDEX(IF($I747="FIN",PERSONAL!$L$2:$L$80,PERSONAL!$H$2:$H$80),MATCH($B747,PERSONAL!$A$2:$A$80,0)))))</f>
        <v/>
      </c>
    </row>
    <row r="748" ht="15" customHeight="1" s="58">
      <c r="A748" s="37" t="n"/>
      <c r="B748" s="38" t="n"/>
      <c r="C748" s="39" t="n"/>
      <c r="D748" s="39" t="n"/>
      <c r="E748" s="34">
        <f t="array" ref="E748">IF($B748="","",IFERROR(INDEX(PERSONAL!$B$2:$B$80,MATCH($B748,PERSONAL!$A$2:$A$80,0)),"NO EXISTE"))</f>
        <v/>
      </c>
      <c r="F748" s="52">
        <f t="array" ref="F748">IF($B748="","",IFERROR(INDEX(PERSONAL!$C$2:$C$80,MATCH($B748,PERSONAL!$A$2:$A$80,0)),""))</f>
        <v/>
      </c>
      <c r="G748" s="52">
        <f>IF($A748="","",CHOOSE(WEEKDAY($A748,2),"LUNES","MARTES","MIÉRCOLES","JUEVES","VIERNES","SÁBADO","DOMINGO"))</f>
        <v/>
      </c>
      <c r="H748" s="34">
        <f>IF($A748="","",CHOOSE(MONTH($A748),"ENERO","FEBRERO","MARZO","ABRIL","MAYO","JUNIO","JULIO","AGOSTO","SEPTIEMBRE","OCTUBRE","NOVIEMBRE","DICIEMBRE"))</f>
        <v/>
      </c>
      <c r="I748" s="34">
        <f>IF($A748="","",IF(OR($G748="SÁBADO",$G748="DOMINGO"),"FIN","LV"))</f>
        <v/>
      </c>
      <c r="J748" s="34">
        <f>IF(OR($A748="",$B748=""),"",IF($L748&lt;&gt;"",UPPER($L748),IF($C748="","FALTA",IFERROR(IF($C748&gt;=$O748,"ROJO FUERTE",IF($C748&gt;=$N748,"ROJO",IF($C748&gt;=$M748,"AMARILLO","VERDE"))),"REVISAR"))))</f>
        <v/>
      </c>
      <c r="K748" s="36">
        <f>IF(OR($C748="",$D748=""),"",IF($D748&gt;=$C748,($D748-$C748)*24,(1-$C748+$D748)*24))</f>
        <v/>
      </c>
      <c r="L748" s="34" t="n"/>
      <c r="M748" s="53">
        <f t="array" ref="M748">IFERROR(INDEX(EXCEPCIONES_FECHA!$D$2:$D$201,MATCH(1,(EXCEPCIONES_FECHA!$A$2:$A$201=$A748)*(EXCEPCIONES_FECHA!$B$2:$B$201=$B748),0)),IFERROR(INDEX(EXCEPCIONES_FECHA!$D$2:$D$201,MATCH(1,(EXCEPCIONES_FECHA!$A$2:$A$201=$A748)*(EXCEPCIONES_FECHA!$B$2:$B$201=""),0)),IFERROR(INDEX(IF($I748="FIN",HISTORIAL_HORARIOS!$J$2:$J$201,HISTORIAL_HORARIOS!$F$2:$F$201),MATCH(1,(HISTORIAL_HORARIOS!$A$2:$A$201=$B748)*(HISTORIAL_HORARIOS!$C$2:$C$201&lt;=$A748)*(HISTORIAL_HORARIOS!$D$2:$D$201&gt;=$A748),0)),INDEX(IF($I748="FIN",PERSONAL!$J$2:$J$80,PERSONAL!$F$2:$F$80),MATCH($B748,PERSONAL!$A$2:$A$80,0)))))</f>
        <v/>
      </c>
      <c r="N748" s="53">
        <f t="array" ref="N748">IFERROR(INDEX(EXCEPCIONES_FECHA!$E$2:$E$201,MATCH(1,(EXCEPCIONES_FECHA!$A$2:$A$201=$A748)*(EXCEPCIONES_FECHA!$B$2:$B$201=$B748),0)),IFERROR(INDEX(EXCEPCIONES_FECHA!$E$2:$E$201,MATCH(1,(EXCEPCIONES_FECHA!$A$2:$A$201=$A748)*(EXCEPCIONES_FECHA!$B$2:$B$201=""),0)),IFERROR(INDEX(IF($I748="FIN",HISTORIAL_HORARIOS!$K$2:$K$201,HISTORIAL_HORARIOS!$G$2:$G$201),MATCH(1,(HISTORIAL_HORARIOS!$A$2:$A$201=$B748)*(HISTORIAL_HORARIOS!$C$2:$C$201&lt;=$A748)*(HISTORIAL_HORARIOS!$D$2:$D$201&gt;=$A748),0)),INDEX(IF($I748="FIN",PERSONAL!$K$2:$K$80,PERSONAL!$G$2:$G$80),MATCH($B748,PERSONAL!$A$2:$A$80,0)))))</f>
        <v/>
      </c>
      <c r="O748" s="53">
        <f t="array" ref="O748">IFERROR(INDEX(EXCEPCIONES_FECHA!$F$2:$F$201,MATCH(1,(EXCEPCIONES_FECHA!$A$2:$A$201=$A748)*(EXCEPCIONES_FECHA!$B$2:$B$201=$B748),0)),IFERROR(INDEX(EXCEPCIONES_FECHA!$F$2:$F$201,MATCH(1,(EXCEPCIONES_FECHA!$A$2:$A$201=$A748)*(EXCEPCIONES_FECHA!$B$2:$B$201=""),0)),IFERROR(INDEX(IF($I748="FIN",HISTORIAL_HORARIOS!$L$2:$L$201,HISTORIAL_HORARIOS!$H$2:$H$201),MATCH(1,(HISTORIAL_HORARIOS!$A$2:$A$201=$B748)*(HISTORIAL_HORARIOS!$C$2:$C$201&lt;=$A748)*(HISTORIAL_HORARIOS!$D$2:$D$201&gt;=$A748),0)),INDEX(IF($I748="FIN",PERSONAL!$L$2:$L$80,PERSONAL!$H$2:$H$80),MATCH($B748,PERSONAL!$A$2:$A$80,0)))))</f>
        <v/>
      </c>
    </row>
    <row r="749" ht="15" customHeight="1" s="58">
      <c r="A749" s="37" t="n"/>
      <c r="B749" s="38" t="n"/>
      <c r="C749" s="39" t="n"/>
      <c r="D749" s="39" t="n"/>
      <c r="E749" s="34">
        <f t="array" ref="E749">IF($B749="","",IFERROR(INDEX(PERSONAL!$B$2:$B$80,MATCH($B749,PERSONAL!$A$2:$A$80,0)),"NO EXISTE"))</f>
        <v/>
      </c>
      <c r="F749" s="52">
        <f t="array" ref="F749">IF($B749="","",IFERROR(INDEX(PERSONAL!$C$2:$C$80,MATCH($B749,PERSONAL!$A$2:$A$80,0)),""))</f>
        <v/>
      </c>
      <c r="G749" s="52">
        <f>IF($A749="","",CHOOSE(WEEKDAY($A749,2),"LUNES","MARTES","MIÉRCOLES","JUEVES","VIERNES","SÁBADO","DOMINGO"))</f>
        <v/>
      </c>
      <c r="H749" s="34">
        <f>IF($A749="","",CHOOSE(MONTH($A749),"ENERO","FEBRERO","MARZO","ABRIL","MAYO","JUNIO","JULIO","AGOSTO","SEPTIEMBRE","OCTUBRE","NOVIEMBRE","DICIEMBRE"))</f>
        <v/>
      </c>
      <c r="I749" s="34">
        <f>IF($A749="","",IF(OR($G749="SÁBADO",$G749="DOMINGO"),"FIN","LV"))</f>
        <v/>
      </c>
      <c r="J749" s="34">
        <f>IF(OR($A749="",$B749=""),"",IF($L749&lt;&gt;"",UPPER($L749),IF($C749="","FALTA",IFERROR(IF($C749&gt;=$O749,"ROJO FUERTE",IF($C749&gt;=$N749,"ROJO",IF($C749&gt;=$M749,"AMARILLO","VERDE"))),"REVISAR"))))</f>
        <v/>
      </c>
      <c r="K749" s="36">
        <f>IF(OR($C749="",$D749=""),"",IF($D749&gt;=$C749,($D749-$C749)*24,(1-$C749+$D749)*24))</f>
        <v/>
      </c>
      <c r="L749" s="34" t="n"/>
      <c r="M749" s="53">
        <f t="array" ref="M749">IFERROR(INDEX(EXCEPCIONES_FECHA!$D$2:$D$201,MATCH(1,(EXCEPCIONES_FECHA!$A$2:$A$201=$A749)*(EXCEPCIONES_FECHA!$B$2:$B$201=$B749),0)),IFERROR(INDEX(EXCEPCIONES_FECHA!$D$2:$D$201,MATCH(1,(EXCEPCIONES_FECHA!$A$2:$A$201=$A749)*(EXCEPCIONES_FECHA!$B$2:$B$201=""),0)),IFERROR(INDEX(IF($I749="FIN",HISTORIAL_HORARIOS!$J$2:$J$201,HISTORIAL_HORARIOS!$F$2:$F$201),MATCH(1,(HISTORIAL_HORARIOS!$A$2:$A$201=$B749)*(HISTORIAL_HORARIOS!$C$2:$C$201&lt;=$A749)*(HISTORIAL_HORARIOS!$D$2:$D$201&gt;=$A749),0)),INDEX(IF($I749="FIN",PERSONAL!$J$2:$J$80,PERSONAL!$F$2:$F$80),MATCH($B749,PERSONAL!$A$2:$A$80,0)))))</f>
        <v/>
      </c>
      <c r="N749" s="53">
        <f t="array" ref="N749">IFERROR(INDEX(EXCEPCIONES_FECHA!$E$2:$E$201,MATCH(1,(EXCEPCIONES_FECHA!$A$2:$A$201=$A749)*(EXCEPCIONES_FECHA!$B$2:$B$201=$B749),0)),IFERROR(INDEX(EXCEPCIONES_FECHA!$E$2:$E$201,MATCH(1,(EXCEPCIONES_FECHA!$A$2:$A$201=$A749)*(EXCEPCIONES_FECHA!$B$2:$B$201=""),0)),IFERROR(INDEX(IF($I749="FIN",HISTORIAL_HORARIOS!$K$2:$K$201,HISTORIAL_HORARIOS!$G$2:$G$201),MATCH(1,(HISTORIAL_HORARIOS!$A$2:$A$201=$B749)*(HISTORIAL_HORARIOS!$C$2:$C$201&lt;=$A749)*(HISTORIAL_HORARIOS!$D$2:$D$201&gt;=$A749),0)),INDEX(IF($I749="FIN",PERSONAL!$K$2:$K$80,PERSONAL!$G$2:$G$80),MATCH($B749,PERSONAL!$A$2:$A$80,0)))))</f>
        <v/>
      </c>
      <c r="O749" s="53">
        <f t="array" ref="O749">IFERROR(INDEX(EXCEPCIONES_FECHA!$F$2:$F$201,MATCH(1,(EXCEPCIONES_FECHA!$A$2:$A$201=$A749)*(EXCEPCIONES_FECHA!$B$2:$B$201=$B749),0)),IFERROR(INDEX(EXCEPCIONES_FECHA!$F$2:$F$201,MATCH(1,(EXCEPCIONES_FECHA!$A$2:$A$201=$A749)*(EXCEPCIONES_FECHA!$B$2:$B$201=""),0)),IFERROR(INDEX(IF($I749="FIN",HISTORIAL_HORARIOS!$L$2:$L$201,HISTORIAL_HORARIOS!$H$2:$H$201),MATCH(1,(HISTORIAL_HORARIOS!$A$2:$A$201=$B749)*(HISTORIAL_HORARIOS!$C$2:$C$201&lt;=$A749)*(HISTORIAL_HORARIOS!$D$2:$D$201&gt;=$A749),0)),INDEX(IF($I749="FIN",PERSONAL!$L$2:$L$80,PERSONAL!$H$2:$H$80),MATCH($B749,PERSONAL!$A$2:$A$80,0)))))</f>
        <v/>
      </c>
    </row>
    <row r="750" ht="15" customHeight="1" s="58">
      <c r="A750" s="37" t="n"/>
      <c r="B750" s="38" t="n"/>
      <c r="C750" s="39" t="n"/>
      <c r="D750" s="39" t="n"/>
      <c r="E750" s="34">
        <f t="array" ref="E750">IF($B750="","",IFERROR(INDEX(PERSONAL!$B$2:$B$80,MATCH($B750,PERSONAL!$A$2:$A$80,0)),"NO EXISTE"))</f>
        <v/>
      </c>
      <c r="F750" s="52">
        <f t="array" ref="F750">IF($B750="","",IFERROR(INDEX(PERSONAL!$C$2:$C$80,MATCH($B750,PERSONAL!$A$2:$A$80,0)),""))</f>
        <v/>
      </c>
      <c r="G750" s="52">
        <f>IF($A750="","",CHOOSE(WEEKDAY($A750,2),"LUNES","MARTES","MIÉRCOLES","JUEVES","VIERNES","SÁBADO","DOMINGO"))</f>
        <v/>
      </c>
      <c r="H750" s="34">
        <f>IF($A750="","",CHOOSE(MONTH($A750),"ENERO","FEBRERO","MARZO","ABRIL","MAYO","JUNIO","JULIO","AGOSTO","SEPTIEMBRE","OCTUBRE","NOVIEMBRE","DICIEMBRE"))</f>
        <v/>
      </c>
      <c r="I750" s="34">
        <f>IF($A750="","",IF(OR($G750="SÁBADO",$G750="DOMINGO"),"FIN","LV"))</f>
        <v/>
      </c>
      <c r="J750" s="34">
        <f>IF(OR($A750="",$B750=""),"",IF($L750&lt;&gt;"",UPPER($L750),IF($C750="","FALTA",IFERROR(IF($C750&gt;=$O750,"ROJO FUERTE",IF($C750&gt;=$N750,"ROJO",IF($C750&gt;=$M750,"AMARILLO","VERDE"))),"REVISAR"))))</f>
        <v/>
      </c>
      <c r="K750" s="36">
        <f>IF(OR($C750="",$D750=""),"",IF($D750&gt;=$C750,($D750-$C750)*24,(1-$C750+$D750)*24))</f>
        <v/>
      </c>
      <c r="L750" s="34" t="n"/>
      <c r="M750" s="53">
        <f t="array" ref="M750">IFERROR(INDEX(EXCEPCIONES_FECHA!$D$2:$D$201,MATCH(1,(EXCEPCIONES_FECHA!$A$2:$A$201=$A750)*(EXCEPCIONES_FECHA!$B$2:$B$201=$B750),0)),IFERROR(INDEX(EXCEPCIONES_FECHA!$D$2:$D$201,MATCH(1,(EXCEPCIONES_FECHA!$A$2:$A$201=$A750)*(EXCEPCIONES_FECHA!$B$2:$B$201=""),0)),IFERROR(INDEX(IF($I750="FIN",HISTORIAL_HORARIOS!$J$2:$J$201,HISTORIAL_HORARIOS!$F$2:$F$201),MATCH(1,(HISTORIAL_HORARIOS!$A$2:$A$201=$B750)*(HISTORIAL_HORARIOS!$C$2:$C$201&lt;=$A750)*(HISTORIAL_HORARIOS!$D$2:$D$201&gt;=$A750),0)),INDEX(IF($I750="FIN",PERSONAL!$J$2:$J$80,PERSONAL!$F$2:$F$80),MATCH($B750,PERSONAL!$A$2:$A$80,0)))))</f>
        <v/>
      </c>
      <c r="N750" s="53">
        <f t="array" ref="N750">IFERROR(INDEX(EXCEPCIONES_FECHA!$E$2:$E$201,MATCH(1,(EXCEPCIONES_FECHA!$A$2:$A$201=$A750)*(EXCEPCIONES_FECHA!$B$2:$B$201=$B750),0)),IFERROR(INDEX(EXCEPCIONES_FECHA!$E$2:$E$201,MATCH(1,(EXCEPCIONES_FECHA!$A$2:$A$201=$A750)*(EXCEPCIONES_FECHA!$B$2:$B$201=""),0)),IFERROR(INDEX(IF($I750="FIN",HISTORIAL_HORARIOS!$K$2:$K$201,HISTORIAL_HORARIOS!$G$2:$G$201),MATCH(1,(HISTORIAL_HORARIOS!$A$2:$A$201=$B750)*(HISTORIAL_HORARIOS!$C$2:$C$201&lt;=$A750)*(HISTORIAL_HORARIOS!$D$2:$D$201&gt;=$A750),0)),INDEX(IF($I750="FIN",PERSONAL!$K$2:$K$80,PERSONAL!$G$2:$G$80),MATCH($B750,PERSONAL!$A$2:$A$80,0)))))</f>
        <v/>
      </c>
      <c r="O750" s="53">
        <f t="array" ref="O750">IFERROR(INDEX(EXCEPCIONES_FECHA!$F$2:$F$201,MATCH(1,(EXCEPCIONES_FECHA!$A$2:$A$201=$A750)*(EXCEPCIONES_FECHA!$B$2:$B$201=$B750),0)),IFERROR(INDEX(EXCEPCIONES_FECHA!$F$2:$F$201,MATCH(1,(EXCEPCIONES_FECHA!$A$2:$A$201=$A750)*(EXCEPCIONES_FECHA!$B$2:$B$201=""),0)),IFERROR(INDEX(IF($I750="FIN",HISTORIAL_HORARIOS!$L$2:$L$201,HISTORIAL_HORARIOS!$H$2:$H$201),MATCH(1,(HISTORIAL_HORARIOS!$A$2:$A$201=$B750)*(HISTORIAL_HORARIOS!$C$2:$C$201&lt;=$A750)*(HISTORIAL_HORARIOS!$D$2:$D$201&gt;=$A750),0)),INDEX(IF($I750="FIN",PERSONAL!$L$2:$L$80,PERSONAL!$H$2:$H$80),MATCH($B750,PERSONAL!$A$2:$A$80,0)))))</f>
        <v/>
      </c>
    </row>
    <row r="751" ht="15" customHeight="1" s="58">
      <c r="A751" s="37" t="n"/>
      <c r="B751" s="38" t="n"/>
      <c r="C751" s="39" t="n"/>
      <c r="D751" s="39" t="n"/>
      <c r="E751" s="34">
        <f t="array" ref="E751">IF($B751="","",IFERROR(INDEX(PERSONAL!$B$2:$B$80,MATCH($B751,PERSONAL!$A$2:$A$80,0)),"NO EXISTE"))</f>
        <v/>
      </c>
      <c r="F751" s="52">
        <f t="array" ref="F751">IF($B751="","",IFERROR(INDEX(PERSONAL!$C$2:$C$80,MATCH($B751,PERSONAL!$A$2:$A$80,0)),""))</f>
        <v/>
      </c>
      <c r="G751" s="52">
        <f>IF($A751="","",CHOOSE(WEEKDAY($A751,2),"LUNES","MARTES","MIÉRCOLES","JUEVES","VIERNES","SÁBADO","DOMINGO"))</f>
        <v/>
      </c>
      <c r="H751" s="34">
        <f>IF($A751="","",CHOOSE(MONTH($A751),"ENERO","FEBRERO","MARZO","ABRIL","MAYO","JUNIO","JULIO","AGOSTO","SEPTIEMBRE","OCTUBRE","NOVIEMBRE","DICIEMBRE"))</f>
        <v/>
      </c>
      <c r="I751" s="34">
        <f>IF($A751="","",IF(OR($G751="SÁBADO",$G751="DOMINGO"),"FIN","LV"))</f>
        <v/>
      </c>
      <c r="J751" s="34">
        <f>IF(OR($A751="",$B751=""),"",IF($L751&lt;&gt;"",UPPER($L751),IF($C751="","FALTA",IFERROR(IF($C751&gt;=$O751,"ROJO FUERTE",IF($C751&gt;=$N751,"ROJO",IF($C751&gt;=$M751,"AMARILLO","VERDE"))),"REVISAR"))))</f>
        <v/>
      </c>
      <c r="K751" s="36">
        <f>IF(OR($C751="",$D751=""),"",IF($D751&gt;=$C751,($D751-$C751)*24,(1-$C751+$D751)*24))</f>
        <v/>
      </c>
      <c r="L751" s="34" t="n"/>
      <c r="M751" s="53">
        <f t="array" ref="M751">IFERROR(INDEX(EXCEPCIONES_FECHA!$D$2:$D$201,MATCH(1,(EXCEPCIONES_FECHA!$A$2:$A$201=$A751)*(EXCEPCIONES_FECHA!$B$2:$B$201=$B751),0)),IFERROR(INDEX(EXCEPCIONES_FECHA!$D$2:$D$201,MATCH(1,(EXCEPCIONES_FECHA!$A$2:$A$201=$A751)*(EXCEPCIONES_FECHA!$B$2:$B$201=""),0)),IFERROR(INDEX(IF($I751="FIN",HISTORIAL_HORARIOS!$J$2:$J$201,HISTORIAL_HORARIOS!$F$2:$F$201),MATCH(1,(HISTORIAL_HORARIOS!$A$2:$A$201=$B751)*(HISTORIAL_HORARIOS!$C$2:$C$201&lt;=$A751)*(HISTORIAL_HORARIOS!$D$2:$D$201&gt;=$A751),0)),INDEX(IF($I751="FIN",PERSONAL!$J$2:$J$80,PERSONAL!$F$2:$F$80),MATCH($B751,PERSONAL!$A$2:$A$80,0)))))</f>
        <v/>
      </c>
      <c r="N751" s="53">
        <f t="array" ref="N751">IFERROR(INDEX(EXCEPCIONES_FECHA!$E$2:$E$201,MATCH(1,(EXCEPCIONES_FECHA!$A$2:$A$201=$A751)*(EXCEPCIONES_FECHA!$B$2:$B$201=$B751),0)),IFERROR(INDEX(EXCEPCIONES_FECHA!$E$2:$E$201,MATCH(1,(EXCEPCIONES_FECHA!$A$2:$A$201=$A751)*(EXCEPCIONES_FECHA!$B$2:$B$201=""),0)),IFERROR(INDEX(IF($I751="FIN",HISTORIAL_HORARIOS!$K$2:$K$201,HISTORIAL_HORARIOS!$G$2:$G$201),MATCH(1,(HISTORIAL_HORARIOS!$A$2:$A$201=$B751)*(HISTORIAL_HORARIOS!$C$2:$C$201&lt;=$A751)*(HISTORIAL_HORARIOS!$D$2:$D$201&gt;=$A751),0)),INDEX(IF($I751="FIN",PERSONAL!$K$2:$K$80,PERSONAL!$G$2:$G$80),MATCH($B751,PERSONAL!$A$2:$A$80,0)))))</f>
        <v/>
      </c>
      <c r="O751" s="53">
        <f t="array" ref="O751">IFERROR(INDEX(EXCEPCIONES_FECHA!$F$2:$F$201,MATCH(1,(EXCEPCIONES_FECHA!$A$2:$A$201=$A751)*(EXCEPCIONES_FECHA!$B$2:$B$201=$B751),0)),IFERROR(INDEX(EXCEPCIONES_FECHA!$F$2:$F$201,MATCH(1,(EXCEPCIONES_FECHA!$A$2:$A$201=$A751)*(EXCEPCIONES_FECHA!$B$2:$B$201=""),0)),IFERROR(INDEX(IF($I751="FIN",HISTORIAL_HORARIOS!$L$2:$L$201,HISTORIAL_HORARIOS!$H$2:$H$201),MATCH(1,(HISTORIAL_HORARIOS!$A$2:$A$201=$B751)*(HISTORIAL_HORARIOS!$C$2:$C$201&lt;=$A751)*(HISTORIAL_HORARIOS!$D$2:$D$201&gt;=$A751),0)),INDEX(IF($I751="FIN",PERSONAL!$L$2:$L$80,PERSONAL!$H$2:$H$80),MATCH($B751,PERSONAL!$A$2:$A$80,0)))))</f>
        <v/>
      </c>
    </row>
    <row r="752" ht="15" customHeight="1" s="58">
      <c r="A752" s="37" t="n"/>
      <c r="B752" s="38" t="n"/>
      <c r="C752" s="39" t="n"/>
      <c r="D752" s="39" t="n"/>
      <c r="E752" s="34">
        <f t="array" ref="E752">IF($B752="","",IFERROR(INDEX(PERSONAL!$B$2:$B$80,MATCH($B752,PERSONAL!$A$2:$A$80,0)),"NO EXISTE"))</f>
        <v/>
      </c>
      <c r="F752" s="52">
        <f t="array" ref="F752">IF($B752="","",IFERROR(INDEX(PERSONAL!$C$2:$C$80,MATCH($B752,PERSONAL!$A$2:$A$80,0)),""))</f>
        <v/>
      </c>
      <c r="G752" s="52">
        <f>IF($A752="","",CHOOSE(WEEKDAY($A752,2),"LUNES","MARTES","MIÉRCOLES","JUEVES","VIERNES","SÁBADO","DOMINGO"))</f>
        <v/>
      </c>
      <c r="H752" s="34">
        <f>IF($A752="","",CHOOSE(MONTH($A752),"ENERO","FEBRERO","MARZO","ABRIL","MAYO","JUNIO","JULIO","AGOSTO","SEPTIEMBRE","OCTUBRE","NOVIEMBRE","DICIEMBRE"))</f>
        <v/>
      </c>
      <c r="I752" s="34">
        <f>IF($A752="","",IF(OR($G752="SÁBADO",$G752="DOMINGO"),"FIN","LV"))</f>
        <v/>
      </c>
      <c r="J752" s="34">
        <f>IF(OR($A752="",$B752=""),"",IF($L752&lt;&gt;"",UPPER($L752),IF($C752="","FALTA",IFERROR(IF($C752&gt;=$O752,"ROJO FUERTE",IF($C752&gt;=$N752,"ROJO",IF($C752&gt;=$M752,"AMARILLO","VERDE"))),"REVISAR"))))</f>
        <v/>
      </c>
      <c r="K752" s="36">
        <f>IF(OR($C752="",$D752=""),"",IF($D752&gt;=$C752,($D752-$C752)*24,(1-$C752+$D752)*24))</f>
        <v/>
      </c>
      <c r="L752" s="34" t="n"/>
      <c r="M752" s="53">
        <f t="array" ref="M752">IFERROR(INDEX(EXCEPCIONES_FECHA!$D$2:$D$201,MATCH(1,(EXCEPCIONES_FECHA!$A$2:$A$201=$A752)*(EXCEPCIONES_FECHA!$B$2:$B$201=$B752),0)),IFERROR(INDEX(EXCEPCIONES_FECHA!$D$2:$D$201,MATCH(1,(EXCEPCIONES_FECHA!$A$2:$A$201=$A752)*(EXCEPCIONES_FECHA!$B$2:$B$201=""),0)),IFERROR(INDEX(IF($I752="FIN",HISTORIAL_HORARIOS!$J$2:$J$201,HISTORIAL_HORARIOS!$F$2:$F$201),MATCH(1,(HISTORIAL_HORARIOS!$A$2:$A$201=$B752)*(HISTORIAL_HORARIOS!$C$2:$C$201&lt;=$A752)*(HISTORIAL_HORARIOS!$D$2:$D$201&gt;=$A752),0)),INDEX(IF($I752="FIN",PERSONAL!$J$2:$J$80,PERSONAL!$F$2:$F$80),MATCH($B752,PERSONAL!$A$2:$A$80,0)))))</f>
        <v/>
      </c>
      <c r="N752" s="53">
        <f t="array" ref="N752">IFERROR(INDEX(EXCEPCIONES_FECHA!$E$2:$E$201,MATCH(1,(EXCEPCIONES_FECHA!$A$2:$A$201=$A752)*(EXCEPCIONES_FECHA!$B$2:$B$201=$B752),0)),IFERROR(INDEX(EXCEPCIONES_FECHA!$E$2:$E$201,MATCH(1,(EXCEPCIONES_FECHA!$A$2:$A$201=$A752)*(EXCEPCIONES_FECHA!$B$2:$B$201=""),0)),IFERROR(INDEX(IF($I752="FIN",HISTORIAL_HORARIOS!$K$2:$K$201,HISTORIAL_HORARIOS!$G$2:$G$201),MATCH(1,(HISTORIAL_HORARIOS!$A$2:$A$201=$B752)*(HISTORIAL_HORARIOS!$C$2:$C$201&lt;=$A752)*(HISTORIAL_HORARIOS!$D$2:$D$201&gt;=$A752),0)),INDEX(IF($I752="FIN",PERSONAL!$K$2:$K$80,PERSONAL!$G$2:$G$80),MATCH($B752,PERSONAL!$A$2:$A$80,0)))))</f>
        <v/>
      </c>
      <c r="O752" s="53">
        <f t="array" ref="O752">IFERROR(INDEX(EXCEPCIONES_FECHA!$F$2:$F$201,MATCH(1,(EXCEPCIONES_FECHA!$A$2:$A$201=$A752)*(EXCEPCIONES_FECHA!$B$2:$B$201=$B752),0)),IFERROR(INDEX(EXCEPCIONES_FECHA!$F$2:$F$201,MATCH(1,(EXCEPCIONES_FECHA!$A$2:$A$201=$A752)*(EXCEPCIONES_FECHA!$B$2:$B$201=""),0)),IFERROR(INDEX(IF($I752="FIN",HISTORIAL_HORARIOS!$L$2:$L$201,HISTORIAL_HORARIOS!$H$2:$H$201),MATCH(1,(HISTORIAL_HORARIOS!$A$2:$A$201=$B752)*(HISTORIAL_HORARIOS!$C$2:$C$201&lt;=$A752)*(HISTORIAL_HORARIOS!$D$2:$D$201&gt;=$A752),0)),INDEX(IF($I752="FIN",PERSONAL!$L$2:$L$80,PERSONAL!$H$2:$H$80),MATCH($B752,PERSONAL!$A$2:$A$80,0)))))</f>
        <v/>
      </c>
    </row>
    <row r="753" ht="15" customHeight="1" s="58">
      <c r="A753" s="37" t="n"/>
      <c r="B753" s="38" t="n"/>
      <c r="C753" s="39" t="n"/>
      <c r="D753" s="39" t="n"/>
      <c r="E753" s="34">
        <f t="array" ref="E753">IF($B753="","",IFERROR(INDEX(PERSONAL!$B$2:$B$80,MATCH($B753,PERSONAL!$A$2:$A$80,0)),"NO EXISTE"))</f>
        <v/>
      </c>
      <c r="F753" s="52">
        <f t="array" ref="F753">IF($B753="","",IFERROR(INDEX(PERSONAL!$C$2:$C$80,MATCH($B753,PERSONAL!$A$2:$A$80,0)),""))</f>
        <v/>
      </c>
      <c r="G753" s="52">
        <f>IF($A753="","",CHOOSE(WEEKDAY($A753,2),"LUNES","MARTES","MIÉRCOLES","JUEVES","VIERNES","SÁBADO","DOMINGO"))</f>
        <v/>
      </c>
      <c r="H753" s="34">
        <f>IF($A753="","",CHOOSE(MONTH($A753),"ENERO","FEBRERO","MARZO","ABRIL","MAYO","JUNIO","JULIO","AGOSTO","SEPTIEMBRE","OCTUBRE","NOVIEMBRE","DICIEMBRE"))</f>
        <v/>
      </c>
      <c r="I753" s="34">
        <f>IF($A753="","",IF(OR($G753="SÁBADO",$G753="DOMINGO"),"FIN","LV"))</f>
        <v/>
      </c>
      <c r="J753" s="34">
        <f>IF(OR($A753="",$B753=""),"",IF($L753&lt;&gt;"",UPPER($L753),IF($C753="","FALTA",IFERROR(IF($C753&gt;=$O753,"ROJO FUERTE",IF($C753&gt;=$N753,"ROJO",IF($C753&gt;=$M753,"AMARILLO","VERDE"))),"REVISAR"))))</f>
        <v/>
      </c>
      <c r="K753" s="36">
        <f>IF(OR($C753="",$D753=""),"",IF($D753&gt;=$C753,($D753-$C753)*24,(1-$C753+$D753)*24))</f>
        <v/>
      </c>
      <c r="L753" s="34" t="n"/>
      <c r="M753" s="53">
        <f t="array" ref="M753">IFERROR(INDEX(EXCEPCIONES_FECHA!$D$2:$D$201,MATCH(1,(EXCEPCIONES_FECHA!$A$2:$A$201=$A753)*(EXCEPCIONES_FECHA!$B$2:$B$201=$B753),0)),IFERROR(INDEX(EXCEPCIONES_FECHA!$D$2:$D$201,MATCH(1,(EXCEPCIONES_FECHA!$A$2:$A$201=$A753)*(EXCEPCIONES_FECHA!$B$2:$B$201=""),0)),IFERROR(INDEX(IF($I753="FIN",HISTORIAL_HORARIOS!$J$2:$J$201,HISTORIAL_HORARIOS!$F$2:$F$201),MATCH(1,(HISTORIAL_HORARIOS!$A$2:$A$201=$B753)*(HISTORIAL_HORARIOS!$C$2:$C$201&lt;=$A753)*(HISTORIAL_HORARIOS!$D$2:$D$201&gt;=$A753),0)),INDEX(IF($I753="FIN",PERSONAL!$J$2:$J$80,PERSONAL!$F$2:$F$80),MATCH($B753,PERSONAL!$A$2:$A$80,0)))))</f>
        <v/>
      </c>
      <c r="N753" s="53">
        <f t="array" ref="N753">IFERROR(INDEX(EXCEPCIONES_FECHA!$E$2:$E$201,MATCH(1,(EXCEPCIONES_FECHA!$A$2:$A$201=$A753)*(EXCEPCIONES_FECHA!$B$2:$B$201=$B753),0)),IFERROR(INDEX(EXCEPCIONES_FECHA!$E$2:$E$201,MATCH(1,(EXCEPCIONES_FECHA!$A$2:$A$201=$A753)*(EXCEPCIONES_FECHA!$B$2:$B$201=""),0)),IFERROR(INDEX(IF($I753="FIN",HISTORIAL_HORARIOS!$K$2:$K$201,HISTORIAL_HORARIOS!$G$2:$G$201),MATCH(1,(HISTORIAL_HORARIOS!$A$2:$A$201=$B753)*(HISTORIAL_HORARIOS!$C$2:$C$201&lt;=$A753)*(HISTORIAL_HORARIOS!$D$2:$D$201&gt;=$A753),0)),INDEX(IF($I753="FIN",PERSONAL!$K$2:$K$80,PERSONAL!$G$2:$G$80),MATCH($B753,PERSONAL!$A$2:$A$80,0)))))</f>
        <v/>
      </c>
      <c r="O753" s="53">
        <f t="array" ref="O753">IFERROR(INDEX(EXCEPCIONES_FECHA!$F$2:$F$201,MATCH(1,(EXCEPCIONES_FECHA!$A$2:$A$201=$A753)*(EXCEPCIONES_FECHA!$B$2:$B$201=$B753),0)),IFERROR(INDEX(EXCEPCIONES_FECHA!$F$2:$F$201,MATCH(1,(EXCEPCIONES_FECHA!$A$2:$A$201=$A753)*(EXCEPCIONES_FECHA!$B$2:$B$201=""),0)),IFERROR(INDEX(IF($I753="FIN",HISTORIAL_HORARIOS!$L$2:$L$201,HISTORIAL_HORARIOS!$H$2:$H$201),MATCH(1,(HISTORIAL_HORARIOS!$A$2:$A$201=$B753)*(HISTORIAL_HORARIOS!$C$2:$C$201&lt;=$A753)*(HISTORIAL_HORARIOS!$D$2:$D$201&gt;=$A753),0)),INDEX(IF($I753="FIN",PERSONAL!$L$2:$L$80,PERSONAL!$H$2:$H$80),MATCH($B753,PERSONAL!$A$2:$A$80,0)))))</f>
        <v/>
      </c>
    </row>
    <row r="754" ht="15" customHeight="1" s="58">
      <c r="A754" s="37" t="n"/>
      <c r="B754" s="38" t="n"/>
      <c r="C754" s="39" t="n"/>
      <c r="D754" s="39" t="n"/>
      <c r="E754" s="34">
        <f t="array" ref="E754">IF($B754="","",IFERROR(INDEX(PERSONAL!$B$2:$B$80,MATCH($B754,PERSONAL!$A$2:$A$80,0)),"NO EXISTE"))</f>
        <v/>
      </c>
      <c r="F754" s="52">
        <f t="array" ref="F754">IF($B754="","",IFERROR(INDEX(PERSONAL!$C$2:$C$80,MATCH($B754,PERSONAL!$A$2:$A$80,0)),""))</f>
        <v/>
      </c>
      <c r="G754" s="52">
        <f>IF($A754="","",CHOOSE(WEEKDAY($A754,2),"LUNES","MARTES","MIÉRCOLES","JUEVES","VIERNES","SÁBADO","DOMINGO"))</f>
        <v/>
      </c>
      <c r="H754" s="34">
        <f>IF($A754="","",CHOOSE(MONTH($A754),"ENERO","FEBRERO","MARZO","ABRIL","MAYO","JUNIO","JULIO","AGOSTO","SEPTIEMBRE","OCTUBRE","NOVIEMBRE","DICIEMBRE"))</f>
        <v/>
      </c>
      <c r="I754" s="34">
        <f>IF($A754="","",IF(OR($G754="SÁBADO",$G754="DOMINGO"),"FIN","LV"))</f>
        <v/>
      </c>
      <c r="J754" s="34">
        <f>IF(OR($A754="",$B754=""),"",IF($L754&lt;&gt;"",UPPER($L754),IF($C754="","FALTA",IFERROR(IF($C754&gt;=$O754,"ROJO FUERTE",IF($C754&gt;=$N754,"ROJO",IF($C754&gt;=$M754,"AMARILLO","VERDE"))),"REVISAR"))))</f>
        <v/>
      </c>
      <c r="K754" s="36">
        <f>IF(OR($C754="",$D754=""),"",IF($D754&gt;=$C754,($D754-$C754)*24,(1-$C754+$D754)*24))</f>
        <v/>
      </c>
      <c r="L754" s="34" t="n"/>
      <c r="M754" s="53">
        <f t="array" ref="M754">IFERROR(INDEX(EXCEPCIONES_FECHA!$D$2:$D$201,MATCH(1,(EXCEPCIONES_FECHA!$A$2:$A$201=$A754)*(EXCEPCIONES_FECHA!$B$2:$B$201=$B754),0)),IFERROR(INDEX(EXCEPCIONES_FECHA!$D$2:$D$201,MATCH(1,(EXCEPCIONES_FECHA!$A$2:$A$201=$A754)*(EXCEPCIONES_FECHA!$B$2:$B$201=""),0)),IFERROR(INDEX(IF($I754="FIN",HISTORIAL_HORARIOS!$J$2:$J$201,HISTORIAL_HORARIOS!$F$2:$F$201),MATCH(1,(HISTORIAL_HORARIOS!$A$2:$A$201=$B754)*(HISTORIAL_HORARIOS!$C$2:$C$201&lt;=$A754)*(HISTORIAL_HORARIOS!$D$2:$D$201&gt;=$A754),0)),INDEX(IF($I754="FIN",PERSONAL!$J$2:$J$80,PERSONAL!$F$2:$F$80),MATCH($B754,PERSONAL!$A$2:$A$80,0)))))</f>
        <v/>
      </c>
      <c r="N754" s="53">
        <f t="array" ref="N754">IFERROR(INDEX(EXCEPCIONES_FECHA!$E$2:$E$201,MATCH(1,(EXCEPCIONES_FECHA!$A$2:$A$201=$A754)*(EXCEPCIONES_FECHA!$B$2:$B$201=$B754),0)),IFERROR(INDEX(EXCEPCIONES_FECHA!$E$2:$E$201,MATCH(1,(EXCEPCIONES_FECHA!$A$2:$A$201=$A754)*(EXCEPCIONES_FECHA!$B$2:$B$201=""),0)),IFERROR(INDEX(IF($I754="FIN",HISTORIAL_HORARIOS!$K$2:$K$201,HISTORIAL_HORARIOS!$G$2:$G$201),MATCH(1,(HISTORIAL_HORARIOS!$A$2:$A$201=$B754)*(HISTORIAL_HORARIOS!$C$2:$C$201&lt;=$A754)*(HISTORIAL_HORARIOS!$D$2:$D$201&gt;=$A754),0)),INDEX(IF($I754="FIN",PERSONAL!$K$2:$K$80,PERSONAL!$G$2:$G$80),MATCH($B754,PERSONAL!$A$2:$A$80,0)))))</f>
        <v/>
      </c>
      <c r="O754" s="53">
        <f t="array" ref="O754">IFERROR(INDEX(EXCEPCIONES_FECHA!$F$2:$F$201,MATCH(1,(EXCEPCIONES_FECHA!$A$2:$A$201=$A754)*(EXCEPCIONES_FECHA!$B$2:$B$201=$B754),0)),IFERROR(INDEX(EXCEPCIONES_FECHA!$F$2:$F$201,MATCH(1,(EXCEPCIONES_FECHA!$A$2:$A$201=$A754)*(EXCEPCIONES_FECHA!$B$2:$B$201=""),0)),IFERROR(INDEX(IF($I754="FIN",HISTORIAL_HORARIOS!$L$2:$L$201,HISTORIAL_HORARIOS!$H$2:$H$201),MATCH(1,(HISTORIAL_HORARIOS!$A$2:$A$201=$B754)*(HISTORIAL_HORARIOS!$C$2:$C$201&lt;=$A754)*(HISTORIAL_HORARIOS!$D$2:$D$201&gt;=$A754),0)),INDEX(IF($I754="FIN",PERSONAL!$L$2:$L$80,PERSONAL!$H$2:$H$80),MATCH($B754,PERSONAL!$A$2:$A$80,0)))))</f>
        <v/>
      </c>
    </row>
    <row r="755" ht="15" customHeight="1" s="58">
      <c r="A755" s="37" t="n"/>
      <c r="B755" s="38" t="n"/>
      <c r="C755" s="39" t="n"/>
      <c r="D755" s="39" t="n"/>
      <c r="E755" s="34">
        <f t="array" ref="E755">IF($B755="","",IFERROR(INDEX(PERSONAL!$B$2:$B$80,MATCH($B755,PERSONAL!$A$2:$A$80,0)),"NO EXISTE"))</f>
        <v/>
      </c>
      <c r="F755" s="52">
        <f t="array" ref="F755">IF($B755="","",IFERROR(INDEX(PERSONAL!$C$2:$C$80,MATCH($B755,PERSONAL!$A$2:$A$80,0)),""))</f>
        <v/>
      </c>
      <c r="G755" s="52">
        <f>IF($A755="","",CHOOSE(WEEKDAY($A755,2),"LUNES","MARTES","MIÉRCOLES","JUEVES","VIERNES","SÁBADO","DOMINGO"))</f>
        <v/>
      </c>
      <c r="H755" s="34">
        <f>IF($A755="","",CHOOSE(MONTH($A755),"ENERO","FEBRERO","MARZO","ABRIL","MAYO","JUNIO","JULIO","AGOSTO","SEPTIEMBRE","OCTUBRE","NOVIEMBRE","DICIEMBRE"))</f>
        <v/>
      </c>
      <c r="I755" s="34">
        <f>IF($A755="","",IF(OR($G755="SÁBADO",$G755="DOMINGO"),"FIN","LV"))</f>
        <v/>
      </c>
      <c r="J755" s="34">
        <f>IF(OR($A755="",$B755=""),"",IF($L755&lt;&gt;"",UPPER($L755),IF($C755="","FALTA",IFERROR(IF($C755&gt;=$O755,"ROJO FUERTE",IF($C755&gt;=$N755,"ROJO",IF($C755&gt;=$M755,"AMARILLO","VERDE"))),"REVISAR"))))</f>
        <v/>
      </c>
      <c r="K755" s="36">
        <f>IF(OR($C755="",$D755=""),"",IF($D755&gt;=$C755,($D755-$C755)*24,(1-$C755+$D755)*24))</f>
        <v/>
      </c>
      <c r="L755" s="34" t="n"/>
      <c r="M755" s="53">
        <f t="array" ref="M755">IFERROR(INDEX(EXCEPCIONES_FECHA!$D$2:$D$201,MATCH(1,(EXCEPCIONES_FECHA!$A$2:$A$201=$A755)*(EXCEPCIONES_FECHA!$B$2:$B$201=$B755),0)),IFERROR(INDEX(EXCEPCIONES_FECHA!$D$2:$D$201,MATCH(1,(EXCEPCIONES_FECHA!$A$2:$A$201=$A755)*(EXCEPCIONES_FECHA!$B$2:$B$201=""),0)),IFERROR(INDEX(IF($I755="FIN",HISTORIAL_HORARIOS!$J$2:$J$201,HISTORIAL_HORARIOS!$F$2:$F$201),MATCH(1,(HISTORIAL_HORARIOS!$A$2:$A$201=$B755)*(HISTORIAL_HORARIOS!$C$2:$C$201&lt;=$A755)*(HISTORIAL_HORARIOS!$D$2:$D$201&gt;=$A755),0)),INDEX(IF($I755="FIN",PERSONAL!$J$2:$J$80,PERSONAL!$F$2:$F$80),MATCH($B755,PERSONAL!$A$2:$A$80,0)))))</f>
        <v/>
      </c>
      <c r="N755" s="53">
        <f t="array" ref="N755">IFERROR(INDEX(EXCEPCIONES_FECHA!$E$2:$E$201,MATCH(1,(EXCEPCIONES_FECHA!$A$2:$A$201=$A755)*(EXCEPCIONES_FECHA!$B$2:$B$201=$B755),0)),IFERROR(INDEX(EXCEPCIONES_FECHA!$E$2:$E$201,MATCH(1,(EXCEPCIONES_FECHA!$A$2:$A$201=$A755)*(EXCEPCIONES_FECHA!$B$2:$B$201=""),0)),IFERROR(INDEX(IF($I755="FIN",HISTORIAL_HORARIOS!$K$2:$K$201,HISTORIAL_HORARIOS!$G$2:$G$201),MATCH(1,(HISTORIAL_HORARIOS!$A$2:$A$201=$B755)*(HISTORIAL_HORARIOS!$C$2:$C$201&lt;=$A755)*(HISTORIAL_HORARIOS!$D$2:$D$201&gt;=$A755),0)),INDEX(IF($I755="FIN",PERSONAL!$K$2:$K$80,PERSONAL!$G$2:$G$80),MATCH($B755,PERSONAL!$A$2:$A$80,0)))))</f>
        <v/>
      </c>
      <c r="O755" s="53">
        <f t="array" ref="O755">IFERROR(INDEX(EXCEPCIONES_FECHA!$F$2:$F$201,MATCH(1,(EXCEPCIONES_FECHA!$A$2:$A$201=$A755)*(EXCEPCIONES_FECHA!$B$2:$B$201=$B755),0)),IFERROR(INDEX(EXCEPCIONES_FECHA!$F$2:$F$201,MATCH(1,(EXCEPCIONES_FECHA!$A$2:$A$201=$A755)*(EXCEPCIONES_FECHA!$B$2:$B$201=""),0)),IFERROR(INDEX(IF($I755="FIN",HISTORIAL_HORARIOS!$L$2:$L$201,HISTORIAL_HORARIOS!$H$2:$H$201),MATCH(1,(HISTORIAL_HORARIOS!$A$2:$A$201=$B755)*(HISTORIAL_HORARIOS!$C$2:$C$201&lt;=$A755)*(HISTORIAL_HORARIOS!$D$2:$D$201&gt;=$A755),0)),INDEX(IF($I755="FIN",PERSONAL!$L$2:$L$80,PERSONAL!$H$2:$H$80),MATCH($B755,PERSONAL!$A$2:$A$80,0)))))</f>
        <v/>
      </c>
    </row>
    <row r="756" ht="15" customHeight="1" s="58">
      <c r="A756" s="37" t="n"/>
      <c r="B756" s="38" t="n"/>
      <c r="C756" s="39" t="n"/>
      <c r="D756" s="39" t="n"/>
      <c r="E756" s="34">
        <f t="array" ref="E756">IF($B756="","",IFERROR(INDEX(PERSONAL!$B$2:$B$80,MATCH($B756,PERSONAL!$A$2:$A$80,0)),"NO EXISTE"))</f>
        <v/>
      </c>
      <c r="F756" s="52">
        <f t="array" ref="F756">IF($B756="","",IFERROR(INDEX(PERSONAL!$C$2:$C$80,MATCH($B756,PERSONAL!$A$2:$A$80,0)),""))</f>
        <v/>
      </c>
      <c r="G756" s="52">
        <f>IF($A756="","",CHOOSE(WEEKDAY($A756,2),"LUNES","MARTES","MIÉRCOLES","JUEVES","VIERNES","SÁBADO","DOMINGO"))</f>
        <v/>
      </c>
      <c r="H756" s="34">
        <f>IF($A756="","",CHOOSE(MONTH($A756),"ENERO","FEBRERO","MARZO","ABRIL","MAYO","JUNIO","JULIO","AGOSTO","SEPTIEMBRE","OCTUBRE","NOVIEMBRE","DICIEMBRE"))</f>
        <v/>
      </c>
      <c r="I756" s="34">
        <f>IF($A756="","",IF(OR($G756="SÁBADO",$G756="DOMINGO"),"FIN","LV"))</f>
        <v/>
      </c>
      <c r="J756" s="34">
        <f>IF(OR($A756="",$B756=""),"",IF($L756&lt;&gt;"",UPPER($L756),IF($C756="","FALTA",IFERROR(IF($C756&gt;=$O756,"ROJO FUERTE",IF($C756&gt;=$N756,"ROJO",IF($C756&gt;=$M756,"AMARILLO","VERDE"))),"REVISAR"))))</f>
        <v/>
      </c>
      <c r="K756" s="36">
        <f>IF(OR($C756="",$D756=""),"",IF($D756&gt;=$C756,($D756-$C756)*24,(1-$C756+$D756)*24))</f>
        <v/>
      </c>
      <c r="L756" s="34" t="n"/>
      <c r="M756" s="53">
        <f t="array" ref="M756">IFERROR(INDEX(EXCEPCIONES_FECHA!$D$2:$D$201,MATCH(1,(EXCEPCIONES_FECHA!$A$2:$A$201=$A756)*(EXCEPCIONES_FECHA!$B$2:$B$201=$B756),0)),IFERROR(INDEX(EXCEPCIONES_FECHA!$D$2:$D$201,MATCH(1,(EXCEPCIONES_FECHA!$A$2:$A$201=$A756)*(EXCEPCIONES_FECHA!$B$2:$B$201=""),0)),IFERROR(INDEX(IF($I756="FIN",HISTORIAL_HORARIOS!$J$2:$J$201,HISTORIAL_HORARIOS!$F$2:$F$201),MATCH(1,(HISTORIAL_HORARIOS!$A$2:$A$201=$B756)*(HISTORIAL_HORARIOS!$C$2:$C$201&lt;=$A756)*(HISTORIAL_HORARIOS!$D$2:$D$201&gt;=$A756),0)),INDEX(IF($I756="FIN",PERSONAL!$J$2:$J$80,PERSONAL!$F$2:$F$80),MATCH($B756,PERSONAL!$A$2:$A$80,0)))))</f>
        <v/>
      </c>
      <c r="N756" s="53">
        <f t="array" ref="N756">IFERROR(INDEX(EXCEPCIONES_FECHA!$E$2:$E$201,MATCH(1,(EXCEPCIONES_FECHA!$A$2:$A$201=$A756)*(EXCEPCIONES_FECHA!$B$2:$B$201=$B756),0)),IFERROR(INDEX(EXCEPCIONES_FECHA!$E$2:$E$201,MATCH(1,(EXCEPCIONES_FECHA!$A$2:$A$201=$A756)*(EXCEPCIONES_FECHA!$B$2:$B$201=""),0)),IFERROR(INDEX(IF($I756="FIN",HISTORIAL_HORARIOS!$K$2:$K$201,HISTORIAL_HORARIOS!$G$2:$G$201),MATCH(1,(HISTORIAL_HORARIOS!$A$2:$A$201=$B756)*(HISTORIAL_HORARIOS!$C$2:$C$201&lt;=$A756)*(HISTORIAL_HORARIOS!$D$2:$D$201&gt;=$A756),0)),INDEX(IF($I756="FIN",PERSONAL!$K$2:$K$80,PERSONAL!$G$2:$G$80),MATCH($B756,PERSONAL!$A$2:$A$80,0)))))</f>
        <v/>
      </c>
      <c r="O756" s="53">
        <f t="array" ref="O756">IFERROR(INDEX(EXCEPCIONES_FECHA!$F$2:$F$201,MATCH(1,(EXCEPCIONES_FECHA!$A$2:$A$201=$A756)*(EXCEPCIONES_FECHA!$B$2:$B$201=$B756),0)),IFERROR(INDEX(EXCEPCIONES_FECHA!$F$2:$F$201,MATCH(1,(EXCEPCIONES_FECHA!$A$2:$A$201=$A756)*(EXCEPCIONES_FECHA!$B$2:$B$201=""),0)),IFERROR(INDEX(IF($I756="FIN",HISTORIAL_HORARIOS!$L$2:$L$201,HISTORIAL_HORARIOS!$H$2:$H$201),MATCH(1,(HISTORIAL_HORARIOS!$A$2:$A$201=$B756)*(HISTORIAL_HORARIOS!$C$2:$C$201&lt;=$A756)*(HISTORIAL_HORARIOS!$D$2:$D$201&gt;=$A756),0)),INDEX(IF($I756="FIN",PERSONAL!$L$2:$L$80,PERSONAL!$H$2:$H$80),MATCH($B756,PERSONAL!$A$2:$A$80,0)))))</f>
        <v/>
      </c>
    </row>
    <row r="757" ht="15" customHeight="1" s="58">
      <c r="A757" s="37" t="n"/>
      <c r="B757" s="38" t="n"/>
      <c r="C757" s="39" t="n"/>
      <c r="D757" s="39" t="n"/>
      <c r="E757" s="34">
        <f t="array" ref="E757">IF($B757="","",IFERROR(INDEX(PERSONAL!$B$2:$B$80,MATCH($B757,PERSONAL!$A$2:$A$80,0)),"NO EXISTE"))</f>
        <v/>
      </c>
      <c r="F757" s="52">
        <f t="array" ref="F757">IF($B757="","",IFERROR(INDEX(PERSONAL!$C$2:$C$80,MATCH($B757,PERSONAL!$A$2:$A$80,0)),""))</f>
        <v/>
      </c>
      <c r="G757" s="52">
        <f>IF($A757="","",CHOOSE(WEEKDAY($A757,2),"LUNES","MARTES","MIÉRCOLES","JUEVES","VIERNES","SÁBADO","DOMINGO"))</f>
        <v/>
      </c>
      <c r="H757" s="34">
        <f>IF($A757="","",CHOOSE(MONTH($A757),"ENERO","FEBRERO","MARZO","ABRIL","MAYO","JUNIO","JULIO","AGOSTO","SEPTIEMBRE","OCTUBRE","NOVIEMBRE","DICIEMBRE"))</f>
        <v/>
      </c>
      <c r="I757" s="34">
        <f>IF($A757="","",IF(OR($G757="SÁBADO",$G757="DOMINGO"),"FIN","LV"))</f>
        <v/>
      </c>
      <c r="J757" s="34">
        <f>IF(OR($A757="",$B757=""),"",IF($L757&lt;&gt;"",UPPER($L757),IF($C757="","FALTA",IFERROR(IF($C757&gt;=$O757,"ROJO FUERTE",IF($C757&gt;=$N757,"ROJO",IF($C757&gt;=$M757,"AMARILLO","VERDE"))),"REVISAR"))))</f>
        <v/>
      </c>
      <c r="K757" s="36">
        <f>IF(OR($C757="",$D757=""),"",IF($D757&gt;=$C757,($D757-$C757)*24,(1-$C757+$D757)*24))</f>
        <v/>
      </c>
      <c r="L757" s="34" t="n"/>
      <c r="M757" s="53">
        <f t="array" ref="M757">IFERROR(INDEX(EXCEPCIONES_FECHA!$D$2:$D$201,MATCH(1,(EXCEPCIONES_FECHA!$A$2:$A$201=$A757)*(EXCEPCIONES_FECHA!$B$2:$B$201=$B757),0)),IFERROR(INDEX(EXCEPCIONES_FECHA!$D$2:$D$201,MATCH(1,(EXCEPCIONES_FECHA!$A$2:$A$201=$A757)*(EXCEPCIONES_FECHA!$B$2:$B$201=""),0)),IFERROR(INDEX(IF($I757="FIN",HISTORIAL_HORARIOS!$J$2:$J$201,HISTORIAL_HORARIOS!$F$2:$F$201),MATCH(1,(HISTORIAL_HORARIOS!$A$2:$A$201=$B757)*(HISTORIAL_HORARIOS!$C$2:$C$201&lt;=$A757)*(HISTORIAL_HORARIOS!$D$2:$D$201&gt;=$A757),0)),INDEX(IF($I757="FIN",PERSONAL!$J$2:$J$80,PERSONAL!$F$2:$F$80),MATCH($B757,PERSONAL!$A$2:$A$80,0)))))</f>
        <v/>
      </c>
      <c r="N757" s="53">
        <f t="array" ref="N757">IFERROR(INDEX(EXCEPCIONES_FECHA!$E$2:$E$201,MATCH(1,(EXCEPCIONES_FECHA!$A$2:$A$201=$A757)*(EXCEPCIONES_FECHA!$B$2:$B$201=$B757),0)),IFERROR(INDEX(EXCEPCIONES_FECHA!$E$2:$E$201,MATCH(1,(EXCEPCIONES_FECHA!$A$2:$A$201=$A757)*(EXCEPCIONES_FECHA!$B$2:$B$201=""),0)),IFERROR(INDEX(IF($I757="FIN",HISTORIAL_HORARIOS!$K$2:$K$201,HISTORIAL_HORARIOS!$G$2:$G$201),MATCH(1,(HISTORIAL_HORARIOS!$A$2:$A$201=$B757)*(HISTORIAL_HORARIOS!$C$2:$C$201&lt;=$A757)*(HISTORIAL_HORARIOS!$D$2:$D$201&gt;=$A757),0)),INDEX(IF($I757="FIN",PERSONAL!$K$2:$K$80,PERSONAL!$G$2:$G$80),MATCH($B757,PERSONAL!$A$2:$A$80,0)))))</f>
        <v/>
      </c>
      <c r="O757" s="53">
        <f t="array" ref="O757">IFERROR(INDEX(EXCEPCIONES_FECHA!$F$2:$F$201,MATCH(1,(EXCEPCIONES_FECHA!$A$2:$A$201=$A757)*(EXCEPCIONES_FECHA!$B$2:$B$201=$B757),0)),IFERROR(INDEX(EXCEPCIONES_FECHA!$F$2:$F$201,MATCH(1,(EXCEPCIONES_FECHA!$A$2:$A$201=$A757)*(EXCEPCIONES_FECHA!$B$2:$B$201=""),0)),IFERROR(INDEX(IF($I757="FIN",HISTORIAL_HORARIOS!$L$2:$L$201,HISTORIAL_HORARIOS!$H$2:$H$201),MATCH(1,(HISTORIAL_HORARIOS!$A$2:$A$201=$B757)*(HISTORIAL_HORARIOS!$C$2:$C$201&lt;=$A757)*(HISTORIAL_HORARIOS!$D$2:$D$201&gt;=$A757),0)),INDEX(IF($I757="FIN",PERSONAL!$L$2:$L$80,PERSONAL!$H$2:$H$80),MATCH($B757,PERSONAL!$A$2:$A$80,0)))))</f>
        <v/>
      </c>
    </row>
    <row r="758" ht="15" customHeight="1" s="58">
      <c r="A758" s="37" t="n"/>
      <c r="B758" s="38" t="n"/>
      <c r="C758" s="39" t="n"/>
      <c r="D758" s="39" t="n"/>
      <c r="E758" s="34">
        <f t="array" ref="E758">IF($B758="","",IFERROR(INDEX(PERSONAL!$B$2:$B$80,MATCH($B758,PERSONAL!$A$2:$A$80,0)),"NO EXISTE"))</f>
        <v/>
      </c>
      <c r="F758" s="52">
        <f t="array" ref="F758">IF($B758="","",IFERROR(INDEX(PERSONAL!$C$2:$C$80,MATCH($B758,PERSONAL!$A$2:$A$80,0)),""))</f>
        <v/>
      </c>
      <c r="G758" s="52">
        <f>IF($A758="","",CHOOSE(WEEKDAY($A758,2),"LUNES","MARTES","MIÉRCOLES","JUEVES","VIERNES","SÁBADO","DOMINGO"))</f>
        <v/>
      </c>
      <c r="H758" s="34">
        <f>IF($A758="","",CHOOSE(MONTH($A758),"ENERO","FEBRERO","MARZO","ABRIL","MAYO","JUNIO","JULIO","AGOSTO","SEPTIEMBRE","OCTUBRE","NOVIEMBRE","DICIEMBRE"))</f>
        <v/>
      </c>
      <c r="I758" s="34">
        <f>IF($A758="","",IF(OR($G758="SÁBADO",$G758="DOMINGO"),"FIN","LV"))</f>
        <v/>
      </c>
      <c r="J758" s="34">
        <f>IF(OR($A758="",$B758=""),"",IF($L758&lt;&gt;"",UPPER($L758),IF($C758="","FALTA",IFERROR(IF($C758&gt;=$O758,"ROJO FUERTE",IF($C758&gt;=$N758,"ROJO",IF($C758&gt;=$M758,"AMARILLO","VERDE"))),"REVISAR"))))</f>
        <v/>
      </c>
      <c r="K758" s="36">
        <f>IF(OR($C758="",$D758=""),"",IF($D758&gt;=$C758,($D758-$C758)*24,(1-$C758+$D758)*24))</f>
        <v/>
      </c>
      <c r="L758" s="34" t="n"/>
      <c r="M758" s="53">
        <f t="array" ref="M758">IFERROR(INDEX(EXCEPCIONES_FECHA!$D$2:$D$201,MATCH(1,(EXCEPCIONES_FECHA!$A$2:$A$201=$A758)*(EXCEPCIONES_FECHA!$B$2:$B$201=$B758),0)),IFERROR(INDEX(EXCEPCIONES_FECHA!$D$2:$D$201,MATCH(1,(EXCEPCIONES_FECHA!$A$2:$A$201=$A758)*(EXCEPCIONES_FECHA!$B$2:$B$201=""),0)),IFERROR(INDEX(IF($I758="FIN",HISTORIAL_HORARIOS!$J$2:$J$201,HISTORIAL_HORARIOS!$F$2:$F$201),MATCH(1,(HISTORIAL_HORARIOS!$A$2:$A$201=$B758)*(HISTORIAL_HORARIOS!$C$2:$C$201&lt;=$A758)*(HISTORIAL_HORARIOS!$D$2:$D$201&gt;=$A758),0)),INDEX(IF($I758="FIN",PERSONAL!$J$2:$J$80,PERSONAL!$F$2:$F$80),MATCH($B758,PERSONAL!$A$2:$A$80,0)))))</f>
        <v/>
      </c>
      <c r="N758" s="53">
        <f t="array" ref="N758">IFERROR(INDEX(EXCEPCIONES_FECHA!$E$2:$E$201,MATCH(1,(EXCEPCIONES_FECHA!$A$2:$A$201=$A758)*(EXCEPCIONES_FECHA!$B$2:$B$201=$B758),0)),IFERROR(INDEX(EXCEPCIONES_FECHA!$E$2:$E$201,MATCH(1,(EXCEPCIONES_FECHA!$A$2:$A$201=$A758)*(EXCEPCIONES_FECHA!$B$2:$B$201=""),0)),IFERROR(INDEX(IF($I758="FIN",HISTORIAL_HORARIOS!$K$2:$K$201,HISTORIAL_HORARIOS!$G$2:$G$201),MATCH(1,(HISTORIAL_HORARIOS!$A$2:$A$201=$B758)*(HISTORIAL_HORARIOS!$C$2:$C$201&lt;=$A758)*(HISTORIAL_HORARIOS!$D$2:$D$201&gt;=$A758),0)),INDEX(IF($I758="FIN",PERSONAL!$K$2:$K$80,PERSONAL!$G$2:$G$80),MATCH($B758,PERSONAL!$A$2:$A$80,0)))))</f>
        <v/>
      </c>
      <c r="O758" s="53">
        <f t="array" ref="O758">IFERROR(INDEX(EXCEPCIONES_FECHA!$F$2:$F$201,MATCH(1,(EXCEPCIONES_FECHA!$A$2:$A$201=$A758)*(EXCEPCIONES_FECHA!$B$2:$B$201=$B758),0)),IFERROR(INDEX(EXCEPCIONES_FECHA!$F$2:$F$201,MATCH(1,(EXCEPCIONES_FECHA!$A$2:$A$201=$A758)*(EXCEPCIONES_FECHA!$B$2:$B$201=""),0)),IFERROR(INDEX(IF($I758="FIN",HISTORIAL_HORARIOS!$L$2:$L$201,HISTORIAL_HORARIOS!$H$2:$H$201),MATCH(1,(HISTORIAL_HORARIOS!$A$2:$A$201=$B758)*(HISTORIAL_HORARIOS!$C$2:$C$201&lt;=$A758)*(HISTORIAL_HORARIOS!$D$2:$D$201&gt;=$A758),0)),INDEX(IF($I758="FIN",PERSONAL!$L$2:$L$80,PERSONAL!$H$2:$H$80),MATCH($B758,PERSONAL!$A$2:$A$80,0)))))</f>
        <v/>
      </c>
    </row>
    <row r="759" ht="15" customHeight="1" s="58">
      <c r="A759" s="37" t="n"/>
      <c r="B759" s="38" t="n"/>
      <c r="C759" s="39" t="n"/>
      <c r="D759" s="39" t="n"/>
      <c r="E759" s="34">
        <f t="array" ref="E759">IF($B759="","",IFERROR(INDEX(PERSONAL!$B$2:$B$80,MATCH($B759,PERSONAL!$A$2:$A$80,0)),"NO EXISTE"))</f>
        <v/>
      </c>
      <c r="F759" s="52">
        <f t="array" ref="F759">IF($B759="","",IFERROR(INDEX(PERSONAL!$C$2:$C$80,MATCH($B759,PERSONAL!$A$2:$A$80,0)),""))</f>
        <v/>
      </c>
      <c r="G759" s="52">
        <f>IF($A759="","",CHOOSE(WEEKDAY($A759,2),"LUNES","MARTES","MIÉRCOLES","JUEVES","VIERNES","SÁBADO","DOMINGO"))</f>
        <v/>
      </c>
      <c r="H759" s="34">
        <f>IF($A759="","",CHOOSE(MONTH($A759),"ENERO","FEBRERO","MARZO","ABRIL","MAYO","JUNIO","JULIO","AGOSTO","SEPTIEMBRE","OCTUBRE","NOVIEMBRE","DICIEMBRE"))</f>
        <v/>
      </c>
      <c r="I759" s="34">
        <f>IF($A759="","",IF(OR($G759="SÁBADO",$G759="DOMINGO"),"FIN","LV"))</f>
        <v/>
      </c>
      <c r="J759" s="34">
        <f>IF(OR($A759="",$B759=""),"",IF($L759&lt;&gt;"",UPPER($L759),IF($C759="","FALTA",IFERROR(IF($C759&gt;=$O759,"ROJO FUERTE",IF($C759&gt;=$N759,"ROJO",IF($C759&gt;=$M759,"AMARILLO","VERDE"))),"REVISAR"))))</f>
        <v/>
      </c>
      <c r="K759" s="36">
        <f>IF(OR($C759="",$D759=""),"",IF($D759&gt;=$C759,($D759-$C759)*24,(1-$C759+$D759)*24))</f>
        <v/>
      </c>
      <c r="L759" s="34" t="n"/>
      <c r="M759" s="53">
        <f t="array" ref="M759">IFERROR(INDEX(EXCEPCIONES_FECHA!$D$2:$D$201,MATCH(1,(EXCEPCIONES_FECHA!$A$2:$A$201=$A759)*(EXCEPCIONES_FECHA!$B$2:$B$201=$B759),0)),IFERROR(INDEX(EXCEPCIONES_FECHA!$D$2:$D$201,MATCH(1,(EXCEPCIONES_FECHA!$A$2:$A$201=$A759)*(EXCEPCIONES_FECHA!$B$2:$B$201=""),0)),IFERROR(INDEX(IF($I759="FIN",HISTORIAL_HORARIOS!$J$2:$J$201,HISTORIAL_HORARIOS!$F$2:$F$201),MATCH(1,(HISTORIAL_HORARIOS!$A$2:$A$201=$B759)*(HISTORIAL_HORARIOS!$C$2:$C$201&lt;=$A759)*(HISTORIAL_HORARIOS!$D$2:$D$201&gt;=$A759),0)),INDEX(IF($I759="FIN",PERSONAL!$J$2:$J$80,PERSONAL!$F$2:$F$80),MATCH($B759,PERSONAL!$A$2:$A$80,0)))))</f>
        <v/>
      </c>
      <c r="N759" s="53">
        <f t="array" ref="N759">IFERROR(INDEX(EXCEPCIONES_FECHA!$E$2:$E$201,MATCH(1,(EXCEPCIONES_FECHA!$A$2:$A$201=$A759)*(EXCEPCIONES_FECHA!$B$2:$B$201=$B759),0)),IFERROR(INDEX(EXCEPCIONES_FECHA!$E$2:$E$201,MATCH(1,(EXCEPCIONES_FECHA!$A$2:$A$201=$A759)*(EXCEPCIONES_FECHA!$B$2:$B$201=""),0)),IFERROR(INDEX(IF($I759="FIN",HISTORIAL_HORARIOS!$K$2:$K$201,HISTORIAL_HORARIOS!$G$2:$G$201),MATCH(1,(HISTORIAL_HORARIOS!$A$2:$A$201=$B759)*(HISTORIAL_HORARIOS!$C$2:$C$201&lt;=$A759)*(HISTORIAL_HORARIOS!$D$2:$D$201&gt;=$A759),0)),INDEX(IF($I759="FIN",PERSONAL!$K$2:$K$80,PERSONAL!$G$2:$G$80),MATCH($B759,PERSONAL!$A$2:$A$80,0)))))</f>
        <v/>
      </c>
      <c r="O759" s="53">
        <f t="array" ref="O759">IFERROR(INDEX(EXCEPCIONES_FECHA!$F$2:$F$201,MATCH(1,(EXCEPCIONES_FECHA!$A$2:$A$201=$A759)*(EXCEPCIONES_FECHA!$B$2:$B$201=$B759),0)),IFERROR(INDEX(EXCEPCIONES_FECHA!$F$2:$F$201,MATCH(1,(EXCEPCIONES_FECHA!$A$2:$A$201=$A759)*(EXCEPCIONES_FECHA!$B$2:$B$201=""),0)),IFERROR(INDEX(IF($I759="FIN",HISTORIAL_HORARIOS!$L$2:$L$201,HISTORIAL_HORARIOS!$H$2:$H$201),MATCH(1,(HISTORIAL_HORARIOS!$A$2:$A$201=$B759)*(HISTORIAL_HORARIOS!$C$2:$C$201&lt;=$A759)*(HISTORIAL_HORARIOS!$D$2:$D$201&gt;=$A759),0)),INDEX(IF($I759="FIN",PERSONAL!$L$2:$L$80,PERSONAL!$H$2:$H$80),MATCH($B759,PERSONAL!$A$2:$A$80,0)))))</f>
        <v/>
      </c>
    </row>
    <row r="760" ht="15" customHeight="1" s="58">
      <c r="A760" s="37" t="n"/>
      <c r="B760" s="38" t="n"/>
      <c r="C760" s="39" t="n"/>
      <c r="D760" s="39" t="n"/>
      <c r="E760" s="34">
        <f t="array" ref="E760">IF($B760="","",IFERROR(INDEX(PERSONAL!$B$2:$B$80,MATCH($B760,PERSONAL!$A$2:$A$80,0)),"NO EXISTE"))</f>
        <v/>
      </c>
      <c r="F760" s="52">
        <f t="array" ref="F760">IF($B760="","",IFERROR(INDEX(PERSONAL!$C$2:$C$80,MATCH($B760,PERSONAL!$A$2:$A$80,0)),""))</f>
        <v/>
      </c>
      <c r="G760" s="52">
        <f>IF($A760="","",CHOOSE(WEEKDAY($A760,2),"LUNES","MARTES","MIÉRCOLES","JUEVES","VIERNES","SÁBADO","DOMINGO"))</f>
        <v/>
      </c>
      <c r="H760" s="34">
        <f>IF($A760="","",CHOOSE(MONTH($A760),"ENERO","FEBRERO","MARZO","ABRIL","MAYO","JUNIO","JULIO","AGOSTO","SEPTIEMBRE","OCTUBRE","NOVIEMBRE","DICIEMBRE"))</f>
        <v/>
      </c>
      <c r="I760" s="34">
        <f>IF($A760="","",IF(OR($G760="SÁBADO",$G760="DOMINGO"),"FIN","LV"))</f>
        <v/>
      </c>
      <c r="J760" s="34">
        <f>IF(OR($A760="",$B760=""),"",IF($L760&lt;&gt;"",UPPER($L760),IF($C760="","FALTA",IFERROR(IF($C760&gt;=$O760,"ROJO FUERTE",IF($C760&gt;=$N760,"ROJO",IF($C760&gt;=$M760,"AMARILLO","VERDE"))),"REVISAR"))))</f>
        <v/>
      </c>
      <c r="K760" s="36">
        <f>IF(OR($C760="",$D760=""),"",IF($D760&gt;=$C760,($D760-$C760)*24,(1-$C760+$D760)*24))</f>
        <v/>
      </c>
      <c r="L760" s="34" t="n"/>
      <c r="M760" s="53">
        <f t="array" ref="M760">IFERROR(INDEX(EXCEPCIONES_FECHA!$D$2:$D$201,MATCH(1,(EXCEPCIONES_FECHA!$A$2:$A$201=$A760)*(EXCEPCIONES_FECHA!$B$2:$B$201=$B760),0)),IFERROR(INDEX(EXCEPCIONES_FECHA!$D$2:$D$201,MATCH(1,(EXCEPCIONES_FECHA!$A$2:$A$201=$A760)*(EXCEPCIONES_FECHA!$B$2:$B$201=""),0)),IFERROR(INDEX(IF($I760="FIN",HISTORIAL_HORARIOS!$J$2:$J$201,HISTORIAL_HORARIOS!$F$2:$F$201),MATCH(1,(HISTORIAL_HORARIOS!$A$2:$A$201=$B760)*(HISTORIAL_HORARIOS!$C$2:$C$201&lt;=$A760)*(HISTORIAL_HORARIOS!$D$2:$D$201&gt;=$A760),0)),INDEX(IF($I760="FIN",PERSONAL!$J$2:$J$80,PERSONAL!$F$2:$F$80),MATCH($B760,PERSONAL!$A$2:$A$80,0)))))</f>
        <v/>
      </c>
      <c r="N760" s="53">
        <f t="array" ref="N760">IFERROR(INDEX(EXCEPCIONES_FECHA!$E$2:$E$201,MATCH(1,(EXCEPCIONES_FECHA!$A$2:$A$201=$A760)*(EXCEPCIONES_FECHA!$B$2:$B$201=$B760),0)),IFERROR(INDEX(EXCEPCIONES_FECHA!$E$2:$E$201,MATCH(1,(EXCEPCIONES_FECHA!$A$2:$A$201=$A760)*(EXCEPCIONES_FECHA!$B$2:$B$201=""),0)),IFERROR(INDEX(IF($I760="FIN",HISTORIAL_HORARIOS!$K$2:$K$201,HISTORIAL_HORARIOS!$G$2:$G$201),MATCH(1,(HISTORIAL_HORARIOS!$A$2:$A$201=$B760)*(HISTORIAL_HORARIOS!$C$2:$C$201&lt;=$A760)*(HISTORIAL_HORARIOS!$D$2:$D$201&gt;=$A760),0)),INDEX(IF($I760="FIN",PERSONAL!$K$2:$K$80,PERSONAL!$G$2:$G$80),MATCH($B760,PERSONAL!$A$2:$A$80,0)))))</f>
        <v/>
      </c>
      <c r="O760" s="53">
        <f t="array" ref="O760">IFERROR(INDEX(EXCEPCIONES_FECHA!$F$2:$F$201,MATCH(1,(EXCEPCIONES_FECHA!$A$2:$A$201=$A760)*(EXCEPCIONES_FECHA!$B$2:$B$201=$B760),0)),IFERROR(INDEX(EXCEPCIONES_FECHA!$F$2:$F$201,MATCH(1,(EXCEPCIONES_FECHA!$A$2:$A$201=$A760)*(EXCEPCIONES_FECHA!$B$2:$B$201=""),0)),IFERROR(INDEX(IF($I760="FIN",HISTORIAL_HORARIOS!$L$2:$L$201,HISTORIAL_HORARIOS!$H$2:$H$201),MATCH(1,(HISTORIAL_HORARIOS!$A$2:$A$201=$B760)*(HISTORIAL_HORARIOS!$C$2:$C$201&lt;=$A760)*(HISTORIAL_HORARIOS!$D$2:$D$201&gt;=$A760),0)),INDEX(IF($I760="FIN",PERSONAL!$L$2:$L$80,PERSONAL!$H$2:$H$80),MATCH($B760,PERSONAL!$A$2:$A$80,0)))))</f>
        <v/>
      </c>
    </row>
    <row r="761" ht="15" customHeight="1" s="58">
      <c r="A761" s="37" t="n"/>
      <c r="B761" s="38" t="n"/>
      <c r="C761" s="39" t="n"/>
      <c r="D761" s="39" t="n"/>
      <c r="E761" s="34">
        <f t="array" ref="E761">IF($B761="","",IFERROR(INDEX(PERSONAL!$B$2:$B$80,MATCH($B761,PERSONAL!$A$2:$A$80,0)),"NO EXISTE"))</f>
        <v/>
      </c>
      <c r="F761" s="52">
        <f t="array" ref="F761">IF($B761="","",IFERROR(INDEX(PERSONAL!$C$2:$C$80,MATCH($B761,PERSONAL!$A$2:$A$80,0)),""))</f>
        <v/>
      </c>
      <c r="G761" s="52">
        <f>IF($A761="","",CHOOSE(WEEKDAY($A761,2),"LUNES","MARTES","MIÉRCOLES","JUEVES","VIERNES","SÁBADO","DOMINGO"))</f>
        <v/>
      </c>
      <c r="H761" s="34">
        <f>IF($A761="","",CHOOSE(MONTH($A761),"ENERO","FEBRERO","MARZO","ABRIL","MAYO","JUNIO","JULIO","AGOSTO","SEPTIEMBRE","OCTUBRE","NOVIEMBRE","DICIEMBRE"))</f>
        <v/>
      </c>
      <c r="I761" s="34">
        <f>IF($A761="","",IF(OR($G761="SÁBADO",$G761="DOMINGO"),"FIN","LV"))</f>
        <v/>
      </c>
      <c r="J761" s="34">
        <f>IF(OR($A761="",$B761=""),"",IF($L761&lt;&gt;"",UPPER($L761),IF($C761="","FALTA",IFERROR(IF($C761&gt;=$O761,"ROJO FUERTE",IF($C761&gt;=$N761,"ROJO",IF($C761&gt;=$M761,"AMARILLO","VERDE"))),"REVISAR"))))</f>
        <v/>
      </c>
      <c r="K761" s="36">
        <f>IF(OR($C761="",$D761=""),"",IF($D761&gt;=$C761,($D761-$C761)*24,(1-$C761+$D761)*24))</f>
        <v/>
      </c>
      <c r="L761" s="34" t="n"/>
      <c r="M761" s="53">
        <f t="array" ref="M761">IFERROR(INDEX(EXCEPCIONES_FECHA!$D$2:$D$201,MATCH(1,(EXCEPCIONES_FECHA!$A$2:$A$201=$A761)*(EXCEPCIONES_FECHA!$B$2:$B$201=$B761),0)),IFERROR(INDEX(EXCEPCIONES_FECHA!$D$2:$D$201,MATCH(1,(EXCEPCIONES_FECHA!$A$2:$A$201=$A761)*(EXCEPCIONES_FECHA!$B$2:$B$201=""),0)),IFERROR(INDEX(IF($I761="FIN",HISTORIAL_HORARIOS!$J$2:$J$201,HISTORIAL_HORARIOS!$F$2:$F$201),MATCH(1,(HISTORIAL_HORARIOS!$A$2:$A$201=$B761)*(HISTORIAL_HORARIOS!$C$2:$C$201&lt;=$A761)*(HISTORIAL_HORARIOS!$D$2:$D$201&gt;=$A761),0)),INDEX(IF($I761="FIN",PERSONAL!$J$2:$J$80,PERSONAL!$F$2:$F$80),MATCH($B761,PERSONAL!$A$2:$A$80,0)))))</f>
        <v/>
      </c>
      <c r="N761" s="53">
        <f t="array" ref="N761">IFERROR(INDEX(EXCEPCIONES_FECHA!$E$2:$E$201,MATCH(1,(EXCEPCIONES_FECHA!$A$2:$A$201=$A761)*(EXCEPCIONES_FECHA!$B$2:$B$201=$B761),0)),IFERROR(INDEX(EXCEPCIONES_FECHA!$E$2:$E$201,MATCH(1,(EXCEPCIONES_FECHA!$A$2:$A$201=$A761)*(EXCEPCIONES_FECHA!$B$2:$B$201=""),0)),IFERROR(INDEX(IF($I761="FIN",HISTORIAL_HORARIOS!$K$2:$K$201,HISTORIAL_HORARIOS!$G$2:$G$201),MATCH(1,(HISTORIAL_HORARIOS!$A$2:$A$201=$B761)*(HISTORIAL_HORARIOS!$C$2:$C$201&lt;=$A761)*(HISTORIAL_HORARIOS!$D$2:$D$201&gt;=$A761),0)),INDEX(IF($I761="FIN",PERSONAL!$K$2:$K$80,PERSONAL!$G$2:$G$80),MATCH($B761,PERSONAL!$A$2:$A$80,0)))))</f>
        <v/>
      </c>
      <c r="O761" s="53">
        <f t="array" ref="O761">IFERROR(INDEX(EXCEPCIONES_FECHA!$F$2:$F$201,MATCH(1,(EXCEPCIONES_FECHA!$A$2:$A$201=$A761)*(EXCEPCIONES_FECHA!$B$2:$B$201=$B761),0)),IFERROR(INDEX(EXCEPCIONES_FECHA!$F$2:$F$201,MATCH(1,(EXCEPCIONES_FECHA!$A$2:$A$201=$A761)*(EXCEPCIONES_FECHA!$B$2:$B$201=""),0)),IFERROR(INDEX(IF($I761="FIN",HISTORIAL_HORARIOS!$L$2:$L$201,HISTORIAL_HORARIOS!$H$2:$H$201),MATCH(1,(HISTORIAL_HORARIOS!$A$2:$A$201=$B761)*(HISTORIAL_HORARIOS!$C$2:$C$201&lt;=$A761)*(HISTORIAL_HORARIOS!$D$2:$D$201&gt;=$A761),0)),INDEX(IF($I761="FIN",PERSONAL!$L$2:$L$80,PERSONAL!$H$2:$H$80),MATCH($B761,PERSONAL!$A$2:$A$80,0)))))</f>
        <v/>
      </c>
    </row>
    <row r="762" ht="15" customHeight="1" s="58">
      <c r="A762" s="37" t="n"/>
      <c r="B762" s="38" t="n"/>
      <c r="C762" s="39" t="n"/>
      <c r="D762" s="39" t="n"/>
      <c r="E762" s="34">
        <f t="array" ref="E762">IF($B762="","",IFERROR(INDEX(PERSONAL!$B$2:$B$80,MATCH($B762,PERSONAL!$A$2:$A$80,0)),"NO EXISTE"))</f>
        <v/>
      </c>
      <c r="F762" s="52">
        <f t="array" ref="F762">IF($B762="","",IFERROR(INDEX(PERSONAL!$C$2:$C$80,MATCH($B762,PERSONAL!$A$2:$A$80,0)),""))</f>
        <v/>
      </c>
      <c r="G762" s="52">
        <f>IF($A762="","",CHOOSE(WEEKDAY($A762,2),"LUNES","MARTES","MIÉRCOLES","JUEVES","VIERNES","SÁBADO","DOMINGO"))</f>
        <v/>
      </c>
      <c r="H762" s="34">
        <f>IF($A762="","",CHOOSE(MONTH($A762),"ENERO","FEBRERO","MARZO","ABRIL","MAYO","JUNIO","JULIO","AGOSTO","SEPTIEMBRE","OCTUBRE","NOVIEMBRE","DICIEMBRE"))</f>
        <v/>
      </c>
      <c r="I762" s="34">
        <f>IF($A762="","",IF(OR($G762="SÁBADO",$G762="DOMINGO"),"FIN","LV"))</f>
        <v/>
      </c>
      <c r="J762" s="34">
        <f>IF(OR($A762="",$B762=""),"",IF($L762&lt;&gt;"",UPPER($L762),IF($C762="","FALTA",IFERROR(IF($C762&gt;=$O762,"ROJO FUERTE",IF($C762&gt;=$N762,"ROJO",IF($C762&gt;=$M762,"AMARILLO","VERDE"))),"REVISAR"))))</f>
        <v/>
      </c>
      <c r="K762" s="36">
        <f>IF(OR($C762="",$D762=""),"",IF($D762&gt;=$C762,($D762-$C762)*24,(1-$C762+$D762)*24))</f>
        <v/>
      </c>
      <c r="L762" s="34" t="n"/>
      <c r="M762" s="53">
        <f t="array" ref="M762">IFERROR(INDEX(EXCEPCIONES_FECHA!$D$2:$D$201,MATCH(1,(EXCEPCIONES_FECHA!$A$2:$A$201=$A762)*(EXCEPCIONES_FECHA!$B$2:$B$201=$B762),0)),IFERROR(INDEX(EXCEPCIONES_FECHA!$D$2:$D$201,MATCH(1,(EXCEPCIONES_FECHA!$A$2:$A$201=$A762)*(EXCEPCIONES_FECHA!$B$2:$B$201=""),0)),IFERROR(INDEX(IF($I762="FIN",HISTORIAL_HORARIOS!$J$2:$J$201,HISTORIAL_HORARIOS!$F$2:$F$201),MATCH(1,(HISTORIAL_HORARIOS!$A$2:$A$201=$B762)*(HISTORIAL_HORARIOS!$C$2:$C$201&lt;=$A762)*(HISTORIAL_HORARIOS!$D$2:$D$201&gt;=$A762),0)),INDEX(IF($I762="FIN",PERSONAL!$J$2:$J$80,PERSONAL!$F$2:$F$80),MATCH($B762,PERSONAL!$A$2:$A$80,0)))))</f>
        <v/>
      </c>
      <c r="N762" s="53">
        <f t="array" ref="N762">IFERROR(INDEX(EXCEPCIONES_FECHA!$E$2:$E$201,MATCH(1,(EXCEPCIONES_FECHA!$A$2:$A$201=$A762)*(EXCEPCIONES_FECHA!$B$2:$B$201=$B762),0)),IFERROR(INDEX(EXCEPCIONES_FECHA!$E$2:$E$201,MATCH(1,(EXCEPCIONES_FECHA!$A$2:$A$201=$A762)*(EXCEPCIONES_FECHA!$B$2:$B$201=""),0)),IFERROR(INDEX(IF($I762="FIN",HISTORIAL_HORARIOS!$K$2:$K$201,HISTORIAL_HORARIOS!$G$2:$G$201),MATCH(1,(HISTORIAL_HORARIOS!$A$2:$A$201=$B762)*(HISTORIAL_HORARIOS!$C$2:$C$201&lt;=$A762)*(HISTORIAL_HORARIOS!$D$2:$D$201&gt;=$A762),0)),INDEX(IF($I762="FIN",PERSONAL!$K$2:$K$80,PERSONAL!$G$2:$G$80),MATCH($B762,PERSONAL!$A$2:$A$80,0)))))</f>
        <v/>
      </c>
      <c r="O762" s="53">
        <f t="array" ref="O762">IFERROR(INDEX(EXCEPCIONES_FECHA!$F$2:$F$201,MATCH(1,(EXCEPCIONES_FECHA!$A$2:$A$201=$A762)*(EXCEPCIONES_FECHA!$B$2:$B$201=$B762),0)),IFERROR(INDEX(EXCEPCIONES_FECHA!$F$2:$F$201,MATCH(1,(EXCEPCIONES_FECHA!$A$2:$A$201=$A762)*(EXCEPCIONES_FECHA!$B$2:$B$201=""),0)),IFERROR(INDEX(IF($I762="FIN",HISTORIAL_HORARIOS!$L$2:$L$201,HISTORIAL_HORARIOS!$H$2:$H$201),MATCH(1,(HISTORIAL_HORARIOS!$A$2:$A$201=$B762)*(HISTORIAL_HORARIOS!$C$2:$C$201&lt;=$A762)*(HISTORIAL_HORARIOS!$D$2:$D$201&gt;=$A762),0)),INDEX(IF($I762="FIN",PERSONAL!$L$2:$L$80,PERSONAL!$H$2:$H$80),MATCH($B762,PERSONAL!$A$2:$A$80,0)))))</f>
        <v/>
      </c>
    </row>
    <row r="763" ht="15" customHeight="1" s="58">
      <c r="A763" s="37" t="n"/>
      <c r="B763" s="38" t="n"/>
      <c r="C763" s="39" t="n"/>
      <c r="D763" s="39" t="n"/>
      <c r="E763" s="34">
        <f t="array" ref="E763">IF($B763="","",IFERROR(INDEX(PERSONAL!$B$2:$B$80,MATCH($B763,PERSONAL!$A$2:$A$80,0)),"NO EXISTE"))</f>
        <v/>
      </c>
      <c r="F763" s="52">
        <f t="array" ref="F763">IF($B763="","",IFERROR(INDEX(PERSONAL!$C$2:$C$80,MATCH($B763,PERSONAL!$A$2:$A$80,0)),""))</f>
        <v/>
      </c>
      <c r="G763" s="52">
        <f>IF($A763="","",CHOOSE(WEEKDAY($A763,2),"LUNES","MARTES","MIÉRCOLES","JUEVES","VIERNES","SÁBADO","DOMINGO"))</f>
        <v/>
      </c>
      <c r="H763" s="34">
        <f>IF($A763="","",CHOOSE(MONTH($A763),"ENERO","FEBRERO","MARZO","ABRIL","MAYO","JUNIO","JULIO","AGOSTO","SEPTIEMBRE","OCTUBRE","NOVIEMBRE","DICIEMBRE"))</f>
        <v/>
      </c>
      <c r="I763" s="34">
        <f>IF($A763="","",IF(OR($G763="SÁBADO",$G763="DOMINGO"),"FIN","LV"))</f>
        <v/>
      </c>
      <c r="J763" s="34">
        <f>IF(OR($A763="",$B763=""),"",IF($L763&lt;&gt;"",UPPER($L763),IF($C763="","FALTA",IFERROR(IF($C763&gt;=$O763,"ROJO FUERTE",IF($C763&gt;=$N763,"ROJO",IF($C763&gt;=$M763,"AMARILLO","VERDE"))),"REVISAR"))))</f>
        <v/>
      </c>
      <c r="K763" s="36">
        <f>IF(OR($C763="",$D763=""),"",IF($D763&gt;=$C763,($D763-$C763)*24,(1-$C763+$D763)*24))</f>
        <v/>
      </c>
      <c r="L763" s="34" t="n"/>
      <c r="M763" s="53">
        <f t="array" ref="M763">IFERROR(INDEX(EXCEPCIONES_FECHA!$D$2:$D$201,MATCH(1,(EXCEPCIONES_FECHA!$A$2:$A$201=$A763)*(EXCEPCIONES_FECHA!$B$2:$B$201=$B763),0)),IFERROR(INDEX(EXCEPCIONES_FECHA!$D$2:$D$201,MATCH(1,(EXCEPCIONES_FECHA!$A$2:$A$201=$A763)*(EXCEPCIONES_FECHA!$B$2:$B$201=""),0)),IFERROR(INDEX(IF($I763="FIN",HISTORIAL_HORARIOS!$J$2:$J$201,HISTORIAL_HORARIOS!$F$2:$F$201),MATCH(1,(HISTORIAL_HORARIOS!$A$2:$A$201=$B763)*(HISTORIAL_HORARIOS!$C$2:$C$201&lt;=$A763)*(HISTORIAL_HORARIOS!$D$2:$D$201&gt;=$A763),0)),INDEX(IF($I763="FIN",PERSONAL!$J$2:$J$80,PERSONAL!$F$2:$F$80),MATCH($B763,PERSONAL!$A$2:$A$80,0)))))</f>
        <v/>
      </c>
      <c r="N763" s="53">
        <f t="array" ref="N763">IFERROR(INDEX(EXCEPCIONES_FECHA!$E$2:$E$201,MATCH(1,(EXCEPCIONES_FECHA!$A$2:$A$201=$A763)*(EXCEPCIONES_FECHA!$B$2:$B$201=$B763),0)),IFERROR(INDEX(EXCEPCIONES_FECHA!$E$2:$E$201,MATCH(1,(EXCEPCIONES_FECHA!$A$2:$A$201=$A763)*(EXCEPCIONES_FECHA!$B$2:$B$201=""),0)),IFERROR(INDEX(IF($I763="FIN",HISTORIAL_HORARIOS!$K$2:$K$201,HISTORIAL_HORARIOS!$G$2:$G$201),MATCH(1,(HISTORIAL_HORARIOS!$A$2:$A$201=$B763)*(HISTORIAL_HORARIOS!$C$2:$C$201&lt;=$A763)*(HISTORIAL_HORARIOS!$D$2:$D$201&gt;=$A763),0)),INDEX(IF($I763="FIN",PERSONAL!$K$2:$K$80,PERSONAL!$G$2:$G$80),MATCH($B763,PERSONAL!$A$2:$A$80,0)))))</f>
        <v/>
      </c>
      <c r="O763" s="53">
        <f t="array" ref="O763">IFERROR(INDEX(EXCEPCIONES_FECHA!$F$2:$F$201,MATCH(1,(EXCEPCIONES_FECHA!$A$2:$A$201=$A763)*(EXCEPCIONES_FECHA!$B$2:$B$201=$B763),0)),IFERROR(INDEX(EXCEPCIONES_FECHA!$F$2:$F$201,MATCH(1,(EXCEPCIONES_FECHA!$A$2:$A$201=$A763)*(EXCEPCIONES_FECHA!$B$2:$B$201=""),0)),IFERROR(INDEX(IF($I763="FIN",HISTORIAL_HORARIOS!$L$2:$L$201,HISTORIAL_HORARIOS!$H$2:$H$201),MATCH(1,(HISTORIAL_HORARIOS!$A$2:$A$201=$B763)*(HISTORIAL_HORARIOS!$C$2:$C$201&lt;=$A763)*(HISTORIAL_HORARIOS!$D$2:$D$201&gt;=$A763),0)),INDEX(IF($I763="FIN",PERSONAL!$L$2:$L$80,PERSONAL!$H$2:$H$80),MATCH($B763,PERSONAL!$A$2:$A$80,0)))))</f>
        <v/>
      </c>
    </row>
    <row r="764" ht="15" customHeight="1" s="58">
      <c r="A764" s="37" t="n"/>
      <c r="B764" s="38" t="n"/>
      <c r="C764" s="39" t="n"/>
      <c r="D764" s="39" t="n"/>
      <c r="E764" s="34">
        <f t="array" ref="E764">IF($B764="","",IFERROR(INDEX(PERSONAL!$B$2:$B$80,MATCH($B764,PERSONAL!$A$2:$A$80,0)),"NO EXISTE"))</f>
        <v/>
      </c>
      <c r="F764" s="52">
        <f t="array" ref="F764">IF($B764="","",IFERROR(INDEX(PERSONAL!$C$2:$C$80,MATCH($B764,PERSONAL!$A$2:$A$80,0)),""))</f>
        <v/>
      </c>
      <c r="G764" s="52">
        <f>IF($A764="","",CHOOSE(WEEKDAY($A764,2),"LUNES","MARTES","MIÉRCOLES","JUEVES","VIERNES","SÁBADO","DOMINGO"))</f>
        <v/>
      </c>
      <c r="H764" s="34">
        <f>IF($A764="","",CHOOSE(MONTH($A764),"ENERO","FEBRERO","MARZO","ABRIL","MAYO","JUNIO","JULIO","AGOSTO","SEPTIEMBRE","OCTUBRE","NOVIEMBRE","DICIEMBRE"))</f>
        <v/>
      </c>
      <c r="I764" s="34">
        <f>IF($A764="","",IF(OR($G764="SÁBADO",$G764="DOMINGO"),"FIN","LV"))</f>
        <v/>
      </c>
      <c r="J764" s="34">
        <f>IF(OR($A764="",$B764=""),"",IF($L764&lt;&gt;"",UPPER($L764),IF($C764="","FALTA",IFERROR(IF($C764&gt;=$O764,"ROJO FUERTE",IF($C764&gt;=$N764,"ROJO",IF($C764&gt;=$M764,"AMARILLO","VERDE"))),"REVISAR"))))</f>
        <v/>
      </c>
      <c r="K764" s="36">
        <f>IF(OR($C764="",$D764=""),"",IF($D764&gt;=$C764,($D764-$C764)*24,(1-$C764+$D764)*24))</f>
        <v/>
      </c>
      <c r="L764" s="34" t="n"/>
      <c r="M764" s="53">
        <f t="array" ref="M764">IFERROR(INDEX(EXCEPCIONES_FECHA!$D$2:$D$201,MATCH(1,(EXCEPCIONES_FECHA!$A$2:$A$201=$A764)*(EXCEPCIONES_FECHA!$B$2:$B$201=$B764),0)),IFERROR(INDEX(EXCEPCIONES_FECHA!$D$2:$D$201,MATCH(1,(EXCEPCIONES_FECHA!$A$2:$A$201=$A764)*(EXCEPCIONES_FECHA!$B$2:$B$201=""),0)),IFERROR(INDEX(IF($I764="FIN",HISTORIAL_HORARIOS!$J$2:$J$201,HISTORIAL_HORARIOS!$F$2:$F$201),MATCH(1,(HISTORIAL_HORARIOS!$A$2:$A$201=$B764)*(HISTORIAL_HORARIOS!$C$2:$C$201&lt;=$A764)*(HISTORIAL_HORARIOS!$D$2:$D$201&gt;=$A764),0)),INDEX(IF($I764="FIN",PERSONAL!$J$2:$J$80,PERSONAL!$F$2:$F$80),MATCH($B764,PERSONAL!$A$2:$A$80,0)))))</f>
        <v/>
      </c>
      <c r="N764" s="53">
        <f t="array" ref="N764">IFERROR(INDEX(EXCEPCIONES_FECHA!$E$2:$E$201,MATCH(1,(EXCEPCIONES_FECHA!$A$2:$A$201=$A764)*(EXCEPCIONES_FECHA!$B$2:$B$201=$B764),0)),IFERROR(INDEX(EXCEPCIONES_FECHA!$E$2:$E$201,MATCH(1,(EXCEPCIONES_FECHA!$A$2:$A$201=$A764)*(EXCEPCIONES_FECHA!$B$2:$B$201=""),0)),IFERROR(INDEX(IF($I764="FIN",HISTORIAL_HORARIOS!$K$2:$K$201,HISTORIAL_HORARIOS!$G$2:$G$201),MATCH(1,(HISTORIAL_HORARIOS!$A$2:$A$201=$B764)*(HISTORIAL_HORARIOS!$C$2:$C$201&lt;=$A764)*(HISTORIAL_HORARIOS!$D$2:$D$201&gt;=$A764),0)),INDEX(IF($I764="FIN",PERSONAL!$K$2:$K$80,PERSONAL!$G$2:$G$80),MATCH($B764,PERSONAL!$A$2:$A$80,0)))))</f>
        <v/>
      </c>
      <c r="O764" s="53">
        <f t="array" ref="O764">IFERROR(INDEX(EXCEPCIONES_FECHA!$F$2:$F$201,MATCH(1,(EXCEPCIONES_FECHA!$A$2:$A$201=$A764)*(EXCEPCIONES_FECHA!$B$2:$B$201=$B764),0)),IFERROR(INDEX(EXCEPCIONES_FECHA!$F$2:$F$201,MATCH(1,(EXCEPCIONES_FECHA!$A$2:$A$201=$A764)*(EXCEPCIONES_FECHA!$B$2:$B$201=""),0)),IFERROR(INDEX(IF($I764="FIN",HISTORIAL_HORARIOS!$L$2:$L$201,HISTORIAL_HORARIOS!$H$2:$H$201),MATCH(1,(HISTORIAL_HORARIOS!$A$2:$A$201=$B764)*(HISTORIAL_HORARIOS!$C$2:$C$201&lt;=$A764)*(HISTORIAL_HORARIOS!$D$2:$D$201&gt;=$A764),0)),INDEX(IF($I764="FIN",PERSONAL!$L$2:$L$80,PERSONAL!$H$2:$H$80),MATCH($B764,PERSONAL!$A$2:$A$80,0)))))</f>
        <v/>
      </c>
    </row>
    <row r="765" ht="15" customHeight="1" s="58">
      <c r="A765" s="37" t="n"/>
      <c r="B765" s="38" t="n"/>
      <c r="C765" s="39" t="n"/>
      <c r="D765" s="39" t="n"/>
      <c r="E765" s="34">
        <f t="array" ref="E765">IF($B765="","",IFERROR(INDEX(PERSONAL!$B$2:$B$80,MATCH($B765,PERSONAL!$A$2:$A$80,0)),"NO EXISTE"))</f>
        <v/>
      </c>
      <c r="F765" s="52">
        <f t="array" ref="F765">IF($B765="","",IFERROR(INDEX(PERSONAL!$C$2:$C$80,MATCH($B765,PERSONAL!$A$2:$A$80,0)),""))</f>
        <v/>
      </c>
      <c r="G765" s="52">
        <f>IF($A765="","",CHOOSE(WEEKDAY($A765,2),"LUNES","MARTES","MIÉRCOLES","JUEVES","VIERNES","SÁBADO","DOMINGO"))</f>
        <v/>
      </c>
      <c r="H765" s="34">
        <f>IF($A765="","",CHOOSE(MONTH($A765),"ENERO","FEBRERO","MARZO","ABRIL","MAYO","JUNIO","JULIO","AGOSTO","SEPTIEMBRE","OCTUBRE","NOVIEMBRE","DICIEMBRE"))</f>
        <v/>
      </c>
      <c r="I765" s="34">
        <f>IF($A765="","",IF(OR($G765="SÁBADO",$G765="DOMINGO"),"FIN","LV"))</f>
        <v/>
      </c>
      <c r="J765" s="34">
        <f>IF(OR($A765="",$B765=""),"",IF($L765&lt;&gt;"",UPPER($L765),IF($C765="","FALTA",IFERROR(IF($C765&gt;=$O765,"ROJO FUERTE",IF($C765&gt;=$N765,"ROJO",IF($C765&gt;=$M765,"AMARILLO","VERDE"))),"REVISAR"))))</f>
        <v/>
      </c>
      <c r="K765" s="36">
        <f>IF(OR($C765="",$D765=""),"",IF($D765&gt;=$C765,($D765-$C765)*24,(1-$C765+$D765)*24))</f>
        <v/>
      </c>
      <c r="L765" s="34" t="n"/>
      <c r="M765" s="53">
        <f t="array" ref="M765">IFERROR(INDEX(EXCEPCIONES_FECHA!$D$2:$D$201,MATCH(1,(EXCEPCIONES_FECHA!$A$2:$A$201=$A765)*(EXCEPCIONES_FECHA!$B$2:$B$201=$B765),0)),IFERROR(INDEX(EXCEPCIONES_FECHA!$D$2:$D$201,MATCH(1,(EXCEPCIONES_FECHA!$A$2:$A$201=$A765)*(EXCEPCIONES_FECHA!$B$2:$B$201=""),0)),IFERROR(INDEX(IF($I765="FIN",HISTORIAL_HORARIOS!$J$2:$J$201,HISTORIAL_HORARIOS!$F$2:$F$201),MATCH(1,(HISTORIAL_HORARIOS!$A$2:$A$201=$B765)*(HISTORIAL_HORARIOS!$C$2:$C$201&lt;=$A765)*(HISTORIAL_HORARIOS!$D$2:$D$201&gt;=$A765),0)),INDEX(IF($I765="FIN",PERSONAL!$J$2:$J$80,PERSONAL!$F$2:$F$80),MATCH($B765,PERSONAL!$A$2:$A$80,0)))))</f>
        <v/>
      </c>
      <c r="N765" s="53">
        <f t="array" ref="N765">IFERROR(INDEX(EXCEPCIONES_FECHA!$E$2:$E$201,MATCH(1,(EXCEPCIONES_FECHA!$A$2:$A$201=$A765)*(EXCEPCIONES_FECHA!$B$2:$B$201=$B765),0)),IFERROR(INDEX(EXCEPCIONES_FECHA!$E$2:$E$201,MATCH(1,(EXCEPCIONES_FECHA!$A$2:$A$201=$A765)*(EXCEPCIONES_FECHA!$B$2:$B$201=""),0)),IFERROR(INDEX(IF($I765="FIN",HISTORIAL_HORARIOS!$K$2:$K$201,HISTORIAL_HORARIOS!$G$2:$G$201),MATCH(1,(HISTORIAL_HORARIOS!$A$2:$A$201=$B765)*(HISTORIAL_HORARIOS!$C$2:$C$201&lt;=$A765)*(HISTORIAL_HORARIOS!$D$2:$D$201&gt;=$A765),0)),INDEX(IF($I765="FIN",PERSONAL!$K$2:$K$80,PERSONAL!$G$2:$G$80),MATCH($B765,PERSONAL!$A$2:$A$80,0)))))</f>
        <v/>
      </c>
      <c r="O765" s="53">
        <f t="array" ref="O765">IFERROR(INDEX(EXCEPCIONES_FECHA!$F$2:$F$201,MATCH(1,(EXCEPCIONES_FECHA!$A$2:$A$201=$A765)*(EXCEPCIONES_FECHA!$B$2:$B$201=$B765),0)),IFERROR(INDEX(EXCEPCIONES_FECHA!$F$2:$F$201,MATCH(1,(EXCEPCIONES_FECHA!$A$2:$A$201=$A765)*(EXCEPCIONES_FECHA!$B$2:$B$201=""),0)),IFERROR(INDEX(IF($I765="FIN",HISTORIAL_HORARIOS!$L$2:$L$201,HISTORIAL_HORARIOS!$H$2:$H$201),MATCH(1,(HISTORIAL_HORARIOS!$A$2:$A$201=$B765)*(HISTORIAL_HORARIOS!$C$2:$C$201&lt;=$A765)*(HISTORIAL_HORARIOS!$D$2:$D$201&gt;=$A765),0)),INDEX(IF($I765="FIN",PERSONAL!$L$2:$L$80,PERSONAL!$H$2:$H$80),MATCH($B765,PERSONAL!$A$2:$A$80,0)))))</f>
        <v/>
      </c>
    </row>
    <row r="766" ht="15" customHeight="1" s="58">
      <c r="A766" s="37" t="n"/>
      <c r="B766" s="38" t="n"/>
      <c r="C766" s="39" t="n"/>
      <c r="D766" s="39" t="n"/>
      <c r="E766" s="34">
        <f t="array" ref="E766">IF($B766="","",IFERROR(INDEX(PERSONAL!$B$2:$B$80,MATCH($B766,PERSONAL!$A$2:$A$80,0)),"NO EXISTE"))</f>
        <v/>
      </c>
      <c r="F766" s="52">
        <f t="array" ref="F766">IF($B766="","",IFERROR(INDEX(PERSONAL!$C$2:$C$80,MATCH($B766,PERSONAL!$A$2:$A$80,0)),""))</f>
        <v/>
      </c>
      <c r="G766" s="52">
        <f>IF($A766="","",CHOOSE(WEEKDAY($A766,2),"LUNES","MARTES","MIÉRCOLES","JUEVES","VIERNES","SÁBADO","DOMINGO"))</f>
        <v/>
      </c>
      <c r="H766" s="34">
        <f>IF($A766="","",CHOOSE(MONTH($A766),"ENERO","FEBRERO","MARZO","ABRIL","MAYO","JUNIO","JULIO","AGOSTO","SEPTIEMBRE","OCTUBRE","NOVIEMBRE","DICIEMBRE"))</f>
        <v/>
      </c>
      <c r="I766" s="34">
        <f>IF($A766="","",IF(OR($G766="SÁBADO",$G766="DOMINGO"),"FIN","LV"))</f>
        <v/>
      </c>
      <c r="J766" s="34">
        <f>IF(OR($A766="",$B766=""),"",IF($L766&lt;&gt;"",UPPER($L766),IF($C766="","FALTA",IFERROR(IF($C766&gt;=$O766,"ROJO FUERTE",IF($C766&gt;=$N766,"ROJO",IF($C766&gt;=$M766,"AMARILLO","VERDE"))),"REVISAR"))))</f>
        <v/>
      </c>
      <c r="K766" s="36">
        <f>IF(OR($C766="",$D766=""),"",IF($D766&gt;=$C766,($D766-$C766)*24,(1-$C766+$D766)*24))</f>
        <v/>
      </c>
      <c r="L766" s="34" t="n"/>
      <c r="M766" s="53">
        <f t="array" ref="M766">IFERROR(INDEX(EXCEPCIONES_FECHA!$D$2:$D$201,MATCH(1,(EXCEPCIONES_FECHA!$A$2:$A$201=$A766)*(EXCEPCIONES_FECHA!$B$2:$B$201=$B766),0)),IFERROR(INDEX(EXCEPCIONES_FECHA!$D$2:$D$201,MATCH(1,(EXCEPCIONES_FECHA!$A$2:$A$201=$A766)*(EXCEPCIONES_FECHA!$B$2:$B$201=""),0)),IFERROR(INDEX(IF($I766="FIN",HISTORIAL_HORARIOS!$J$2:$J$201,HISTORIAL_HORARIOS!$F$2:$F$201),MATCH(1,(HISTORIAL_HORARIOS!$A$2:$A$201=$B766)*(HISTORIAL_HORARIOS!$C$2:$C$201&lt;=$A766)*(HISTORIAL_HORARIOS!$D$2:$D$201&gt;=$A766),0)),INDEX(IF($I766="FIN",PERSONAL!$J$2:$J$80,PERSONAL!$F$2:$F$80),MATCH($B766,PERSONAL!$A$2:$A$80,0)))))</f>
        <v/>
      </c>
      <c r="N766" s="53">
        <f t="array" ref="N766">IFERROR(INDEX(EXCEPCIONES_FECHA!$E$2:$E$201,MATCH(1,(EXCEPCIONES_FECHA!$A$2:$A$201=$A766)*(EXCEPCIONES_FECHA!$B$2:$B$201=$B766),0)),IFERROR(INDEX(EXCEPCIONES_FECHA!$E$2:$E$201,MATCH(1,(EXCEPCIONES_FECHA!$A$2:$A$201=$A766)*(EXCEPCIONES_FECHA!$B$2:$B$201=""),0)),IFERROR(INDEX(IF($I766="FIN",HISTORIAL_HORARIOS!$K$2:$K$201,HISTORIAL_HORARIOS!$G$2:$G$201),MATCH(1,(HISTORIAL_HORARIOS!$A$2:$A$201=$B766)*(HISTORIAL_HORARIOS!$C$2:$C$201&lt;=$A766)*(HISTORIAL_HORARIOS!$D$2:$D$201&gt;=$A766),0)),INDEX(IF($I766="FIN",PERSONAL!$K$2:$K$80,PERSONAL!$G$2:$G$80),MATCH($B766,PERSONAL!$A$2:$A$80,0)))))</f>
        <v/>
      </c>
      <c r="O766" s="53">
        <f t="array" ref="O766">IFERROR(INDEX(EXCEPCIONES_FECHA!$F$2:$F$201,MATCH(1,(EXCEPCIONES_FECHA!$A$2:$A$201=$A766)*(EXCEPCIONES_FECHA!$B$2:$B$201=$B766),0)),IFERROR(INDEX(EXCEPCIONES_FECHA!$F$2:$F$201,MATCH(1,(EXCEPCIONES_FECHA!$A$2:$A$201=$A766)*(EXCEPCIONES_FECHA!$B$2:$B$201=""),0)),IFERROR(INDEX(IF($I766="FIN",HISTORIAL_HORARIOS!$L$2:$L$201,HISTORIAL_HORARIOS!$H$2:$H$201),MATCH(1,(HISTORIAL_HORARIOS!$A$2:$A$201=$B766)*(HISTORIAL_HORARIOS!$C$2:$C$201&lt;=$A766)*(HISTORIAL_HORARIOS!$D$2:$D$201&gt;=$A766),0)),INDEX(IF($I766="FIN",PERSONAL!$L$2:$L$80,PERSONAL!$H$2:$H$80),MATCH($B766,PERSONAL!$A$2:$A$80,0)))))</f>
        <v/>
      </c>
    </row>
    <row r="767" ht="15" customHeight="1" s="58">
      <c r="A767" s="37" t="n"/>
      <c r="B767" s="38" t="n"/>
      <c r="C767" s="39" t="n"/>
      <c r="D767" s="39" t="n"/>
      <c r="E767" s="34">
        <f t="array" ref="E767">IF($B767="","",IFERROR(INDEX(PERSONAL!$B$2:$B$80,MATCH($B767,PERSONAL!$A$2:$A$80,0)),"NO EXISTE"))</f>
        <v/>
      </c>
      <c r="F767" s="52">
        <f t="array" ref="F767">IF($B767="","",IFERROR(INDEX(PERSONAL!$C$2:$C$80,MATCH($B767,PERSONAL!$A$2:$A$80,0)),""))</f>
        <v/>
      </c>
      <c r="G767" s="52">
        <f>IF($A767="","",CHOOSE(WEEKDAY($A767,2),"LUNES","MARTES","MIÉRCOLES","JUEVES","VIERNES","SÁBADO","DOMINGO"))</f>
        <v/>
      </c>
      <c r="H767" s="34">
        <f>IF($A767="","",CHOOSE(MONTH($A767),"ENERO","FEBRERO","MARZO","ABRIL","MAYO","JUNIO","JULIO","AGOSTO","SEPTIEMBRE","OCTUBRE","NOVIEMBRE","DICIEMBRE"))</f>
        <v/>
      </c>
      <c r="I767" s="34">
        <f>IF($A767="","",IF(OR($G767="SÁBADO",$G767="DOMINGO"),"FIN","LV"))</f>
        <v/>
      </c>
      <c r="J767" s="34">
        <f>IF(OR($A767="",$B767=""),"",IF($L767&lt;&gt;"",UPPER($L767),IF($C767="","FALTA",IFERROR(IF($C767&gt;=$O767,"ROJO FUERTE",IF($C767&gt;=$N767,"ROJO",IF($C767&gt;=$M767,"AMARILLO","VERDE"))),"REVISAR"))))</f>
        <v/>
      </c>
      <c r="K767" s="36">
        <f>IF(OR($C767="",$D767=""),"",IF($D767&gt;=$C767,($D767-$C767)*24,(1-$C767+$D767)*24))</f>
        <v/>
      </c>
      <c r="L767" s="34" t="n"/>
      <c r="M767" s="53">
        <f t="array" ref="M767">IFERROR(INDEX(EXCEPCIONES_FECHA!$D$2:$D$201,MATCH(1,(EXCEPCIONES_FECHA!$A$2:$A$201=$A767)*(EXCEPCIONES_FECHA!$B$2:$B$201=$B767),0)),IFERROR(INDEX(EXCEPCIONES_FECHA!$D$2:$D$201,MATCH(1,(EXCEPCIONES_FECHA!$A$2:$A$201=$A767)*(EXCEPCIONES_FECHA!$B$2:$B$201=""),0)),IFERROR(INDEX(IF($I767="FIN",HISTORIAL_HORARIOS!$J$2:$J$201,HISTORIAL_HORARIOS!$F$2:$F$201),MATCH(1,(HISTORIAL_HORARIOS!$A$2:$A$201=$B767)*(HISTORIAL_HORARIOS!$C$2:$C$201&lt;=$A767)*(HISTORIAL_HORARIOS!$D$2:$D$201&gt;=$A767),0)),INDEX(IF($I767="FIN",PERSONAL!$J$2:$J$80,PERSONAL!$F$2:$F$80),MATCH($B767,PERSONAL!$A$2:$A$80,0)))))</f>
        <v/>
      </c>
      <c r="N767" s="53">
        <f t="array" ref="N767">IFERROR(INDEX(EXCEPCIONES_FECHA!$E$2:$E$201,MATCH(1,(EXCEPCIONES_FECHA!$A$2:$A$201=$A767)*(EXCEPCIONES_FECHA!$B$2:$B$201=$B767),0)),IFERROR(INDEX(EXCEPCIONES_FECHA!$E$2:$E$201,MATCH(1,(EXCEPCIONES_FECHA!$A$2:$A$201=$A767)*(EXCEPCIONES_FECHA!$B$2:$B$201=""),0)),IFERROR(INDEX(IF($I767="FIN",HISTORIAL_HORARIOS!$K$2:$K$201,HISTORIAL_HORARIOS!$G$2:$G$201),MATCH(1,(HISTORIAL_HORARIOS!$A$2:$A$201=$B767)*(HISTORIAL_HORARIOS!$C$2:$C$201&lt;=$A767)*(HISTORIAL_HORARIOS!$D$2:$D$201&gt;=$A767),0)),INDEX(IF($I767="FIN",PERSONAL!$K$2:$K$80,PERSONAL!$G$2:$G$80),MATCH($B767,PERSONAL!$A$2:$A$80,0)))))</f>
        <v/>
      </c>
      <c r="O767" s="53">
        <f t="array" ref="O767">IFERROR(INDEX(EXCEPCIONES_FECHA!$F$2:$F$201,MATCH(1,(EXCEPCIONES_FECHA!$A$2:$A$201=$A767)*(EXCEPCIONES_FECHA!$B$2:$B$201=$B767),0)),IFERROR(INDEX(EXCEPCIONES_FECHA!$F$2:$F$201,MATCH(1,(EXCEPCIONES_FECHA!$A$2:$A$201=$A767)*(EXCEPCIONES_FECHA!$B$2:$B$201=""),0)),IFERROR(INDEX(IF($I767="FIN",HISTORIAL_HORARIOS!$L$2:$L$201,HISTORIAL_HORARIOS!$H$2:$H$201),MATCH(1,(HISTORIAL_HORARIOS!$A$2:$A$201=$B767)*(HISTORIAL_HORARIOS!$C$2:$C$201&lt;=$A767)*(HISTORIAL_HORARIOS!$D$2:$D$201&gt;=$A767),0)),INDEX(IF($I767="FIN",PERSONAL!$L$2:$L$80,PERSONAL!$H$2:$H$80),MATCH($B767,PERSONAL!$A$2:$A$80,0)))))</f>
        <v/>
      </c>
    </row>
    <row r="768" ht="15" customHeight="1" s="58">
      <c r="A768" s="37" t="n"/>
      <c r="B768" s="38" t="n"/>
      <c r="C768" s="39" t="n"/>
      <c r="D768" s="39" t="n"/>
      <c r="E768" s="34">
        <f t="array" ref="E768">IF($B768="","",IFERROR(INDEX(PERSONAL!$B$2:$B$80,MATCH($B768,PERSONAL!$A$2:$A$80,0)),"NO EXISTE"))</f>
        <v/>
      </c>
      <c r="F768" s="52">
        <f t="array" ref="F768">IF($B768="","",IFERROR(INDEX(PERSONAL!$C$2:$C$80,MATCH($B768,PERSONAL!$A$2:$A$80,0)),""))</f>
        <v/>
      </c>
      <c r="G768" s="52">
        <f>IF($A768="","",CHOOSE(WEEKDAY($A768,2),"LUNES","MARTES","MIÉRCOLES","JUEVES","VIERNES","SÁBADO","DOMINGO"))</f>
        <v/>
      </c>
      <c r="H768" s="34">
        <f>IF($A768="","",CHOOSE(MONTH($A768),"ENERO","FEBRERO","MARZO","ABRIL","MAYO","JUNIO","JULIO","AGOSTO","SEPTIEMBRE","OCTUBRE","NOVIEMBRE","DICIEMBRE"))</f>
        <v/>
      </c>
      <c r="I768" s="34">
        <f>IF($A768="","",IF(OR($G768="SÁBADO",$G768="DOMINGO"),"FIN","LV"))</f>
        <v/>
      </c>
      <c r="J768" s="34">
        <f>IF(OR($A768="",$B768=""),"",IF($L768&lt;&gt;"",UPPER($L768),IF($C768="","FALTA",IFERROR(IF($C768&gt;=$O768,"ROJO FUERTE",IF($C768&gt;=$N768,"ROJO",IF($C768&gt;=$M768,"AMARILLO","VERDE"))),"REVISAR"))))</f>
        <v/>
      </c>
      <c r="K768" s="36">
        <f>IF(OR($C768="",$D768=""),"",IF($D768&gt;=$C768,($D768-$C768)*24,(1-$C768+$D768)*24))</f>
        <v/>
      </c>
      <c r="L768" s="34" t="n"/>
      <c r="M768" s="53">
        <f t="array" ref="M768">IFERROR(INDEX(EXCEPCIONES_FECHA!$D$2:$D$201,MATCH(1,(EXCEPCIONES_FECHA!$A$2:$A$201=$A768)*(EXCEPCIONES_FECHA!$B$2:$B$201=$B768),0)),IFERROR(INDEX(EXCEPCIONES_FECHA!$D$2:$D$201,MATCH(1,(EXCEPCIONES_FECHA!$A$2:$A$201=$A768)*(EXCEPCIONES_FECHA!$B$2:$B$201=""),0)),IFERROR(INDEX(IF($I768="FIN",HISTORIAL_HORARIOS!$J$2:$J$201,HISTORIAL_HORARIOS!$F$2:$F$201),MATCH(1,(HISTORIAL_HORARIOS!$A$2:$A$201=$B768)*(HISTORIAL_HORARIOS!$C$2:$C$201&lt;=$A768)*(HISTORIAL_HORARIOS!$D$2:$D$201&gt;=$A768),0)),INDEX(IF($I768="FIN",PERSONAL!$J$2:$J$80,PERSONAL!$F$2:$F$80),MATCH($B768,PERSONAL!$A$2:$A$80,0)))))</f>
        <v/>
      </c>
      <c r="N768" s="53">
        <f t="array" ref="N768">IFERROR(INDEX(EXCEPCIONES_FECHA!$E$2:$E$201,MATCH(1,(EXCEPCIONES_FECHA!$A$2:$A$201=$A768)*(EXCEPCIONES_FECHA!$B$2:$B$201=$B768),0)),IFERROR(INDEX(EXCEPCIONES_FECHA!$E$2:$E$201,MATCH(1,(EXCEPCIONES_FECHA!$A$2:$A$201=$A768)*(EXCEPCIONES_FECHA!$B$2:$B$201=""),0)),IFERROR(INDEX(IF($I768="FIN",HISTORIAL_HORARIOS!$K$2:$K$201,HISTORIAL_HORARIOS!$G$2:$G$201),MATCH(1,(HISTORIAL_HORARIOS!$A$2:$A$201=$B768)*(HISTORIAL_HORARIOS!$C$2:$C$201&lt;=$A768)*(HISTORIAL_HORARIOS!$D$2:$D$201&gt;=$A768),0)),INDEX(IF($I768="FIN",PERSONAL!$K$2:$K$80,PERSONAL!$G$2:$G$80),MATCH($B768,PERSONAL!$A$2:$A$80,0)))))</f>
        <v/>
      </c>
      <c r="O768" s="53">
        <f t="array" ref="O768">IFERROR(INDEX(EXCEPCIONES_FECHA!$F$2:$F$201,MATCH(1,(EXCEPCIONES_FECHA!$A$2:$A$201=$A768)*(EXCEPCIONES_FECHA!$B$2:$B$201=$B768),0)),IFERROR(INDEX(EXCEPCIONES_FECHA!$F$2:$F$201,MATCH(1,(EXCEPCIONES_FECHA!$A$2:$A$201=$A768)*(EXCEPCIONES_FECHA!$B$2:$B$201=""),0)),IFERROR(INDEX(IF($I768="FIN",HISTORIAL_HORARIOS!$L$2:$L$201,HISTORIAL_HORARIOS!$H$2:$H$201),MATCH(1,(HISTORIAL_HORARIOS!$A$2:$A$201=$B768)*(HISTORIAL_HORARIOS!$C$2:$C$201&lt;=$A768)*(HISTORIAL_HORARIOS!$D$2:$D$201&gt;=$A768),0)),INDEX(IF($I768="FIN",PERSONAL!$L$2:$L$80,PERSONAL!$H$2:$H$80),MATCH($B768,PERSONAL!$A$2:$A$80,0)))))</f>
        <v/>
      </c>
    </row>
    <row r="769" ht="15" customHeight="1" s="58">
      <c r="A769" s="37" t="n"/>
      <c r="B769" s="38" t="n"/>
      <c r="C769" s="39" t="n"/>
      <c r="D769" s="39" t="n"/>
      <c r="E769" s="34">
        <f t="array" ref="E769">IF($B769="","",IFERROR(INDEX(PERSONAL!$B$2:$B$80,MATCH($B769,PERSONAL!$A$2:$A$80,0)),"NO EXISTE"))</f>
        <v/>
      </c>
      <c r="F769" s="52">
        <f t="array" ref="F769">IF($B769="","",IFERROR(INDEX(PERSONAL!$C$2:$C$80,MATCH($B769,PERSONAL!$A$2:$A$80,0)),""))</f>
        <v/>
      </c>
      <c r="G769" s="52">
        <f>IF($A769="","",CHOOSE(WEEKDAY($A769,2),"LUNES","MARTES","MIÉRCOLES","JUEVES","VIERNES","SÁBADO","DOMINGO"))</f>
        <v/>
      </c>
      <c r="H769" s="34">
        <f>IF($A769="","",CHOOSE(MONTH($A769),"ENERO","FEBRERO","MARZO","ABRIL","MAYO","JUNIO","JULIO","AGOSTO","SEPTIEMBRE","OCTUBRE","NOVIEMBRE","DICIEMBRE"))</f>
        <v/>
      </c>
      <c r="I769" s="34">
        <f>IF($A769="","",IF(OR($G769="SÁBADO",$G769="DOMINGO"),"FIN","LV"))</f>
        <v/>
      </c>
      <c r="J769" s="34">
        <f>IF(OR($A769="",$B769=""),"",IF($L769&lt;&gt;"",UPPER($L769),IF($C769="","FALTA",IFERROR(IF($C769&gt;=$O769,"ROJO FUERTE",IF($C769&gt;=$N769,"ROJO",IF($C769&gt;=$M769,"AMARILLO","VERDE"))),"REVISAR"))))</f>
        <v/>
      </c>
      <c r="K769" s="36">
        <f>IF(OR($C769="",$D769=""),"",IF($D769&gt;=$C769,($D769-$C769)*24,(1-$C769+$D769)*24))</f>
        <v/>
      </c>
      <c r="L769" s="34" t="n"/>
      <c r="M769" s="53">
        <f t="array" ref="M769">IFERROR(INDEX(EXCEPCIONES_FECHA!$D$2:$D$201,MATCH(1,(EXCEPCIONES_FECHA!$A$2:$A$201=$A769)*(EXCEPCIONES_FECHA!$B$2:$B$201=$B769),0)),IFERROR(INDEX(EXCEPCIONES_FECHA!$D$2:$D$201,MATCH(1,(EXCEPCIONES_FECHA!$A$2:$A$201=$A769)*(EXCEPCIONES_FECHA!$B$2:$B$201=""),0)),IFERROR(INDEX(IF($I769="FIN",HISTORIAL_HORARIOS!$J$2:$J$201,HISTORIAL_HORARIOS!$F$2:$F$201),MATCH(1,(HISTORIAL_HORARIOS!$A$2:$A$201=$B769)*(HISTORIAL_HORARIOS!$C$2:$C$201&lt;=$A769)*(HISTORIAL_HORARIOS!$D$2:$D$201&gt;=$A769),0)),INDEX(IF($I769="FIN",PERSONAL!$J$2:$J$80,PERSONAL!$F$2:$F$80),MATCH($B769,PERSONAL!$A$2:$A$80,0)))))</f>
        <v/>
      </c>
      <c r="N769" s="53">
        <f t="array" ref="N769">IFERROR(INDEX(EXCEPCIONES_FECHA!$E$2:$E$201,MATCH(1,(EXCEPCIONES_FECHA!$A$2:$A$201=$A769)*(EXCEPCIONES_FECHA!$B$2:$B$201=$B769),0)),IFERROR(INDEX(EXCEPCIONES_FECHA!$E$2:$E$201,MATCH(1,(EXCEPCIONES_FECHA!$A$2:$A$201=$A769)*(EXCEPCIONES_FECHA!$B$2:$B$201=""),0)),IFERROR(INDEX(IF($I769="FIN",HISTORIAL_HORARIOS!$K$2:$K$201,HISTORIAL_HORARIOS!$G$2:$G$201),MATCH(1,(HISTORIAL_HORARIOS!$A$2:$A$201=$B769)*(HISTORIAL_HORARIOS!$C$2:$C$201&lt;=$A769)*(HISTORIAL_HORARIOS!$D$2:$D$201&gt;=$A769),0)),INDEX(IF($I769="FIN",PERSONAL!$K$2:$K$80,PERSONAL!$G$2:$G$80),MATCH($B769,PERSONAL!$A$2:$A$80,0)))))</f>
        <v/>
      </c>
      <c r="O769" s="53">
        <f t="array" ref="O769">IFERROR(INDEX(EXCEPCIONES_FECHA!$F$2:$F$201,MATCH(1,(EXCEPCIONES_FECHA!$A$2:$A$201=$A769)*(EXCEPCIONES_FECHA!$B$2:$B$201=$B769),0)),IFERROR(INDEX(EXCEPCIONES_FECHA!$F$2:$F$201,MATCH(1,(EXCEPCIONES_FECHA!$A$2:$A$201=$A769)*(EXCEPCIONES_FECHA!$B$2:$B$201=""),0)),IFERROR(INDEX(IF($I769="FIN",HISTORIAL_HORARIOS!$L$2:$L$201,HISTORIAL_HORARIOS!$H$2:$H$201),MATCH(1,(HISTORIAL_HORARIOS!$A$2:$A$201=$B769)*(HISTORIAL_HORARIOS!$C$2:$C$201&lt;=$A769)*(HISTORIAL_HORARIOS!$D$2:$D$201&gt;=$A769),0)),INDEX(IF($I769="FIN",PERSONAL!$L$2:$L$80,PERSONAL!$H$2:$H$80),MATCH($B769,PERSONAL!$A$2:$A$80,0)))))</f>
        <v/>
      </c>
    </row>
    <row r="770" ht="15" customHeight="1" s="58">
      <c r="A770" s="37" t="n"/>
      <c r="B770" s="38" t="n"/>
      <c r="C770" s="39" t="n"/>
      <c r="D770" s="39" t="n"/>
      <c r="E770" s="34">
        <f t="array" ref="E770">IF($B770="","",IFERROR(INDEX(PERSONAL!$B$2:$B$80,MATCH($B770,PERSONAL!$A$2:$A$80,0)),"NO EXISTE"))</f>
        <v/>
      </c>
      <c r="F770" s="52">
        <f t="array" ref="F770">IF($B770="","",IFERROR(INDEX(PERSONAL!$C$2:$C$80,MATCH($B770,PERSONAL!$A$2:$A$80,0)),""))</f>
        <v/>
      </c>
      <c r="G770" s="52">
        <f>IF($A770="","",CHOOSE(WEEKDAY($A770,2),"LUNES","MARTES","MIÉRCOLES","JUEVES","VIERNES","SÁBADO","DOMINGO"))</f>
        <v/>
      </c>
      <c r="H770" s="34">
        <f>IF($A770="","",CHOOSE(MONTH($A770),"ENERO","FEBRERO","MARZO","ABRIL","MAYO","JUNIO","JULIO","AGOSTO","SEPTIEMBRE","OCTUBRE","NOVIEMBRE","DICIEMBRE"))</f>
        <v/>
      </c>
      <c r="I770" s="34">
        <f>IF($A770="","",IF(OR($G770="SÁBADO",$G770="DOMINGO"),"FIN","LV"))</f>
        <v/>
      </c>
      <c r="J770" s="34">
        <f>IF(OR($A770="",$B770=""),"",IF($L770&lt;&gt;"",UPPER($L770),IF($C770="","FALTA",IFERROR(IF($C770&gt;=$O770,"ROJO FUERTE",IF($C770&gt;=$N770,"ROJO",IF($C770&gt;=$M770,"AMARILLO","VERDE"))),"REVISAR"))))</f>
        <v/>
      </c>
      <c r="K770" s="36">
        <f>IF(OR($C770="",$D770=""),"",IF($D770&gt;=$C770,($D770-$C770)*24,(1-$C770+$D770)*24))</f>
        <v/>
      </c>
      <c r="L770" s="34" t="n"/>
      <c r="M770" s="53">
        <f t="array" ref="M770">IFERROR(INDEX(EXCEPCIONES_FECHA!$D$2:$D$201,MATCH(1,(EXCEPCIONES_FECHA!$A$2:$A$201=$A770)*(EXCEPCIONES_FECHA!$B$2:$B$201=$B770),0)),IFERROR(INDEX(EXCEPCIONES_FECHA!$D$2:$D$201,MATCH(1,(EXCEPCIONES_FECHA!$A$2:$A$201=$A770)*(EXCEPCIONES_FECHA!$B$2:$B$201=""),0)),IFERROR(INDEX(IF($I770="FIN",HISTORIAL_HORARIOS!$J$2:$J$201,HISTORIAL_HORARIOS!$F$2:$F$201),MATCH(1,(HISTORIAL_HORARIOS!$A$2:$A$201=$B770)*(HISTORIAL_HORARIOS!$C$2:$C$201&lt;=$A770)*(HISTORIAL_HORARIOS!$D$2:$D$201&gt;=$A770),0)),INDEX(IF($I770="FIN",PERSONAL!$J$2:$J$80,PERSONAL!$F$2:$F$80),MATCH($B770,PERSONAL!$A$2:$A$80,0)))))</f>
        <v/>
      </c>
      <c r="N770" s="53">
        <f t="array" ref="N770">IFERROR(INDEX(EXCEPCIONES_FECHA!$E$2:$E$201,MATCH(1,(EXCEPCIONES_FECHA!$A$2:$A$201=$A770)*(EXCEPCIONES_FECHA!$B$2:$B$201=$B770),0)),IFERROR(INDEX(EXCEPCIONES_FECHA!$E$2:$E$201,MATCH(1,(EXCEPCIONES_FECHA!$A$2:$A$201=$A770)*(EXCEPCIONES_FECHA!$B$2:$B$201=""),0)),IFERROR(INDEX(IF($I770="FIN",HISTORIAL_HORARIOS!$K$2:$K$201,HISTORIAL_HORARIOS!$G$2:$G$201),MATCH(1,(HISTORIAL_HORARIOS!$A$2:$A$201=$B770)*(HISTORIAL_HORARIOS!$C$2:$C$201&lt;=$A770)*(HISTORIAL_HORARIOS!$D$2:$D$201&gt;=$A770),0)),INDEX(IF($I770="FIN",PERSONAL!$K$2:$K$80,PERSONAL!$G$2:$G$80),MATCH($B770,PERSONAL!$A$2:$A$80,0)))))</f>
        <v/>
      </c>
      <c r="O770" s="53">
        <f t="array" ref="O770">IFERROR(INDEX(EXCEPCIONES_FECHA!$F$2:$F$201,MATCH(1,(EXCEPCIONES_FECHA!$A$2:$A$201=$A770)*(EXCEPCIONES_FECHA!$B$2:$B$201=$B770),0)),IFERROR(INDEX(EXCEPCIONES_FECHA!$F$2:$F$201,MATCH(1,(EXCEPCIONES_FECHA!$A$2:$A$201=$A770)*(EXCEPCIONES_FECHA!$B$2:$B$201=""),0)),IFERROR(INDEX(IF($I770="FIN",HISTORIAL_HORARIOS!$L$2:$L$201,HISTORIAL_HORARIOS!$H$2:$H$201),MATCH(1,(HISTORIAL_HORARIOS!$A$2:$A$201=$B770)*(HISTORIAL_HORARIOS!$C$2:$C$201&lt;=$A770)*(HISTORIAL_HORARIOS!$D$2:$D$201&gt;=$A770),0)),INDEX(IF($I770="FIN",PERSONAL!$L$2:$L$80,PERSONAL!$H$2:$H$80),MATCH($B770,PERSONAL!$A$2:$A$80,0)))))</f>
        <v/>
      </c>
    </row>
    <row r="771" ht="15" customHeight="1" s="58">
      <c r="A771" s="37" t="n"/>
      <c r="B771" s="38" t="n"/>
      <c r="C771" s="39" t="n"/>
      <c r="D771" s="39" t="n"/>
      <c r="E771" s="34">
        <f t="array" ref="E771">IF($B771="","",IFERROR(INDEX(PERSONAL!$B$2:$B$80,MATCH($B771,PERSONAL!$A$2:$A$80,0)),"NO EXISTE"))</f>
        <v/>
      </c>
      <c r="F771" s="52">
        <f t="array" ref="F771">IF($B771="","",IFERROR(INDEX(PERSONAL!$C$2:$C$80,MATCH($B771,PERSONAL!$A$2:$A$80,0)),""))</f>
        <v/>
      </c>
      <c r="G771" s="52">
        <f>IF($A771="","",CHOOSE(WEEKDAY($A771,2),"LUNES","MARTES","MIÉRCOLES","JUEVES","VIERNES","SÁBADO","DOMINGO"))</f>
        <v/>
      </c>
      <c r="H771" s="34">
        <f>IF($A771="","",CHOOSE(MONTH($A771),"ENERO","FEBRERO","MARZO","ABRIL","MAYO","JUNIO","JULIO","AGOSTO","SEPTIEMBRE","OCTUBRE","NOVIEMBRE","DICIEMBRE"))</f>
        <v/>
      </c>
      <c r="I771" s="34">
        <f>IF($A771="","",IF(OR($G771="SÁBADO",$G771="DOMINGO"),"FIN","LV"))</f>
        <v/>
      </c>
      <c r="J771" s="34">
        <f>IF(OR($A771="",$B771=""),"",IF($L771&lt;&gt;"",UPPER($L771),IF($C771="","FALTA",IFERROR(IF($C771&gt;=$O771,"ROJO FUERTE",IF($C771&gt;=$N771,"ROJO",IF($C771&gt;=$M771,"AMARILLO","VERDE"))),"REVISAR"))))</f>
        <v/>
      </c>
      <c r="K771" s="36">
        <f>IF(OR($C771="",$D771=""),"",IF($D771&gt;=$C771,($D771-$C771)*24,(1-$C771+$D771)*24))</f>
        <v/>
      </c>
      <c r="L771" s="34" t="n"/>
      <c r="M771" s="53">
        <f t="array" ref="M771">IFERROR(INDEX(EXCEPCIONES_FECHA!$D$2:$D$201,MATCH(1,(EXCEPCIONES_FECHA!$A$2:$A$201=$A771)*(EXCEPCIONES_FECHA!$B$2:$B$201=$B771),0)),IFERROR(INDEX(EXCEPCIONES_FECHA!$D$2:$D$201,MATCH(1,(EXCEPCIONES_FECHA!$A$2:$A$201=$A771)*(EXCEPCIONES_FECHA!$B$2:$B$201=""),0)),IFERROR(INDEX(IF($I771="FIN",HISTORIAL_HORARIOS!$J$2:$J$201,HISTORIAL_HORARIOS!$F$2:$F$201),MATCH(1,(HISTORIAL_HORARIOS!$A$2:$A$201=$B771)*(HISTORIAL_HORARIOS!$C$2:$C$201&lt;=$A771)*(HISTORIAL_HORARIOS!$D$2:$D$201&gt;=$A771),0)),INDEX(IF($I771="FIN",PERSONAL!$J$2:$J$80,PERSONAL!$F$2:$F$80),MATCH($B771,PERSONAL!$A$2:$A$80,0)))))</f>
        <v/>
      </c>
      <c r="N771" s="53">
        <f t="array" ref="N771">IFERROR(INDEX(EXCEPCIONES_FECHA!$E$2:$E$201,MATCH(1,(EXCEPCIONES_FECHA!$A$2:$A$201=$A771)*(EXCEPCIONES_FECHA!$B$2:$B$201=$B771),0)),IFERROR(INDEX(EXCEPCIONES_FECHA!$E$2:$E$201,MATCH(1,(EXCEPCIONES_FECHA!$A$2:$A$201=$A771)*(EXCEPCIONES_FECHA!$B$2:$B$201=""),0)),IFERROR(INDEX(IF($I771="FIN",HISTORIAL_HORARIOS!$K$2:$K$201,HISTORIAL_HORARIOS!$G$2:$G$201),MATCH(1,(HISTORIAL_HORARIOS!$A$2:$A$201=$B771)*(HISTORIAL_HORARIOS!$C$2:$C$201&lt;=$A771)*(HISTORIAL_HORARIOS!$D$2:$D$201&gt;=$A771),0)),INDEX(IF($I771="FIN",PERSONAL!$K$2:$K$80,PERSONAL!$G$2:$G$80),MATCH($B771,PERSONAL!$A$2:$A$80,0)))))</f>
        <v/>
      </c>
      <c r="O771" s="53">
        <f t="array" ref="O771">IFERROR(INDEX(EXCEPCIONES_FECHA!$F$2:$F$201,MATCH(1,(EXCEPCIONES_FECHA!$A$2:$A$201=$A771)*(EXCEPCIONES_FECHA!$B$2:$B$201=$B771),0)),IFERROR(INDEX(EXCEPCIONES_FECHA!$F$2:$F$201,MATCH(1,(EXCEPCIONES_FECHA!$A$2:$A$201=$A771)*(EXCEPCIONES_FECHA!$B$2:$B$201=""),0)),IFERROR(INDEX(IF($I771="FIN",HISTORIAL_HORARIOS!$L$2:$L$201,HISTORIAL_HORARIOS!$H$2:$H$201),MATCH(1,(HISTORIAL_HORARIOS!$A$2:$A$201=$B771)*(HISTORIAL_HORARIOS!$C$2:$C$201&lt;=$A771)*(HISTORIAL_HORARIOS!$D$2:$D$201&gt;=$A771),0)),INDEX(IF($I771="FIN",PERSONAL!$L$2:$L$80,PERSONAL!$H$2:$H$80),MATCH($B771,PERSONAL!$A$2:$A$80,0)))))</f>
        <v/>
      </c>
    </row>
    <row r="772" ht="15" customHeight="1" s="58">
      <c r="A772" s="37" t="n"/>
      <c r="B772" s="38" t="n"/>
      <c r="C772" s="39" t="n"/>
      <c r="D772" s="39" t="n"/>
      <c r="E772" s="34">
        <f t="array" ref="E772">IF($B772="","",IFERROR(INDEX(PERSONAL!$B$2:$B$80,MATCH($B772,PERSONAL!$A$2:$A$80,0)),"NO EXISTE"))</f>
        <v/>
      </c>
      <c r="F772" s="52">
        <f t="array" ref="F772">IF($B772="","",IFERROR(INDEX(PERSONAL!$C$2:$C$80,MATCH($B772,PERSONAL!$A$2:$A$80,0)),""))</f>
        <v/>
      </c>
      <c r="G772" s="52">
        <f>IF($A772="","",CHOOSE(WEEKDAY($A772,2),"LUNES","MARTES","MIÉRCOLES","JUEVES","VIERNES","SÁBADO","DOMINGO"))</f>
        <v/>
      </c>
      <c r="H772" s="34">
        <f>IF($A772="","",CHOOSE(MONTH($A772),"ENERO","FEBRERO","MARZO","ABRIL","MAYO","JUNIO","JULIO","AGOSTO","SEPTIEMBRE","OCTUBRE","NOVIEMBRE","DICIEMBRE"))</f>
        <v/>
      </c>
      <c r="I772" s="34">
        <f>IF($A772="","",IF(OR($G772="SÁBADO",$G772="DOMINGO"),"FIN","LV"))</f>
        <v/>
      </c>
      <c r="J772" s="34">
        <f>IF(OR($A772="",$B772=""),"",IF($L772&lt;&gt;"",UPPER($L772),IF($C772="","FALTA",IFERROR(IF($C772&gt;=$O772,"ROJO FUERTE",IF($C772&gt;=$N772,"ROJO",IF($C772&gt;=$M772,"AMARILLO","VERDE"))),"REVISAR"))))</f>
        <v/>
      </c>
      <c r="K772" s="36">
        <f>IF(OR($C772="",$D772=""),"",IF($D772&gt;=$C772,($D772-$C772)*24,(1-$C772+$D772)*24))</f>
        <v/>
      </c>
      <c r="L772" s="34" t="n"/>
      <c r="M772" s="53">
        <f t="array" ref="M772">IFERROR(INDEX(EXCEPCIONES_FECHA!$D$2:$D$201,MATCH(1,(EXCEPCIONES_FECHA!$A$2:$A$201=$A772)*(EXCEPCIONES_FECHA!$B$2:$B$201=$B772),0)),IFERROR(INDEX(EXCEPCIONES_FECHA!$D$2:$D$201,MATCH(1,(EXCEPCIONES_FECHA!$A$2:$A$201=$A772)*(EXCEPCIONES_FECHA!$B$2:$B$201=""),0)),IFERROR(INDEX(IF($I772="FIN",HISTORIAL_HORARIOS!$J$2:$J$201,HISTORIAL_HORARIOS!$F$2:$F$201),MATCH(1,(HISTORIAL_HORARIOS!$A$2:$A$201=$B772)*(HISTORIAL_HORARIOS!$C$2:$C$201&lt;=$A772)*(HISTORIAL_HORARIOS!$D$2:$D$201&gt;=$A772),0)),INDEX(IF($I772="FIN",PERSONAL!$J$2:$J$80,PERSONAL!$F$2:$F$80),MATCH($B772,PERSONAL!$A$2:$A$80,0)))))</f>
        <v/>
      </c>
      <c r="N772" s="53">
        <f t="array" ref="N772">IFERROR(INDEX(EXCEPCIONES_FECHA!$E$2:$E$201,MATCH(1,(EXCEPCIONES_FECHA!$A$2:$A$201=$A772)*(EXCEPCIONES_FECHA!$B$2:$B$201=$B772),0)),IFERROR(INDEX(EXCEPCIONES_FECHA!$E$2:$E$201,MATCH(1,(EXCEPCIONES_FECHA!$A$2:$A$201=$A772)*(EXCEPCIONES_FECHA!$B$2:$B$201=""),0)),IFERROR(INDEX(IF($I772="FIN",HISTORIAL_HORARIOS!$K$2:$K$201,HISTORIAL_HORARIOS!$G$2:$G$201),MATCH(1,(HISTORIAL_HORARIOS!$A$2:$A$201=$B772)*(HISTORIAL_HORARIOS!$C$2:$C$201&lt;=$A772)*(HISTORIAL_HORARIOS!$D$2:$D$201&gt;=$A772),0)),INDEX(IF($I772="FIN",PERSONAL!$K$2:$K$80,PERSONAL!$G$2:$G$80),MATCH($B772,PERSONAL!$A$2:$A$80,0)))))</f>
        <v/>
      </c>
      <c r="O772" s="53">
        <f t="array" ref="O772">IFERROR(INDEX(EXCEPCIONES_FECHA!$F$2:$F$201,MATCH(1,(EXCEPCIONES_FECHA!$A$2:$A$201=$A772)*(EXCEPCIONES_FECHA!$B$2:$B$201=$B772),0)),IFERROR(INDEX(EXCEPCIONES_FECHA!$F$2:$F$201,MATCH(1,(EXCEPCIONES_FECHA!$A$2:$A$201=$A772)*(EXCEPCIONES_FECHA!$B$2:$B$201=""),0)),IFERROR(INDEX(IF($I772="FIN",HISTORIAL_HORARIOS!$L$2:$L$201,HISTORIAL_HORARIOS!$H$2:$H$201),MATCH(1,(HISTORIAL_HORARIOS!$A$2:$A$201=$B772)*(HISTORIAL_HORARIOS!$C$2:$C$201&lt;=$A772)*(HISTORIAL_HORARIOS!$D$2:$D$201&gt;=$A772),0)),INDEX(IF($I772="FIN",PERSONAL!$L$2:$L$80,PERSONAL!$H$2:$H$80),MATCH($B772,PERSONAL!$A$2:$A$80,0)))))</f>
        <v/>
      </c>
    </row>
    <row r="773" ht="15" customHeight="1" s="58">
      <c r="A773" s="37" t="n"/>
      <c r="B773" s="38" t="n"/>
      <c r="C773" s="39" t="n"/>
      <c r="D773" s="39" t="n"/>
      <c r="E773" s="34">
        <f t="array" ref="E773">IF($B773="","",IFERROR(INDEX(PERSONAL!$B$2:$B$80,MATCH($B773,PERSONAL!$A$2:$A$80,0)),"NO EXISTE"))</f>
        <v/>
      </c>
      <c r="F773" s="52">
        <f t="array" ref="F773">IF($B773="","",IFERROR(INDEX(PERSONAL!$C$2:$C$80,MATCH($B773,PERSONAL!$A$2:$A$80,0)),""))</f>
        <v/>
      </c>
      <c r="G773" s="52">
        <f>IF($A773="","",CHOOSE(WEEKDAY($A773,2),"LUNES","MARTES","MIÉRCOLES","JUEVES","VIERNES","SÁBADO","DOMINGO"))</f>
        <v/>
      </c>
      <c r="H773" s="34">
        <f>IF($A773="","",CHOOSE(MONTH($A773),"ENERO","FEBRERO","MARZO","ABRIL","MAYO","JUNIO","JULIO","AGOSTO","SEPTIEMBRE","OCTUBRE","NOVIEMBRE","DICIEMBRE"))</f>
        <v/>
      </c>
      <c r="I773" s="34">
        <f>IF($A773="","",IF(OR($G773="SÁBADO",$G773="DOMINGO"),"FIN","LV"))</f>
        <v/>
      </c>
      <c r="J773" s="34">
        <f>IF(OR($A773="",$B773=""),"",IF($L773&lt;&gt;"",UPPER($L773),IF($C773="","FALTA",IFERROR(IF($C773&gt;=$O773,"ROJO FUERTE",IF($C773&gt;=$N773,"ROJO",IF($C773&gt;=$M773,"AMARILLO","VERDE"))),"REVISAR"))))</f>
        <v/>
      </c>
      <c r="K773" s="36">
        <f>IF(OR($C773="",$D773=""),"",IF($D773&gt;=$C773,($D773-$C773)*24,(1-$C773+$D773)*24))</f>
        <v/>
      </c>
      <c r="L773" s="34" t="n"/>
      <c r="M773" s="53">
        <f t="array" ref="M773">IFERROR(INDEX(EXCEPCIONES_FECHA!$D$2:$D$201,MATCH(1,(EXCEPCIONES_FECHA!$A$2:$A$201=$A773)*(EXCEPCIONES_FECHA!$B$2:$B$201=$B773),0)),IFERROR(INDEX(EXCEPCIONES_FECHA!$D$2:$D$201,MATCH(1,(EXCEPCIONES_FECHA!$A$2:$A$201=$A773)*(EXCEPCIONES_FECHA!$B$2:$B$201=""),0)),IFERROR(INDEX(IF($I773="FIN",HISTORIAL_HORARIOS!$J$2:$J$201,HISTORIAL_HORARIOS!$F$2:$F$201),MATCH(1,(HISTORIAL_HORARIOS!$A$2:$A$201=$B773)*(HISTORIAL_HORARIOS!$C$2:$C$201&lt;=$A773)*(HISTORIAL_HORARIOS!$D$2:$D$201&gt;=$A773),0)),INDEX(IF($I773="FIN",PERSONAL!$J$2:$J$80,PERSONAL!$F$2:$F$80),MATCH($B773,PERSONAL!$A$2:$A$80,0)))))</f>
        <v/>
      </c>
      <c r="N773" s="53">
        <f t="array" ref="N773">IFERROR(INDEX(EXCEPCIONES_FECHA!$E$2:$E$201,MATCH(1,(EXCEPCIONES_FECHA!$A$2:$A$201=$A773)*(EXCEPCIONES_FECHA!$B$2:$B$201=$B773),0)),IFERROR(INDEX(EXCEPCIONES_FECHA!$E$2:$E$201,MATCH(1,(EXCEPCIONES_FECHA!$A$2:$A$201=$A773)*(EXCEPCIONES_FECHA!$B$2:$B$201=""),0)),IFERROR(INDEX(IF($I773="FIN",HISTORIAL_HORARIOS!$K$2:$K$201,HISTORIAL_HORARIOS!$G$2:$G$201),MATCH(1,(HISTORIAL_HORARIOS!$A$2:$A$201=$B773)*(HISTORIAL_HORARIOS!$C$2:$C$201&lt;=$A773)*(HISTORIAL_HORARIOS!$D$2:$D$201&gt;=$A773),0)),INDEX(IF($I773="FIN",PERSONAL!$K$2:$K$80,PERSONAL!$G$2:$G$80),MATCH($B773,PERSONAL!$A$2:$A$80,0)))))</f>
        <v/>
      </c>
      <c r="O773" s="53">
        <f t="array" ref="O773">IFERROR(INDEX(EXCEPCIONES_FECHA!$F$2:$F$201,MATCH(1,(EXCEPCIONES_FECHA!$A$2:$A$201=$A773)*(EXCEPCIONES_FECHA!$B$2:$B$201=$B773),0)),IFERROR(INDEX(EXCEPCIONES_FECHA!$F$2:$F$201,MATCH(1,(EXCEPCIONES_FECHA!$A$2:$A$201=$A773)*(EXCEPCIONES_FECHA!$B$2:$B$201=""),0)),IFERROR(INDEX(IF($I773="FIN",HISTORIAL_HORARIOS!$L$2:$L$201,HISTORIAL_HORARIOS!$H$2:$H$201),MATCH(1,(HISTORIAL_HORARIOS!$A$2:$A$201=$B773)*(HISTORIAL_HORARIOS!$C$2:$C$201&lt;=$A773)*(HISTORIAL_HORARIOS!$D$2:$D$201&gt;=$A773),0)),INDEX(IF($I773="FIN",PERSONAL!$L$2:$L$80,PERSONAL!$H$2:$H$80),MATCH($B773,PERSONAL!$A$2:$A$80,0)))))</f>
        <v/>
      </c>
    </row>
    <row r="774" ht="15" customHeight="1" s="58">
      <c r="A774" s="37" t="n"/>
      <c r="B774" s="38" t="n"/>
      <c r="C774" s="39" t="n"/>
      <c r="D774" s="39" t="n"/>
      <c r="E774" s="34">
        <f t="array" ref="E774">IF($B774="","",IFERROR(INDEX(PERSONAL!$B$2:$B$80,MATCH($B774,PERSONAL!$A$2:$A$80,0)),"NO EXISTE"))</f>
        <v/>
      </c>
      <c r="F774" s="52">
        <f t="array" ref="F774">IF($B774="","",IFERROR(INDEX(PERSONAL!$C$2:$C$80,MATCH($B774,PERSONAL!$A$2:$A$80,0)),""))</f>
        <v/>
      </c>
      <c r="G774" s="52">
        <f>IF($A774="","",CHOOSE(WEEKDAY($A774,2),"LUNES","MARTES","MIÉRCOLES","JUEVES","VIERNES","SÁBADO","DOMINGO"))</f>
        <v/>
      </c>
      <c r="H774" s="34">
        <f>IF($A774="","",CHOOSE(MONTH($A774),"ENERO","FEBRERO","MARZO","ABRIL","MAYO","JUNIO","JULIO","AGOSTO","SEPTIEMBRE","OCTUBRE","NOVIEMBRE","DICIEMBRE"))</f>
        <v/>
      </c>
      <c r="I774" s="34">
        <f>IF($A774="","",IF(OR($G774="SÁBADO",$G774="DOMINGO"),"FIN","LV"))</f>
        <v/>
      </c>
      <c r="J774" s="34">
        <f>IF(OR($A774="",$B774=""),"",IF($L774&lt;&gt;"",UPPER($L774),IF($C774="","FALTA",IFERROR(IF($C774&gt;=$O774,"ROJO FUERTE",IF($C774&gt;=$N774,"ROJO",IF($C774&gt;=$M774,"AMARILLO","VERDE"))),"REVISAR"))))</f>
        <v/>
      </c>
      <c r="K774" s="36">
        <f>IF(OR($C774="",$D774=""),"",IF($D774&gt;=$C774,($D774-$C774)*24,(1-$C774+$D774)*24))</f>
        <v/>
      </c>
      <c r="L774" s="34" t="n"/>
      <c r="M774" s="53">
        <f t="array" ref="M774">IFERROR(INDEX(EXCEPCIONES_FECHA!$D$2:$D$201,MATCH(1,(EXCEPCIONES_FECHA!$A$2:$A$201=$A774)*(EXCEPCIONES_FECHA!$B$2:$B$201=$B774),0)),IFERROR(INDEX(EXCEPCIONES_FECHA!$D$2:$D$201,MATCH(1,(EXCEPCIONES_FECHA!$A$2:$A$201=$A774)*(EXCEPCIONES_FECHA!$B$2:$B$201=""),0)),IFERROR(INDEX(IF($I774="FIN",HISTORIAL_HORARIOS!$J$2:$J$201,HISTORIAL_HORARIOS!$F$2:$F$201),MATCH(1,(HISTORIAL_HORARIOS!$A$2:$A$201=$B774)*(HISTORIAL_HORARIOS!$C$2:$C$201&lt;=$A774)*(HISTORIAL_HORARIOS!$D$2:$D$201&gt;=$A774),0)),INDEX(IF($I774="FIN",PERSONAL!$J$2:$J$80,PERSONAL!$F$2:$F$80),MATCH($B774,PERSONAL!$A$2:$A$80,0)))))</f>
        <v/>
      </c>
      <c r="N774" s="53">
        <f t="array" ref="N774">IFERROR(INDEX(EXCEPCIONES_FECHA!$E$2:$E$201,MATCH(1,(EXCEPCIONES_FECHA!$A$2:$A$201=$A774)*(EXCEPCIONES_FECHA!$B$2:$B$201=$B774),0)),IFERROR(INDEX(EXCEPCIONES_FECHA!$E$2:$E$201,MATCH(1,(EXCEPCIONES_FECHA!$A$2:$A$201=$A774)*(EXCEPCIONES_FECHA!$B$2:$B$201=""),0)),IFERROR(INDEX(IF($I774="FIN",HISTORIAL_HORARIOS!$K$2:$K$201,HISTORIAL_HORARIOS!$G$2:$G$201),MATCH(1,(HISTORIAL_HORARIOS!$A$2:$A$201=$B774)*(HISTORIAL_HORARIOS!$C$2:$C$201&lt;=$A774)*(HISTORIAL_HORARIOS!$D$2:$D$201&gt;=$A774),0)),INDEX(IF($I774="FIN",PERSONAL!$K$2:$K$80,PERSONAL!$G$2:$G$80),MATCH($B774,PERSONAL!$A$2:$A$80,0)))))</f>
        <v/>
      </c>
      <c r="O774" s="53">
        <f t="array" ref="O774">IFERROR(INDEX(EXCEPCIONES_FECHA!$F$2:$F$201,MATCH(1,(EXCEPCIONES_FECHA!$A$2:$A$201=$A774)*(EXCEPCIONES_FECHA!$B$2:$B$201=$B774),0)),IFERROR(INDEX(EXCEPCIONES_FECHA!$F$2:$F$201,MATCH(1,(EXCEPCIONES_FECHA!$A$2:$A$201=$A774)*(EXCEPCIONES_FECHA!$B$2:$B$201=""),0)),IFERROR(INDEX(IF($I774="FIN",HISTORIAL_HORARIOS!$L$2:$L$201,HISTORIAL_HORARIOS!$H$2:$H$201),MATCH(1,(HISTORIAL_HORARIOS!$A$2:$A$201=$B774)*(HISTORIAL_HORARIOS!$C$2:$C$201&lt;=$A774)*(HISTORIAL_HORARIOS!$D$2:$D$201&gt;=$A774),0)),INDEX(IF($I774="FIN",PERSONAL!$L$2:$L$80,PERSONAL!$H$2:$H$80),MATCH($B774,PERSONAL!$A$2:$A$80,0)))))</f>
        <v/>
      </c>
    </row>
    <row r="775" ht="15" customHeight="1" s="58">
      <c r="A775" s="37" t="n"/>
      <c r="B775" s="38" t="n"/>
      <c r="C775" s="39" t="n"/>
      <c r="D775" s="39" t="n"/>
      <c r="E775" s="34">
        <f t="array" ref="E775">IF($B775="","",IFERROR(INDEX(PERSONAL!$B$2:$B$80,MATCH($B775,PERSONAL!$A$2:$A$80,0)),"NO EXISTE"))</f>
        <v/>
      </c>
      <c r="F775" s="52">
        <f t="array" ref="F775">IF($B775="","",IFERROR(INDEX(PERSONAL!$C$2:$C$80,MATCH($B775,PERSONAL!$A$2:$A$80,0)),""))</f>
        <v/>
      </c>
      <c r="G775" s="52">
        <f>IF($A775="","",CHOOSE(WEEKDAY($A775,2),"LUNES","MARTES","MIÉRCOLES","JUEVES","VIERNES","SÁBADO","DOMINGO"))</f>
        <v/>
      </c>
      <c r="H775" s="34">
        <f>IF($A775="","",CHOOSE(MONTH($A775),"ENERO","FEBRERO","MARZO","ABRIL","MAYO","JUNIO","JULIO","AGOSTO","SEPTIEMBRE","OCTUBRE","NOVIEMBRE","DICIEMBRE"))</f>
        <v/>
      </c>
      <c r="I775" s="34">
        <f>IF($A775="","",IF(OR($G775="SÁBADO",$G775="DOMINGO"),"FIN","LV"))</f>
        <v/>
      </c>
      <c r="J775" s="34">
        <f>IF(OR($A775="",$B775=""),"",IF($L775&lt;&gt;"",UPPER($L775),IF($C775="","FALTA",IFERROR(IF($C775&gt;=$O775,"ROJO FUERTE",IF($C775&gt;=$N775,"ROJO",IF($C775&gt;=$M775,"AMARILLO","VERDE"))),"REVISAR"))))</f>
        <v/>
      </c>
      <c r="K775" s="36">
        <f>IF(OR($C775="",$D775=""),"",IF($D775&gt;=$C775,($D775-$C775)*24,(1-$C775+$D775)*24))</f>
        <v/>
      </c>
      <c r="L775" s="34" t="n"/>
      <c r="M775" s="53">
        <f t="array" ref="M775">IFERROR(INDEX(EXCEPCIONES_FECHA!$D$2:$D$201,MATCH(1,(EXCEPCIONES_FECHA!$A$2:$A$201=$A775)*(EXCEPCIONES_FECHA!$B$2:$B$201=$B775),0)),IFERROR(INDEX(EXCEPCIONES_FECHA!$D$2:$D$201,MATCH(1,(EXCEPCIONES_FECHA!$A$2:$A$201=$A775)*(EXCEPCIONES_FECHA!$B$2:$B$201=""),0)),IFERROR(INDEX(IF($I775="FIN",HISTORIAL_HORARIOS!$J$2:$J$201,HISTORIAL_HORARIOS!$F$2:$F$201),MATCH(1,(HISTORIAL_HORARIOS!$A$2:$A$201=$B775)*(HISTORIAL_HORARIOS!$C$2:$C$201&lt;=$A775)*(HISTORIAL_HORARIOS!$D$2:$D$201&gt;=$A775),0)),INDEX(IF($I775="FIN",PERSONAL!$J$2:$J$80,PERSONAL!$F$2:$F$80),MATCH($B775,PERSONAL!$A$2:$A$80,0)))))</f>
        <v/>
      </c>
      <c r="N775" s="53">
        <f t="array" ref="N775">IFERROR(INDEX(EXCEPCIONES_FECHA!$E$2:$E$201,MATCH(1,(EXCEPCIONES_FECHA!$A$2:$A$201=$A775)*(EXCEPCIONES_FECHA!$B$2:$B$201=$B775),0)),IFERROR(INDEX(EXCEPCIONES_FECHA!$E$2:$E$201,MATCH(1,(EXCEPCIONES_FECHA!$A$2:$A$201=$A775)*(EXCEPCIONES_FECHA!$B$2:$B$201=""),0)),IFERROR(INDEX(IF($I775="FIN",HISTORIAL_HORARIOS!$K$2:$K$201,HISTORIAL_HORARIOS!$G$2:$G$201),MATCH(1,(HISTORIAL_HORARIOS!$A$2:$A$201=$B775)*(HISTORIAL_HORARIOS!$C$2:$C$201&lt;=$A775)*(HISTORIAL_HORARIOS!$D$2:$D$201&gt;=$A775),0)),INDEX(IF($I775="FIN",PERSONAL!$K$2:$K$80,PERSONAL!$G$2:$G$80),MATCH($B775,PERSONAL!$A$2:$A$80,0)))))</f>
        <v/>
      </c>
      <c r="O775" s="53">
        <f t="array" ref="O775">IFERROR(INDEX(EXCEPCIONES_FECHA!$F$2:$F$201,MATCH(1,(EXCEPCIONES_FECHA!$A$2:$A$201=$A775)*(EXCEPCIONES_FECHA!$B$2:$B$201=$B775),0)),IFERROR(INDEX(EXCEPCIONES_FECHA!$F$2:$F$201,MATCH(1,(EXCEPCIONES_FECHA!$A$2:$A$201=$A775)*(EXCEPCIONES_FECHA!$B$2:$B$201=""),0)),IFERROR(INDEX(IF($I775="FIN",HISTORIAL_HORARIOS!$L$2:$L$201,HISTORIAL_HORARIOS!$H$2:$H$201),MATCH(1,(HISTORIAL_HORARIOS!$A$2:$A$201=$B775)*(HISTORIAL_HORARIOS!$C$2:$C$201&lt;=$A775)*(HISTORIAL_HORARIOS!$D$2:$D$201&gt;=$A775),0)),INDEX(IF($I775="FIN",PERSONAL!$L$2:$L$80,PERSONAL!$H$2:$H$80),MATCH($B775,PERSONAL!$A$2:$A$80,0)))))</f>
        <v/>
      </c>
    </row>
    <row r="776" ht="15" customHeight="1" s="58">
      <c r="A776" s="37" t="n"/>
      <c r="B776" s="38" t="n"/>
      <c r="C776" s="39" t="n"/>
      <c r="D776" s="39" t="n"/>
      <c r="E776" s="34">
        <f t="array" ref="E776">IF($B776="","",IFERROR(INDEX(PERSONAL!$B$2:$B$80,MATCH($B776,PERSONAL!$A$2:$A$80,0)),"NO EXISTE"))</f>
        <v/>
      </c>
      <c r="F776" s="52">
        <f t="array" ref="F776">IF($B776="","",IFERROR(INDEX(PERSONAL!$C$2:$C$80,MATCH($B776,PERSONAL!$A$2:$A$80,0)),""))</f>
        <v/>
      </c>
      <c r="G776" s="52">
        <f>IF($A776="","",CHOOSE(WEEKDAY($A776,2),"LUNES","MARTES","MIÉRCOLES","JUEVES","VIERNES","SÁBADO","DOMINGO"))</f>
        <v/>
      </c>
      <c r="H776" s="34">
        <f>IF($A776="","",CHOOSE(MONTH($A776),"ENERO","FEBRERO","MARZO","ABRIL","MAYO","JUNIO","JULIO","AGOSTO","SEPTIEMBRE","OCTUBRE","NOVIEMBRE","DICIEMBRE"))</f>
        <v/>
      </c>
      <c r="I776" s="34">
        <f>IF($A776="","",IF(OR($G776="SÁBADO",$G776="DOMINGO"),"FIN","LV"))</f>
        <v/>
      </c>
      <c r="J776" s="34">
        <f>IF(OR($A776="",$B776=""),"",IF($L776&lt;&gt;"",UPPER($L776),IF($C776="","FALTA",IFERROR(IF($C776&gt;=$O776,"ROJO FUERTE",IF($C776&gt;=$N776,"ROJO",IF($C776&gt;=$M776,"AMARILLO","VERDE"))),"REVISAR"))))</f>
        <v/>
      </c>
      <c r="K776" s="36">
        <f>IF(OR($C776="",$D776=""),"",IF($D776&gt;=$C776,($D776-$C776)*24,(1-$C776+$D776)*24))</f>
        <v/>
      </c>
      <c r="L776" s="34" t="n"/>
      <c r="M776" s="53">
        <f t="array" ref="M776">IFERROR(INDEX(EXCEPCIONES_FECHA!$D$2:$D$201,MATCH(1,(EXCEPCIONES_FECHA!$A$2:$A$201=$A776)*(EXCEPCIONES_FECHA!$B$2:$B$201=$B776),0)),IFERROR(INDEX(EXCEPCIONES_FECHA!$D$2:$D$201,MATCH(1,(EXCEPCIONES_FECHA!$A$2:$A$201=$A776)*(EXCEPCIONES_FECHA!$B$2:$B$201=""),0)),IFERROR(INDEX(IF($I776="FIN",HISTORIAL_HORARIOS!$J$2:$J$201,HISTORIAL_HORARIOS!$F$2:$F$201),MATCH(1,(HISTORIAL_HORARIOS!$A$2:$A$201=$B776)*(HISTORIAL_HORARIOS!$C$2:$C$201&lt;=$A776)*(HISTORIAL_HORARIOS!$D$2:$D$201&gt;=$A776),0)),INDEX(IF($I776="FIN",PERSONAL!$J$2:$J$80,PERSONAL!$F$2:$F$80),MATCH($B776,PERSONAL!$A$2:$A$80,0)))))</f>
        <v/>
      </c>
      <c r="N776" s="53">
        <f t="array" ref="N776">IFERROR(INDEX(EXCEPCIONES_FECHA!$E$2:$E$201,MATCH(1,(EXCEPCIONES_FECHA!$A$2:$A$201=$A776)*(EXCEPCIONES_FECHA!$B$2:$B$201=$B776),0)),IFERROR(INDEX(EXCEPCIONES_FECHA!$E$2:$E$201,MATCH(1,(EXCEPCIONES_FECHA!$A$2:$A$201=$A776)*(EXCEPCIONES_FECHA!$B$2:$B$201=""),0)),IFERROR(INDEX(IF($I776="FIN",HISTORIAL_HORARIOS!$K$2:$K$201,HISTORIAL_HORARIOS!$G$2:$G$201),MATCH(1,(HISTORIAL_HORARIOS!$A$2:$A$201=$B776)*(HISTORIAL_HORARIOS!$C$2:$C$201&lt;=$A776)*(HISTORIAL_HORARIOS!$D$2:$D$201&gt;=$A776),0)),INDEX(IF($I776="FIN",PERSONAL!$K$2:$K$80,PERSONAL!$G$2:$G$80),MATCH($B776,PERSONAL!$A$2:$A$80,0)))))</f>
        <v/>
      </c>
      <c r="O776" s="53">
        <f t="array" ref="O776">IFERROR(INDEX(EXCEPCIONES_FECHA!$F$2:$F$201,MATCH(1,(EXCEPCIONES_FECHA!$A$2:$A$201=$A776)*(EXCEPCIONES_FECHA!$B$2:$B$201=$B776),0)),IFERROR(INDEX(EXCEPCIONES_FECHA!$F$2:$F$201,MATCH(1,(EXCEPCIONES_FECHA!$A$2:$A$201=$A776)*(EXCEPCIONES_FECHA!$B$2:$B$201=""),0)),IFERROR(INDEX(IF($I776="FIN",HISTORIAL_HORARIOS!$L$2:$L$201,HISTORIAL_HORARIOS!$H$2:$H$201),MATCH(1,(HISTORIAL_HORARIOS!$A$2:$A$201=$B776)*(HISTORIAL_HORARIOS!$C$2:$C$201&lt;=$A776)*(HISTORIAL_HORARIOS!$D$2:$D$201&gt;=$A776),0)),INDEX(IF($I776="FIN",PERSONAL!$L$2:$L$80,PERSONAL!$H$2:$H$80),MATCH($B776,PERSONAL!$A$2:$A$80,0)))))</f>
        <v/>
      </c>
    </row>
    <row r="777" ht="15" customHeight="1" s="58">
      <c r="A777" s="37" t="n"/>
      <c r="B777" s="38" t="n"/>
      <c r="C777" s="39" t="n"/>
      <c r="D777" s="39" t="n"/>
      <c r="E777" s="34">
        <f t="array" ref="E777">IF($B777="","",IFERROR(INDEX(PERSONAL!$B$2:$B$80,MATCH($B777,PERSONAL!$A$2:$A$80,0)),"NO EXISTE"))</f>
        <v/>
      </c>
      <c r="F777" s="52">
        <f t="array" ref="F777">IF($B777="","",IFERROR(INDEX(PERSONAL!$C$2:$C$80,MATCH($B777,PERSONAL!$A$2:$A$80,0)),""))</f>
        <v/>
      </c>
      <c r="G777" s="52">
        <f>IF($A777="","",CHOOSE(WEEKDAY($A777,2),"LUNES","MARTES","MIÉRCOLES","JUEVES","VIERNES","SÁBADO","DOMINGO"))</f>
        <v/>
      </c>
      <c r="H777" s="34">
        <f>IF($A777="","",CHOOSE(MONTH($A777),"ENERO","FEBRERO","MARZO","ABRIL","MAYO","JUNIO","JULIO","AGOSTO","SEPTIEMBRE","OCTUBRE","NOVIEMBRE","DICIEMBRE"))</f>
        <v/>
      </c>
      <c r="I777" s="34">
        <f>IF($A777="","",IF(OR($G777="SÁBADO",$G777="DOMINGO"),"FIN","LV"))</f>
        <v/>
      </c>
      <c r="J777" s="34">
        <f>IF(OR($A777="",$B777=""),"",IF($L777&lt;&gt;"",UPPER($L777),IF($C777="","FALTA",IFERROR(IF($C777&gt;=$O777,"ROJO FUERTE",IF($C777&gt;=$N777,"ROJO",IF($C777&gt;=$M777,"AMARILLO","VERDE"))),"REVISAR"))))</f>
        <v/>
      </c>
      <c r="K777" s="36">
        <f>IF(OR($C777="",$D777=""),"",IF($D777&gt;=$C777,($D777-$C777)*24,(1-$C777+$D777)*24))</f>
        <v/>
      </c>
      <c r="L777" s="34" t="n"/>
      <c r="M777" s="53">
        <f t="array" ref="M777">IFERROR(INDEX(EXCEPCIONES_FECHA!$D$2:$D$201,MATCH(1,(EXCEPCIONES_FECHA!$A$2:$A$201=$A777)*(EXCEPCIONES_FECHA!$B$2:$B$201=$B777),0)),IFERROR(INDEX(EXCEPCIONES_FECHA!$D$2:$D$201,MATCH(1,(EXCEPCIONES_FECHA!$A$2:$A$201=$A777)*(EXCEPCIONES_FECHA!$B$2:$B$201=""),0)),IFERROR(INDEX(IF($I777="FIN",HISTORIAL_HORARIOS!$J$2:$J$201,HISTORIAL_HORARIOS!$F$2:$F$201),MATCH(1,(HISTORIAL_HORARIOS!$A$2:$A$201=$B777)*(HISTORIAL_HORARIOS!$C$2:$C$201&lt;=$A777)*(HISTORIAL_HORARIOS!$D$2:$D$201&gt;=$A777),0)),INDEX(IF($I777="FIN",PERSONAL!$J$2:$J$80,PERSONAL!$F$2:$F$80),MATCH($B777,PERSONAL!$A$2:$A$80,0)))))</f>
        <v/>
      </c>
      <c r="N777" s="53">
        <f t="array" ref="N777">IFERROR(INDEX(EXCEPCIONES_FECHA!$E$2:$E$201,MATCH(1,(EXCEPCIONES_FECHA!$A$2:$A$201=$A777)*(EXCEPCIONES_FECHA!$B$2:$B$201=$B777),0)),IFERROR(INDEX(EXCEPCIONES_FECHA!$E$2:$E$201,MATCH(1,(EXCEPCIONES_FECHA!$A$2:$A$201=$A777)*(EXCEPCIONES_FECHA!$B$2:$B$201=""),0)),IFERROR(INDEX(IF($I777="FIN",HISTORIAL_HORARIOS!$K$2:$K$201,HISTORIAL_HORARIOS!$G$2:$G$201),MATCH(1,(HISTORIAL_HORARIOS!$A$2:$A$201=$B777)*(HISTORIAL_HORARIOS!$C$2:$C$201&lt;=$A777)*(HISTORIAL_HORARIOS!$D$2:$D$201&gt;=$A777),0)),INDEX(IF($I777="FIN",PERSONAL!$K$2:$K$80,PERSONAL!$G$2:$G$80),MATCH($B777,PERSONAL!$A$2:$A$80,0)))))</f>
        <v/>
      </c>
      <c r="O777" s="53">
        <f t="array" ref="O777">IFERROR(INDEX(EXCEPCIONES_FECHA!$F$2:$F$201,MATCH(1,(EXCEPCIONES_FECHA!$A$2:$A$201=$A777)*(EXCEPCIONES_FECHA!$B$2:$B$201=$B777),0)),IFERROR(INDEX(EXCEPCIONES_FECHA!$F$2:$F$201,MATCH(1,(EXCEPCIONES_FECHA!$A$2:$A$201=$A777)*(EXCEPCIONES_FECHA!$B$2:$B$201=""),0)),IFERROR(INDEX(IF($I777="FIN",HISTORIAL_HORARIOS!$L$2:$L$201,HISTORIAL_HORARIOS!$H$2:$H$201),MATCH(1,(HISTORIAL_HORARIOS!$A$2:$A$201=$B777)*(HISTORIAL_HORARIOS!$C$2:$C$201&lt;=$A777)*(HISTORIAL_HORARIOS!$D$2:$D$201&gt;=$A777),0)),INDEX(IF($I777="FIN",PERSONAL!$L$2:$L$80,PERSONAL!$H$2:$H$80),MATCH($B777,PERSONAL!$A$2:$A$80,0)))))</f>
        <v/>
      </c>
    </row>
    <row r="778" ht="15" customHeight="1" s="58">
      <c r="A778" s="37" t="n"/>
      <c r="B778" s="38" t="n"/>
      <c r="C778" s="39" t="n"/>
      <c r="D778" s="39" t="n"/>
      <c r="E778" s="34">
        <f t="array" ref="E778">IF($B778="","",IFERROR(INDEX(PERSONAL!$B$2:$B$80,MATCH($B778,PERSONAL!$A$2:$A$80,0)),"NO EXISTE"))</f>
        <v/>
      </c>
      <c r="F778" s="52">
        <f t="array" ref="F778">IF($B778="","",IFERROR(INDEX(PERSONAL!$C$2:$C$80,MATCH($B778,PERSONAL!$A$2:$A$80,0)),""))</f>
        <v/>
      </c>
      <c r="G778" s="52">
        <f>IF($A778="","",CHOOSE(WEEKDAY($A778,2),"LUNES","MARTES","MIÉRCOLES","JUEVES","VIERNES","SÁBADO","DOMINGO"))</f>
        <v/>
      </c>
      <c r="H778" s="34">
        <f>IF($A778="","",CHOOSE(MONTH($A778),"ENERO","FEBRERO","MARZO","ABRIL","MAYO","JUNIO","JULIO","AGOSTO","SEPTIEMBRE","OCTUBRE","NOVIEMBRE","DICIEMBRE"))</f>
        <v/>
      </c>
      <c r="I778" s="34">
        <f>IF($A778="","",IF(OR($G778="SÁBADO",$G778="DOMINGO"),"FIN","LV"))</f>
        <v/>
      </c>
      <c r="J778" s="34">
        <f>IF(OR($A778="",$B778=""),"",IF($L778&lt;&gt;"",UPPER($L778),IF($C778="","FALTA",IFERROR(IF($C778&gt;=$O778,"ROJO FUERTE",IF($C778&gt;=$N778,"ROJO",IF($C778&gt;=$M778,"AMARILLO","VERDE"))),"REVISAR"))))</f>
        <v/>
      </c>
      <c r="K778" s="36">
        <f>IF(OR($C778="",$D778=""),"",IF($D778&gt;=$C778,($D778-$C778)*24,(1-$C778+$D778)*24))</f>
        <v/>
      </c>
      <c r="L778" s="34" t="n"/>
      <c r="M778" s="53">
        <f t="array" ref="M778">IFERROR(INDEX(EXCEPCIONES_FECHA!$D$2:$D$201,MATCH(1,(EXCEPCIONES_FECHA!$A$2:$A$201=$A778)*(EXCEPCIONES_FECHA!$B$2:$B$201=$B778),0)),IFERROR(INDEX(EXCEPCIONES_FECHA!$D$2:$D$201,MATCH(1,(EXCEPCIONES_FECHA!$A$2:$A$201=$A778)*(EXCEPCIONES_FECHA!$B$2:$B$201=""),0)),IFERROR(INDEX(IF($I778="FIN",HISTORIAL_HORARIOS!$J$2:$J$201,HISTORIAL_HORARIOS!$F$2:$F$201),MATCH(1,(HISTORIAL_HORARIOS!$A$2:$A$201=$B778)*(HISTORIAL_HORARIOS!$C$2:$C$201&lt;=$A778)*(HISTORIAL_HORARIOS!$D$2:$D$201&gt;=$A778),0)),INDEX(IF($I778="FIN",PERSONAL!$J$2:$J$80,PERSONAL!$F$2:$F$80),MATCH($B778,PERSONAL!$A$2:$A$80,0)))))</f>
        <v/>
      </c>
      <c r="N778" s="53">
        <f t="array" ref="N778">IFERROR(INDEX(EXCEPCIONES_FECHA!$E$2:$E$201,MATCH(1,(EXCEPCIONES_FECHA!$A$2:$A$201=$A778)*(EXCEPCIONES_FECHA!$B$2:$B$201=$B778),0)),IFERROR(INDEX(EXCEPCIONES_FECHA!$E$2:$E$201,MATCH(1,(EXCEPCIONES_FECHA!$A$2:$A$201=$A778)*(EXCEPCIONES_FECHA!$B$2:$B$201=""),0)),IFERROR(INDEX(IF($I778="FIN",HISTORIAL_HORARIOS!$K$2:$K$201,HISTORIAL_HORARIOS!$G$2:$G$201),MATCH(1,(HISTORIAL_HORARIOS!$A$2:$A$201=$B778)*(HISTORIAL_HORARIOS!$C$2:$C$201&lt;=$A778)*(HISTORIAL_HORARIOS!$D$2:$D$201&gt;=$A778),0)),INDEX(IF($I778="FIN",PERSONAL!$K$2:$K$80,PERSONAL!$G$2:$G$80),MATCH($B778,PERSONAL!$A$2:$A$80,0)))))</f>
        <v/>
      </c>
      <c r="O778" s="53">
        <f t="array" ref="O778">IFERROR(INDEX(EXCEPCIONES_FECHA!$F$2:$F$201,MATCH(1,(EXCEPCIONES_FECHA!$A$2:$A$201=$A778)*(EXCEPCIONES_FECHA!$B$2:$B$201=$B778),0)),IFERROR(INDEX(EXCEPCIONES_FECHA!$F$2:$F$201,MATCH(1,(EXCEPCIONES_FECHA!$A$2:$A$201=$A778)*(EXCEPCIONES_FECHA!$B$2:$B$201=""),0)),IFERROR(INDEX(IF($I778="FIN",HISTORIAL_HORARIOS!$L$2:$L$201,HISTORIAL_HORARIOS!$H$2:$H$201),MATCH(1,(HISTORIAL_HORARIOS!$A$2:$A$201=$B778)*(HISTORIAL_HORARIOS!$C$2:$C$201&lt;=$A778)*(HISTORIAL_HORARIOS!$D$2:$D$201&gt;=$A778),0)),INDEX(IF($I778="FIN",PERSONAL!$L$2:$L$80,PERSONAL!$H$2:$H$80),MATCH($B778,PERSONAL!$A$2:$A$80,0)))))</f>
        <v/>
      </c>
    </row>
    <row r="779" ht="15" customHeight="1" s="58">
      <c r="A779" s="37" t="n"/>
      <c r="B779" s="38" t="n"/>
      <c r="C779" s="39" t="n"/>
      <c r="D779" s="39" t="n"/>
      <c r="E779" s="34">
        <f t="array" ref="E779">IF($B779="","",IFERROR(INDEX(PERSONAL!$B$2:$B$80,MATCH($B779,PERSONAL!$A$2:$A$80,0)),"NO EXISTE"))</f>
        <v/>
      </c>
      <c r="F779" s="52">
        <f t="array" ref="F779">IF($B779="","",IFERROR(INDEX(PERSONAL!$C$2:$C$80,MATCH($B779,PERSONAL!$A$2:$A$80,0)),""))</f>
        <v/>
      </c>
      <c r="G779" s="52">
        <f>IF($A779="","",CHOOSE(WEEKDAY($A779,2),"LUNES","MARTES","MIÉRCOLES","JUEVES","VIERNES","SÁBADO","DOMINGO"))</f>
        <v/>
      </c>
      <c r="H779" s="34">
        <f>IF($A779="","",CHOOSE(MONTH($A779),"ENERO","FEBRERO","MARZO","ABRIL","MAYO","JUNIO","JULIO","AGOSTO","SEPTIEMBRE","OCTUBRE","NOVIEMBRE","DICIEMBRE"))</f>
        <v/>
      </c>
      <c r="I779" s="34">
        <f>IF($A779="","",IF(OR($G779="SÁBADO",$G779="DOMINGO"),"FIN","LV"))</f>
        <v/>
      </c>
      <c r="J779" s="34">
        <f>IF(OR($A779="",$B779=""),"",IF($L779&lt;&gt;"",UPPER($L779),IF($C779="","FALTA",IFERROR(IF($C779&gt;=$O779,"ROJO FUERTE",IF($C779&gt;=$N779,"ROJO",IF($C779&gt;=$M779,"AMARILLO","VERDE"))),"REVISAR"))))</f>
        <v/>
      </c>
      <c r="K779" s="36">
        <f>IF(OR($C779="",$D779=""),"",IF($D779&gt;=$C779,($D779-$C779)*24,(1-$C779+$D779)*24))</f>
        <v/>
      </c>
      <c r="L779" s="34" t="n"/>
      <c r="M779" s="53">
        <f t="array" ref="M779">IFERROR(INDEX(EXCEPCIONES_FECHA!$D$2:$D$201,MATCH(1,(EXCEPCIONES_FECHA!$A$2:$A$201=$A779)*(EXCEPCIONES_FECHA!$B$2:$B$201=$B779),0)),IFERROR(INDEX(EXCEPCIONES_FECHA!$D$2:$D$201,MATCH(1,(EXCEPCIONES_FECHA!$A$2:$A$201=$A779)*(EXCEPCIONES_FECHA!$B$2:$B$201=""),0)),IFERROR(INDEX(IF($I779="FIN",HISTORIAL_HORARIOS!$J$2:$J$201,HISTORIAL_HORARIOS!$F$2:$F$201),MATCH(1,(HISTORIAL_HORARIOS!$A$2:$A$201=$B779)*(HISTORIAL_HORARIOS!$C$2:$C$201&lt;=$A779)*(HISTORIAL_HORARIOS!$D$2:$D$201&gt;=$A779),0)),INDEX(IF($I779="FIN",PERSONAL!$J$2:$J$80,PERSONAL!$F$2:$F$80),MATCH($B779,PERSONAL!$A$2:$A$80,0)))))</f>
        <v/>
      </c>
      <c r="N779" s="53">
        <f t="array" ref="N779">IFERROR(INDEX(EXCEPCIONES_FECHA!$E$2:$E$201,MATCH(1,(EXCEPCIONES_FECHA!$A$2:$A$201=$A779)*(EXCEPCIONES_FECHA!$B$2:$B$201=$B779),0)),IFERROR(INDEX(EXCEPCIONES_FECHA!$E$2:$E$201,MATCH(1,(EXCEPCIONES_FECHA!$A$2:$A$201=$A779)*(EXCEPCIONES_FECHA!$B$2:$B$201=""),0)),IFERROR(INDEX(IF($I779="FIN",HISTORIAL_HORARIOS!$K$2:$K$201,HISTORIAL_HORARIOS!$G$2:$G$201),MATCH(1,(HISTORIAL_HORARIOS!$A$2:$A$201=$B779)*(HISTORIAL_HORARIOS!$C$2:$C$201&lt;=$A779)*(HISTORIAL_HORARIOS!$D$2:$D$201&gt;=$A779),0)),INDEX(IF($I779="FIN",PERSONAL!$K$2:$K$80,PERSONAL!$G$2:$G$80),MATCH($B779,PERSONAL!$A$2:$A$80,0)))))</f>
        <v/>
      </c>
      <c r="O779" s="53">
        <f t="array" ref="O779">IFERROR(INDEX(EXCEPCIONES_FECHA!$F$2:$F$201,MATCH(1,(EXCEPCIONES_FECHA!$A$2:$A$201=$A779)*(EXCEPCIONES_FECHA!$B$2:$B$201=$B779),0)),IFERROR(INDEX(EXCEPCIONES_FECHA!$F$2:$F$201,MATCH(1,(EXCEPCIONES_FECHA!$A$2:$A$201=$A779)*(EXCEPCIONES_FECHA!$B$2:$B$201=""),0)),IFERROR(INDEX(IF($I779="FIN",HISTORIAL_HORARIOS!$L$2:$L$201,HISTORIAL_HORARIOS!$H$2:$H$201),MATCH(1,(HISTORIAL_HORARIOS!$A$2:$A$201=$B779)*(HISTORIAL_HORARIOS!$C$2:$C$201&lt;=$A779)*(HISTORIAL_HORARIOS!$D$2:$D$201&gt;=$A779),0)),INDEX(IF($I779="FIN",PERSONAL!$L$2:$L$80,PERSONAL!$H$2:$H$80),MATCH($B779,PERSONAL!$A$2:$A$80,0)))))</f>
        <v/>
      </c>
    </row>
    <row r="780" ht="15" customHeight="1" s="58">
      <c r="A780" s="37" t="n"/>
      <c r="B780" s="38" t="n"/>
      <c r="C780" s="39" t="n"/>
      <c r="D780" s="39" t="n"/>
      <c r="E780" s="34">
        <f t="array" ref="E780">IF($B780="","",IFERROR(INDEX(PERSONAL!$B$2:$B$80,MATCH($B780,PERSONAL!$A$2:$A$80,0)),"NO EXISTE"))</f>
        <v/>
      </c>
      <c r="F780" s="52">
        <f t="array" ref="F780">IF($B780="","",IFERROR(INDEX(PERSONAL!$C$2:$C$80,MATCH($B780,PERSONAL!$A$2:$A$80,0)),""))</f>
        <v/>
      </c>
      <c r="G780" s="52">
        <f>IF($A780="","",CHOOSE(WEEKDAY($A780,2),"LUNES","MARTES","MIÉRCOLES","JUEVES","VIERNES","SÁBADO","DOMINGO"))</f>
        <v/>
      </c>
      <c r="H780" s="34">
        <f>IF($A780="","",CHOOSE(MONTH($A780),"ENERO","FEBRERO","MARZO","ABRIL","MAYO","JUNIO","JULIO","AGOSTO","SEPTIEMBRE","OCTUBRE","NOVIEMBRE","DICIEMBRE"))</f>
        <v/>
      </c>
      <c r="I780" s="34">
        <f>IF($A780="","",IF(OR($G780="SÁBADO",$G780="DOMINGO"),"FIN","LV"))</f>
        <v/>
      </c>
      <c r="J780" s="34">
        <f>IF(OR($A780="",$B780=""),"",IF($L780&lt;&gt;"",UPPER($L780),IF($C780="","FALTA",IFERROR(IF($C780&gt;=$O780,"ROJO FUERTE",IF($C780&gt;=$N780,"ROJO",IF($C780&gt;=$M780,"AMARILLO","VERDE"))),"REVISAR"))))</f>
        <v/>
      </c>
      <c r="K780" s="36">
        <f>IF(OR($C780="",$D780=""),"",IF($D780&gt;=$C780,($D780-$C780)*24,(1-$C780+$D780)*24))</f>
        <v/>
      </c>
      <c r="L780" s="34" t="n"/>
      <c r="M780" s="53">
        <f t="array" ref="M780">IFERROR(INDEX(EXCEPCIONES_FECHA!$D$2:$D$201,MATCH(1,(EXCEPCIONES_FECHA!$A$2:$A$201=$A780)*(EXCEPCIONES_FECHA!$B$2:$B$201=$B780),0)),IFERROR(INDEX(EXCEPCIONES_FECHA!$D$2:$D$201,MATCH(1,(EXCEPCIONES_FECHA!$A$2:$A$201=$A780)*(EXCEPCIONES_FECHA!$B$2:$B$201=""),0)),IFERROR(INDEX(IF($I780="FIN",HISTORIAL_HORARIOS!$J$2:$J$201,HISTORIAL_HORARIOS!$F$2:$F$201),MATCH(1,(HISTORIAL_HORARIOS!$A$2:$A$201=$B780)*(HISTORIAL_HORARIOS!$C$2:$C$201&lt;=$A780)*(HISTORIAL_HORARIOS!$D$2:$D$201&gt;=$A780),0)),INDEX(IF($I780="FIN",PERSONAL!$J$2:$J$80,PERSONAL!$F$2:$F$80),MATCH($B780,PERSONAL!$A$2:$A$80,0)))))</f>
        <v/>
      </c>
      <c r="N780" s="53">
        <f t="array" ref="N780">IFERROR(INDEX(EXCEPCIONES_FECHA!$E$2:$E$201,MATCH(1,(EXCEPCIONES_FECHA!$A$2:$A$201=$A780)*(EXCEPCIONES_FECHA!$B$2:$B$201=$B780),0)),IFERROR(INDEX(EXCEPCIONES_FECHA!$E$2:$E$201,MATCH(1,(EXCEPCIONES_FECHA!$A$2:$A$201=$A780)*(EXCEPCIONES_FECHA!$B$2:$B$201=""),0)),IFERROR(INDEX(IF($I780="FIN",HISTORIAL_HORARIOS!$K$2:$K$201,HISTORIAL_HORARIOS!$G$2:$G$201),MATCH(1,(HISTORIAL_HORARIOS!$A$2:$A$201=$B780)*(HISTORIAL_HORARIOS!$C$2:$C$201&lt;=$A780)*(HISTORIAL_HORARIOS!$D$2:$D$201&gt;=$A780),0)),INDEX(IF($I780="FIN",PERSONAL!$K$2:$K$80,PERSONAL!$G$2:$G$80),MATCH($B780,PERSONAL!$A$2:$A$80,0)))))</f>
        <v/>
      </c>
      <c r="O780" s="53">
        <f t="array" ref="O780">IFERROR(INDEX(EXCEPCIONES_FECHA!$F$2:$F$201,MATCH(1,(EXCEPCIONES_FECHA!$A$2:$A$201=$A780)*(EXCEPCIONES_FECHA!$B$2:$B$201=$B780),0)),IFERROR(INDEX(EXCEPCIONES_FECHA!$F$2:$F$201,MATCH(1,(EXCEPCIONES_FECHA!$A$2:$A$201=$A780)*(EXCEPCIONES_FECHA!$B$2:$B$201=""),0)),IFERROR(INDEX(IF($I780="FIN",HISTORIAL_HORARIOS!$L$2:$L$201,HISTORIAL_HORARIOS!$H$2:$H$201),MATCH(1,(HISTORIAL_HORARIOS!$A$2:$A$201=$B780)*(HISTORIAL_HORARIOS!$C$2:$C$201&lt;=$A780)*(HISTORIAL_HORARIOS!$D$2:$D$201&gt;=$A780),0)),INDEX(IF($I780="FIN",PERSONAL!$L$2:$L$80,PERSONAL!$H$2:$H$80),MATCH($B780,PERSONAL!$A$2:$A$80,0)))))</f>
        <v/>
      </c>
    </row>
    <row r="781" ht="15" customHeight="1" s="58">
      <c r="A781" s="37" t="n"/>
      <c r="B781" s="38" t="n"/>
      <c r="C781" s="39" t="n"/>
      <c r="D781" s="39" t="n"/>
      <c r="E781" s="34">
        <f t="array" ref="E781">IF($B781="","",IFERROR(INDEX(PERSONAL!$B$2:$B$80,MATCH($B781,PERSONAL!$A$2:$A$80,0)),"NO EXISTE"))</f>
        <v/>
      </c>
      <c r="F781" s="52">
        <f t="array" ref="F781">IF($B781="","",IFERROR(INDEX(PERSONAL!$C$2:$C$80,MATCH($B781,PERSONAL!$A$2:$A$80,0)),""))</f>
        <v/>
      </c>
      <c r="G781" s="52">
        <f>IF($A781="","",CHOOSE(WEEKDAY($A781,2),"LUNES","MARTES","MIÉRCOLES","JUEVES","VIERNES","SÁBADO","DOMINGO"))</f>
        <v/>
      </c>
      <c r="H781" s="34">
        <f>IF($A781="","",CHOOSE(MONTH($A781),"ENERO","FEBRERO","MARZO","ABRIL","MAYO","JUNIO","JULIO","AGOSTO","SEPTIEMBRE","OCTUBRE","NOVIEMBRE","DICIEMBRE"))</f>
        <v/>
      </c>
      <c r="I781" s="34">
        <f>IF($A781="","",IF(OR($G781="SÁBADO",$G781="DOMINGO"),"FIN","LV"))</f>
        <v/>
      </c>
      <c r="J781" s="34">
        <f>IF(OR($A781="",$B781=""),"",IF($L781&lt;&gt;"",UPPER($L781),IF($C781="","FALTA",IFERROR(IF($C781&gt;=$O781,"ROJO FUERTE",IF($C781&gt;=$N781,"ROJO",IF($C781&gt;=$M781,"AMARILLO","VERDE"))),"REVISAR"))))</f>
        <v/>
      </c>
      <c r="K781" s="36">
        <f>IF(OR($C781="",$D781=""),"",IF($D781&gt;=$C781,($D781-$C781)*24,(1-$C781+$D781)*24))</f>
        <v/>
      </c>
      <c r="L781" s="34" t="n"/>
      <c r="M781" s="53">
        <f t="array" ref="M781">IFERROR(INDEX(EXCEPCIONES_FECHA!$D$2:$D$201,MATCH(1,(EXCEPCIONES_FECHA!$A$2:$A$201=$A781)*(EXCEPCIONES_FECHA!$B$2:$B$201=$B781),0)),IFERROR(INDEX(EXCEPCIONES_FECHA!$D$2:$D$201,MATCH(1,(EXCEPCIONES_FECHA!$A$2:$A$201=$A781)*(EXCEPCIONES_FECHA!$B$2:$B$201=""),0)),IFERROR(INDEX(IF($I781="FIN",HISTORIAL_HORARIOS!$J$2:$J$201,HISTORIAL_HORARIOS!$F$2:$F$201),MATCH(1,(HISTORIAL_HORARIOS!$A$2:$A$201=$B781)*(HISTORIAL_HORARIOS!$C$2:$C$201&lt;=$A781)*(HISTORIAL_HORARIOS!$D$2:$D$201&gt;=$A781),0)),INDEX(IF($I781="FIN",PERSONAL!$J$2:$J$80,PERSONAL!$F$2:$F$80),MATCH($B781,PERSONAL!$A$2:$A$80,0)))))</f>
        <v/>
      </c>
      <c r="N781" s="53">
        <f t="array" ref="N781">IFERROR(INDEX(EXCEPCIONES_FECHA!$E$2:$E$201,MATCH(1,(EXCEPCIONES_FECHA!$A$2:$A$201=$A781)*(EXCEPCIONES_FECHA!$B$2:$B$201=$B781),0)),IFERROR(INDEX(EXCEPCIONES_FECHA!$E$2:$E$201,MATCH(1,(EXCEPCIONES_FECHA!$A$2:$A$201=$A781)*(EXCEPCIONES_FECHA!$B$2:$B$201=""),0)),IFERROR(INDEX(IF($I781="FIN",HISTORIAL_HORARIOS!$K$2:$K$201,HISTORIAL_HORARIOS!$G$2:$G$201),MATCH(1,(HISTORIAL_HORARIOS!$A$2:$A$201=$B781)*(HISTORIAL_HORARIOS!$C$2:$C$201&lt;=$A781)*(HISTORIAL_HORARIOS!$D$2:$D$201&gt;=$A781),0)),INDEX(IF($I781="FIN",PERSONAL!$K$2:$K$80,PERSONAL!$G$2:$G$80),MATCH($B781,PERSONAL!$A$2:$A$80,0)))))</f>
        <v/>
      </c>
      <c r="O781" s="53">
        <f t="array" ref="O781">IFERROR(INDEX(EXCEPCIONES_FECHA!$F$2:$F$201,MATCH(1,(EXCEPCIONES_FECHA!$A$2:$A$201=$A781)*(EXCEPCIONES_FECHA!$B$2:$B$201=$B781),0)),IFERROR(INDEX(EXCEPCIONES_FECHA!$F$2:$F$201,MATCH(1,(EXCEPCIONES_FECHA!$A$2:$A$201=$A781)*(EXCEPCIONES_FECHA!$B$2:$B$201=""),0)),IFERROR(INDEX(IF($I781="FIN",HISTORIAL_HORARIOS!$L$2:$L$201,HISTORIAL_HORARIOS!$H$2:$H$201),MATCH(1,(HISTORIAL_HORARIOS!$A$2:$A$201=$B781)*(HISTORIAL_HORARIOS!$C$2:$C$201&lt;=$A781)*(HISTORIAL_HORARIOS!$D$2:$D$201&gt;=$A781),0)),INDEX(IF($I781="FIN",PERSONAL!$L$2:$L$80,PERSONAL!$H$2:$H$80),MATCH($B781,PERSONAL!$A$2:$A$80,0)))))</f>
        <v/>
      </c>
    </row>
    <row r="782" ht="15" customHeight="1" s="58">
      <c r="A782" s="37" t="n"/>
      <c r="B782" s="38" t="n"/>
      <c r="C782" s="39" t="n"/>
      <c r="D782" s="39" t="n"/>
      <c r="E782" s="34">
        <f t="array" ref="E782">IF($B782="","",IFERROR(INDEX(PERSONAL!$B$2:$B$80,MATCH($B782,PERSONAL!$A$2:$A$80,0)),"NO EXISTE"))</f>
        <v/>
      </c>
      <c r="F782" s="52">
        <f t="array" ref="F782">IF($B782="","",IFERROR(INDEX(PERSONAL!$C$2:$C$80,MATCH($B782,PERSONAL!$A$2:$A$80,0)),""))</f>
        <v/>
      </c>
      <c r="G782" s="52">
        <f>IF($A782="","",CHOOSE(WEEKDAY($A782,2),"LUNES","MARTES","MIÉRCOLES","JUEVES","VIERNES","SÁBADO","DOMINGO"))</f>
        <v/>
      </c>
      <c r="H782" s="34">
        <f>IF($A782="","",CHOOSE(MONTH($A782),"ENERO","FEBRERO","MARZO","ABRIL","MAYO","JUNIO","JULIO","AGOSTO","SEPTIEMBRE","OCTUBRE","NOVIEMBRE","DICIEMBRE"))</f>
        <v/>
      </c>
      <c r="I782" s="34">
        <f>IF($A782="","",IF(OR($G782="SÁBADO",$G782="DOMINGO"),"FIN","LV"))</f>
        <v/>
      </c>
      <c r="J782" s="34">
        <f>IF(OR($A782="",$B782=""),"",IF($L782&lt;&gt;"",UPPER($L782),IF($C782="","FALTA",IFERROR(IF($C782&gt;=$O782,"ROJO FUERTE",IF($C782&gt;=$N782,"ROJO",IF($C782&gt;=$M782,"AMARILLO","VERDE"))),"REVISAR"))))</f>
        <v/>
      </c>
      <c r="K782" s="36">
        <f>IF(OR($C782="",$D782=""),"",IF($D782&gt;=$C782,($D782-$C782)*24,(1-$C782+$D782)*24))</f>
        <v/>
      </c>
      <c r="L782" s="34" t="n"/>
      <c r="M782" s="53">
        <f t="array" ref="M782">IFERROR(INDEX(EXCEPCIONES_FECHA!$D$2:$D$201,MATCH(1,(EXCEPCIONES_FECHA!$A$2:$A$201=$A782)*(EXCEPCIONES_FECHA!$B$2:$B$201=$B782),0)),IFERROR(INDEX(EXCEPCIONES_FECHA!$D$2:$D$201,MATCH(1,(EXCEPCIONES_FECHA!$A$2:$A$201=$A782)*(EXCEPCIONES_FECHA!$B$2:$B$201=""),0)),IFERROR(INDEX(IF($I782="FIN",HISTORIAL_HORARIOS!$J$2:$J$201,HISTORIAL_HORARIOS!$F$2:$F$201),MATCH(1,(HISTORIAL_HORARIOS!$A$2:$A$201=$B782)*(HISTORIAL_HORARIOS!$C$2:$C$201&lt;=$A782)*(HISTORIAL_HORARIOS!$D$2:$D$201&gt;=$A782),0)),INDEX(IF($I782="FIN",PERSONAL!$J$2:$J$80,PERSONAL!$F$2:$F$80),MATCH($B782,PERSONAL!$A$2:$A$80,0)))))</f>
        <v/>
      </c>
      <c r="N782" s="53">
        <f t="array" ref="N782">IFERROR(INDEX(EXCEPCIONES_FECHA!$E$2:$E$201,MATCH(1,(EXCEPCIONES_FECHA!$A$2:$A$201=$A782)*(EXCEPCIONES_FECHA!$B$2:$B$201=$B782),0)),IFERROR(INDEX(EXCEPCIONES_FECHA!$E$2:$E$201,MATCH(1,(EXCEPCIONES_FECHA!$A$2:$A$201=$A782)*(EXCEPCIONES_FECHA!$B$2:$B$201=""),0)),IFERROR(INDEX(IF($I782="FIN",HISTORIAL_HORARIOS!$K$2:$K$201,HISTORIAL_HORARIOS!$G$2:$G$201),MATCH(1,(HISTORIAL_HORARIOS!$A$2:$A$201=$B782)*(HISTORIAL_HORARIOS!$C$2:$C$201&lt;=$A782)*(HISTORIAL_HORARIOS!$D$2:$D$201&gt;=$A782),0)),INDEX(IF($I782="FIN",PERSONAL!$K$2:$K$80,PERSONAL!$G$2:$G$80),MATCH($B782,PERSONAL!$A$2:$A$80,0)))))</f>
        <v/>
      </c>
      <c r="O782" s="53">
        <f t="array" ref="O782">IFERROR(INDEX(EXCEPCIONES_FECHA!$F$2:$F$201,MATCH(1,(EXCEPCIONES_FECHA!$A$2:$A$201=$A782)*(EXCEPCIONES_FECHA!$B$2:$B$201=$B782),0)),IFERROR(INDEX(EXCEPCIONES_FECHA!$F$2:$F$201,MATCH(1,(EXCEPCIONES_FECHA!$A$2:$A$201=$A782)*(EXCEPCIONES_FECHA!$B$2:$B$201=""),0)),IFERROR(INDEX(IF($I782="FIN",HISTORIAL_HORARIOS!$L$2:$L$201,HISTORIAL_HORARIOS!$H$2:$H$201),MATCH(1,(HISTORIAL_HORARIOS!$A$2:$A$201=$B782)*(HISTORIAL_HORARIOS!$C$2:$C$201&lt;=$A782)*(HISTORIAL_HORARIOS!$D$2:$D$201&gt;=$A782),0)),INDEX(IF($I782="FIN",PERSONAL!$L$2:$L$80,PERSONAL!$H$2:$H$80),MATCH($B782,PERSONAL!$A$2:$A$80,0)))))</f>
        <v/>
      </c>
    </row>
    <row r="783" ht="15" customHeight="1" s="58">
      <c r="A783" s="37" t="n"/>
      <c r="B783" s="38" t="n"/>
      <c r="C783" s="39" t="n"/>
      <c r="D783" s="39" t="n"/>
      <c r="E783" s="34">
        <f t="array" ref="E783">IF($B783="","",IFERROR(INDEX(PERSONAL!$B$2:$B$80,MATCH($B783,PERSONAL!$A$2:$A$80,0)),"NO EXISTE"))</f>
        <v/>
      </c>
      <c r="F783" s="52">
        <f t="array" ref="F783">IF($B783="","",IFERROR(INDEX(PERSONAL!$C$2:$C$80,MATCH($B783,PERSONAL!$A$2:$A$80,0)),""))</f>
        <v/>
      </c>
      <c r="G783" s="52">
        <f>IF($A783="","",CHOOSE(WEEKDAY($A783,2),"LUNES","MARTES","MIÉRCOLES","JUEVES","VIERNES","SÁBADO","DOMINGO"))</f>
        <v/>
      </c>
      <c r="H783" s="34">
        <f>IF($A783="","",CHOOSE(MONTH($A783),"ENERO","FEBRERO","MARZO","ABRIL","MAYO","JUNIO","JULIO","AGOSTO","SEPTIEMBRE","OCTUBRE","NOVIEMBRE","DICIEMBRE"))</f>
        <v/>
      </c>
      <c r="I783" s="34">
        <f>IF($A783="","",IF(OR($G783="SÁBADO",$G783="DOMINGO"),"FIN","LV"))</f>
        <v/>
      </c>
      <c r="J783" s="34">
        <f>IF(OR($A783="",$B783=""),"",IF($L783&lt;&gt;"",UPPER($L783),IF($C783="","FALTA",IFERROR(IF($C783&gt;=$O783,"ROJO FUERTE",IF($C783&gt;=$N783,"ROJO",IF($C783&gt;=$M783,"AMARILLO","VERDE"))),"REVISAR"))))</f>
        <v/>
      </c>
      <c r="K783" s="36">
        <f>IF(OR($C783="",$D783=""),"",IF($D783&gt;=$C783,($D783-$C783)*24,(1-$C783+$D783)*24))</f>
        <v/>
      </c>
      <c r="L783" s="34" t="n"/>
      <c r="M783" s="53">
        <f t="array" ref="M783">IFERROR(INDEX(EXCEPCIONES_FECHA!$D$2:$D$201,MATCH(1,(EXCEPCIONES_FECHA!$A$2:$A$201=$A783)*(EXCEPCIONES_FECHA!$B$2:$B$201=$B783),0)),IFERROR(INDEX(EXCEPCIONES_FECHA!$D$2:$D$201,MATCH(1,(EXCEPCIONES_FECHA!$A$2:$A$201=$A783)*(EXCEPCIONES_FECHA!$B$2:$B$201=""),0)),IFERROR(INDEX(IF($I783="FIN",HISTORIAL_HORARIOS!$J$2:$J$201,HISTORIAL_HORARIOS!$F$2:$F$201),MATCH(1,(HISTORIAL_HORARIOS!$A$2:$A$201=$B783)*(HISTORIAL_HORARIOS!$C$2:$C$201&lt;=$A783)*(HISTORIAL_HORARIOS!$D$2:$D$201&gt;=$A783),0)),INDEX(IF($I783="FIN",PERSONAL!$J$2:$J$80,PERSONAL!$F$2:$F$80),MATCH($B783,PERSONAL!$A$2:$A$80,0)))))</f>
        <v/>
      </c>
      <c r="N783" s="53">
        <f t="array" ref="N783">IFERROR(INDEX(EXCEPCIONES_FECHA!$E$2:$E$201,MATCH(1,(EXCEPCIONES_FECHA!$A$2:$A$201=$A783)*(EXCEPCIONES_FECHA!$B$2:$B$201=$B783),0)),IFERROR(INDEX(EXCEPCIONES_FECHA!$E$2:$E$201,MATCH(1,(EXCEPCIONES_FECHA!$A$2:$A$201=$A783)*(EXCEPCIONES_FECHA!$B$2:$B$201=""),0)),IFERROR(INDEX(IF($I783="FIN",HISTORIAL_HORARIOS!$K$2:$K$201,HISTORIAL_HORARIOS!$G$2:$G$201),MATCH(1,(HISTORIAL_HORARIOS!$A$2:$A$201=$B783)*(HISTORIAL_HORARIOS!$C$2:$C$201&lt;=$A783)*(HISTORIAL_HORARIOS!$D$2:$D$201&gt;=$A783),0)),INDEX(IF($I783="FIN",PERSONAL!$K$2:$K$80,PERSONAL!$G$2:$G$80),MATCH($B783,PERSONAL!$A$2:$A$80,0)))))</f>
        <v/>
      </c>
      <c r="O783" s="53">
        <f t="array" ref="O783">IFERROR(INDEX(EXCEPCIONES_FECHA!$F$2:$F$201,MATCH(1,(EXCEPCIONES_FECHA!$A$2:$A$201=$A783)*(EXCEPCIONES_FECHA!$B$2:$B$201=$B783),0)),IFERROR(INDEX(EXCEPCIONES_FECHA!$F$2:$F$201,MATCH(1,(EXCEPCIONES_FECHA!$A$2:$A$201=$A783)*(EXCEPCIONES_FECHA!$B$2:$B$201=""),0)),IFERROR(INDEX(IF($I783="FIN",HISTORIAL_HORARIOS!$L$2:$L$201,HISTORIAL_HORARIOS!$H$2:$H$201),MATCH(1,(HISTORIAL_HORARIOS!$A$2:$A$201=$B783)*(HISTORIAL_HORARIOS!$C$2:$C$201&lt;=$A783)*(HISTORIAL_HORARIOS!$D$2:$D$201&gt;=$A783),0)),INDEX(IF($I783="FIN",PERSONAL!$L$2:$L$80,PERSONAL!$H$2:$H$80),MATCH($B783,PERSONAL!$A$2:$A$80,0)))))</f>
        <v/>
      </c>
    </row>
    <row r="784" ht="15" customHeight="1" s="58">
      <c r="A784" s="37" t="n"/>
      <c r="B784" s="38" t="n"/>
      <c r="C784" s="39" t="n"/>
      <c r="D784" s="39" t="n"/>
      <c r="E784" s="34">
        <f t="array" ref="E784">IF($B784="","",IFERROR(INDEX(PERSONAL!$B$2:$B$80,MATCH($B784,PERSONAL!$A$2:$A$80,0)),"NO EXISTE"))</f>
        <v/>
      </c>
      <c r="F784" s="52">
        <f t="array" ref="F784">IF($B784="","",IFERROR(INDEX(PERSONAL!$C$2:$C$80,MATCH($B784,PERSONAL!$A$2:$A$80,0)),""))</f>
        <v/>
      </c>
      <c r="G784" s="52">
        <f>IF($A784="","",CHOOSE(WEEKDAY($A784,2),"LUNES","MARTES","MIÉRCOLES","JUEVES","VIERNES","SÁBADO","DOMINGO"))</f>
        <v/>
      </c>
      <c r="H784" s="34">
        <f>IF($A784="","",CHOOSE(MONTH($A784),"ENERO","FEBRERO","MARZO","ABRIL","MAYO","JUNIO","JULIO","AGOSTO","SEPTIEMBRE","OCTUBRE","NOVIEMBRE","DICIEMBRE"))</f>
        <v/>
      </c>
      <c r="I784" s="34">
        <f>IF($A784="","",IF(OR($G784="SÁBADO",$G784="DOMINGO"),"FIN","LV"))</f>
        <v/>
      </c>
      <c r="J784" s="34">
        <f>IF(OR($A784="",$B784=""),"",IF($L784&lt;&gt;"",UPPER($L784),IF($C784="","FALTA",IFERROR(IF($C784&gt;=$O784,"ROJO FUERTE",IF($C784&gt;=$N784,"ROJO",IF($C784&gt;=$M784,"AMARILLO","VERDE"))),"REVISAR"))))</f>
        <v/>
      </c>
      <c r="K784" s="36">
        <f>IF(OR($C784="",$D784=""),"",IF($D784&gt;=$C784,($D784-$C784)*24,(1-$C784+$D784)*24))</f>
        <v/>
      </c>
      <c r="L784" s="34" t="n"/>
      <c r="M784" s="53">
        <f t="array" ref="M784">IFERROR(INDEX(EXCEPCIONES_FECHA!$D$2:$D$201,MATCH(1,(EXCEPCIONES_FECHA!$A$2:$A$201=$A784)*(EXCEPCIONES_FECHA!$B$2:$B$201=$B784),0)),IFERROR(INDEX(EXCEPCIONES_FECHA!$D$2:$D$201,MATCH(1,(EXCEPCIONES_FECHA!$A$2:$A$201=$A784)*(EXCEPCIONES_FECHA!$B$2:$B$201=""),0)),IFERROR(INDEX(IF($I784="FIN",HISTORIAL_HORARIOS!$J$2:$J$201,HISTORIAL_HORARIOS!$F$2:$F$201),MATCH(1,(HISTORIAL_HORARIOS!$A$2:$A$201=$B784)*(HISTORIAL_HORARIOS!$C$2:$C$201&lt;=$A784)*(HISTORIAL_HORARIOS!$D$2:$D$201&gt;=$A784),0)),INDEX(IF($I784="FIN",PERSONAL!$J$2:$J$80,PERSONAL!$F$2:$F$80),MATCH($B784,PERSONAL!$A$2:$A$80,0)))))</f>
        <v/>
      </c>
      <c r="N784" s="53">
        <f t="array" ref="N784">IFERROR(INDEX(EXCEPCIONES_FECHA!$E$2:$E$201,MATCH(1,(EXCEPCIONES_FECHA!$A$2:$A$201=$A784)*(EXCEPCIONES_FECHA!$B$2:$B$201=$B784),0)),IFERROR(INDEX(EXCEPCIONES_FECHA!$E$2:$E$201,MATCH(1,(EXCEPCIONES_FECHA!$A$2:$A$201=$A784)*(EXCEPCIONES_FECHA!$B$2:$B$201=""),0)),IFERROR(INDEX(IF($I784="FIN",HISTORIAL_HORARIOS!$K$2:$K$201,HISTORIAL_HORARIOS!$G$2:$G$201),MATCH(1,(HISTORIAL_HORARIOS!$A$2:$A$201=$B784)*(HISTORIAL_HORARIOS!$C$2:$C$201&lt;=$A784)*(HISTORIAL_HORARIOS!$D$2:$D$201&gt;=$A784),0)),INDEX(IF($I784="FIN",PERSONAL!$K$2:$K$80,PERSONAL!$G$2:$G$80),MATCH($B784,PERSONAL!$A$2:$A$80,0)))))</f>
        <v/>
      </c>
      <c r="O784" s="53">
        <f t="array" ref="O784">IFERROR(INDEX(EXCEPCIONES_FECHA!$F$2:$F$201,MATCH(1,(EXCEPCIONES_FECHA!$A$2:$A$201=$A784)*(EXCEPCIONES_FECHA!$B$2:$B$201=$B784),0)),IFERROR(INDEX(EXCEPCIONES_FECHA!$F$2:$F$201,MATCH(1,(EXCEPCIONES_FECHA!$A$2:$A$201=$A784)*(EXCEPCIONES_FECHA!$B$2:$B$201=""),0)),IFERROR(INDEX(IF($I784="FIN",HISTORIAL_HORARIOS!$L$2:$L$201,HISTORIAL_HORARIOS!$H$2:$H$201),MATCH(1,(HISTORIAL_HORARIOS!$A$2:$A$201=$B784)*(HISTORIAL_HORARIOS!$C$2:$C$201&lt;=$A784)*(HISTORIAL_HORARIOS!$D$2:$D$201&gt;=$A784),0)),INDEX(IF($I784="FIN",PERSONAL!$L$2:$L$80,PERSONAL!$H$2:$H$80),MATCH($B784,PERSONAL!$A$2:$A$80,0)))))</f>
        <v/>
      </c>
    </row>
    <row r="785" ht="15" customHeight="1" s="58">
      <c r="A785" s="37" t="n"/>
      <c r="B785" s="38" t="n"/>
      <c r="C785" s="39" t="n"/>
      <c r="D785" s="39" t="n"/>
      <c r="E785" s="34">
        <f t="array" ref="E785">IF($B785="","",IFERROR(INDEX(PERSONAL!$B$2:$B$80,MATCH($B785,PERSONAL!$A$2:$A$80,0)),"NO EXISTE"))</f>
        <v/>
      </c>
      <c r="F785" s="52">
        <f t="array" ref="F785">IF($B785="","",IFERROR(INDEX(PERSONAL!$C$2:$C$80,MATCH($B785,PERSONAL!$A$2:$A$80,0)),""))</f>
        <v/>
      </c>
      <c r="G785" s="52">
        <f>IF($A785="","",CHOOSE(WEEKDAY($A785,2),"LUNES","MARTES","MIÉRCOLES","JUEVES","VIERNES","SÁBADO","DOMINGO"))</f>
        <v/>
      </c>
      <c r="H785" s="34">
        <f>IF($A785="","",CHOOSE(MONTH($A785),"ENERO","FEBRERO","MARZO","ABRIL","MAYO","JUNIO","JULIO","AGOSTO","SEPTIEMBRE","OCTUBRE","NOVIEMBRE","DICIEMBRE"))</f>
        <v/>
      </c>
      <c r="I785" s="34">
        <f>IF($A785="","",IF(OR($G785="SÁBADO",$G785="DOMINGO"),"FIN","LV"))</f>
        <v/>
      </c>
      <c r="J785" s="34">
        <f>IF(OR($A785="",$B785=""),"",IF($L785&lt;&gt;"",UPPER($L785),IF($C785="","FALTA",IFERROR(IF($C785&gt;=$O785,"ROJO FUERTE",IF($C785&gt;=$N785,"ROJO",IF($C785&gt;=$M785,"AMARILLO","VERDE"))),"REVISAR"))))</f>
        <v/>
      </c>
      <c r="K785" s="36">
        <f>IF(OR($C785="",$D785=""),"",IF($D785&gt;=$C785,($D785-$C785)*24,(1-$C785+$D785)*24))</f>
        <v/>
      </c>
      <c r="L785" s="34" t="n"/>
      <c r="M785" s="53">
        <f t="array" ref="M785">IFERROR(INDEX(EXCEPCIONES_FECHA!$D$2:$D$201,MATCH(1,(EXCEPCIONES_FECHA!$A$2:$A$201=$A785)*(EXCEPCIONES_FECHA!$B$2:$B$201=$B785),0)),IFERROR(INDEX(EXCEPCIONES_FECHA!$D$2:$D$201,MATCH(1,(EXCEPCIONES_FECHA!$A$2:$A$201=$A785)*(EXCEPCIONES_FECHA!$B$2:$B$201=""),0)),IFERROR(INDEX(IF($I785="FIN",HISTORIAL_HORARIOS!$J$2:$J$201,HISTORIAL_HORARIOS!$F$2:$F$201),MATCH(1,(HISTORIAL_HORARIOS!$A$2:$A$201=$B785)*(HISTORIAL_HORARIOS!$C$2:$C$201&lt;=$A785)*(HISTORIAL_HORARIOS!$D$2:$D$201&gt;=$A785),0)),INDEX(IF($I785="FIN",PERSONAL!$J$2:$J$80,PERSONAL!$F$2:$F$80),MATCH($B785,PERSONAL!$A$2:$A$80,0)))))</f>
        <v/>
      </c>
      <c r="N785" s="53">
        <f t="array" ref="N785">IFERROR(INDEX(EXCEPCIONES_FECHA!$E$2:$E$201,MATCH(1,(EXCEPCIONES_FECHA!$A$2:$A$201=$A785)*(EXCEPCIONES_FECHA!$B$2:$B$201=$B785),0)),IFERROR(INDEX(EXCEPCIONES_FECHA!$E$2:$E$201,MATCH(1,(EXCEPCIONES_FECHA!$A$2:$A$201=$A785)*(EXCEPCIONES_FECHA!$B$2:$B$201=""),0)),IFERROR(INDEX(IF($I785="FIN",HISTORIAL_HORARIOS!$K$2:$K$201,HISTORIAL_HORARIOS!$G$2:$G$201),MATCH(1,(HISTORIAL_HORARIOS!$A$2:$A$201=$B785)*(HISTORIAL_HORARIOS!$C$2:$C$201&lt;=$A785)*(HISTORIAL_HORARIOS!$D$2:$D$201&gt;=$A785),0)),INDEX(IF($I785="FIN",PERSONAL!$K$2:$K$80,PERSONAL!$G$2:$G$80),MATCH($B785,PERSONAL!$A$2:$A$80,0)))))</f>
        <v/>
      </c>
      <c r="O785" s="53">
        <f t="array" ref="O785">IFERROR(INDEX(EXCEPCIONES_FECHA!$F$2:$F$201,MATCH(1,(EXCEPCIONES_FECHA!$A$2:$A$201=$A785)*(EXCEPCIONES_FECHA!$B$2:$B$201=$B785),0)),IFERROR(INDEX(EXCEPCIONES_FECHA!$F$2:$F$201,MATCH(1,(EXCEPCIONES_FECHA!$A$2:$A$201=$A785)*(EXCEPCIONES_FECHA!$B$2:$B$201=""),0)),IFERROR(INDEX(IF($I785="FIN",HISTORIAL_HORARIOS!$L$2:$L$201,HISTORIAL_HORARIOS!$H$2:$H$201),MATCH(1,(HISTORIAL_HORARIOS!$A$2:$A$201=$B785)*(HISTORIAL_HORARIOS!$C$2:$C$201&lt;=$A785)*(HISTORIAL_HORARIOS!$D$2:$D$201&gt;=$A785),0)),INDEX(IF($I785="FIN",PERSONAL!$L$2:$L$80,PERSONAL!$H$2:$H$80),MATCH($B785,PERSONAL!$A$2:$A$80,0)))))</f>
        <v/>
      </c>
    </row>
    <row r="786" ht="15" customHeight="1" s="58">
      <c r="A786" s="37" t="n"/>
      <c r="B786" s="38" t="n"/>
      <c r="C786" s="39" t="n"/>
      <c r="D786" s="39" t="n"/>
      <c r="E786" s="34">
        <f t="array" ref="E786">IF($B786="","",IFERROR(INDEX(PERSONAL!$B$2:$B$80,MATCH($B786,PERSONAL!$A$2:$A$80,0)),"NO EXISTE"))</f>
        <v/>
      </c>
      <c r="F786" s="52">
        <f t="array" ref="F786">IF($B786="","",IFERROR(INDEX(PERSONAL!$C$2:$C$80,MATCH($B786,PERSONAL!$A$2:$A$80,0)),""))</f>
        <v/>
      </c>
      <c r="G786" s="52">
        <f>IF($A786="","",CHOOSE(WEEKDAY($A786,2),"LUNES","MARTES","MIÉRCOLES","JUEVES","VIERNES","SÁBADO","DOMINGO"))</f>
        <v/>
      </c>
      <c r="H786" s="34">
        <f>IF($A786="","",CHOOSE(MONTH($A786),"ENERO","FEBRERO","MARZO","ABRIL","MAYO","JUNIO","JULIO","AGOSTO","SEPTIEMBRE","OCTUBRE","NOVIEMBRE","DICIEMBRE"))</f>
        <v/>
      </c>
      <c r="I786" s="34">
        <f>IF($A786="","",IF(OR($G786="SÁBADO",$G786="DOMINGO"),"FIN","LV"))</f>
        <v/>
      </c>
      <c r="J786" s="34">
        <f>IF(OR($A786="",$B786=""),"",IF($L786&lt;&gt;"",UPPER($L786),IF($C786="","FALTA",IFERROR(IF($C786&gt;=$O786,"ROJO FUERTE",IF($C786&gt;=$N786,"ROJO",IF($C786&gt;=$M786,"AMARILLO","VERDE"))),"REVISAR"))))</f>
        <v/>
      </c>
      <c r="K786" s="36">
        <f>IF(OR($C786="",$D786=""),"",IF($D786&gt;=$C786,($D786-$C786)*24,(1-$C786+$D786)*24))</f>
        <v/>
      </c>
      <c r="L786" s="34" t="n"/>
      <c r="M786" s="53">
        <f t="array" ref="M786">IFERROR(INDEX(EXCEPCIONES_FECHA!$D$2:$D$201,MATCH(1,(EXCEPCIONES_FECHA!$A$2:$A$201=$A786)*(EXCEPCIONES_FECHA!$B$2:$B$201=$B786),0)),IFERROR(INDEX(EXCEPCIONES_FECHA!$D$2:$D$201,MATCH(1,(EXCEPCIONES_FECHA!$A$2:$A$201=$A786)*(EXCEPCIONES_FECHA!$B$2:$B$201=""),0)),IFERROR(INDEX(IF($I786="FIN",HISTORIAL_HORARIOS!$J$2:$J$201,HISTORIAL_HORARIOS!$F$2:$F$201),MATCH(1,(HISTORIAL_HORARIOS!$A$2:$A$201=$B786)*(HISTORIAL_HORARIOS!$C$2:$C$201&lt;=$A786)*(HISTORIAL_HORARIOS!$D$2:$D$201&gt;=$A786),0)),INDEX(IF($I786="FIN",PERSONAL!$J$2:$J$80,PERSONAL!$F$2:$F$80),MATCH($B786,PERSONAL!$A$2:$A$80,0)))))</f>
        <v/>
      </c>
      <c r="N786" s="53">
        <f t="array" ref="N786">IFERROR(INDEX(EXCEPCIONES_FECHA!$E$2:$E$201,MATCH(1,(EXCEPCIONES_FECHA!$A$2:$A$201=$A786)*(EXCEPCIONES_FECHA!$B$2:$B$201=$B786),0)),IFERROR(INDEX(EXCEPCIONES_FECHA!$E$2:$E$201,MATCH(1,(EXCEPCIONES_FECHA!$A$2:$A$201=$A786)*(EXCEPCIONES_FECHA!$B$2:$B$201=""),0)),IFERROR(INDEX(IF($I786="FIN",HISTORIAL_HORARIOS!$K$2:$K$201,HISTORIAL_HORARIOS!$G$2:$G$201),MATCH(1,(HISTORIAL_HORARIOS!$A$2:$A$201=$B786)*(HISTORIAL_HORARIOS!$C$2:$C$201&lt;=$A786)*(HISTORIAL_HORARIOS!$D$2:$D$201&gt;=$A786),0)),INDEX(IF($I786="FIN",PERSONAL!$K$2:$K$80,PERSONAL!$G$2:$G$80),MATCH($B786,PERSONAL!$A$2:$A$80,0)))))</f>
        <v/>
      </c>
      <c r="O786" s="53">
        <f t="array" ref="O786">IFERROR(INDEX(EXCEPCIONES_FECHA!$F$2:$F$201,MATCH(1,(EXCEPCIONES_FECHA!$A$2:$A$201=$A786)*(EXCEPCIONES_FECHA!$B$2:$B$201=$B786),0)),IFERROR(INDEX(EXCEPCIONES_FECHA!$F$2:$F$201,MATCH(1,(EXCEPCIONES_FECHA!$A$2:$A$201=$A786)*(EXCEPCIONES_FECHA!$B$2:$B$201=""),0)),IFERROR(INDEX(IF($I786="FIN",HISTORIAL_HORARIOS!$L$2:$L$201,HISTORIAL_HORARIOS!$H$2:$H$201),MATCH(1,(HISTORIAL_HORARIOS!$A$2:$A$201=$B786)*(HISTORIAL_HORARIOS!$C$2:$C$201&lt;=$A786)*(HISTORIAL_HORARIOS!$D$2:$D$201&gt;=$A786),0)),INDEX(IF($I786="FIN",PERSONAL!$L$2:$L$80,PERSONAL!$H$2:$H$80),MATCH($B786,PERSONAL!$A$2:$A$80,0)))))</f>
        <v/>
      </c>
    </row>
    <row r="787" ht="15" customHeight="1" s="58">
      <c r="A787" s="37" t="n"/>
      <c r="B787" s="38" t="n"/>
      <c r="C787" s="39" t="n"/>
      <c r="D787" s="39" t="n"/>
      <c r="E787" s="34">
        <f t="array" ref="E787">IF($B787="","",IFERROR(INDEX(PERSONAL!$B$2:$B$80,MATCH($B787,PERSONAL!$A$2:$A$80,0)),"NO EXISTE"))</f>
        <v/>
      </c>
      <c r="F787" s="52">
        <f t="array" ref="F787">IF($B787="","",IFERROR(INDEX(PERSONAL!$C$2:$C$80,MATCH($B787,PERSONAL!$A$2:$A$80,0)),""))</f>
        <v/>
      </c>
      <c r="G787" s="52">
        <f>IF($A787="","",CHOOSE(WEEKDAY($A787,2),"LUNES","MARTES","MIÉRCOLES","JUEVES","VIERNES","SÁBADO","DOMINGO"))</f>
        <v/>
      </c>
      <c r="H787" s="34">
        <f>IF($A787="","",CHOOSE(MONTH($A787),"ENERO","FEBRERO","MARZO","ABRIL","MAYO","JUNIO","JULIO","AGOSTO","SEPTIEMBRE","OCTUBRE","NOVIEMBRE","DICIEMBRE"))</f>
        <v/>
      </c>
      <c r="I787" s="34">
        <f>IF($A787="","",IF(OR($G787="SÁBADO",$G787="DOMINGO"),"FIN","LV"))</f>
        <v/>
      </c>
      <c r="J787" s="34">
        <f>IF(OR($A787="",$B787=""),"",IF($L787&lt;&gt;"",UPPER($L787),IF($C787="","FALTA",IFERROR(IF($C787&gt;=$O787,"ROJO FUERTE",IF($C787&gt;=$N787,"ROJO",IF($C787&gt;=$M787,"AMARILLO","VERDE"))),"REVISAR"))))</f>
        <v/>
      </c>
      <c r="K787" s="36">
        <f>IF(OR($C787="",$D787=""),"",IF($D787&gt;=$C787,($D787-$C787)*24,(1-$C787+$D787)*24))</f>
        <v/>
      </c>
      <c r="L787" s="34" t="n"/>
      <c r="M787" s="53">
        <f t="array" ref="M787">IFERROR(INDEX(EXCEPCIONES_FECHA!$D$2:$D$201,MATCH(1,(EXCEPCIONES_FECHA!$A$2:$A$201=$A787)*(EXCEPCIONES_FECHA!$B$2:$B$201=$B787),0)),IFERROR(INDEX(EXCEPCIONES_FECHA!$D$2:$D$201,MATCH(1,(EXCEPCIONES_FECHA!$A$2:$A$201=$A787)*(EXCEPCIONES_FECHA!$B$2:$B$201=""),0)),IFERROR(INDEX(IF($I787="FIN",HISTORIAL_HORARIOS!$J$2:$J$201,HISTORIAL_HORARIOS!$F$2:$F$201),MATCH(1,(HISTORIAL_HORARIOS!$A$2:$A$201=$B787)*(HISTORIAL_HORARIOS!$C$2:$C$201&lt;=$A787)*(HISTORIAL_HORARIOS!$D$2:$D$201&gt;=$A787),0)),INDEX(IF($I787="FIN",PERSONAL!$J$2:$J$80,PERSONAL!$F$2:$F$80),MATCH($B787,PERSONAL!$A$2:$A$80,0)))))</f>
        <v/>
      </c>
      <c r="N787" s="53">
        <f t="array" ref="N787">IFERROR(INDEX(EXCEPCIONES_FECHA!$E$2:$E$201,MATCH(1,(EXCEPCIONES_FECHA!$A$2:$A$201=$A787)*(EXCEPCIONES_FECHA!$B$2:$B$201=$B787),0)),IFERROR(INDEX(EXCEPCIONES_FECHA!$E$2:$E$201,MATCH(1,(EXCEPCIONES_FECHA!$A$2:$A$201=$A787)*(EXCEPCIONES_FECHA!$B$2:$B$201=""),0)),IFERROR(INDEX(IF($I787="FIN",HISTORIAL_HORARIOS!$K$2:$K$201,HISTORIAL_HORARIOS!$G$2:$G$201),MATCH(1,(HISTORIAL_HORARIOS!$A$2:$A$201=$B787)*(HISTORIAL_HORARIOS!$C$2:$C$201&lt;=$A787)*(HISTORIAL_HORARIOS!$D$2:$D$201&gt;=$A787),0)),INDEX(IF($I787="FIN",PERSONAL!$K$2:$K$80,PERSONAL!$G$2:$G$80),MATCH($B787,PERSONAL!$A$2:$A$80,0)))))</f>
        <v/>
      </c>
      <c r="O787" s="53">
        <f t="array" ref="O787">IFERROR(INDEX(EXCEPCIONES_FECHA!$F$2:$F$201,MATCH(1,(EXCEPCIONES_FECHA!$A$2:$A$201=$A787)*(EXCEPCIONES_FECHA!$B$2:$B$201=$B787),0)),IFERROR(INDEX(EXCEPCIONES_FECHA!$F$2:$F$201,MATCH(1,(EXCEPCIONES_FECHA!$A$2:$A$201=$A787)*(EXCEPCIONES_FECHA!$B$2:$B$201=""),0)),IFERROR(INDEX(IF($I787="FIN",HISTORIAL_HORARIOS!$L$2:$L$201,HISTORIAL_HORARIOS!$H$2:$H$201),MATCH(1,(HISTORIAL_HORARIOS!$A$2:$A$201=$B787)*(HISTORIAL_HORARIOS!$C$2:$C$201&lt;=$A787)*(HISTORIAL_HORARIOS!$D$2:$D$201&gt;=$A787),0)),INDEX(IF($I787="FIN",PERSONAL!$L$2:$L$80,PERSONAL!$H$2:$H$80),MATCH($B787,PERSONAL!$A$2:$A$80,0)))))</f>
        <v/>
      </c>
    </row>
    <row r="788" ht="15" customHeight="1" s="58">
      <c r="A788" s="37" t="n"/>
      <c r="B788" s="38" t="n"/>
      <c r="C788" s="39" t="n"/>
      <c r="D788" s="39" t="n"/>
      <c r="E788" s="34">
        <f t="array" ref="E788">IF($B788="","",IFERROR(INDEX(PERSONAL!$B$2:$B$80,MATCH($B788,PERSONAL!$A$2:$A$80,0)),"NO EXISTE"))</f>
        <v/>
      </c>
      <c r="F788" s="52">
        <f t="array" ref="F788">IF($B788="","",IFERROR(INDEX(PERSONAL!$C$2:$C$80,MATCH($B788,PERSONAL!$A$2:$A$80,0)),""))</f>
        <v/>
      </c>
      <c r="G788" s="52">
        <f>IF($A788="","",CHOOSE(WEEKDAY($A788,2),"LUNES","MARTES","MIÉRCOLES","JUEVES","VIERNES","SÁBADO","DOMINGO"))</f>
        <v/>
      </c>
      <c r="H788" s="34">
        <f>IF($A788="","",CHOOSE(MONTH($A788),"ENERO","FEBRERO","MARZO","ABRIL","MAYO","JUNIO","JULIO","AGOSTO","SEPTIEMBRE","OCTUBRE","NOVIEMBRE","DICIEMBRE"))</f>
        <v/>
      </c>
      <c r="I788" s="34">
        <f>IF($A788="","",IF(OR($G788="SÁBADO",$G788="DOMINGO"),"FIN","LV"))</f>
        <v/>
      </c>
      <c r="J788" s="34">
        <f>IF(OR($A788="",$B788=""),"",IF($L788&lt;&gt;"",UPPER($L788),IF($C788="","FALTA",IFERROR(IF($C788&gt;=$O788,"ROJO FUERTE",IF($C788&gt;=$N788,"ROJO",IF($C788&gt;=$M788,"AMARILLO","VERDE"))),"REVISAR"))))</f>
        <v/>
      </c>
      <c r="K788" s="36">
        <f>IF(OR($C788="",$D788=""),"",IF($D788&gt;=$C788,($D788-$C788)*24,(1-$C788+$D788)*24))</f>
        <v/>
      </c>
      <c r="L788" s="34" t="n"/>
      <c r="M788" s="53">
        <f t="array" ref="M788">IFERROR(INDEX(EXCEPCIONES_FECHA!$D$2:$D$201,MATCH(1,(EXCEPCIONES_FECHA!$A$2:$A$201=$A788)*(EXCEPCIONES_FECHA!$B$2:$B$201=$B788),0)),IFERROR(INDEX(EXCEPCIONES_FECHA!$D$2:$D$201,MATCH(1,(EXCEPCIONES_FECHA!$A$2:$A$201=$A788)*(EXCEPCIONES_FECHA!$B$2:$B$201=""),0)),IFERROR(INDEX(IF($I788="FIN",HISTORIAL_HORARIOS!$J$2:$J$201,HISTORIAL_HORARIOS!$F$2:$F$201),MATCH(1,(HISTORIAL_HORARIOS!$A$2:$A$201=$B788)*(HISTORIAL_HORARIOS!$C$2:$C$201&lt;=$A788)*(HISTORIAL_HORARIOS!$D$2:$D$201&gt;=$A788),0)),INDEX(IF($I788="FIN",PERSONAL!$J$2:$J$80,PERSONAL!$F$2:$F$80),MATCH($B788,PERSONAL!$A$2:$A$80,0)))))</f>
        <v/>
      </c>
      <c r="N788" s="53">
        <f t="array" ref="N788">IFERROR(INDEX(EXCEPCIONES_FECHA!$E$2:$E$201,MATCH(1,(EXCEPCIONES_FECHA!$A$2:$A$201=$A788)*(EXCEPCIONES_FECHA!$B$2:$B$201=$B788),0)),IFERROR(INDEX(EXCEPCIONES_FECHA!$E$2:$E$201,MATCH(1,(EXCEPCIONES_FECHA!$A$2:$A$201=$A788)*(EXCEPCIONES_FECHA!$B$2:$B$201=""),0)),IFERROR(INDEX(IF($I788="FIN",HISTORIAL_HORARIOS!$K$2:$K$201,HISTORIAL_HORARIOS!$G$2:$G$201),MATCH(1,(HISTORIAL_HORARIOS!$A$2:$A$201=$B788)*(HISTORIAL_HORARIOS!$C$2:$C$201&lt;=$A788)*(HISTORIAL_HORARIOS!$D$2:$D$201&gt;=$A788),0)),INDEX(IF($I788="FIN",PERSONAL!$K$2:$K$80,PERSONAL!$G$2:$G$80),MATCH($B788,PERSONAL!$A$2:$A$80,0)))))</f>
        <v/>
      </c>
      <c r="O788" s="53">
        <f t="array" ref="O788">IFERROR(INDEX(EXCEPCIONES_FECHA!$F$2:$F$201,MATCH(1,(EXCEPCIONES_FECHA!$A$2:$A$201=$A788)*(EXCEPCIONES_FECHA!$B$2:$B$201=$B788),0)),IFERROR(INDEX(EXCEPCIONES_FECHA!$F$2:$F$201,MATCH(1,(EXCEPCIONES_FECHA!$A$2:$A$201=$A788)*(EXCEPCIONES_FECHA!$B$2:$B$201=""),0)),IFERROR(INDEX(IF($I788="FIN",HISTORIAL_HORARIOS!$L$2:$L$201,HISTORIAL_HORARIOS!$H$2:$H$201),MATCH(1,(HISTORIAL_HORARIOS!$A$2:$A$201=$B788)*(HISTORIAL_HORARIOS!$C$2:$C$201&lt;=$A788)*(HISTORIAL_HORARIOS!$D$2:$D$201&gt;=$A788),0)),INDEX(IF($I788="FIN",PERSONAL!$L$2:$L$80,PERSONAL!$H$2:$H$80),MATCH($B788,PERSONAL!$A$2:$A$80,0)))))</f>
        <v/>
      </c>
    </row>
    <row r="789" ht="15" customHeight="1" s="58">
      <c r="A789" s="37" t="n"/>
      <c r="B789" s="38" t="n"/>
      <c r="C789" s="39" t="n"/>
      <c r="D789" s="39" t="n"/>
      <c r="E789" s="34">
        <f t="array" ref="E789">IF($B789="","",IFERROR(INDEX(PERSONAL!$B$2:$B$80,MATCH($B789,PERSONAL!$A$2:$A$80,0)),"NO EXISTE"))</f>
        <v/>
      </c>
      <c r="F789" s="52">
        <f t="array" ref="F789">IF($B789="","",IFERROR(INDEX(PERSONAL!$C$2:$C$80,MATCH($B789,PERSONAL!$A$2:$A$80,0)),""))</f>
        <v/>
      </c>
      <c r="G789" s="52">
        <f>IF($A789="","",CHOOSE(WEEKDAY($A789,2),"LUNES","MARTES","MIÉRCOLES","JUEVES","VIERNES","SÁBADO","DOMINGO"))</f>
        <v/>
      </c>
      <c r="H789" s="34">
        <f>IF($A789="","",CHOOSE(MONTH($A789),"ENERO","FEBRERO","MARZO","ABRIL","MAYO","JUNIO","JULIO","AGOSTO","SEPTIEMBRE","OCTUBRE","NOVIEMBRE","DICIEMBRE"))</f>
        <v/>
      </c>
      <c r="I789" s="34">
        <f>IF($A789="","",IF(OR($G789="SÁBADO",$G789="DOMINGO"),"FIN","LV"))</f>
        <v/>
      </c>
      <c r="J789" s="34">
        <f>IF(OR($A789="",$B789=""),"",IF($L789&lt;&gt;"",UPPER($L789),IF($C789="","FALTA",IFERROR(IF($C789&gt;=$O789,"ROJO FUERTE",IF($C789&gt;=$N789,"ROJO",IF($C789&gt;=$M789,"AMARILLO","VERDE"))),"REVISAR"))))</f>
        <v/>
      </c>
      <c r="K789" s="36">
        <f>IF(OR($C789="",$D789=""),"",IF($D789&gt;=$C789,($D789-$C789)*24,(1-$C789+$D789)*24))</f>
        <v/>
      </c>
      <c r="L789" s="34" t="n"/>
      <c r="M789" s="53">
        <f t="array" ref="M789">IFERROR(INDEX(EXCEPCIONES_FECHA!$D$2:$D$201,MATCH(1,(EXCEPCIONES_FECHA!$A$2:$A$201=$A789)*(EXCEPCIONES_FECHA!$B$2:$B$201=$B789),0)),IFERROR(INDEX(EXCEPCIONES_FECHA!$D$2:$D$201,MATCH(1,(EXCEPCIONES_FECHA!$A$2:$A$201=$A789)*(EXCEPCIONES_FECHA!$B$2:$B$201=""),0)),IFERROR(INDEX(IF($I789="FIN",HISTORIAL_HORARIOS!$J$2:$J$201,HISTORIAL_HORARIOS!$F$2:$F$201),MATCH(1,(HISTORIAL_HORARIOS!$A$2:$A$201=$B789)*(HISTORIAL_HORARIOS!$C$2:$C$201&lt;=$A789)*(HISTORIAL_HORARIOS!$D$2:$D$201&gt;=$A789),0)),INDEX(IF($I789="FIN",PERSONAL!$J$2:$J$80,PERSONAL!$F$2:$F$80),MATCH($B789,PERSONAL!$A$2:$A$80,0)))))</f>
        <v/>
      </c>
      <c r="N789" s="53">
        <f t="array" ref="N789">IFERROR(INDEX(EXCEPCIONES_FECHA!$E$2:$E$201,MATCH(1,(EXCEPCIONES_FECHA!$A$2:$A$201=$A789)*(EXCEPCIONES_FECHA!$B$2:$B$201=$B789),0)),IFERROR(INDEX(EXCEPCIONES_FECHA!$E$2:$E$201,MATCH(1,(EXCEPCIONES_FECHA!$A$2:$A$201=$A789)*(EXCEPCIONES_FECHA!$B$2:$B$201=""),0)),IFERROR(INDEX(IF($I789="FIN",HISTORIAL_HORARIOS!$K$2:$K$201,HISTORIAL_HORARIOS!$G$2:$G$201),MATCH(1,(HISTORIAL_HORARIOS!$A$2:$A$201=$B789)*(HISTORIAL_HORARIOS!$C$2:$C$201&lt;=$A789)*(HISTORIAL_HORARIOS!$D$2:$D$201&gt;=$A789),0)),INDEX(IF($I789="FIN",PERSONAL!$K$2:$K$80,PERSONAL!$G$2:$G$80),MATCH($B789,PERSONAL!$A$2:$A$80,0)))))</f>
        <v/>
      </c>
      <c r="O789" s="53">
        <f t="array" ref="O789">IFERROR(INDEX(EXCEPCIONES_FECHA!$F$2:$F$201,MATCH(1,(EXCEPCIONES_FECHA!$A$2:$A$201=$A789)*(EXCEPCIONES_FECHA!$B$2:$B$201=$B789),0)),IFERROR(INDEX(EXCEPCIONES_FECHA!$F$2:$F$201,MATCH(1,(EXCEPCIONES_FECHA!$A$2:$A$201=$A789)*(EXCEPCIONES_FECHA!$B$2:$B$201=""),0)),IFERROR(INDEX(IF($I789="FIN",HISTORIAL_HORARIOS!$L$2:$L$201,HISTORIAL_HORARIOS!$H$2:$H$201),MATCH(1,(HISTORIAL_HORARIOS!$A$2:$A$201=$B789)*(HISTORIAL_HORARIOS!$C$2:$C$201&lt;=$A789)*(HISTORIAL_HORARIOS!$D$2:$D$201&gt;=$A789),0)),INDEX(IF($I789="FIN",PERSONAL!$L$2:$L$80,PERSONAL!$H$2:$H$80),MATCH($B789,PERSONAL!$A$2:$A$80,0)))))</f>
        <v/>
      </c>
    </row>
    <row r="790" ht="15" customHeight="1" s="58">
      <c r="A790" s="37" t="n"/>
      <c r="B790" s="38" t="n"/>
      <c r="C790" s="39" t="n"/>
      <c r="D790" s="39" t="n"/>
      <c r="E790" s="34">
        <f t="array" ref="E790">IF($B790="","",IFERROR(INDEX(PERSONAL!$B$2:$B$80,MATCH($B790,PERSONAL!$A$2:$A$80,0)),"NO EXISTE"))</f>
        <v/>
      </c>
      <c r="F790" s="52">
        <f t="array" ref="F790">IF($B790="","",IFERROR(INDEX(PERSONAL!$C$2:$C$80,MATCH($B790,PERSONAL!$A$2:$A$80,0)),""))</f>
        <v/>
      </c>
      <c r="G790" s="52">
        <f>IF($A790="","",CHOOSE(WEEKDAY($A790,2),"LUNES","MARTES","MIÉRCOLES","JUEVES","VIERNES","SÁBADO","DOMINGO"))</f>
        <v/>
      </c>
      <c r="H790" s="34">
        <f>IF($A790="","",CHOOSE(MONTH($A790),"ENERO","FEBRERO","MARZO","ABRIL","MAYO","JUNIO","JULIO","AGOSTO","SEPTIEMBRE","OCTUBRE","NOVIEMBRE","DICIEMBRE"))</f>
        <v/>
      </c>
      <c r="I790" s="34">
        <f>IF($A790="","",IF(OR($G790="SÁBADO",$G790="DOMINGO"),"FIN","LV"))</f>
        <v/>
      </c>
      <c r="J790" s="34">
        <f>IF(OR($A790="",$B790=""),"",IF($L790&lt;&gt;"",UPPER($L790),IF($C790="","FALTA",IFERROR(IF($C790&gt;=$O790,"ROJO FUERTE",IF($C790&gt;=$N790,"ROJO",IF($C790&gt;=$M790,"AMARILLO","VERDE"))),"REVISAR"))))</f>
        <v/>
      </c>
      <c r="K790" s="36">
        <f>IF(OR($C790="",$D790=""),"",IF($D790&gt;=$C790,($D790-$C790)*24,(1-$C790+$D790)*24))</f>
        <v/>
      </c>
      <c r="L790" s="34" t="n"/>
      <c r="M790" s="53">
        <f t="array" ref="M790">IFERROR(INDEX(EXCEPCIONES_FECHA!$D$2:$D$201,MATCH(1,(EXCEPCIONES_FECHA!$A$2:$A$201=$A790)*(EXCEPCIONES_FECHA!$B$2:$B$201=$B790),0)),IFERROR(INDEX(EXCEPCIONES_FECHA!$D$2:$D$201,MATCH(1,(EXCEPCIONES_FECHA!$A$2:$A$201=$A790)*(EXCEPCIONES_FECHA!$B$2:$B$201=""),0)),IFERROR(INDEX(IF($I790="FIN",HISTORIAL_HORARIOS!$J$2:$J$201,HISTORIAL_HORARIOS!$F$2:$F$201),MATCH(1,(HISTORIAL_HORARIOS!$A$2:$A$201=$B790)*(HISTORIAL_HORARIOS!$C$2:$C$201&lt;=$A790)*(HISTORIAL_HORARIOS!$D$2:$D$201&gt;=$A790),0)),INDEX(IF($I790="FIN",PERSONAL!$J$2:$J$80,PERSONAL!$F$2:$F$80),MATCH($B790,PERSONAL!$A$2:$A$80,0)))))</f>
        <v/>
      </c>
      <c r="N790" s="53">
        <f t="array" ref="N790">IFERROR(INDEX(EXCEPCIONES_FECHA!$E$2:$E$201,MATCH(1,(EXCEPCIONES_FECHA!$A$2:$A$201=$A790)*(EXCEPCIONES_FECHA!$B$2:$B$201=$B790),0)),IFERROR(INDEX(EXCEPCIONES_FECHA!$E$2:$E$201,MATCH(1,(EXCEPCIONES_FECHA!$A$2:$A$201=$A790)*(EXCEPCIONES_FECHA!$B$2:$B$201=""),0)),IFERROR(INDEX(IF($I790="FIN",HISTORIAL_HORARIOS!$K$2:$K$201,HISTORIAL_HORARIOS!$G$2:$G$201),MATCH(1,(HISTORIAL_HORARIOS!$A$2:$A$201=$B790)*(HISTORIAL_HORARIOS!$C$2:$C$201&lt;=$A790)*(HISTORIAL_HORARIOS!$D$2:$D$201&gt;=$A790),0)),INDEX(IF($I790="FIN",PERSONAL!$K$2:$K$80,PERSONAL!$G$2:$G$80),MATCH($B790,PERSONAL!$A$2:$A$80,0)))))</f>
        <v/>
      </c>
      <c r="O790" s="53">
        <f t="array" ref="O790">IFERROR(INDEX(EXCEPCIONES_FECHA!$F$2:$F$201,MATCH(1,(EXCEPCIONES_FECHA!$A$2:$A$201=$A790)*(EXCEPCIONES_FECHA!$B$2:$B$201=$B790),0)),IFERROR(INDEX(EXCEPCIONES_FECHA!$F$2:$F$201,MATCH(1,(EXCEPCIONES_FECHA!$A$2:$A$201=$A790)*(EXCEPCIONES_FECHA!$B$2:$B$201=""),0)),IFERROR(INDEX(IF($I790="FIN",HISTORIAL_HORARIOS!$L$2:$L$201,HISTORIAL_HORARIOS!$H$2:$H$201),MATCH(1,(HISTORIAL_HORARIOS!$A$2:$A$201=$B790)*(HISTORIAL_HORARIOS!$C$2:$C$201&lt;=$A790)*(HISTORIAL_HORARIOS!$D$2:$D$201&gt;=$A790),0)),INDEX(IF($I790="FIN",PERSONAL!$L$2:$L$80,PERSONAL!$H$2:$H$80),MATCH($B790,PERSONAL!$A$2:$A$80,0)))))</f>
        <v/>
      </c>
    </row>
    <row r="791" ht="15" customHeight="1" s="58">
      <c r="A791" s="37" t="n"/>
      <c r="B791" s="38" t="n"/>
      <c r="C791" s="39" t="n"/>
      <c r="D791" s="39" t="n"/>
      <c r="E791" s="34">
        <f t="array" ref="E791">IF($B791="","",IFERROR(INDEX(PERSONAL!$B$2:$B$80,MATCH($B791,PERSONAL!$A$2:$A$80,0)),"NO EXISTE"))</f>
        <v/>
      </c>
      <c r="F791" s="52">
        <f t="array" ref="F791">IF($B791="","",IFERROR(INDEX(PERSONAL!$C$2:$C$80,MATCH($B791,PERSONAL!$A$2:$A$80,0)),""))</f>
        <v/>
      </c>
      <c r="G791" s="52">
        <f>IF($A791="","",CHOOSE(WEEKDAY($A791,2),"LUNES","MARTES","MIÉRCOLES","JUEVES","VIERNES","SÁBADO","DOMINGO"))</f>
        <v/>
      </c>
      <c r="H791" s="34">
        <f>IF($A791="","",CHOOSE(MONTH($A791),"ENERO","FEBRERO","MARZO","ABRIL","MAYO","JUNIO","JULIO","AGOSTO","SEPTIEMBRE","OCTUBRE","NOVIEMBRE","DICIEMBRE"))</f>
        <v/>
      </c>
      <c r="I791" s="34">
        <f>IF($A791="","",IF(OR($G791="SÁBADO",$G791="DOMINGO"),"FIN","LV"))</f>
        <v/>
      </c>
      <c r="J791" s="34">
        <f>IF(OR($A791="",$B791=""),"",IF($L791&lt;&gt;"",UPPER($L791),IF($C791="","FALTA",IFERROR(IF($C791&gt;=$O791,"ROJO FUERTE",IF($C791&gt;=$N791,"ROJO",IF($C791&gt;=$M791,"AMARILLO","VERDE"))),"REVISAR"))))</f>
        <v/>
      </c>
      <c r="K791" s="36">
        <f>IF(OR($C791="",$D791=""),"",IF($D791&gt;=$C791,($D791-$C791)*24,(1-$C791+$D791)*24))</f>
        <v/>
      </c>
      <c r="L791" s="34" t="n"/>
      <c r="M791" s="53">
        <f t="array" ref="M791">IFERROR(INDEX(EXCEPCIONES_FECHA!$D$2:$D$201,MATCH(1,(EXCEPCIONES_FECHA!$A$2:$A$201=$A791)*(EXCEPCIONES_FECHA!$B$2:$B$201=$B791),0)),IFERROR(INDEX(EXCEPCIONES_FECHA!$D$2:$D$201,MATCH(1,(EXCEPCIONES_FECHA!$A$2:$A$201=$A791)*(EXCEPCIONES_FECHA!$B$2:$B$201=""),0)),IFERROR(INDEX(IF($I791="FIN",HISTORIAL_HORARIOS!$J$2:$J$201,HISTORIAL_HORARIOS!$F$2:$F$201),MATCH(1,(HISTORIAL_HORARIOS!$A$2:$A$201=$B791)*(HISTORIAL_HORARIOS!$C$2:$C$201&lt;=$A791)*(HISTORIAL_HORARIOS!$D$2:$D$201&gt;=$A791),0)),INDEX(IF($I791="FIN",PERSONAL!$J$2:$J$80,PERSONAL!$F$2:$F$80),MATCH($B791,PERSONAL!$A$2:$A$80,0)))))</f>
        <v/>
      </c>
      <c r="N791" s="53">
        <f t="array" ref="N791">IFERROR(INDEX(EXCEPCIONES_FECHA!$E$2:$E$201,MATCH(1,(EXCEPCIONES_FECHA!$A$2:$A$201=$A791)*(EXCEPCIONES_FECHA!$B$2:$B$201=$B791),0)),IFERROR(INDEX(EXCEPCIONES_FECHA!$E$2:$E$201,MATCH(1,(EXCEPCIONES_FECHA!$A$2:$A$201=$A791)*(EXCEPCIONES_FECHA!$B$2:$B$201=""),0)),IFERROR(INDEX(IF($I791="FIN",HISTORIAL_HORARIOS!$K$2:$K$201,HISTORIAL_HORARIOS!$G$2:$G$201),MATCH(1,(HISTORIAL_HORARIOS!$A$2:$A$201=$B791)*(HISTORIAL_HORARIOS!$C$2:$C$201&lt;=$A791)*(HISTORIAL_HORARIOS!$D$2:$D$201&gt;=$A791),0)),INDEX(IF($I791="FIN",PERSONAL!$K$2:$K$80,PERSONAL!$G$2:$G$80),MATCH($B791,PERSONAL!$A$2:$A$80,0)))))</f>
        <v/>
      </c>
      <c r="O791" s="53">
        <f t="array" ref="O791">IFERROR(INDEX(EXCEPCIONES_FECHA!$F$2:$F$201,MATCH(1,(EXCEPCIONES_FECHA!$A$2:$A$201=$A791)*(EXCEPCIONES_FECHA!$B$2:$B$201=$B791),0)),IFERROR(INDEX(EXCEPCIONES_FECHA!$F$2:$F$201,MATCH(1,(EXCEPCIONES_FECHA!$A$2:$A$201=$A791)*(EXCEPCIONES_FECHA!$B$2:$B$201=""),0)),IFERROR(INDEX(IF($I791="FIN",HISTORIAL_HORARIOS!$L$2:$L$201,HISTORIAL_HORARIOS!$H$2:$H$201),MATCH(1,(HISTORIAL_HORARIOS!$A$2:$A$201=$B791)*(HISTORIAL_HORARIOS!$C$2:$C$201&lt;=$A791)*(HISTORIAL_HORARIOS!$D$2:$D$201&gt;=$A791),0)),INDEX(IF($I791="FIN",PERSONAL!$L$2:$L$80,PERSONAL!$H$2:$H$80),MATCH($B791,PERSONAL!$A$2:$A$80,0)))))</f>
        <v/>
      </c>
    </row>
    <row r="792" ht="15" customHeight="1" s="58">
      <c r="A792" s="37" t="n"/>
      <c r="B792" s="38" t="n"/>
      <c r="C792" s="39" t="n"/>
      <c r="D792" s="39" t="n"/>
      <c r="E792" s="34">
        <f t="array" ref="E792">IF($B792="","",IFERROR(INDEX(PERSONAL!$B$2:$B$80,MATCH($B792,PERSONAL!$A$2:$A$80,0)),"NO EXISTE"))</f>
        <v/>
      </c>
      <c r="F792" s="52">
        <f t="array" ref="F792">IF($B792="","",IFERROR(INDEX(PERSONAL!$C$2:$C$80,MATCH($B792,PERSONAL!$A$2:$A$80,0)),""))</f>
        <v/>
      </c>
      <c r="G792" s="52">
        <f>IF($A792="","",CHOOSE(WEEKDAY($A792,2),"LUNES","MARTES","MIÉRCOLES","JUEVES","VIERNES","SÁBADO","DOMINGO"))</f>
        <v/>
      </c>
      <c r="H792" s="34">
        <f>IF($A792="","",CHOOSE(MONTH($A792),"ENERO","FEBRERO","MARZO","ABRIL","MAYO","JUNIO","JULIO","AGOSTO","SEPTIEMBRE","OCTUBRE","NOVIEMBRE","DICIEMBRE"))</f>
        <v/>
      </c>
      <c r="I792" s="34">
        <f>IF($A792="","",IF(OR($G792="SÁBADO",$G792="DOMINGO"),"FIN","LV"))</f>
        <v/>
      </c>
      <c r="J792" s="34">
        <f>IF(OR($A792="",$B792=""),"",IF($L792&lt;&gt;"",UPPER($L792),IF($C792="","FALTA",IFERROR(IF($C792&gt;=$O792,"ROJO FUERTE",IF($C792&gt;=$N792,"ROJO",IF($C792&gt;=$M792,"AMARILLO","VERDE"))),"REVISAR"))))</f>
        <v/>
      </c>
      <c r="K792" s="36">
        <f>IF(OR($C792="",$D792=""),"",IF($D792&gt;=$C792,($D792-$C792)*24,(1-$C792+$D792)*24))</f>
        <v/>
      </c>
      <c r="L792" s="34" t="n"/>
      <c r="M792" s="53">
        <f t="array" ref="M792">IFERROR(INDEX(EXCEPCIONES_FECHA!$D$2:$D$201,MATCH(1,(EXCEPCIONES_FECHA!$A$2:$A$201=$A792)*(EXCEPCIONES_FECHA!$B$2:$B$201=$B792),0)),IFERROR(INDEX(EXCEPCIONES_FECHA!$D$2:$D$201,MATCH(1,(EXCEPCIONES_FECHA!$A$2:$A$201=$A792)*(EXCEPCIONES_FECHA!$B$2:$B$201=""),0)),IFERROR(INDEX(IF($I792="FIN",HISTORIAL_HORARIOS!$J$2:$J$201,HISTORIAL_HORARIOS!$F$2:$F$201),MATCH(1,(HISTORIAL_HORARIOS!$A$2:$A$201=$B792)*(HISTORIAL_HORARIOS!$C$2:$C$201&lt;=$A792)*(HISTORIAL_HORARIOS!$D$2:$D$201&gt;=$A792),0)),INDEX(IF($I792="FIN",PERSONAL!$J$2:$J$80,PERSONAL!$F$2:$F$80),MATCH($B792,PERSONAL!$A$2:$A$80,0)))))</f>
        <v/>
      </c>
      <c r="N792" s="53">
        <f t="array" ref="N792">IFERROR(INDEX(EXCEPCIONES_FECHA!$E$2:$E$201,MATCH(1,(EXCEPCIONES_FECHA!$A$2:$A$201=$A792)*(EXCEPCIONES_FECHA!$B$2:$B$201=$B792),0)),IFERROR(INDEX(EXCEPCIONES_FECHA!$E$2:$E$201,MATCH(1,(EXCEPCIONES_FECHA!$A$2:$A$201=$A792)*(EXCEPCIONES_FECHA!$B$2:$B$201=""),0)),IFERROR(INDEX(IF($I792="FIN",HISTORIAL_HORARIOS!$K$2:$K$201,HISTORIAL_HORARIOS!$G$2:$G$201),MATCH(1,(HISTORIAL_HORARIOS!$A$2:$A$201=$B792)*(HISTORIAL_HORARIOS!$C$2:$C$201&lt;=$A792)*(HISTORIAL_HORARIOS!$D$2:$D$201&gt;=$A792),0)),INDEX(IF($I792="FIN",PERSONAL!$K$2:$K$80,PERSONAL!$G$2:$G$80),MATCH($B792,PERSONAL!$A$2:$A$80,0)))))</f>
        <v/>
      </c>
      <c r="O792" s="53">
        <f t="array" ref="O792">IFERROR(INDEX(EXCEPCIONES_FECHA!$F$2:$F$201,MATCH(1,(EXCEPCIONES_FECHA!$A$2:$A$201=$A792)*(EXCEPCIONES_FECHA!$B$2:$B$201=$B792),0)),IFERROR(INDEX(EXCEPCIONES_FECHA!$F$2:$F$201,MATCH(1,(EXCEPCIONES_FECHA!$A$2:$A$201=$A792)*(EXCEPCIONES_FECHA!$B$2:$B$201=""),0)),IFERROR(INDEX(IF($I792="FIN",HISTORIAL_HORARIOS!$L$2:$L$201,HISTORIAL_HORARIOS!$H$2:$H$201),MATCH(1,(HISTORIAL_HORARIOS!$A$2:$A$201=$B792)*(HISTORIAL_HORARIOS!$C$2:$C$201&lt;=$A792)*(HISTORIAL_HORARIOS!$D$2:$D$201&gt;=$A792),0)),INDEX(IF($I792="FIN",PERSONAL!$L$2:$L$80,PERSONAL!$H$2:$H$80),MATCH($B792,PERSONAL!$A$2:$A$80,0)))))</f>
        <v/>
      </c>
    </row>
    <row r="793" ht="15" customHeight="1" s="58">
      <c r="A793" s="37" t="n"/>
      <c r="B793" s="38" t="n"/>
      <c r="C793" s="39" t="n"/>
      <c r="D793" s="39" t="n"/>
      <c r="E793" s="34">
        <f t="array" ref="E793">IF($B793="","",IFERROR(INDEX(PERSONAL!$B$2:$B$80,MATCH($B793,PERSONAL!$A$2:$A$80,0)),"NO EXISTE"))</f>
        <v/>
      </c>
      <c r="F793" s="52">
        <f t="array" ref="F793">IF($B793="","",IFERROR(INDEX(PERSONAL!$C$2:$C$80,MATCH($B793,PERSONAL!$A$2:$A$80,0)),""))</f>
        <v/>
      </c>
      <c r="G793" s="52">
        <f>IF($A793="","",CHOOSE(WEEKDAY($A793,2),"LUNES","MARTES","MIÉRCOLES","JUEVES","VIERNES","SÁBADO","DOMINGO"))</f>
        <v/>
      </c>
      <c r="H793" s="34">
        <f>IF($A793="","",CHOOSE(MONTH($A793),"ENERO","FEBRERO","MARZO","ABRIL","MAYO","JUNIO","JULIO","AGOSTO","SEPTIEMBRE","OCTUBRE","NOVIEMBRE","DICIEMBRE"))</f>
        <v/>
      </c>
      <c r="I793" s="34">
        <f>IF($A793="","",IF(OR($G793="SÁBADO",$G793="DOMINGO"),"FIN","LV"))</f>
        <v/>
      </c>
      <c r="J793" s="34">
        <f>IF(OR($A793="",$B793=""),"",IF($L793&lt;&gt;"",UPPER($L793),IF($C793="","FALTA",IFERROR(IF($C793&gt;=$O793,"ROJO FUERTE",IF($C793&gt;=$N793,"ROJO",IF($C793&gt;=$M793,"AMARILLO","VERDE"))),"REVISAR"))))</f>
        <v/>
      </c>
      <c r="K793" s="36">
        <f>IF(OR($C793="",$D793=""),"",IF($D793&gt;=$C793,($D793-$C793)*24,(1-$C793+$D793)*24))</f>
        <v/>
      </c>
      <c r="L793" s="34" t="n"/>
      <c r="M793" s="53">
        <f t="array" ref="M793">IFERROR(INDEX(EXCEPCIONES_FECHA!$D$2:$D$201,MATCH(1,(EXCEPCIONES_FECHA!$A$2:$A$201=$A793)*(EXCEPCIONES_FECHA!$B$2:$B$201=$B793),0)),IFERROR(INDEX(EXCEPCIONES_FECHA!$D$2:$D$201,MATCH(1,(EXCEPCIONES_FECHA!$A$2:$A$201=$A793)*(EXCEPCIONES_FECHA!$B$2:$B$201=""),0)),IFERROR(INDEX(IF($I793="FIN",HISTORIAL_HORARIOS!$J$2:$J$201,HISTORIAL_HORARIOS!$F$2:$F$201),MATCH(1,(HISTORIAL_HORARIOS!$A$2:$A$201=$B793)*(HISTORIAL_HORARIOS!$C$2:$C$201&lt;=$A793)*(HISTORIAL_HORARIOS!$D$2:$D$201&gt;=$A793),0)),INDEX(IF($I793="FIN",PERSONAL!$J$2:$J$80,PERSONAL!$F$2:$F$80),MATCH($B793,PERSONAL!$A$2:$A$80,0)))))</f>
        <v/>
      </c>
      <c r="N793" s="53">
        <f t="array" ref="N793">IFERROR(INDEX(EXCEPCIONES_FECHA!$E$2:$E$201,MATCH(1,(EXCEPCIONES_FECHA!$A$2:$A$201=$A793)*(EXCEPCIONES_FECHA!$B$2:$B$201=$B793),0)),IFERROR(INDEX(EXCEPCIONES_FECHA!$E$2:$E$201,MATCH(1,(EXCEPCIONES_FECHA!$A$2:$A$201=$A793)*(EXCEPCIONES_FECHA!$B$2:$B$201=""),0)),IFERROR(INDEX(IF($I793="FIN",HISTORIAL_HORARIOS!$K$2:$K$201,HISTORIAL_HORARIOS!$G$2:$G$201),MATCH(1,(HISTORIAL_HORARIOS!$A$2:$A$201=$B793)*(HISTORIAL_HORARIOS!$C$2:$C$201&lt;=$A793)*(HISTORIAL_HORARIOS!$D$2:$D$201&gt;=$A793),0)),INDEX(IF($I793="FIN",PERSONAL!$K$2:$K$80,PERSONAL!$G$2:$G$80),MATCH($B793,PERSONAL!$A$2:$A$80,0)))))</f>
        <v/>
      </c>
      <c r="O793" s="53">
        <f t="array" ref="O793">IFERROR(INDEX(EXCEPCIONES_FECHA!$F$2:$F$201,MATCH(1,(EXCEPCIONES_FECHA!$A$2:$A$201=$A793)*(EXCEPCIONES_FECHA!$B$2:$B$201=$B793),0)),IFERROR(INDEX(EXCEPCIONES_FECHA!$F$2:$F$201,MATCH(1,(EXCEPCIONES_FECHA!$A$2:$A$201=$A793)*(EXCEPCIONES_FECHA!$B$2:$B$201=""),0)),IFERROR(INDEX(IF($I793="FIN",HISTORIAL_HORARIOS!$L$2:$L$201,HISTORIAL_HORARIOS!$H$2:$H$201),MATCH(1,(HISTORIAL_HORARIOS!$A$2:$A$201=$B793)*(HISTORIAL_HORARIOS!$C$2:$C$201&lt;=$A793)*(HISTORIAL_HORARIOS!$D$2:$D$201&gt;=$A793),0)),INDEX(IF($I793="FIN",PERSONAL!$L$2:$L$80,PERSONAL!$H$2:$H$80),MATCH($B793,PERSONAL!$A$2:$A$80,0)))))</f>
        <v/>
      </c>
    </row>
    <row r="794" ht="15" customHeight="1" s="58">
      <c r="A794" s="37" t="n"/>
      <c r="B794" s="38" t="n"/>
      <c r="C794" s="39" t="n"/>
      <c r="D794" s="39" t="n"/>
      <c r="E794" s="34">
        <f t="array" ref="E794">IF($B794="","",IFERROR(INDEX(PERSONAL!$B$2:$B$80,MATCH($B794,PERSONAL!$A$2:$A$80,0)),"NO EXISTE"))</f>
        <v/>
      </c>
      <c r="F794" s="52">
        <f t="array" ref="F794">IF($B794="","",IFERROR(INDEX(PERSONAL!$C$2:$C$80,MATCH($B794,PERSONAL!$A$2:$A$80,0)),""))</f>
        <v/>
      </c>
      <c r="G794" s="52">
        <f>IF($A794="","",CHOOSE(WEEKDAY($A794,2),"LUNES","MARTES","MIÉRCOLES","JUEVES","VIERNES","SÁBADO","DOMINGO"))</f>
        <v/>
      </c>
      <c r="H794" s="34">
        <f>IF($A794="","",CHOOSE(MONTH($A794),"ENERO","FEBRERO","MARZO","ABRIL","MAYO","JUNIO","JULIO","AGOSTO","SEPTIEMBRE","OCTUBRE","NOVIEMBRE","DICIEMBRE"))</f>
        <v/>
      </c>
      <c r="I794" s="34">
        <f>IF($A794="","",IF(OR($G794="SÁBADO",$G794="DOMINGO"),"FIN","LV"))</f>
        <v/>
      </c>
      <c r="J794" s="34">
        <f>IF(OR($A794="",$B794=""),"",IF($L794&lt;&gt;"",UPPER($L794),IF($C794="","FALTA",IFERROR(IF($C794&gt;=$O794,"ROJO FUERTE",IF($C794&gt;=$N794,"ROJO",IF($C794&gt;=$M794,"AMARILLO","VERDE"))),"REVISAR"))))</f>
        <v/>
      </c>
      <c r="K794" s="36">
        <f>IF(OR($C794="",$D794=""),"",IF($D794&gt;=$C794,($D794-$C794)*24,(1-$C794+$D794)*24))</f>
        <v/>
      </c>
      <c r="L794" s="34" t="n"/>
      <c r="M794" s="53">
        <f t="array" ref="M794">IFERROR(INDEX(EXCEPCIONES_FECHA!$D$2:$D$201,MATCH(1,(EXCEPCIONES_FECHA!$A$2:$A$201=$A794)*(EXCEPCIONES_FECHA!$B$2:$B$201=$B794),0)),IFERROR(INDEX(EXCEPCIONES_FECHA!$D$2:$D$201,MATCH(1,(EXCEPCIONES_FECHA!$A$2:$A$201=$A794)*(EXCEPCIONES_FECHA!$B$2:$B$201=""),0)),IFERROR(INDEX(IF($I794="FIN",HISTORIAL_HORARIOS!$J$2:$J$201,HISTORIAL_HORARIOS!$F$2:$F$201),MATCH(1,(HISTORIAL_HORARIOS!$A$2:$A$201=$B794)*(HISTORIAL_HORARIOS!$C$2:$C$201&lt;=$A794)*(HISTORIAL_HORARIOS!$D$2:$D$201&gt;=$A794),0)),INDEX(IF($I794="FIN",PERSONAL!$J$2:$J$80,PERSONAL!$F$2:$F$80),MATCH($B794,PERSONAL!$A$2:$A$80,0)))))</f>
        <v/>
      </c>
      <c r="N794" s="53">
        <f t="array" ref="N794">IFERROR(INDEX(EXCEPCIONES_FECHA!$E$2:$E$201,MATCH(1,(EXCEPCIONES_FECHA!$A$2:$A$201=$A794)*(EXCEPCIONES_FECHA!$B$2:$B$201=$B794),0)),IFERROR(INDEX(EXCEPCIONES_FECHA!$E$2:$E$201,MATCH(1,(EXCEPCIONES_FECHA!$A$2:$A$201=$A794)*(EXCEPCIONES_FECHA!$B$2:$B$201=""),0)),IFERROR(INDEX(IF($I794="FIN",HISTORIAL_HORARIOS!$K$2:$K$201,HISTORIAL_HORARIOS!$G$2:$G$201),MATCH(1,(HISTORIAL_HORARIOS!$A$2:$A$201=$B794)*(HISTORIAL_HORARIOS!$C$2:$C$201&lt;=$A794)*(HISTORIAL_HORARIOS!$D$2:$D$201&gt;=$A794),0)),INDEX(IF($I794="FIN",PERSONAL!$K$2:$K$80,PERSONAL!$G$2:$G$80),MATCH($B794,PERSONAL!$A$2:$A$80,0)))))</f>
        <v/>
      </c>
      <c r="O794" s="53">
        <f t="array" ref="O794">IFERROR(INDEX(EXCEPCIONES_FECHA!$F$2:$F$201,MATCH(1,(EXCEPCIONES_FECHA!$A$2:$A$201=$A794)*(EXCEPCIONES_FECHA!$B$2:$B$201=$B794),0)),IFERROR(INDEX(EXCEPCIONES_FECHA!$F$2:$F$201,MATCH(1,(EXCEPCIONES_FECHA!$A$2:$A$201=$A794)*(EXCEPCIONES_FECHA!$B$2:$B$201=""),0)),IFERROR(INDEX(IF($I794="FIN",HISTORIAL_HORARIOS!$L$2:$L$201,HISTORIAL_HORARIOS!$H$2:$H$201),MATCH(1,(HISTORIAL_HORARIOS!$A$2:$A$201=$B794)*(HISTORIAL_HORARIOS!$C$2:$C$201&lt;=$A794)*(HISTORIAL_HORARIOS!$D$2:$D$201&gt;=$A794),0)),INDEX(IF($I794="FIN",PERSONAL!$L$2:$L$80,PERSONAL!$H$2:$H$80),MATCH($B794,PERSONAL!$A$2:$A$80,0)))))</f>
        <v/>
      </c>
    </row>
    <row r="795" ht="15" customHeight="1" s="58">
      <c r="A795" s="37" t="n"/>
      <c r="B795" s="38" t="n"/>
      <c r="C795" s="39" t="n"/>
      <c r="D795" s="39" t="n"/>
      <c r="E795" s="34">
        <f t="array" ref="E795">IF($B795="","",IFERROR(INDEX(PERSONAL!$B$2:$B$80,MATCH($B795,PERSONAL!$A$2:$A$80,0)),"NO EXISTE"))</f>
        <v/>
      </c>
      <c r="F795" s="52">
        <f t="array" ref="F795">IF($B795="","",IFERROR(INDEX(PERSONAL!$C$2:$C$80,MATCH($B795,PERSONAL!$A$2:$A$80,0)),""))</f>
        <v/>
      </c>
      <c r="G795" s="52">
        <f>IF($A795="","",CHOOSE(WEEKDAY($A795,2),"LUNES","MARTES","MIÉRCOLES","JUEVES","VIERNES","SÁBADO","DOMINGO"))</f>
        <v/>
      </c>
      <c r="H795" s="34">
        <f>IF($A795="","",CHOOSE(MONTH($A795),"ENERO","FEBRERO","MARZO","ABRIL","MAYO","JUNIO","JULIO","AGOSTO","SEPTIEMBRE","OCTUBRE","NOVIEMBRE","DICIEMBRE"))</f>
        <v/>
      </c>
      <c r="I795" s="34">
        <f>IF($A795="","",IF(OR($G795="SÁBADO",$G795="DOMINGO"),"FIN","LV"))</f>
        <v/>
      </c>
      <c r="J795" s="34">
        <f>IF(OR($A795="",$B795=""),"",IF($L795&lt;&gt;"",UPPER($L795),IF($C795="","FALTA",IFERROR(IF($C795&gt;=$O795,"ROJO FUERTE",IF($C795&gt;=$N795,"ROJO",IF($C795&gt;=$M795,"AMARILLO","VERDE"))),"REVISAR"))))</f>
        <v/>
      </c>
      <c r="K795" s="36">
        <f>IF(OR($C795="",$D795=""),"",IF($D795&gt;=$C795,($D795-$C795)*24,(1-$C795+$D795)*24))</f>
        <v/>
      </c>
      <c r="L795" s="34" t="n"/>
      <c r="M795" s="53">
        <f t="array" ref="M795">IFERROR(INDEX(EXCEPCIONES_FECHA!$D$2:$D$201,MATCH(1,(EXCEPCIONES_FECHA!$A$2:$A$201=$A795)*(EXCEPCIONES_FECHA!$B$2:$B$201=$B795),0)),IFERROR(INDEX(EXCEPCIONES_FECHA!$D$2:$D$201,MATCH(1,(EXCEPCIONES_FECHA!$A$2:$A$201=$A795)*(EXCEPCIONES_FECHA!$B$2:$B$201=""),0)),IFERROR(INDEX(IF($I795="FIN",HISTORIAL_HORARIOS!$J$2:$J$201,HISTORIAL_HORARIOS!$F$2:$F$201),MATCH(1,(HISTORIAL_HORARIOS!$A$2:$A$201=$B795)*(HISTORIAL_HORARIOS!$C$2:$C$201&lt;=$A795)*(HISTORIAL_HORARIOS!$D$2:$D$201&gt;=$A795),0)),INDEX(IF($I795="FIN",PERSONAL!$J$2:$J$80,PERSONAL!$F$2:$F$80),MATCH($B795,PERSONAL!$A$2:$A$80,0)))))</f>
        <v/>
      </c>
      <c r="N795" s="53">
        <f t="array" ref="N795">IFERROR(INDEX(EXCEPCIONES_FECHA!$E$2:$E$201,MATCH(1,(EXCEPCIONES_FECHA!$A$2:$A$201=$A795)*(EXCEPCIONES_FECHA!$B$2:$B$201=$B795),0)),IFERROR(INDEX(EXCEPCIONES_FECHA!$E$2:$E$201,MATCH(1,(EXCEPCIONES_FECHA!$A$2:$A$201=$A795)*(EXCEPCIONES_FECHA!$B$2:$B$201=""),0)),IFERROR(INDEX(IF($I795="FIN",HISTORIAL_HORARIOS!$K$2:$K$201,HISTORIAL_HORARIOS!$G$2:$G$201),MATCH(1,(HISTORIAL_HORARIOS!$A$2:$A$201=$B795)*(HISTORIAL_HORARIOS!$C$2:$C$201&lt;=$A795)*(HISTORIAL_HORARIOS!$D$2:$D$201&gt;=$A795),0)),INDEX(IF($I795="FIN",PERSONAL!$K$2:$K$80,PERSONAL!$G$2:$G$80),MATCH($B795,PERSONAL!$A$2:$A$80,0)))))</f>
        <v/>
      </c>
      <c r="O795" s="53">
        <f t="array" ref="O795">IFERROR(INDEX(EXCEPCIONES_FECHA!$F$2:$F$201,MATCH(1,(EXCEPCIONES_FECHA!$A$2:$A$201=$A795)*(EXCEPCIONES_FECHA!$B$2:$B$201=$B795),0)),IFERROR(INDEX(EXCEPCIONES_FECHA!$F$2:$F$201,MATCH(1,(EXCEPCIONES_FECHA!$A$2:$A$201=$A795)*(EXCEPCIONES_FECHA!$B$2:$B$201=""),0)),IFERROR(INDEX(IF($I795="FIN",HISTORIAL_HORARIOS!$L$2:$L$201,HISTORIAL_HORARIOS!$H$2:$H$201),MATCH(1,(HISTORIAL_HORARIOS!$A$2:$A$201=$B795)*(HISTORIAL_HORARIOS!$C$2:$C$201&lt;=$A795)*(HISTORIAL_HORARIOS!$D$2:$D$201&gt;=$A795),0)),INDEX(IF($I795="FIN",PERSONAL!$L$2:$L$80,PERSONAL!$H$2:$H$80),MATCH($B795,PERSONAL!$A$2:$A$80,0)))))</f>
        <v/>
      </c>
    </row>
    <row r="796" ht="15" customHeight="1" s="58">
      <c r="A796" s="37" t="n"/>
      <c r="B796" s="38" t="n"/>
      <c r="C796" s="39" t="n"/>
      <c r="D796" s="39" t="n"/>
      <c r="E796" s="34">
        <f t="array" ref="E796">IF($B796="","",IFERROR(INDEX(PERSONAL!$B$2:$B$80,MATCH($B796,PERSONAL!$A$2:$A$80,0)),"NO EXISTE"))</f>
        <v/>
      </c>
      <c r="F796" s="52">
        <f t="array" ref="F796">IF($B796="","",IFERROR(INDEX(PERSONAL!$C$2:$C$80,MATCH($B796,PERSONAL!$A$2:$A$80,0)),""))</f>
        <v/>
      </c>
      <c r="G796" s="52">
        <f>IF($A796="","",CHOOSE(WEEKDAY($A796,2),"LUNES","MARTES","MIÉRCOLES","JUEVES","VIERNES","SÁBADO","DOMINGO"))</f>
        <v/>
      </c>
      <c r="H796" s="34">
        <f>IF($A796="","",CHOOSE(MONTH($A796),"ENERO","FEBRERO","MARZO","ABRIL","MAYO","JUNIO","JULIO","AGOSTO","SEPTIEMBRE","OCTUBRE","NOVIEMBRE","DICIEMBRE"))</f>
        <v/>
      </c>
      <c r="I796" s="34">
        <f>IF($A796="","",IF(OR($G796="SÁBADO",$G796="DOMINGO"),"FIN","LV"))</f>
        <v/>
      </c>
      <c r="J796" s="34">
        <f>IF(OR($A796="",$B796=""),"",IF($L796&lt;&gt;"",UPPER($L796),IF($C796="","FALTA",IFERROR(IF($C796&gt;=$O796,"ROJO FUERTE",IF($C796&gt;=$N796,"ROJO",IF($C796&gt;=$M796,"AMARILLO","VERDE"))),"REVISAR"))))</f>
        <v/>
      </c>
      <c r="K796" s="36">
        <f>IF(OR($C796="",$D796=""),"",IF($D796&gt;=$C796,($D796-$C796)*24,(1-$C796+$D796)*24))</f>
        <v/>
      </c>
      <c r="L796" s="34" t="n"/>
      <c r="M796" s="53">
        <f t="array" ref="M796">IFERROR(INDEX(EXCEPCIONES_FECHA!$D$2:$D$201,MATCH(1,(EXCEPCIONES_FECHA!$A$2:$A$201=$A796)*(EXCEPCIONES_FECHA!$B$2:$B$201=$B796),0)),IFERROR(INDEX(EXCEPCIONES_FECHA!$D$2:$D$201,MATCH(1,(EXCEPCIONES_FECHA!$A$2:$A$201=$A796)*(EXCEPCIONES_FECHA!$B$2:$B$201=""),0)),IFERROR(INDEX(IF($I796="FIN",HISTORIAL_HORARIOS!$J$2:$J$201,HISTORIAL_HORARIOS!$F$2:$F$201),MATCH(1,(HISTORIAL_HORARIOS!$A$2:$A$201=$B796)*(HISTORIAL_HORARIOS!$C$2:$C$201&lt;=$A796)*(HISTORIAL_HORARIOS!$D$2:$D$201&gt;=$A796),0)),INDEX(IF($I796="FIN",PERSONAL!$J$2:$J$80,PERSONAL!$F$2:$F$80),MATCH($B796,PERSONAL!$A$2:$A$80,0)))))</f>
        <v/>
      </c>
      <c r="N796" s="53">
        <f t="array" ref="N796">IFERROR(INDEX(EXCEPCIONES_FECHA!$E$2:$E$201,MATCH(1,(EXCEPCIONES_FECHA!$A$2:$A$201=$A796)*(EXCEPCIONES_FECHA!$B$2:$B$201=$B796),0)),IFERROR(INDEX(EXCEPCIONES_FECHA!$E$2:$E$201,MATCH(1,(EXCEPCIONES_FECHA!$A$2:$A$201=$A796)*(EXCEPCIONES_FECHA!$B$2:$B$201=""),0)),IFERROR(INDEX(IF($I796="FIN",HISTORIAL_HORARIOS!$K$2:$K$201,HISTORIAL_HORARIOS!$G$2:$G$201),MATCH(1,(HISTORIAL_HORARIOS!$A$2:$A$201=$B796)*(HISTORIAL_HORARIOS!$C$2:$C$201&lt;=$A796)*(HISTORIAL_HORARIOS!$D$2:$D$201&gt;=$A796),0)),INDEX(IF($I796="FIN",PERSONAL!$K$2:$K$80,PERSONAL!$G$2:$G$80),MATCH($B796,PERSONAL!$A$2:$A$80,0)))))</f>
        <v/>
      </c>
      <c r="O796" s="53">
        <f t="array" ref="O796">IFERROR(INDEX(EXCEPCIONES_FECHA!$F$2:$F$201,MATCH(1,(EXCEPCIONES_FECHA!$A$2:$A$201=$A796)*(EXCEPCIONES_FECHA!$B$2:$B$201=$B796),0)),IFERROR(INDEX(EXCEPCIONES_FECHA!$F$2:$F$201,MATCH(1,(EXCEPCIONES_FECHA!$A$2:$A$201=$A796)*(EXCEPCIONES_FECHA!$B$2:$B$201=""),0)),IFERROR(INDEX(IF($I796="FIN",HISTORIAL_HORARIOS!$L$2:$L$201,HISTORIAL_HORARIOS!$H$2:$H$201),MATCH(1,(HISTORIAL_HORARIOS!$A$2:$A$201=$B796)*(HISTORIAL_HORARIOS!$C$2:$C$201&lt;=$A796)*(HISTORIAL_HORARIOS!$D$2:$D$201&gt;=$A796),0)),INDEX(IF($I796="FIN",PERSONAL!$L$2:$L$80,PERSONAL!$H$2:$H$80),MATCH($B796,PERSONAL!$A$2:$A$80,0)))))</f>
        <v/>
      </c>
    </row>
    <row r="797" ht="15" customHeight="1" s="58">
      <c r="A797" s="37" t="n"/>
      <c r="B797" s="38" t="n"/>
      <c r="C797" s="39" t="n"/>
      <c r="D797" s="39" t="n"/>
      <c r="E797" s="34">
        <f t="array" ref="E797">IF($B797="","",IFERROR(INDEX(PERSONAL!$B$2:$B$80,MATCH($B797,PERSONAL!$A$2:$A$80,0)),"NO EXISTE"))</f>
        <v/>
      </c>
      <c r="F797" s="52">
        <f t="array" ref="F797">IF($B797="","",IFERROR(INDEX(PERSONAL!$C$2:$C$80,MATCH($B797,PERSONAL!$A$2:$A$80,0)),""))</f>
        <v/>
      </c>
      <c r="G797" s="52">
        <f>IF($A797="","",CHOOSE(WEEKDAY($A797,2),"LUNES","MARTES","MIÉRCOLES","JUEVES","VIERNES","SÁBADO","DOMINGO"))</f>
        <v/>
      </c>
      <c r="H797" s="34">
        <f>IF($A797="","",CHOOSE(MONTH($A797),"ENERO","FEBRERO","MARZO","ABRIL","MAYO","JUNIO","JULIO","AGOSTO","SEPTIEMBRE","OCTUBRE","NOVIEMBRE","DICIEMBRE"))</f>
        <v/>
      </c>
      <c r="I797" s="34">
        <f>IF($A797="","",IF(OR($G797="SÁBADO",$G797="DOMINGO"),"FIN","LV"))</f>
        <v/>
      </c>
      <c r="J797" s="34">
        <f>IF(OR($A797="",$B797=""),"",IF($L797&lt;&gt;"",UPPER($L797),IF($C797="","FALTA",IFERROR(IF($C797&gt;=$O797,"ROJO FUERTE",IF($C797&gt;=$N797,"ROJO",IF($C797&gt;=$M797,"AMARILLO","VERDE"))),"REVISAR"))))</f>
        <v/>
      </c>
      <c r="K797" s="36">
        <f>IF(OR($C797="",$D797=""),"",IF($D797&gt;=$C797,($D797-$C797)*24,(1-$C797+$D797)*24))</f>
        <v/>
      </c>
      <c r="L797" s="34" t="n"/>
      <c r="M797" s="53">
        <f t="array" ref="M797">IFERROR(INDEX(EXCEPCIONES_FECHA!$D$2:$D$201,MATCH(1,(EXCEPCIONES_FECHA!$A$2:$A$201=$A797)*(EXCEPCIONES_FECHA!$B$2:$B$201=$B797),0)),IFERROR(INDEX(EXCEPCIONES_FECHA!$D$2:$D$201,MATCH(1,(EXCEPCIONES_FECHA!$A$2:$A$201=$A797)*(EXCEPCIONES_FECHA!$B$2:$B$201=""),0)),IFERROR(INDEX(IF($I797="FIN",HISTORIAL_HORARIOS!$J$2:$J$201,HISTORIAL_HORARIOS!$F$2:$F$201),MATCH(1,(HISTORIAL_HORARIOS!$A$2:$A$201=$B797)*(HISTORIAL_HORARIOS!$C$2:$C$201&lt;=$A797)*(HISTORIAL_HORARIOS!$D$2:$D$201&gt;=$A797),0)),INDEX(IF($I797="FIN",PERSONAL!$J$2:$J$80,PERSONAL!$F$2:$F$80),MATCH($B797,PERSONAL!$A$2:$A$80,0)))))</f>
        <v/>
      </c>
      <c r="N797" s="53">
        <f t="array" ref="N797">IFERROR(INDEX(EXCEPCIONES_FECHA!$E$2:$E$201,MATCH(1,(EXCEPCIONES_FECHA!$A$2:$A$201=$A797)*(EXCEPCIONES_FECHA!$B$2:$B$201=$B797),0)),IFERROR(INDEX(EXCEPCIONES_FECHA!$E$2:$E$201,MATCH(1,(EXCEPCIONES_FECHA!$A$2:$A$201=$A797)*(EXCEPCIONES_FECHA!$B$2:$B$201=""),0)),IFERROR(INDEX(IF($I797="FIN",HISTORIAL_HORARIOS!$K$2:$K$201,HISTORIAL_HORARIOS!$G$2:$G$201),MATCH(1,(HISTORIAL_HORARIOS!$A$2:$A$201=$B797)*(HISTORIAL_HORARIOS!$C$2:$C$201&lt;=$A797)*(HISTORIAL_HORARIOS!$D$2:$D$201&gt;=$A797),0)),INDEX(IF($I797="FIN",PERSONAL!$K$2:$K$80,PERSONAL!$G$2:$G$80),MATCH($B797,PERSONAL!$A$2:$A$80,0)))))</f>
        <v/>
      </c>
      <c r="O797" s="53">
        <f t="array" ref="O797">IFERROR(INDEX(EXCEPCIONES_FECHA!$F$2:$F$201,MATCH(1,(EXCEPCIONES_FECHA!$A$2:$A$201=$A797)*(EXCEPCIONES_FECHA!$B$2:$B$201=$B797),0)),IFERROR(INDEX(EXCEPCIONES_FECHA!$F$2:$F$201,MATCH(1,(EXCEPCIONES_FECHA!$A$2:$A$201=$A797)*(EXCEPCIONES_FECHA!$B$2:$B$201=""),0)),IFERROR(INDEX(IF($I797="FIN",HISTORIAL_HORARIOS!$L$2:$L$201,HISTORIAL_HORARIOS!$H$2:$H$201),MATCH(1,(HISTORIAL_HORARIOS!$A$2:$A$201=$B797)*(HISTORIAL_HORARIOS!$C$2:$C$201&lt;=$A797)*(HISTORIAL_HORARIOS!$D$2:$D$201&gt;=$A797),0)),INDEX(IF($I797="FIN",PERSONAL!$L$2:$L$80,PERSONAL!$H$2:$H$80),MATCH($B797,PERSONAL!$A$2:$A$80,0)))))</f>
        <v/>
      </c>
    </row>
    <row r="798" ht="15" customHeight="1" s="58">
      <c r="A798" s="37" t="n"/>
      <c r="B798" s="38" t="n"/>
      <c r="C798" s="39" t="n"/>
      <c r="D798" s="39" t="n"/>
      <c r="E798" s="34">
        <f t="array" ref="E798">IF($B798="","",IFERROR(INDEX(PERSONAL!$B$2:$B$80,MATCH($B798,PERSONAL!$A$2:$A$80,0)),"NO EXISTE"))</f>
        <v/>
      </c>
      <c r="F798" s="52">
        <f t="array" ref="F798">IF($B798="","",IFERROR(INDEX(PERSONAL!$C$2:$C$80,MATCH($B798,PERSONAL!$A$2:$A$80,0)),""))</f>
        <v/>
      </c>
      <c r="G798" s="52">
        <f>IF($A798="","",CHOOSE(WEEKDAY($A798,2),"LUNES","MARTES","MIÉRCOLES","JUEVES","VIERNES","SÁBADO","DOMINGO"))</f>
        <v/>
      </c>
      <c r="H798" s="34">
        <f>IF($A798="","",CHOOSE(MONTH($A798),"ENERO","FEBRERO","MARZO","ABRIL","MAYO","JUNIO","JULIO","AGOSTO","SEPTIEMBRE","OCTUBRE","NOVIEMBRE","DICIEMBRE"))</f>
        <v/>
      </c>
      <c r="I798" s="34">
        <f>IF($A798="","",IF(OR($G798="SÁBADO",$G798="DOMINGO"),"FIN","LV"))</f>
        <v/>
      </c>
      <c r="J798" s="34">
        <f>IF(OR($A798="",$B798=""),"",IF($L798&lt;&gt;"",UPPER($L798),IF($C798="","FALTA",IFERROR(IF($C798&gt;=$O798,"ROJO FUERTE",IF($C798&gt;=$N798,"ROJO",IF($C798&gt;=$M798,"AMARILLO","VERDE"))),"REVISAR"))))</f>
        <v/>
      </c>
      <c r="K798" s="36">
        <f>IF(OR($C798="",$D798=""),"",IF($D798&gt;=$C798,($D798-$C798)*24,(1-$C798+$D798)*24))</f>
        <v/>
      </c>
      <c r="L798" s="34" t="n"/>
      <c r="M798" s="53">
        <f t="array" ref="M798">IFERROR(INDEX(EXCEPCIONES_FECHA!$D$2:$D$201,MATCH(1,(EXCEPCIONES_FECHA!$A$2:$A$201=$A798)*(EXCEPCIONES_FECHA!$B$2:$B$201=$B798),0)),IFERROR(INDEX(EXCEPCIONES_FECHA!$D$2:$D$201,MATCH(1,(EXCEPCIONES_FECHA!$A$2:$A$201=$A798)*(EXCEPCIONES_FECHA!$B$2:$B$201=""),0)),IFERROR(INDEX(IF($I798="FIN",HISTORIAL_HORARIOS!$J$2:$J$201,HISTORIAL_HORARIOS!$F$2:$F$201),MATCH(1,(HISTORIAL_HORARIOS!$A$2:$A$201=$B798)*(HISTORIAL_HORARIOS!$C$2:$C$201&lt;=$A798)*(HISTORIAL_HORARIOS!$D$2:$D$201&gt;=$A798),0)),INDEX(IF($I798="FIN",PERSONAL!$J$2:$J$80,PERSONAL!$F$2:$F$80),MATCH($B798,PERSONAL!$A$2:$A$80,0)))))</f>
        <v/>
      </c>
      <c r="N798" s="53">
        <f t="array" ref="N798">IFERROR(INDEX(EXCEPCIONES_FECHA!$E$2:$E$201,MATCH(1,(EXCEPCIONES_FECHA!$A$2:$A$201=$A798)*(EXCEPCIONES_FECHA!$B$2:$B$201=$B798),0)),IFERROR(INDEX(EXCEPCIONES_FECHA!$E$2:$E$201,MATCH(1,(EXCEPCIONES_FECHA!$A$2:$A$201=$A798)*(EXCEPCIONES_FECHA!$B$2:$B$201=""),0)),IFERROR(INDEX(IF($I798="FIN",HISTORIAL_HORARIOS!$K$2:$K$201,HISTORIAL_HORARIOS!$G$2:$G$201),MATCH(1,(HISTORIAL_HORARIOS!$A$2:$A$201=$B798)*(HISTORIAL_HORARIOS!$C$2:$C$201&lt;=$A798)*(HISTORIAL_HORARIOS!$D$2:$D$201&gt;=$A798),0)),INDEX(IF($I798="FIN",PERSONAL!$K$2:$K$80,PERSONAL!$G$2:$G$80),MATCH($B798,PERSONAL!$A$2:$A$80,0)))))</f>
        <v/>
      </c>
      <c r="O798" s="53">
        <f t="array" ref="O798">IFERROR(INDEX(EXCEPCIONES_FECHA!$F$2:$F$201,MATCH(1,(EXCEPCIONES_FECHA!$A$2:$A$201=$A798)*(EXCEPCIONES_FECHA!$B$2:$B$201=$B798),0)),IFERROR(INDEX(EXCEPCIONES_FECHA!$F$2:$F$201,MATCH(1,(EXCEPCIONES_FECHA!$A$2:$A$201=$A798)*(EXCEPCIONES_FECHA!$B$2:$B$201=""),0)),IFERROR(INDEX(IF($I798="FIN",HISTORIAL_HORARIOS!$L$2:$L$201,HISTORIAL_HORARIOS!$H$2:$H$201),MATCH(1,(HISTORIAL_HORARIOS!$A$2:$A$201=$B798)*(HISTORIAL_HORARIOS!$C$2:$C$201&lt;=$A798)*(HISTORIAL_HORARIOS!$D$2:$D$201&gt;=$A798),0)),INDEX(IF($I798="FIN",PERSONAL!$L$2:$L$80,PERSONAL!$H$2:$H$80),MATCH($B798,PERSONAL!$A$2:$A$80,0)))))</f>
        <v/>
      </c>
    </row>
    <row r="799" ht="15" customHeight="1" s="58">
      <c r="A799" s="37" t="n"/>
      <c r="B799" s="38" t="n"/>
      <c r="C799" s="39" t="n"/>
      <c r="D799" s="39" t="n"/>
      <c r="E799" s="34">
        <f t="array" ref="E799">IF($B799="","",IFERROR(INDEX(PERSONAL!$B$2:$B$80,MATCH($B799,PERSONAL!$A$2:$A$80,0)),"NO EXISTE"))</f>
        <v/>
      </c>
      <c r="F799" s="52">
        <f t="array" ref="F799">IF($B799="","",IFERROR(INDEX(PERSONAL!$C$2:$C$80,MATCH($B799,PERSONAL!$A$2:$A$80,0)),""))</f>
        <v/>
      </c>
      <c r="G799" s="52">
        <f>IF($A799="","",CHOOSE(WEEKDAY($A799,2),"LUNES","MARTES","MIÉRCOLES","JUEVES","VIERNES","SÁBADO","DOMINGO"))</f>
        <v/>
      </c>
      <c r="H799" s="34">
        <f>IF($A799="","",CHOOSE(MONTH($A799),"ENERO","FEBRERO","MARZO","ABRIL","MAYO","JUNIO","JULIO","AGOSTO","SEPTIEMBRE","OCTUBRE","NOVIEMBRE","DICIEMBRE"))</f>
        <v/>
      </c>
      <c r="I799" s="34">
        <f>IF($A799="","",IF(OR($G799="SÁBADO",$G799="DOMINGO"),"FIN","LV"))</f>
        <v/>
      </c>
      <c r="J799" s="34">
        <f>IF(OR($A799="",$B799=""),"",IF($L799&lt;&gt;"",UPPER($L799),IF($C799="","FALTA",IFERROR(IF($C799&gt;=$O799,"ROJO FUERTE",IF($C799&gt;=$N799,"ROJO",IF($C799&gt;=$M799,"AMARILLO","VERDE"))),"REVISAR"))))</f>
        <v/>
      </c>
      <c r="K799" s="36">
        <f>IF(OR($C799="",$D799=""),"",IF($D799&gt;=$C799,($D799-$C799)*24,(1-$C799+$D799)*24))</f>
        <v/>
      </c>
      <c r="L799" s="34" t="n"/>
      <c r="M799" s="53">
        <f t="array" ref="M799">IFERROR(INDEX(EXCEPCIONES_FECHA!$D$2:$D$201,MATCH(1,(EXCEPCIONES_FECHA!$A$2:$A$201=$A799)*(EXCEPCIONES_FECHA!$B$2:$B$201=$B799),0)),IFERROR(INDEX(EXCEPCIONES_FECHA!$D$2:$D$201,MATCH(1,(EXCEPCIONES_FECHA!$A$2:$A$201=$A799)*(EXCEPCIONES_FECHA!$B$2:$B$201=""),0)),IFERROR(INDEX(IF($I799="FIN",HISTORIAL_HORARIOS!$J$2:$J$201,HISTORIAL_HORARIOS!$F$2:$F$201),MATCH(1,(HISTORIAL_HORARIOS!$A$2:$A$201=$B799)*(HISTORIAL_HORARIOS!$C$2:$C$201&lt;=$A799)*(HISTORIAL_HORARIOS!$D$2:$D$201&gt;=$A799),0)),INDEX(IF($I799="FIN",PERSONAL!$J$2:$J$80,PERSONAL!$F$2:$F$80),MATCH($B799,PERSONAL!$A$2:$A$80,0)))))</f>
        <v/>
      </c>
      <c r="N799" s="53">
        <f t="array" ref="N799">IFERROR(INDEX(EXCEPCIONES_FECHA!$E$2:$E$201,MATCH(1,(EXCEPCIONES_FECHA!$A$2:$A$201=$A799)*(EXCEPCIONES_FECHA!$B$2:$B$201=$B799),0)),IFERROR(INDEX(EXCEPCIONES_FECHA!$E$2:$E$201,MATCH(1,(EXCEPCIONES_FECHA!$A$2:$A$201=$A799)*(EXCEPCIONES_FECHA!$B$2:$B$201=""),0)),IFERROR(INDEX(IF($I799="FIN",HISTORIAL_HORARIOS!$K$2:$K$201,HISTORIAL_HORARIOS!$G$2:$G$201),MATCH(1,(HISTORIAL_HORARIOS!$A$2:$A$201=$B799)*(HISTORIAL_HORARIOS!$C$2:$C$201&lt;=$A799)*(HISTORIAL_HORARIOS!$D$2:$D$201&gt;=$A799),0)),INDEX(IF($I799="FIN",PERSONAL!$K$2:$K$80,PERSONAL!$G$2:$G$80),MATCH($B799,PERSONAL!$A$2:$A$80,0)))))</f>
        <v/>
      </c>
      <c r="O799" s="53">
        <f t="array" ref="O799">IFERROR(INDEX(EXCEPCIONES_FECHA!$F$2:$F$201,MATCH(1,(EXCEPCIONES_FECHA!$A$2:$A$201=$A799)*(EXCEPCIONES_FECHA!$B$2:$B$201=$B799),0)),IFERROR(INDEX(EXCEPCIONES_FECHA!$F$2:$F$201,MATCH(1,(EXCEPCIONES_FECHA!$A$2:$A$201=$A799)*(EXCEPCIONES_FECHA!$B$2:$B$201=""),0)),IFERROR(INDEX(IF($I799="FIN",HISTORIAL_HORARIOS!$L$2:$L$201,HISTORIAL_HORARIOS!$H$2:$H$201),MATCH(1,(HISTORIAL_HORARIOS!$A$2:$A$201=$B799)*(HISTORIAL_HORARIOS!$C$2:$C$201&lt;=$A799)*(HISTORIAL_HORARIOS!$D$2:$D$201&gt;=$A799),0)),INDEX(IF($I799="FIN",PERSONAL!$L$2:$L$80,PERSONAL!$H$2:$H$80),MATCH($B799,PERSONAL!$A$2:$A$80,0)))))</f>
        <v/>
      </c>
    </row>
    <row r="800" ht="15" customHeight="1" s="58">
      <c r="A800" s="37" t="n"/>
      <c r="B800" s="38" t="n"/>
      <c r="C800" s="39" t="n"/>
      <c r="D800" s="39" t="n"/>
      <c r="E800" s="34">
        <f t="array" ref="E800">IF($B800="","",IFERROR(INDEX(PERSONAL!$B$2:$B$80,MATCH($B800,PERSONAL!$A$2:$A$80,0)),"NO EXISTE"))</f>
        <v/>
      </c>
      <c r="F800" s="52">
        <f t="array" ref="F800">IF($B800="","",IFERROR(INDEX(PERSONAL!$C$2:$C$80,MATCH($B800,PERSONAL!$A$2:$A$80,0)),""))</f>
        <v/>
      </c>
      <c r="G800" s="52">
        <f>IF($A800="","",CHOOSE(WEEKDAY($A800,2),"LUNES","MARTES","MIÉRCOLES","JUEVES","VIERNES","SÁBADO","DOMINGO"))</f>
        <v/>
      </c>
      <c r="H800" s="34">
        <f>IF($A800="","",CHOOSE(MONTH($A800),"ENERO","FEBRERO","MARZO","ABRIL","MAYO","JUNIO","JULIO","AGOSTO","SEPTIEMBRE","OCTUBRE","NOVIEMBRE","DICIEMBRE"))</f>
        <v/>
      </c>
      <c r="I800" s="34">
        <f>IF($A800="","",IF(OR($G800="SÁBADO",$G800="DOMINGO"),"FIN","LV"))</f>
        <v/>
      </c>
      <c r="J800" s="34">
        <f>IF(OR($A800="",$B800=""),"",IF($L800&lt;&gt;"",UPPER($L800),IF($C800="","FALTA",IFERROR(IF($C800&gt;=$O800,"ROJO FUERTE",IF($C800&gt;=$N800,"ROJO",IF($C800&gt;=$M800,"AMARILLO","VERDE"))),"REVISAR"))))</f>
        <v/>
      </c>
      <c r="K800" s="36">
        <f>IF(OR($C800="",$D800=""),"",IF($D800&gt;=$C800,($D800-$C800)*24,(1-$C800+$D800)*24))</f>
        <v/>
      </c>
      <c r="L800" s="34" t="n"/>
      <c r="M800" s="53">
        <f t="array" ref="M800">IFERROR(INDEX(EXCEPCIONES_FECHA!$D$2:$D$201,MATCH(1,(EXCEPCIONES_FECHA!$A$2:$A$201=$A800)*(EXCEPCIONES_FECHA!$B$2:$B$201=$B800),0)),IFERROR(INDEX(EXCEPCIONES_FECHA!$D$2:$D$201,MATCH(1,(EXCEPCIONES_FECHA!$A$2:$A$201=$A800)*(EXCEPCIONES_FECHA!$B$2:$B$201=""),0)),IFERROR(INDEX(IF($I800="FIN",HISTORIAL_HORARIOS!$J$2:$J$201,HISTORIAL_HORARIOS!$F$2:$F$201),MATCH(1,(HISTORIAL_HORARIOS!$A$2:$A$201=$B800)*(HISTORIAL_HORARIOS!$C$2:$C$201&lt;=$A800)*(HISTORIAL_HORARIOS!$D$2:$D$201&gt;=$A800),0)),INDEX(IF($I800="FIN",PERSONAL!$J$2:$J$80,PERSONAL!$F$2:$F$80),MATCH($B800,PERSONAL!$A$2:$A$80,0)))))</f>
        <v/>
      </c>
      <c r="N800" s="53">
        <f t="array" ref="N800">IFERROR(INDEX(EXCEPCIONES_FECHA!$E$2:$E$201,MATCH(1,(EXCEPCIONES_FECHA!$A$2:$A$201=$A800)*(EXCEPCIONES_FECHA!$B$2:$B$201=$B800),0)),IFERROR(INDEX(EXCEPCIONES_FECHA!$E$2:$E$201,MATCH(1,(EXCEPCIONES_FECHA!$A$2:$A$201=$A800)*(EXCEPCIONES_FECHA!$B$2:$B$201=""),0)),IFERROR(INDEX(IF($I800="FIN",HISTORIAL_HORARIOS!$K$2:$K$201,HISTORIAL_HORARIOS!$G$2:$G$201),MATCH(1,(HISTORIAL_HORARIOS!$A$2:$A$201=$B800)*(HISTORIAL_HORARIOS!$C$2:$C$201&lt;=$A800)*(HISTORIAL_HORARIOS!$D$2:$D$201&gt;=$A800),0)),INDEX(IF($I800="FIN",PERSONAL!$K$2:$K$80,PERSONAL!$G$2:$G$80),MATCH($B800,PERSONAL!$A$2:$A$80,0)))))</f>
        <v/>
      </c>
      <c r="O800" s="53">
        <f t="array" ref="O800">IFERROR(INDEX(EXCEPCIONES_FECHA!$F$2:$F$201,MATCH(1,(EXCEPCIONES_FECHA!$A$2:$A$201=$A800)*(EXCEPCIONES_FECHA!$B$2:$B$201=$B800),0)),IFERROR(INDEX(EXCEPCIONES_FECHA!$F$2:$F$201,MATCH(1,(EXCEPCIONES_FECHA!$A$2:$A$201=$A800)*(EXCEPCIONES_FECHA!$B$2:$B$201=""),0)),IFERROR(INDEX(IF($I800="FIN",HISTORIAL_HORARIOS!$L$2:$L$201,HISTORIAL_HORARIOS!$H$2:$H$201),MATCH(1,(HISTORIAL_HORARIOS!$A$2:$A$201=$B800)*(HISTORIAL_HORARIOS!$C$2:$C$201&lt;=$A800)*(HISTORIAL_HORARIOS!$D$2:$D$201&gt;=$A800),0)),INDEX(IF($I800="FIN",PERSONAL!$L$2:$L$80,PERSONAL!$H$2:$H$80),MATCH($B800,PERSONAL!$A$2:$A$80,0)))))</f>
        <v/>
      </c>
    </row>
    <row r="801" ht="15" customHeight="1" s="58">
      <c r="A801" s="37" t="n"/>
      <c r="B801" s="38" t="n"/>
      <c r="C801" s="39" t="n"/>
      <c r="D801" s="39" t="n"/>
      <c r="E801" s="34">
        <f t="array" ref="E801">IF($B801="","",IFERROR(INDEX(PERSONAL!$B$2:$B$80,MATCH($B801,PERSONAL!$A$2:$A$80,0)),"NO EXISTE"))</f>
        <v/>
      </c>
      <c r="F801" s="52">
        <f t="array" ref="F801">IF($B801="","",IFERROR(INDEX(PERSONAL!$C$2:$C$80,MATCH($B801,PERSONAL!$A$2:$A$80,0)),""))</f>
        <v/>
      </c>
      <c r="G801" s="52">
        <f>IF($A801="","",CHOOSE(WEEKDAY($A801,2),"LUNES","MARTES","MIÉRCOLES","JUEVES","VIERNES","SÁBADO","DOMINGO"))</f>
        <v/>
      </c>
      <c r="H801" s="34">
        <f>IF($A801="","",CHOOSE(MONTH($A801),"ENERO","FEBRERO","MARZO","ABRIL","MAYO","JUNIO","JULIO","AGOSTO","SEPTIEMBRE","OCTUBRE","NOVIEMBRE","DICIEMBRE"))</f>
        <v/>
      </c>
      <c r="I801" s="34">
        <f>IF($A801="","",IF(OR($G801="SÁBADO",$G801="DOMINGO"),"FIN","LV"))</f>
        <v/>
      </c>
      <c r="J801" s="34">
        <f>IF(OR($A801="",$B801=""),"",IF($L801&lt;&gt;"",UPPER($L801),IF($C801="","FALTA",IFERROR(IF($C801&gt;=$O801,"ROJO FUERTE",IF($C801&gt;=$N801,"ROJO",IF($C801&gt;=$M801,"AMARILLO","VERDE"))),"REVISAR"))))</f>
        <v/>
      </c>
      <c r="K801" s="36">
        <f>IF(OR($C801="",$D801=""),"",IF($D801&gt;=$C801,($D801-$C801)*24,(1-$C801+$D801)*24))</f>
        <v/>
      </c>
      <c r="L801" s="34" t="n"/>
      <c r="M801" s="53">
        <f t="array" ref="M801">IFERROR(INDEX(EXCEPCIONES_FECHA!$D$2:$D$201,MATCH(1,(EXCEPCIONES_FECHA!$A$2:$A$201=$A801)*(EXCEPCIONES_FECHA!$B$2:$B$201=$B801),0)),IFERROR(INDEX(EXCEPCIONES_FECHA!$D$2:$D$201,MATCH(1,(EXCEPCIONES_FECHA!$A$2:$A$201=$A801)*(EXCEPCIONES_FECHA!$B$2:$B$201=""),0)),IFERROR(INDEX(IF($I801="FIN",HISTORIAL_HORARIOS!$J$2:$J$201,HISTORIAL_HORARIOS!$F$2:$F$201),MATCH(1,(HISTORIAL_HORARIOS!$A$2:$A$201=$B801)*(HISTORIAL_HORARIOS!$C$2:$C$201&lt;=$A801)*(HISTORIAL_HORARIOS!$D$2:$D$201&gt;=$A801),0)),INDEX(IF($I801="FIN",PERSONAL!$J$2:$J$80,PERSONAL!$F$2:$F$80),MATCH($B801,PERSONAL!$A$2:$A$80,0)))))</f>
        <v/>
      </c>
      <c r="N801" s="53">
        <f t="array" ref="N801">IFERROR(INDEX(EXCEPCIONES_FECHA!$E$2:$E$201,MATCH(1,(EXCEPCIONES_FECHA!$A$2:$A$201=$A801)*(EXCEPCIONES_FECHA!$B$2:$B$201=$B801),0)),IFERROR(INDEX(EXCEPCIONES_FECHA!$E$2:$E$201,MATCH(1,(EXCEPCIONES_FECHA!$A$2:$A$201=$A801)*(EXCEPCIONES_FECHA!$B$2:$B$201=""),0)),IFERROR(INDEX(IF($I801="FIN",HISTORIAL_HORARIOS!$K$2:$K$201,HISTORIAL_HORARIOS!$G$2:$G$201),MATCH(1,(HISTORIAL_HORARIOS!$A$2:$A$201=$B801)*(HISTORIAL_HORARIOS!$C$2:$C$201&lt;=$A801)*(HISTORIAL_HORARIOS!$D$2:$D$201&gt;=$A801),0)),INDEX(IF($I801="FIN",PERSONAL!$K$2:$K$80,PERSONAL!$G$2:$G$80),MATCH($B801,PERSONAL!$A$2:$A$80,0)))))</f>
        <v/>
      </c>
      <c r="O801" s="53">
        <f t="array" ref="O801">IFERROR(INDEX(EXCEPCIONES_FECHA!$F$2:$F$201,MATCH(1,(EXCEPCIONES_FECHA!$A$2:$A$201=$A801)*(EXCEPCIONES_FECHA!$B$2:$B$201=$B801),0)),IFERROR(INDEX(EXCEPCIONES_FECHA!$F$2:$F$201,MATCH(1,(EXCEPCIONES_FECHA!$A$2:$A$201=$A801)*(EXCEPCIONES_FECHA!$B$2:$B$201=""),0)),IFERROR(INDEX(IF($I801="FIN",HISTORIAL_HORARIOS!$L$2:$L$201,HISTORIAL_HORARIOS!$H$2:$H$201),MATCH(1,(HISTORIAL_HORARIOS!$A$2:$A$201=$B801)*(HISTORIAL_HORARIOS!$C$2:$C$201&lt;=$A801)*(HISTORIAL_HORARIOS!$D$2:$D$201&gt;=$A801),0)),INDEX(IF($I801="FIN",PERSONAL!$L$2:$L$80,PERSONAL!$H$2:$H$80),MATCH($B801,PERSONAL!$A$2:$A$80,0)))))</f>
        <v/>
      </c>
    </row>
    <row r="802" ht="15" customHeight="1" s="58">
      <c r="A802" s="37" t="n"/>
      <c r="B802" s="38" t="n"/>
      <c r="C802" s="39" t="n"/>
      <c r="D802" s="39" t="n"/>
      <c r="E802" s="34">
        <f t="array" ref="E802">IF($B802="","",IFERROR(INDEX(PERSONAL!$B$2:$B$80,MATCH($B802,PERSONAL!$A$2:$A$80,0)),"NO EXISTE"))</f>
        <v/>
      </c>
      <c r="F802" s="52">
        <f t="array" ref="F802">IF($B802="","",IFERROR(INDEX(PERSONAL!$C$2:$C$80,MATCH($B802,PERSONAL!$A$2:$A$80,0)),""))</f>
        <v/>
      </c>
      <c r="G802" s="52">
        <f>IF($A802="","",CHOOSE(WEEKDAY($A802,2),"LUNES","MARTES","MIÉRCOLES","JUEVES","VIERNES","SÁBADO","DOMINGO"))</f>
        <v/>
      </c>
      <c r="H802" s="34">
        <f>IF($A802="","",CHOOSE(MONTH($A802),"ENERO","FEBRERO","MARZO","ABRIL","MAYO","JUNIO","JULIO","AGOSTO","SEPTIEMBRE","OCTUBRE","NOVIEMBRE","DICIEMBRE"))</f>
        <v/>
      </c>
      <c r="I802" s="34">
        <f>IF($A802="","",IF(OR($G802="SÁBADO",$G802="DOMINGO"),"FIN","LV"))</f>
        <v/>
      </c>
      <c r="J802" s="34">
        <f>IF(OR($A802="",$B802=""),"",IF($L802&lt;&gt;"",UPPER($L802),IF($C802="","FALTA",IFERROR(IF($C802&gt;=$O802,"ROJO FUERTE",IF($C802&gt;=$N802,"ROJO",IF($C802&gt;=$M802,"AMARILLO","VERDE"))),"REVISAR"))))</f>
        <v/>
      </c>
      <c r="K802" s="36">
        <f>IF(OR($C802="",$D802=""),"",IF($D802&gt;=$C802,($D802-$C802)*24,(1-$C802+$D802)*24))</f>
        <v/>
      </c>
      <c r="L802" s="34" t="n"/>
      <c r="M802" s="53">
        <f t="array" ref="M802">IFERROR(INDEX(EXCEPCIONES_FECHA!$D$2:$D$201,MATCH(1,(EXCEPCIONES_FECHA!$A$2:$A$201=$A802)*(EXCEPCIONES_FECHA!$B$2:$B$201=$B802),0)),IFERROR(INDEX(EXCEPCIONES_FECHA!$D$2:$D$201,MATCH(1,(EXCEPCIONES_FECHA!$A$2:$A$201=$A802)*(EXCEPCIONES_FECHA!$B$2:$B$201=""),0)),IFERROR(INDEX(IF($I802="FIN",HISTORIAL_HORARIOS!$J$2:$J$201,HISTORIAL_HORARIOS!$F$2:$F$201),MATCH(1,(HISTORIAL_HORARIOS!$A$2:$A$201=$B802)*(HISTORIAL_HORARIOS!$C$2:$C$201&lt;=$A802)*(HISTORIAL_HORARIOS!$D$2:$D$201&gt;=$A802),0)),INDEX(IF($I802="FIN",PERSONAL!$J$2:$J$80,PERSONAL!$F$2:$F$80),MATCH($B802,PERSONAL!$A$2:$A$80,0)))))</f>
        <v/>
      </c>
      <c r="N802" s="53">
        <f t="array" ref="N802">IFERROR(INDEX(EXCEPCIONES_FECHA!$E$2:$E$201,MATCH(1,(EXCEPCIONES_FECHA!$A$2:$A$201=$A802)*(EXCEPCIONES_FECHA!$B$2:$B$201=$B802),0)),IFERROR(INDEX(EXCEPCIONES_FECHA!$E$2:$E$201,MATCH(1,(EXCEPCIONES_FECHA!$A$2:$A$201=$A802)*(EXCEPCIONES_FECHA!$B$2:$B$201=""),0)),IFERROR(INDEX(IF($I802="FIN",HISTORIAL_HORARIOS!$K$2:$K$201,HISTORIAL_HORARIOS!$G$2:$G$201),MATCH(1,(HISTORIAL_HORARIOS!$A$2:$A$201=$B802)*(HISTORIAL_HORARIOS!$C$2:$C$201&lt;=$A802)*(HISTORIAL_HORARIOS!$D$2:$D$201&gt;=$A802),0)),INDEX(IF($I802="FIN",PERSONAL!$K$2:$K$80,PERSONAL!$G$2:$G$80),MATCH($B802,PERSONAL!$A$2:$A$80,0)))))</f>
        <v/>
      </c>
      <c r="O802" s="53">
        <f t="array" ref="O802">IFERROR(INDEX(EXCEPCIONES_FECHA!$F$2:$F$201,MATCH(1,(EXCEPCIONES_FECHA!$A$2:$A$201=$A802)*(EXCEPCIONES_FECHA!$B$2:$B$201=$B802),0)),IFERROR(INDEX(EXCEPCIONES_FECHA!$F$2:$F$201,MATCH(1,(EXCEPCIONES_FECHA!$A$2:$A$201=$A802)*(EXCEPCIONES_FECHA!$B$2:$B$201=""),0)),IFERROR(INDEX(IF($I802="FIN",HISTORIAL_HORARIOS!$L$2:$L$201,HISTORIAL_HORARIOS!$H$2:$H$201),MATCH(1,(HISTORIAL_HORARIOS!$A$2:$A$201=$B802)*(HISTORIAL_HORARIOS!$C$2:$C$201&lt;=$A802)*(HISTORIAL_HORARIOS!$D$2:$D$201&gt;=$A802),0)),INDEX(IF($I802="FIN",PERSONAL!$L$2:$L$80,PERSONAL!$H$2:$H$80),MATCH($B802,PERSONAL!$A$2:$A$80,0)))))</f>
        <v/>
      </c>
    </row>
    <row r="803" ht="15" customHeight="1" s="58">
      <c r="A803" s="37" t="n"/>
      <c r="B803" s="38" t="n"/>
      <c r="C803" s="39" t="n"/>
      <c r="D803" s="39" t="n"/>
      <c r="E803" s="34">
        <f t="array" ref="E803">IF($B803="","",IFERROR(INDEX(PERSONAL!$B$2:$B$80,MATCH($B803,PERSONAL!$A$2:$A$80,0)),"NO EXISTE"))</f>
        <v/>
      </c>
      <c r="F803" s="52">
        <f t="array" ref="F803">IF($B803="","",IFERROR(INDEX(PERSONAL!$C$2:$C$80,MATCH($B803,PERSONAL!$A$2:$A$80,0)),""))</f>
        <v/>
      </c>
      <c r="G803" s="52">
        <f>IF($A803="","",CHOOSE(WEEKDAY($A803,2),"LUNES","MARTES","MIÉRCOLES","JUEVES","VIERNES","SÁBADO","DOMINGO"))</f>
        <v/>
      </c>
      <c r="H803" s="34">
        <f>IF($A803="","",CHOOSE(MONTH($A803),"ENERO","FEBRERO","MARZO","ABRIL","MAYO","JUNIO","JULIO","AGOSTO","SEPTIEMBRE","OCTUBRE","NOVIEMBRE","DICIEMBRE"))</f>
        <v/>
      </c>
      <c r="I803" s="34">
        <f>IF($A803="","",IF(OR($G803="SÁBADO",$G803="DOMINGO"),"FIN","LV"))</f>
        <v/>
      </c>
      <c r="J803" s="34">
        <f>IF(OR($A803="",$B803=""),"",IF($L803&lt;&gt;"",UPPER($L803),IF($C803="","FALTA",IFERROR(IF($C803&gt;=$O803,"ROJO FUERTE",IF($C803&gt;=$N803,"ROJO",IF($C803&gt;=$M803,"AMARILLO","VERDE"))),"REVISAR"))))</f>
        <v/>
      </c>
      <c r="K803" s="36">
        <f>IF(OR($C803="",$D803=""),"",IF($D803&gt;=$C803,($D803-$C803)*24,(1-$C803+$D803)*24))</f>
        <v/>
      </c>
      <c r="L803" s="34" t="n"/>
      <c r="M803" s="53">
        <f t="array" ref="M803">IFERROR(INDEX(EXCEPCIONES_FECHA!$D$2:$D$201,MATCH(1,(EXCEPCIONES_FECHA!$A$2:$A$201=$A803)*(EXCEPCIONES_FECHA!$B$2:$B$201=$B803),0)),IFERROR(INDEX(EXCEPCIONES_FECHA!$D$2:$D$201,MATCH(1,(EXCEPCIONES_FECHA!$A$2:$A$201=$A803)*(EXCEPCIONES_FECHA!$B$2:$B$201=""),0)),IFERROR(INDEX(IF($I803="FIN",HISTORIAL_HORARIOS!$J$2:$J$201,HISTORIAL_HORARIOS!$F$2:$F$201),MATCH(1,(HISTORIAL_HORARIOS!$A$2:$A$201=$B803)*(HISTORIAL_HORARIOS!$C$2:$C$201&lt;=$A803)*(HISTORIAL_HORARIOS!$D$2:$D$201&gt;=$A803),0)),INDEX(IF($I803="FIN",PERSONAL!$J$2:$J$80,PERSONAL!$F$2:$F$80),MATCH($B803,PERSONAL!$A$2:$A$80,0)))))</f>
        <v/>
      </c>
      <c r="N803" s="53">
        <f t="array" ref="N803">IFERROR(INDEX(EXCEPCIONES_FECHA!$E$2:$E$201,MATCH(1,(EXCEPCIONES_FECHA!$A$2:$A$201=$A803)*(EXCEPCIONES_FECHA!$B$2:$B$201=$B803),0)),IFERROR(INDEX(EXCEPCIONES_FECHA!$E$2:$E$201,MATCH(1,(EXCEPCIONES_FECHA!$A$2:$A$201=$A803)*(EXCEPCIONES_FECHA!$B$2:$B$201=""),0)),IFERROR(INDEX(IF($I803="FIN",HISTORIAL_HORARIOS!$K$2:$K$201,HISTORIAL_HORARIOS!$G$2:$G$201),MATCH(1,(HISTORIAL_HORARIOS!$A$2:$A$201=$B803)*(HISTORIAL_HORARIOS!$C$2:$C$201&lt;=$A803)*(HISTORIAL_HORARIOS!$D$2:$D$201&gt;=$A803),0)),INDEX(IF($I803="FIN",PERSONAL!$K$2:$K$80,PERSONAL!$G$2:$G$80),MATCH($B803,PERSONAL!$A$2:$A$80,0)))))</f>
        <v/>
      </c>
      <c r="O803" s="53">
        <f t="array" ref="O803">IFERROR(INDEX(EXCEPCIONES_FECHA!$F$2:$F$201,MATCH(1,(EXCEPCIONES_FECHA!$A$2:$A$201=$A803)*(EXCEPCIONES_FECHA!$B$2:$B$201=$B803),0)),IFERROR(INDEX(EXCEPCIONES_FECHA!$F$2:$F$201,MATCH(1,(EXCEPCIONES_FECHA!$A$2:$A$201=$A803)*(EXCEPCIONES_FECHA!$B$2:$B$201=""),0)),IFERROR(INDEX(IF($I803="FIN",HISTORIAL_HORARIOS!$L$2:$L$201,HISTORIAL_HORARIOS!$H$2:$H$201),MATCH(1,(HISTORIAL_HORARIOS!$A$2:$A$201=$B803)*(HISTORIAL_HORARIOS!$C$2:$C$201&lt;=$A803)*(HISTORIAL_HORARIOS!$D$2:$D$201&gt;=$A803),0)),INDEX(IF($I803="FIN",PERSONAL!$L$2:$L$80,PERSONAL!$H$2:$H$80),MATCH($B803,PERSONAL!$A$2:$A$80,0)))))</f>
        <v/>
      </c>
    </row>
    <row r="804" ht="15" customHeight="1" s="58">
      <c r="A804" s="37" t="n"/>
      <c r="B804" s="38" t="n"/>
      <c r="C804" s="39" t="n"/>
      <c r="D804" s="39" t="n"/>
      <c r="E804" s="34">
        <f t="array" ref="E804">IF($B804="","",IFERROR(INDEX(PERSONAL!$B$2:$B$80,MATCH($B804,PERSONAL!$A$2:$A$80,0)),"NO EXISTE"))</f>
        <v/>
      </c>
      <c r="F804" s="52">
        <f t="array" ref="F804">IF($B804="","",IFERROR(INDEX(PERSONAL!$C$2:$C$80,MATCH($B804,PERSONAL!$A$2:$A$80,0)),""))</f>
        <v/>
      </c>
      <c r="G804" s="52">
        <f>IF($A804="","",CHOOSE(WEEKDAY($A804,2),"LUNES","MARTES","MIÉRCOLES","JUEVES","VIERNES","SÁBADO","DOMINGO"))</f>
        <v/>
      </c>
      <c r="H804" s="34">
        <f>IF($A804="","",CHOOSE(MONTH($A804),"ENERO","FEBRERO","MARZO","ABRIL","MAYO","JUNIO","JULIO","AGOSTO","SEPTIEMBRE","OCTUBRE","NOVIEMBRE","DICIEMBRE"))</f>
        <v/>
      </c>
      <c r="I804" s="34">
        <f>IF($A804="","",IF(OR($G804="SÁBADO",$G804="DOMINGO"),"FIN","LV"))</f>
        <v/>
      </c>
      <c r="J804" s="34">
        <f>IF(OR($A804="",$B804=""),"",IF($L804&lt;&gt;"",UPPER($L804),IF($C804="","FALTA",IFERROR(IF($C804&gt;=$O804,"ROJO FUERTE",IF($C804&gt;=$N804,"ROJO",IF($C804&gt;=$M804,"AMARILLO","VERDE"))),"REVISAR"))))</f>
        <v/>
      </c>
      <c r="K804" s="36">
        <f>IF(OR($C804="",$D804=""),"",IF($D804&gt;=$C804,($D804-$C804)*24,(1-$C804+$D804)*24))</f>
        <v/>
      </c>
      <c r="L804" s="34" t="n"/>
      <c r="M804" s="53">
        <f t="array" ref="M804">IFERROR(INDEX(EXCEPCIONES_FECHA!$D$2:$D$201,MATCH(1,(EXCEPCIONES_FECHA!$A$2:$A$201=$A804)*(EXCEPCIONES_FECHA!$B$2:$B$201=$B804),0)),IFERROR(INDEX(EXCEPCIONES_FECHA!$D$2:$D$201,MATCH(1,(EXCEPCIONES_FECHA!$A$2:$A$201=$A804)*(EXCEPCIONES_FECHA!$B$2:$B$201=""),0)),IFERROR(INDEX(IF($I804="FIN",HISTORIAL_HORARIOS!$J$2:$J$201,HISTORIAL_HORARIOS!$F$2:$F$201),MATCH(1,(HISTORIAL_HORARIOS!$A$2:$A$201=$B804)*(HISTORIAL_HORARIOS!$C$2:$C$201&lt;=$A804)*(HISTORIAL_HORARIOS!$D$2:$D$201&gt;=$A804),0)),INDEX(IF($I804="FIN",PERSONAL!$J$2:$J$80,PERSONAL!$F$2:$F$80),MATCH($B804,PERSONAL!$A$2:$A$80,0)))))</f>
        <v/>
      </c>
      <c r="N804" s="53">
        <f t="array" ref="N804">IFERROR(INDEX(EXCEPCIONES_FECHA!$E$2:$E$201,MATCH(1,(EXCEPCIONES_FECHA!$A$2:$A$201=$A804)*(EXCEPCIONES_FECHA!$B$2:$B$201=$B804),0)),IFERROR(INDEX(EXCEPCIONES_FECHA!$E$2:$E$201,MATCH(1,(EXCEPCIONES_FECHA!$A$2:$A$201=$A804)*(EXCEPCIONES_FECHA!$B$2:$B$201=""),0)),IFERROR(INDEX(IF($I804="FIN",HISTORIAL_HORARIOS!$K$2:$K$201,HISTORIAL_HORARIOS!$G$2:$G$201),MATCH(1,(HISTORIAL_HORARIOS!$A$2:$A$201=$B804)*(HISTORIAL_HORARIOS!$C$2:$C$201&lt;=$A804)*(HISTORIAL_HORARIOS!$D$2:$D$201&gt;=$A804),0)),INDEX(IF($I804="FIN",PERSONAL!$K$2:$K$80,PERSONAL!$G$2:$G$80),MATCH($B804,PERSONAL!$A$2:$A$80,0)))))</f>
        <v/>
      </c>
      <c r="O804" s="53">
        <f t="array" ref="O804">IFERROR(INDEX(EXCEPCIONES_FECHA!$F$2:$F$201,MATCH(1,(EXCEPCIONES_FECHA!$A$2:$A$201=$A804)*(EXCEPCIONES_FECHA!$B$2:$B$201=$B804),0)),IFERROR(INDEX(EXCEPCIONES_FECHA!$F$2:$F$201,MATCH(1,(EXCEPCIONES_FECHA!$A$2:$A$201=$A804)*(EXCEPCIONES_FECHA!$B$2:$B$201=""),0)),IFERROR(INDEX(IF($I804="FIN",HISTORIAL_HORARIOS!$L$2:$L$201,HISTORIAL_HORARIOS!$H$2:$H$201),MATCH(1,(HISTORIAL_HORARIOS!$A$2:$A$201=$B804)*(HISTORIAL_HORARIOS!$C$2:$C$201&lt;=$A804)*(HISTORIAL_HORARIOS!$D$2:$D$201&gt;=$A804),0)),INDEX(IF($I804="FIN",PERSONAL!$L$2:$L$80,PERSONAL!$H$2:$H$80),MATCH($B804,PERSONAL!$A$2:$A$80,0)))))</f>
        <v/>
      </c>
    </row>
    <row r="805" ht="15" customHeight="1" s="58">
      <c r="A805" s="37" t="n"/>
      <c r="B805" s="38" t="n"/>
      <c r="C805" s="39" t="n"/>
      <c r="D805" s="39" t="n"/>
      <c r="E805" s="34">
        <f t="array" ref="E805">IF($B805="","",IFERROR(INDEX(PERSONAL!$B$2:$B$80,MATCH($B805,PERSONAL!$A$2:$A$80,0)),"NO EXISTE"))</f>
        <v/>
      </c>
      <c r="F805" s="52">
        <f t="array" ref="F805">IF($B805="","",IFERROR(INDEX(PERSONAL!$C$2:$C$80,MATCH($B805,PERSONAL!$A$2:$A$80,0)),""))</f>
        <v/>
      </c>
      <c r="G805" s="52">
        <f>IF($A805="","",CHOOSE(WEEKDAY($A805,2),"LUNES","MARTES","MIÉRCOLES","JUEVES","VIERNES","SÁBADO","DOMINGO"))</f>
        <v/>
      </c>
      <c r="H805" s="34">
        <f>IF($A805="","",CHOOSE(MONTH($A805),"ENERO","FEBRERO","MARZO","ABRIL","MAYO","JUNIO","JULIO","AGOSTO","SEPTIEMBRE","OCTUBRE","NOVIEMBRE","DICIEMBRE"))</f>
        <v/>
      </c>
      <c r="I805" s="34">
        <f>IF($A805="","",IF(OR($G805="SÁBADO",$G805="DOMINGO"),"FIN","LV"))</f>
        <v/>
      </c>
      <c r="J805" s="34">
        <f>IF(OR($A805="",$B805=""),"",IF($L805&lt;&gt;"",UPPER($L805),IF($C805="","FALTA",IFERROR(IF($C805&gt;=$O805,"ROJO FUERTE",IF($C805&gt;=$N805,"ROJO",IF($C805&gt;=$M805,"AMARILLO","VERDE"))),"REVISAR"))))</f>
        <v/>
      </c>
      <c r="K805" s="36">
        <f>IF(OR($C805="",$D805=""),"",IF($D805&gt;=$C805,($D805-$C805)*24,(1-$C805+$D805)*24))</f>
        <v/>
      </c>
      <c r="L805" s="34" t="n"/>
      <c r="M805" s="53">
        <f t="array" ref="M805">IFERROR(INDEX(EXCEPCIONES_FECHA!$D$2:$D$201,MATCH(1,(EXCEPCIONES_FECHA!$A$2:$A$201=$A805)*(EXCEPCIONES_FECHA!$B$2:$B$201=$B805),0)),IFERROR(INDEX(EXCEPCIONES_FECHA!$D$2:$D$201,MATCH(1,(EXCEPCIONES_FECHA!$A$2:$A$201=$A805)*(EXCEPCIONES_FECHA!$B$2:$B$201=""),0)),IFERROR(INDEX(IF($I805="FIN",HISTORIAL_HORARIOS!$J$2:$J$201,HISTORIAL_HORARIOS!$F$2:$F$201),MATCH(1,(HISTORIAL_HORARIOS!$A$2:$A$201=$B805)*(HISTORIAL_HORARIOS!$C$2:$C$201&lt;=$A805)*(HISTORIAL_HORARIOS!$D$2:$D$201&gt;=$A805),0)),INDEX(IF($I805="FIN",PERSONAL!$J$2:$J$80,PERSONAL!$F$2:$F$80),MATCH($B805,PERSONAL!$A$2:$A$80,0)))))</f>
        <v/>
      </c>
      <c r="N805" s="53">
        <f t="array" ref="N805">IFERROR(INDEX(EXCEPCIONES_FECHA!$E$2:$E$201,MATCH(1,(EXCEPCIONES_FECHA!$A$2:$A$201=$A805)*(EXCEPCIONES_FECHA!$B$2:$B$201=$B805),0)),IFERROR(INDEX(EXCEPCIONES_FECHA!$E$2:$E$201,MATCH(1,(EXCEPCIONES_FECHA!$A$2:$A$201=$A805)*(EXCEPCIONES_FECHA!$B$2:$B$201=""),0)),IFERROR(INDEX(IF($I805="FIN",HISTORIAL_HORARIOS!$K$2:$K$201,HISTORIAL_HORARIOS!$G$2:$G$201),MATCH(1,(HISTORIAL_HORARIOS!$A$2:$A$201=$B805)*(HISTORIAL_HORARIOS!$C$2:$C$201&lt;=$A805)*(HISTORIAL_HORARIOS!$D$2:$D$201&gt;=$A805),0)),INDEX(IF($I805="FIN",PERSONAL!$K$2:$K$80,PERSONAL!$G$2:$G$80),MATCH($B805,PERSONAL!$A$2:$A$80,0)))))</f>
        <v/>
      </c>
      <c r="O805" s="53">
        <f t="array" ref="O805">IFERROR(INDEX(EXCEPCIONES_FECHA!$F$2:$F$201,MATCH(1,(EXCEPCIONES_FECHA!$A$2:$A$201=$A805)*(EXCEPCIONES_FECHA!$B$2:$B$201=$B805),0)),IFERROR(INDEX(EXCEPCIONES_FECHA!$F$2:$F$201,MATCH(1,(EXCEPCIONES_FECHA!$A$2:$A$201=$A805)*(EXCEPCIONES_FECHA!$B$2:$B$201=""),0)),IFERROR(INDEX(IF($I805="FIN",HISTORIAL_HORARIOS!$L$2:$L$201,HISTORIAL_HORARIOS!$H$2:$H$201),MATCH(1,(HISTORIAL_HORARIOS!$A$2:$A$201=$B805)*(HISTORIAL_HORARIOS!$C$2:$C$201&lt;=$A805)*(HISTORIAL_HORARIOS!$D$2:$D$201&gt;=$A805),0)),INDEX(IF($I805="FIN",PERSONAL!$L$2:$L$80,PERSONAL!$H$2:$H$80),MATCH($B805,PERSONAL!$A$2:$A$80,0)))))</f>
        <v/>
      </c>
    </row>
    <row r="806" ht="15" customHeight="1" s="58">
      <c r="A806" s="37" t="n"/>
      <c r="B806" s="38" t="n"/>
      <c r="C806" s="39" t="n"/>
      <c r="D806" s="39" t="n"/>
      <c r="E806" s="34">
        <f t="array" ref="E806">IF($B806="","",IFERROR(INDEX(PERSONAL!$B$2:$B$80,MATCH($B806,PERSONAL!$A$2:$A$80,0)),"NO EXISTE"))</f>
        <v/>
      </c>
      <c r="F806" s="52">
        <f t="array" ref="F806">IF($B806="","",IFERROR(INDEX(PERSONAL!$C$2:$C$80,MATCH($B806,PERSONAL!$A$2:$A$80,0)),""))</f>
        <v/>
      </c>
      <c r="G806" s="52">
        <f>IF($A806="","",CHOOSE(WEEKDAY($A806,2),"LUNES","MARTES","MIÉRCOLES","JUEVES","VIERNES","SÁBADO","DOMINGO"))</f>
        <v/>
      </c>
      <c r="H806" s="34">
        <f>IF($A806="","",CHOOSE(MONTH($A806),"ENERO","FEBRERO","MARZO","ABRIL","MAYO","JUNIO","JULIO","AGOSTO","SEPTIEMBRE","OCTUBRE","NOVIEMBRE","DICIEMBRE"))</f>
        <v/>
      </c>
      <c r="I806" s="34">
        <f>IF($A806="","",IF(OR($G806="SÁBADO",$G806="DOMINGO"),"FIN","LV"))</f>
        <v/>
      </c>
      <c r="J806" s="34">
        <f>IF(OR($A806="",$B806=""),"",IF($L806&lt;&gt;"",UPPER($L806),IF($C806="","FALTA",IFERROR(IF($C806&gt;=$O806,"ROJO FUERTE",IF($C806&gt;=$N806,"ROJO",IF($C806&gt;=$M806,"AMARILLO","VERDE"))),"REVISAR"))))</f>
        <v/>
      </c>
      <c r="K806" s="36">
        <f>IF(OR($C806="",$D806=""),"",IF($D806&gt;=$C806,($D806-$C806)*24,(1-$C806+$D806)*24))</f>
        <v/>
      </c>
      <c r="L806" s="34" t="n"/>
      <c r="M806" s="53">
        <f t="array" ref="M806">IFERROR(INDEX(EXCEPCIONES_FECHA!$D$2:$D$201,MATCH(1,(EXCEPCIONES_FECHA!$A$2:$A$201=$A806)*(EXCEPCIONES_FECHA!$B$2:$B$201=$B806),0)),IFERROR(INDEX(EXCEPCIONES_FECHA!$D$2:$D$201,MATCH(1,(EXCEPCIONES_FECHA!$A$2:$A$201=$A806)*(EXCEPCIONES_FECHA!$B$2:$B$201=""),0)),IFERROR(INDEX(IF($I806="FIN",HISTORIAL_HORARIOS!$J$2:$J$201,HISTORIAL_HORARIOS!$F$2:$F$201),MATCH(1,(HISTORIAL_HORARIOS!$A$2:$A$201=$B806)*(HISTORIAL_HORARIOS!$C$2:$C$201&lt;=$A806)*(HISTORIAL_HORARIOS!$D$2:$D$201&gt;=$A806),0)),INDEX(IF($I806="FIN",PERSONAL!$J$2:$J$80,PERSONAL!$F$2:$F$80),MATCH($B806,PERSONAL!$A$2:$A$80,0)))))</f>
        <v/>
      </c>
      <c r="N806" s="53">
        <f t="array" ref="N806">IFERROR(INDEX(EXCEPCIONES_FECHA!$E$2:$E$201,MATCH(1,(EXCEPCIONES_FECHA!$A$2:$A$201=$A806)*(EXCEPCIONES_FECHA!$B$2:$B$201=$B806),0)),IFERROR(INDEX(EXCEPCIONES_FECHA!$E$2:$E$201,MATCH(1,(EXCEPCIONES_FECHA!$A$2:$A$201=$A806)*(EXCEPCIONES_FECHA!$B$2:$B$201=""),0)),IFERROR(INDEX(IF($I806="FIN",HISTORIAL_HORARIOS!$K$2:$K$201,HISTORIAL_HORARIOS!$G$2:$G$201),MATCH(1,(HISTORIAL_HORARIOS!$A$2:$A$201=$B806)*(HISTORIAL_HORARIOS!$C$2:$C$201&lt;=$A806)*(HISTORIAL_HORARIOS!$D$2:$D$201&gt;=$A806),0)),INDEX(IF($I806="FIN",PERSONAL!$K$2:$K$80,PERSONAL!$G$2:$G$80),MATCH($B806,PERSONAL!$A$2:$A$80,0)))))</f>
        <v/>
      </c>
      <c r="O806" s="53">
        <f t="array" ref="O806">IFERROR(INDEX(EXCEPCIONES_FECHA!$F$2:$F$201,MATCH(1,(EXCEPCIONES_FECHA!$A$2:$A$201=$A806)*(EXCEPCIONES_FECHA!$B$2:$B$201=$B806),0)),IFERROR(INDEX(EXCEPCIONES_FECHA!$F$2:$F$201,MATCH(1,(EXCEPCIONES_FECHA!$A$2:$A$201=$A806)*(EXCEPCIONES_FECHA!$B$2:$B$201=""),0)),IFERROR(INDEX(IF($I806="FIN",HISTORIAL_HORARIOS!$L$2:$L$201,HISTORIAL_HORARIOS!$H$2:$H$201),MATCH(1,(HISTORIAL_HORARIOS!$A$2:$A$201=$B806)*(HISTORIAL_HORARIOS!$C$2:$C$201&lt;=$A806)*(HISTORIAL_HORARIOS!$D$2:$D$201&gt;=$A806),0)),INDEX(IF($I806="FIN",PERSONAL!$L$2:$L$80,PERSONAL!$H$2:$H$80),MATCH($B806,PERSONAL!$A$2:$A$80,0)))))</f>
        <v/>
      </c>
    </row>
    <row r="807" ht="15" customHeight="1" s="58">
      <c r="A807" s="37" t="n"/>
      <c r="B807" s="38" t="n"/>
      <c r="C807" s="39" t="n"/>
      <c r="D807" s="39" t="n"/>
      <c r="E807" s="34">
        <f t="array" ref="E807">IF($B807="","",IFERROR(INDEX(PERSONAL!$B$2:$B$80,MATCH($B807,PERSONAL!$A$2:$A$80,0)),"NO EXISTE"))</f>
        <v/>
      </c>
      <c r="F807" s="52">
        <f t="array" ref="F807">IF($B807="","",IFERROR(INDEX(PERSONAL!$C$2:$C$80,MATCH($B807,PERSONAL!$A$2:$A$80,0)),""))</f>
        <v/>
      </c>
      <c r="G807" s="52">
        <f>IF($A807="","",CHOOSE(WEEKDAY($A807,2),"LUNES","MARTES","MIÉRCOLES","JUEVES","VIERNES","SÁBADO","DOMINGO"))</f>
        <v/>
      </c>
      <c r="H807" s="34">
        <f>IF($A807="","",CHOOSE(MONTH($A807),"ENERO","FEBRERO","MARZO","ABRIL","MAYO","JUNIO","JULIO","AGOSTO","SEPTIEMBRE","OCTUBRE","NOVIEMBRE","DICIEMBRE"))</f>
        <v/>
      </c>
      <c r="I807" s="34">
        <f>IF($A807="","",IF(OR($G807="SÁBADO",$G807="DOMINGO"),"FIN","LV"))</f>
        <v/>
      </c>
      <c r="J807" s="34">
        <f>IF(OR($A807="",$B807=""),"",IF($L807&lt;&gt;"",UPPER($L807),IF($C807="","FALTA",IFERROR(IF($C807&gt;=$O807,"ROJO FUERTE",IF($C807&gt;=$N807,"ROJO",IF($C807&gt;=$M807,"AMARILLO","VERDE"))),"REVISAR"))))</f>
        <v/>
      </c>
      <c r="K807" s="36">
        <f>IF(OR($C807="",$D807=""),"",IF($D807&gt;=$C807,($D807-$C807)*24,(1-$C807+$D807)*24))</f>
        <v/>
      </c>
      <c r="L807" s="34" t="n"/>
      <c r="M807" s="53">
        <f t="array" ref="M807">IFERROR(INDEX(EXCEPCIONES_FECHA!$D$2:$D$201,MATCH(1,(EXCEPCIONES_FECHA!$A$2:$A$201=$A807)*(EXCEPCIONES_FECHA!$B$2:$B$201=$B807),0)),IFERROR(INDEX(EXCEPCIONES_FECHA!$D$2:$D$201,MATCH(1,(EXCEPCIONES_FECHA!$A$2:$A$201=$A807)*(EXCEPCIONES_FECHA!$B$2:$B$201=""),0)),IFERROR(INDEX(IF($I807="FIN",HISTORIAL_HORARIOS!$J$2:$J$201,HISTORIAL_HORARIOS!$F$2:$F$201),MATCH(1,(HISTORIAL_HORARIOS!$A$2:$A$201=$B807)*(HISTORIAL_HORARIOS!$C$2:$C$201&lt;=$A807)*(HISTORIAL_HORARIOS!$D$2:$D$201&gt;=$A807),0)),INDEX(IF($I807="FIN",PERSONAL!$J$2:$J$80,PERSONAL!$F$2:$F$80),MATCH($B807,PERSONAL!$A$2:$A$80,0)))))</f>
        <v/>
      </c>
      <c r="N807" s="53">
        <f t="array" ref="N807">IFERROR(INDEX(EXCEPCIONES_FECHA!$E$2:$E$201,MATCH(1,(EXCEPCIONES_FECHA!$A$2:$A$201=$A807)*(EXCEPCIONES_FECHA!$B$2:$B$201=$B807),0)),IFERROR(INDEX(EXCEPCIONES_FECHA!$E$2:$E$201,MATCH(1,(EXCEPCIONES_FECHA!$A$2:$A$201=$A807)*(EXCEPCIONES_FECHA!$B$2:$B$201=""),0)),IFERROR(INDEX(IF($I807="FIN",HISTORIAL_HORARIOS!$K$2:$K$201,HISTORIAL_HORARIOS!$G$2:$G$201),MATCH(1,(HISTORIAL_HORARIOS!$A$2:$A$201=$B807)*(HISTORIAL_HORARIOS!$C$2:$C$201&lt;=$A807)*(HISTORIAL_HORARIOS!$D$2:$D$201&gt;=$A807),0)),INDEX(IF($I807="FIN",PERSONAL!$K$2:$K$80,PERSONAL!$G$2:$G$80),MATCH($B807,PERSONAL!$A$2:$A$80,0)))))</f>
        <v/>
      </c>
      <c r="O807" s="53">
        <f t="array" ref="O807">IFERROR(INDEX(EXCEPCIONES_FECHA!$F$2:$F$201,MATCH(1,(EXCEPCIONES_FECHA!$A$2:$A$201=$A807)*(EXCEPCIONES_FECHA!$B$2:$B$201=$B807),0)),IFERROR(INDEX(EXCEPCIONES_FECHA!$F$2:$F$201,MATCH(1,(EXCEPCIONES_FECHA!$A$2:$A$201=$A807)*(EXCEPCIONES_FECHA!$B$2:$B$201=""),0)),IFERROR(INDEX(IF($I807="FIN",HISTORIAL_HORARIOS!$L$2:$L$201,HISTORIAL_HORARIOS!$H$2:$H$201),MATCH(1,(HISTORIAL_HORARIOS!$A$2:$A$201=$B807)*(HISTORIAL_HORARIOS!$C$2:$C$201&lt;=$A807)*(HISTORIAL_HORARIOS!$D$2:$D$201&gt;=$A807),0)),INDEX(IF($I807="FIN",PERSONAL!$L$2:$L$80,PERSONAL!$H$2:$H$80),MATCH($B807,PERSONAL!$A$2:$A$80,0)))))</f>
        <v/>
      </c>
    </row>
    <row r="808" ht="15" customHeight="1" s="58">
      <c r="A808" s="37" t="n"/>
      <c r="B808" s="38" t="n"/>
      <c r="C808" s="39" t="n"/>
      <c r="D808" s="39" t="n"/>
      <c r="E808" s="34">
        <f t="array" ref="E808">IF($B808="","",IFERROR(INDEX(PERSONAL!$B$2:$B$80,MATCH($B808,PERSONAL!$A$2:$A$80,0)),"NO EXISTE"))</f>
        <v/>
      </c>
      <c r="F808" s="52">
        <f t="array" ref="F808">IF($B808="","",IFERROR(INDEX(PERSONAL!$C$2:$C$80,MATCH($B808,PERSONAL!$A$2:$A$80,0)),""))</f>
        <v/>
      </c>
      <c r="G808" s="52">
        <f>IF($A808="","",CHOOSE(WEEKDAY($A808,2),"LUNES","MARTES","MIÉRCOLES","JUEVES","VIERNES","SÁBADO","DOMINGO"))</f>
        <v/>
      </c>
      <c r="H808" s="34">
        <f>IF($A808="","",CHOOSE(MONTH($A808),"ENERO","FEBRERO","MARZO","ABRIL","MAYO","JUNIO","JULIO","AGOSTO","SEPTIEMBRE","OCTUBRE","NOVIEMBRE","DICIEMBRE"))</f>
        <v/>
      </c>
      <c r="I808" s="34">
        <f>IF($A808="","",IF(OR($G808="SÁBADO",$G808="DOMINGO"),"FIN","LV"))</f>
        <v/>
      </c>
      <c r="J808" s="34">
        <f>IF(OR($A808="",$B808=""),"",IF($L808&lt;&gt;"",UPPER($L808),IF($C808="","FALTA",IFERROR(IF($C808&gt;=$O808,"ROJO FUERTE",IF($C808&gt;=$N808,"ROJO",IF($C808&gt;=$M808,"AMARILLO","VERDE"))),"REVISAR"))))</f>
        <v/>
      </c>
      <c r="K808" s="36">
        <f>IF(OR($C808="",$D808=""),"",IF($D808&gt;=$C808,($D808-$C808)*24,(1-$C808+$D808)*24))</f>
        <v/>
      </c>
      <c r="L808" s="34" t="n"/>
      <c r="M808" s="53">
        <f t="array" ref="M808">IFERROR(INDEX(EXCEPCIONES_FECHA!$D$2:$D$201,MATCH(1,(EXCEPCIONES_FECHA!$A$2:$A$201=$A808)*(EXCEPCIONES_FECHA!$B$2:$B$201=$B808),0)),IFERROR(INDEX(EXCEPCIONES_FECHA!$D$2:$D$201,MATCH(1,(EXCEPCIONES_FECHA!$A$2:$A$201=$A808)*(EXCEPCIONES_FECHA!$B$2:$B$201=""),0)),IFERROR(INDEX(IF($I808="FIN",HISTORIAL_HORARIOS!$J$2:$J$201,HISTORIAL_HORARIOS!$F$2:$F$201),MATCH(1,(HISTORIAL_HORARIOS!$A$2:$A$201=$B808)*(HISTORIAL_HORARIOS!$C$2:$C$201&lt;=$A808)*(HISTORIAL_HORARIOS!$D$2:$D$201&gt;=$A808),0)),INDEX(IF($I808="FIN",PERSONAL!$J$2:$J$80,PERSONAL!$F$2:$F$80),MATCH($B808,PERSONAL!$A$2:$A$80,0)))))</f>
        <v/>
      </c>
      <c r="N808" s="53">
        <f t="array" ref="N808">IFERROR(INDEX(EXCEPCIONES_FECHA!$E$2:$E$201,MATCH(1,(EXCEPCIONES_FECHA!$A$2:$A$201=$A808)*(EXCEPCIONES_FECHA!$B$2:$B$201=$B808),0)),IFERROR(INDEX(EXCEPCIONES_FECHA!$E$2:$E$201,MATCH(1,(EXCEPCIONES_FECHA!$A$2:$A$201=$A808)*(EXCEPCIONES_FECHA!$B$2:$B$201=""),0)),IFERROR(INDEX(IF($I808="FIN",HISTORIAL_HORARIOS!$K$2:$K$201,HISTORIAL_HORARIOS!$G$2:$G$201),MATCH(1,(HISTORIAL_HORARIOS!$A$2:$A$201=$B808)*(HISTORIAL_HORARIOS!$C$2:$C$201&lt;=$A808)*(HISTORIAL_HORARIOS!$D$2:$D$201&gt;=$A808),0)),INDEX(IF($I808="FIN",PERSONAL!$K$2:$K$80,PERSONAL!$G$2:$G$80),MATCH($B808,PERSONAL!$A$2:$A$80,0)))))</f>
        <v/>
      </c>
      <c r="O808" s="53">
        <f t="array" ref="O808">IFERROR(INDEX(EXCEPCIONES_FECHA!$F$2:$F$201,MATCH(1,(EXCEPCIONES_FECHA!$A$2:$A$201=$A808)*(EXCEPCIONES_FECHA!$B$2:$B$201=$B808),0)),IFERROR(INDEX(EXCEPCIONES_FECHA!$F$2:$F$201,MATCH(1,(EXCEPCIONES_FECHA!$A$2:$A$201=$A808)*(EXCEPCIONES_FECHA!$B$2:$B$201=""),0)),IFERROR(INDEX(IF($I808="FIN",HISTORIAL_HORARIOS!$L$2:$L$201,HISTORIAL_HORARIOS!$H$2:$H$201),MATCH(1,(HISTORIAL_HORARIOS!$A$2:$A$201=$B808)*(HISTORIAL_HORARIOS!$C$2:$C$201&lt;=$A808)*(HISTORIAL_HORARIOS!$D$2:$D$201&gt;=$A808),0)),INDEX(IF($I808="FIN",PERSONAL!$L$2:$L$80,PERSONAL!$H$2:$H$80),MATCH($B808,PERSONAL!$A$2:$A$80,0)))))</f>
        <v/>
      </c>
    </row>
    <row r="809" ht="15" customHeight="1" s="58">
      <c r="A809" s="37" t="n"/>
      <c r="B809" s="38" t="n"/>
      <c r="C809" s="39" t="n"/>
      <c r="D809" s="39" t="n"/>
      <c r="E809" s="34">
        <f t="array" ref="E809">IF($B809="","",IFERROR(INDEX(PERSONAL!$B$2:$B$80,MATCH($B809,PERSONAL!$A$2:$A$80,0)),"NO EXISTE"))</f>
        <v/>
      </c>
      <c r="F809" s="52">
        <f t="array" ref="F809">IF($B809="","",IFERROR(INDEX(PERSONAL!$C$2:$C$80,MATCH($B809,PERSONAL!$A$2:$A$80,0)),""))</f>
        <v/>
      </c>
      <c r="G809" s="52">
        <f>IF($A809="","",CHOOSE(WEEKDAY($A809,2),"LUNES","MARTES","MIÉRCOLES","JUEVES","VIERNES","SÁBADO","DOMINGO"))</f>
        <v/>
      </c>
      <c r="H809" s="34">
        <f>IF($A809="","",CHOOSE(MONTH($A809),"ENERO","FEBRERO","MARZO","ABRIL","MAYO","JUNIO","JULIO","AGOSTO","SEPTIEMBRE","OCTUBRE","NOVIEMBRE","DICIEMBRE"))</f>
        <v/>
      </c>
      <c r="I809" s="34">
        <f>IF($A809="","",IF(OR($G809="SÁBADO",$G809="DOMINGO"),"FIN","LV"))</f>
        <v/>
      </c>
      <c r="J809" s="34">
        <f>IF(OR($A809="",$B809=""),"",IF($L809&lt;&gt;"",UPPER($L809),IF($C809="","FALTA",IFERROR(IF($C809&gt;=$O809,"ROJO FUERTE",IF($C809&gt;=$N809,"ROJO",IF($C809&gt;=$M809,"AMARILLO","VERDE"))),"REVISAR"))))</f>
        <v/>
      </c>
      <c r="K809" s="36">
        <f>IF(OR($C809="",$D809=""),"",IF($D809&gt;=$C809,($D809-$C809)*24,(1-$C809+$D809)*24))</f>
        <v/>
      </c>
      <c r="L809" s="34" t="n"/>
      <c r="M809" s="53">
        <f t="array" ref="M809">IFERROR(INDEX(EXCEPCIONES_FECHA!$D$2:$D$201,MATCH(1,(EXCEPCIONES_FECHA!$A$2:$A$201=$A809)*(EXCEPCIONES_FECHA!$B$2:$B$201=$B809),0)),IFERROR(INDEX(EXCEPCIONES_FECHA!$D$2:$D$201,MATCH(1,(EXCEPCIONES_FECHA!$A$2:$A$201=$A809)*(EXCEPCIONES_FECHA!$B$2:$B$201=""),0)),IFERROR(INDEX(IF($I809="FIN",HISTORIAL_HORARIOS!$J$2:$J$201,HISTORIAL_HORARIOS!$F$2:$F$201),MATCH(1,(HISTORIAL_HORARIOS!$A$2:$A$201=$B809)*(HISTORIAL_HORARIOS!$C$2:$C$201&lt;=$A809)*(HISTORIAL_HORARIOS!$D$2:$D$201&gt;=$A809),0)),INDEX(IF($I809="FIN",PERSONAL!$J$2:$J$80,PERSONAL!$F$2:$F$80),MATCH($B809,PERSONAL!$A$2:$A$80,0)))))</f>
        <v/>
      </c>
      <c r="N809" s="53">
        <f t="array" ref="N809">IFERROR(INDEX(EXCEPCIONES_FECHA!$E$2:$E$201,MATCH(1,(EXCEPCIONES_FECHA!$A$2:$A$201=$A809)*(EXCEPCIONES_FECHA!$B$2:$B$201=$B809),0)),IFERROR(INDEX(EXCEPCIONES_FECHA!$E$2:$E$201,MATCH(1,(EXCEPCIONES_FECHA!$A$2:$A$201=$A809)*(EXCEPCIONES_FECHA!$B$2:$B$201=""),0)),IFERROR(INDEX(IF($I809="FIN",HISTORIAL_HORARIOS!$K$2:$K$201,HISTORIAL_HORARIOS!$G$2:$G$201),MATCH(1,(HISTORIAL_HORARIOS!$A$2:$A$201=$B809)*(HISTORIAL_HORARIOS!$C$2:$C$201&lt;=$A809)*(HISTORIAL_HORARIOS!$D$2:$D$201&gt;=$A809),0)),INDEX(IF($I809="FIN",PERSONAL!$K$2:$K$80,PERSONAL!$G$2:$G$80),MATCH($B809,PERSONAL!$A$2:$A$80,0)))))</f>
        <v/>
      </c>
      <c r="O809" s="53">
        <f t="array" ref="O809">IFERROR(INDEX(EXCEPCIONES_FECHA!$F$2:$F$201,MATCH(1,(EXCEPCIONES_FECHA!$A$2:$A$201=$A809)*(EXCEPCIONES_FECHA!$B$2:$B$201=$B809),0)),IFERROR(INDEX(EXCEPCIONES_FECHA!$F$2:$F$201,MATCH(1,(EXCEPCIONES_FECHA!$A$2:$A$201=$A809)*(EXCEPCIONES_FECHA!$B$2:$B$201=""),0)),IFERROR(INDEX(IF($I809="FIN",HISTORIAL_HORARIOS!$L$2:$L$201,HISTORIAL_HORARIOS!$H$2:$H$201),MATCH(1,(HISTORIAL_HORARIOS!$A$2:$A$201=$B809)*(HISTORIAL_HORARIOS!$C$2:$C$201&lt;=$A809)*(HISTORIAL_HORARIOS!$D$2:$D$201&gt;=$A809),0)),INDEX(IF($I809="FIN",PERSONAL!$L$2:$L$80,PERSONAL!$H$2:$H$80),MATCH($B809,PERSONAL!$A$2:$A$80,0)))))</f>
        <v/>
      </c>
    </row>
    <row r="810" ht="15" customHeight="1" s="58">
      <c r="A810" s="37" t="n"/>
      <c r="B810" s="38" t="n"/>
      <c r="C810" s="39" t="n"/>
      <c r="D810" s="39" t="n"/>
      <c r="E810" s="34">
        <f t="array" ref="E810">IF($B810="","",IFERROR(INDEX(PERSONAL!$B$2:$B$80,MATCH($B810,PERSONAL!$A$2:$A$80,0)),"NO EXISTE"))</f>
        <v/>
      </c>
      <c r="F810" s="52">
        <f t="array" ref="F810">IF($B810="","",IFERROR(INDEX(PERSONAL!$C$2:$C$80,MATCH($B810,PERSONAL!$A$2:$A$80,0)),""))</f>
        <v/>
      </c>
      <c r="G810" s="52">
        <f>IF($A810="","",CHOOSE(WEEKDAY($A810,2),"LUNES","MARTES","MIÉRCOLES","JUEVES","VIERNES","SÁBADO","DOMINGO"))</f>
        <v/>
      </c>
      <c r="H810" s="34">
        <f>IF($A810="","",CHOOSE(MONTH($A810),"ENERO","FEBRERO","MARZO","ABRIL","MAYO","JUNIO","JULIO","AGOSTO","SEPTIEMBRE","OCTUBRE","NOVIEMBRE","DICIEMBRE"))</f>
        <v/>
      </c>
      <c r="I810" s="34">
        <f>IF($A810="","",IF(OR($G810="SÁBADO",$G810="DOMINGO"),"FIN","LV"))</f>
        <v/>
      </c>
      <c r="J810" s="34">
        <f>IF(OR($A810="",$B810=""),"",IF($L810&lt;&gt;"",UPPER($L810),IF($C810="","FALTA",IFERROR(IF($C810&gt;=$O810,"ROJO FUERTE",IF($C810&gt;=$N810,"ROJO",IF($C810&gt;=$M810,"AMARILLO","VERDE"))),"REVISAR"))))</f>
        <v/>
      </c>
      <c r="K810" s="36">
        <f>IF(OR($C810="",$D810=""),"",IF($D810&gt;=$C810,($D810-$C810)*24,(1-$C810+$D810)*24))</f>
        <v/>
      </c>
      <c r="L810" s="34" t="n"/>
      <c r="M810" s="53">
        <f t="array" ref="M810">IFERROR(INDEX(EXCEPCIONES_FECHA!$D$2:$D$201,MATCH(1,(EXCEPCIONES_FECHA!$A$2:$A$201=$A810)*(EXCEPCIONES_FECHA!$B$2:$B$201=$B810),0)),IFERROR(INDEX(EXCEPCIONES_FECHA!$D$2:$D$201,MATCH(1,(EXCEPCIONES_FECHA!$A$2:$A$201=$A810)*(EXCEPCIONES_FECHA!$B$2:$B$201=""),0)),IFERROR(INDEX(IF($I810="FIN",HISTORIAL_HORARIOS!$J$2:$J$201,HISTORIAL_HORARIOS!$F$2:$F$201),MATCH(1,(HISTORIAL_HORARIOS!$A$2:$A$201=$B810)*(HISTORIAL_HORARIOS!$C$2:$C$201&lt;=$A810)*(HISTORIAL_HORARIOS!$D$2:$D$201&gt;=$A810),0)),INDEX(IF($I810="FIN",PERSONAL!$J$2:$J$80,PERSONAL!$F$2:$F$80),MATCH($B810,PERSONAL!$A$2:$A$80,0)))))</f>
        <v/>
      </c>
      <c r="N810" s="53">
        <f t="array" ref="N810">IFERROR(INDEX(EXCEPCIONES_FECHA!$E$2:$E$201,MATCH(1,(EXCEPCIONES_FECHA!$A$2:$A$201=$A810)*(EXCEPCIONES_FECHA!$B$2:$B$201=$B810),0)),IFERROR(INDEX(EXCEPCIONES_FECHA!$E$2:$E$201,MATCH(1,(EXCEPCIONES_FECHA!$A$2:$A$201=$A810)*(EXCEPCIONES_FECHA!$B$2:$B$201=""),0)),IFERROR(INDEX(IF($I810="FIN",HISTORIAL_HORARIOS!$K$2:$K$201,HISTORIAL_HORARIOS!$G$2:$G$201),MATCH(1,(HISTORIAL_HORARIOS!$A$2:$A$201=$B810)*(HISTORIAL_HORARIOS!$C$2:$C$201&lt;=$A810)*(HISTORIAL_HORARIOS!$D$2:$D$201&gt;=$A810),0)),INDEX(IF($I810="FIN",PERSONAL!$K$2:$K$80,PERSONAL!$G$2:$G$80),MATCH($B810,PERSONAL!$A$2:$A$80,0)))))</f>
        <v/>
      </c>
      <c r="O810" s="53">
        <f t="array" ref="O810">IFERROR(INDEX(EXCEPCIONES_FECHA!$F$2:$F$201,MATCH(1,(EXCEPCIONES_FECHA!$A$2:$A$201=$A810)*(EXCEPCIONES_FECHA!$B$2:$B$201=$B810),0)),IFERROR(INDEX(EXCEPCIONES_FECHA!$F$2:$F$201,MATCH(1,(EXCEPCIONES_FECHA!$A$2:$A$201=$A810)*(EXCEPCIONES_FECHA!$B$2:$B$201=""),0)),IFERROR(INDEX(IF($I810="FIN",HISTORIAL_HORARIOS!$L$2:$L$201,HISTORIAL_HORARIOS!$H$2:$H$201),MATCH(1,(HISTORIAL_HORARIOS!$A$2:$A$201=$B810)*(HISTORIAL_HORARIOS!$C$2:$C$201&lt;=$A810)*(HISTORIAL_HORARIOS!$D$2:$D$201&gt;=$A810),0)),INDEX(IF($I810="FIN",PERSONAL!$L$2:$L$80,PERSONAL!$H$2:$H$80),MATCH($B810,PERSONAL!$A$2:$A$80,0)))))</f>
        <v/>
      </c>
    </row>
    <row r="811" ht="15" customHeight="1" s="58">
      <c r="A811" s="37" t="n"/>
      <c r="B811" s="38" t="n"/>
      <c r="C811" s="39" t="n"/>
      <c r="D811" s="39" t="n"/>
      <c r="E811" s="34">
        <f t="array" ref="E811">IF($B811="","",IFERROR(INDEX(PERSONAL!$B$2:$B$80,MATCH($B811,PERSONAL!$A$2:$A$80,0)),"NO EXISTE"))</f>
        <v/>
      </c>
      <c r="F811" s="52">
        <f t="array" ref="F811">IF($B811="","",IFERROR(INDEX(PERSONAL!$C$2:$C$80,MATCH($B811,PERSONAL!$A$2:$A$80,0)),""))</f>
        <v/>
      </c>
      <c r="G811" s="52">
        <f>IF($A811="","",CHOOSE(WEEKDAY($A811,2),"LUNES","MARTES","MIÉRCOLES","JUEVES","VIERNES","SÁBADO","DOMINGO"))</f>
        <v/>
      </c>
      <c r="H811" s="34">
        <f>IF($A811="","",CHOOSE(MONTH($A811),"ENERO","FEBRERO","MARZO","ABRIL","MAYO","JUNIO","JULIO","AGOSTO","SEPTIEMBRE","OCTUBRE","NOVIEMBRE","DICIEMBRE"))</f>
        <v/>
      </c>
      <c r="I811" s="34">
        <f>IF($A811="","",IF(OR($G811="SÁBADO",$G811="DOMINGO"),"FIN","LV"))</f>
        <v/>
      </c>
      <c r="J811" s="34">
        <f>IF(OR($A811="",$B811=""),"",IF($L811&lt;&gt;"",UPPER($L811),IF($C811="","FALTA",IFERROR(IF($C811&gt;=$O811,"ROJO FUERTE",IF($C811&gt;=$N811,"ROJO",IF($C811&gt;=$M811,"AMARILLO","VERDE"))),"REVISAR"))))</f>
        <v/>
      </c>
      <c r="K811" s="36">
        <f>IF(OR($C811="",$D811=""),"",IF($D811&gt;=$C811,($D811-$C811)*24,(1-$C811+$D811)*24))</f>
        <v/>
      </c>
      <c r="L811" s="34" t="n"/>
      <c r="M811" s="53">
        <f t="array" ref="M811">IFERROR(INDEX(EXCEPCIONES_FECHA!$D$2:$D$201,MATCH(1,(EXCEPCIONES_FECHA!$A$2:$A$201=$A811)*(EXCEPCIONES_FECHA!$B$2:$B$201=$B811),0)),IFERROR(INDEX(EXCEPCIONES_FECHA!$D$2:$D$201,MATCH(1,(EXCEPCIONES_FECHA!$A$2:$A$201=$A811)*(EXCEPCIONES_FECHA!$B$2:$B$201=""),0)),IFERROR(INDEX(IF($I811="FIN",HISTORIAL_HORARIOS!$J$2:$J$201,HISTORIAL_HORARIOS!$F$2:$F$201),MATCH(1,(HISTORIAL_HORARIOS!$A$2:$A$201=$B811)*(HISTORIAL_HORARIOS!$C$2:$C$201&lt;=$A811)*(HISTORIAL_HORARIOS!$D$2:$D$201&gt;=$A811),0)),INDEX(IF($I811="FIN",PERSONAL!$J$2:$J$80,PERSONAL!$F$2:$F$80),MATCH($B811,PERSONAL!$A$2:$A$80,0)))))</f>
        <v/>
      </c>
      <c r="N811" s="53">
        <f t="array" ref="N811">IFERROR(INDEX(EXCEPCIONES_FECHA!$E$2:$E$201,MATCH(1,(EXCEPCIONES_FECHA!$A$2:$A$201=$A811)*(EXCEPCIONES_FECHA!$B$2:$B$201=$B811),0)),IFERROR(INDEX(EXCEPCIONES_FECHA!$E$2:$E$201,MATCH(1,(EXCEPCIONES_FECHA!$A$2:$A$201=$A811)*(EXCEPCIONES_FECHA!$B$2:$B$201=""),0)),IFERROR(INDEX(IF($I811="FIN",HISTORIAL_HORARIOS!$K$2:$K$201,HISTORIAL_HORARIOS!$G$2:$G$201),MATCH(1,(HISTORIAL_HORARIOS!$A$2:$A$201=$B811)*(HISTORIAL_HORARIOS!$C$2:$C$201&lt;=$A811)*(HISTORIAL_HORARIOS!$D$2:$D$201&gt;=$A811),0)),INDEX(IF($I811="FIN",PERSONAL!$K$2:$K$80,PERSONAL!$G$2:$G$80),MATCH($B811,PERSONAL!$A$2:$A$80,0)))))</f>
        <v/>
      </c>
      <c r="O811" s="53">
        <f t="array" ref="O811">IFERROR(INDEX(EXCEPCIONES_FECHA!$F$2:$F$201,MATCH(1,(EXCEPCIONES_FECHA!$A$2:$A$201=$A811)*(EXCEPCIONES_FECHA!$B$2:$B$201=$B811),0)),IFERROR(INDEX(EXCEPCIONES_FECHA!$F$2:$F$201,MATCH(1,(EXCEPCIONES_FECHA!$A$2:$A$201=$A811)*(EXCEPCIONES_FECHA!$B$2:$B$201=""),0)),IFERROR(INDEX(IF($I811="FIN",HISTORIAL_HORARIOS!$L$2:$L$201,HISTORIAL_HORARIOS!$H$2:$H$201),MATCH(1,(HISTORIAL_HORARIOS!$A$2:$A$201=$B811)*(HISTORIAL_HORARIOS!$C$2:$C$201&lt;=$A811)*(HISTORIAL_HORARIOS!$D$2:$D$201&gt;=$A811),0)),INDEX(IF($I811="FIN",PERSONAL!$L$2:$L$80,PERSONAL!$H$2:$H$80),MATCH($B811,PERSONAL!$A$2:$A$80,0)))))</f>
        <v/>
      </c>
    </row>
    <row r="812" ht="15" customHeight="1" s="58">
      <c r="A812" s="37" t="n"/>
      <c r="B812" s="38" t="n"/>
      <c r="C812" s="39" t="n"/>
      <c r="D812" s="39" t="n"/>
      <c r="E812" s="34">
        <f t="array" ref="E812">IF($B812="","",IFERROR(INDEX(PERSONAL!$B$2:$B$80,MATCH($B812,PERSONAL!$A$2:$A$80,0)),"NO EXISTE"))</f>
        <v/>
      </c>
      <c r="F812" s="52">
        <f t="array" ref="F812">IF($B812="","",IFERROR(INDEX(PERSONAL!$C$2:$C$80,MATCH($B812,PERSONAL!$A$2:$A$80,0)),""))</f>
        <v/>
      </c>
      <c r="G812" s="52">
        <f>IF($A812="","",CHOOSE(WEEKDAY($A812,2),"LUNES","MARTES","MIÉRCOLES","JUEVES","VIERNES","SÁBADO","DOMINGO"))</f>
        <v/>
      </c>
      <c r="H812" s="34">
        <f>IF($A812="","",CHOOSE(MONTH($A812),"ENERO","FEBRERO","MARZO","ABRIL","MAYO","JUNIO","JULIO","AGOSTO","SEPTIEMBRE","OCTUBRE","NOVIEMBRE","DICIEMBRE"))</f>
        <v/>
      </c>
      <c r="I812" s="34">
        <f>IF($A812="","",IF(OR($G812="SÁBADO",$G812="DOMINGO"),"FIN","LV"))</f>
        <v/>
      </c>
      <c r="J812" s="34">
        <f>IF(OR($A812="",$B812=""),"",IF($L812&lt;&gt;"",UPPER($L812),IF($C812="","FALTA",IFERROR(IF($C812&gt;=$O812,"ROJO FUERTE",IF($C812&gt;=$N812,"ROJO",IF($C812&gt;=$M812,"AMARILLO","VERDE"))),"REVISAR"))))</f>
        <v/>
      </c>
      <c r="K812" s="36">
        <f>IF(OR($C812="",$D812=""),"",IF($D812&gt;=$C812,($D812-$C812)*24,(1-$C812+$D812)*24))</f>
        <v/>
      </c>
      <c r="L812" s="34" t="n"/>
      <c r="M812" s="53">
        <f t="array" ref="M812">IFERROR(INDEX(EXCEPCIONES_FECHA!$D$2:$D$201,MATCH(1,(EXCEPCIONES_FECHA!$A$2:$A$201=$A812)*(EXCEPCIONES_FECHA!$B$2:$B$201=$B812),0)),IFERROR(INDEX(EXCEPCIONES_FECHA!$D$2:$D$201,MATCH(1,(EXCEPCIONES_FECHA!$A$2:$A$201=$A812)*(EXCEPCIONES_FECHA!$B$2:$B$201=""),0)),IFERROR(INDEX(IF($I812="FIN",HISTORIAL_HORARIOS!$J$2:$J$201,HISTORIAL_HORARIOS!$F$2:$F$201),MATCH(1,(HISTORIAL_HORARIOS!$A$2:$A$201=$B812)*(HISTORIAL_HORARIOS!$C$2:$C$201&lt;=$A812)*(HISTORIAL_HORARIOS!$D$2:$D$201&gt;=$A812),0)),INDEX(IF($I812="FIN",PERSONAL!$J$2:$J$80,PERSONAL!$F$2:$F$80),MATCH($B812,PERSONAL!$A$2:$A$80,0)))))</f>
        <v/>
      </c>
      <c r="N812" s="53">
        <f t="array" ref="N812">IFERROR(INDEX(EXCEPCIONES_FECHA!$E$2:$E$201,MATCH(1,(EXCEPCIONES_FECHA!$A$2:$A$201=$A812)*(EXCEPCIONES_FECHA!$B$2:$B$201=$B812),0)),IFERROR(INDEX(EXCEPCIONES_FECHA!$E$2:$E$201,MATCH(1,(EXCEPCIONES_FECHA!$A$2:$A$201=$A812)*(EXCEPCIONES_FECHA!$B$2:$B$201=""),0)),IFERROR(INDEX(IF($I812="FIN",HISTORIAL_HORARIOS!$K$2:$K$201,HISTORIAL_HORARIOS!$G$2:$G$201),MATCH(1,(HISTORIAL_HORARIOS!$A$2:$A$201=$B812)*(HISTORIAL_HORARIOS!$C$2:$C$201&lt;=$A812)*(HISTORIAL_HORARIOS!$D$2:$D$201&gt;=$A812),0)),INDEX(IF($I812="FIN",PERSONAL!$K$2:$K$80,PERSONAL!$G$2:$G$80),MATCH($B812,PERSONAL!$A$2:$A$80,0)))))</f>
        <v/>
      </c>
      <c r="O812" s="53">
        <f t="array" ref="O812">IFERROR(INDEX(EXCEPCIONES_FECHA!$F$2:$F$201,MATCH(1,(EXCEPCIONES_FECHA!$A$2:$A$201=$A812)*(EXCEPCIONES_FECHA!$B$2:$B$201=$B812),0)),IFERROR(INDEX(EXCEPCIONES_FECHA!$F$2:$F$201,MATCH(1,(EXCEPCIONES_FECHA!$A$2:$A$201=$A812)*(EXCEPCIONES_FECHA!$B$2:$B$201=""),0)),IFERROR(INDEX(IF($I812="FIN",HISTORIAL_HORARIOS!$L$2:$L$201,HISTORIAL_HORARIOS!$H$2:$H$201),MATCH(1,(HISTORIAL_HORARIOS!$A$2:$A$201=$B812)*(HISTORIAL_HORARIOS!$C$2:$C$201&lt;=$A812)*(HISTORIAL_HORARIOS!$D$2:$D$201&gt;=$A812),0)),INDEX(IF($I812="FIN",PERSONAL!$L$2:$L$80,PERSONAL!$H$2:$H$80),MATCH($B812,PERSONAL!$A$2:$A$80,0)))))</f>
        <v/>
      </c>
    </row>
    <row r="813" ht="15" customHeight="1" s="58">
      <c r="A813" s="37" t="n"/>
      <c r="B813" s="38" t="n"/>
      <c r="C813" s="39" t="n"/>
      <c r="D813" s="39" t="n"/>
      <c r="E813" s="34">
        <f t="array" ref="E813">IF($B813="","",IFERROR(INDEX(PERSONAL!$B$2:$B$80,MATCH($B813,PERSONAL!$A$2:$A$80,0)),"NO EXISTE"))</f>
        <v/>
      </c>
      <c r="F813" s="52">
        <f t="array" ref="F813">IF($B813="","",IFERROR(INDEX(PERSONAL!$C$2:$C$80,MATCH($B813,PERSONAL!$A$2:$A$80,0)),""))</f>
        <v/>
      </c>
      <c r="G813" s="52">
        <f>IF($A813="","",CHOOSE(WEEKDAY($A813,2),"LUNES","MARTES","MIÉRCOLES","JUEVES","VIERNES","SÁBADO","DOMINGO"))</f>
        <v/>
      </c>
      <c r="H813" s="34">
        <f>IF($A813="","",CHOOSE(MONTH($A813),"ENERO","FEBRERO","MARZO","ABRIL","MAYO","JUNIO","JULIO","AGOSTO","SEPTIEMBRE","OCTUBRE","NOVIEMBRE","DICIEMBRE"))</f>
        <v/>
      </c>
      <c r="I813" s="34">
        <f>IF($A813="","",IF(OR($G813="SÁBADO",$G813="DOMINGO"),"FIN","LV"))</f>
        <v/>
      </c>
      <c r="J813" s="34">
        <f>IF(OR($A813="",$B813=""),"",IF($L813&lt;&gt;"",UPPER($L813),IF($C813="","FALTA",IFERROR(IF($C813&gt;=$O813,"ROJO FUERTE",IF($C813&gt;=$N813,"ROJO",IF($C813&gt;=$M813,"AMARILLO","VERDE"))),"REVISAR"))))</f>
        <v/>
      </c>
      <c r="K813" s="36">
        <f>IF(OR($C813="",$D813=""),"",IF($D813&gt;=$C813,($D813-$C813)*24,(1-$C813+$D813)*24))</f>
        <v/>
      </c>
      <c r="L813" s="34" t="n"/>
      <c r="M813" s="53">
        <f t="array" ref="M813">IFERROR(INDEX(EXCEPCIONES_FECHA!$D$2:$D$201,MATCH(1,(EXCEPCIONES_FECHA!$A$2:$A$201=$A813)*(EXCEPCIONES_FECHA!$B$2:$B$201=$B813),0)),IFERROR(INDEX(EXCEPCIONES_FECHA!$D$2:$D$201,MATCH(1,(EXCEPCIONES_FECHA!$A$2:$A$201=$A813)*(EXCEPCIONES_FECHA!$B$2:$B$201=""),0)),IFERROR(INDEX(IF($I813="FIN",HISTORIAL_HORARIOS!$J$2:$J$201,HISTORIAL_HORARIOS!$F$2:$F$201),MATCH(1,(HISTORIAL_HORARIOS!$A$2:$A$201=$B813)*(HISTORIAL_HORARIOS!$C$2:$C$201&lt;=$A813)*(HISTORIAL_HORARIOS!$D$2:$D$201&gt;=$A813),0)),INDEX(IF($I813="FIN",PERSONAL!$J$2:$J$80,PERSONAL!$F$2:$F$80),MATCH($B813,PERSONAL!$A$2:$A$80,0)))))</f>
        <v/>
      </c>
      <c r="N813" s="53">
        <f t="array" ref="N813">IFERROR(INDEX(EXCEPCIONES_FECHA!$E$2:$E$201,MATCH(1,(EXCEPCIONES_FECHA!$A$2:$A$201=$A813)*(EXCEPCIONES_FECHA!$B$2:$B$201=$B813),0)),IFERROR(INDEX(EXCEPCIONES_FECHA!$E$2:$E$201,MATCH(1,(EXCEPCIONES_FECHA!$A$2:$A$201=$A813)*(EXCEPCIONES_FECHA!$B$2:$B$201=""),0)),IFERROR(INDEX(IF($I813="FIN",HISTORIAL_HORARIOS!$K$2:$K$201,HISTORIAL_HORARIOS!$G$2:$G$201),MATCH(1,(HISTORIAL_HORARIOS!$A$2:$A$201=$B813)*(HISTORIAL_HORARIOS!$C$2:$C$201&lt;=$A813)*(HISTORIAL_HORARIOS!$D$2:$D$201&gt;=$A813),0)),INDEX(IF($I813="FIN",PERSONAL!$K$2:$K$80,PERSONAL!$G$2:$G$80),MATCH($B813,PERSONAL!$A$2:$A$80,0)))))</f>
        <v/>
      </c>
      <c r="O813" s="53">
        <f t="array" ref="O813">IFERROR(INDEX(EXCEPCIONES_FECHA!$F$2:$F$201,MATCH(1,(EXCEPCIONES_FECHA!$A$2:$A$201=$A813)*(EXCEPCIONES_FECHA!$B$2:$B$201=$B813),0)),IFERROR(INDEX(EXCEPCIONES_FECHA!$F$2:$F$201,MATCH(1,(EXCEPCIONES_FECHA!$A$2:$A$201=$A813)*(EXCEPCIONES_FECHA!$B$2:$B$201=""),0)),IFERROR(INDEX(IF($I813="FIN",HISTORIAL_HORARIOS!$L$2:$L$201,HISTORIAL_HORARIOS!$H$2:$H$201),MATCH(1,(HISTORIAL_HORARIOS!$A$2:$A$201=$B813)*(HISTORIAL_HORARIOS!$C$2:$C$201&lt;=$A813)*(HISTORIAL_HORARIOS!$D$2:$D$201&gt;=$A813),0)),INDEX(IF($I813="FIN",PERSONAL!$L$2:$L$80,PERSONAL!$H$2:$H$80),MATCH($B813,PERSONAL!$A$2:$A$80,0)))))</f>
        <v/>
      </c>
    </row>
    <row r="814" ht="15" customHeight="1" s="58">
      <c r="A814" s="37" t="n"/>
      <c r="B814" s="38" t="n"/>
      <c r="C814" s="39" t="n"/>
      <c r="D814" s="39" t="n"/>
      <c r="E814" s="34">
        <f t="array" ref="E814">IF($B814="","",IFERROR(INDEX(PERSONAL!$B$2:$B$80,MATCH($B814,PERSONAL!$A$2:$A$80,0)),"NO EXISTE"))</f>
        <v/>
      </c>
      <c r="F814" s="52">
        <f t="array" ref="F814">IF($B814="","",IFERROR(INDEX(PERSONAL!$C$2:$C$80,MATCH($B814,PERSONAL!$A$2:$A$80,0)),""))</f>
        <v/>
      </c>
      <c r="G814" s="52">
        <f>IF($A814="","",CHOOSE(WEEKDAY($A814,2),"LUNES","MARTES","MIÉRCOLES","JUEVES","VIERNES","SÁBADO","DOMINGO"))</f>
        <v/>
      </c>
      <c r="H814" s="34">
        <f>IF($A814="","",CHOOSE(MONTH($A814),"ENERO","FEBRERO","MARZO","ABRIL","MAYO","JUNIO","JULIO","AGOSTO","SEPTIEMBRE","OCTUBRE","NOVIEMBRE","DICIEMBRE"))</f>
        <v/>
      </c>
      <c r="I814" s="34">
        <f>IF($A814="","",IF(OR($G814="SÁBADO",$G814="DOMINGO"),"FIN","LV"))</f>
        <v/>
      </c>
      <c r="J814" s="34">
        <f>IF(OR($A814="",$B814=""),"",IF($L814&lt;&gt;"",UPPER($L814),IF($C814="","FALTA",IFERROR(IF($C814&gt;=$O814,"ROJO FUERTE",IF($C814&gt;=$N814,"ROJO",IF($C814&gt;=$M814,"AMARILLO","VERDE"))),"REVISAR"))))</f>
        <v/>
      </c>
      <c r="K814" s="36">
        <f>IF(OR($C814="",$D814=""),"",IF($D814&gt;=$C814,($D814-$C814)*24,(1-$C814+$D814)*24))</f>
        <v/>
      </c>
      <c r="L814" s="34" t="n"/>
      <c r="M814" s="53">
        <f t="array" ref="M814">IFERROR(INDEX(EXCEPCIONES_FECHA!$D$2:$D$201,MATCH(1,(EXCEPCIONES_FECHA!$A$2:$A$201=$A814)*(EXCEPCIONES_FECHA!$B$2:$B$201=$B814),0)),IFERROR(INDEX(EXCEPCIONES_FECHA!$D$2:$D$201,MATCH(1,(EXCEPCIONES_FECHA!$A$2:$A$201=$A814)*(EXCEPCIONES_FECHA!$B$2:$B$201=""),0)),IFERROR(INDEX(IF($I814="FIN",HISTORIAL_HORARIOS!$J$2:$J$201,HISTORIAL_HORARIOS!$F$2:$F$201),MATCH(1,(HISTORIAL_HORARIOS!$A$2:$A$201=$B814)*(HISTORIAL_HORARIOS!$C$2:$C$201&lt;=$A814)*(HISTORIAL_HORARIOS!$D$2:$D$201&gt;=$A814),0)),INDEX(IF($I814="FIN",PERSONAL!$J$2:$J$80,PERSONAL!$F$2:$F$80),MATCH($B814,PERSONAL!$A$2:$A$80,0)))))</f>
        <v/>
      </c>
      <c r="N814" s="53">
        <f t="array" ref="N814">IFERROR(INDEX(EXCEPCIONES_FECHA!$E$2:$E$201,MATCH(1,(EXCEPCIONES_FECHA!$A$2:$A$201=$A814)*(EXCEPCIONES_FECHA!$B$2:$B$201=$B814),0)),IFERROR(INDEX(EXCEPCIONES_FECHA!$E$2:$E$201,MATCH(1,(EXCEPCIONES_FECHA!$A$2:$A$201=$A814)*(EXCEPCIONES_FECHA!$B$2:$B$201=""),0)),IFERROR(INDEX(IF($I814="FIN",HISTORIAL_HORARIOS!$K$2:$K$201,HISTORIAL_HORARIOS!$G$2:$G$201),MATCH(1,(HISTORIAL_HORARIOS!$A$2:$A$201=$B814)*(HISTORIAL_HORARIOS!$C$2:$C$201&lt;=$A814)*(HISTORIAL_HORARIOS!$D$2:$D$201&gt;=$A814),0)),INDEX(IF($I814="FIN",PERSONAL!$K$2:$K$80,PERSONAL!$G$2:$G$80),MATCH($B814,PERSONAL!$A$2:$A$80,0)))))</f>
        <v/>
      </c>
      <c r="O814" s="53">
        <f t="array" ref="O814">IFERROR(INDEX(EXCEPCIONES_FECHA!$F$2:$F$201,MATCH(1,(EXCEPCIONES_FECHA!$A$2:$A$201=$A814)*(EXCEPCIONES_FECHA!$B$2:$B$201=$B814),0)),IFERROR(INDEX(EXCEPCIONES_FECHA!$F$2:$F$201,MATCH(1,(EXCEPCIONES_FECHA!$A$2:$A$201=$A814)*(EXCEPCIONES_FECHA!$B$2:$B$201=""),0)),IFERROR(INDEX(IF($I814="FIN",HISTORIAL_HORARIOS!$L$2:$L$201,HISTORIAL_HORARIOS!$H$2:$H$201),MATCH(1,(HISTORIAL_HORARIOS!$A$2:$A$201=$B814)*(HISTORIAL_HORARIOS!$C$2:$C$201&lt;=$A814)*(HISTORIAL_HORARIOS!$D$2:$D$201&gt;=$A814),0)),INDEX(IF($I814="FIN",PERSONAL!$L$2:$L$80,PERSONAL!$H$2:$H$80),MATCH($B814,PERSONAL!$A$2:$A$80,0)))))</f>
        <v/>
      </c>
    </row>
    <row r="815" ht="15" customHeight="1" s="58">
      <c r="A815" s="37" t="n"/>
      <c r="B815" s="38" t="n"/>
      <c r="C815" s="39" t="n"/>
      <c r="D815" s="39" t="n"/>
      <c r="E815" s="34">
        <f t="array" ref="E815">IF($B815="","",IFERROR(INDEX(PERSONAL!$B$2:$B$80,MATCH($B815,PERSONAL!$A$2:$A$80,0)),"NO EXISTE"))</f>
        <v/>
      </c>
      <c r="F815" s="52">
        <f t="array" ref="F815">IF($B815="","",IFERROR(INDEX(PERSONAL!$C$2:$C$80,MATCH($B815,PERSONAL!$A$2:$A$80,0)),""))</f>
        <v/>
      </c>
      <c r="G815" s="52">
        <f>IF($A815="","",CHOOSE(WEEKDAY($A815,2),"LUNES","MARTES","MIÉRCOLES","JUEVES","VIERNES","SÁBADO","DOMINGO"))</f>
        <v/>
      </c>
      <c r="H815" s="34">
        <f>IF($A815="","",CHOOSE(MONTH($A815),"ENERO","FEBRERO","MARZO","ABRIL","MAYO","JUNIO","JULIO","AGOSTO","SEPTIEMBRE","OCTUBRE","NOVIEMBRE","DICIEMBRE"))</f>
        <v/>
      </c>
      <c r="I815" s="34">
        <f>IF($A815="","",IF(OR($G815="SÁBADO",$G815="DOMINGO"),"FIN","LV"))</f>
        <v/>
      </c>
      <c r="J815" s="34">
        <f>IF(OR($A815="",$B815=""),"",IF($L815&lt;&gt;"",UPPER($L815),IF($C815="","FALTA",IFERROR(IF($C815&gt;=$O815,"ROJO FUERTE",IF($C815&gt;=$N815,"ROJO",IF($C815&gt;=$M815,"AMARILLO","VERDE"))),"REVISAR"))))</f>
        <v/>
      </c>
      <c r="K815" s="36">
        <f>IF(OR($C815="",$D815=""),"",IF($D815&gt;=$C815,($D815-$C815)*24,(1-$C815+$D815)*24))</f>
        <v/>
      </c>
      <c r="L815" s="34" t="n"/>
      <c r="M815" s="53">
        <f t="array" ref="M815">IFERROR(INDEX(EXCEPCIONES_FECHA!$D$2:$D$201,MATCH(1,(EXCEPCIONES_FECHA!$A$2:$A$201=$A815)*(EXCEPCIONES_FECHA!$B$2:$B$201=$B815),0)),IFERROR(INDEX(EXCEPCIONES_FECHA!$D$2:$D$201,MATCH(1,(EXCEPCIONES_FECHA!$A$2:$A$201=$A815)*(EXCEPCIONES_FECHA!$B$2:$B$201=""),0)),IFERROR(INDEX(IF($I815="FIN",HISTORIAL_HORARIOS!$J$2:$J$201,HISTORIAL_HORARIOS!$F$2:$F$201),MATCH(1,(HISTORIAL_HORARIOS!$A$2:$A$201=$B815)*(HISTORIAL_HORARIOS!$C$2:$C$201&lt;=$A815)*(HISTORIAL_HORARIOS!$D$2:$D$201&gt;=$A815),0)),INDEX(IF($I815="FIN",PERSONAL!$J$2:$J$80,PERSONAL!$F$2:$F$80),MATCH($B815,PERSONAL!$A$2:$A$80,0)))))</f>
        <v/>
      </c>
      <c r="N815" s="53">
        <f t="array" ref="N815">IFERROR(INDEX(EXCEPCIONES_FECHA!$E$2:$E$201,MATCH(1,(EXCEPCIONES_FECHA!$A$2:$A$201=$A815)*(EXCEPCIONES_FECHA!$B$2:$B$201=$B815),0)),IFERROR(INDEX(EXCEPCIONES_FECHA!$E$2:$E$201,MATCH(1,(EXCEPCIONES_FECHA!$A$2:$A$201=$A815)*(EXCEPCIONES_FECHA!$B$2:$B$201=""),0)),IFERROR(INDEX(IF($I815="FIN",HISTORIAL_HORARIOS!$K$2:$K$201,HISTORIAL_HORARIOS!$G$2:$G$201),MATCH(1,(HISTORIAL_HORARIOS!$A$2:$A$201=$B815)*(HISTORIAL_HORARIOS!$C$2:$C$201&lt;=$A815)*(HISTORIAL_HORARIOS!$D$2:$D$201&gt;=$A815),0)),INDEX(IF($I815="FIN",PERSONAL!$K$2:$K$80,PERSONAL!$G$2:$G$80),MATCH($B815,PERSONAL!$A$2:$A$80,0)))))</f>
        <v/>
      </c>
      <c r="O815" s="53">
        <f t="array" ref="O815">IFERROR(INDEX(EXCEPCIONES_FECHA!$F$2:$F$201,MATCH(1,(EXCEPCIONES_FECHA!$A$2:$A$201=$A815)*(EXCEPCIONES_FECHA!$B$2:$B$201=$B815),0)),IFERROR(INDEX(EXCEPCIONES_FECHA!$F$2:$F$201,MATCH(1,(EXCEPCIONES_FECHA!$A$2:$A$201=$A815)*(EXCEPCIONES_FECHA!$B$2:$B$201=""),0)),IFERROR(INDEX(IF($I815="FIN",HISTORIAL_HORARIOS!$L$2:$L$201,HISTORIAL_HORARIOS!$H$2:$H$201),MATCH(1,(HISTORIAL_HORARIOS!$A$2:$A$201=$B815)*(HISTORIAL_HORARIOS!$C$2:$C$201&lt;=$A815)*(HISTORIAL_HORARIOS!$D$2:$D$201&gt;=$A815),0)),INDEX(IF($I815="FIN",PERSONAL!$L$2:$L$80,PERSONAL!$H$2:$H$80),MATCH($B815,PERSONAL!$A$2:$A$80,0)))))</f>
        <v/>
      </c>
    </row>
    <row r="816" ht="15" customHeight="1" s="58">
      <c r="A816" s="37" t="n"/>
      <c r="B816" s="38" t="n"/>
      <c r="C816" s="39" t="n"/>
      <c r="D816" s="39" t="n"/>
      <c r="E816" s="34">
        <f t="array" ref="E816">IF($B816="","",IFERROR(INDEX(PERSONAL!$B$2:$B$80,MATCH($B816,PERSONAL!$A$2:$A$80,0)),"NO EXISTE"))</f>
        <v/>
      </c>
      <c r="F816" s="52">
        <f t="array" ref="F816">IF($B816="","",IFERROR(INDEX(PERSONAL!$C$2:$C$80,MATCH($B816,PERSONAL!$A$2:$A$80,0)),""))</f>
        <v/>
      </c>
      <c r="G816" s="52">
        <f>IF($A816="","",CHOOSE(WEEKDAY($A816,2),"LUNES","MARTES","MIÉRCOLES","JUEVES","VIERNES","SÁBADO","DOMINGO"))</f>
        <v/>
      </c>
      <c r="H816" s="34">
        <f>IF($A816="","",CHOOSE(MONTH($A816),"ENERO","FEBRERO","MARZO","ABRIL","MAYO","JUNIO","JULIO","AGOSTO","SEPTIEMBRE","OCTUBRE","NOVIEMBRE","DICIEMBRE"))</f>
        <v/>
      </c>
      <c r="I816" s="34">
        <f>IF($A816="","",IF(OR($G816="SÁBADO",$G816="DOMINGO"),"FIN","LV"))</f>
        <v/>
      </c>
      <c r="J816" s="34">
        <f>IF(OR($A816="",$B816=""),"",IF($L816&lt;&gt;"",UPPER($L816),IF($C816="","FALTA",IFERROR(IF($C816&gt;=$O816,"ROJO FUERTE",IF($C816&gt;=$N816,"ROJO",IF($C816&gt;=$M816,"AMARILLO","VERDE"))),"REVISAR"))))</f>
        <v/>
      </c>
      <c r="K816" s="36">
        <f>IF(OR($C816="",$D816=""),"",IF($D816&gt;=$C816,($D816-$C816)*24,(1-$C816+$D816)*24))</f>
        <v/>
      </c>
      <c r="L816" s="34" t="n"/>
      <c r="M816" s="53">
        <f t="array" ref="M816">IFERROR(INDEX(EXCEPCIONES_FECHA!$D$2:$D$201,MATCH(1,(EXCEPCIONES_FECHA!$A$2:$A$201=$A816)*(EXCEPCIONES_FECHA!$B$2:$B$201=$B816),0)),IFERROR(INDEX(EXCEPCIONES_FECHA!$D$2:$D$201,MATCH(1,(EXCEPCIONES_FECHA!$A$2:$A$201=$A816)*(EXCEPCIONES_FECHA!$B$2:$B$201=""),0)),IFERROR(INDEX(IF($I816="FIN",HISTORIAL_HORARIOS!$J$2:$J$201,HISTORIAL_HORARIOS!$F$2:$F$201),MATCH(1,(HISTORIAL_HORARIOS!$A$2:$A$201=$B816)*(HISTORIAL_HORARIOS!$C$2:$C$201&lt;=$A816)*(HISTORIAL_HORARIOS!$D$2:$D$201&gt;=$A816),0)),INDEX(IF($I816="FIN",PERSONAL!$J$2:$J$80,PERSONAL!$F$2:$F$80),MATCH($B816,PERSONAL!$A$2:$A$80,0)))))</f>
        <v/>
      </c>
      <c r="N816" s="53">
        <f t="array" ref="N816">IFERROR(INDEX(EXCEPCIONES_FECHA!$E$2:$E$201,MATCH(1,(EXCEPCIONES_FECHA!$A$2:$A$201=$A816)*(EXCEPCIONES_FECHA!$B$2:$B$201=$B816),0)),IFERROR(INDEX(EXCEPCIONES_FECHA!$E$2:$E$201,MATCH(1,(EXCEPCIONES_FECHA!$A$2:$A$201=$A816)*(EXCEPCIONES_FECHA!$B$2:$B$201=""),0)),IFERROR(INDEX(IF($I816="FIN",HISTORIAL_HORARIOS!$K$2:$K$201,HISTORIAL_HORARIOS!$G$2:$G$201),MATCH(1,(HISTORIAL_HORARIOS!$A$2:$A$201=$B816)*(HISTORIAL_HORARIOS!$C$2:$C$201&lt;=$A816)*(HISTORIAL_HORARIOS!$D$2:$D$201&gt;=$A816),0)),INDEX(IF($I816="FIN",PERSONAL!$K$2:$K$80,PERSONAL!$G$2:$G$80),MATCH($B816,PERSONAL!$A$2:$A$80,0)))))</f>
        <v/>
      </c>
      <c r="O816" s="53">
        <f t="array" ref="O816">IFERROR(INDEX(EXCEPCIONES_FECHA!$F$2:$F$201,MATCH(1,(EXCEPCIONES_FECHA!$A$2:$A$201=$A816)*(EXCEPCIONES_FECHA!$B$2:$B$201=$B816),0)),IFERROR(INDEX(EXCEPCIONES_FECHA!$F$2:$F$201,MATCH(1,(EXCEPCIONES_FECHA!$A$2:$A$201=$A816)*(EXCEPCIONES_FECHA!$B$2:$B$201=""),0)),IFERROR(INDEX(IF($I816="FIN",HISTORIAL_HORARIOS!$L$2:$L$201,HISTORIAL_HORARIOS!$H$2:$H$201),MATCH(1,(HISTORIAL_HORARIOS!$A$2:$A$201=$B816)*(HISTORIAL_HORARIOS!$C$2:$C$201&lt;=$A816)*(HISTORIAL_HORARIOS!$D$2:$D$201&gt;=$A816),0)),INDEX(IF($I816="FIN",PERSONAL!$L$2:$L$80,PERSONAL!$H$2:$H$80),MATCH($B816,PERSONAL!$A$2:$A$80,0)))))</f>
        <v/>
      </c>
    </row>
    <row r="817" ht="15" customHeight="1" s="58">
      <c r="A817" s="37" t="n"/>
      <c r="B817" s="38" t="n"/>
      <c r="C817" s="39" t="n"/>
      <c r="D817" s="39" t="n"/>
      <c r="E817" s="34">
        <f t="array" ref="E817">IF($B817="","",IFERROR(INDEX(PERSONAL!$B$2:$B$80,MATCH($B817,PERSONAL!$A$2:$A$80,0)),"NO EXISTE"))</f>
        <v/>
      </c>
      <c r="F817" s="52">
        <f t="array" ref="F817">IF($B817="","",IFERROR(INDEX(PERSONAL!$C$2:$C$80,MATCH($B817,PERSONAL!$A$2:$A$80,0)),""))</f>
        <v/>
      </c>
      <c r="G817" s="52">
        <f>IF($A817="","",CHOOSE(WEEKDAY($A817,2),"LUNES","MARTES","MIÉRCOLES","JUEVES","VIERNES","SÁBADO","DOMINGO"))</f>
        <v/>
      </c>
      <c r="H817" s="34">
        <f>IF($A817="","",CHOOSE(MONTH($A817),"ENERO","FEBRERO","MARZO","ABRIL","MAYO","JUNIO","JULIO","AGOSTO","SEPTIEMBRE","OCTUBRE","NOVIEMBRE","DICIEMBRE"))</f>
        <v/>
      </c>
      <c r="I817" s="34">
        <f>IF($A817="","",IF(OR($G817="SÁBADO",$G817="DOMINGO"),"FIN","LV"))</f>
        <v/>
      </c>
      <c r="J817" s="34">
        <f>IF(OR($A817="",$B817=""),"",IF($L817&lt;&gt;"",UPPER($L817),IF($C817="","FALTA",IFERROR(IF($C817&gt;=$O817,"ROJO FUERTE",IF($C817&gt;=$N817,"ROJO",IF($C817&gt;=$M817,"AMARILLO","VERDE"))),"REVISAR"))))</f>
        <v/>
      </c>
      <c r="K817" s="36">
        <f>IF(OR($C817="",$D817=""),"",IF($D817&gt;=$C817,($D817-$C817)*24,(1-$C817+$D817)*24))</f>
        <v/>
      </c>
      <c r="L817" s="34" t="n"/>
      <c r="M817" s="53">
        <f t="array" ref="M817">IFERROR(INDEX(EXCEPCIONES_FECHA!$D$2:$D$201,MATCH(1,(EXCEPCIONES_FECHA!$A$2:$A$201=$A817)*(EXCEPCIONES_FECHA!$B$2:$B$201=$B817),0)),IFERROR(INDEX(EXCEPCIONES_FECHA!$D$2:$D$201,MATCH(1,(EXCEPCIONES_FECHA!$A$2:$A$201=$A817)*(EXCEPCIONES_FECHA!$B$2:$B$201=""),0)),IFERROR(INDEX(IF($I817="FIN",HISTORIAL_HORARIOS!$J$2:$J$201,HISTORIAL_HORARIOS!$F$2:$F$201),MATCH(1,(HISTORIAL_HORARIOS!$A$2:$A$201=$B817)*(HISTORIAL_HORARIOS!$C$2:$C$201&lt;=$A817)*(HISTORIAL_HORARIOS!$D$2:$D$201&gt;=$A817),0)),INDEX(IF($I817="FIN",PERSONAL!$J$2:$J$80,PERSONAL!$F$2:$F$80),MATCH($B817,PERSONAL!$A$2:$A$80,0)))))</f>
        <v/>
      </c>
      <c r="N817" s="53">
        <f t="array" ref="N817">IFERROR(INDEX(EXCEPCIONES_FECHA!$E$2:$E$201,MATCH(1,(EXCEPCIONES_FECHA!$A$2:$A$201=$A817)*(EXCEPCIONES_FECHA!$B$2:$B$201=$B817),0)),IFERROR(INDEX(EXCEPCIONES_FECHA!$E$2:$E$201,MATCH(1,(EXCEPCIONES_FECHA!$A$2:$A$201=$A817)*(EXCEPCIONES_FECHA!$B$2:$B$201=""),0)),IFERROR(INDEX(IF($I817="FIN",HISTORIAL_HORARIOS!$K$2:$K$201,HISTORIAL_HORARIOS!$G$2:$G$201),MATCH(1,(HISTORIAL_HORARIOS!$A$2:$A$201=$B817)*(HISTORIAL_HORARIOS!$C$2:$C$201&lt;=$A817)*(HISTORIAL_HORARIOS!$D$2:$D$201&gt;=$A817),0)),INDEX(IF($I817="FIN",PERSONAL!$K$2:$K$80,PERSONAL!$G$2:$G$80),MATCH($B817,PERSONAL!$A$2:$A$80,0)))))</f>
        <v/>
      </c>
      <c r="O817" s="53">
        <f t="array" ref="O817">IFERROR(INDEX(EXCEPCIONES_FECHA!$F$2:$F$201,MATCH(1,(EXCEPCIONES_FECHA!$A$2:$A$201=$A817)*(EXCEPCIONES_FECHA!$B$2:$B$201=$B817),0)),IFERROR(INDEX(EXCEPCIONES_FECHA!$F$2:$F$201,MATCH(1,(EXCEPCIONES_FECHA!$A$2:$A$201=$A817)*(EXCEPCIONES_FECHA!$B$2:$B$201=""),0)),IFERROR(INDEX(IF($I817="FIN",HISTORIAL_HORARIOS!$L$2:$L$201,HISTORIAL_HORARIOS!$H$2:$H$201),MATCH(1,(HISTORIAL_HORARIOS!$A$2:$A$201=$B817)*(HISTORIAL_HORARIOS!$C$2:$C$201&lt;=$A817)*(HISTORIAL_HORARIOS!$D$2:$D$201&gt;=$A817),0)),INDEX(IF($I817="FIN",PERSONAL!$L$2:$L$80,PERSONAL!$H$2:$H$80),MATCH($B817,PERSONAL!$A$2:$A$80,0)))))</f>
        <v/>
      </c>
    </row>
    <row r="818" ht="15" customHeight="1" s="58">
      <c r="A818" s="37" t="n"/>
      <c r="B818" s="38" t="n"/>
      <c r="C818" s="39" t="n"/>
      <c r="D818" s="39" t="n"/>
      <c r="E818" s="34">
        <f t="array" ref="E818">IF($B818="","",IFERROR(INDEX(PERSONAL!$B$2:$B$80,MATCH($B818,PERSONAL!$A$2:$A$80,0)),"NO EXISTE"))</f>
        <v/>
      </c>
      <c r="F818" s="52">
        <f t="array" ref="F818">IF($B818="","",IFERROR(INDEX(PERSONAL!$C$2:$C$80,MATCH($B818,PERSONAL!$A$2:$A$80,0)),""))</f>
        <v/>
      </c>
      <c r="G818" s="52">
        <f>IF($A818="","",CHOOSE(WEEKDAY($A818,2),"LUNES","MARTES","MIÉRCOLES","JUEVES","VIERNES","SÁBADO","DOMINGO"))</f>
        <v/>
      </c>
      <c r="H818" s="34">
        <f>IF($A818="","",CHOOSE(MONTH($A818),"ENERO","FEBRERO","MARZO","ABRIL","MAYO","JUNIO","JULIO","AGOSTO","SEPTIEMBRE","OCTUBRE","NOVIEMBRE","DICIEMBRE"))</f>
        <v/>
      </c>
      <c r="I818" s="34">
        <f>IF($A818="","",IF(OR($G818="SÁBADO",$G818="DOMINGO"),"FIN","LV"))</f>
        <v/>
      </c>
      <c r="J818" s="34">
        <f>IF(OR($A818="",$B818=""),"",IF($L818&lt;&gt;"",UPPER($L818),IF($C818="","FALTA",IFERROR(IF($C818&gt;=$O818,"ROJO FUERTE",IF($C818&gt;=$N818,"ROJO",IF($C818&gt;=$M818,"AMARILLO","VERDE"))),"REVISAR"))))</f>
        <v/>
      </c>
      <c r="K818" s="36">
        <f>IF(OR($C818="",$D818=""),"",IF($D818&gt;=$C818,($D818-$C818)*24,(1-$C818+$D818)*24))</f>
        <v/>
      </c>
      <c r="L818" s="34" t="n"/>
      <c r="M818" s="53">
        <f t="array" ref="M818">IFERROR(INDEX(EXCEPCIONES_FECHA!$D$2:$D$201,MATCH(1,(EXCEPCIONES_FECHA!$A$2:$A$201=$A818)*(EXCEPCIONES_FECHA!$B$2:$B$201=$B818),0)),IFERROR(INDEX(EXCEPCIONES_FECHA!$D$2:$D$201,MATCH(1,(EXCEPCIONES_FECHA!$A$2:$A$201=$A818)*(EXCEPCIONES_FECHA!$B$2:$B$201=""),0)),IFERROR(INDEX(IF($I818="FIN",HISTORIAL_HORARIOS!$J$2:$J$201,HISTORIAL_HORARIOS!$F$2:$F$201),MATCH(1,(HISTORIAL_HORARIOS!$A$2:$A$201=$B818)*(HISTORIAL_HORARIOS!$C$2:$C$201&lt;=$A818)*(HISTORIAL_HORARIOS!$D$2:$D$201&gt;=$A818),0)),INDEX(IF($I818="FIN",PERSONAL!$J$2:$J$80,PERSONAL!$F$2:$F$80),MATCH($B818,PERSONAL!$A$2:$A$80,0)))))</f>
        <v/>
      </c>
      <c r="N818" s="53">
        <f t="array" ref="N818">IFERROR(INDEX(EXCEPCIONES_FECHA!$E$2:$E$201,MATCH(1,(EXCEPCIONES_FECHA!$A$2:$A$201=$A818)*(EXCEPCIONES_FECHA!$B$2:$B$201=$B818),0)),IFERROR(INDEX(EXCEPCIONES_FECHA!$E$2:$E$201,MATCH(1,(EXCEPCIONES_FECHA!$A$2:$A$201=$A818)*(EXCEPCIONES_FECHA!$B$2:$B$201=""),0)),IFERROR(INDEX(IF($I818="FIN",HISTORIAL_HORARIOS!$K$2:$K$201,HISTORIAL_HORARIOS!$G$2:$G$201),MATCH(1,(HISTORIAL_HORARIOS!$A$2:$A$201=$B818)*(HISTORIAL_HORARIOS!$C$2:$C$201&lt;=$A818)*(HISTORIAL_HORARIOS!$D$2:$D$201&gt;=$A818),0)),INDEX(IF($I818="FIN",PERSONAL!$K$2:$K$80,PERSONAL!$G$2:$G$80),MATCH($B818,PERSONAL!$A$2:$A$80,0)))))</f>
        <v/>
      </c>
      <c r="O818" s="53">
        <f t="array" ref="O818">IFERROR(INDEX(EXCEPCIONES_FECHA!$F$2:$F$201,MATCH(1,(EXCEPCIONES_FECHA!$A$2:$A$201=$A818)*(EXCEPCIONES_FECHA!$B$2:$B$201=$B818),0)),IFERROR(INDEX(EXCEPCIONES_FECHA!$F$2:$F$201,MATCH(1,(EXCEPCIONES_FECHA!$A$2:$A$201=$A818)*(EXCEPCIONES_FECHA!$B$2:$B$201=""),0)),IFERROR(INDEX(IF($I818="FIN",HISTORIAL_HORARIOS!$L$2:$L$201,HISTORIAL_HORARIOS!$H$2:$H$201),MATCH(1,(HISTORIAL_HORARIOS!$A$2:$A$201=$B818)*(HISTORIAL_HORARIOS!$C$2:$C$201&lt;=$A818)*(HISTORIAL_HORARIOS!$D$2:$D$201&gt;=$A818),0)),INDEX(IF($I818="FIN",PERSONAL!$L$2:$L$80,PERSONAL!$H$2:$H$80),MATCH($B818,PERSONAL!$A$2:$A$80,0)))))</f>
        <v/>
      </c>
    </row>
    <row r="819" ht="15" customHeight="1" s="58">
      <c r="A819" s="40" t="n"/>
      <c r="B819" s="38" t="n"/>
      <c r="C819" s="40" t="n"/>
      <c r="D819" s="40" t="n"/>
      <c r="E819" s="34">
        <f t="array" ref="E819">IF($B819="","",IFERROR(INDEX(PERSONAL!$B$2:$B$80,MATCH($B819,PERSONAL!$A$2:$A$80,0)),"NO EXISTE"))</f>
        <v/>
      </c>
      <c r="F819" s="34">
        <f t="array" ref="F819">IF($B819="","",IFERROR(INDEX(PERSONAL!$C$2:$C$80,MATCH($B819,PERSONAL!$A$2:$A$80,0)),""))</f>
        <v/>
      </c>
      <c r="G819" s="34">
        <f>IF($A819="","",CHOOSE(WEEKDAY($A819,2),"LUNES","MARTES","MIÉRCOLES","JUEVES","VIERNES","SÁBADO","DOMINGO"))</f>
        <v/>
      </c>
      <c r="H819" s="34">
        <f>IF($A819="","",CHOOSE(MONTH($A819),"ENERO","FEBRERO","MARZO","ABRIL","MAYO","JUNIO","JULIO","AGOSTO","SEPTIEMBRE","OCTUBRE","NOVIEMBRE","DICIEMBRE"))</f>
        <v/>
      </c>
      <c r="I819" s="34">
        <f>IF($A819="","",IF(OR($G819="SÁBADO",$G819="DOMINGO"),"FIN","LV"))</f>
        <v/>
      </c>
      <c r="J819" s="34">
        <f>IF(OR($A819="",$B819=""),"",IF($L819&lt;&gt;"",UPPER($L819),IF($C819="","FALTA",IFERROR(IF($C819&gt;=$O819,"ROJO FUERTE",IF($C819&gt;=$N819,"ROJO",IF($C819&gt;=$M819,"AMARILLO","VERDE"))),"REVISAR"))))</f>
        <v/>
      </c>
      <c r="K819" s="36">
        <f>IF(OR($C819="",$D819=""),"",IF($D819&gt;=$C819,($D819-$C819)*24,(1-$C819+$D819)*24))</f>
        <v/>
      </c>
      <c r="L819" s="34" t="n"/>
      <c r="M819" s="53">
        <f t="array" ref="M819">IFERROR(INDEX(EXCEPCIONES_FECHA!$D$2:$D$201,MATCH(1,(EXCEPCIONES_FECHA!$A$2:$A$201=$A819)*(EXCEPCIONES_FECHA!$B$2:$B$201=$B819),0)),IFERROR(INDEX(EXCEPCIONES_FECHA!$D$2:$D$201,MATCH(1,(EXCEPCIONES_FECHA!$A$2:$A$201=$A819)*(EXCEPCIONES_FECHA!$B$2:$B$201=""),0)),IFERROR(INDEX(IF($I819="FIN",HISTORIAL_HORARIOS!$J$2:$J$201,HISTORIAL_HORARIOS!$F$2:$F$201),MATCH(1,(HISTORIAL_HORARIOS!$A$2:$A$201=$B819)*(HISTORIAL_HORARIOS!$C$2:$C$201&lt;=$A819)*(HISTORIAL_HORARIOS!$D$2:$D$201&gt;=$A819),0)),INDEX(IF($I819="FIN",PERSONAL!$J$2:$J$80,PERSONAL!$F$2:$F$80),MATCH($B819,PERSONAL!$A$2:$A$80,0)))))</f>
        <v/>
      </c>
      <c r="N819" s="53">
        <f t="array" ref="N819">IFERROR(INDEX(EXCEPCIONES_FECHA!$E$2:$E$201,MATCH(1,(EXCEPCIONES_FECHA!$A$2:$A$201=$A819)*(EXCEPCIONES_FECHA!$B$2:$B$201=$B819),0)),IFERROR(INDEX(EXCEPCIONES_FECHA!$E$2:$E$201,MATCH(1,(EXCEPCIONES_FECHA!$A$2:$A$201=$A819)*(EXCEPCIONES_FECHA!$B$2:$B$201=""),0)),IFERROR(INDEX(IF($I819="FIN",HISTORIAL_HORARIOS!$K$2:$K$201,HISTORIAL_HORARIOS!$G$2:$G$201),MATCH(1,(HISTORIAL_HORARIOS!$A$2:$A$201=$B819)*(HISTORIAL_HORARIOS!$C$2:$C$201&lt;=$A819)*(HISTORIAL_HORARIOS!$D$2:$D$201&gt;=$A819),0)),INDEX(IF($I819="FIN",PERSONAL!$K$2:$K$80,PERSONAL!$G$2:$G$80),MATCH($B819,PERSONAL!$A$2:$A$80,0)))))</f>
        <v/>
      </c>
      <c r="O819" s="53">
        <f t="array" ref="O819">IFERROR(INDEX(EXCEPCIONES_FECHA!$F$2:$F$201,MATCH(1,(EXCEPCIONES_FECHA!$A$2:$A$201=$A819)*(EXCEPCIONES_FECHA!$B$2:$B$201=$B819),0)),IFERROR(INDEX(EXCEPCIONES_FECHA!$F$2:$F$201,MATCH(1,(EXCEPCIONES_FECHA!$A$2:$A$201=$A819)*(EXCEPCIONES_FECHA!$B$2:$B$201=""),0)),IFERROR(INDEX(IF($I819="FIN",HISTORIAL_HORARIOS!$L$2:$L$201,HISTORIAL_HORARIOS!$H$2:$H$201),MATCH(1,(HISTORIAL_HORARIOS!$A$2:$A$201=$B819)*(HISTORIAL_HORARIOS!$C$2:$C$201&lt;=$A819)*(HISTORIAL_HORARIOS!$D$2:$D$201&gt;=$A819),0)),INDEX(IF($I819="FIN",PERSONAL!$L$2:$L$80,PERSONAL!$H$2:$H$80),MATCH($B819,PERSONAL!$A$2:$A$80,0)))))</f>
        <v/>
      </c>
    </row>
    <row r="820" ht="15" customHeight="1" s="58">
      <c r="A820" s="40" t="n"/>
      <c r="B820" s="38" t="n"/>
      <c r="C820" s="40" t="n"/>
      <c r="D820" s="40" t="n"/>
      <c r="E820" s="34">
        <f t="array" ref="E820">IF($B820="","",IFERROR(INDEX(PERSONAL!$B$2:$B$80,MATCH($B820,PERSONAL!$A$2:$A$80,0)),"NO EXISTE"))</f>
        <v/>
      </c>
      <c r="F820" s="34">
        <f t="array" ref="F820">IF($B820="","",IFERROR(INDEX(PERSONAL!$C$2:$C$80,MATCH($B820,PERSONAL!$A$2:$A$80,0)),""))</f>
        <v/>
      </c>
      <c r="G820" s="34">
        <f>IF($A820="","",CHOOSE(WEEKDAY($A820,2),"LUNES","MARTES","MIÉRCOLES","JUEVES","VIERNES","SÁBADO","DOMINGO"))</f>
        <v/>
      </c>
      <c r="H820" s="34">
        <f>IF($A820="","",CHOOSE(MONTH($A820),"ENERO","FEBRERO","MARZO","ABRIL","MAYO","JUNIO","JULIO","AGOSTO","SEPTIEMBRE","OCTUBRE","NOVIEMBRE","DICIEMBRE"))</f>
        <v/>
      </c>
      <c r="I820" s="34">
        <f>IF($A820="","",IF(OR($G820="SÁBADO",$G820="DOMINGO"),"FIN","LV"))</f>
        <v/>
      </c>
      <c r="J820" s="34">
        <f>IF(OR($A820="",$B820=""),"",IF($L820&lt;&gt;"",UPPER($L820),IF($C820="","FALTA",IFERROR(IF($C820&gt;=$O820,"ROJO FUERTE",IF($C820&gt;=$N820,"ROJO",IF($C820&gt;=$M820,"AMARILLO","VERDE"))),"REVISAR"))))</f>
        <v/>
      </c>
      <c r="K820" s="36">
        <f>IF(OR($C820="",$D820=""),"",IF($D820&gt;=$C820,($D820-$C820)*24,(1-$C820+$D820)*24))</f>
        <v/>
      </c>
      <c r="L820" s="34" t="n"/>
      <c r="M820" s="53">
        <f t="array" ref="M820">IFERROR(INDEX(EXCEPCIONES_FECHA!$D$2:$D$201,MATCH(1,(EXCEPCIONES_FECHA!$A$2:$A$201=$A820)*(EXCEPCIONES_FECHA!$B$2:$B$201=$B820),0)),IFERROR(INDEX(EXCEPCIONES_FECHA!$D$2:$D$201,MATCH(1,(EXCEPCIONES_FECHA!$A$2:$A$201=$A820)*(EXCEPCIONES_FECHA!$B$2:$B$201=""),0)),IFERROR(INDEX(IF($I820="FIN",HISTORIAL_HORARIOS!$J$2:$J$201,HISTORIAL_HORARIOS!$F$2:$F$201),MATCH(1,(HISTORIAL_HORARIOS!$A$2:$A$201=$B820)*(HISTORIAL_HORARIOS!$C$2:$C$201&lt;=$A820)*(HISTORIAL_HORARIOS!$D$2:$D$201&gt;=$A820),0)),INDEX(IF($I820="FIN",PERSONAL!$J$2:$J$80,PERSONAL!$F$2:$F$80),MATCH($B820,PERSONAL!$A$2:$A$80,0)))))</f>
        <v/>
      </c>
      <c r="N820" s="53">
        <f t="array" ref="N820">IFERROR(INDEX(EXCEPCIONES_FECHA!$E$2:$E$201,MATCH(1,(EXCEPCIONES_FECHA!$A$2:$A$201=$A820)*(EXCEPCIONES_FECHA!$B$2:$B$201=$B820),0)),IFERROR(INDEX(EXCEPCIONES_FECHA!$E$2:$E$201,MATCH(1,(EXCEPCIONES_FECHA!$A$2:$A$201=$A820)*(EXCEPCIONES_FECHA!$B$2:$B$201=""),0)),IFERROR(INDEX(IF($I820="FIN",HISTORIAL_HORARIOS!$K$2:$K$201,HISTORIAL_HORARIOS!$G$2:$G$201),MATCH(1,(HISTORIAL_HORARIOS!$A$2:$A$201=$B820)*(HISTORIAL_HORARIOS!$C$2:$C$201&lt;=$A820)*(HISTORIAL_HORARIOS!$D$2:$D$201&gt;=$A820),0)),INDEX(IF($I820="FIN",PERSONAL!$K$2:$K$80,PERSONAL!$G$2:$G$80),MATCH($B820,PERSONAL!$A$2:$A$80,0)))))</f>
        <v/>
      </c>
      <c r="O820" s="53">
        <f t="array" ref="O820">IFERROR(INDEX(EXCEPCIONES_FECHA!$F$2:$F$201,MATCH(1,(EXCEPCIONES_FECHA!$A$2:$A$201=$A820)*(EXCEPCIONES_FECHA!$B$2:$B$201=$B820),0)),IFERROR(INDEX(EXCEPCIONES_FECHA!$F$2:$F$201,MATCH(1,(EXCEPCIONES_FECHA!$A$2:$A$201=$A820)*(EXCEPCIONES_FECHA!$B$2:$B$201=""),0)),IFERROR(INDEX(IF($I820="FIN",HISTORIAL_HORARIOS!$L$2:$L$201,HISTORIAL_HORARIOS!$H$2:$H$201),MATCH(1,(HISTORIAL_HORARIOS!$A$2:$A$201=$B820)*(HISTORIAL_HORARIOS!$C$2:$C$201&lt;=$A820)*(HISTORIAL_HORARIOS!$D$2:$D$201&gt;=$A820),0)),INDEX(IF($I820="FIN",PERSONAL!$L$2:$L$80,PERSONAL!$H$2:$H$80),MATCH($B820,PERSONAL!$A$2:$A$80,0)))))</f>
        <v/>
      </c>
    </row>
    <row r="821" ht="15" customHeight="1" s="58">
      <c r="A821" s="40" t="n"/>
      <c r="B821" s="38" t="n"/>
      <c r="C821" s="40" t="n"/>
      <c r="D821" s="40" t="n"/>
      <c r="E821" s="34">
        <f t="array" ref="E821">IF($B821="","",IFERROR(INDEX(PERSONAL!$B$2:$B$80,MATCH($B821,PERSONAL!$A$2:$A$80,0)),"NO EXISTE"))</f>
        <v/>
      </c>
      <c r="F821" s="34">
        <f t="array" ref="F821">IF($B821="","",IFERROR(INDEX(PERSONAL!$C$2:$C$80,MATCH($B821,PERSONAL!$A$2:$A$80,0)),""))</f>
        <v/>
      </c>
      <c r="G821" s="34">
        <f>IF($A821="","",CHOOSE(WEEKDAY($A821,2),"LUNES","MARTES","MIÉRCOLES","JUEVES","VIERNES","SÁBADO","DOMINGO"))</f>
        <v/>
      </c>
      <c r="H821" s="34">
        <f>IF($A821="","",CHOOSE(MONTH($A821),"ENERO","FEBRERO","MARZO","ABRIL","MAYO","JUNIO","JULIO","AGOSTO","SEPTIEMBRE","OCTUBRE","NOVIEMBRE","DICIEMBRE"))</f>
        <v/>
      </c>
      <c r="I821" s="34">
        <f>IF($A821="","",IF(OR($G821="SÁBADO",$G821="DOMINGO"),"FIN","LV"))</f>
        <v/>
      </c>
      <c r="J821" s="34">
        <f>IF(OR($A821="",$B821=""),"",IF($L821&lt;&gt;"",UPPER($L821),IF($C821="","FALTA",IFERROR(IF($C821&gt;=$O821,"ROJO FUERTE",IF($C821&gt;=$N821,"ROJO",IF($C821&gt;=$M821,"AMARILLO","VERDE"))),"REVISAR"))))</f>
        <v/>
      </c>
      <c r="K821" s="36">
        <f>IF(OR($C821="",$D821=""),"",IF($D821&gt;=$C821,($D821-$C821)*24,(1-$C821+$D821)*24))</f>
        <v/>
      </c>
      <c r="L821" s="34" t="n"/>
      <c r="M821" s="53">
        <f t="array" ref="M821">IFERROR(INDEX(EXCEPCIONES_FECHA!$D$2:$D$201,MATCH(1,(EXCEPCIONES_FECHA!$A$2:$A$201=$A821)*(EXCEPCIONES_FECHA!$B$2:$B$201=$B821),0)),IFERROR(INDEX(EXCEPCIONES_FECHA!$D$2:$D$201,MATCH(1,(EXCEPCIONES_FECHA!$A$2:$A$201=$A821)*(EXCEPCIONES_FECHA!$B$2:$B$201=""),0)),IFERROR(INDEX(IF($I821="FIN",HISTORIAL_HORARIOS!$J$2:$J$201,HISTORIAL_HORARIOS!$F$2:$F$201),MATCH(1,(HISTORIAL_HORARIOS!$A$2:$A$201=$B821)*(HISTORIAL_HORARIOS!$C$2:$C$201&lt;=$A821)*(HISTORIAL_HORARIOS!$D$2:$D$201&gt;=$A821),0)),INDEX(IF($I821="FIN",PERSONAL!$J$2:$J$80,PERSONAL!$F$2:$F$80),MATCH($B821,PERSONAL!$A$2:$A$80,0)))))</f>
        <v/>
      </c>
      <c r="N821" s="53">
        <f t="array" ref="N821">IFERROR(INDEX(EXCEPCIONES_FECHA!$E$2:$E$201,MATCH(1,(EXCEPCIONES_FECHA!$A$2:$A$201=$A821)*(EXCEPCIONES_FECHA!$B$2:$B$201=$B821),0)),IFERROR(INDEX(EXCEPCIONES_FECHA!$E$2:$E$201,MATCH(1,(EXCEPCIONES_FECHA!$A$2:$A$201=$A821)*(EXCEPCIONES_FECHA!$B$2:$B$201=""),0)),IFERROR(INDEX(IF($I821="FIN",HISTORIAL_HORARIOS!$K$2:$K$201,HISTORIAL_HORARIOS!$G$2:$G$201),MATCH(1,(HISTORIAL_HORARIOS!$A$2:$A$201=$B821)*(HISTORIAL_HORARIOS!$C$2:$C$201&lt;=$A821)*(HISTORIAL_HORARIOS!$D$2:$D$201&gt;=$A821),0)),INDEX(IF($I821="FIN",PERSONAL!$K$2:$K$80,PERSONAL!$G$2:$G$80),MATCH($B821,PERSONAL!$A$2:$A$80,0)))))</f>
        <v/>
      </c>
      <c r="O821" s="53">
        <f t="array" ref="O821">IFERROR(INDEX(EXCEPCIONES_FECHA!$F$2:$F$201,MATCH(1,(EXCEPCIONES_FECHA!$A$2:$A$201=$A821)*(EXCEPCIONES_FECHA!$B$2:$B$201=$B821),0)),IFERROR(INDEX(EXCEPCIONES_FECHA!$F$2:$F$201,MATCH(1,(EXCEPCIONES_FECHA!$A$2:$A$201=$A821)*(EXCEPCIONES_FECHA!$B$2:$B$201=""),0)),IFERROR(INDEX(IF($I821="FIN",HISTORIAL_HORARIOS!$L$2:$L$201,HISTORIAL_HORARIOS!$H$2:$H$201),MATCH(1,(HISTORIAL_HORARIOS!$A$2:$A$201=$B821)*(HISTORIAL_HORARIOS!$C$2:$C$201&lt;=$A821)*(HISTORIAL_HORARIOS!$D$2:$D$201&gt;=$A821),0)),INDEX(IF($I821="FIN",PERSONAL!$L$2:$L$80,PERSONAL!$H$2:$H$80),MATCH($B821,PERSONAL!$A$2:$A$80,0)))))</f>
        <v/>
      </c>
    </row>
    <row r="822" ht="15" customHeight="1" s="58">
      <c r="A822" s="40" t="n"/>
      <c r="B822" s="38" t="n"/>
      <c r="C822" s="40" t="n"/>
      <c r="D822" s="40" t="n"/>
      <c r="E822" s="34">
        <f t="array" ref="E822">IF($B822="","",IFERROR(INDEX(PERSONAL!$B$2:$B$80,MATCH($B822,PERSONAL!$A$2:$A$80,0)),"NO EXISTE"))</f>
        <v/>
      </c>
      <c r="F822" s="34">
        <f t="array" ref="F822">IF($B822="","",IFERROR(INDEX(PERSONAL!$C$2:$C$80,MATCH($B822,PERSONAL!$A$2:$A$80,0)),""))</f>
        <v/>
      </c>
      <c r="G822" s="34">
        <f>IF($A822="","",CHOOSE(WEEKDAY($A822,2),"LUNES","MARTES","MIÉRCOLES","JUEVES","VIERNES","SÁBADO","DOMINGO"))</f>
        <v/>
      </c>
      <c r="H822" s="34">
        <f>IF($A822="","",CHOOSE(MONTH($A822),"ENERO","FEBRERO","MARZO","ABRIL","MAYO","JUNIO","JULIO","AGOSTO","SEPTIEMBRE","OCTUBRE","NOVIEMBRE","DICIEMBRE"))</f>
        <v/>
      </c>
      <c r="I822" s="34">
        <f>IF($A822="","",IF(OR($G822="SÁBADO",$G822="DOMINGO"),"FIN","LV"))</f>
        <v/>
      </c>
      <c r="J822" s="34">
        <f>IF(OR($A822="",$B822=""),"",IF($L822&lt;&gt;"",UPPER($L822),IF($C822="","FALTA",IFERROR(IF($C822&gt;=$O822,"ROJO FUERTE",IF($C822&gt;=$N822,"ROJO",IF($C822&gt;=$M822,"AMARILLO","VERDE"))),"REVISAR"))))</f>
        <v/>
      </c>
      <c r="K822" s="36">
        <f>IF(OR($C822="",$D822=""),"",IF($D822&gt;=$C822,($D822-$C822)*24,(1-$C822+$D822)*24))</f>
        <v/>
      </c>
      <c r="L822" s="34" t="n"/>
      <c r="M822" s="53">
        <f t="array" ref="M822">IFERROR(INDEX(EXCEPCIONES_FECHA!$D$2:$D$201,MATCH(1,(EXCEPCIONES_FECHA!$A$2:$A$201=$A822)*(EXCEPCIONES_FECHA!$B$2:$B$201=$B822),0)),IFERROR(INDEX(EXCEPCIONES_FECHA!$D$2:$D$201,MATCH(1,(EXCEPCIONES_FECHA!$A$2:$A$201=$A822)*(EXCEPCIONES_FECHA!$B$2:$B$201=""),0)),IFERROR(INDEX(IF($I822="FIN",HISTORIAL_HORARIOS!$J$2:$J$201,HISTORIAL_HORARIOS!$F$2:$F$201),MATCH(1,(HISTORIAL_HORARIOS!$A$2:$A$201=$B822)*(HISTORIAL_HORARIOS!$C$2:$C$201&lt;=$A822)*(HISTORIAL_HORARIOS!$D$2:$D$201&gt;=$A822),0)),INDEX(IF($I822="FIN",PERSONAL!$J$2:$J$80,PERSONAL!$F$2:$F$80),MATCH($B822,PERSONAL!$A$2:$A$80,0)))))</f>
        <v/>
      </c>
      <c r="N822" s="53">
        <f t="array" ref="N822">IFERROR(INDEX(EXCEPCIONES_FECHA!$E$2:$E$201,MATCH(1,(EXCEPCIONES_FECHA!$A$2:$A$201=$A822)*(EXCEPCIONES_FECHA!$B$2:$B$201=$B822),0)),IFERROR(INDEX(EXCEPCIONES_FECHA!$E$2:$E$201,MATCH(1,(EXCEPCIONES_FECHA!$A$2:$A$201=$A822)*(EXCEPCIONES_FECHA!$B$2:$B$201=""),0)),IFERROR(INDEX(IF($I822="FIN",HISTORIAL_HORARIOS!$K$2:$K$201,HISTORIAL_HORARIOS!$G$2:$G$201),MATCH(1,(HISTORIAL_HORARIOS!$A$2:$A$201=$B822)*(HISTORIAL_HORARIOS!$C$2:$C$201&lt;=$A822)*(HISTORIAL_HORARIOS!$D$2:$D$201&gt;=$A822),0)),INDEX(IF($I822="FIN",PERSONAL!$K$2:$K$80,PERSONAL!$G$2:$G$80),MATCH($B822,PERSONAL!$A$2:$A$80,0)))))</f>
        <v/>
      </c>
      <c r="O822" s="53">
        <f t="array" ref="O822">IFERROR(INDEX(EXCEPCIONES_FECHA!$F$2:$F$201,MATCH(1,(EXCEPCIONES_FECHA!$A$2:$A$201=$A822)*(EXCEPCIONES_FECHA!$B$2:$B$201=$B822),0)),IFERROR(INDEX(EXCEPCIONES_FECHA!$F$2:$F$201,MATCH(1,(EXCEPCIONES_FECHA!$A$2:$A$201=$A822)*(EXCEPCIONES_FECHA!$B$2:$B$201=""),0)),IFERROR(INDEX(IF($I822="FIN",HISTORIAL_HORARIOS!$L$2:$L$201,HISTORIAL_HORARIOS!$H$2:$H$201),MATCH(1,(HISTORIAL_HORARIOS!$A$2:$A$201=$B822)*(HISTORIAL_HORARIOS!$C$2:$C$201&lt;=$A822)*(HISTORIAL_HORARIOS!$D$2:$D$201&gt;=$A822),0)),INDEX(IF($I822="FIN",PERSONAL!$L$2:$L$80,PERSONAL!$H$2:$H$80),MATCH($B822,PERSONAL!$A$2:$A$80,0)))))</f>
        <v/>
      </c>
    </row>
    <row r="823" ht="15" customHeight="1" s="58">
      <c r="A823" s="40" t="n"/>
      <c r="B823" s="38" t="n"/>
      <c r="C823" s="40" t="n"/>
      <c r="D823" s="40" t="n"/>
      <c r="E823" s="34">
        <f t="array" ref="E823">IF($B823="","",IFERROR(INDEX(PERSONAL!$B$2:$B$80,MATCH($B823,PERSONAL!$A$2:$A$80,0)),"NO EXISTE"))</f>
        <v/>
      </c>
      <c r="F823" s="34">
        <f t="array" ref="F823">IF($B823="","",IFERROR(INDEX(PERSONAL!$C$2:$C$80,MATCH($B823,PERSONAL!$A$2:$A$80,0)),""))</f>
        <v/>
      </c>
      <c r="G823" s="34">
        <f>IF($A823="","",CHOOSE(WEEKDAY($A823,2),"LUNES","MARTES","MIÉRCOLES","JUEVES","VIERNES","SÁBADO","DOMINGO"))</f>
        <v/>
      </c>
      <c r="H823" s="34">
        <f>IF($A823="","",CHOOSE(MONTH($A823),"ENERO","FEBRERO","MARZO","ABRIL","MAYO","JUNIO","JULIO","AGOSTO","SEPTIEMBRE","OCTUBRE","NOVIEMBRE","DICIEMBRE"))</f>
        <v/>
      </c>
      <c r="I823" s="34">
        <f>IF($A823="","",IF(OR($G823="SÁBADO",$G823="DOMINGO"),"FIN","LV"))</f>
        <v/>
      </c>
      <c r="J823" s="34">
        <f>IF(OR($A823="",$B823=""),"",IF($L823&lt;&gt;"",UPPER($L823),IF($C823="","FALTA",IFERROR(IF($C823&gt;=$O823,"ROJO FUERTE",IF($C823&gt;=$N823,"ROJO",IF($C823&gt;=$M823,"AMARILLO","VERDE"))),"REVISAR"))))</f>
        <v/>
      </c>
      <c r="K823" s="36">
        <f>IF(OR($C823="",$D823=""),"",IF($D823&gt;=$C823,($D823-$C823)*24,(1-$C823+$D823)*24))</f>
        <v/>
      </c>
      <c r="L823" s="34" t="n"/>
      <c r="M823" s="53">
        <f t="array" ref="M823">IFERROR(INDEX(EXCEPCIONES_FECHA!$D$2:$D$201,MATCH(1,(EXCEPCIONES_FECHA!$A$2:$A$201=$A823)*(EXCEPCIONES_FECHA!$B$2:$B$201=$B823),0)),IFERROR(INDEX(EXCEPCIONES_FECHA!$D$2:$D$201,MATCH(1,(EXCEPCIONES_FECHA!$A$2:$A$201=$A823)*(EXCEPCIONES_FECHA!$B$2:$B$201=""),0)),IFERROR(INDEX(IF($I823="FIN",HISTORIAL_HORARIOS!$J$2:$J$201,HISTORIAL_HORARIOS!$F$2:$F$201),MATCH(1,(HISTORIAL_HORARIOS!$A$2:$A$201=$B823)*(HISTORIAL_HORARIOS!$C$2:$C$201&lt;=$A823)*(HISTORIAL_HORARIOS!$D$2:$D$201&gt;=$A823),0)),INDEX(IF($I823="FIN",PERSONAL!$J$2:$J$80,PERSONAL!$F$2:$F$80),MATCH($B823,PERSONAL!$A$2:$A$80,0)))))</f>
        <v/>
      </c>
      <c r="N823" s="53">
        <f t="array" ref="N823">IFERROR(INDEX(EXCEPCIONES_FECHA!$E$2:$E$201,MATCH(1,(EXCEPCIONES_FECHA!$A$2:$A$201=$A823)*(EXCEPCIONES_FECHA!$B$2:$B$201=$B823),0)),IFERROR(INDEX(EXCEPCIONES_FECHA!$E$2:$E$201,MATCH(1,(EXCEPCIONES_FECHA!$A$2:$A$201=$A823)*(EXCEPCIONES_FECHA!$B$2:$B$201=""),0)),IFERROR(INDEX(IF($I823="FIN",HISTORIAL_HORARIOS!$K$2:$K$201,HISTORIAL_HORARIOS!$G$2:$G$201),MATCH(1,(HISTORIAL_HORARIOS!$A$2:$A$201=$B823)*(HISTORIAL_HORARIOS!$C$2:$C$201&lt;=$A823)*(HISTORIAL_HORARIOS!$D$2:$D$201&gt;=$A823),0)),INDEX(IF($I823="FIN",PERSONAL!$K$2:$K$80,PERSONAL!$G$2:$G$80),MATCH($B823,PERSONAL!$A$2:$A$80,0)))))</f>
        <v/>
      </c>
      <c r="O823" s="53">
        <f t="array" ref="O823">IFERROR(INDEX(EXCEPCIONES_FECHA!$F$2:$F$201,MATCH(1,(EXCEPCIONES_FECHA!$A$2:$A$201=$A823)*(EXCEPCIONES_FECHA!$B$2:$B$201=$B823),0)),IFERROR(INDEX(EXCEPCIONES_FECHA!$F$2:$F$201,MATCH(1,(EXCEPCIONES_FECHA!$A$2:$A$201=$A823)*(EXCEPCIONES_FECHA!$B$2:$B$201=""),0)),IFERROR(INDEX(IF($I823="FIN",HISTORIAL_HORARIOS!$L$2:$L$201,HISTORIAL_HORARIOS!$H$2:$H$201),MATCH(1,(HISTORIAL_HORARIOS!$A$2:$A$201=$B823)*(HISTORIAL_HORARIOS!$C$2:$C$201&lt;=$A823)*(HISTORIAL_HORARIOS!$D$2:$D$201&gt;=$A823),0)),INDEX(IF($I823="FIN",PERSONAL!$L$2:$L$80,PERSONAL!$H$2:$H$80),MATCH($B823,PERSONAL!$A$2:$A$80,0)))))</f>
        <v/>
      </c>
    </row>
    <row r="824" ht="15" customHeight="1" s="58">
      <c r="A824" s="40" t="n"/>
      <c r="B824" s="38" t="n"/>
      <c r="C824" s="40" t="n"/>
      <c r="D824" s="40" t="n"/>
      <c r="E824" s="34">
        <f t="array" ref="E824">IF($B824="","",IFERROR(INDEX(PERSONAL!$B$2:$B$80,MATCH($B824,PERSONAL!$A$2:$A$80,0)),"NO EXISTE"))</f>
        <v/>
      </c>
      <c r="F824" s="34">
        <f t="array" ref="F824">IF($B824="","",IFERROR(INDEX(PERSONAL!$C$2:$C$80,MATCH($B824,PERSONAL!$A$2:$A$80,0)),""))</f>
        <v/>
      </c>
      <c r="G824" s="34">
        <f>IF($A824="","",CHOOSE(WEEKDAY($A824,2),"LUNES","MARTES","MIÉRCOLES","JUEVES","VIERNES","SÁBADO","DOMINGO"))</f>
        <v/>
      </c>
      <c r="H824" s="34">
        <f>IF($A824="","",CHOOSE(MONTH($A824),"ENERO","FEBRERO","MARZO","ABRIL","MAYO","JUNIO","JULIO","AGOSTO","SEPTIEMBRE","OCTUBRE","NOVIEMBRE","DICIEMBRE"))</f>
        <v/>
      </c>
      <c r="I824" s="34">
        <f>IF($A824="","",IF(OR($G824="SÁBADO",$G824="DOMINGO"),"FIN","LV"))</f>
        <v/>
      </c>
      <c r="J824" s="34">
        <f>IF(OR($A824="",$B824=""),"",IF($L824&lt;&gt;"",UPPER($L824),IF($C824="","FALTA",IFERROR(IF($C824&gt;=$O824,"ROJO FUERTE",IF($C824&gt;=$N824,"ROJO",IF($C824&gt;=$M824,"AMARILLO","VERDE"))),"REVISAR"))))</f>
        <v/>
      </c>
      <c r="K824" s="36">
        <f>IF(OR($C824="",$D824=""),"",IF($D824&gt;=$C824,($D824-$C824)*24,(1-$C824+$D824)*24))</f>
        <v/>
      </c>
      <c r="L824" s="34" t="n"/>
      <c r="M824" s="53">
        <f t="array" ref="M824">IFERROR(INDEX(EXCEPCIONES_FECHA!$D$2:$D$201,MATCH(1,(EXCEPCIONES_FECHA!$A$2:$A$201=$A824)*(EXCEPCIONES_FECHA!$B$2:$B$201=$B824),0)),IFERROR(INDEX(EXCEPCIONES_FECHA!$D$2:$D$201,MATCH(1,(EXCEPCIONES_FECHA!$A$2:$A$201=$A824)*(EXCEPCIONES_FECHA!$B$2:$B$201=""),0)),IFERROR(INDEX(IF($I824="FIN",HISTORIAL_HORARIOS!$J$2:$J$201,HISTORIAL_HORARIOS!$F$2:$F$201),MATCH(1,(HISTORIAL_HORARIOS!$A$2:$A$201=$B824)*(HISTORIAL_HORARIOS!$C$2:$C$201&lt;=$A824)*(HISTORIAL_HORARIOS!$D$2:$D$201&gt;=$A824),0)),INDEX(IF($I824="FIN",PERSONAL!$J$2:$J$80,PERSONAL!$F$2:$F$80),MATCH($B824,PERSONAL!$A$2:$A$80,0)))))</f>
        <v/>
      </c>
      <c r="N824" s="53">
        <f t="array" ref="N824">IFERROR(INDEX(EXCEPCIONES_FECHA!$E$2:$E$201,MATCH(1,(EXCEPCIONES_FECHA!$A$2:$A$201=$A824)*(EXCEPCIONES_FECHA!$B$2:$B$201=$B824),0)),IFERROR(INDEX(EXCEPCIONES_FECHA!$E$2:$E$201,MATCH(1,(EXCEPCIONES_FECHA!$A$2:$A$201=$A824)*(EXCEPCIONES_FECHA!$B$2:$B$201=""),0)),IFERROR(INDEX(IF($I824="FIN",HISTORIAL_HORARIOS!$K$2:$K$201,HISTORIAL_HORARIOS!$G$2:$G$201),MATCH(1,(HISTORIAL_HORARIOS!$A$2:$A$201=$B824)*(HISTORIAL_HORARIOS!$C$2:$C$201&lt;=$A824)*(HISTORIAL_HORARIOS!$D$2:$D$201&gt;=$A824),0)),INDEX(IF($I824="FIN",PERSONAL!$K$2:$K$80,PERSONAL!$G$2:$G$80),MATCH($B824,PERSONAL!$A$2:$A$80,0)))))</f>
        <v/>
      </c>
      <c r="O824" s="53">
        <f t="array" ref="O824">IFERROR(INDEX(EXCEPCIONES_FECHA!$F$2:$F$201,MATCH(1,(EXCEPCIONES_FECHA!$A$2:$A$201=$A824)*(EXCEPCIONES_FECHA!$B$2:$B$201=$B824),0)),IFERROR(INDEX(EXCEPCIONES_FECHA!$F$2:$F$201,MATCH(1,(EXCEPCIONES_FECHA!$A$2:$A$201=$A824)*(EXCEPCIONES_FECHA!$B$2:$B$201=""),0)),IFERROR(INDEX(IF($I824="FIN",HISTORIAL_HORARIOS!$L$2:$L$201,HISTORIAL_HORARIOS!$H$2:$H$201),MATCH(1,(HISTORIAL_HORARIOS!$A$2:$A$201=$B824)*(HISTORIAL_HORARIOS!$C$2:$C$201&lt;=$A824)*(HISTORIAL_HORARIOS!$D$2:$D$201&gt;=$A824),0)),INDEX(IF($I824="FIN",PERSONAL!$L$2:$L$80,PERSONAL!$H$2:$H$80),MATCH($B824,PERSONAL!$A$2:$A$80,0)))))</f>
        <v/>
      </c>
    </row>
    <row r="825" ht="15" customHeight="1" s="58">
      <c r="A825" s="40" t="n"/>
      <c r="B825" s="38" t="n"/>
      <c r="C825" s="40" t="n"/>
      <c r="D825" s="40" t="n"/>
      <c r="E825" s="34">
        <f t="array" ref="E825">IF($B825="","",IFERROR(INDEX(PERSONAL!$B$2:$B$80,MATCH($B825,PERSONAL!$A$2:$A$80,0)),"NO EXISTE"))</f>
        <v/>
      </c>
      <c r="F825" s="34">
        <f t="array" ref="F825">IF($B825="","",IFERROR(INDEX(PERSONAL!$C$2:$C$80,MATCH($B825,PERSONAL!$A$2:$A$80,0)),""))</f>
        <v/>
      </c>
      <c r="G825" s="34">
        <f>IF($A825="","",CHOOSE(WEEKDAY($A825,2),"LUNES","MARTES","MIÉRCOLES","JUEVES","VIERNES","SÁBADO","DOMINGO"))</f>
        <v/>
      </c>
      <c r="H825" s="34">
        <f>IF($A825="","",CHOOSE(MONTH($A825),"ENERO","FEBRERO","MARZO","ABRIL","MAYO","JUNIO","JULIO","AGOSTO","SEPTIEMBRE","OCTUBRE","NOVIEMBRE","DICIEMBRE"))</f>
        <v/>
      </c>
      <c r="I825" s="34">
        <f>IF($A825="","",IF(OR($G825="SÁBADO",$G825="DOMINGO"),"FIN","LV"))</f>
        <v/>
      </c>
      <c r="J825" s="34">
        <f>IF(OR($A825="",$B825=""),"",IF($L825&lt;&gt;"",UPPER($L825),IF($C825="","FALTA",IFERROR(IF($C825&gt;=$O825,"ROJO FUERTE",IF($C825&gt;=$N825,"ROJO",IF($C825&gt;=$M825,"AMARILLO","VERDE"))),"REVISAR"))))</f>
        <v/>
      </c>
      <c r="K825" s="36">
        <f>IF(OR($C825="",$D825=""),"",IF($D825&gt;=$C825,($D825-$C825)*24,(1-$C825+$D825)*24))</f>
        <v/>
      </c>
      <c r="L825" s="34" t="n"/>
      <c r="M825" s="53">
        <f t="array" ref="M825">IFERROR(INDEX(EXCEPCIONES_FECHA!$D$2:$D$201,MATCH(1,(EXCEPCIONES_FECHA!$A$2:$A$201=$A825)*(EXCEPCIONES_FECHA!$B$2:$B$201=$B825),0)),IFERROR(INDEX(EXCEPCIONES_FECHA!$D$2:$D$201,MATCH(1,(EXCEPCIONES_FECHA!$A$2:$A$201=$A825)*(EXCEPCIONES_FECHA!$B$2:$B$201=""),0)),IFERROR(INDEX(IF($I825="FIN",HISTORIAL_HORARIOS!$J$2:$J$201,HISTORIAL_HORARIOS!$F$2:$F$201),MATCH(1,(HISTORIAL_HORARIOS!$A$2:$A$201=$B825)*(HISTORIAL_HORARIOS!$C$2:$C$201&lt;=$A825)*(HISTORIAL_HORARIOS!$D$2:$D$201&gt;=$A825),0)),INDEX(IF($I825="FIN",PERSONAL!$J$2:$J$80,PERSONAL!$F$2:$F$80),MATCH($B825,PERSONAL!$A$2:$A$80,0)))))</f>
        <v/>
      </c>
      <c r="N825" s="53">
        <f t="array" ref="N825">IFERROR(INDEX(EXCEPCIONES_FECHA!$E$2:$E$201,MATCH(1,(EXCEPCIONES_FECHA!$A$2:$A$201=$A825)*(EXCEPCIONES_FECHA!$B$2:$B$201=$B825),0)),IFERROR(INDEX(EXCEPCIONES_FECHA!$E$2:$E$201,MATCH(1,(EXCEPCIONES_FECHA!$A$2:$A$201=$A825)*(EXCEPCIONES_FECHA!$B$2:$B$201=""),0)),IFERROR(INDEX(IF($I825="FIN",HISTORIAL_HORARIOS!$K$2:$K$201,HISTORIAL_HORARIOS!$G$2:$G$201),MATCH(1,(HISTORIAL_HORARIOS!$A$2:$A$201=$B825)*(HISTORIAL_HORARIOS!$C$2:$C$201&lt;=$A825)*(HISTORIAL_HORARIOS!$D$2:$D$201&gt;=$A825),0)),INDEX(IF($I825="FIN",PERSONAL!$K$2:$K$80,PERSONAL!$G$2:$G$80),MATCH($B825,PERSONAL!$A$2:$A$80,0)))))</f>
        <v/>
      </c>
      <c r="O825" s="53">
        <f t="array" ref="O825">IFERROR(INDEX(EXCEPCIONES_FECHA!$F$2:$F$201,MATCH(1,(EXCEPCIONES_FECHA!$A$2:$A$201=$A825)*(EXCEPCIONES_FECHA!$B$2:$B$201=$B825),0)),IFERROR(INDEX(EXCEPCIONES_FECHA!$F$2:$F$201,MATCH(1,(EXCEPCIONES_FECHA!$A$2:$A$201=$A825)*(EXCEPCIONES_FECHA!$B$2:$B$201=""),0)),IFERROR(INDEX(IF($I825="FIN",HISTORIAL_HORARIOS!$L$2:$L$201,HISTORIAL_HORARIOS!$H$2:$H$201),MATCH(1,(HISTORIAL_HORARIOS!$A$2:$A$201=$B825)*(HISTORIAL_HORARIOS!$C$2:$C$201&lt;=$A825)*(HISTORIAL_HORARIOS!$D$2:$D$201&gt;=$A825),0)),INDEX(IF($I825="FIN",PERSONAL!$L$2:$L$80,PERSONAL!$H$2:$H$80),MATCH($B825,PERSONAL!$A$2:$A$80,0)))))</f>
        <v/>
      </c>
    </row>
    <row r="826" ht="15" customHeight="1" s="58">
      <c r="A826" s="40" t="n"/>
      <c r="B826" s="38" t="n"/>
      <c r="C826" s="40" t="n"/>
      <c r="D826" s="40" t="n"/>
      <c r="E826" s="34">
        <f t="array" ref="E826">IF($B826="","",IFERROR(INDEX(PERSONAL!$B$2:$B$80,MATCH($B826,PERSONAL!$A$2:$A$80,0)),"NO EXISTE"))</f>
        <v/>
      </c>
      <c r="F826" s="34">
        <f t="array" ref="F826">IF($B826="","",IFERROR(INDEX(PERSONAL!$C$2:$C$80,MATCH($B826,PERSONAL!$A$2:$A$80,0)),""))</f>
        <v/>
      </c>
      <c r="G826" s="34">
        <f>IF($A826="","",CHOOSE(WEEKDAY($A826,2),"LUNES","MARTES","MIÉRCOLES","JUEVES","VIERNES","SÁBADO","DOMINGO"))</f>
        <v/>
      </c>
      <c r="H826" s="34">
        <f>IF($A826="","",CHOOSE(MONTH($A826),"ENERO","FEBRERO","MARZO","ABRIL","MAYO","JUNIO","JULIO","AGOSTO","SEPTIEMBRE","OCTUBRE","NOVIEMBRE","DICIEMBRE"))</f>
        <v/>
      </c>
      <c r="I826" s="34">
        <f>IF($A826="","",IF(OR($G826="SÁBADO",$G826="DOMINGO"),"FIN","LV"))</f>
        <v/>
      </c>
      <c r="J826" s="34">
        <f>IF(OR($A826="",$B826=""),"",IF($L826&lt;&gt;"",UPPER($L826),IF($C826="","FALTA",IFERROR(IF($C826&gt;=$O826,"ROJO FUERTE",IF($C826&gt;=$N826,"ROJO",IF($C826&gt;=$M826,"AMARILLO","VERDE"))),"REVISAR"))))</f>
        <v/>
      </c>
      <c r="K826" s="36">
        <f>IF(OR($C826="",$D826=""),"",IF($D826&gt;=$C826,($D826-$C826)*24,(1-$C826+$D826)*24))</f>
        <v/>
      </c>
      <c r="L826" s="34" t="n"/>
      <c r="M826" s="53">
        <f t="array" ref="M826">IFERROR(INDEX(EXCEPCIONES_FECHA!$D$2:$D$201,MATCH(1,(EXCEPCIONES_FECHA!$A$2:$A$201=$A826)*(EXCEPCIONES_FECHA!$B$2:$B$201=$B826),0)),IFERROR(INDEX(EXCEPCIONES_FECHA!$D$2:$D$201,MATCH(1,(EXCEPCIONES_FECHA!$A$2:$A$201=$A826)*(EXCEPCIONES_FECHA!$B$2:$B$201=""),0)),IFERROR(INDEX(IF($I826="FIN",HISTORIAL_HORARIOS!$J$2:$J$201,HISTORIAL_HORARIOS!$F$2:$F$201),MATCH(1,(HISTORIAL_HORARIOS!$A$2:$A$201=$B826)*(HISTORIAL_HORARIOS!$C$2:$C$201&lt;=$A826)*(HISTORIAL_HORARIOS!$D$2:$D$201&gt;=$A826),0)),INDEX(IF($I826="FIN",PERSONAL!$J$2:$J$80,PERSONAL!$F$2:$F$80),MATCH($B826,PERSONAL!$A$2:$A$80,0)))))</f>
        <v/>
      </c>
      <c r="N826" s="53">
        <f t="array" ref="N826">IFERROR(INDEX(EXCEPCIONES_FECHA!$E$2:$E$201,MATCH(1,(EXCEPCIONES_FECHA!$A$2:$A$201=$A826)*(EXCEPCIONES_FECHA!$B$2:$B$201=$B826),0)),IFERROR(INDEX(EXCEPCIONES_FECHA!$E$2:$E$201,MATCH(1,(EXCEPCIONES_FECHA!$A$2:$A$201=$A826)*(EXCEPCIONES_FECHA!$B$2:$B$201=""),0)),IFERROR(INDEX(IF($I826="FIN",HISTORIAL_HORARIOS!$K$2:$K$201,HISTORIAL_HORARIOS!$G$2:$G$201),MATCH(1,(HISTORIAL_HORARIOS!$A$2:$A$201=$B826)*(HISTORIAL_HORARIOS!$C$2:$C$201&lt;=$A826)*(HISTORIAL_HORARIOS!$D$2:$D$201&gt;=$A826),0)),INDEX(IF($I826="FIN",PERSONAL!$K$2:$K$80,PERSONAL!$G$2:$G$80),MATCH($B826,PERSONAL!$A$2:$A$80,0)))))</f>
        <v/>
      </c>
      <c r="O826" s="53">
        <f t="array" ref="O826">IFERROR(INDEX(EXCEPCIONES_FECHA!$F$2:$F$201,MATCH(1,(EXCEPCIONES_FECHA!$A$2:$A$201=$A826)*(EXCEPCIONES_FECHA!$B$2:$B$201=$B826),0)),IFERROR(INDEX(EXCEPCIONES_FECHA!$F$2:$F$201,MATCH(1,(EXCEPCIONES_FECHA!$A$2:$A$201=$A826)*(EXCEPCIONES_FECHA!$B$2:$B$201=""),0)),IFERROR(INDEX(IF($I826="FIN",HISTORIAL_HORARIOS!$L$2:$L$201,HISTORIAL_HORARIOS!$H$2:$H$201),MATCH(1,(HISTORIAL_HORARIOS!$A$2:$A$201=$B826)*(HISTORIAL_HORARIOS!$C$2:$C$201&lt;=$A826)*(HISTORIAL_HORARIOS!$D$2:$D$201&gt;=$A826),0)),INDEX(IF($I826="FIN",PERSONAL!$L$2:$L$80,PERSONAL!$H$2:$H$80),MATCH($B826,PERSONAL!$A$2:$A$80,0)))))</f>
        <v/>
      </c>
    </row>
    <row r="827" ht="15" customHeight="1" s="58">
      <c r="A827" s="40" t="n"/>
      <c r="B827" s="38" t="n"/>
      <c r="C827" s="40" t="n"/>
      <c r="D827" s="40" t="n"/>
      <c r="E827" s="34">
        <f t="array" ref="E827">IF($B827="","",IFERROR(INDEX(PERSONAL!$B$2:$B$80,MATCH($B827,PERSONAL!$A$2:$A$80,0)),"NO EXISTE"))</f>
        <v/>
      </c>
      <c r="F827" s="34">
        <f t="array" ref="F827">IF($B827="","",IFERROR(INDEX(PERSONAL!$C$2:$C$80,MATCH($B827,PERSONAL!$A$2:$A$80,0)),""))</f>
        <v/>
      </c>
      <c r="G827" s="34">
        <f>IF($A827="","",CHOOSE(WEEKDAY($A827,2),"LUNES","MARTES","MIÉRCOLES","JUEVES","VIERNES","SÁBADO","DOMINGO"))</f>
        <v/>
      </c>
      <c r="H827" s="34">
        <f>IF($A827="","",CHOOSE(MONTH($A827),"ENERO","FEBRERO","MARZO","ABRIL","MAYO","JUNIO","JULIO","AGOSTO","SEPTIEMBRE","OCTUBRE","NOVIEMBRE","DICIEMBRE"))</f>
        <v/>
      </c>
      <c r="I827" s="34">
        <f>IF($A827="","",IF(OR($G827="SÁBADO",$G827="DOMINGO"),"FIN","LV"))</f>
        <v/>
      </c>
      <c r="J827" s="34">
        <f>IF(OR($A827="",$B827=""),"",IF($L827&lt;&gt;"",UPPER($L827),IF($C827="","FALTA",IFERROR(IF($C827&gt;=$O827,"ROJO FUERTE",IF($C827&gt;=$N827,"ROJO",IF($C827&gt;=$M827,"AMARILLO","VERDE"))),"REVISAR"))))</f>
        <v/>
      </c>
      <c r="K827" s="36">
        <f>IF(OR($C827="",$D827=""),"",IF($D827&gt;=$C827,($D827-$C827)*24,(1-$C827+$D827)*24))</f>
        <v/>
      </c>
      <c r="L827" s="34" t="n"/>
      <c r="M827" s="53">
        <f t="array" ref="M827">IFERROR(INDEX(EXCEPCIONES_FECHA!$D$2:$D$201,MATCH(1,(EXCEPCIONES_FECHA!$A$2:$A$201=$A827)*(EXCEPCIONES_FECHA!$B$2:$B$201=$B827),0)),IFERROR(INDEX(EXCEPCIONES_FECHA!$D$2:$D$201,MATCH(1,(EXCEPCIONES_FECHA!$A$2:$A$201=$A827)*(EXCEPCIONES_FECHA!$B$2:$B$201=""),0)),IFERROR(INDEX(IF($I827="FIN",HISTORIAL_HORARIOS!$J$2:$J$201,HISTORIAL_HORARIOS!$F$2:$F$201),MATCH(1,(HISTORIAL_HORARIOS!$A$2:$A$201=$B827)*(HISTORIAL_HORARIOS!$C$2:$C$201&lt;=$A827)*(HISTORIAL_HORARIOS!$D$2:$D$201&gt;=$A827),0)),INDEX(IF($I827="FIN",PERSONAL!$J$2:$J$80,PERSONAL!$F$2:$F$80),MATCH($B827,PERSONAL!$A$2:$A$80,0)))))</f>
        <v/>
      </c>
      <c r="N827" s="53">
        <f t="array" ref="N827">IFERROR(INDEX(EXCEPCIONES_FECHA!$E$2:$E$201,MATCH(1,(EXCEPCIONES_FECHA!$A$2:$A$201=$A827)*(EXCEPCIONES_FECHA!$B$2:$B$201=$B827),0)),IFERROR(INDEX(EXCEPCIONES_FECHA!$E$2:$E$201,MATCH(1,(EXCEPCIONES_FECHA!$A$2:$A$201=$A827)*(EXCEPCIONES_FECHA!$B$2:$B$201=""),0)),IFERROR(INDEX(IF($I827="FIN",HISTORIAL_HORARIOS!$K$2:$K$201,HISTORIAL_HORARIOS!$G$2:$G$201),MATCH(1,(HISTORIAL_HORARIOS!$A$2:$A$201=$B827)*(HISTORIAL_HORARIOS!$C$2:$C$201&lt;=$A827)*(HISTORIAL_HORARIOS!$D$2:$D$201&gt;=$A827),0)),INDEX(IF($I827="FIN",PERSONAL!$K$2:$K$80,PERSONAL!$G$2:$G$80),MATCH($B827,PERSONAL!$A$2:$A$80,0)))))</f>
        <v/>
      </c>
      <c r="O827" s="53">
        <f t="array" ref="O827">IFERROR(INDEX(EXCEPCIONES_FECHA!$F$2:$F$201,MATCH(1,(EXCEPCIONES_FECHA!$A$2:$A$201=$A827)*(EXCEPCIONES_FECHA!$B$2:$B$201=$B827),0)),IFERROR(INDEX(EXCEPCIONES_FECHA!$F$2:$F$201,MATCH(1,(EXCEPCIONES_FECHA!$A$2:$A$201=$A827)*(EXCEPCIONES_FECHA!$B$2:$B$201=""),0)),IFERROR(INDEX(IF($I827="FIN",HISTORIAL_HORARIOS!$L$2:$L$201,HISTORIAL_HORARIOS!$H$2:$H$201),MATCH(1,(HISTORIAL_HORARIOS!$A$2:$A$201=$B827)*(HISTORIAL_HORARIOS!$C$2:$C$201&lt;=$A827)*(HISTORIAL_HORARIOS!$D$2:$D$201&gt;=$A827),0)),INDEX(IF($I827="FIN",PERSONAL!$L$2:$L$80,PERSONAL!$H$2:$H$80),MATCH($B827,PERSONAL!$A$2:$A$80,0)))))</f>
        <v/>
      </c>
    </row>
    <row r="828" ht="15" customHeight="1" s="58">
      <c r="A828" s="40" t="n"/>
      <c r="B828" s="38" t="n"/>
      <c r="C828" s="40" t="n"/>
      <c r="D828" s="40" t="n"/>
      <c r="E828" s="34">
        <f t="array" ref="E828">IF($B828="","",IFERROR(INDEX(PERSONAL!$B$2:$B$80,MATCH($B828,PERSONAL!$A$2:$A$80,0)),"NO EXISTE"))</f>
        <v/>
      </c>
      <c r="F828" s="34">
        <f t="array" ref="F828">IF($B828="","",IFERROR(INDEX(PERSONAL!$C$2:$C$80,MATCH($B828,PERSONAL!$A$2:$A$80,0)),""))</f>
        <v/>
      </c>
      <c r="G828" s="34">
        <f>IF($A828="","",CHOOSE(WEEKDAY($A828,2),"LUNES","MARTES","MIÉRCOLES","JUEVES","VIERNES","SÁBADO","DOMINGO"))</f>
        <v/>
      </c>
      <c r="H828" s="34">
        <f>IF($A828="","",CHOOSE(MONTH($A828),"ENERO","FEBRERO","MARZO","ABRIL","MAYO","JUNIO","JULIO","AGOSTO","SEPTIEMBRE","OCTUBRE","NOVIEMBRE","DICIEMBRE"))</f>
        <v/>
      </c>
      <c r="I828" s="34">
        <f>IF($A828="","",IF(OR($G828="SÁBADO",$G828="DOMINGO"),"FIN","LV"))</f>
        <v/>
      </c>
      <c r="J828" s="34">
        <f>IF(OR($A828="",$B828=""),"",IF($L828&lt;&gt;"",UPPER($L828),IF($C828="","FALTA",IFERROR(IF($C828&gt;=$O828,"ROJO FUERTE",IF($C828&gt;=$N828,"ROJO",IF($C828&gt;=$M828,"AMARILLO","VERDE"))),"REVISAR"))))</f>
        <v/>
      </c>
      <c r="K828" s="36">
        <f>IF(OR($C828="",$D828=""),"",IF($D828&gt;=$C828,($D828-$C828)*24,(1-$C828+$D828)*24))</f>
        <v/>
      </c>
      <c r="L828" s="34" t="n"/>
      <c r="M828" s="53">
        <f t="array" ref="M828">IFERROR(INDEX(EXCEPCIONES_FECHA!$D$2:$D$201,MATCH(1,(EXCEPCIONES_FECHA!$A$2:$A$201=$A828)*(EXCEPCIONES_FECHA!$B$2:$B$201=$B828),0)),IFERROR(INDEX(EXCEPCIONES_FECHA!$D$2:$D$201,MATCH(1,(EXCEPCIONES_FECHA!$A$2:$A$201=$A828)*(EXCEPCIONES_FECHA!$B$2:$B$201=""),0)),IFERROR(INDEX(IF($I828="FIN",HISTORIAL_HORARIOS!$J$2:$J$201,HISTORIAL_HORARIOS!$F$2:$F$201),MATCH(1,(HISTORIAL_HORARIOS!$A$2:$A$201=$B828)*(HISTORIAL_HORARIOS!$C$2:$C$201&lt;=$A828)*(HISTORIAL_HORARIOS!$D$2:$D$201&gt;=$A828),0)),INDEX(IF($I828="FIN",PERSONAL!$J$2:$J$80,PERSONAL!$F$2:$F$80),MATCH($B828,PERSONAL!$A$2:$A$80,0)))))</f>
        <v/>
      </c>
      <c r="N828" s="53">
        <f t="array" ref="N828">IFERROR(INDEX(EXCEPCIONES_FECHA!$E$2:$E$201,MATCH(1,(EXCEPCIONES_FECHA!$A$2:$A$201=$A828)*(EXCEPCIONES_FECHA!$B$2:$B$201=$B828),0)),IFERROR(INDEX(EXCEPCIONES_FECHA!$E$2:$E$201,MATCH(1,(EXCEPCIONES_FECHA!$A$2:$A$201=$A828)*(EXCEPCIONES_FECHA!$B$2:$B$201=""),0)),IFERROR(INDEX(IF($I828="FIN",HISTORIAL_HORARIOS!$K$2:$K$201,HISTORIAL_HORARIOS!$G$2:$G$201),MATCH(1,(HISTORIAL_HORARIOS!$A$2:$A$201=$B828)*(HISTORIAL_HORARIOS!$C$2:$C$201&lt;=$A828)*(HISTORIAL_HORARIOS!$D$2:$D$201&gt;=$A828),0)),INDEX(IF($I828="FIN",PERSONAL!$K$2:$K$80,PERSONAL!$G$2:$G$80),MATCH($B828,PERSONAL!$A$2:$A$80,0)))))</f>
        <v/>
      </c>
      <c r="O828" s="53">
        <f t="array" ref="O828">IFERROR(INDEX(EXCEPCIONES_FECHA!$F$2:$F$201,MATCH(1,(EXCEPCIONES_FECHA!$A$2:$A$201=$A828)*(EXCEPCIONES_FECHA!$B$2:$B$201=$B828),0)),IFERROR(INDEX(EXCEPCIONES_FECHA!$F$2:$F$201,MATCH(1,(EXCEPCIONES_FECHA!$A$2:$A$201=$A828)*(EXCEPCIONES_FECHA!$B$2:$B$201=""),0)),IFERROR(INDEX(IF($I828="FIN",HISTORIAL_HORARIOS!$L$2:$L$201,HISTORIAL_HORARIOS!$H$2:$H$201),MATCH(1,(HISTORIAL_HORARIOS!$A$2:$A$201=$B828)*(HISTORIAL_HORARIOS!$C$2:$C$201&lt;=$A828)*(HISTORIAL_HORARIOS!$D$2:$D$201&gt;=$A828),0)),INDEX(IF($I828="FIN",PERSONAL!$L$2:$L$80,PERSONAL!$H$2:$H$80),MATCH($B828,PERSONAL!$A$2:$A$80,0)))))</f>
        <v/>
      </c>
    </row>
    <row r="829" ht="15" customHeight="1" s="58">
      <c r="A829" s="40" t="n"/>
      <c r="B829" s="38" t="n"/>
      <c r="C829" s="40" t="n"/>
      <c r="D829" s="40" t="n"/>
      <c r="E829" s="34">
        <f t="array" ref="E829">IF($B829="","",IFERROR(INDEX(PERSONAL!$B$2:$B$80,MATCH($B829,PERSONAL!$A$2:$A$80,0)),"NO EXISTE"))</f>
        <v/>
      </c>
      <c r="F829" s="34">
        <f t="array" ref="F829">IF($B829="","",IFERROR(INDEX(PERSONAL!$C$2:$C$80,MATCH($B829,PERSONAL!$A$2:$A$80,0)),""))</f>
        <v/>
      </c>
      <c r="G829" s="34">
        <f>IF($A829="","",CHOOSE(WEEKDAY($A829,2),"LUNES","MARTES","MIÉRCOLES","JUEVES","VIERNES","SÁBADO","DOMINGO"))</f>
        <v/>
      </c>
      <c r="H829" s="34">
        <f>IF($A829="","",CHOOSE(MONTH($A829),"ENERO","FEBRERO","MARZO","ABRIL","MAYO","JUNIO","JULIO","AGOSTO","SEPTIEMBRE","OCTUBRE","NOVIEMBRE","DICIEMBRE"))</f>
        <v/>
      </c>
      <c r="I829" s="34">
        <f>IF($A829="","",IF(OR($G829="SÁBADO",$G829="DOMINGO"),"FIN","LV"))</f>
        <v/>
      </c>
      <c r="J829" s="34">
        <f>IF(OR($A829="",$B829=""),"",IF($L829&lt;&gt;"",UPPER($L829),IF($C829="","FALTA",IFERROR(IF($C829&gt;=$O829,"ROJO FUERTE",IF($C829&gt;=$N829,"ROJO",IF($C829&gt;=$M829,"AMARILLO","VERDE"))),"REVISAR"))))</f>
        <v/>
      </c>
      <c r="K829" s="36">
        <f>IF(OR($C829="",$D829=""),"",IF($D829&gt;=$C829,($D829-$C829)*24,(1-$C829+$D829)*24))</f>
        <v/>
      </c>
      <c r="L829" s="34" t="n"/>
      <c r="M829" s="53">
        <f t="array" ref="M829">IFERROR(INDEX(EXCEPCIONES_FECHA!$D$2:$D$201,MATCH(1,(EXCEPCIONES_FECHA!$A$2:$A$201=$A829)*(EXCEPCIONES_FECHA!$B$2:$B$201=$B829),0)),IFERROR(INDEX(EXCEPCIONES_FECHA!$D$2:$D$201,MATCH(1,(EXCEPCIONES_FECHA!$A$2:$A$201=$A829)*(EXCEPCIONES_FECHA!$B$2:$B$201=""),0)),IFERROR(INDEX(IF($I829="FIN",HISTORIAL_HORARIOS!$J$2:$J$201,HISTORIAL_HORARIOS!$F$2:$F$201),MATCH(1,(HISTORIAL_HORARIOS!$A$2:$A$201=$B829)*(HISTORIAL_HORARIOS!$C$2:$C$201&lt;=$A829)*(HISTORIAL_HORARIOS!$D$2:$D$201&gt;=$A829),0)),INDEX(IF($I829="FIN",PERSONAL!$J$2:$J$80,PERSONAL!$F$2:$F$80),MATCH($B829,PERSONAL!$A$2:$A$80,0)))))</f>
        <v/>
      </c>
      <c r="N829" s="53">
        <f t="array" ref="N829">IFERROR(INDEX(EXCEPCIONES_FECHA!$E$2:$E$201,MATCH(1,(EXCEPCIONES_FECHA!$A$2:$A$201=$A829)*(EXCEPCIONES_FECHA!$B$2:$B$201=$B829),0)),IFERROR(INDEX(EXCEPCIONES_FECHA!$E$2:$E$201,MATCH(1,(EXCEPCIONES_FECHA!$A$2:$A$201=$A829)*(EXCEPCIONES_FECHA!$B$2:$B$201=""),0)),IFERROR(INDEX(IF($I829="FIN",HISTORIAL_HORARIOS!$K$2:$K$201,HISTORIAL_HORARIOS!$G$2:$G$201),MATCH(1,(HISTORIAL_HORARIOS!$A$2:$A$201=$B829)*(HISTORIAL_HORARIOS!$C$2:$C$201&lt;=$A829)*(HISTORIAL_HORARIOS!$D$2:$D$201&gt;=$A829),0)),INDEX(IF($I829="FIN",PERSONAL!$K$2:$K$80,PERSONAL!$G$2:$G$80),MATCH($B829,PERSONAL!$A$2:$A$80,0)))))</f>
        <v/>
      </c>
      <c r="O829" s="53">
        <f t="array" ref="O829">IFERROR(INDEX(EXCEPCIONES_FECHA!$F$2:$F$201,MATCH(1,(EXCEPCIONES_FECHA!$A$2:$A$201=$A829)*(EXCEPCIONES_FECHA!$B$2:$B$201=$B829),0)),IFERROR(INDEX(EXCEPCIONES_FECHA!$F$2:$F$201,MATCH(1,(EXCEPCIONES_FECHA!$A$2:$A$201=$A829)*(EXCEPCIONES_FECHA!$B$2:$B$201=""),0)),IFERROR(INDEX(IF($I829="FIN",HISTORIAL_HORARIOS!$L$2:$L$201,HISTORIAL_HORARIOS!$H$2:$H$201),MATCH(1,(HISTORIAL_HORARIOS!$A$2:$A$201=$B829)*(HISTORIAL_HORARIOS!$C$2:$C$201&lt;=$A829)*(HISTORIAL_HORARIOS!$D$2:$D$201&gt;=$A829),0)),INDEX(IF($I829="FIN",PERSONAL!$L$2:$L$80,PERSONAL!$H$2:$H$80),MATCH($B829,PERSONAL!$A$2:$A$80,0)))))</f>
        <v/>
      </c>
    </row>
    <row r="830" ht="15" customHeight="1" s="58">
      <c r="A830" s="40" t="n"/>
      <c r="B830" s="38" t="n"/>
      <c r="C830" s="40" t="n"/>
      <c r="D830" s="40" t="n"/>
      <c r="E830" s="34">
        <f t="array" ref="E830">IF($B830="","",IFERROR(INDEX(PERSONAL!$B$2:$B$80,MATCH($B830,PERSONAL!$A$2:$A$80,0)),"NO EXISTE"))</f>
        <v/>
      </c>
      <c r="F830" s="34">
        <f t="array" ref="F830">IF($B830="","",IFERROR(INDEX(PERSONAL!$C$2:$C$80,MATCH($B830,PERSONAL!$A$2:$A$80,0)),""))</f>
        <v/>
      </c>
      <c r="G830" s="34">
        <f>IF($A830="","",CHOOSE(WEEKDAY($A830,2),"LUNES","MARTES","MIÉRCOLES","JUEVES","VIERNES","SÁBADO","DOMINGO"))</f>
        <v/>
      </c>
      <c r="H830" s="34">
        <f>IF($A830="","",CHOOSE(MONTH($A830),"ENERO","FEBRERO","MARZO","ABRIL","MAYO","JUNIO","JULIO","AGOSTO","SEPTIEMBRE","OCTUBRE","NOVIEMBRE","DICIEMBRE"))</f>
        <v/>
      </c>
      <c r="I830" s="34">
        <f>IF($A830="","",IF(OR($G830="SÁBADO",$G830="DOMINGO"),"FIN","LV"))</f>
        <v/>
      </c>
      <c r="J830" s="34">
        <f>IF(OR($A830="",$B830=""),"",IF($L830&lt;&gt;"",UPPER($L830),IF($C830="","FALTA",IFERROR(IF($C830&gt;=$O830,"ROJO FUERTE",IF($C830&gt;=$N830,"ROJO",IF($C830&gt;=$M830,"AMARILLO","VERDE"))),"REVISAR"))))</f>
        <v/>
      </c>
      <c r="K830" s="36">
        <f>IF(OR($C830="",$D830=""),"",IF($D830&gt;=$C830,($D830-$C830)*24,(1-$C830+$D830)*24))</f>
        <v/>
      </c>
      <c r="L830" s="34" t="n"/>
      <c r="M830" s="53">
        <f t="array" ref="M830">IFERROR(INDEX(EXCEPCIONES_FECHA!$D$2:$D$201,MATCH(1,(EXCEPCIONES_FECHA!$A$2:$A$201=$A830)*(EXCEPCIONES_FECHA!$B$2:$B$201=$B830),0)),IFERROR(INDEX(EXCEPCIONES_FECHA!$D$2:$D$201,MATCH(1,(EXCEPCIONES_FECHA!$A$2:$A$201=$A830)*(EXCEPCIONES_FECHA!$B$2:$B$201=""),0)),IFERROR(INDEX(IF($I830="FIN",HISTORIAL_HORARIOS!$J$2:$J$201,HISTORIAL_HORARIOS!$F$2:$F$201),MATCH(1,(HISTORIAL_HORARIOS!$A$2:$A$201=$B830)*(HISTORIAL_HORARIOS!$C$2:$C$201&lt;=$A830)*(HISTORIAL_HORARIOS!$D$2:$D$201&gt;=$A830),0)),INDEX(IF($I830="FIN",PERSONAL!$J$2:$J$80,PERSONAL!$F$2:$F$80),MATCH($B830,PERSONAL!$A$2:$A$80,0)))))</f>
        <v/>
      </c>
      <c r="N830" s="53">
        <f t="array" ref="N830">IFERROR(INDEX(EXCEPCIONES_FECHA!$E$2:$E$201,MATCH(1,(EXCEPCIONES_FECHA!$A$2:$A$201=$A830)*(EXCEPCIONES_FECHA!$B$2:$B$201=$B830),0)),IFERROR(INDEX(EXCEPCIONES_FECHA!$E$2:$E$201,MATCH(1,(EXCEPCIONES_FECHA!$A$2:$A$201=$A830)*(EXCEPCIONES_FECHA!$B$2:$B$201=""),0)),IFERROR(INDEX(IF($I830="FIN",HISTORIAL_HORARIOS!$K$2:$K$201,HISTORIAL_HORARIOS!$G$2:$G$201),MATCH(1,(HISTORIAL_HORARIOS!$A$2:$A$201=$B830)*(HISTORIAL_HORARIOS!$C$2:$C$201&lt;=$A830)*(HISTORIAL_HORARIOS!$D$2:$D$201&gt;=$A830),0)),INDEX(IF($I830="FIN",PERSONAL!$K$2:$K$80,PERSONAL!$G$2:$G$80),MATCH($B830,PERSONAL!$A$2:$A$80,0)))))</f>
        <v/>
      </c>
      <c r="O830" s="53">
        <f t="array" ref="O830">IFERROR(INDEX(EXCEPCIONES_FECHA!$F$2:$F$201,MATCH(1,(EXCEPCIONES_FECHA!$A$2:$A$201=$A830)*(EXCEPCIONES_FECHA!$B$2:$B$201=$B830),0)),IFERROR(INDEX(EXCEPCIONES_FECHA!$F$2:$F$201,MATCH(1,(EXCEPCIONES_FECHA!$A$2:$A$201=$A830)*(EXCEPCIONES_FECHA!$B$2:$B$201=""),0)),IFERROR(INDEX(IF($I830="FIN",HISTORIAL_HORARIOS!$L$2:$L$201,HISTORIAL_HORARIOS!$H$2:$H$201),MATCH(1,(HISTORIAL_HORARIOS!$A$2:$A$201=$B830)*(HISTORIAL_HORARIOS!$C$2:$C$201&lt;=$A830)*(HISTORIAL_HORARIOS!$D$2:$D$201&gt;=$A830),0)),INDEX(IF($I830="FIN",PERSONAL!$L$2:$L$80,PERSONAL!$H$2:$H$80),MATCH($B830,PERSONAL!$A$2:$A$80,0)))))</f>
        <v/>
      </c>
    </row>
    <row r="831" ht="15" customHeight="1" s="58">
      <c r="A831" s="40" t="n"/>
      <c r="B831" s="38" t="n"/>
      <c r="C831" s="40" t="n"/>
      <c r="D831" s="40" t="n"/>
      <c r="E831" s="34">
        <f t="array" ref="E831">IF($B831="","",IFERROR(INDEX(PERSONAL!$B$2:$B$80,MATCH($B831,PERSONAL!$A$2:$A$80,0)),"NO EXISTE"))</f>
        <v/>
      </c>
      <c r="F831" s="34">
        <f t="array" ref="F831">IF($B831="","",IFERROR(INDEX(PERSONAL!$C$2:$C$80,MATCH($B831,PERSONAL!$A$2:$A$80,0)),""))</f>
        <v/>
      </c>
      <c r="G831" s="34">
        <f>IF($A831="","",CHOOSE(WEEKDAY($A831,2),"LUNES","MARTES","MIÉRCOLES","JUEVES","VIERNES","SÁBADO","DOMINGO"))</f>
        <v/>
      </c>
      <c r="H831" s="34">
        <f>IF($A831="","",CHOOSE(MONTH($A831),"ENERO","FEBRERO","MARZO","ABRIL","MAYO","JUNIO","JULIO","AGOSTO","SEPTIEMBRE","OCTUBRE","NOVIEMBRE","DICIEMBRE"))</f>
        <v/>
      </c>
      <c r="I831" s="34">
        <f>IF($A831="","",IF(OR($G831="SÁBADO",$G831="DOMINGO"),"FIN","LV"))</f>
        <v/>
      </c>
      <c r="J831" s="34">
        <f>IF(OR($A831="",$B831=""),"",IF($L831&lt;&gt;"",UPPER($L831),IF($C831="","FALTA",IFERROR(IF($C831&gt;=$O831,"ROJO FUERTE",IF($C831&gt;=$N831,"ROJO",IF($C831&gt;=$M831,"AMARILLO","VERDE"))),"REVISAR"))))</f>
        <v/>
      </c>
      <c r="K831" s="36">
        <f>IF(OR($C831="",$D831=""),"",IF($D831&gt;=$C831,($D831-$C831)*24,(1-$C831+$D831)*24))</f>
        <v/>
      </c>
      <c r="L831" s="34" t="n"/>
      <c r="M831" s="53">
        <f t="array" ref="M831">IFERROR(INDEX(EXCEPCIONES_FECHA!$D$2:$D$201,MATCH(1,(EXCEPCIONES_FECHA!$A$2:$A$201=$A831)*(EXCEPCIONES_FECHA!$B$2:$B$201=$B831),0)),IFERROR(INDEX(EXCEPCIONES_FECHA!$D$2:$D$201,MATCH(1,(EXCEPCIONES_FECHA!$A$2:$A$201=$A831)*(EXCEPCIONES_FECHA!$B$2:$B$201=""),0)),IFERROR(INDEX(IF($I831="FIN",HISTORIAL_HORARIOS!$J$2:$J$201,HISTORIAL_HORARIOS!$F$2:$F$201),MATCH(1,(HISTORIAL_HORARIOS!$A$2:$A$201=$B831)*(HISTORIAL_HORARIOS!$C$2:$C$201&lt;=$A831)*(HISTORIAL_HORARIOS!$D$2:$D$201&gt;=$A831),0)),INDEX(IF($I831="FIN",PERSONAL!$J$2:$J$80,PERSONAL!$F$2:$F$80),MATCH($B831,PERSONAL!$A$2:$A$80,0)))))</f>
        <v/>
      </c>
      <c r="N831" s="53">
        <f t="array" ref="N831">IFERROR(INDEX(EXCEPCIONES_FECHA!$E$2:$E$201,MATCH(1,(EXCEPCIONES_FECHA!$A$2:$A$201=$A831)*(EXCEPCIONES_FECHA!$B$2:$B$201=$B831),0)),IFERROR(INDEX(EXCEPCIONES_FECHA!$E$2:$E$201,MATCH(1,(EXCEPCIONES_FECHA!$A$2:$A$201=$A831)*(EXCEPCIONES_FECHA!$B$2:$B$201=""),0)),IFERROR(INDEX(IF($I831="FIN",HISTORIAL_HORARIOS!$K$2:$K$201,HISTORIAL_HORARIOS!$G$2:$G$201),MATCH(1,(HISTORIAL_HORARIOS!$A$2:$A$201=$B831)*(HISTORIAL_HORARIOS!$C$2:$C$201&lt;=$A831)*(HISTORIAL_HORARIOS!$D$2:$D$201&gt;=$A831),0)),INDEX(IF($I831="FIN",PERSONAL!$K$2:$K$80,PERSONAL!$G$2:$G$80),MATCH($B831,PERSONAL!$A$2:$A$80,0)))))</f>
        <v/>
      </c>
      <c r="O831" s="53">
        <f t="array" ref="O831">IFERROR(INDEX(EXCEPCIONES_FECHA!$F$2:$F$201,MATCH(1,(EXCEPCIONES_FECHA!$A$2:$A$201=$A831)*(EXCEPCIONES_FECHA!$B$2:$B$201=$B831),0)),IFERROR(INDEX(EXCEPCIONES_FECHA!$F$2:$F$201,MATCH(1,(EXCEPCIONES_FECHA!$A$2:$A$201=$A831)*(EXCEPCIONES_FECHA!$B$2:$B$201=""),0)),IFERROR(INDEX(IF($I831="FIN",HISTORIAL_HORARIOS!$L$2:$L$201,HISTORIAL_HORARIOS!$H$2:$H$201),MATCH(1,(HISTORIAL_HORARIOS!$A$2:$A$201=$B831)*(HISTORIAL_HORARIOS!$C$2:$C$201&lt;=$A831)*(HISTORIAL_HORARIOS!$D$2:$D$201&gt;=$A831),0)),INDEX(IF($I831="FIN",PERSONAL!$L$2:$L$80,PERSONAL!$H$2:$H$80),MATCH($B831,PERSONAL!$A$2:$A$80,0)))))</f>
        <v/>
      </c>
    </row>
    <row r="832" ht="15" customHeight="1" s="58">
      <c r="A832" s="40" t="n"/>
      <c r="B832" s="38" t="n"/>
      <c r="C832" s="40" t="n"/>
      <c r="D832" s="40" t="n"/>
      <c r="E832" s="34">
        <f t="array" ref="E832">IF($B832="","",IFERROR(INDEX(PERSONAL!$B$2:$B$80,MATCH($B832,PERSONAL!$A$2:$A$80,0)),"NO EXISTE"))</f>
        <v/>
      </c>
      <c r="F832" s="34">
        <f t="array" ref="F832">IF($B832="","",IFERROR(INDEX(PERSONAL!$C$2:$C$80,MATCH($B832,PERSONAL!$A$2:$A$80,0)),""))</f>
        <v/>
      </c>
      <c r="G832" s="34">
        <f>IF($A832="","",CHOOSE(WEEKDAY($A832,2),"LUNES","MARTES","MIÉRCOLES","JUEVES","VIERNES","SÁBADO","DOMINGO"))</f>
        <v/>
      </c>
      <c r="H832" s="34">
        <f>IF($A832="","",CHOOSE(MONTH($A832),"ENERO","FEBRERO","MARZO","ABRIL","MAYO","JUNIO","JULIO","AGOSTO","SEPTIEMBRE","OCTUBRE","NOVIEMBRE","DICIEMBRE"))</f>
        <v/>
      </c>
      <c r="I832" s="34">
        <f>IF($A832="","",IF(OR($G832="SÁBADO",$G832="DOMINGO"),"FIN","LV"))</f>
        <v/>
      </c>
      <c r="J832" s="34">
        <f>IF(OR($A832="",$B832=""),"",IF($L832&lt;&gt;"",UPPER($L832),IF($C832="","FALTA",IFERROR(IF($C832&gt;=$O832,"ROJO FUERTE",IF($C832&gt;=$N832,"ROJO",IF($C832&gt;=$M832,"AMARILLO","VERDE"))),"REVISAR"))))</f>
        <v/>
      </c>
      <c r="K832" s="36">
        <f>IF(OR($C832="",$D832=""),"",IF($D832&gt;=$C832,($D832-$C832)*24,(1-$C832+$D832)*24))</f>
        <v/>
      </c>
      <c r="L832" s="34" t="n"/>
      <c r="M832" s="53">
        <f t="array" ref="M832">IFERROR(INDEX(EXCEPCIONES_FECHA!$D$2:$D$201,MATCH(1,(EXCEPCIONES_FECHA!$A$2:$A$201=$A832)*(EXCEPCIONES_FECHA!$B$2:$B$201=$B832),0)),IFERROR(INDEX(EXCEPCIONES_FECHA!$D$2:$D$201,MATCH(1,(EXCEPCIONES_FECHA!$A$2:$A$201=$A832)*(EXCEPCIONES_FECHA!$B$2:$B$201=""),0)),IFERROR(INDEX(IF($I832="FIN",HISTORIAL_HORARIOS!$J$2:$J$201,HISTORIAL_HORARIOS!$F$2:$F$201),MATCH(1,(HISTORIAL_HORARIOS!$A$2:$A$201=$B832)*(HISTORIAL_HORARIOS!$C$2:$C$201&lt;=$A832)*(HISTORIAL_HORARIOS!$D$2:$D$201&gt;=$A832),0)),INDEX(IF($I832="FIN",PERSONAL!$J$2:$J$80,PERSONAL!$F$2:$F$80),MATCH($B832,PERSONAL!$A$2:$A$80,0)))))</f>
        <v/>
      </c>
      <c r="N832" s="53">
        <f t="array" ref="N832">IFERROR(INDEX(EXCEPCIONES_FECHA!$E$2:$E$201,MATCH(1,(EXCEPCIONES_FECHA!$A$2:$A$201=$A832)*(EXCEPCIONES_FECHA!$B$2:$B$201=$B832),0)),IFERROR(INDEX(EXCEPCIONES_FECHA!$E$2:$E$201,MATCH(1,(EXCEPCIONES_FECHA!$A$2:$A$201=$A832)*(EXCEPCIONES_FECHA!$B$2:$B$201=""),0)),IFERROR(INDEX(IF($I832="FIN",HISTORIAL_HORARIOS!$K$2:$K$201,HISTORIAL_HORARIOS!$G$2:$G$201),MATCH(1,(HISTORIAL_HORARIOS!$A$2:$A$201=$B832)*(HISTORIAL_HORARIOS!$C$2:$C$201&lt;=$A832)*(HISTORIAL_HORARIOS!$D$2:$D$201&gt;=$A832),0)),INDEX(IF($I832="FIN",PERSONAL!$K$2:$K$80,PERSONAL!$G$2:$G$80),MATCH($B832,PERSONAL!$A$2:$A$80,0)))))</f>
        <v/>
      </c>
      <c r="O832" s="53">
        <f t="array" ref="O832">IFERROR(INDEX(EXCEPCIONES_FECHA!$F$2:$F$201,MATCH(1,(EXCEPCIONES_FECHA!$A$2:$A$201=$A832)*(EXCEPCIONES_FECHA!$B$2:$B$201=$B832),0)),IFERROR(INDEX(EXCEPCIONES_FECHA!$F$2:$F$201,MATCH(1,(EXCEPCIONES_FECHA!$A$2:$A$201=$A832)*(EXCEPCIONES_FECHA!$B$2:$B$201=""),0)),IFERROR(INDEX(IF($I832="FIN",HISTORIAL_HORARIOS!$L$2:$L$201,HISTORIAL_HORARIOS!$H$2:$H$201),MATCH(1,(HISTORIAL_HORARIOS!$A$2:$A$201=$B832)*(HISTORIAL_HORARIOS!$C$2:$C$201&lt;=$A832)*(HISTORIAL_HORARIOS!$D$2:$D$201&gt;=$A832),0)),INDEX(IF($I832="FIN",PERSONAL!$L$2:$L$80,PERSONAL!$H$2:$H$80),MATCH($B832,PERSONAL!$A$2:$A$80,0)))))</f>
        <v/>
      </c>
    </row>
    <row r="833" ht="15" customHeight="1" s="58">
      <c r="A833" s="40" t="n"/>
      <c r="B833" s="38" t="n"/>
      <c r="C833" s="40" t="n"/>
      <c r="D833" s="40" t="n"/>
      <c r="E833" s="34">
        <f t="array" ref="E833">IF($B833="","",IFERROR(INDEX(PERSONAL!$B$2:$B$80,MATCH($B833,PERSONAL!$A$2:$A$80,0)),"NO EXISTE"))</f>
        <v/>
      </c>
      <c r="F833" s="34">
        <f t="array" ref="F833">IF($B833="","",IFERROR(INDEX(PERSONAL!$C$2:$C$80,MATCH($B833,PERSONAL!$A$2:$A$80,0)),""))</f>
        <v/>
      </c>
      <c r="G833" s="34">
        <f>IF($A833="","",CHOOSE(WEEKDAY($A833,2),"LUNES","MARTES","MIÉRCOLES","JUEVES","VIERNES","SÁBADO","DOMINGO"))</f>
        <v/>
      </c>
      <c r="H833" s="34">
        <f>IF($A833="","",CHOOSE(MONTH($A833),"ENERO","FEBRERO","MARZO","ABRIL","MAYO","JUNIO","JULIO","AGOSTO","SEPTIEMBRE","OCTUBRE","NOVIEMBRE","DICIEMBRE"))</f>
        <v/>
      </c>
      <c r="I833" s="34">
        <f>IF($A833="","",IF(OR($G833="SÁBADO",$G833="DOMINGO"),"FIN","LV"))</f>
        <v/>
      </c>
      <c r="J833" s="34">
        <f>IF(OR($A833="",$B833=""),"",IF($L833&lt;&gt;"",UPPER($L833),IF($C833="","FALTA",IFERROR(IF($C833&gt;=$O833,"ROJO FUERTE",IF($C833&gt;=$N833,"ROJO",IF($C833&gt;=$M833,"AMARILLO","VERDE"))),"REVISAR"))))</f>
        <v/>
      </c>
      <c r="K833" s="36">
        <f>IF(OR($C833="",$D833=""),"",IF($D833&gt;=$C833,($D833-$C833)*24,(1-$C833+$D833)*24))</f>
        <v/>
      </c>
      <c r="L833" s="34" t="n"/>
      <c r="M833" s="53">
        <f t="array" ref="M833">IFERROR(INDEX(EXCEPCIONES_FECHA!$D$2:$D$201,MATCH(1,(EXCEPCIONES_FECHA!$A$2:$A$201=$A833)*(EXCEPCIONES_FECHA!$B$2:$B$201=$B833),0)),IFERROR(INDEX(EXCEPCIONES_FECHA!$D$2:$D$201,MATCH(1,(EXCEPCIONES_FECHA!$A$2:$A$201=$A833)*(EXCEPCIONES_FECHA!$B$2:$B$201=""),0)),IFERROR(INDEX(IF($I833="FIN",HISTORIAL_HORARIOS!$J$2:$J$201,HISTORIAL_HORARIOS!$F$2:$F$201),MATCH(1,(HISTORIAL_HORARIOS!$A$2:$A$201=$B833)*(HISTORIAL_HORARIOS!$C$2:$C$201&lt;=$A833)*(HISTORIAL_HORARIOS!$D$2:$D$201&gt;=$A833),0)),INDEX(IF($I833="FIN",PERSONAL!$J$2:$J$80,PERSONAL!$F$2:$F$80),MATCH($B833,PERSONAL!$A$2:$A$80,0)))))</f>
        <v/>
      </c>
      <c r="N833" s="53">
        <f t="array" ref="N833">IFERROR(INDEX(EXCEPCIONES_FECHA!$E$2:$E$201,MATCH(1,(EXCEPCIONES_FECHA!$A$2:$A$201=$A833)*(EXCEPCIONES_FECHA!$B$2:$B$201=$B833),0)),IFERROR(INDEX(EXCEPCIONES_FECHA!$E$2:$E$201,MATCH(1,(EXCEPCIONES_FECHA!$A$2:$A$201=$A833)*(EXCEPCIONES_FECHA!$B$2:$B$201=""),0)),IFERROR(INDEX(IF($I833="FIN",HISTORIAL_HORARIOS!$K$2:$K$201,HISTORIAL_HORARIOS!$G$2:$G$201),MATCH(1,(HISTORIAL_HORARIOS!$A$2:$A$201=$B833)*(HISTORIAL_HORARIOS!$C$2:$C$201&lt;=$A833)*(HISTORIAL_HORARIOS!$D$2:$D$201&gt;=$A833),0)),INDEX(IF($I833="FIN",PERSONAL!$K$2:$K$80,PERSONAL!$G$2:$G$80),MATCH($B833,PERSONAL!$A$2:$A$80,0)))))</f>
        <v/>
      </c>
      <c r="O833" s="53">
        <f t="array" ref="O833">IFERROR(INDEX(EXCEPCIONES_FECHA!$F$2:$F$201,MATCH(1,(EXCEPCIONES_FECHA!$A$2:$A$201=$A833)*(EXCEPCIONES_FECHA!$B$2:$B$201=$B833),0)),IFERROR(INDEX(EXCEPCIONES_FECHA!$F$2:$F$201,MATCH(1,(EXCEPCIONES_FECHA!$A$2:$A$201=$A833)*(EXCEPCIONES_FECHA!$B$2:$B$201=""),0)),IFERROR(INDEX(IF($I833="FIN",HISTORIAL_HORARIOS!$L$2:$L$201,HISTORIAL_HORARIOS!$H$2:$H$201),MATCH(1,(HISTORIAL_HORARIOS!$A$2:$A$201=$B833)*(HISTORIAL_HORARIOS!$C$2:$C$201&lt;=$A833)*(HISTORIAL_HORARIOS!$D$2:$D$201&gt;=$A833),0)),INDEX(IF($I833="FIN",PERSONAL!$L$2:$L$80,PERSONAL!$H$2:$H$80),MATCH($B833,PERSONAL!$A$2:$A$80,0)))))</f>
        <v/>
      </c>
    </row>
    <row r="834" ht="15" customHeight="1" s="58">
      <c r="A834" s="40" t="n"/>
      <c r="B834" s="38" t="n"/>
      <c r="C834" s="40" t="n"/>
      <c r="D834" s="40" t="n"/>
      <c r="E834" s="34">
        <f t="array" ref="E834">IF($B834="","",IFERROR(INDEX(PERSONAL!$B$2:$B$80,MATCH($B834,PERSONAL!$A$2:$A$80,0)),"NO EXISTE"))</f>
        <v/>
      </c>
      <c r="F834" s="34">
        <f t="array" ref="F834">IF($B834="","",IFERROR(INDEX(PERSONAL!$C$2:$C$80,MATCH($B834,PERSONAL!$A$2:$A$80,0)),""))</f>
        <v/>
      </c>
      <c r="G834" s="34">
        <f>IF($A834="","",CHOOSE(WEEKDAY($A834,2),"LUNES","MARTES","MIÉRCOLES","JUEVES","VIERNES","SÁBADO","DOMINGO"))</f>
        <v/>
      </c>
      <c r="H834" s="34">
        <f>IF($A834="","",CHOOSE(MONTH($A834),"ENERO","FEBRERO","MARZO","ABRIL","MAYO","JUNIO","JULIO","AGOSTO","SEPTIEMBRE","OCTUBRE","NOVIEMBRE","DICIEMBRE"))</f>
        <v/>
      </c>
      <c r="I834" s="34">
        <f>IF($A834="","",IF(OR($G834="SÁBADO",$G834="DOMINGO"),"FIN","LV"))</f>
        <v/>
      </c>
      <c r="J834" s="34">
        <f>IF(OR($A834="",$B834=""),"",IF($L834&lt;&gt;"",UPPER($L834),IF($C834="","FALTA",IFERROR(IF($C834&gt;=$O834,"ROJO FUERTE",IF($C834&gt;=$N834,"ROJO",IF($C834&gt;=$M834,"AMARILLO","VERDE"))),"REVISAR"))))</f>
        <v/>
      </c>
      <c r="K834" s="36">
        <f>IF(OR($C834="",$D834=""),"",IF($D834&gt;=$C834,($D834-$C834)*24,(1-$C834+$D834)*24))</f>
        <v/>
      </c>
      <c r="L834" s="34" t="n"/>
      <c r="M834" s="53">
        <f t="array" ref="M834">IFERROR(INDEX(EXCEPCIONES_FECHA!$D$2:$D$201,MATCH(1,(EXCEPCIONES_FECHA!$A$2:$A$201=$A834)*(EXCEPCIONES_FECHA!$B$2:$B$201=$B834),0)),IFERROR(INDEX(EXCEPCIONES_FECHA!$D$2:$D$201,MATCH(1,(EXCEPCIONES_FECHA!$A$2:$A$201=$A834)*(EXCEPCIONES_FECHA!$B$2:$B$201=""),0)),IFERROR(INDEX(IF($I834="FIN",HISTORIAL_HORARIOS!$J$2:$J$201,HISTORIAL_HORARIOS!$F$2:$F$201),MATCH(1,(HISTORIAL_HORARIOS!$A$2:$A$201=$B834)*(HISTORIAL_HORARIOS!$C$2:$C$201&lt;=$A834)*(HISTORIAL_HORARIOS!$D$2:$D$201&gt;=$A834),0)),INDEX(IF($I834="FIN",PERSONAL!$J$2:$J$80,PERSONAL!$F$2:$F$80),MATCH($B834,PERSONAL!$A$2:$A$80,0)))))</f>
        <v/>
      </c>
      <c r="N834" s="53">
        <f t="array" ref="N834">IFERROR(INDEX(EXCEPCIONES_FECHA!$E$2:$E$201,MATCH(1,(EXCEPCIONES_FECHA!$A$2:$A$201=$A834)*(EXCEPCIONES_FECHA!$B$2:$B$201=$B834),0)),IFERROR(INDEX(EXCEPCIONES_FECHA!$E$2:$E$201,MATCH(1,(EXCEPCIONES_FECHA!$A$2:$A$201=$A834)*(EXCEPCIONES_FECHA!$B$2:$B$201=""),0)),IFERROR(INDEX(IF($I834="FIN",HISTORIAL_HORARIOS!$K$2:$K$201,HISTORIAL_HORARIOS!$G$2:$G$201),MATCH(1,(HISTORIAL_HORARIOS!$A$2:$A$201=$B834)*(HISTORIAL_HORARIOS!$C$2:$C$201&lt;=$A834)*(HISTORIAL_HORARIOS!$D$2:$D$201&gt;=$A834),0)),INDEX(IF($I834="FIN",PERSONAL!$K$2:$K$80,PERSONAL!$G$2:$G$80),MATCH($B834,PERSONAL!$A$2:$A$80,0)))))</f>
        <v/>
      </c>
      <c r="O834" s="53">
        <f t="array" ref="O834">IFERROR(INDEX(EXCEPCIONES_FECHA!$F$2:$F$201,MATCH(1,(EXCEPCIONES_FECHA!$A$2:$A$201=$A834)*(EXCEPCIONES_FECHA!$B$2:$B$201=$B834),0)),IFERROR(INDEX(EXCEPCIONES_FECHA!$F$2:$F$201,MATCH(1,(EXCEPCIONES_FECHA!$A$2:$A$201=$A834)*(EXCEPCIONES_FECHA!$B$2:$B$201=""),0)),IFERROR(INDEX(IF($I834="FIN",HISTORIAL_HORARIOS!$L$2:$L$201,HISTORIAL_HORARIOS!$H$2:$H$201),MATCH(1,(HISTORIAL_HORARIOS!$A$2:$A$201=$B834)*(HISTORIAL_HORARIOS!$C$2:$C$201&lt;=$A834)*(HISTORIAL_HORARIOS!$D$2:$D$201&gt;=$A834),0)),INDEX(IF($I834="FIN",PERSONAL!$L$2:$L$80,PERSONAL!$H$2:$H$80),MATCH($B834,PERSONAL!$A$2:$A$80,0)))))</f>
        <v/>
      </c>
    </row>
    <row r="835" ht="15" customHeight="1" s="58">
      <c r="A835" s="40" t="n"/>
      <c r="B835" s="38" t="n"/>
      <c r="C835" s="40" t="n"/>
      <c r="D835" s="40" t="n"/>
      <c r="E835" s="34">
        <f t="array" ref="E835">IF($B835="","",IFERROR(INDEX(PERSONAL!$B$2:$B$80,MATCH($B835,PERSONAL!$A$2:$A$80,0)),"NO EXISTE"))</f>
        <v/>
      </c>
      <c r="F835" s="34">
        <f t="array" ref="F835">IF($B835="","",IFERROR(INDEX(PERSONAL!$C$2:$C$80,MATCH($B835,PERSONAL!$A$2:$A$80,0)),""))</f>
        <v/>
      </c>
      <c r="G835" s="34">
        <f>IF($A835="","",CHOOSE(WEEKDAY($A835,2),"LUNES","MARTES","MIÉRCOLES","JUEVES","VIERNES","SÁBADO","DOMINGO"))</f>
        <v/>
      </c>
      <c r="H835" s="34">
        <f>IF($A835="","",CHOOSE(MONTH($A835),"ENERO","FEBRERO","MARZO","ABRIL","MAYO","JUNIO","JULIO","AGOSTO","SEPTIEMBRE","OCTUBRE","NOVIEMBRE","DICIEMBRE"))</f>
        <v/>
      </c>
      <c r="I835" s="34">
        <f>IF($A835="","",IF(OR($G835="SÁBADO",$G835="DOMINGO"),"FIN","LV"))</f>
        <v/>
      </c>
      <c r="J835" s="34">
        <f>IF(OR($A835="",$B835=""),"",IF($L835&lt;&gt;"",UPPER($L835),IF($C835="","FALTA",IFERROR(IF($C835&gt;=$O835,"ROJO FUERTE",IF($C835&gt;=$N835,"ROJO",IF($C835&gt;=$M835,"AMARILLO","VERDE"))),"REVISAR"))))</f>
        <v/>
      </c>
      <c r="K835" s="36">
        <f>IF(OR($C835="",$D835=""),"",IF($D835&gt;=$C835,($D835-$C835)*24,(1-$C835+$D835)*24))</f>
        <v/>
      </c>
      <c r="L835" s="34" t="n"/>
      <c r="M835" s="53">
        <f t="array" ref="M835">IFERROR(INDEX(EXCEPCIONES_FECHA!$D$2:$D$201,MATCH(1,(EXCEPCIONES_FECHA!$A$2:$A$201=$A835)*(EXCEPCIONES_FECHA!$B$2:$B$201=$B835),0)),IFERROR(INDEX(EXCEPCIONES_FECHA!$D$2:$D$201,MATCH(1,(EXCEPCIONES_FECHA!$A$2:$A$201=$A835)*(EXCEPCIONES_FECHA!$B$2:$B$201=""),0)),IFERROR(INDEX(IF($I835="FIN",HISTORIAL_HORARIOS!$J$2:$J$201,HISTORIAL_HORARIOS!$F$2:$F$201),MATCH(1,(HISTORIAL_HORARIOS!$A$2:$A$201=$B835)*(HISTORIAL_HORARIOS!$C$2:$C$201&lt;=$A835)*(HISTORIAL_HORARIOS!$D$2:$D$201&gt;=$A835),0)),INDEX(IF($I835="FIN",PERSONAL!$J$2:$J$80,PERSONAL!$F$2:$F$80),MATCH($B835,PERSONAL!$A$2:$A$80,0)))))</f>
        <v/>
      </c>
      <c r="N835" s="53">
        <f t="array" ref="N835">IFERROR(INDEX(EXCEPCIONES_FECHA!$E$2:$E$201,MATCH(1,(EXCEPCIONES_FECHA!$A$2:$A$201=$A835)*(EXCEPCIONES_FECHA!$B$2:$B$201=$B835),0)),IFERROR(INDEX(EXCEPCIONES_FECHA!$E$2:$E$201,MATCH(1,(EXCEPCIONES_FECHA!$A$2:$A$201=$A835)*(EXCEPCIONES_FECHA!$B$2:$B$201=""),0)),IFERROR(INDEX(IF($I835="FIN",HISTORIAL_HORARIOS!$K$2:$K$201,HISTORIAL_HORARIOS!$G$2:$G$201),MATCH(1,(HISTORIAL_HORARIOS!$A$2:$A$201=$B835)*(HISTORIAL_HORARIOS!$C$2:$C$201&lt;=$A835)*(HISTORIAL_HORARIOS!$D$2:$D$201&gt;=$A835),0)),INDEX(IF($I835="FIN",PERSONAL!$K$2:$K$80,PERSONAL!$G$2:$G$80),MATCH($B835,PERSONAL!$A$2:$A$80,0)))))</f>
        <v/>
      </c>
      <c r="O835" s="53">
        <f t="array" ref="O835">IFERROR(INDEX(EXCEPCIONES_FECHA!$F$2:$F$201,MATCH(1,(EXCEPCIONES_FECHA!$A$2:$A$201=$A835)*(EXCEPCIONES_FECHA!$B$2:$B$201=$B835),0)),IFERROR(INDEX(EXCEPCIONES_FECHA!$F$2:$F$201,MATCH(1,(EXCEPCIONES_FECHA!$A$2:$A$201=$A835)*(EXCEPCIONES_FECHA!$B$2:$B$201=""),0)),IFERROR(INDEX(IF($I835="FIN",HISTORIAL_HORARIOS!$L$2:$L$201,HISTORIAL_HORARIOS!$H$2:$H$201),MATCH(1,(HISTORIAL_HORARIOS!$A$2:$A$201=$B835)*(HISTORIAL_HORARIOS!$C$2:$C$201&lt;=$A835)*(HISTORIAL_HORARIOS!$D$2:$D$201&gt;=$A835),0)),INDEX(IF($I835="FIN",PERSONAL!$L$2:$L$80,PERSONAL!$H$2:$H$80),MATCH($B835,PERSONAL!$A$2:$A$80,0)))))</f>
        <v/>
      </c>
    </row>
    <row r="836" ht="15" customHeight="1" s="58">
      <c r="A836" s="40" t="n"/>
      <c r="B836" s="38" t="n"/>
      <c r="C836" s="40" t="n"/>
      <c r="D836" s="40" t="n"/>
      <c r="E836" s="34">
        <f t="array" ref="E836">IF($B836="","",IFERROR(INDEX(PERSONAL!$B$2:$B$80,MATCH($B836,PERSONAL!$A$2:$A$80,0)),"NO EXISTE"))</f>
        <v/>
      </c>
      <c r="F836" s="34">
        <f t="array" ref="F836">IF($B836="","",IFERROR(INDEX(PERSONAL!$C$2:$C$80,MATCH($B836,PERSONAL!$A$2:$A$80,0)),""))</f>
        <v/>
      </c>
      <c r="G836" s="34">
        <f>IF($A836="","",CHOOSE(WEEKDAY($A836,2),"LUNES","MARTES","MIÉRCOLES","JUEVES","VIERNES","SÁBADO","DOMINGO"))</f>
        <v/>
      </c>
      <c r="H836" s="34">
        <f>IF($A836="","",CHOOSE(MONTH($A836),"ENERO","FEBRERO","MARZO","ABRIL","MAYO","JUNIO","JULIO","AGOSTO","SEPTIEMBRE","OCTUBRE","NOVIEMBRE","DICIEMBRE"))</f>
        <v/>
      </c>
      <c r="I836" s="34">
        <f>IF($A836="","",IF(OR($G836="SÁBADO",$G836="DOMINGO"),"FIN","LV"))</f>
        <v/>
      </c>
      <c r="J836" s="34">
        <f>IF(OR($A836="",$B836=""),"",IF($L836&lt;&gt;"",UPPER($L836),IF($C836="","FALTA",IFERROR(IF($C836&gt;=$O836,"ROJO FUERTE",IF($C836&gt;=$N836,"ROJO",IF($C836&gt;=$M836,"AMARILLO","VERDE"))),"REVISAR"))))</f>
        <v/>
      </c>
      <c r="K836" s="36">
        <f>IF(OR($C836="",$D836=""),"",IF($D836&gt;=$C836,($D836-$C836)*24,(1-$C836+$D836)*24))</f>
        <v/>
      </c>
      <c r="L836" s="34" t="n"/>
      <c r="M836" s="53">
        <f t="array" ref="M836">IFERROR(INDEX(EXCEPCIONES_FECHA!$D$2:$D$201,MATCH(1,(EXCEPCIONES_FECHA!$A$2:$A$201=$A836)*(EXCEPCIONES_FECHA!$B$2:$B$201=$B836),0)),IFERROR(INDEX(EXCEPCIONES_FECHA!$D$2:$D$201,MATCH(1,(EXCEPCIONES_FECHA!$A$2:$A$201=$A836)*(EXCEPCIONES_FECHA!$B$2:$B$201=""),0)),IFERROR(INDEX(IF($I836="FIN",HISTORIAL_HORARIOS!$J$2:$J$201,HISTORIAL_HORARIOS!$F$2:$F$201),MATCH(1,(HISTORIAL_HORARIOS!$A$2:$A$201=$B836)*(HISTORIAL_HORARIOS!$C$2:$C$201&lt;=$A836)*(HISTORIAL_HORARIOS!$D$2:$D$201&gt;=$A836),0)),INDEX(IF($I836="FIN",PERSONAL!$J$2:$J$80,PERSONAL!$F$2:$F$80),MATCH($B836,PERSONAL!$A$2:$A$80,0)))))</f>
        <v/>
      </c>
      <c r="N836" s="53">
        <f t="array" ref="N836">IFERROR(INDEX(EXCEPCIONES_FECHA!$E$2:$E$201,MATCH(1,(EXCEPCIONES_FECHA!$A$2:$A$201=$A836)*(EXCEPCIONES_FECHA!$B$2:$B$201=$B836),0)),IFERROR(INDEX(EXCEPCIONES_FECHA!$E$2:$E$201,MATCH(1,(EXCEPCIONES_FECHA!$A$2:$A$201=$A836)*(EXCEPCIONES_FECHA!$B$2:$B$201=""),0)),IFERROR(INDEX(IF($I836="FIN",HISTORIAL_HORARIOS!$K$2:$K$201,HISTORIAL_HORARIOS!$G$2:$G$201),MATCH(1,(HISTORIAL_HORARIOS!$A$2:$A$201=$B836)*(HISTORIAL_HORARIOS!$C$2:$C$201&lt;=$A836)*(HISTORIAL_HORARIOS!$D$2:$D$201&gt;=$A836),0)),INDEX(IF($I836="FIN",PERSONAL!$K$2:$K$80,PERSONAL!$G$2:$G$80),MATCH($B836,PERSONAL!$A$2:$A$80,0)))))</f>
        <v/>
      </c>
      <c r="O836" s="53">
        <f t="array" ref="O836">IFERROR(INDEX(EXCEPCIONES_FECHA!$F$2:$F$201,MATCH(1,(EXCEPCIONES_FECHA!$A$2:$A$201=$A836)*(EXCEPCIONES_FECHA!$B$2:$B$201=$B836),0)),IFERROR(INDEX(EXCEPCIONES_FECHA!$F$2:$F$201,MATCH(1,(EXCEPCIONES_FECHA!$A$2:$A$201=$A836)*(EXCEPCIONES_FECHA!$B$2:$B$201=""),0)),IFERROR(INDEX(IF($I836="FIN",HISTORIAL_HORARIOS!$L$2:$L$201,HISTORIAL_HORARIOS!$H$2:$H$201),MATCH(1,(HISTORIAL_HORARIOS!$A$2:$A$201=$B836)*(HISTORIAL_HORARIOS!$C$2:$C$201&lt;=$A836)*(HISTORIAL_HORARIOS!$D$2:$D$201&gt;=$A836),0)),INDEX(IF($I836="FIN",PERSONAL!$L$2:$L$80,PERSONAL!$H$2:$H$80),MATCH($B836,PERSONAL!$A$2:$A$80,0)))))</f>
        <v/>
      </c>
    </row>
    <row r="837" ht="15" customHeight="1" s="58">
      <c r="A837" s="40" t="n"/>
      <c r="B837" s="38" t="n"/>
      <c r="C837" s="40" t="n"/>
      <c r="D837" s="40" t="n"/>
      <c r="E837" s="34">
        <f t="array" ref="E837">IF($B837="","",IFERROR(INDEX(PERSONAL!$B$2:$B$80,MATCH($B837,PERSONAL!$A$2:$A$80,0)),"NO EXISTE"))</f>
        <v/>
      </c>
      <c r="F837" s="34">
        <f t="array" ref="F837">IF($B837="","",IFERROR(INDEX(PERSONAL!$C$2:$C$80,MATCH($B837,PERSONAL!$A$2:$A$80,0)),""))</f>
        <v/>
      </c>
      <c r="G837" s="34">
        <f>IF($A837="","",CHOOSE(WEEKDAY($A837,2),"LUNES","MARTES","MIÉRCOLES","JUEVES","VIERNES","SÁBADO","DOMINGO"))</f>
        <v/>
      </c>
      <c r="H837" s="34">
        <f>IF($A837="","",CHOOSE(MONTH($A837),"ENERO","FEBRERO","MARZO","ABRIL","MAYO","JUNIO","JULIO","AGOSTO","SEPTIEMBRE","OCTUBRE","NOVIEMBRE","DICIEMBRE"))</f>
        <v/>
      </c>
      <c r="I837" s="34">
        <f>IF($A837="","",IF(OR($G837="SÁBADO",$G837="DOMINGO"),"FIN","LV"))</f>
        <v/>
      </c>
      <c r="J837" s="34">
        <f>IF(OR($A837="",$B837=""),"",IF($L837&lt;&gt;"",UPPER($L837),IF($C837="","FALTA",IFERROR(IF($C837&gt;=$O837,"ROJO FUERTE",IF($C837&gt;=$N837,"ROJO",IF($C837&gt;=$M837,"AMARILLO","VERDE"))),"REVISAR"))))</f>
        <v/>
      </c>
      <c r="K837" s="36">
        <f>IF(OR($C837="",$D837=""),"",IF($D837&gt;=$C837,($D837-$C837)*24,(1-$C837+$D837)*24))</f>
        <v/>
      </c>
      <c r="L837" s="34" t="n"/>
      <c r="M837" s="53">
        <f t="array" ref="M837">IFERROR(INDEX(EXCEPCIONES_FECHA!$D$2:$D$201,MATCH(1,(EXCEPCIONES_FECHA!$A$2:$A$201=$A837)*(EXCEPCIONES_FECHA!$B$2:$B$201=$B837),0)),IFERROR(INDEX(EXCEPCIONES_FECHA!$D$2:$D$201,MATCH(1,(EXCEPCIONES_FECHA!$A$2:$A$201=$A837)*(EXCEPCIONES_FECHA!$B$2:$B$201=""),0)),IFERROR(INDEX(IF($I837="FIN",HISTORIAL_HORARIOS!$J$2:$J$201,HISTORIAL_HORARIOS!$F$2:$F$201),MATCH(1,(HISTORIAL_HORARIOS!$A$2:$A$201=$B837)*(HISTORIAL_HORARIOS!$C$2:$C$201&lt;=$A837)*(HISTORIAL_HORARIOS!$D$2:$D$201&gt;=$A837),0)),INDEX(IF($I837="FIN",PERSONAL!$J$2:$J$80,PERSONAL!$F$2:$F$80),MATCH($B837,PERSONAL!$A$2:$A$80,0)))))</f>
        <v/>
      </c>
      <c r="N837" s="53">
        <f t="array" ref="N837">IFERROR(INDEX(EXCEPCIONES_FECHA!$E$2:$E$201,MATCH(1,(EXCEPCIONES_FECHA!$A$2:$A$201=$A837)*(EXCEPCIONES_FECHA!$B$2:$B$201=$B837),0)),IFERROR(INDEX(EXCEPCIONES_FECHA!$E$2:$E$201,MATCH(1,(EXCEPCIONES_FECHA!$A$2:$A$201=$A837)*(EXCEPCIONES_FECHA!$B$2:$B$201=""),0)),IFERROR(INDEX(IF($I837="FIN",HISTORIAL_HORARIOS!$K$2:$K$201,HISTORIAL_HORARIOS!$G$2:$G$201),MATCH(1,(HISTORIAL_HORARIOS!$A$2:$A$201=$B837)*(HISTORIAL_HORARIOS!$C$2:$C$201&lt;=$A837)*(HISTORIAL_HORARIOS!$D$2:$D$201&gt;=$A837),0)),INDEX(IF($I837="FIN",PERSONAL!$K$2:$K$80,PERSONAL!$G$2:$G$80),MATCH($B837,PERSONAL!$A$2:$A$80,0)))))</f>
        <v/>
      </c>
      <c r="O837" s="53">
        <f t="array" ref="O837">IFERROR(INDEX(EXCEPCIONES_FECHA!$F$2:$F$201,MATCH(1,(EXCEPCIONES_FECHA!$A$2:$A$201=$A837)*(EXCEPCIONES_FECHA!$B$2:$B$201=$B837),0)),IFERROR(INDEX(EXCEPCIONES_FECHA!$F$2:$F$201,MATCH(1,(EXCEPCIONES_FECHA!$A$2:$A$201=$A837)*(EXCEPCIONES_FECHA!$B$2:$B$201=""),0)),IFERROR(INDEX(IF($I837="FIN",HISTORIAL_HORARIOS!$L$2:$L$201,HISTORIAL_HORARIOS!$H$2:$H$201),MATCH(1,(HISTORIAL_HORARIOS!$A$2:$A$201=$B837)*(HISTORIAL_HORARIOS!$C$2:$C$201&lt;=$A837)*(HISTORIAL_HORARIOS!$D$2:$D$201&gt;=$A837),0)),INDEX(IF($I837="FIN",PERSONAL!$L$2:$L$80,PERSONAL!$H$2:$H$80),MATCH($B837,PERSONAL!$A$2:$A$80,0)))))</f>
        <v/>
      </c>
    </row>
    <row r="838" ht="15" customHeight="1" s="58">
      <c r="A838" s="40" t="n"/>
      <c r="B838" s="38" t="n"/>
      <c r="C838" s="40" t="n"/>
      <c r="D838" s="40" t="n"/>
      <c r="E838" s="34">
        <f t="array" ref="E838">IF($B838="","",IFERROR(INDEX(PERSONAL!$B$2:$B$80,MATCH($B838,PERSONAL!$A$2:$A$80,0)),"NO EXISTE"))</f>
        <v/>
      </c>
      <c r="F838" s="34">
        <f t="array" ref="F838">IF($B838="","",IFERROR(INDEX(PERSONAL!$C$2:$C$80,MATCH($B838,PERSONAL!$A$2:$A$80,0)),""))</f>
        <v/>
      </c>
      <c r="G838" s="34">
        <f>IF($A838="","",CHOOSE(WEEKDAY($A838,2),"LUNES","MARTES","MIÉRCOLES","JUEVES","VIERNES","SÁBADO","DOMINGO"))</f>
        <v/>
      </c>
      <c r="H838" s="34">
        <f>IF($A838="","",CHOOSE(MONTH($A838),"ENERO","FEBRERO","MARZO","ABRIL","MAYO","JUNIO","JULIO","AGOSTO","SEPTIEMBRE","OCTUBRE","NOVIEMBRE","DICIEMBRE"))</f>
        <v/>
      </c>
      <c r="I838" s="34">
        <f>IF($A838="","",IF(OR($G838="SÁBADO",$G838="DOMINGO"),"FIN","LV"))</f>
        <v/>
      </c>
      <c r="J838" s="34">
        <f>IF(OR($A838="",$B838=""),"",IF($L838&lt;&gt;"",UPPER($L838),IF($C838="","FALTA",IFERROR(IF($C838&gt;=$O838,"ROJO FUERTE",IF($C838&gt;=$N838,"ROJO",IF($C838&gt;=$M838,"AMARILLO","VERDE"))),"REVISAR"))))</f>
        <v/>
      </c>
      <c r="K838" s="36">
        <f>IF(OR($C838="",$D838=""),"",IF($D838&gt;=$C838,($D838-$C838)*24,(1-$C838+$D838)*24))</f>
        <v/>
      </c>
      <c r="L838" s="34" t="n"/>
      <c r="M838" s="53">
        <f t="array" ref="M838">IFERROR(INDEX(EXCEPCIONES_FECHA!$D$2:$D$201,MATCH(1,(EXCEPCIONES_FECHA!$A$2:$A$201=$A838)*(EXCEPCIONES_FECHA!$B$2:$B$201=$B838),0)),IFERROR(INDEX(EXCEPCIONES_FECHA!$D$2:$D$201,MATCH(1,(EXCEPCIONES_FECHA!$A$2:$A$201=$A838)*(EXCEPCIONES_FECHA!$B$2:$B$201=""),0)),IFERROR(INDEX(IF($I838="FIN",HISTORIAL_HORARIOS!$J$2:$J$201,HISTORIAL_HORARIOS!$F$2:$F$201),MATCH(1,(HISTORIAL_HORARIOS!$A$2:$A$201=$B838)*(HISTORIAL_HORARIOS!$C$2:$C$201&lt;=$A838)*(HISTORIAL_HORARIOS!$D$2:$D$201&gt;=$A838),0)),INDEX(IF($I838="FIN",PERSONAL!$J$2:$J$80,PERSONAL!$F$2:$F$80),MATCH($B838,PERSONAL!$A$2:$A$80,0)))))</f>
        <v/>
      </c>
      <c r="N838" s="53">
        <f t="array" ref="N838">IFERROR(INDEX(EXCEPCIONES_FECHA!$E$2:$E$201,MATCH(1,(EXCEPCIONES_FECHA!$A$2:$A$201=$A838)*(EXCEPCIONES_FECHA!$B$2:$B$201=$B838),0)),IFERROR(INDEX(EXCEPCIONES_FECHA!$E$2:$E$201,MATCH(1,(EXCEPCIONES_FECHA!$A$2:$A$201=$A838)*(EXCEPCIONES_FECHA!$B$2:$B$201=""),0)),IFERROR(INDEX(IF($I838="FIN",HISTORIAL_HORARIOS!$K$2:$K$201,HISTORIAL_HORARIOS!$G$2:$G$201),MATCH(1,(HISTORIAL_HORARIOS!$A$2:$A$201=$B838)*(HISTORIAL_HORARIOS!$C$2:$C$201&lt;=$A838)*(HISTORIAL_HORARIOS!$D$2:$D$201&gt;=$A838),0)),INDEX(IF($I838="FIN",PERSONAL!$K$2:$K$80,PERSONAL!$G$2:$G$80),MATCH($B838,PERSONAL!$A$2:$A$80,0)))))</f>
        <v/>
      </c>
      <c r="O838" s="53">
        <f t="array" ref="O838">IFERROR(INDEX(EXCEPCIONES_FECHA!$F$2:$F$201,MATCH(1,(EXCEPCIONES_FECHA!$A$2:$A$201=$A838)*(EXCEPCIONES_FECHA!$B$2:$B$201=$B838),0)),IFERROR(INDEX(EXCEPCIONES_FECHA!$F$2:$F$201,MATCH(1,(EXCEPCIONES_FECHA!$A$2:$A$201=$A838)*(EXCEPCIONES_FECHA!$B$2:$B$201=""),0)),IFERROR(INDEX(IF($I838="FIN",HISTORIAL_HORARIOS!$L$2:$L$201,HISTORIAL_HORARIOS!$H$2:$H$201),MATCH(1,(HISTORIAL_HORARIOS!$A$2:$A$201=$B838)*(HISTORIAL_HORARIOS!$C$2:$C$201&lt;=$A838)*(HISTORIAL_HORARIOS!$D$2:$D$201&gt;=$A838),0)),INDEX(IF($I838="FIN",PERSONAL!$L$2:$L$80,PERSONAL!$H$2:$H$80),MATCH($B838,PERSONAL!$A$2:$A$80,0)))))</f>
        <v/>
      </c>
    </row>
    <row r="839" ht="15" customHeight="1" s="58">
      <c r="A839" s="40" t="n"/>
      <c r="B839" s="38" t="n"/>
      <c r="C839" s="40" t="n"/>
      <c r="D839" s="40" t="n"/>
      <c r="E839" s="34">
        <f t="array" ref="E839">IF($B839="","",IFERROR(INDEX(PERSONAL!$B$2:$B$80,MATCH($B839,PERSONAL!$A$2:$A$80,0)),"NO EXISTE"))</f>
        <v/>
      </c>
      <c r="F839" s="34">
        <f t="array" ref="F839">IF($B839="","",IFERROR(INDEX(PERSONAL!$C$2:$C$80,MATCH($B839,PERSONAL!$A$2:$A$80,0)),""))</f>
        <v/>
      </c>
      <c r="G839" s="34">
        <f>IF($A839="","",CHOOSE(WEEKDAY($A839,2),"LUNES","MARTES","MIÉRCOLES","JUEVES","VIERNES","SÁBADO","DOMINGO"))</f>
        <v/>
      </c>
      <c r="H839" s="34">
        <f>IF($A839="","",CHOOSE(MONTH($A839),"ENERO","FEBRERO","MARZO","ABRIL","MAYO","JUNIO","JULIO","AGOSTO","SEPTIEMBRE","OCTUBRE","NOVIEMBRE","DICIEMBRE"))</f>
        <v/>
      </c>
      <c r="I839" s="34">
        <f>IF($A839="","",IF(OR($G839="SÁBADO",$G839="DOMINGO"),"FIN","LV"))</f>
        <v/>
      </c>
      <c r="J839" s="34">
        <f>IF(OR($A839="",$B839=""),"",IF($L839&lt;&gt;"",UPPER($L839),IF($C839="","FALTA",IFERROR(IF($C839&gt;=$O839,"ROJO FUERTE",IF($C839&gt;=$N839,"ROJO",IF($C839&gt;=$M839,"AMARILLO","VERDE"))),"REVISAR"))))</f>
        <v/>
      </c>
      <c r="K839" s="36">
        <f>IF(OR($C839="",$D839=""),"",IF($D839&gt;=$C839,($D839-$C839)*24,(1-$C839+$D839)*24))</f>
        <v/>
      </c>
      <c r="L839" s="34" t="n"/>
      <c r="M839" s="53">
        <f t="array" ref="M839">IFERROR(INDEX(EXCEPCIONES_FECHA!$D$2:$D$201,MATCH(1,(EXCEPCIONES_FECHA!$A$2:$A$201=$A839)*(EXCEPCIONES_FECHA!$B$2:$B$201=$B839),0)),IFERROR(INDEX(EXCEPCIONES_FECHA!$D$2:$D$201,MATCH(1,(EXCEPCIONES_FECHA!$A$2:$A$201=$A839)*(EXCEPCIONES_FECHA!$B$2:$B$201=""),0)),IFERROR(INDEX(IF($I839="FIN",HISTORIAL_HORARIOS!$J$2:$J$201,HISTORIAL_HORARIOS!$F$2:$F$201),MATCH(1,(HISTORIAL_HORARIOS!$A$2:$A$201=$B839)*(HISTORIAL_HORARIOS!$C$2:$C$201&lt;=$A839)*(HISTORIAL_HORARIOS!$D$2:$D$201&gt;=$A839),0)),INDEX(IF($I839="FIN",PERSONAL!$J$2:$J$80,PERSONAL!$F$2:$F$80),MATCH($B839,PERSONAL!$A$2:$A$80,0)))))</f>
        <v/>
      </c>
      <c r="N839" s="53">
        <f t="array" ref="N839">IFERROR(INDEX(EXCEPCIONES_FECHA!$E$2:$E$201,MATCH(1,(EXCEPCIONES_FECHA!$A$2:$A$201=$A839)*(EXCEPCIONES_FECHA!$B$2:$B$201=$B839),0)),IFERROR(INDEX(EXCEPCIONES_FECHA!$E$2:$E$201,MATCH(1,(EXCEPCIONES_FECHA!$A$2:$A$201=$A839)*(EXCEPCIONES_FECHA!$B$2:$B$201=""),0)),IFERROR(INDEX(IF($I839="FIN",HISTORIAL_HORARIOS!$K$2:$K$201,HISTORIAL_HORARIOS!$G$2:$G$201),MATCH(1,(HISTORIAL_HORARIOS!$A$2:$A$201=$B839)*(HISTORIAL_HORARIOS!$C$2:$C$201&lt;=$A839)*(HISTORIAL_HORARIOS!$D$2:$D$201&gt;=$A839),0)),INDEX(IF($I839="FIN",PERSONAL!$K$2:$K$80,PERSONAL!$G$2:$G$80),MATCH($B839,PERSONAL!$A$2:$A$80,0)))))</f>
        <v/>
      </c>
      <c r="O839" s="53">
        <f t="array" ref="O839">IFERROR(INDEX(EXCEPCIONES_FECHA!$F$2:$F$201,MATCH(1,(EXCEPCIONES_FECHA!$A$2:$A$201=$A839)*(EXCEPCIONES_FECHA!$B$2:$B$201=$B839),0)),IFERROR(INDEX(EXCEPCIONES_FECHA!$F$2:$F$201,MATCH(1,(EXCEPCIONES_FECHA!$A$2:$A$201=$A839)*(EXCEPCIONES_FECHA!$B$2:$B$201=""),0)),IFERROR(INDEX(IF($I839="FIN",HISTORIAL_HORARIOS!$L$2:$L$201,HISTORIAL_HORARIOS!$H$2:$H$201),MATCH(1,(HISTORIAL_HORARIOS!$A$2:$A$201=$B839)*(HISTORIAL_HORARIOS!$C$2:$C$201&lt;=$A839)*(HISTORIAL_HORARIOS!$D$2:$D$201&gt;=$A839),0)),INDEX(IF($I839="FIN",PERSONAL!$L$2:$L$80,PERSONAL!$H$2:$H$80),MATCH($B839,PERSONAL!$A$2:$A$80,0)))))</f>
        <v/>
      </c>
    </row>
    <row r="840" ht="15" customHeight="1" s="58">
      <c r="A840" s="40" t="n"/>
      <c r="B840" s="38" t="n"/>
      <c r="C840" s="40" t="n"/>
      <c r="D840" s="40" t="n"/>
      <c r="E840" s="34">
        <f t="array" ref="E840">IF($B840="","",IFERROR(INDEX(PERSONAL!$B$2:$B$80,MATCH($B840,PERSONAL!$A$2:$A$80,0)),"NO EXISTE"))</f>
        <v/>
      </c>
      <c r="F840" s="34">
        <f t="array" ref="F840">IF($B840="","",IFERROR(INDEX(PERSONAL!$C$2:$C$80,MATCH($B840,PERSONAL!$A$2:$A$80,0)),""))</f>
        <v/>
      </c>
      <c r="G840" s="34">
        <f>IF($A840="","",CHOOSE(WEEKDAY($A840,2),"LUNES","MARTES","MIÉRCOLES","JUEVES","VIERNES","SÁBADO","DOMINGO"))</f>
        <v/>
      </c>
      <c r="H840" s="34">
        <f>IF($A840="","",CHOOSE(MONTH($A840),"ENERO","FEBRERO","MARZO","ABRIL","MAYO","JUNIO","JULIO","AGOSTO","SEPTIEMBRE","OCTUBRE","NOVIEMBRE","DICIEMBRE"))</f>
        <v/>
      </c>
      <c r="I840" s="34">
        <f>IF($A840="","",IF(OR($G840="SÁBADO",$G840="DOMINGO"),"FIN","LV"))</f>
        <v/>
      </c>
      <c r="J840" s="34">
        <f>IF(OR($A840="",$B840=""),"",IF($L840&lt;&gt;"",UPPER($L840),IF($C840="","FALTA",IFERROR(IF($C840&gt;=$O840,"ROJO FUERTE",IF($C840&gt;=$N840,"ROJO",IF($C840&gt;=$M840,"AMARILLO","VERDE"))),"REVISAR"))))</f>
        <v/>
      </c>
      <c r="K840" s="36">
        <f>IF(OR($C840="",$D840=""),"",IF($D840&gt;=$C840,($D840-$C840)*24,(1-$C840+$D840)*24))</f>
        <v/>
      </c>
      <c r="L840" s="34" t="n"/>
      <c r="M840" s="53">
        <f t="array" ref="M840">IFERROR(INDEX(EXCEPCIONES_FECHA!$D$2:$D$201,MATCH(1,(EXCEPCIONES_FECHA!$A$2:$A$201=$A840)*(EXCEPCIONES_FECHA!$B$2:$B$201=$B840),0)),IFERROR(INDEX(EXCEPCIONES_FECHA!$D$2:$D$201,MATCH(1,(EXCEPCIONES_FECHA!$A$2:$A$201=$A840)*(EXCEPCIONES_FECHA!$B$2:$B$201=""),0)),IFERROR(INDEX(IF($I840="FIN",HISTORIAL_HORARIOS!$J$2:$J$201,HISTORIAL_HORARIOS!$F$2:$F$201),MATCH(1,(HISTORIAL_HORARIOS!$A$2:$A$201=$B840)*(HISTORIAL_HORARIOS!$C$2:$C$201&lt;=$A840)*(HISTORIAL_HORARIOS!$D$2:$D$201&gt;=$A840),0)),INDEX(IF($I840="FIN",PERSONAL!$J$2:$J$80,PERSONAL!$F$2:$F$80),MATCH($B840,PERSONAL!$A$2:$A$80,0)))))</f>
        <v/>
      </c>
      <c r="N840" s="53">
        <f t="array" ref="N840">IFERROR(INDEX(EXCEPCIONES_FECHA!$E$2:$E$201,MATCH(1,(EXCEPCIONES_FECHA!$A$2:$A$201=$A840)*(EXCEPCIONES_FECHA!$B$2:$B$201=$B840),0)),IFERROR(INDEX(EXCEPCIONES_FECHA!$E$2:$E$201,MATCH(1,(EXCEPCIONES_FECHA!$A$2:$A$201=$A840)*(EXCEPCIONES_FECHA!$B$2:$B$201=""),0)),IFERROR(INDEX(IF($I840="FIN",HISTORIAL_HORARIOS!$K$2:$K$201,HISTORIAL_HORARIOS!$G$2:$G$201),MATCH(1,(HISTORIAL_HORARIOS!$A$2:$A$201=$B840)*(HISTORIAL_HORARIOS!$C$2:$C$201&lt;=$A840)*(HISTORIAL_HORARIOS!$D$2:$D$201&gt;=$A840),0)),INDEX(IF($I840="FIN",PERSONAL!$K$2:$K$80,PERSONAL!$G$2:$G$80),MATCH($B840,PERSONAL!$A$2:$A$80,0)))))</f>
        <v/>
      </c>
      <c r="O840" s="53">
        <f t="array" ref="O840">IFERROR(INDEX(EXCEPCIONES_FECHA!$F$2:$F$201,MATCH(1,(EXCEPCIONES_FECHA!$A$2:$A$201=$A840)*(EXCEPCIONES_FECHA!$B$2:$B$201=$B840),0)),IFERROR(INDEX(EXCEPCIONES_FECHA!$F$2:$F$201,MATCH(1,(EXCEPCIONES_FECHA!$A$2:$A$201=$A840)*(EXCEPCIONES_FECHA!$B$2:$B$201=""),0)),IFERROR(INDEX(IF($I840="FIN",HISTORIAL_HORARIOS!$L$2:$L$201,HISTORIAL_HORARIOS!$H$2:$H$201),MATCH(1,(HISTORIAL_HORARIOS!$A$2:$A$201=$B840)*(HISTORIAL_HORARIOS!$C$2:$C$201&lt;=$A840)*(HISTORIAL_HORARIOS!$D$2:$D$201&gt;=$A840),0)),INDEX(IF($I840="FIN",PERSONAL!$L$2:$L$80,PERSONAL!$H$2:$H$80),MATCH($B840,PERSONAL!$A$2:$A$80,0)))))</f>
        <v/>
      </c>
    </row>
    <row r="841" ht="15" customHeight="1" s="58">
      <c r="A841" s="40" t="n"/>
      <c r="B841" s="38" t="n"/>
      <c r="C841" s="40" t="n"/>
      <c r="D841" s="40" t="n"/>
      <c r="E841" s="34">
        <f t="array" ref="E841">IF($B841="","",IFERROR(INDEX(PERSONAL!$B$2:$B$80,MATCH($B841,PERSONAL!$A$2:$A$80,0)),"NO EXISTE"))</f>
        <v/>
      </c>
      <c r="F841" s="34">
        <f t="array" ref="F841">IF($B841="","",IFERROR(INDEX(PERSONAL!$C$2:$C$80,MATCH($B841,PERSONAL!$A$2:$A$80,0)),""))</f>
        <v/>
      </c>
      <c r="G841" s="34">
        <f>IF($A841="","",CHOOSE(WEEKDAY($A841,2),"LUNES","MARTES","MIÉRCOLES","JUEVES","VIERNES","SÁBADO","DOMINGO"))</f>
        <v/>
      </c>
      <c r="H841" s="34">
        <f>IF($A841="","",CHOOSE(MONTH($A841),"ENERO","FEBRERO","MARZO","ABRIL","MAYO","JUNIO","JULIO","AGOSTO","SEPTIEMBRE","OCTUBRE","NOVIEMBRE","DICIEMBRE"))</f>
        <v/>
      </c>
      <c r="I841" s="34">
        <f>IF($A841="","",IF(OR($G841="SÁBADO",$G841="DOMINGO"),"FIN","LV"))</f>
        <v/>
      </c>
      <c r="J841" s="34">
        <f>IF(OR($A841="",$B841=""),"",IF($L841&lt;&gt;"",UPPER($L841),IF($C841="","FALTA",IFERROR(IF($C841&gt;=$O841,"ROJO FUERTE",IF($C841&gt;=$N841,"ROJO",IF($C841&gt;=$M841,"AMARILLO","VERDE"))),"REVISAR"))))</f>
        <v/>
      </c>
      <c r="K841" s="36">
        <f>IF(OR($C841="",$D841=""),"",IF($D841&gt;=$C841,($D841-$C841)*24,(1-$C841+$D841)*24))</f>
        <v/>
      </c>
      <c r="L841" s="34" t="n"/>
      <c r="M841" s="53">
        <f t="array" ref="M841">IFERROR(INDEX(EXCEPCIONES_FECHA!$D$2:$D$201,MATCH(1,(EXCEPCIONES_FECHA!$A$2:$A$201=$A841)*(EXCEPCIONES_FECHA!$B$2:$B$201=$B841),0)),IFERROR(INDEX(EXCEPCIONES_FECHA!$D$2:$D$201,MATCH(1,(EXCEPCIONES_FECHA!$A$2:$A$201=$A841)*(EXCEPCIONES_FECHA!$B$2:$B$201=""),0)),IFERROR(INDEX(IF($I841="FIN",HISTORIAL_HORARIOS!$J$2:$J$201,HISTORIAL_HORARIOS!$F$2:$F$201),MATCH(1,(HISTORIAL_HORARIOS!$A$2:$A$201=$B841)*(HISTORIAL_HORARIOS!$C$2:$C$201&lt;=$A841)*(HISTORIAL_HORARIOS!$D$2:$D$201&gt;=$A841),0)),INDEX(IF($I841="FIN",PERSONAL!$J$2:$J$80,PERSONAL!$F$2:$F$80),MATCH($B841,PERSONAL!$A$2:$A$80,0)))))</f>
        <v/>
      </c>
      <c r="N841" s="53">
        <f t="array" ref="N841">IFERROR(INDEX(EXCEPCIONES_FECHA!$E$2:$E$201,MATCH(1,(EXCEPCIONES_FECHA!$A$2:$A$201=$A841)*(EXCEPCIONES_FECHA!$B$2:$B$201=$B841),0)),IFERROR(INDEX(EXCEPCIONES_FECHA!$E$2:$E$201,MATCH(1,(EXCEPCIONES_FECHA!$A$2:$A$201=$A841)*(EXCEPCIONES_FECHA!$B$2:$B$201=""),0)),IFERROR(INDEX(IF($I841="FIN",HISTORIAL_HORARIOS!$K$2:$K$201,HISTORIAL_HORARIOS!$G$2:$G$201),MATCH(1,(HISTORIAL_HORARIOS!$A$2:$A$201=$B841)*(HISTORIAL_HORARIOS!$C$2:$C$201&lt;=$A841)*(HISTORIAL_HORARIOS!$D$2:$D$201&gt;=$A841),0)),INDEX(IF($I841="FIN",PERSONAL!$K$2:$K$80,PERSONAL!$G$2:$G$80),MATCH($B841,PERSONAL!$A$2:$A$80,0)))))</f>
        <v/>
      </c>
      <c r="O841" s="53">
        <f t="array" ref="O841">IFERROR(INDEX(EXCEPCIONES_FECHA!$F$2:$F$201,MATCH(1,(EXCEPCIONES_FECHA!$A$2:$A$201=$A841)*(EXCEPCIONES_FECHA!$B$2:$B$201=$B841),0)),IFERROR(INDEX(EXCEPCIONES_FECHA!$F$2:$F$201,MATCH(1,(EXCEPCIONES_FECHA!$A$2:$A$201=$A841)*(EXCEPCIONES_FECHA!$B$2:$B$201=""),0)),IFERROR(INDEX(IF($I841="FIN",HISTORIAL_HORARIOS!$L$2:$L$201,HISTORIAL_HORARIOS!$H$2:$H$201),MATCH(1,(HISTORIAL_HORARIOS!$A$2:$A$201=$B841)*(HISTORIAL_HORARIOS!$C$2:$C$201&lt;=$A841)*(HISTORIAL_HORARIOS!$D$2:$D$201&gt;=$A841),0)),INDEX(IF($I841="FIN",PERSONAL!$L$2:$L$80,PERSONAL!$H$2:$H$80),MATCH($B841,PERSONAL!$A$2:$A$80,0)))))</f>
        <v/>
      </c>
    </row>
    <row r="842" ht="15" customHeight="1" s="58">
      <c r="A842" s="40" t="n"/>
      <c r="B842" s="38" t="n"/>
      <c r="C842" s="40" t="n"/>
      <c r="D842" s="40" t="n"/>
      <c r="E842" s="34">
        <f t="array" ref="E842">IF($B842="","",IFERROR(INDEX(PERSONAL!$B$2:$B$80,MATCH($B842,PERSONAL!$A$2:$A$80,0)),"NO EXISTE"))</f>
        <v/>
      </c>
      <c r="F842" s="34">
        <f t="array" ref="F842">IF($B842="","",IFERROR(INDEX(PERSONAL!$C$2:$C$80,MATCH($B842,PERSONAL!$A$2:$A$80,0)),""))</f>
        <v/>
      </c>
      <c r="G842" s="34">
        <f>IF($A842="","",CHOOSE(WEEKDAY($A842,2),"LUNES","MARTES","MIÉRCOLES","JUEVES","VIERNES","SÁBADO","DOMINGO"))</f>
        <v/>
      </c>
      <c r="H842" s="34">
        <f>IF($A842="","",CHOOSE(MONTH($A842),"ENERO","FEBRERO","MARZO","ABRIL","MAYO","JUNIO","JULIO","AGOSTO","SEPTIEMBRE","OCTUBRE","NOVIEMBRE","DICIEMBRE"))</f>
        <v/>
      </c>
      <c r="I842" s="34">
        <f>IF($A842="","",IF(OR($G842="SÁBADO",$G842="DOMINGO"),"FIN","LV"))</f>
        <v/>
      </c>
      <c r="J842" s="34">
        <f>IF(OR($A842="",$B842=""),"",IF($L842&lt;&gt;"",UPPER($L842),IF($C842="","FALTA",IFERROR(IF($C842&gt;=$O842,"ROJO FUERTE",IF($C842&gt;=$N842,"ROJO",IF($C842&gt;=$M842,"AMARILLO","VERDE"))),"REVISAR"))))</f>
        <v/>
      </c>
      <c r="K842" s="36">
        <f>IF(OR($C842="",$D842=""),"",IF($D842&gt;=$C842,($D842-$C842)*24,(1-$C842+$D842)*24))</f>
        <v/>
      </c>
      <c r="L842" s="34" t="n"/>
      <c r="M842" s="53">
        <f t="array" ref="M842">IFERROR(INDEX(EXCEPCIONES_FECHA!$D$2:$D$201,MATCH(1,(EXCEPCIONES_FECHA!$A$2:$A$201=$A842)*(EXCEPCIONES_FECHA!$B$2:$B$201=$B842),0)),IFERROR(INDEX(EXCEPCIONES_FECHA!$D$2:$D$201,MATCH(1,(EXCEPCIONES_FECHA!$A$2:$A$201=$A842)*(EXCEPCIONES_FECHA!$B$2:$B$201=""),0)),IFERROR(INDEX(IF($I842="FIN",HISTORIAL_HORARIOS!$J$2:$J$201,HISTORIAL_HORARIOS!$F$2:$F$201),MATCH(1,(HISTORIAL_HORARIOS!$A$2:$A$201=$B842)*(HISTORIAL_HORARIOS!$C$2:$C$201&lt;=$A842)*(HISTORIAL_HORARIOS!$D$2:$D$201&gt;=$A842),0)),INDEX(IF($I842="FIN",PERSONAL!$J$2:$J$80,PERSONAL!$F$2:$F$80),MATCH($B842,PERSONAL!$A$2:$A$80,0)))))</f>
        <v/>
      </c>
      <c r="N842" s="53">
        <f t="array" ref="N842">IFERROR(INDEX(EXCEPCIONES_FECHA!$E$2:$E$201,MATCH(1,(EXCEPCIONES_FECHA!$A$2:$A$201=$A842)*(EXCEPCIONES_FECHA!$B$2:$B$201=$B842),0)),IFERROR(INDEX(EXCEPCIONES_FECHA!$E$2:$E$201,MATCH(1,(EXCEPCIONES_FECHA!$A$2:$A$201=$A842)*(EXCEPCIONES_FECHA!$B$2:$B$201=""),0)),IFERROR(INDEX(IF($I842="FIN",HISTORIAL_HORARIOS!$K$2:$K$201,HISTORIAL_HORARIOS!$G$2:$G$201),MATCH(1,(HISTORIAL_HORARIOS!$A$2:$A$201=$B842)*(HISTORIAL_HORARIOS!$C$2:$C$201&lt;=$A842)*(HISTORIAL_HORARIOS!$D$2:$D$201&gt;=$A842),0)),INDEX(IF($I842="FIN",PERSONAL!$K$2:$K$80,PERSONAL!$G$2:$G$80),MATCH($B842,PERSONAL!$A$2:$A$80,0)))))</f>
        <v/>
      </c>
      <c r="O842" s="53">
        <f t="array" ref="O842">IFERROR(INDEX(EXCEPCIONES_FECHA!$F$2:$F$201,MATCH(1,(EXCEPCIONES_FECHA!$A$2:$A$201=$A842)*(EXCEPCIONES_FECHA!$B$2:$B$201=$B842),0)),IFERROR(INDEX(EXCEPCIONES_FECHA!$F$2:$F$201,MATCH(1,(EXCEPCIONES_FECHA!$A$2:$A$201=$A842)*(EXCEPCIONES_FECHA!$B$2:$B$201=""),0)),IFERROR(INDEX(IF($I842="FIN",HISTORIAL_HORARIOS!$L$2:$L$201,HISTORIAL_HORARIOS!$H$2:$H$201),MATCH(1,(HISTORIAL_HORARIOS!$A$2:$A$201=$B842)*(HISTORIAL_HORARIOS!$C$2:$C$201&lt;=$A842)*(HISTORIAL_HORARIOS!$D$2:$D$201&gt;=$A842),0)),INDEX(IF($I842="FIN",PERSONAL!$L$2:$L$80,PERSONAL!$H$2:$H$80),MATCH($B842,PERSONAL!$A$2:$A$80,0)))))</f>
        <v/>
      </c>
    </row>
    <row r="843" ht="15" customHeight="1" s="58">
      <c r="A843" s="40" t="n"/>
      <c r="B843" s="38" t="n"/>
      <c r="C843" s="40" t="n"/>
      <c r="D843" s="40" t="n"/>
      <c r="E843" s="34">
        <f t="array" ref="E843">IF($B843="","",IFERROR(INDEX(PERSONAL!$B$2:$B$80,MATCH($B843,PERSONAL!$A$2:$A$80,0)),"NO EXISTE"))</f>
        <v/>
      </c>
      <c r="F843" s="34">
        <f t="array" ref="F843">IF($B843="","",IFERROR(INDEX(PERSONAL!$C$2:$C$80,MATCH($B843,PERSONAL!$A$2:$A$80,0)),""))</f>
        <v/>
      </c>
      <c r="G843" s="34">
        <f>IF($A843="","",CHOOSE(WEEKDAY($A843,2),"LUNES","MARTES","MIÉRCOLES","JUEVES","VIERNES","SÁBADO","DOMINGO"))</f>
        <v/>
      </c>
      <c r="H843" s="34">
        <f>IF($A843="","",CHOOSE(MONTH($A843),"ENERO","FEBRERO","MARZO","ABRIL","MAYO","JUNIO","JULIO","AGOSTO","SEPTIEMBRE","OCTUBRE","NOVIEMBRE","DICIEMBRE"))</f>
        <v/>
      </c>
      <c r="I843" s="34">
        <f>IF($A843="","",IF(OR($G843="SÁBADO",$G843="DOMINGO"),"FIN","LV"))</f>
        <v/>
      </c>
      <c r="J843" s="34">
        <f>IF(OR($A843="",$B843=""),"",IF($L843&lt;&gt;"",UPPER($L843),IF($C843="","FALTA",IFERROR(IF($C843&gt;=$O843,"ROJO FUERTE",IF($C843&gt;=$N843,"ROJO",IF($C843&gt;=$M843,"AMARILLO","VERDE"))),"REVISAR"))))</f>
        <v/>
      </c>
      <c r="K843" s="36">
        <f>IF(OR($C843="",$D843=""),"",IF($D843&gt;=$C843,($D843-$C843)*24,(1-$C843+$D843)*24))</f>
        <v/>
      </c>
      <c r="L843" s="34" t="n"/>
      <c r="M843" s="53">
        <f t="array" ref="M843">IFERROR(INDEX(EXCEPCIONES_FECHA!$D$2:$D$201,MATCH(1,(EXCEPCIONES_FECHA!$A$2:$A$201=$A843)*(EXCEPCIONES_FECHA!$B$2:$B$201=$B843),0)),IFERROR(INDEX(EXCEPCIONES_FECHA!$D$2:$D$201,MATCH(1,(EXCEPCIONES_FECHA!$A$2:$A$201=$A843)*(EXCEPCIONES_FECHA!$B$2:$B$201=""),0)),IFERROR(INDEX(IF($I843="FIN",HISTORIAL_HORARIOS!$J$2:$J$201,HISTORIAL_HORARIOS!$F$2:$F$201),MATCH(1,(HISTORIAL_HORARIOS!$A$2:$A$201=$B843)*(HISTORIAL_HORARIOS!$C$2:$C$201&lt;=$A843)*(HISTORIAL_HORARIOS!$D$2:$D$201&gt;=$A843),0)),INDEX(IF($I843="FIN",PERSONAL!$J$2:$J$80,PERSONAL!$F$2:$F$80),MATCH($B843,PERSONAL!$A$2:$A$80,0)))))</f>
        <v/>
      </c>
      <c r="N843" s="53">
        <f t="array" ref="N843">IFERROR(INDEX(EXCEPCIONES_FECHA!$E$2:$E$201,MATCH(1,(EXCEPCIONES_FECHA!$A$2:$A$201=$A843)*(EXCEPCIONES_FECHA!$B$2:$B$201=$B843),0)),IFERROR(INDEX(EXCEPCIONES_FECHA!$E$2:$E$201,MATCH(1,(EXCEPCIONES_FECHA!$A$2:$A$201=$A843)*(EXCEPCIONES_FECHA!$B$2:$B$201=""),0)),IFERROR(INDEX(IF($I843="FIN",HISTORIAL_HORARIOS!$K$2:$K$201,HISTORIAL_HORARIOS!$G$2:$G$201),MATCH(1,(HISTORIAL_HORARIOS!$A$2:$A$201=$B843)*(HISTORIAL_HORARIOS!$C$2:$C$201&lt;=$A843)*(HISTORIAL_HORARIOS!$D$2:$D$201&gt;=$A843),0)),INDEX(IF($I843="FIN",PERSONAL!$K$2:$K$80,PERSONAL!$G$2:$G$80),MATCH($B843,PERSONAL!$A$2:$A$80,0)))))</f>
        <v/>
      </c>
      <c r="O843" s="53">
        <f t="array" ref="O843">IFERROR(INDEX(EXCEPCIONES_FECHA!$F$2:$F$201,MATCH(1,(EXCEPCIONES_FECHA!$A$2:$A$201=$A843)*(EXCEPCIONES_FECHA!$B$2:$B$201=$B843),0)),IFERROR(INDEX(EXCEPCIONES_FECHA!$F$2:$F$201,MATCH(1,(EXCEPCIONES_FECHA!$A$2:$A$201=$A843)*(EXCEPCIONES_FECHA!$B$2:$B$201=""),0)),IFERROR(INDEX(IF($I843="FIN",HISTORIAL_HORARIOS!$L$2:$L$201,HISTORIAL_HORARIOS!$H$2:$H$201),MATCH(1,(HISTORIAL_HORARIOS!$A$2:$A$201=$B843)*(HISTORIAL_HORARIOS!$C$2:$C$201&lt;=$A843)*(HISTORIAL_HORARIOS!$D$2:$D$201&gt;=$A843),0)),INDEX(IF($I843="FIN",PERSONAL!$L$2:$L$80,PERSONAL!$H$2:$H$80),MATCH($B843,PERSONAL!$A$2:$A$80,0)))))</f>
        <v/>
      </c>
    </row>
    <row r="844" ht="15" customHeight="1" s="58">
      <c r="A844" s="40" t="n"/>
      <c r="B844" s="38" t="n"/>
      <c r="C844" s="40" t="n"/>
      <c r="D844" s="40" t="n"/>
      <c r="E844" s="34">
        <f t="array" ref="E844">IF($B844="","",IFERROR(INDEX(PERSONAL!$B$2:$B$80,MATCH($B844,PERSONAL!$A$2:$A$80,0)),"NO EXISTE"))</f>
        <v/>
      </c>
      <c r="F844" s="34">
        <f t="array" ref="F844">IF($B844="","",IFERROR(INDEX(PERSONAL!$C$2:$C$80,MATCH($B844,PERSONAL!$A$2:$A$80,0)),""))</f>
        <v/>
      </c>
      <c r="G844" s="34">
        <f>IF($A844="","",CHOOSE(WEEKDAY($A844,2),"LUNES","MARTES","MIÉRCOLES","JUEVES","VIERNES","SÁBADO","DOMINGO"))</f>
        <v/>
      </c>
      <c r="H844" s="34">
        <f>IF($A844="","",CHOOSE(MONTH($A844),"ENERO","FEBRERO","MARZO","ABRIL","MAYO","JUNIO","JULIO","AGOSTO","SEPTIEMBRE","OCTUBRE","NOVIEMBRE","DICIEMBRE"))</f>
        <v/>
      </c>
      <c r="I844" s="34">
        <f>IF($A844="","",IF(OR($G844="SÁBADO",$G844="DOMINGO"),"FIN","LV"))</f>
        <v/>
      </c>
      <c r="J844" s="34">
        <f>IF(OR($A844="",$B844=""),"",IF($L844&lt;&gt;"",UPPER($L844),IF($C844="","FALTA",IFERROR(IF($C844&gt;=$O844,"ROJO FUERTE",IF($C844&gt;=$N844,"ROJO",IF($C844&gt;=$M844,"AMARILLO","VERDE"))),"REVISAR"))))</f>
        <v/>
      </c>
      <c r="K844" s="36">
        <f>IF(OR($C844="",$D844=""),"",IF($D844&gt;=$C844,($D844-$C844)*24,(1-$C844+$D844)*24))</f>
        <v/>
      </c>
      <c r="L844" s="34" t="n"/>
      <c r="M844" s="53">
        <f t="array" ref="M844">IFERROR(INDEX(EXCEPCIONES_FECHA!$D$2:$D$201,MATCH(1,(EXCEPCIONES_FECHA!$A$2:$A$201=$A844)*(EXCEPCIONES_FECHA!$B$2:$B$201=$B844),0)),IFERROR(INDEX(EXCEPCIONES_FECHA!$D$2:$D$201,MATCH(1,(EXCEPCIONES_FECHA!$A$2:$A$201=$A844)*(EXCEPCIONES_FECHA!$B$2:$B$201=""),0)),IFERROR(INDEX(IF($I844="FIN",HISTORIAL_HORARIOS!$J$2:$J$201,HISTORIAL_HORARIOS!$F$2:$F$201),MATCH(1,(HISTORIAL_HORARIOS!$A$2:$A$201=$B844)*(HISTORIAL_HORARIOS!$C$2:$C$201&lt;=$A844)*(HISTORIAL_HORARIOS!$D$2:$D$201&gt;=$A844),0)),INDEX(IF($I844="FIN",PERSONAL!$J$2:$J$80,PERSONAL!$F$2:$F$80),MATCH($B844,PERSONAL!$A$2:$A$80,0)))))</f>
        <v/>
      </c>
      <c r="N844" s="53">
        <f t="array" ref="N844">IFERROR(INDEX(EXCEPCIONES_FECHA!$E$2:$E$201,MATCH(1,(EXCEPCIONES_FECHA!$A$2:$A$201=$A844)*(EXCEPCIONES_FECHA!$B$2:$B$201=$B844),0)),IFERROR(INDEX(EXCEPCIONES_FECHA!$E$2:$E$201,MATCH(1,(EXCEPCIONES_FECHA!$A$2:$A$201=$A844)*(EXCEPCIONES_FECHA!$B$2:$B$201=""),0)),IFERROR(INDEX(IF($I844="FIN",HISTORIAL_HORARIOS!$K$2:$K$201,HISTORIAL_HORARIOS!$G$2:$G$201),MATCH(1,(HISTORIAL_HORARIOS!$A$2:$A$201=$B844)*(HISTORIAL_HORARIOS!$C$2:$C$201&lt;=$A844)*(HISTORIAL_HORARIOS!$D$2:$D$201&gt;=$A844),0)),INDEX(IF($I844="FIN",PERSONAL!$K$2:$K$80,PERSONAL!$G$2:$G$80),MATCH($B844,PERSONAL!$A$2:$A$80,0)))))</f>
        <v/>
      </c>
      <c r="O844" s="53">
        <f t="array" ref="O844">IFERROR(INDEX(EXCEPCIONES_FECHA!$F$2:$F$201,MATCH(1,(EXCEPCIONES_FECHA!$A$2:$A$201=$A844)*(EXCEPCIONES_FECHA!$B$2:$B$201=$B844),0)),IFERROR(INDEX(EXCEPCIONES_FECHA!$F$2:$F$201,MATCH(1,(EXCEPCIONES_FECHA!$A$2:$A$201=$A844)*(EXCEPCIONES_FECHA!$B$2:$B$201=""),0)),IFERROR(INDEX(IF($I844="FIN",HISTORIAL_HORARIOS!$L$2:$L$201,HISTORIAL_HORARIOS!$H$2:$H$201),MATCH(1,(HISTORIAL_HORARIOS!$A$2:$A$201=$B844)*(HISTORIAL_HORARIOS!$C$2:$C$201&lt;=$A844)*(HISTORIAL_HORARIOS!$D$2:$D$201&gt;=$A844),0)),INDEX(IF($I844="FIN",PERSONAL!$L$2:$L$80,PERSONAL!$H$2:$H$80),MATCH($B844,PERSONAL!$A$2:$A$80,0)))))</f>
        <v/>
      </c>
    </row>
    <row r="845" ht="15" customHeight="1" s="58">
      <c r="A845" s="40" t="n"/>
      <c r="B845" s="38" t="n"/>
      <c r="C845" s="40" t="n"/>
      <c r="D845" s="40" t="n"/>
      <c r="E845" s="34">
        <f t="array" ref="E845">IF($B845="","",IFERROR(INDEX(PERSONAL!$B$2:$B$80,MATCH($B845,PERSONAL!$A$2:$A$80,0)),"NO EXISTE"))</f>
        <v/>
      </c>
      <c r="F845" s="34">
        <f t="array" ref="F845">IF($B845="","",IFERROR(INDEX(PERSONAL!$C$2:$C$80,MATCH($B845,PERSONAL!$A$2:$A$80,0)),""))</f>
        <v/>
      </c>
      <c r="G845" s="34">
        <f>IF($A845="","",CHOOSE(WEEKDAY($A845,2),"LUNES","MARTES","MIÉRCOLES","JUEVES","VIERNES","SÁBADO","DOMINGO"))</f>
        <v/>
      </c>
      <c r="H845" s="34">
        <f>IF($A845="","",CHOOSE(MONTH($A845),"ENERO","FEBRERO","MARZO","ABRIL","MAYO","JUNIO","JULIO","AGOSTO","SEPTIEMBRE","OCTUBRE","NOVIEMBRE","DICIEMBRE"))</f>
        <v/>
      </c>
      <c r="I845" s="34">
        <f>IF($A845="","",IF(OR($G845="SÁBADO",$G845="DOMINGO"),"FIN","LV"))</f>
        <v/>
      </c>
      <c r="J845" s="34">
        <f>IF(OR($A845="",$B845=""),"",IF($L845&lt;&gt;"",UPPER($L845),IF($C845="","FALTA",IFERROR(IF($C845&gt;=$O845,"ROJO FUERTE",IF($C845&gt;=$N845,"ROJO",IF($C845&gt;=$M845,"AMARILLO","VERDE"))),"REVISAR"))))</f>
        <v/>
      </c>
      <c r="K845" s="36">
        <f>IF(OR($C845="",$D845=""),"",IF($D845&gt;=$C845,($D845-$C845)*24,(1-$C845+$D845)*24))</f>
        <v/>
      </c>
      <c r="L845" s="34" t="n"/>
      <c r="M845" s="53">
        <f t="array" ref="M845">IFERROR(INDEX(EXCEPCIONES_FECHA!$D$2:$D$201,MATCH(1,(EXCEPCIONES_FECHA!$A$2:$A$201=$A845)*(EXCEPCIONES_FECHA!$B$2:$B$201=$B845),0)),IFERROR(INDEX(EXCEPCIONES_FECHA!$D$2:$D$201,MATCH(1,(EXCEPCIONES_FECHA!$A$2:$A$201=$A845)*(EXCEPCIONES_FECHA!$B$2:$B$201=""),0)),IFERROR(INDEX(IF($I845="FIN",HISTORIAL_HORARIOS!$J$2:$J$201,HISTORIAL_HORARIOS!$F$2:$F$201),MATCH(1,(HISTORIAL_HORARIOS!$A$2:$A$201=$B845)*(HISTORIAL_HORARIOS!$C$2:$C$201&lt;=$A845)*(HISTORIAL_HORARIOS!$D$2:$D$201&gt;=$A845),0)),INDEX(IF($I845="FIN",PERSONAL!$J$2:$J$80,PERSONAL!$F$2:$F$80),MATCH($B845,PERSONAL!$A$2:$A$80,0)))))</f>
        <v/>
      </c>
      <c r="N845" s="53">
        <f t="array" ref="N845">IFERROR(INDEX(EXCEPCIONES_FECHA!$E$2:$E$201,MATCH(1,(EXCEPCIONES_FECHA!$A$2:$A$201=$A845)*(EXCEPCIONES_FECHA!$B$2:$B$201=$B845),0)),IFERROR(INDEX(EXCEPCIONES_FECHA!$E$2:$E$201,MATCH(1,(EXCEPCIONES_FECHA!$A$2:$A$201=$A845)*(EXCEPCIONES_FECHA!$B$2:$B$201=""),0)),IFERROR(INDEX(IF($I845="FIN",HISTORIAL_HORARIOS!$K$2:$K$201,HISTORIAL_HORARIOS!$G$2:$G$201),MATCH(1,(HISTORIAL_HORARIOS!$A$2:$A$201=$B845)*(HISTORIAL_HORARIOS!$C$2:$C$201&lt;=$A845)*(HISTORIAL_HORARIOS!$D$2:$D$201&gt;=$A845),0)),INDEX(IF($I845="FIN",PERSONAL!$K$2:$K$80,PERSONAL!$G$2:$G$80),MATCH($B845,PERSONAL!$A$2:$A$80,0)))))</f>
        <v/>
      </c>
      <c r="O845" s="53">
        <f t="array" ref="O845">IFERROR(INDEX(EXCEPCIONES_FECHA!$F$2:$F$201,MATCH(1,(EXCEPCIONES_FECHA!$A$2:$A$201=$A845)*(EXCEPCIONES_FECHA!$B$2:$B$201=$B845),0)),IFERROR(INDEX(EXCEPCIONES_FECHA!$F$2:$F$201,MATCH(1,(EXCEPCIONES_FECHA!$A$2:$A$201=$A845)*(EXCEPCIONES_FECHA!$B$2:$B$201=""),0)),IFERROR(INDEX(IF($I845="FIN",HISTORIAL_HORARIOS!$L$2:$L$201,HISTORIAL_HORARIOS!$H$2:$H$201),MATCH(1,(HISTORIAL_HORARIOS!$A$2:$A$201=$B845)*(HISTORIAL_HORARIOS!$C$2:$C$201&lt;=$A845)*(HISTORIAL_HORARIOS!$D$2:$D$201&gt;=$A845),0)),INDEX(IF($I845="FIN",PERSONAL!$L$2:$L$80,PERSONAL!$H$2:$H$80),MATCH($B845,PERSONAL!$A$2:$A$80,0)))))</f>
        <v/>
      </c>
    </row>
    <row r="846" ht="15" customHeight="1" s="58">
      <c r="A846" s="40" t="n"/>
      <c r="B846" s="38" t="n"/>
      <c r="C846" s="40" t="n"/>
      <c r="D846" s="40" t="n"/>
      <c r="E846" s="34">
        <f t="array" ref="E846">IF($B846="","",IFERROR(INDEX(PERSONAL!$B$2:$B$80,MATCH($B846,PERSONAL!$A$2:$A$80,0)),"NO EXISTE"))</f>
        <v/>
      </c>
      <c r="F846" s="34">
        <f t="array" ref="F846">IF($B846="","",IFERROR(INDEX(PERSONAL!$C$2:$C$80,MATCH($B846,PERSONAL!$A$2:$A$80,0)),""))</f>
        <v/>
      </c>
      <c r="G846" s="34">
        <f>IF($A846="","",CHOOSE(WEEKDAY($A846,2),"LUNES","MARTES","MIÉRCOLES","JUEVES","VIERNES","SÁBADO","DOMINGO"))</f>
        <v/>
      </c>
      <c r="H846" s="34">
        <f>IF($A846="","",CHOOSE(MONTH($A846),"ENERO","FEBRERO","MARZO","ABRIL","MAYO","JUNIO","JULIO","AGOSTO","SEPTIEMBRE","OCTUBRE","NOVIEMBRE","DICIEMBRE"))</f>
        <v/>
      </c>
      <c r="I846" s="34">
        <f>IF($A846="","",IF(OR($G846="SÁBADO",$G846="DOMINGO"),"FIN","LV"))</f>
        <v/>
      </c>
      <c r="J846" s="34">
        <f>IF(OR($A846="",$B846=""),"",IF($L846&lt;&gt;"",UPPER($L846),IF($C846="","FALTA",IFERROR(IF($C846&gt;=$O846,"ROJO FUERTE",IF($C846&gt;=$N846,"ROJO",IF($C846&gt;=$M846,"AMARILLO","VERDE"))),"REVISAR"))))</f>
        <v/>
      </c>
      <c r="K846" s="36">
        <f>IF(OR($C846="",$D846=""),"",IF($D846&gt;=$C846,($D846-$C846)*24,(1-$C846+$D846)*24))</f>
        <v/>
      </c>
      <c r="L846" s="34" t="n"/>
      <c r="M846" s="53">
        <f t="array" ref="M846">IFERROR(INDEX(EXCEPCIONES_FECHA!$D$2:$D$201,MATCH(1,(EXCEPCIONES_FECHA!$A$2:$A$201=$A846)*(EXCEPCIONES_FECHA!$B$2:$B$201=$B846),0)),IFERROR(INDEX(EXCEPCIONES_FECHA!$D$2:$D$201,MATCH(1,(EXCEPCIONES_FECHA!$A$2:$A$201=$A846)*(EXCEPCIONES_FECHA!$B$2:$B$201=""),0)),IFERROR(INDEX(IF($I846="FIN",HISTORIAL_HORARIOS!$J$2:$J$201,HISTORIAL_HORARIOS!$F$2:$F$201),MATCH(1,(HISTORIAL_HORARIOS!$A$2:$A$201=$B846)*(HISTORIAL_HORARIOS!$C$2:$C$201&lt;=$A846)*(HISTORIAL_HORARIOS!$D$2:$D$201&gt;=$A846),0)),INDEX(IF($I846="FIN",PERSONAL!$J$2:$J$80,PERSONAL!$F$2:$F$80),MATCH($B846,PERSONAL!$A$2:$A$80,0)))))</f>
        <v/>
      </c>
      <c r="N846" s="53">
        <f t="array" ref="N846">IFERROR(INDEX(EXCEPCIONES_FECHA!$E$2:$E$201,MATCH(1,(EXCEPCIONES_FECHA!$A$2:$A$201=$A846)*(EXCEPCIONES_FECHA!$B$2:$B$201=$B846),0)),IFERROR(INDEX(EXCEPCIONES_FECHA!$E$2:$E$201,MATCH(1,(EXCEPCIONES_FECHA!$A$2:$A$201=$A846)*(EXCEPCIONES_FECHA!$B$2:$B$201=""),0)),IFERROR(INDEX(IF($I846="FIN",HISTORIAL_HORARIOS!$K$2:$K$201,HISTORIAL_HORARIOS!$G$2:$G$201),MATCH(1,(HISTORIAL_HORARIOS!$A$2:$A$201=$B846)*(HISTORIAL_HORARIOS!$C$2:$C$201&lt;=$A846)*(HISTORIAL_HORARIOS!$D$2:$D$201&gt;=$A846),0)),INDEX(IF($I846="FIN",PERSONAL!$K$2:$K$80,PERSONAL!$G$2:$G$80),MATCH($B846,PERSONAL!$A$2:$A$80,0)))))</f>
        <v/>
      </c>
      <c r="O846" s="53">
        <f t="array" ref="O846">IFERROR(INDEX(EXCEPCIONES_FECHA!$F$2:$F$201,MATCH(1,(EXCEPCIONES_FECHA!$A$2:$A$201=$A846)*(EXCEPCIONES_FECHA!$B$2:$B$201=$B846),0)),IFERROR(INDEX(EXCEPCIONES_FECHA!$F$2:$F$201,MATCH(1,(EXCEPCIONES_FECHA!$A$2:$A$201=$A846)*(EXCEPCIONES_FECHA!$B$2:$B$201=""),0)),IFERROR(INDEX(IF($I846="FIN",HISTORIAL_HORARIOS!$L$2:$L$201,HISTORIAL_HORARIOS!$H$2:$H$201),MATCH(1,(HISTORIAL_HORARIOS!$A$2:$A$201=$B846)*(HISTORIAL_HORARIOS!$C$2:$C$201&lt;=$A846)*(HISTORIAL_HORARIOS!$D$2:$D$201&gt;=$A846),0)),INDEX(IF($I846="FIN",PERSONAL!$L$2:$L$80,PERSONAL!$H$2:$H$80),MATCH($B846,PERSONAL!$A$2:$A$80,0)))))</f>
        <v/>
      </c>
    </row>
    <row r="847" ht="15" customHeight="1" s="58">
      <c r="A847" s="40" t="n"/>
      <c r="B847" s="38" t="n"/>
      <c r="C847" s="40" t="n"/>
      <c r="D847" s="40" t="n"/>
      <c r="E847" s="34">
        <f t="array" ref="E847">IF($B847="","",IFERROR(INDEX(PERSONAL!$B$2:$B$80,MATCH($B847,PERSONAL!$A$2:$A$80,0)),"NO EXISTE"))</f>
        <v/>
      </c>
      <c r="F847" s="34">
        <f t="array" ref="F847">IF($B847="","",IFERROR(INDEX(PERSONAL!$C$2:$C$80,MATCH($B847,PERSONAL!$A$2:$A$80,0)),""))</f>
        <v/>
      </c>
      <c r="G847" s="34">
        <f>IF($A847="","",CHOOSE(WEEKDAY($A847,2),"LUNES","MARTES","MIÉRCOLES","JUEVES","VIERNES","SÁBADO","DOMINGO"))</f>
        <v/>
      </c>
      <c r="H847" s="34">
        <f>IF($A847="","",CHOOSE(MONTH($A847),"ENERO","FEBRERO","MARZO","ABRIL","MAYO","JUNIO","JULIO","AGOSTO","SEPTIEMBRE","OCTUBRE","NOVIEMBRE","DICIEMBRE"))</f>
        <v/>
      </c>
      <c r="I847" s="34">
        <f>IF($A847="","",IF(OR($G847="SÁBADO",$G847="DOMINGO"),"FIN","LV"))</f>
        <v/>
      </c>
      <c r="J847" s="34">
        <f>IF(OR($A847="",$B847=""),"",IF($L847&lt;&gt;"",UPPER($L847),IF($C847="","FALTA",IFERROR(IF($C847&gt;=$O847,"ROJO FUERTE",IF($C847&gt;=$N847,"ROJO",IF($C847&gt;=$M847,"AMARILLO","VERDE"))),"REVISAR"))))</f>
        <v/>
      </c>
      <c r="K847" s="36">
        <f>IF(OR($C847="",$D847=""),"",IF($D847&gt;=$C847,($D847-$C847)*24,(1-$C847+$D847)*24))</f>
        <v/>
      </c>
      <c r="L847" s="34" t="n"/>
      <c r="M847" s="53">
        <f t="array" ref="M847">IFERROR(INDEX(EXCEPCIONES_FECHA!$D$2:$D$201,MATCH(1,(EXCEPCIONES_FECHA!$A$2:$A$201=$A847)*(EXCEPCIONES_FECHA!$B$2:$B$201=$B847),0)),IFERROR(INDEX(EXCEPCIONES_FECHA!$D$2:$D$201,MATCH(1,(EXCEPCIONES_FECHA!$A$2:$A$201=$A847)*(EXCEPCIONES_FECHA!$B$2:$B$201=""),0)),IFERROR(INDEX(IF($I847="FIN",HISTORIAL_HORARIOS!$J$2:$J$201,HISTORIAL_HORARIOS!$F$2:$F$201),MATCH(1,(HISTORIAL_HORARIOS!$A$2:$A$201=$B847)*(HISTORIAL_HORARIOS!$C$2:$C$201&lt;=$A847)*(HISTORIAL_HORARIOS!$D$2:$D$201&gt;=$A847),0)),INDEX(IF($I847="FIN",PERSONAL!$J$2:$J$80,PERSONAL!$F$2:$F$80),MATCH($B847,PERSONAL!$A$2:$A$80,0)))))</f>
        <v/>
      </c>
      <c r="N847" s="53">
        <f t="array" ref="N847">IFERROR(INDEX(EXCEPCIONES_FECHA!$E$2:$E$201,MATCH(1,(EXCEPCIONES_FECHA!$A$2:$A$201=$A847)*(EXCEPCIONES_FECHA!$B$2:$B$201=$B847),0)),IFERROR(INDEX(EXCEPCIONES_FECHA!$E$2:$E$201,MATCH(1,(EXCEPCIONES_FECHA!$A$2:$A$201=$A847)*(EXCEPCIONES_FECHA!$B$2:$B$201=""),0)),IFERROR(INDEX(IF($I847="FIN",HISTORIAL_HORARIOS!$K$2:$K$201,HISTORIAL_HORARIOS!$G$2:$G$201),MATCH(1,(HISTORIAL_HORARIOS!$A$2:$A$201=$B847)*(HISTORIAL_HORARIOS!$C$2:$C$201&lt;=$A847)*(HISTORIAL_HORARIOS!$D$2:$D$201&gt;=$A847),0)),INDEX(IF($I847="FIN",PERSONAL!$K$2:$K$80,PERSONAL!$G$2:$G$80),MATCH($B847,PERSONAL!$A$2:$A$80,0)))))</f>
        <v/>
      </c>
      <c r="O847" s="53">
        <f t="array" ref="O847">IFERROR(INDEX(EXCEPCIONES_FECHA!$F$2:$F$201,MATCH(1,(EXCEPCIONES_FECHA!$A$2:$A$201=$A847)*(EXCEPCIONES_FECHA!$B$2:$B$201=$B847),0)),IFERROR(INDEX(EXCEPCIONES_FECHA!$F$2:$F$201,MATCH(1,(EXCEPCIONES_FECHA!$A$2:$A$201=$A847)*(EXCEPCIONES_FECHA!$B$2:$B$201=""),0)),IFERROR(INDEX(IF($I847="FIN",HISTORIAL_HORARIOS!$L$2:$L$201,HISTORIAL_HORARIOS!$H$2:$H$201),MATCH(1,(HISTORIAL_HORARIOS!$A$2:$A$201=$B847)*(HISTORIAL_HORARIOS!$C$2:$C$201&lt;=$A847)*(HISTORIAL_HORARIOS!$D$2:$D$201&gt;=$A847),0)),INDEX(IF($I847="FIN",PERSONAL!$L$2:$L$80,PERSONAL!$H$2:$H$80),MATCH($B847,PERSONAL!$A$2:$A$80,0)))))</f>
        <v/>
      </c>
    </row>
    <row r="848" ht="15" customHeight="1" s="58">
      <c r="A848" s="40" t="n"/>
      <c r="B848" s="38" t="n"/>
      <c r="C848" s="40" t="n"/>
      <c r="D848" s="40" t="n"/>
      <c r="E848" s="34">
        <f t="array" ref="E848">IF($B848="","",IFERROR(INDEX(PERSONAL!$B$2:$B$80,MATCH($B848,PERSONAL!$A$2:$A$80,0)),"NO EXISTE"))</f>
        <v/>
      </c>
      <c r="F848" s="34">
        <f t="array" ref="F848">IF($B848="","",IFERROR(INDEX(PERSONAL!$C$2:$C$80,MATCH($B848,PERSONAL!$A$2:$A$80,0)),""))</f>
        <v/>
      </c>
      <c r="G848" s="34">
        <f>IF($A848="","",CHOOSE(WEEKDAY($A848,2),"LUNES","MARTES","MIÉRCOLES","JUEVES","VIERNES","SÁBADO","DOMINGO"))</f>
        <v/>
      </c>
      <c r="H848" s="34">
        <f>IF($A848="","",CHOOSE(MONTH($A848),"ENERO","FEBRERO","MARZO","ABRIL","MAYO","JUNIO","JULIO","AGOSTO","SEPTIEMBRE","OCTUBRE","NOVIEMBRE","DICIEMBRE"))</f>
        <v/>
      </c>
      <c r="I848" s="34">
        <f>IF($A848="","",IF(OR($G848="SÁBADO",$G848="DOMINGO"),"FIN","LV"))</f>
        <v/>
      </c>
      <c r="J848" s="34">
        <f>IF(OR($A848="",$B848=""),"",IF($L848&lt;&gt;"",UPPER($L848),IF($C848="","FALTA",IFERROR(IF($C848&gt;=$O848,"ROJO FUERTE",IF($C848&gt;=$N848,"ROJO",IF($C848&gt;=$M848,"AMARILLO","VERDE"))),"REVISAR"))))</f>
        <v/>
      </c>
      <c r="K848" s="36">
        <f>IF(OR($C848="",$D848=""),"",IF($D848&gt;=$C848,($D848-$C848)*24,(1-$C848+$D848)*24))</f>
        <v/>
      </c>
      <c r="L848" s="34" t="n"/>
      <c r="M848" s="53">
        <f t="array" ref="M848">IFERROR(INDEX(EXCEPCIONES_FECHA!$D$2:$D$201,MATCH(1,(EXCEPCIONES_FECHA!$A$2:$A$201=$A848)*(EXCEPCIONES_FECHA!$B$2:$B$201=$B848),0)),IFERROR(INDEX(EXCEPCIONES_FECHA!$D$2:$D$201,MATCH(1,(EXCEPCIONES_FECHA!$A$2:$A$201=$A848)*(EXCEPCIONES_FECHA!$B$2:$B$201=""),0)),IFERROR(INDEX(IF($I848="FIN",HISTORIAL_HORARIOS!$J$2:$J$201,HISTORIAL_HORARIOS!$F$2:$F$201),MATCH(1,(HISTORIAL_HORARIOS!$A$2:$A$201=$B848)*(HISTORIAL_HORARIOS!$C$2:$C$201&lt;=$A848)*(HISTORIAL_HORARIOS!$D$2:$D$201&gt;=$A848),0)),INDEX(IF($I848="FIN",PERSONAL!$J$2:$J$80,PERSONAL!$F$2:$F$80),MATCH($B848,PERSONAL!$A$2:$A$80,0)))))</f>
        <v/>
      </c>
      <c r="N848" s="53">
        <f t="array" ref="N848">IFERROR(INDEX(EXCEPCIONES_FECHA!$E$2:$E$201,MATCH(1,(EXCEPCIONES_FECHA!$A$2:$A$201=$A848)*(EXCEPCIONES_FECHA!$B$2:$B$201=$B848),0)),IFERROR(INDEX(EXCEPCIONES_FECHA!$E$2:$E$201,MATCH(1,(EXCEPCIONES_FECHA!$A$2:$A$201=$A848)*(EXCEPCIONES_FECHA!$B$2:$B$201=""),0)),IFERROR(INDEX(IF($I848="FIN",HISTORIAL_HORARIOS!$K$2:$K$201,HISTORIAL_HORARIOS!$G$2:$G$201),MATCH(1,(HISTORIAL_HORARIOS!$A$2:$A$201=$B848)*(HISTORIAL_HORARIOS!$C$2:$C$201&lt;=$A848)*(HISTORIAL_HORARIOS!$D$2:$D$201&gt;=$A848),0)),INDEX(IF($I848="FIN",PERSONAL!$K$2:$K$80,PERSONAL!$G$2:$G$80),MATCH($B848,PERSONAL!$A$2:$A$80,0)))))</f>
        <v/>
      </c>
      <c r="O848" s="53">
        <f t="array" ref="O848">IFERROR(INDEX(EXCEPCIONES_FECHA!$F$2:$F$201,MATCH(1,(EXCEPCIONES_FECHA!$A$2:$A$201=$A848)*(EXCEPCIONES_FECHA!$B$2:$B$201=$B848),0)),IFERROR(INDEX(EXCEPCIONES_FECHA!$F$2:$F$201,MATCH(1,(EXCEPCIONES_FECHA!$A$2:$A$201=$A848)*(EXCEPCIONES_FECHA!$B$2:$B$201=""),0)),IFERROR(INDEX(IF($I848="FIN",HISTORIAL_HORARIOS!$L$2:$L$201,HISTORIAL_HORARIOS!$H$2:$H$201),MATCH(1,(HISTORIAL_HORARIOS!$A$2:$A$201=$B848)*(HISTORIAL_HORARIOS!$C$2:$C$201&lt;=$A848)*(HISTORIAL_HORARIOS!$D$2:$D$201&gt;=$A848),0)),INDEX(IF($I848="FIN",PERSONAL!$L$2:$L$80,PERSONAL!$H$2:$H$80),MATCH($B848,PERSONAL!$A$2:$A$80,0)))))</f>
        <v/>
      </c>
    </row>
    <row r="849" ht="15" customHeight="1" s="58">
      <c r="A849" s="40" t="n"/>
      <c r="B849" s="38" t="n"/>
      <c r="C849" s="40" t="n"/>
      <c r="D849" s="40" t="n"/>
      <c r="E849" s="34">
        <f t="array" ref="E849">IF($B849="","",IFERROR(INDEX(PERSONAL!$B$2:$B$80,MATCH($B849,PERSONAL!$A$2:$A$80,0)),"NO EXISTE"))</f>
        <v/>
      </c>
      <c r="F849" s="34">
        <f t="array" ref="F849">IF($B849="","",IFERROR(INDEX(PERSONAL!$C$2:$C$80,MATCH($B849,PERSONAL!$A$2:$A$80,0)),""))</f>
        <v/>
      </c>
      <c r="G849" s="34">
        <f>IF($A849="","",CHOOSE(WEEKDAY($A849,2),"LUNES","MARTES","MIÉRCOLES","JUEVES","VIERNES","SÁBADO","DOMINGO"))</f>
        <v/>
      </c>
      <c r="H849" s="34">
        <f>IF($A849="","",CHOOSE(MONTH($A849),"ENERO","FEBRERO","MARZO","ABRIL","MAYO","JUNIO","JULIO","AGOSTO","SEPTIEMBRE","OCTUBRE","NOVIEMBRE","DICIEMBRE"))</f>
        <v/>
      </c>
      <c r="I849" s="34">
        <f>IF($A849="","",IF(OR($G849="SÁBADO",$G849="DOMINGO"),"FIN","LV"))</f>
        <v/>
      </c>
      <c r="J849" s="34">
        <f>IF(OR($A849="",$B849=""),"",IF($L849&lt;&gt;"",UPPER($L849),IF($C849="","FALTA",IFERROR(IF($C849&gt;=$O849,"ROJO FUERTE",IF($C849&gt;=$N849,"ROJO",IF($C849&gt;=$M849,"AMARILLO","VERDE"))),"REVISAR"))))</f>
        <v/>
      </c>
      <c r="K849" s="36">
        <f>IF(OR($C849="",$D849=""),"",IF($D849&gt;=$C849,($D849-$C849)*24,(1-$C849+$D849)*24))</f>
        <v/>
      </c>
      <c r="L849" s="34" t="n"/>
      <c r="M849" s="53">
        <f t="array" ref="M849">IFERROR(INDEX(EXCEPCIONES_FECHA!$D$2:$D$201,MATCH(1,(EXCEPCIONES_FECHA!$A$2:$A$201=$A849)*(EXCEPCIONES_FECHA!$B$2:$B$201=$B849),0)),IFERROR(INDEX(EXCEPCIONES_FECHA!$D$2:$D$201,MATCH(1,(EXCEPCIONES_FECHA!$A$2:$A$201=$A849)*(EXCEPCIONES_FECHA!$B$2:$B$201=""),0)),IFERROR(INDEX(IF($I849="FIN",HISTORIAL_HORARIOS!$J$2:$J$201,HISTORIAL_HORARIOS!$F$2:$F$201),MATCH(1,(HISTORIAL_HORARIOS!$A$2:$A$201=$B849)*(HISTORIAL_HORARIOS!$C$2:$C$201&lt;=$A849)*(HISTORIAL_HORARIOS!$D$2:$D$201&gt;=$A849),0)),INDEX(IF($I849="FIN",PERSONAL!$J$2:$J$80,PERSONAL!$F$2:$F$80),MATCH($B849,PERSONAL!$A$2:$A$80,0)))))</f>
        <v/>
      </c>
      <c r="N849" s="53">
        <f t="array" ref="N849">IFERROR(INDEX(EXCEPCIONES_FECHA!$E$2:$E$201,MATCH(1,(EXCEPCIONES_FECHA!$A$2:$A$201=$A849)*(EXCEPCIONES_FECHA!$B$2:$B$201=$B849),0)),IFERROR(INDEX(EXCEPCIONES_FECHA!$E$2:$E$201,MATCH(1,(EXCEPCIONES_FECHA!$A$2:$A$201=$A849)*(EXCEPCIONES_FECHA!$B$2:$B$201=""),0)),IFERROR(INDEX(IF($I849="FIN",HISTORIAL_HORARIOS!$K$2:$K$201,HISTORIAL_HORARIOS!$G$2:$G$201),MATCH(1,(HISTORIAL_HORARIOS!$A$2:$A$201=$B849)*(HISTORIAL_HORARIOS!$C$2:$C$201&lt;=$A849)*(HISTORIAL_HORARIOS!$D$2:$D$201&gt;=$A849),0)),INDEX(IF($I849="FIN",PERSONAL!$K$2:$K$80,PERSONAL!$G$2:$G$80),MATCH($B849,PERSONAL!$A$2:$A$80,0)))))</f>
        <v/>
      </c>
      <c r="O849" s="53">
        <f t="array" ref="O849">IFERROR(INDEX(EXCEPCIONES_FECHA!$F$2:$F$201,MATCH(1,(EXCEPCIONES_FECHA!$A$2:$A$201=$A849)*(EXCEPCIONES_FECHA!$B$2:$B$201=$B849),0)),IFERROR(INDEX(EXCEPCIONES_FECHA!$F$2:$F$201,MATCH(1,(EXCEPCIONES_FECHA!$A$2:$A$201=$A849)*(EXCEPCIONES_FECHA!$B$2:$B$201=""),0)),IFERROR(INDEX(IF($I849="FIN",HISTORIAL_HORARIOS!$L$2:$L$201,HISTORIAL_HORARIOS!$H$2:$H$201),MATCH(1,(HISTORIAL_HORARIOS!$A$2:$A$201=$B849)*(HISTORIAL_HORARIOS!$C$2:$C$201&lt;=$A849)*(HISTORIAL_HORARIOS!$D$2:$D$201&gt;=$A849),0)),INDEX(IF($I849="FIN",PERSONAL!$L$2:$L$80,PERSONAL!$H$2:$H$80),MATCH($B849,PERSONAL!$A$2:$A$80,0)))))</f>
        <v/>
      </c>
    </row>
    <row r="850" ht="15" customHeight="1" s="58">
      <c r="A850" s="40" t="n"/>
      <c r="B850" s="38" t="n"/>
      <c r="C850" s="40" t="n"/>
      <c r="D850" s="40" t="n"/>
      <c r="E850" s="34">
        <f t="array" ref="E850">IF($B850="","",IFERROR(INDEX(PERSONAL!$B$2:$B$80,MATCH($B850,PERSONAL!$A$2:$A$80,0)),"NO EXISTE"))</f>
        <v/>
      </c>
      <c r="F850" s="34">
        <f t="array" ref="F850">IF($B850="","",IFERROR(INDEX(PERSONAL!$C$2:$C$80,MATCH($B850,PERSONAL!$A$2:$A$80,0)),""))</f>
        <v/>
      </c>
      <c r="G850" s="34">
        <f>IF($A850="","",CHOOSE(WEEKDAY($A850,2),"LUNES","MARTES","MIÉRCOLES","JUEVES","VIERNES","SÁBADO","DOMINGO"))</f>
        <v/>
      </c>
      <c r="H850" s="34">
        <f>IF($A850="","",CHOOSE(MONTH($A850),"ENERO","FEBRERO","MARZO","ABRIL","MAYO","JUNIO","JULIO","AGOSTO","SEPTIEMBRE","OCTUBRE","NOVIEMBRE","DICIEMBRE"))</f>
        <v/>
      </c>
      <c r="I850" s="34">
        <f>IF($A850="","",IF(OR($G850="SÁBADO",$G850="DOMINGO"),"FIN","LV"))</f>
        <v/>
      </c>
      <c r="J850" s="34">
        <f>IF(OR($A850="",$B850=""),"",IF($L850&lt;&gt;"",UPPER($L850),IF($C850="","FALTA",IFERROR(IF($C850&gt;=$O850,"ROJO FUERTE",IF($C850&gt;=$N850,"ROJO",IF($C850&gt;=$M850,"AMARILLO","VERDE"))),"REVISAR"))))</f>
        <v/>
      </c>
      <c r="K850" s="36">
        <f>IF(OR($C850="",$D850=""),"",IF($D850&gt;=$C850,($D850-$C850)*24,(1-$C850+$D850)*24))</f>
        <v/>
      </c>
      <c r="L850" s="34" t="n"/>
      <c r="M850" s="53">
        <f t="array" ref="M850">IFERROR(INDEX(EXCEPCIONES_FECHA!$D$2:$D$201,MATCH(1,(EXCEPCIONES_FECHA!$A$2:$A$201=$A850)*(EXCEPCIONES_FECHA!$B$2:$B$201=$B850),0)),IFERROR(INDEX(EXCEPCIONES_FECHA!$D$2:$D$201,MATCH(1,(EXCEPCIONES_FECHA!$A$2:$A$201=$A850)*(EXCEPCIONES_FECHA!$B$2:$B$201=""),0)),IFERROR(INDEX(IF($I850="FIN",HISTORIAL_HORARIOS!$J$2:$J$201,HISTORIAL_HORARIOS!$F$2:$F$201),MATCH(1,(HISTORIAL_HORARIOS!$A$2:$A$201=$B850)*(HISTORIAL_HORARIOS!$C$2:$C$201&lt;=$A850)*(HISTORIAL_HORARIOS!$D$2:$D$201&gt;=$A850),0)),INDEX(IF($I850="FIN",PERSONAL!$J$2:$J$80,PERSONAL!$F$2:$F$80),MATCH($B850,PERSONAL!$A$2:$A$80,0)))))</f>
        <v/>
      </c>
      <c r="N850" s="53">
        <f t="array" ref="N850">IFERROR(INDEX(EXCEPCIONES_FECHA!$E$2:$E$201,MATCH(1,(EXCEPCIONES_FECHA!$A$2:$A$201=$A850)*(EXCEPCIONES_FECHA!$B$2:$B$201=$B850),0)),IFERROR(INDEX(EXCEPCIONES_FECHA!$E$2:$E$201,MATCH(1,(EXCEPCIONES_FECHA!$A$2:$A$201=$A850)*(EXCEPCIONES_FECHA!$B$2:$B$201=""),0)),IFERROR(INDEX(IF($I850="FIN",HISTORIAL_HORARIOS!$K$2:$K$201,HISTORIAL_HORARIOS!$G$2:$G$201),MATCH(1,(HISTORIAL_HORARIOS!$A$2:$A$201=$B850)*(HISTORIAL_HORARIOS!$C$2:$C$201&lt;=$A850)*(HISTORIAL_HORARIOS!$D$2:$D$201&gt;=$A850),0)),INDEX(IF($I850="FIN",PERSONAL!$K$2:$K$80,PERSONAL!$G$2:$G$80),MATCH($B850,PERSONAL!$A$2:$A$80,0)))))</f>
        <v/>
      </c>
      <c r="O850" s="53">
        <f t="array" ref="O850">IFERROR(INDEX(EXCEPCIONES_FECHA!$F$2:$F$201,MATCH(1,(EXCEPCIONES_FECHA!$A$2:$A$201=$A850)*(EXCEPCIONES_FECHA!$B$2:$B$201=$B850),0)),IFERROR(INDEX(EXCEPCIONES_FECHA!$F$2:$F$201,MATCH(1,(EXCEPCIONES_FECHA!$A$2:$A$201=$A850)*(EXCEPCIONES_FECHA!$B$2:$B$201=""),0)),IFERROR(INDEX(IF($I850="FIN",HISTORIAL_HORARIOS!$L$2:$L$201,HISTORIAL_HORARIOS!$H$2:$H$201),MATCH(1,(HISTORIAL_HORARIOS!$A$2:$A$201=$B850)*(HISTORIAL_HORARIOS!$C$2:$C$201&lt;=$A850)*(HISTORIAL_HORARIOS!$D$2:$D$201&gt;=$A850),0)),INDEX(IF($I850="FIN",PERSONAL!$L$2:$L$80,PERSONAL!$H$2:$H$80),MATCH($B850,PERSONAL!$A$2:$A$80,0)))))</f>
        <v/>
      </c>
    </row>
    <row r="851" ht="15" customHeight="1" s="58">
      <c r="A851" s="40" t="n"/>
      <c r="B851" s="38" t="n"/>
      <c r="C851" s="40" t="n"/>
      <c r="D851" s="40" t="n"/>
      <c r="E851" s="34">
        <f t="array" ref="E851">IF($B851="","",IFERROR(INDEX(PERSONAL!$B$2:$B$80,MATCH($B851,PERSONAL!$A$2:$A$80,0)),"NO EXISTE"))</f>
        <v/>
      </c>
      <c r="F851" s="34">
        <f t="array" ref="F851">IF($B851="","",IFERROR(INDEX(PERSONAL!$C$2:$C$80,MATCH($B851,PERSONAL!$A$2:$A$80,0)),""))</f>
        <v/>
      </c>
      <c r="G851" s="34">
        <f>IF($A851="","",CHOOSE(WEEKDAY($A851,2),"LUNES","MARTES","MIÉRCOLES","JUEVES","VIERNES","SÁBADO","DOMINGO"))</f>
        <v/>
      </c>
      <c r="H851" s="34">
        <f>IF($A851="","",CHOOSE(MONTH($A851),"ENERO","FEBRERO","MARZO","ABRIL","MAYO","JUNIO","JULIO","AGOSTO","SEPTIEMBRE","OCTUBRE","NOVIEMBRE","DICIEMBRE"))</f>
        <v/>
      </c>
      <c r="I851" s="34">
        <f>IF($A851="","",IF(OR($G851="SÁBADO",$G851="DOMINGO"),"FIN","LV"))</f>
        <v/>
      </c>
      <c r="J851" s="34">
        <f>IF(OR($A851="",$B851=""),"",IF($L851&lt;&gt;"",UPPER($L851),IF($C851="","FALTA",IFERROR(IF($C851&gt;=$O851,"ROJO FUERTE",IF($C851&gt;=$N851,"ROJO",IF($C851&gt;=$M851,"AMARILLO","VERDE"))),"REVISAR"))))</f>
        <v/>
      </c>
      <c r="K851" s="36">
        <f>IF(OR($C851="",$D851=""),"",IF($D851&gt;=$C851,($D851-$C851)*24,(1-$C851+$D851)*24))</f>
        <v/>
      </c>
      <c r="L851" s="34" t="n"/>
      <c r="M851" s="53">
        <f t="array" ref="M851">IFERROR(INDEX(EXCEPCIONES_FECHA!$D$2:$D$201,MATCH(1,(EXCEPCIONES_FECHA!$A$2:$A$201=$A851)*(EXCEPCIONES_FECHA!$B$2:$B$201=$B851),0)),IFERROR(INDEX(EXCEPCIONES_FECHA!$D$2:$D$201,MATCH(1,(EXCEPCIONES_FECHA!$A$2:$A$201=$A851)*(EXCEPCIONES_FECHA!$B$2:$B$201=""),0)),IFERROR(INDEX(IF($I851="FIN",HISTORIAL_HORARIOS!$J$2:$J$201,HISTORIAL_HORARIOS!$F$2:$F$201),MATCH(1,(HISTORIAL_HORARIOS!$A$2:$A$201=$B851)*(HISTORIAL_HORARIOS!$C$2:$C$201&lt;=$A851)*(HISTORIAL_HORARIOS!$D$2:$D$201&gt;=$A851),0)),INDEX(IF($I851="FIN",PERSONAL!$J$2:$J$80,PERSONAL!$F$2:$F$80),MATCH($B851,PERSONAL!$A$2:$A$80,0)))))</f>
        <v/>
      </c>
      <c r="N851" s="53">
        <f t="array" ref="N851">IFERROR(INDEX(EXCEPCIONES_FECHA!$E$2:$E$201,MATCH(1,(EXCEPCIONES_FECHA!$A$2:$A$201=$A851)*(EXCEPCIONES_FECHA!$B$2:$B$201=$B851),0)),IFERROR(INDEX(EXCEPCIONES_FECHA!$E$2:$E$201,MATCH(1,(EXCEPCIONES_FECHA!$A$2:$A$201=$A851)*(EXCEPCIONES_FECHA!$B$2:$B$201=""),0)),IFERROR(INDEX(IF($I851="FIN",HISTORIAL_HORARIOS!$K$2:$K$201,HISTORIAL_HORARIOS!$G$2:$G$201),MATCH(1,(HISTORIAL_HORARIOS!$A$2:$A$201=$B851)*(HISTORIAL_HORARIOS!$C$2:$C$201&lt;=$A851)*(HISTORIAL_HORARIOS!$D$2:$D$201&gt;=$A851),0)),INDEX(IF($I851="FIN",PERSONAL!$K$2:$K$80,PERSONAL!$G$2:$G$80),MATCH($B851,PERSONAL!$A$2:$A$80,0)))))</f>
        <v/>
      </c>
      <c r="O851" s="53">
        <f t="array" ref="O851">IFERROR(INDEX(EXCEPCIONES_FECHA!$F$2:$F$201,MATCH(1,(EXCEPCIONES_FECHA!$A$2:$A$201=$A851)*(EXCEPCIONES_FECHA!$B$2:$B$201=$B851),0)),IFERROR(INDEX(EXCEPCIONES_FECHA!$F$2:$F$201,MATCH(1,(EXCEPCIONES_FECHA!$A$2:$A$201=$A851)*(EXCEPCIONES_FECHA!$B$2:$B$201=""),0)),IFERROR(INDEX(IF($I851="FIN",HISTORIAL_HORARIOS!$L$2:$L$201,HISTORIAL_HORARIOS!$H$2:$H$201),MATCH(1,(HISTORIAL_HORARIOS!$A$2:$A$201=$B851)*(HISTORIAL_HORARIOS!$C$2:$C$201&lt;=$A851)*(HISTORIAL_HORARIOS!$D$2:$D$201&gt;=$A851),0)),INDEX(IF($I851="FIN",PERSONAL!$L$2:$L$80,PERSONAL!$H$2:$H$80),MATCH($B851,PERSONAL!$A$2:$A$80,0)))))</f>
        <v/>
      </c>
    </row>
    <row r="852" ht="15" customHeight="1" s="58">
      <c r="A852" s="40" t="n"/>
      <c r="B852" s="38" t="n"/>
      <c r="C852" s="40" t="n"/>
      <c r="D852" s="40" t="n"/>
      <c r="E852" s="34">
        <f t="array" ref="E852">IF($B852="","",IFERROR(INDEX(PERSONAL!$B$2:$B$80,MATCH($B852,PERSONAL!$A$2:$A$80,0)),"NO EXISTE"))</f>
        <v/>
      </c>
      <c r="F852" s="34">
        <f t="array" ref="F852">IF($B852="","",IFERROR(INDEX(PERSONAL!$C$2:$C$80,MATCH($B852,PERSONAL!$A$2:$A$80,0)),""))</f>
        <v/>
      </c>
      <c r="G852" s="34">
        <f>IF($A852="","",CHOOSE(WEEKDAY($A852,2),"LUNES","MARTES","MIÉRCOLES","JUEVES","VIERNES","SÁBADO","DOMINGO"))</f>
        <v/>
      </c>
      <c r="H852" s="34">
        <f>IF($A852="","",CHOOSE(MONTH($A852),"ENERO","FEBRERO","MARZO","ABRIL","MAYO","JUNIO","JULIO","AGOSTO","SEPTIEMBRE","OCTUBRE","NOVIEMBRE","DICIEMBRE"))</f>
        <v/>
      </c>
      <c r="I852" s="34">
        <f>IF($A852="","",IF(OR($G852="SÁBADO",$G852="DOMINGO"),"FIN","LV"))</f>
        <v/>
      </c>
      <c r="J852" s="34">
        <f>IF(OR($A852="",$B852=""),"",IF($L852&lt;&gt;"",UPPER($L852),IF($C852="","FALTA",IFERROR(IF($C852&gt;=$O852,"ROJO FUERTE",IF($C852&gt;=$N852,"ROJO",IF($C852&gt;=$M852,"AMARILLO","VERDE"))),"REVISAR"))))</f>
        <v/>
      </c>
      <c r="K852" s="36">
        <f>IF(OR($C852="",$D852=""),"",IF($D852&gt;=$C852,($D852-$C852)*24,(1-$C852+$D852)*24))</f>
        <v/>
      </c>
      <c r="L852" s="34" t="n"/>
      <c r="M852" s="53">
        <f t="array" ref="M852">IFERROR(INDEX(EXCEPCIONES_FECHA!$D$2:$D$201,MATCH(1,(EXCEPCIONES_FECHA!$A$2:$A$201=$A852)*(EXCEPCIONES_FECHA!$B$2:$B$201=$B852),0)),IFERROR(INDEX(EXCEPCIONES_FECHA!$D$2:$D$201,MATCH(1,(EXCEPCIONES_FECHA!$A$2:$A$201=$A852)*(EXCEPCIONES_FECHA!$B$2:$B$201=""),0)),IFERROR(INDEX(IF($I852="FIN",HISTORIAL_HORARIOS!$J$2:$J$201,HISTORIAL_HORARIOS!$F$2:$F$201),MATCH(1,(HISTORIAL_HORARIOS!$A$2:$A$201=$B852)*(HISTORIAL_HORARIOS!$C$2:$C$201&lt;=$A852)*(HISTORIAL_HORARIOS!$D$2:$D$201&gt;=$A852),0)),INDEX(IF($I852="FIN",PERSONAL!$J$2:$J$80,PERSONAL!$F$2:$F$80),MATCH($B852,PERSONAL!$A$2:$A$80,0)))))</f>
        <v/>
      </c>
      <c r="N852" s="53">
        <f t="array" ref="N852">IFERROR(INDEX(EXCEPCIONES_FECHA!$E$2:$E$201,MATCH(1,(EXCEPCIONES_FECHA!$A$2:$A$201=$A852)*(EXCEPCIONES_FECHA!$B$2:$B$201=$B852),0)),IFERROR(INDEX(EXCEPCIONES_FECHA!$E$2:$E$201,MATCH(1,(EXCEPCIONES_FECHA!$A$2:$A$201=$A852)*(EXCEPCIONES_FECHA!$B$2:$B$201=""),0)),IFERROR(INDEX(IF($I852="FIN",HISTORIAL_HORARIOS!$K$2:$K$201,HISTORIAL_HORARIOS!$G$2:$G$201),MATCH(1,(HISTORIAL_HORARIOS!$A$2:$A$201=$B852)*(HISTORIAL_HORARIOS!$C$2:$C$201&lt;=$A852)*(HISTORIAL_HORARIOS!$D$2:$D$201&gt;=$A852),0)),INDEX(IF($I852="FIN",PERSONAL!$K$2:$K$80,PERSONAL!$G$2:$G$80),MATCH($B852,PERSONAL!$A$2:$A$80,0)))))</f>
        <v/>
      </c>
      <c r="O852" s="53">
        <f t="array" ref="O852">IFERROR(INDEX(EXCEPCIONES_FECHA!$F$2:$F$201,MATCH(1,(EXCEPCIONES_FECHA!$A$2:$A$201=$A852)*(EXCEPCIONES_FECHA!$B$2:$B$201=$B852),0)),IFERROR(INDEX(EXCEPCIONES_FECHA!$F$2:$F$201,MATCH(1,(EXCEPCIONES_FECHA!$A$2:$A$201=$A852)*(EXCEPCIONES_FECHA!$B$2:$B$201=""),0)),IFERROR(INDEX(IF($I852="FIN",HISTORIAL_HORARIOS!$L$2:$L$201,HISTORIAL_HORARIOS!$H$2:$H$201),MATCH(1,(HISTORIAL_HORARIOS!$A$2:$A$201=$B852)*(HISTORIAL_HORARIOS!$C$2:$C$201&lt;=$A852)*(HISTORIAL_HORARIOS!$D$2:$D$201&gt;=$A852),0)),INDEX(IF($I852="FIN",PERSONAL!$L$2:$L$80,PERSONAL!$H$2:$H$80),MATCH($B852,PERSONAL!$A$2:$A$80,0)))))</f>
        <v/>
      </c>
    </row>
    <row r="853" ht="15" customHeight="1" s="58">
      <c r="A853" s="40" t="n"/>
      <c r="B853" s="38" t="n"/>
      <c r="C853" s="40" t="n"/>
      <c r="D853" s="40" t="n"/>
      <c r="E853" s="34">
        <f t="array" ref="E853">IF($B853="","",IFERROR(INDEX(PERSONAL!$B$2:$B$80,MATCH($B853,PERSONAL!$A$2:$A$80,0)),"NO EXISTE"))</f>
        <v/>
      </c>
      <c r="F853" s="34">
        <f t="array" ref="F853">IF($B853="","",IFERROR(INDEX(PERSONAL!$C$2:$C$80,MATCH($B853,PERSONAL!$A$2:$A$80,0)),""))</f>
        <v/>
      </c>
      <c r="G853" s="34">
        <f>IF($A853="","",CHOOSE(WEEKDAY($A853,2),"LUNES","MARTES","MIÉRCOLES","JUEVES","VIERNES","SÁBADO","DOMINGO"))</f>
        <v/>
      </c>
      <c r="H853" s="34">
        <f>IF($A853="","",CHOOSE(MONTH($A853),"ENERO","FEBRERO","MARZO","ABRIL","MAYO","JUNIO","JULIO","AGOSTO","SEPTIEMBRE","OCTUBRE","NOVIEMBRE","DICIEMBRE"))</f>
        <v/>
      </c>
      <c r="I853" s="34">
        <f>IF($A853="","",IF(OR($G853="SÁBADO",$G853="DOMINGO"),"FIN","LV"))</f>
        <v/>
      </c>
      <c r="J853" s="34">
        <f>IF(OR($A853="",$B853=""),"",IF($L853&lt;&gt;"",UPPER($L853),IF($C853="","FALTA",IFERROR(IF($C853&gt;=$O853,"ROJO FUERTE",IF($C853&gt;=$N853,"ROJO",IF($C853&gt;=$M853,"AMARILLO","VERDE"))),"REVISAR"))))</f>
        <v/>
      </c>
      <c r="K853" s="36">
        <f>IF(OR($C853="",$D853=""),"",IF($D853&gt;=$C853,($D853-$C853)*24,(1-$C853+$D853)*24))</f>
        <v/>
      </c>
      <c r="L853" s="34" t="n"/>
      <c r="M853" s="53">
        <f t="array" ref="M853">IFERROR(INDEX(EXCEPCIONES_FECHA!$D$2:$D$201,MATCH(1,(EXCEPCIONES_FECHA!$A$2:$A$201=$A853)*(EXCEPCIONES_FECHA!$B$2:$B$201=$B853),0)),IFERROR(INDEX(EXCEPCIONES_FECHA!$D$2:$D$201,MATCH(1,(EXCEPCIONES_FECHA!$A$2:$A$201=$A853)*(EXCEPCIONES_FECHA!$B$2:$B$201=""),0)),IFERROR(INDEX(IF($I853="FIN",HISTORIAL_HORARIOS!$J$2:$J$201,HISTORIAL_HORARIOS!$F$2:$F$201),MATCH(1,(HISTORIAL_HORARIOS!$A$2:$A$201=$B853)*(HISTORIAL_HORARIOS!$C$2:$C$201&lt;=$A853)*(HISTORIAL_HORARIOS!$D$2:$D$201&gt;=$A853),0)),INDEX(IF($I853="FIN",PERSONAL!$J$2:$J$80,PERSONAL!$F$2:$F$80),MATCH($B853,PERSONAL!$A$2:$A$80,0)))))</f>
        <v/>
      </c>
      <c r="N853" s="53">
        <f t="array" ref="N853">IFERROR(INDEX(EXCEPCIONES_FECHA!$E$2:$E$201,MATCH(1,(EXCEPCIONES_FECHA!$A$2:$A$201=$A853)*(EXCEPCIONES_FECHA!$B$2:$B$201=$B853),0)),IFERROR(INDEX(EXCEPCIONES_FECHA!$E$2:$E$201,MATCH(1,(EXCEPCIONES_FECHA!$A$2:$A$201=$A853)*(EXCEPCIONES_FECHA!$B$2:$B$201=""),0)),IFERROR(INDEX(IF($I853="FIN",HISTORIAL_HORARIOS!$K$2:$K$201,HISTORIAL_HORARIOS!$G$2:$G$201),MATCH(1,(HISTORIAL_HORARIOS!$A$2:$A$201=$B853)*(HISTORIAL_HORARIOS!$C$2:$C$201&lt;=$A853)*(HISTORIAL_HORARIOS!$D$2:$D$201&gt;=$A853),0)),INDEX(IF($I853="FIN",PERSONAL!$K$2:$K$80,PERSONAL!$G$2:$G$80),MATCH($B853,PERSONAL!$A$2:$A$80,0)))))</f>
        <v/>
      </c>
      <c r="O853" s="53">
        <f t="array" ref="O853">IFERROR(INDEX(EXCEPCIONES_FECHA!$F$2:$F$201,MATCH(1,(EXCEPCIONES_FECHA!$A$2:$A$201=$A853)*(EXCEPCIONES_FECHA!$B$2:$B$201=$B853),0)),IFERROR(INDEX(EXCEPCIONES_FECHA!$F$2:$F$201,MATCH(1,(EXCEPCIONES_FECHA!$A$2:$A$201=$A853)*(EXCEPCIONES_FECHA!$B$2:$B$201=""),0)),IFERROR(INDEX(IF($I853="FIN",HISTORIAL_HORARIOS!$L$2:$L$201,HISTORIAL_HORARIOS!$H$2:$H$201),MATCH(1,(HISTORIAL_HORARIOS!$A$2:$A$201=$B853)*(HISTORIAL_HORARIOS!$C$2:$C$201&lt;=$A853)*(HISTORIAL_HORARIOS!$D$2:$D$201&gt;=$A853),0)),INDEX(IF($I853="FIN",PERSONAL!$L$2:$L$80,PERSONAL!$H$2:$H$80),MATCH($B853,PERSONAL!$A$2:$A$80,0)))))</f>
        <v/>
      </c>
    </row>
    <row r="854" ht="15" customHeight="1" s="58">
      <c r="A854" s="40" t="n"/>
      <c r="B854" s="38" t="n"/>
      <c r="C854" s="40" t="n"/>
      <c r="D854" s="40" t="n"/>
      <c r="E854" s="34">
        <f t="array" ref="E854">IF($B854="","",IFERROR(INDEX(PERSONAL!$B$2:$B$80,MATCH($B854,PERSONAL!$A$2:$A$80,0)),"NO EXISTE"))</f>
        <v/>
      </c>
      <c r="F854" s="34">
        <f t="array" ref="F854">IF($B854="","",IFERROR(INDEX(PERSONAL!$C$2:$C$80,MATCH($B854,PERSONAL!$A$2:$A$80,0)),""))</f>
        <v/>
      </c>
      <c r="G854" s="34">
        <f>IF($A854="","",CHOOSE(WEEKDAY($A854,2),"LUNES","MARTES","MIÉRCOLES","JUEVES","VIERNES","SÁBADO","DOMINGO"))</f>
        <v/>
      </c>
      <c r="H854" s="34">
        <f>IF($A854="","",CHOOSE(MONTH($A854),"ENERO","FEBRERO","MARZO","ABRIL","MAYO","JUNIO","JULIO","AGOSTO","SEPTIEMBRE","OCTUBRE","NOVIEMBRE","DICIEMBRE"))</f>
        <v/>
      </c>
      <c r="I854" s="34">
        <f>IF($A854="","",IF(OR($G854="SÁBADO",$G854="DOMINGO"),"FIN","LV"))</f>
        <v/>
      </c>
      <c r="J854" s="34">
        <f>IF(OR($A854="",$B854=""),"",IF($L854&lt;&gt;"",UPPER($L854),IF($C854="","FALTA",IFERROR(IF($C854&gt;=$O854,"ROJO FUERTE",IF($C854&gt;=$N854,"ROJO",IF($C854&gt;=$M854,"AMARILLO","VERDE"))),"REVISAR"))))</f>
        <v/>
      </c>
      <c r="K854" s="36">
        <f>IF(OR($C854="",$D854=""),"",IF($D854&gt;=$C854,($D854-$C854)*24,(1-$C854+$D854)*24))</f>
        <v/>
      </c>
      <c r="L854" s="34" t="n"/>
      <c r="M854" s="53">
        <f t="array" ref="M854">IFERROR(INDEX(EXCEPCIONES_FECHA!$D$2:$D$201,MATCH(1,(EXCEPCIONES_FECHA!$A$2:$A$201=$A854)*(EXCEPCIONES_FECHA!$B$2:$B$201=$B854),0)),IFERROR(INDEX(EXCEPCIONES_FECHA!$D$2:$D$201,MATCH(1,(EXCEPCIONES_FECHA!$A$2:$A$201=$A854)*(EXCEPCIONES_FECHA!$B$2:$B$201=""),0)),IFERROR(INDEX(IF($I854="FIN",HISTORIAL_HORARIOS!$J$2:$J$201,HISTORIAL_HORARIOS!$F$2:$F$201),MATCH(1,(HISTORIAL_HORARIOS!$A$2:$A$201=$B854)*(HISTORIAL_HORARIOS!$C$2:$C$201&lt;=$A854)*(HISTORIAL_HORARIOS!$D$2:$D$201&gt;=$A854),0)),INDEX(IF($I854="FIN",PERSONAL!$J$2:$J$80,PERSONAL!$F$2:$F$80),MATCH($B854,PERSONAL!$A$2:$A$80,0)))))</f>
        <v/>
      </c>
      <c r="N854" s="53">
        <f t="array" ref="N854">IFERROR(INDEX(EXCEPCIONES_FECHA!$E$2:$E$201,MATCH(1,(EXCEPCIONES_FECHA!$A$2:$A$201=$A854)*(EXCEPCIONES_FECHA!$B$2:$B$201=$B854),0)),IFERROR(INDEX(EXCEPCIONES_FECHA!$E$2:$E$201,MATCH(1,(EXCEPCIONES_FECHA!$A$2:$A$201=$A854)*(EXCEPCIONES_FECHA!$B$2:$B$201=""),0)),IFERROR(INDEX(IF($I854="FIN",HISTORIAL_HORARIOS!$K$2:$K$201,HISTORIAL_HORARIOS!$G$2:$G$201),MATCH(1,(HISTORIAL_HORARIOS!$A$2:$A$201=$B854)*(HISTORIAL_HORARIOS!$C$2:$C$201&lt;=$A854)*(HISTORIAL_HORARIOS!$D$2:$D$201&gt;=$A854),0)),INDEX(IF($I854="FIN",PERSONAL!$K$2:$K$80,PERSONAL!$G$2:$G$80),MATCH($B854,PERSONAL!$A$2:$A$80,0)))))</f>
        <v/>
      </c>
      <c r="O854" s="53">
        <f t="array" ref="O854">IFERROR(INDEX(EXCEPCIONES_FECHA!$F$2:$F$201,MATCH(1,(EXCEPCIONES_FECHA!$A$2:$A$201=$A854)*(EXCEPCIONES_FECHA!$B$2:$B$201=$B854),0)),IFERROR(INDEX(EXCEPCIONES_FECHA!$F$2:$F$201,MATCH(1,(EXCEPCIONES_FECHA!$A$2:$A$201=$A854)*(EXCEPCIONES_FECHA!$B$2:$B$201=""),0)),IFERROR(INDEX(IF($I854="FIN",HISTORIAL_HORARIOS!$L$2:$L$201,HISTORIAL_HORARIOS!$H$2:$H$201),MATCH(1,(HISTORIAL_HORARIOS!$A$2:$A$201=$B854)*(HISTORIAL_HORARIOS!$C$2:$C$201&lt;=$A854)*(HISTORIAL_HORARIOS!$D$2:$D$201&gt;=$A854),0)),INDEX(IF($I854="FIN",PERSONAL!$L$2:$L$80,PERSONAL!$H$2:$H$80),MATCH($B854,PERSONAL!$A$2:$A$80,0)))))</f>
        <v/>
      </c>
    </row>
    <row r="855" ht="15" customHeight="1" s="58">
      <c r="A855" s="40" t="n"/>
      <c r="B855" s="38" t="n"/>
      <c r="C855" s="40" t="n"/>
      <c r="D855" s="40" t="n"/>
      <c r="E855" s="34">
        <f t="array" ref="E855">IF($B855="","",IFERROR(INDEX(PERSONAL!$B$2:$B$80,MATCH($B855,PERSONAL!$A$2:$A$80,0)),"NO EXISTE"))</f>
        <v/>
      </c>
      <c r="F855" s="34">
        <f t="array" ref="F855">IF($B855="","",IFERROR(INDEX(PERSONAL!$C$2:$C$80,MATCH($B855,PERSONAL!$A$2:$A$80,0)),""))</f>
        <v/>
      </c>
      <c r="G855" s="34">
        <f>IF($A855="","",CHOOSE(WEEKDAY($A855,2),"LUNES","MARTES","MIÉRCOLES","JUEVES","VIERNES","SÁBADO","DOMINGO"))</f>
        <v/>
      </c>
      <c r="H855" s="34">
        <f>IF($A855="","",CHOOSE(MONTH($A855),"ENERO","FEBRERO","MARZO","ABRIL","MAYO","JUNIO","JULIO","AGOSTO","SEPTIEMBRE","OCTUBRE","NOVIEMBRE","DICIEMBRE"))</f>
        <v/>
      </c>
      <c r="I855" s="34">
        <f>IF($A855="","",IF(OR($G855="SÁBADO",$G855="DOMINGO"),"FIN","LV"))</f>
        <v/>
      </c>
      <c r="J855" s="34">
        <f>IF(OR($A855="",$B855=""),"",IF($L855&lt;&gt;"",UPPER($L855),IF($C855="","FALTA",IFERROR(IF($C855&gt;=$O855,"ROJO FUERTE",IF($C855&gt;=$N855,"ROJO",IF($C855&gt;=$M855,"AMARILLO","VERDE"))),"REVISAR"))))</f>
        <v/>
      </c>
      <c r="K855" s="36">
        <f>IF(OR($C855="",$D855=""),"",IF($D855&gt;=$C855,($D855-$C855)*24,(1-$C855+$D855)*24))</f>
        <v/>
      </c>
      <c r="L855" s="34" t="n"/>
      <c r="M855" s="53">
        <f t="array" ref="M855">IFERROR(INDEX(EXCEPCIONES_FECHA!$D$2:$D$201,MATCH(1,(EXCEPCIONES_FECHA!$A$2:$A$201=$A855)*(EXCEPCIONES_FECHA!$B$2:$B$201=$B855),0)),IFERROR(INDEX(EXCEPCIONES_FECHA!$D$2:$D$201,MATCH(1,(EXCEPCIONES_FECHA!$A$2:$A$201=$A855)*(EXCEPCIONES_FECHA!$B$2:$B$201=""),0)),IFERROR(INDEX(IF($I855="FIN",HISTORIAL_HORARIOS!$J$2:$J$201,HISTORIAL_HORARIOS!$F$2:$F$201),MATCH(1,(HISTORIAL_HORARIOS!$A$2:$A$201=$B855)*(HISTORIAL_HORARIOS!$C$2:$C$201&lt;=$A855)*(HISTORIAL_HORARIOS!$D$2:$D$201&gt;=$A855),0)),INDEX(IF($I855="FIN",PERSONAL!$J$2:$J$80,PERSONAL!$F$2:$F$80),MATCH($B855,PERSONAL!$A$2:$A$80,0)))))</f>
        <v/>
      </c>
      <c r="N855" s="53">
        <f t="array" ref="N855">IFERROR(INDEX(EXCEPCIONES_FECHA!$E$2:$E$201,MATCH(1,(EXCEPCIONES_FECHA!$A$2:$A$201=$A855)*(EXCEPCIONES_FECHA!$B$2:$B$201=$B855),0)),IFERROR(INDEX(EXCEPCIONES_FECHA!$E$2:$E$201,MATCH(1,(EXCEPCIONES_FECHA!$A$2:$A$201=$A855)*(EXCEPCIONES_FECHA!$B$2:$B$201=""),0)),IFERROR(INDEX(IF($I855="FIN",HISTORIAL_HORARIOS!$K$2:$K$201,HISTORIAL_HORARIOS!$G$2:$G$201),MATCH(1,(HISTORIAL_HORARIOS!$A$2:$A$201=$B855)*(HISTORIAL_HORARIOS!$C$2:$C$201&lt;=$A855)*(HISTORIAL_HORARIOS!$D$2:$D$201&gt;=$A855),0)),INDEX(IF($I855="FIN",PERSONAL!$K$2:$K$80,PERSONAL!$G$2:$G$80),MATCH($B855,PERSONAL!$A$2:$A$80,0)))))</f>
        <v/>
      </c>
      <c r="O855" s="53">
        <f t="array" ref="O855">IFERROR(INDEX(EXCEPCIONES_FECHA!$F$2:$F$201,MATCH(1,(EXCEPCIONES_FECHA!$A$2:$A$201=$A855)*(EXCEPCIONES_FECHA!$B$2:$B$201=$B855),0)),IFERROR(INDEX(EXCEPCIONES_FECHA!$F$2:$F$201,MATCH(1,(EXCEPCIONES_FECHA!$A$2:$A$201=$A855)*(EXCEPCIONES_FECHA!$B$2:$B$201=""),0)),IFERROR(INDEX(IF($I855="FIN",HISTORIAL_HORARIOS!$L$2:$L$201,HISTORIAL_HORARIOS!$H$2:$H$201),MATCH(1,(HISTORIAL_HORARIOS!$A$2:$A$201=$B855)*(HISTORIAL_HORARIOS!$C$2:$C$201&lt;=$A855)*(HISTORIAL_HORARIOS!$D$2:$D$201&gt;=$A855),0)),INDEX(IF($I855="FIN",PERSONAL!$L$2:$L$80,PERSONAL!$H$2:$H$80),MATCH($B855,PERSONAL!$A$2:$A$80,0)))))</f>
        <v/>
      </c>
    </row>
    <row r="856" ht="15" customHeight="1" s="58">
      <c r="A856" s="40" t="n"/>
      <c r="B856" s="38" t="n"/>
      <c r="C856" s="40" t="n"/>
      <c r="D856" s="40" t="n"/>
      <c r="E856" s="34">
        <f t="array" ref="E856">IF($B856="","",IFERROR(INDEX(PERSONAL!$B$2:$B$80,MATCH($B856,PERSONAL!$A$2:$A$80,0)),"NO EXISTE"))</f>
        <v/>
      </c>
      <c r="F856" s="34">
        <f t="array" ref="F856">IF($B856="","",IFERROR(INDEX(PERSONAL!$C$2:$C$80,MATCH($B856,PERSONAL!$A$2:$A$80,0)),""))</f>
        <v/>
      </c>
      <c r="G856" s="34">
        <f>IF($A856="","",CHOOSE(WEEKDAY($A856,2),"LUNES","MARTES","MIÉRCOLES","JUEVES","VIERNES","SÁBADO","DOMINGO"))</f>
        <v/>
      </c>
      <c r="H856" s="34">
        <f>IF($A856="","",CHOOSE(MONTH($A856),"ENERO","FEBRERO","MARZO","ABRIL","MAYO","JUNIO","JULIO","AGOSTO","SEPTIEMBRE","OCTUBRE","NOVIEMBRE","DICIEMBRE"))</f>
        <v/>
      </c>
      <c r="I856" s="34">
        <f>IF($A856="","",IF(OR($G856="SÁBADO",$G856="DOMINGO"),"FIN","LV"))</f>
        <v/>
      </c>
      <c r="J856" s="34">
        <f>IF(OR($A856="",$B856=""),"",IF($L856&lt;&gt;"",UPPER($L856),IF($C856="","FALTA",IFERROR(IF($C856&gt;=$O856,"ROJO FUERTE",IF($C856&gt;=$N856,"ROJO",IF($C856&gt;=$M856,"AMARILLO","VERDE"))),"REVISAR"))))</f>
        <v/>
      </c>
      <c r="K856" s="36">
        <f>IF(OR($C856="",$D856=""),"",IF($D856&gt;=$C856,($D856-$C856)*24,(1-$C856+$D856)*24))</f>
        <v/>
      </c>
      <c r="L856" s="34" t="n"/>
      <c r="M856" s="53">
        <f t="array" ref="M856">IFERROR(INDEX(EXCEPCIONES_FECHA!$D$2:$D$201,MATCH(1,(EXCEPCIONES_FECHA!$A$2:$A$201=$A856)*(EXCEPCIONES_FECHA!$B$2:$B$201=$B856),0)),IFERROR(INDEX(EXCEPCIONES_FECHA!$D$2:$D$201,MATCH(1,(EXCEPCIONES_FECHA!$A$2:$A$201=$A856)*(EXCEPCIONES_FECHA!$B$2:$B$201=""),0)),IFERROR(INDEX(IF($I856="FIN",HISTORIAL_HORARIOS!$J$2:$J$201,HISTORIAL_HORARIOS!$F$2:$F$201),MATCH(1,(HISTORIAL_HORARIOS!$A$2:$A$201=$B856)*(HISTORIAL_HORARIOS!$C$2:$C$201&lt;=$A856)*(HISTORIAL_HORARIOS!$D$2:$D$201&gt;=$A856),0)),INDEX(IF($I856="FIN",PERSONAL!$J$2:$J$80,PERSONAL!$F$2:$F$80),MATCH($B856,PERSONAL!$A$2:$A$80,0)))))</f>
        <v/>
      </c>
      <c r="N856" s="53">
        <f t="array" ref="N856">IFERROR(INDEX(EXCEPCIONES_FECHA!$E$2:$E$201,MATCH(1,(EXCEPCIONES_FECHA!$A$2:$A$201=$A856)*(EXCEPCIONES_FECHA!$B$2:$B$201=$B856),0)),IFERROR(INDEX(EXCEPCIONES_FECHA!$E$2:$E$201,MATCH(1,(EXCEPCIONES_FECHA!$A$2:$A$201=$A856)*(EXCEPCIONES_FECHA!$B$2:$B$201=""),0)),IFERROR(INDEX(IF($I856="FIN",HISTORIAL_HORARIOS!$K$2:$K$201,HISTORIAL_HORARIOS!$G$2:$G$201),MATCH(1,(HISTORIAL_HORARIOS!$A$2:$A$201=$B856)*(HISTORIAL_HORARIOS!$C$2:$C$201&lt;=$A856)*(HISTORIAL_HORARIOS!$D$2:$D$201&gt;=$A856),0)),INDEX(IF($I856="FIN",PERSONAL!$K$2:$K$80,PERSONAL!$G$2:$G$80),MATCH($B856,PERSONAL!$A$2:$A$80,0)))))</f>
        <v/>
      </c>
      <c r="O856" s="53">
        <f t="array" ref="O856">IFERROR(INDEX(EXCEPCIONES_FECHA!$F$2:$F$201,MATCH(1,(EXCEPCIONES_FECHA!$A$2:$A$201=$A856)*(EXCEPCIONES_FECHA!$B$2:$B$201=$B856),0)),IFERROR(INDEX(EXCEPCIONES_FECHA!$F$2:$F$201,MATCH(1,(EXCEPCIONES_FECHA!$A$2:$A$201=$A856)*(EXCEPCIONES_FECHA!$B$2:$B$201=""),0)),IFERROR(INDEX(IF($I856="FIN",HISTORIAL_HORARIOS!$L$2:$L$201,HISTORIAL_HORARIOS!$H$2:$H$201),MATCH(1,(HISTORIAL_HORARIOS!$A$2:$A$201=$B856)*(HISTORIAL_HORARIOS!$C$2:$C$201&lt;=$A856)*(HISTORIAL_HORARIOS!$D$2:$D$201&gt;=$A856),0)),INDEX(IF($I856="FIN",PERSONAL!$L$2:$L$80,PERSONAL!$H$2:$H$80),MATCH($B856,PERSONAL!$A$2:$A$80,0)))))</f>
        <v/>
      </c>
    </row>
    <row r="857" ht="15" customHeight="1" s="58">
      <c r="A857" s="40" t="n"/>
      <c r="B857" s="38" t="n"/>
      <c r="C857" s="40" t="n"/>
      <c r="D857" s="40" t="n"/>
      <c r="E857" s="34">
        <f t="array" ref="E857">IF($B857="","",IFERROR(INDEX(PERSONAL!$B$2:$B$80,MATCH($B857,PERSONAL!$A$2:$A$80,0)),"NO EXISTE"))</f>
        <v/>
      </c>
      <c r="F857" s="34">
        <f t="array" ref="F857">IF($B857="","",IFERROR(INDEX(PERSONAL!$C$2:$C$80,MATCH($B857,PERSONAL!$A$2:$A$80,0)),""))</f>
        <v/>
      </c>
      <c r="G857" s="34">
        <f>IF($A857="","",CHOOSE(WEEKDAY($A857,2),"LUNES","MARTES","MIÉRCOLES","JUEVES","VIERNES","SÁBADO","DOMINGO"))</f>
        <v/>
      </c>
      <c r="H857" s="34">
        <f>IF($A857="","",CHOOSE(MONTH($A857),"ENERO","FEBRERO","MARZO","ABRIL","MAYO","JUNIO","JULIO","AGOSTO","SEPTIEMBRE","OCTUBRE","NOVIEMBRE","DICIEMBRE"))</f>
        <v/>
      </c>
      <c r="I857" s="34">
        <f>IF($A857="","",IF(OR($G857="SÁBADO",$G857="DOMINGO"),"FIN","LV"))</f>
        <v/>
      </c>
      <c r="J857" s="34">
        <f>IF(OR($A857="",$B857=""),"",IF($L857&lt;&gt;"",UPPER($L857),IF($C857="","FALTA",IFERROR(IF($C857&gt;=$O857,"ROJO FUERTE",IF($C857&gt;=$N857,"ROJO",IF($C857&gt;=$M857,"AMARILLO","VERDE"))),"REVISAR"))))</f>
        <v/>
      </c>
      <c r="K857" s="36">
        <f>IF(OR($C857="",$D857=""),"",IF($D857&gt;=$C857,($D857-$C857)*24,(1-$C857+$D857)*24))</f>
        <v/>
      </c>
      <c r="L857" s="34" t="n"/>
      <c r="M857" s="53">
        <f t="array" ref="M857">IFERROR(INDEX(EXCEPCIONES_FECHA!$D$2:$D$201,MATCH(1,(EXCEPCIONES_FECHA!$A$2:$A$201=$A857)*(EXCEPCIONES_FECHA!$B$2:$B$201=$B857),0)),IFERROR(INDEX(EXCEPCIONES_FECHA!$D$2:$D$201,MATCH(1,(EXCEPCIONES_FECHA!$A$2:$A$201=$A857)*(EXCEPCIONES_FECHA!$B$2:$B$201=""),0)),IFERROR(INDEX(IF($I857="FIN",HISTORIAL_HORARIOS!$J$2:$J$201,HISTORIAL_HORARIOS!$F$2:$F$201),MATCH(1,(HISTORIAL_HORARIOS!$A$2:$A$201=$B857)*(HISTORIAL_HORARIOS!$C$2:$C$201&lt;=$A857)*(HISTORIAL_HORARIOS!$D$2:$D$201&gt;=$A857),0)),INDEX(IF($I857="FIN",PERSONAL!$J$2:$J$80,PERSONAL!$F$2:$F$80),MATCH($B857,PERSONAL!$A$2:$A$80,0)))))</f>
        <v/>
      </c>
      <c r="N857" s="53">
        <f t="array" ref="N857">IFERROR(INDEX(EXCEPCIONES_FECHA!$E$2:$E$201,MATCH(1,(EXCEPCIONES_FECHA!$A$2:$A$201=$A857)*(EXCEPCIONES_FECHA!$B$2:$B$201=$B857),0)),IFERROR(INDEX(EXCEPCIONES_FECHA!$E$2:$E$201,MATCH(1,(EXCEPCIONES_FECHA!$A$2:$A$201=$A857)*(EXCEPCIONES_FECHA!$B$2:$B$201=""),0)),IFERROR(INDEX(IF($I857="FIN",HISTORIAL_HORARIOS!$K$2:$K$201,HISTORIAL_HORARIOS!$G$2:$G$201),MATCH(1,(HISTORIAL_HORARIOS!$A$2:$A$201=$B857)*(HISTORIAL_HORARIOS!$C$2:$C$201&lt;=$A857)*(HISTORIAL_HORARIOS!$D$2:$D$201&gt;=$A857),0)),INDEX(IF($I857="FIN",PERSONAL!$K$2:$K$80,PERSONAL!$G$2:$G$80),MATCH($B857,PERSONAL!$A$2:$A$80,0)))))</f>
        <v/>
      </c>
      <c r="O857" s="53">
        <f t="array" ref="O857">IFERROR(INDEX(EXCEPCIONES_FECHA!$F$2:$F$201,MATCH(1,(EXCEPCIONES_FECHA!$A$2:$A$201=$A857)*(EXCEPCIONES_FECHA!$B$2:$B$201=$B857),0)),IFERROR(INDEX(EXCEPCIONES_FECHA!$F$2:$F$201,MATCH(1,(EXCEPCIONES_FECHA!$A$2:$A$201=$A857)*(EXCEPCIONES_FECHA!$B$2:$B$201=""),0)),IFERROR(INDEX(IF($I857="FIN",HISTORIAL_HORARIOS!$L$2:$L$201,HISTORIAL_HORARIOS!$H$2:$H$201),MATCH(1,(HISTORIAL_HORARIOS!$A$2:$A$201=$B857)*(HISTORIAL_HORARIOS!$C$2:$C$201&lt;=$A857)*(HISTORIAL_HORARIOS!$D$2:$D$201&gt;=$A857),0)),INDEX(IF($I857="FIN",PERSONAL!$L$2:$L$80,PERSONAL!$H$2:$H$80),MATCH($B857,PERSONAL!$A$2:$A$80,0)))))</f>
        <v/>
      </c>
    </row>
    <row r="858" ht="15" customHeight="1" s="58">
      <c r="A858" s="40" t="n"/>
      <c r="B858" s="38" t="n"/>
      <c r="C858" s="40" t="n"/>
      <c r="D858" s="40" t="n"/>
      <c r="E858" s="34">
        <f t="array" ref="E858">IF($B858="","",IFERROR(INDEX(PERSONAL!$B$2:$B$80,MATCH($B858,PERSONAL!$A$2:$A$80,0)),"NO EXISTE"))</f>
        <v/>
      </c>
      <c r="F858" s="34">
        <f t="array" ref="F858">IF($B858="","",IFERROR(INDEX(PERSONAL!$C$2:$C$80,MATCH($B858,PERSONAL!$A$2:$A$80,0)),""))</f>
        <v/>
      </c>
      <c r="G858" s="34">
        <f>IF($A858="","",CHOOSE(WEEKDAY($A858,2),"LUNES","MARTES","MIÉRCOLES","JUEVES","VIERNES","SÁBADO","DOMINGO"))</f>
        <v/>
      </c>
      <c r="H858" s="34">
        <f>IF($A858="","",CHOOSE(MONTH($A858),"ENERO","FEBRERO","MARZO","ABRIL","MAYO","JUNIO","JULIO","AGOSTO","SEPTIEMBRE","OCTUBRE","NOVIEMBRE","DICIEMBRE"))</f>
        <v/>
      </c>
      <c r="I858" s="34">
        <f>IF($A858="","",IF(OR($G858="SÁBADO",$G858="DOMINGO"),"FIN","LV"))</f>
        <v/>
      </c>
      <c r="J858" s="34">
        <f>IF(OR($A858="",$B858=""),"",IF($L858&lt;&gt;"",UPPER($L858),IF($C858="","FALTA",IFERROR(IF($C858&gt;=$O858,"ROJO FUERTE",IF($C858&gt;=$N858,"ROJO",IF($C858&gt;=$M858,"AMARILLO","VERDE"))),"REVISAR"))))</f>
        <v/>
      </c>
      <c r="K858" s="36">
        <f>IF(OR($C858="",$D858=""),"",IF($D858&gt;=$C858,($D858-$C858)*24,(1-$C858+$D858)*24))</f>
        <v/>
      </c>
      <c r="L858" s="34" t="n"/>
      <c r="M858" s="53">
        <f t="array" ref="M858">IFERROR(INDEX(EXCEPCIONES_FECHA!$D$2:$D$201,MATCH(1,(EXCEPCIONES_FECHA!$A$2:$A$201=$A858)*(EXCEPCIONES_FECHA!$B$2:$B$201=$B858),0)),IFERROR(INDEX(EXCEPCIONES_FECHA!$D$2:$D$201,MATCH(1,(EXCEPCIONES_FECHA!$A$2:$A$201=$A858)*(EXCEPCIONES_FECHA!$B$2:$B$201=""),0)),IFERROR(INDEX(IF($I858="FIN",HISTORIAL_HORARIOS!$J$2:$J$201,HISTORIAL_HORARIOS!$F$2:$F$201),MATCH(1,(HISTORIAL_HORARIOS!$A$2:$A$201=$B858)*(HISTORIAL_HORARIOS!$C$2:$C$201&lt;=$A858)*(HISTORIAL_HORARIOS!$D$2:$D$201&gt;=$A858),0)),INDEX(IF($I858="FIN",PERSONAL!$J$2:$J$80,PERSONAL!$F$2:$F$80),MATCH($B858,PERSONAL!$A$2:$A$80,0)))))</f>
        <v/>
      </c>
      <c r="N858" s="53">
        <f t="array" ref="N858">IFERROR(INDEX(EXCEPCIONES_FECHA!$E$2:$E$201,MATCH(1,(EXCEPCIONES_FECHA!$A$2:$A$201=$A858)*(EXCEPCIONES_FECHA!$B$2:$B$201=$B858),0)),IFERROR(INDEX(EXCEPCIONES_FECHA!$E$2:$E$201,MATCH(1,(EXCEPCIONES_FECHA!$A$2:$A$201=$A858)*(EXCEPCIONES_FECHA!$B$2:$B$201=""),0)),IFERROR(INDEX(IF($I858="FIN",HISTORIAL_HORARIOS!$K$2:$K$201,HISTORIAL_HORARIOS!$G$2:$G$201),MATCH(1,(HISTORIAL_HORARIOS!$A$2:$A$201=$B858)*(HISTORIAL_HORARIOS!$C$2:$C$201&lt;=$A858)*(HISTORIAL_HORARIOS!$D$2:$D$201&gt;=$A858),0)),INDEX(IF($I858="FIN",PERSONAL!$K$2:$K$80,PERSONAL!$G$2:$G$80),MATCH($B858,PERSONAL!$A$2:$A$80,0)))))</f>
        <v/>
      </c>
      <c r="O858" s="53">
        <f t="array" ref="O858">IFERROR(INDEX(EXCEPCIONES_FECHA!$F$2:$F$201,MATCH(1,(EXCEPCIONES_FECHA!$A$2:$A$201=$A858)*(EXCEPCIONES_FECHA!$B$2:$B$201=$B858),0)),IFERROR(INDEX(EXCEPCIONES_FECHA!$F$2:$F$201,MATCH(1,(EXCEPCIONES_FECHA!$A$2:$A$201=$A858)*(EXCEPCIONES_FECHA!$B$2:$B$201=""),0)),IFERROR(INDEX(IF($I858="FIN",HISTORIAL_HORARIOS!$L$2:$L$201,HISTORIAL_HORARIOS!$H$2:$H$201),MATCH(1,(HISTORIAL_HORARIOS!$A$2:$A$201=$B858)*(HISTORIAL_HORARIOS!$C$2:$C$201&lt;=$A858)*(HISTORIAL_HORARIOS!$D$2:$D$201&gt;=$A858),0)),INDEX(IF($I858="FIN",PERSONAL!$L$2:$L$80,PERSONAL!$H$2:$H$80),MATCH($B858,PERSONAL!$A$2:$A$80,0)))))</f>
        <v/>
      </c>
    </row>
    <row r="859" ht="15" customHeight="1" s="58">
      <c r="A859" s="40" t="n"/>
      <c r="B859" s="38" t="n"/>
      <c r="C859" s="40" t="n"/>
      <c r="D859" s="40" t="n"/>
      <c r="E859" s="34">
        <f t="array" ref="E859">IF($B859="","",IFERROR(INDEX(PERSONAL!$B$2:$B$80,MATCH($B859,PERSONAL!$A$2:$A$80,0)),"NO EXISTE"))</f>
        <v/>
      </c>
      <c r="F859" s="34">
        <f t="array" ref="F859">IF($B859="","",IFERROR(INDEX(PERSONAL!$C$2:$C$80,MATCH($B859,PERSONAL!$A$2:$A$80,0)),""))</f>
        <v/>
      </c>
      <c r="G859" s="34">
        <f>IF($A859="","",CHOOSE(WEEKDAY($A859,2),"LUNES","MARTES","MIÉRCOLES","JUEVES","VIERNES","SÁBADO","DOMINGO"))</f>
        <v/>
      </c>
      <c r="H859" s="34">
        <f>IF($A859="","",CHOOSE(MONTH($A859),"ENERO","FEBRERO","MARZO","ABRIL","MAYO","JUNIO","JULIO","AGOSTO","SEPTIEMBRE","OCTUBRE","NOVIEMBRE","DICIEMBRE"))</f>
        <v/>
      </c>
      <c r="I859" s="34">
        <f>IF($A859="","",IF(OR($G859="SÁBADO",$G859="DOMINGO"),"FIN","LV"))</f>
        <v/>
      </c>
      <c r="J859" s="34">
        <f>IF(OR($A859="",$B859=""),"",IF($L859&lt;&gt;"",UPPER($L859),IF($C859="","FALTA",IFERROR(IF($C859&gt;=$O859,"ROJO FUERTE",IF($C859&gt;=$N859,"ROJO",IF($C859&gt;=$M859,"AMARILLO","VERDE"))),"REVISAR"))))</f>
        <v/>
      </c>
      <c r="K859" s="36">
        <f>IF(OR($C859="",$D859=""),"",IF($D859&gt;=$C859,($D859-$C859)*24,(1-$C859+$D859)*24))</f>
        <v/>
      </c>
      <c r="L859" s="34" t="n"/>
      <c r="M859" s="53">
        <f t="array" ref="M859">IFERROR(INDEX(EXCEPCIONES_FECHA!$D$2:$D$201,MATCH(1,(EXCEPCIONES_FECHA!$A$2:$A$201=$A859)*(EXCEPCIONES_FECHA!$B$2:$B$201=$B859),0)),IFERROR(INDEX(EXCEPCIONES_FECHA!$D$2:$D$201,MATCH(1,(EXCEPCIONES_FECHA!$A$2:$A$201=$A859)*(EXCEPCIONES_FECHA!$B$2:$B$201=""),0)),IFERROR(INDEX(IF($I859="FIN",HISTORIAL_HORARIOS!$J$2:$J$201,HISTORIAL_HORARIOS!$F$2:$F$201),MATCH(1,(HISTORIAL_HORARIOS!$A$2:$A$201=$B859)*(HISTORIAL_HORARIOS!$C$2:$C$201&lt;=$A859)*(HISTORIAL_HORARIOS!$D$2:$D$201&gt;=$A859),0)),INDEX(IF($I859="FIN",PERSONAL!$J$2:$J$80,PERSONAL!$F$2:$F$80),MATCH($B859,PERSONAL!$A$2:$A$80,0)))))</f>
        <v/>
      </c>
      <c r="N859" s="53">
        <f t="array" ref="N859">IFERROR(INDEX(EXCEPCIONES_FECHA!$E$2:$E$201,MATCH(1,(EXCEPCIONES_FECHA!$A$2:$A$201=$A859)*(EXCEPCIONES_FECHA!$B$2:$B$201=$B859),0)),IFERROR(INDEX(EXCEPCIONES_FECHA!$E$2:$E$201,MATCH(1,(EXCEPCIONES_FECHA!$A$2:$A$201=$A859)*(EXCEPCIONES_FECHA!$B$2:$B$201=""),0)),IFERROR(INDEX(IF($I859="FIN",HISTORIAL_HORARIOS!$K$2:$K$201,HISTORIAL_HORARIOS!$G$2:$G$201),MATCH(1,(HISTORIAL_HORARIOS!$A$2:$A$201=$B859)*(HISTORIAL_HORARIOS!$C$2:$C$201&lt;=$A859)*(HISTORIAL_HORARIOS!$D$2:$D$201&gt;=$A859),0)),INDEX(IF($I859="FIN",PERSONAL!$K$2:$K$80,PERSONAL!$G$2:$G$80),MATCH($B859,PERSONAL!$A$2:$A$80,0)))))</f>
        <v/>
      </c>
      <c r="O859" s="53">
        <f t="array" ref="O859">IFERROR(INDEX(EXCEPCIONES_FECHA!$F$2:$F$201,MATCH(1,(EXCEPCIONES_FECHA!$A$2:$A$201=$A859)*(EXCEPCIONES_FECHA!$B$2:$B$201=$B859),0)),IFERROR(INDEX(EXCEPCIONES_FECHA!$F$2:$F$201,MATCH(1,(EXCEPCIONES_FECHA!$A$2:$A$201=$A859)*(EXCEPCIONES_FECHA!$B$2:$B$201=""),0)),IFERROR(INDEX(IF($I859="FIN",HISTORIAL_HORARIOS!$L$2:$L$201,HISTORIAL_HORARIOS!$H$2:$H$201),MATCH(1,(HISTORIAL_HORARIOS!$A$2:$A$201=$B859)*(HISTORIAL_HORARIOS!$C$2:$C$201&lt;=$A859)*(HISTORIAL_HORARIOS!$D$2:$D$201&gt;=$A859),0)),INDEX(IF($I859="FIN",PERSONAL!$L$2:$L$80,PERSONAL!$H$2:$H$80),MATCH($B859,PERSONAL!$A$2:$A$80,0)))))</f>
        <v/>
      </c>
    </row>
    <row r="860" ht="15" customHeight="1" s="58">
      <c r="A860" s="40" t="n"/>
      <c r="B860" s="38" t="n"/>
      <c r="C860" s="40" t="n"/>
      <c r="D860" s="40" t="n"/>
      <c r="E860" s="34">
        <f t="array" ref="E860">IF($B860="","",IFERROR(INDEX(PERSONAL!$B$2:$B$80,MATCH($B860,PERSONAL!$A$2:$A$80,0)),"NO EXISTE"))</f>
        <v/>
      </c>
      <c r="F860" s="34">
        <f t="array" ref="F860">IF($B860="","",IFERROR(INDEX(PERSONAL!$C$2:$C$80,MATCH($B860,PERSONAL!$A$2:$A$80,0)),""))</f>
        <v/>
      </c>
      <c r="G860" s="34">
        <f>IF($A860="","",CHOOSE(WEEKDAY($A860,2),"LUNES","MARTES","MIÉRCOLES","JUEVES","VIERNES","SÁBADO","DOMINGO"))</f>
        <v/>
      </c>
      <c r="H860" s="34">
        <f>IF($A860="","",CHOOSE(MONTH($A860),"ENERO","FEBRERO","MARZO","ABRIL","MAYO","JUNIO","JULIO","AGOSTO","SEPTIEMBRE","OCTUBRE","NOVIEMBRE","DICIEMBRE"))</f>
        <v/>
      </c>
      <c r="I860" s="34">
        <f>IF($A860="","",IF(OR($G860="SÁBADO",$G860="DOMINGO"),"FIN","LV"))</f>
        <v/>
      </c>
      <c r="J860" s="34">
        <f>IF(OR($A860="",$B860=""),"",IF($L860&lt;&gt;"",UPPER($L860),IF($C860="","FALTA",IFERROR(IF($C860&gt;=$O860,"ROJO FUERTE",IF($C860&gt;=$N860,"ROJO",IF($C860&gt;=$M860,"AMARILLO","VERDE"))),"REVISAR"))))</f>
        <v/>
      </c>
      <c r="K860" s="36">
        <f>IF(OR($C860="",$D860=""),"",IF($D860&gt;=$C860,($D860-$C860)*24,(1-$C860+$D860)*24))</f>
        <v/>
      </c>
      <c r="L860" s="34" t="n"/>
      <c r="M860" s="53">
        <f t="array" ref="M860">IFERROR(INDEX(EXCEPCIONES_FECHA!$D$2:$D$201,MATCH(1,(EXCEPCIONES_FECHA!$A$2:$A$201=$A860)*(EXCEPCIONES_FECHA!$B$2:$B$201=$B860),0)),IFERROR(INDEX(EXCEPCIONES_FECHA!$D$2:$D$201,MATCH(1,(EXCEPCIONES_FECHA!$A$2:$A$201=$A860)*(EXCEPCIONES_FECHA!$B$2:$B$201=""),0)),IFERROR(INDEX(IF($I860="FIN",HISTORIAL_HORARIOS!$J$2:$J$201,HISTORIAL_HORARIOS!$F$2:$F$201),MATCH(1,(HISTORIAL_HORARIOS!$A$2:$A$201=$B860)*(HISTORIAL_HORARIOS!$C$2:$C$201&lt;=$A860)*(HISTORIAL_HORARIOS!$D$2:$D$201&gt;=$A860),0)),INDEX(IF($I860="FIN",PERSONAL!$J$2:$J$80,PERSONAL!$F$2:$F$80),MATCH($B860,PERSONAL!$A$2:$A$80,0)))))</f>
        <v/>
      </c>
      <c r="N860" s="53">
        <f t="array" ref="N860">IFERROR(INDEX(EXCEPCIONES_FECHA!$E$2:$E$201,MATCH(1,(EXCEPCIONES_FECHA!$A$2:$A$201=$A860)*(EXCEPCIONES_FECHA!$B$2:$B$201=$B860),0)),IFERROR(INDEX(EXCEPCIONES_FECHA!$E$2:$E$201,MATCH(1,(EXCEPCIONES_FECHA!$A$2:$A$201=$A860)*(EXCEPCIONES_FECHA!$B$2:$B$201=""),0)),IFERROR(INDEX(IF($I860="FIN",HISTORIAL_HORARIOS!$K$2:$K$201,HISTORIAL_HORARIOS!$G$2:$G$201),MATCH(1,(HISTORIAL_HORARIOS!$A$2:$A$201=$B860)*(HISTORIAL_HORARIOS!$C$2:$C$201&lt;=$A860)*(HISTORIAL_HORARIOS!$D$2:$D$201&gt;=$A860),0)),INDEX(IF($I860="FIN",PERSONAL!$K$2:$K$80,PERSONAL!$G$2:$G$80),MATCH($B860,PERSONAL!$A$2:$A$80,0)))))</f>
        <v/>
      </c>
      <c r="O860" s="53">
        <f t="array" ref="O860">IFERROR(INDEX(EXCEPCIONES_FECHA!$F$2:$F$201,MATCH(1,(EXCEPCIONES_FECHA!$A$2:$A$201=$A860)*(EXCEPCIONES_FECHA!$B$2:$B$201=$B860),0)),IFERROR(INDEX(EXCEPCIONES_FECHA!$F$2:$F$201,MATCH(1,(EXCEPCIONES_FECHA!$A$2:$A$201=$A860)*(EXCEPCIONES_FECHA!$B$2:$B$201=""),0)),IFERROR(INDEX(IF($I860="FIN",HISTORIAL_HORARIOS!$L$2:$L$201,HISTORIAL_HORARIOS!$H$2:$H$201),MATCH(1,(HISTORIAL_HORARIOS!$A$2:$A$201=$B860)*(HISTORIAL_HORARIOS!$C$2:$C$201&lt;=$A860)*(HISTORIAL_HORARIOS!$D$2:$D$201&gt;=$A860),0)),INDEX(IF($I860="FIN",PERSONAL!$L$2:$L$80,PERSONAL!$H$2:$H$80),MATCH($B860,PERSONAL!$A$2:$A$80,0)))))</f>
        <v/>
      </c>
    </row>
    <row r="861" ht="15" customHeight="1" s="58">
      <c r="A861" s="40" t="n"/>
      <c r="B861" s="38" t="n"/>
      <c r="C861" s="40" t="n"/>
      <c r="D861" s="40" t="n"/>
      <c r="E861" s="34">
        <f t="array" ref="E861">IF($B861="","",IFERROR(INDEX(PERSONAL!$B$2:$B$80,MATCH($B861,PERSONAL!$A$2:$A$80,0)),"NO EXISTE"))</f>
        <v/>
      </c>
      <c r="F861" s="34">
        <f t="array" ref="F861">IF($B861="","",IFERROR(INDEX(PERSONAL!$C$2:$C$80,MATCH($B861,PERSONAL!$A$2:$A$80,0)),""))</f>
        <v/>
      </c>
      <c r="G861" s="34">
        <f>IF($A861="","",CHOOSE(WEEKDAY($A861,2),"LUNES","MARTES","MIÉRCOLES","JUEVES","VIERNES","SÁBADO","DOMINGO"))</f>
        <v/>
      </c>
      <c r="H861" s="34">
        <f>IF($A861="","",CHOOSE(MONTH($A861),"ENERO","FEBRERO","MARZO","ABRIL","MAYO","JUNIO","JULIO","AGOSTO","SEPTIEMBRE","OCTUBRE","NOVIEMBRE","DICIEMBRE"))</f>
        <v/>
      </c>
      <c r="I861" s="34">
        <f>IF($A861="","",IF(OR($G861="SÁBADO",$G861="DOMINGO"),"FIN","LV"))</f>
        <v/>
      </c>
      <c r="J861" s="34">
        <f>IF(OR($A861="",$B861=""),"",IF($L861&lt;&gt;"",UPPER($L861),IF($C861="","FALTA",IFERROR(IF($C861&gt;=$O861,"ROJO FUERTE",IF($C861&gt;=$N861,"ROJO",IF($C861&gt;=$M861,"AMARILLO","VERDE"))),"REVISAR"))))</f>
        <v/>
      </c>
      <c r="K861" s="36">
        <f>IF(OR($C861="",$D861=""),"",IF($D861&gt;=$C861,($D861-$C861)*24,(1-$C861+$D861)*24))</f>
        <v/>
      </c>
      <c r="L861" s="34" t="n"/>
      <c r="M861" s="53">
        <f t="array" ref="M861">IFERROR(INDEX(EXCEPCIONES_FECHA!$D$2:$D$201,MATCH(1,(EXCEPCIONES_FECHA!$A$2:$A$201=$A861)*(EXCEPCIONES_FECHA!$B$2:$B$201=$B861),0)),IFERROR(INDEX(EXCEPCIONES_FECHA!$D$2:$D$201,MATCH(1,(EXCEPCIONES_FECHA!$A$2:$A$201=$A861)*(EXCEPCIONES_FECHA!$B$2:$B$201=""),0)),IFERROR(INDEX(IF($I861="FIN",HISTORIAL_HORARIOS!$J$2:$J$201,HISTORIAL_HORARIOS!$F$2:$F$201),MATCH(1,(HISTORIAL_HORARIOS!$A$2:$A$201=$B861)*(HISTORIAL_HORARIOS!$C$2:$C$201&lt;=$A861)*(HISTORIAL_HORARIOS!$D$2:$D$201&gt;=$A861),0)),INDEX(IF($I861="FIN",PERSONAL!$J$2:$J$80,PERSONAL!$F$2:$F$80),MATCH($B861,PERSONAL!$A$2:$A$80,0)))))</f>
        <v/>
      </c>
      <c r="N861" s="53">
        <f t="array" ref="N861">IFERROR(INDEX(EXCEPCIONES_FECHA!$E$2:$E$201,MATCH(1,(EXCEPCIONES_FECHA!$A$2:$A$201=$A861)*(EXCEPCIONES_FECHA!$B$2:$B$201=$B861),0)),IFERROR(INDEX(EXCEPCIONES_FECHA!$E$2:$E$201,MATCH(1,(EXCEPCIONES_FECHA!$A$2:$A$201=$A861)*(EXCEPCIONES_FECHA!$B$2:$B$201=""),0)),IFERROR(INDEX(IF($I861="FIN",HISTORIAL_HORARIOS!$K$2:$K$201,HISTORIAL_HORARIOS!$G$2:$G$201),MATCH(1,(HISTORIAL_HORARIOS!$A$2:$A$201=$B861)*(HISTORIAL_HORARIOS!$C$2:$C$201&lt;=$A861)*(HISTORIAL_HORARIOS!$D$2:$D$201&gt;=$A861),0)),INDEX(IF($I861="FIN",PERSONAL!$K$2:$K$80,PERSONAL!$G$2:$G$80),MATCH($B861,PERSONAL!$A$2:$A$80,0)))))</f>
        <v/>
      </c>
      <c r="O861" s="53">
        <f t="array" ref="O861">IFERROR(INDEX(EXCEPCIONES_FECHA!$F$2:$F$201,MATCH(1,(EXCEPCIONES_FECHA!$A$2:$A$201=$A861)*(EXCEPCIONES_FECHA!$B$2:$B$201=$B861),0)),IFERROR(INDEX(EXCEPCIONES_FECHA!$F$2:$F$201,MATCH(1,(EXCEPCIONES_FECHA!$A$2:$A$201=$A861)*(EXCEPCIONES_FECHA!$B$2:$B$201=""),0)),IFERROR(INDEX(IF($I861="FIN",HISTORIAL_HORARIOS!$L$2:$L$201,HISTORIAL_HORARIOS!$H$2:$H$201),MATCH(1,(HISTORIAL_HORARIOS!$A$2:$A$201=$B861)*(HISTORIAL_HORARIOS!$C$2:$C$201&lt;=$A861)*(HISTORIAL_HORARIOS!$D$2:$D$201&gt;=$A861),0)),INDEX(IF($I861="FIN",PERSONAL!$L$2:$L$80,PERSONAL!$H$2:$H$80),MATCH($B861,PERSONAL!$A$2:$A$80,0)))))</f>
        <v/>
      </c>
    </row>
    <row r="862" ht="15" customHeight="1" s="58">
      <c r="A862" s="40" t="n"/>
      <c r="B862" s="38" t="n"/>
      <c r="C862" s="40" t="n"/>
      <c r="D862" s="40" t="n"/>
      <c r="E862" s="34">
        <f t="array" ref="E862">IF($B862="","",IFERROR(INDEX(PERSONAL!$B$2:$B$80,MATCH($B862,PERSONAL!$A$2:$A$80,0)),"NO EXISTE"))</f>
        <v/>
      </c>
      <c r="F862" s="34">
        <f t="array" ref="F862">IF($B862="","",IFERROR(INDEX(PERSONAL!$C$2:$C$80,MATCH($B862,PERSONAL!$A$2:$A$80,0)),""))</f>
        <v/>
      </c>
      <c r="G862" s="34">
        <f>IF($A862="","",CHOOSE(WEEKDAY($A862,2),"LUNES","MARTES","MIÉRCOLES","JUEVES","VIERNES","SÁBADO","DOMINGO"))</f>
        <v/>
      </c>
      <c r="H862" s="34">
        <f>IF($A862="","",CHOOSE(MONTH($A862),"ENERO","FEBRERO","MARZO","ABRIL","MAYO","JUNIO","JULIO","AGOSTO","SEPTIEMBRE","OCTUBRE","NOVIEMBRE","DICIEMBRE"))</f>
        <v/>
      </c>
      <c r="I862" s="34">
        <f>IF($A862="","",IF(OR($G862="SÁBADO",$G862="DOMINGO"),"FIN","LV"))</f>
        <v/>
      </c>
      <c r="J862" s="34">
        <f>IF(OR($A862="",$B862=""),"",IF($L862&lt;&gt;"",UPPER($L862),IF($C862="","FALTA",IFERROR(IF($C862&gt;=$O862,"ROJO FUERTE",IF($C862&gt;=$N862,"ROJO",IF($C862&gt;=$M862,"AMARILLO","VERDE"))),"REVISAR"))))</f>
        <v/>
      </c>
      <c r="K862" s="36">
        <f>IF(OR($C862="",$D862=""),"",IF($D862&gt;=$C862,($D862-$C862)*24,(1-$C862+$D862)*24))</f>
        <v/>
      </c>
      <c r="L862" s="34" t="n"/>
      <c r="M862" s="53">
        <f t="array" ref="M862">IFERROR(INDEX(EXCEPCIONES_FECHA!$D$2:$D$201,MATCH(1,(EXCEPCIONES_FECHA!$A$2:$A$201=$A862)*(EXCEPCIONES_FECHA!$B$2:$B$201=$B862),0)),IFERROR(INDEX(EXCEPCIONES_FECHA!$D$2:$D$201,MATCH(1,(EXCEPCIONES_FECHA!$A$2:$A$201=$A862)*(EXCEPCIONES_FECHA!$B$2:$B$201=""),0)),IFERROR(INDEX(IF($I862="FIN",HISTORIAL_HORARIOS!$J$2:$J$201,HISTORIAL_HORARIOS!$F$2:$F$201),MATCH(1,(HISTORIAL_HORARIOS!$A$2:$A$201=$B862)*(HISTORIAL_HORARIOS!$C$2:$C$201&lt;=$A862)*(HISTORIAL_HORARIOS!$D$2:$D$201&gt;=$A862),0)),INDEX(IF($I862="FIN",PERSONAL!$J$2:$J$80,PERSONAL!$F$2:$F$80),MATCH($B862,PERSONAL!$A$2:$A$80,0)))))</f>
        <v/>
      </c>
      <c r="N862" s="53">
        <f t="array" ref="N862">IFERROR(INDEX(EXCEPCIONES_FECHA!$E$2:$E$201,MATCH(1,(EXCEPCIONES_FECHA!$A$2:$A$201=$A862)*(EXCEPCIONES_FECHA!$B$2:$B$201=$B862),0)),IFERROR(INDEX(EXCEPCIONES_FECHA!$E$2:$E$201,MATCH(1,(EXCEPCIONES_FECHA!$A$2:$A$201=$A862)*(EXCEPCIONES_FECHA!$B$2:$B$201=""),0)),IFERROR(INDEX(IF($I862="FIN",HISTORIAL_HORARIOS!$K$2:$K$201,HISTORIAL_HORARIOS!$G$2:$G$201),MATCH(1,(HISTORIAL_HORARIOS!$A$2:$A$201=$B862)*(HISTORIAL_HORARIOS!$C$2:$C$201&lt;=$A862)*(HISTORIAL_HORARIOS!$D$2:$D$201&gt;=$A862),0)),INDEX(IF($I862="FIN",PERSONAL!$K$2:$K$80,PERSONAL!$G$2:$G$80),MATCH($B862,PERSONAL!$A$2:$A$80,0)))))</f>
        <v/>
      </c>
      <c r="O862" s="53">
        <f t="array" ref="O862">IFERROR(INDEX(EXCEPCIONES_FECHA!$F$2:$F$201,MATCH(1,(EXCEPCIONES_FECHA!$A$2:$A$201=$A862)*(EXCEPCIONES_FECHA!$B$2:$B$201=$B862),0)),IFERROR(INDEX(EXCEPCIONES_FECHA!$F$2:$F$201,MATCH(1,(EXCEPCIONES_FECHA!$A$2:$A$201=$A862)*(EXCEPCIONES_FECHA!$B$2:$B$201=""),0)),IFERROR(INDEX(IF($I862="FIN",HISTORIAL_HORARIOS!$L$2:$L$201,HISTORIAL_HORARIOS!$H$2:$H$201),MATCH(1,(HISTORIAL_HORARIOS!$A$2:$A$201=$B862)*(HISTORIAL_HORARIOS!$C$2:$C$201&lt;=$A862)*(HISTORIAL_HORARIOS!$D$2:$D$201&gt;=$A862),0)),INDEX(IF($I862="FIN",PERSONAL!$L$2:$L$80,PERSONAL!$H$2:$H$80),MATCH($B862,PERSONAL!$A$2:$A$80,0)))))</f>
        <v/>
      </c>
    </row>
    <row r="863" ht="15" customHeight="1" s="58">
      <c r="A863" s="40" t="n"/>
      <c r="B863" s="38" t="n"/>
      <c r="C863" s="40" t="n"/>
      <c r="D863" s="40" t="n"/>
      <c r="E863" s="34">
        <f t="array" ref="E863">IF($B863="","",IFERROR(INDEX(PERSONAL!$B$2:$B$80,MATCH($B863,PERSONAL!$A$2:$A$80,0)),"NO EXISTE"))</f>
        <v/>
      </c>
      <c r="F863" s="34">
        <f t="array" ref="F863">IF($B863="","",IFERROR(INDEX(PERSONAL!$C$2:$C$80,MATCH($B863,PERSONAL!$A$2:$A$80,0)),""))</f>
        <v/>
      </c>
      <c r="G863" s="34">
        <f>IF($A863="","",CHOOSE(WEEKDAY($A863,2),"LUNES","MARTES","MIÉRCOLES","JUEVES","VIERNES","SÁBADO","DOMINGO"))</f>
        <v/>
      </c>
      <c r="H863" s="34">
        <f>IF($A863="","",CHOOSE(MONTH($A863),"ENERO","FEBRERO","MARZO","ABRIL","MAYO","JUNIO","JULIO","AGOSTO","SEPTIEMBRE","OCTUBRE","NOVIEMBRE","DICIEMBRE"))</f>
        <v/>
      </c>
      <c r="I863" s="34">
        <f>IF($A863="","",IF(OR($G863="SÁBADO",$G863="DOMINGO"),"FIN","LV"))</f>
        <v/>
      </c>
      <c r="J863" s="34">
        <f>IF(OR($A863="",$B863=""),"",IF($L863&lt;&gt;"",UPPER($L863),IF($C863="","FALTA",IFERROR(IF($C863&gt;=$O863,"ROJO FUERTE",IF($C863&gt;=$N863,"ROJO",IF($C863&gt;=$M863,"AMARILLO","VERDE"))),"REVISAR"))))</f>
        <v/>
      </c>
      <c r="K863" s="36">
        <f>IF(OR($C863="",$D863=""),"",IF($D863&gt;=$C863,($D863-$C863)*24,(1-$C863+$D863)*24))</f>
        <v/>
      </c>
      <c r="L863" s="34" t="n"/>
      <c r="M863" s="53">
        <f t="array" ref="M863">IFERROR(INDEX(EXCEPCIONES_FECHA!$D$2:$D$201,MATCH(1,(EXCEPCIONES_FECHA!$A$2:$A$201=$A863)*(EXCEPCIONES_FECHA!$B$2:$B$201=$B863),0)),IFERROR(INDEX(EXCEPCIONES_FECHA!$D$2:$D$201,MATCH(1,(EXCEPCIONES_FECHA!$A$2:$A$201=$A863)*(EXCEPCIONES_FECHA!$B$2:$B$201=""),0)),IFERROR(INDEX(IF($I863="FIN",HISTORIAL_HORARIOS!$J$2:$J$201,HISTORIAL_HORARIOS!$F$2:$F$201),MATCH(1,(HISTORIAL_HORARIOS!$A$2:$A$201=$B863)*(HISTORIAL_HORARIOS!$C$2:$C$201&lt;=$A863)*(HISTORIAL_HORARIOS!$D$2:$D$201&gt;=$A863),0)),INDEX(IF($I863="FIN",PERSONAL!$J$2:$J$80,PERSONAL!$F$2:$F$80),MATCH($B863,PERSONAL!$A$2:$A$80,0)))))</f>
        <v/>
      </c>
      <c r="N863" s="53">
        <f t="array" ref="N863">IFERROR(INDEX(EXCEPCIONES_FECHA!$E$2:$E$201,MATCH(1,(EXCEPCIONES_FECHA!$A$2:$A$201=$A863)*(EXCEPCIONES_FECHA!$B$2:$B$201=$B863),0)),IFERROR(INDEX(EXCEPCIONES_FECHA!$E$2:$E$201,MATCH(1,(EXCEPCIONES_FECHA!$A$2:$A$201=$A863)*(EXCEPCIONES_FECHA!$B$2:$B$201=""),0)),IFERROR(INDEX(IF($I863="FIN",HISTORIAL_HORARIOS!$K$2:$K$201,HISTORIAL_HORARIOS!$G$2:$G$201),MATCH(1,(HISTORIAL_HORARIOS!$A$2:$A$201=$B863)*(HISTORIAL_HORARIOS!$C$2:$C$201&lt;=$A863)*(HISTORIAL_HORARIOS!$D$2:$D$201&gt;=$A863),0)),INDEX(IF($I863="FIN",PERSONAL!$K$2:$K$80,PERSONAL!$G$2:$G$80),MATCH($B863,PERSONAL!$A$2:$A$80,0)))))</f>
        <v/>
      </c>
      <c r="O863" s="53">
        <f t="array" ref="O863">IFERROR(INDEX(EXCEPCIONES_FECHA!$F$2:$F$201,MATCH(1,(EXCEPCIONES_FECHA!$A$2:$A$201=$A863)*(EXCEPCIONES_FECHA!$B$2:$B$201=$B863),0)),IFERROR(INDEX(EXCEPCIONES_FECHA!$F$2:$F$201,MATCH(1,(EXCEPCIONES_FECHA!$A$2:$A$201=$A863)*(EXCEPCIONES_FECHA!$B$2:$B$201=""),0)),IFERROR(INDEX(IF($I863="FIN",HISTORIAL_HORARIOS!$L$2:$L$201,HISTORIAL_HORARIOS!$H$2:$H$201),MATCH(1,(HISTORIAL_HORARIOS!$A$2:$A$201=$B863)*(HISTORIAL_HORARIOS!$C$2:$C$201&lt;=$A863)*(HISTORIAL_HORARIOS!$D$2:$D$201&gt;=$A863),0)),INDEX(IF($I863="FIN",PERSONAL!$L$2:$L$80,PERSONAL!$H$2:$H$80),MATCH($B863,PERSONAL!$A$2:$A$80,0)))))</f>
        <v/>
      </c>
    </row>
    <row r="864" ht="15" customHeight="1" s="58">
      <c r="A864" s="40" t="n"/>
      <c r="B864" s="38" t="n"/>
      <c r="C864" s="40" t="n"/>
      <c r="D864" s="40" t="n"/>
      <c r="E864" s="34">
        <f t="array" ref="E864">IF($B864="","",IFERROR(INDEX(PERSONAL!$B$2:$B$80,MATCH($B864,PERSONAL!$A$2:$A$80,0)),"NO EXISTE"))</f>
        <v/>
      </c>
      <c r="F864" s="34">
        <f t="array" ref="F864">IF($B864="","",IFERROR(INDEX(PERSONAL!$C$2:$C$80,MATCH($B864,PERSONAL!$A$2:$A$80,0)),""))</f>
        <v/>
      </c>
      <c r="G864" s="34">
        <f>IF($A864="","",CHOOSE(WEEKDAY($A864,2),"LUNES","MARTES","MIÉRCOLES","JUEVES","VIERNES","SÁBADO","DOMINGO"))</f>
        <v/>
      </c>
      <c r="H864" s="34">
        <f>IF($A864="","",CHOOSE(MONTH($A864),"ENERO","FEBRERO","MARZO","ABRIL","MAYO","JUNIO","JULIO","AGOSTO","SEPTIEMBRE","OCTUBRE","NOVIEMBRE","DICIEMBRE"))</f>
        <v/>
      </c>
      <c r="I864" s="34">
        <f>IF($A864="","",IF(OR($G864="SÁBADO",$G864="DOMINGO"),"FIN","LV"))</f>
        <v/>
      </c>
      <c r="J864" s="34">
        <f>IF(OR($A864="",$B864=""),"",IF($L864&lt;&gt;"",UPPER($L864),IF($C864="","FALTA",IFERROR(IF($C864&gt;=$O864,"ROJO FUERTE",IF($C864&gt;=$N864,"ROJO",IF($C864&gt;=$M864,"AMARILLO","VERDE"))),"REVISAR"))))</f>
        <v/>
      </c>
      <c r="K864" s="36">
        <f>IF(OR($C864="",$D864=""),"",IF($D864&gt;=$C864,($D864-$C864)*24,(1-$C864+$D864)*24))</f>
        <v/>
      </c>
      <c r="L864" s="34" t="n"/>
      <c r="M864" s="53">
        <f t="array" ref="M864">IFERROR(INDEX(EXCEPCIONES_FECHA!$D$2:$D$201,MATCH(1,(EXCEPCIONES_FECHA!$A$2:$A$201=$A864)*(EXCEPCIONES_FECHA!$B$2:$B$201=$B864),0)),IFERROR(INDEX(EXCEPCIONES_FECHA!$D$2:$D$201,MATCH(1,(EXCEPCIONES_FECHA!$A$2:$A$201=$A864)*(EXCEPCIONES_FECHA!$B$2:$B$201=""),0)),IFERROR(INDEX(IF($I864="FIN",HISTORIAL_HORARIOS!$J$2:$J$201,HISTORIAL_HORARIOS!$F$2:$F$201),MATCH(1,(HISTORIAL_HORARIOS!$A$2:$A$201=$B864)*(HISTORIAL_HORARIOS!$C$2:$C$201&lt;=$A864)*(HISTORIAL_HORARIOS!$D$2:$D$201&gt;=$A864),0)),INDEX(IF($I864="FIN",PERSONAL!$J$2:$J$80,PERSONAL!$F$2:$F$80),MATCH($B864,PERSONAL!$A$2:$A$80,0)))))</f>
        <v/>
      </c>
      <c r="N864" s="53">
        <f t="array" ref="N864">IFERROR(INDEX(EXCEPCIONES_FECHA!$E$2:$E$201,MATCH(1,(EXCEPCIONES_FECHA!$A$2:$A$201=$A864)*(EXCEPCIONES_FECHA!$B$2:$B$201=$B864),0)),IFERROR(INDEX(EXCEPCIONES_FECHA!$E$2:$E$201,MATCH(1,(EXCEPCIONES_FECHA!$A$2:$A$201=$A864)*(EXCEPCIONES_FECHA!$B$2:$B$201=""),0)),IFERROR(INDEX(IF($I864="FIN",HISTORIAL_HORARIOS!$K$2:$K$201,HISTORIAL_HORARIOS!$G$2:$G$201),MATCH(1,(HISTORIAL_HORARIOS!$A$2:$A$201=$B864)*(HISTORIAL_HORARIOS!$C$2:$C$201&lt;=$A864)*(HISTORIAL_HORARIOS!$D$2:$D$201&gt;=$A864),0)),INDEX(IF($I864="FIN",PERSONAL!$K$2:$K$80,PERSONAL!$G$2:$G$80),MATCH($B864,PERSONAL!$A$2:$A$80,0)))))</f>
        <v/>
      </c>
      <c r="O864" s="53">
        <f t="array" ref="O864">IFERROR(INDEX(EXCEPCIONES_FECHA!$F$2:$F$201,MATCH(1,(EXCEPCIONES_FECHA!$A$2:$A$201=$A864)*(EXCEPCIONES_FECHA!$B$2:$B$201=$B864),0)),IFERROR(INDEX(EXCEPCIONES_FECHA!$F$2:$F$201,MATCH(1,(EXCEPCIONES_FECHA!$A$2:$A$201=$A864)*(EXCEPCIONES_FECHA!$B$2:$B$201=""),0)),IFERROR(INDEX(IF($I864="FIN",HISTORIAL_HORARIOS!$L$2:$L$201,HISTORIAL_HORARIOS!$H$2:$H$201),MATCH(1,(HISTORIAL_HORARIOS!$A$2:$A$201=$B864)*(HISTORIAL_HORARIOS!$C$2:$C$201&lt;=$A864)*(HISTORIAL_HORARIOS!$D$2:$D$201&gt;=$A864),0)),INDEX(IF($I864="FIN",PERSONAL!$L$2:$L$80,PERSONAL!$H$2:$H$80),MATCH($B864,PERSONAL!$A$2:$A$80,0)))))</f>
        <v/>
      </c>
    </row>
    <row r="865" ht="15" customHeight="1" s="58">
      <c r="A865" s="40" t="n"/>
      <c r="B865" s="38" t="n"/>
      <c r="C865" s="40" t="n"/>
      <c r="D865" s="40" t="n"/>
      <c r="E865" s="34">
        <f t="array" ref="E865">IF($B865="","",IFERROR(INDEX(PERSONAL!$B$2:$B$80,MATCH($B865,PERSONAL!$A$2:$A$80,0)),"NO EXISTE"))</f>
        <v/>
      </c>
      <c r="F865" s="34">
        <f t="array" ref="F865">IF($B865="","",IFERROR(INDEX(PERSONAL!$C$2:$C$80,MATCH($B865,PERSONAL!$A$2:$A$80,0)),""))</f>
        <v/>
      </c>
      <c r="G865" s="34">
        <f>IF($A865="","",CHOOSE(WEEKDAY($A865,2),"LUNES","MARTES","MIÉRCOLES","JUEVES","VIERNES","SÁBADO","DOMINGO"))</f>
        <v/>
      </c>
      <c r="H865" s="34">
        <f>IF($A865="","",CHOOSE(MONTH($A865),"ENERO","FEBRERO","MARZO","ABRIL","MAYO","JUNIO","JULIO","AGOSTO","SEPTIEMBRE","OCTUBRE","NOVIEMBRE","DICIEMBRE"))</f>
        <v/>
      </c>
      <c r="I865" s="34">
        <f>IF($A865="","",IF(OR($G865="SÁBADO",$G865="DOMINGO"),"FIN","LV"))</f>
        <v/>
      </c>
      <c r="J865" s="34">
        <f>IF(OR($A865="",$B865=""),"",IF($L865&lt;&gt;"",UPPER($L865),IF($C865="","FALTA",IFERROR(IF($C865&gt;=$O865,"ROJO FUERTE",IF($C865&gt;=$N865,"ROJO",IF($C865&gt;=$M865,"AMARILLO","VERDE"))),"REVISAR"))))</f>
        <v/>
      </c>
      <c r="K865" s="36">
        <f>IF(OR($C865="",$D865=""),"",IF($D865&gt;=$C865,($D865-$C865)*24,(1-$C865+$D865)*24))</f>
        <v/>
      </c>
      <c r="L865" s="34" t="n"/>
      <c r="M865" s="53">
        <f t="array" ref="M865">IFERROR(INDEX(EXCEPCIONES_FECHA!$D$2:$D$201,MATCH(1,(EXCEPCIONES_FECHA!$A$2:$A$201=$A865)*(EXCEPCIONES_FECHA!$B$2:$B$201=$B865),0)),IFERROR(INDEX(EXCEPCIONES_FECHA!$D$2:$D$201,MATCH(1,(EXCEPCIONES_FECHA!$A$2:$A$201=$A865)*(EXCEPCIONES_FECHA!$B$2:$B$201=""),0)),IFERROR(INDEX(IF($I865="FIN",HISTORIAL_HORARIOS!$J$2:$J$201,HISTORIAL_HORARIOS!$F$2:$F$201),MATCH(1,(HISTORIAL_HORARIOS!$A$2:$A$201=$B865)*(HISTORIAL_HORARIOS!$C$2:$C$201&lt;=$A865)*(HISTORIAL_HORARIOS!$D$2:$D$201&gt;=$A865),0)),INDEX(IF($I865="FIN",PERSONAL!$J$2:$J$80,PERSONAL!$F$2:$F$80),MATCH($B865,PERSONAL!$A$2:$A$80,0)))))</f>
        <v/>
      </c>
      <c r="N865" s="53">
        <f t="array" ref="N865">IFERROR(INDEX(EXCEPCIONES_FECHA!$E$2:$E$201,MATCH(1,(EXCEPCIONES_FECHA!$A$2:$A$201=$A865)*(EXCEPCIONES_FECHA!$B$2:$B$201=$B865),0)),IFERROR(INDEX(EXCEPCIONES_FECHA!$E$2:$E$201,MATCH(1,(EXCEPCIONES_FECHA!$A$2:$A$201=$A865)*(EXCEPCIONES_FECHA!$B$2:$B$201=""),0)),IFERROR(INDEX(IF($I865="FIN",HISTORIAL_HORARIOS!$K$2:$K$201,HISTORIAL_HORARIOS!$G$2:$G$201),MATCH(1,(HISTORIAL_HORARIOS!$A$2:$A$201=$B865)*(HISTORIAL_HORARIOS!$C$2:$C$201&lt;=$A865)*(HISTORIAL_HORARIOS!$D$2:$D$201&gt;=$A865),0)),INDEX(IF($I865="FIN",PERSONAL!$K$2:$K$80,PERSONAL!$G$2:$G$80),MATCH($B865,PERSONAL!$A$2:$A$80,0)))))</f>
        <v/>
      </c>
      <c r="O865" s="53">
        <f t="array" ref="O865">IFERROR(INDEX(EXCEPCIONES_FECHA!$F$2:$F$201,MATCH(1,(EXCEPCIONES_FECHA!$A$2:$A$201=$A865)*(EXCEPCIONES_FECHA!$B$2:$B$201=$B865),0)),IFERROR(INDEX(EXCEPCIONES_FECHA!$F$2:$F$201,MATCH(1,(EXCEPCIONES_FECHA!$A$2:$A$201=$A865)*(EXCEPCIONES_FECHA!$B$2:$B$201=""),0)),IFERROR(INDEX(IF($I865="FIN",HISTORIAL_HORARIOS!$L$2:$L$201,HISTORIAL_HORARIOS!$H$2:$H$201),MATCH(1,(HISTORIAL_HORARIOS!$A$2:$A$201=$B865)*(HISTORIAL_HORARIOS!$C$2:$C$201&lt;=$A865)*(HISTORIAL_HORARIOS!$D$2:$D$201&gt;=$A865),0)),INDEX(IF($I865="FIN",PERSONAL!$L$2:$L$80,PERSONAL!$H$2:$H$80),MATCH($B865,PERSONAL!$A$2:$A$80,0)))))</f>
        <v/>
      </c>
    </row>
    <row r="866" ht="15" customHeight="1" s="58">
      <c r="A866" s="40" t="n"/>
      <c r="B866" s="38" t="n"/>
      <c r="C866" s="40" t="n"/>
      <c r="D866" s="40" t="n"/>
      <c r="E866" s="34">
        <f t="array" ref="E866">IF($B866="","",IFERROR(INDEX(PERSONAL!$B$2:$B$80,MATCH($B866,PERSONAL!$A$2:$A$80,0)),"NO EXISTE"))</f>
        <v/>
      </c>
      <c r="F866" s="34">
        <f t="array" ref="F866">IF($B866="","",IFERROR(INDEX(PERSONAL!$C$2:$C$80,MATCH($B866,PERSONAL!$A$2:$A$80,0)),""))</f>
        <v/>
      </c>
      <c r="G866" s="34">
        <f>IF($A866="","",CHOOSE(WEEKDAY($A866,2),"LUNES","MARTES","MIÉRCOLES","JUEVES","VIERNES","SÁBADO","DOMINGO"))</f>
        <v/>
      </c>
      <c r="H866" s="34">
        <f>IF($A866="","",CHOOSE(MONTH($A866),"ENERO","FEBRERO","MARZO","ABRIL","MAYO","JUNIO","JULIO","AGOSTO","SEPTIEMBRE","OCTUBRE","NOVIEMBRE","DICIEMBRE"))</f>
        <v/>
      </c>
      <c r="I866" s="34">
        <f>IF($A866="","",IF(OR($G866="SÁBADO",$G866="DOMINGO"),"FIN","LV"))</f>
        <v/>
      </c>
      <c r="J866" s="34">
        <f>IF(OR($A866="",$B866=""),"",IF($L866&lt;&gt;"",UPPER($L866),IF($C866="","FALTA",IFERROR(IF($C866&gt;=$O866,"ROJO FUERTE",IF($C866&gt;=$N866,"ROJO",IF($C866&gt;=$M866,"AMARILLO","VERDE"))),"REVISAR"))))</f>
        <v/>
      </c>
      <c r="K866" s="36">
        <f>IF(OR($C866="",$D866=""),"",IF($D866&gt;=$C866,($D866-$C866)*24,(1-$C866+$D866)*24))</f>
        <v/>
      </c>
      <c r="L866" s="34" t="n"/>
      <c r="M866" s="53">
        <f t="array" ref="M866">IFERROR(INDEX(EXCEPCIONES_FECHA!$D$2:$D$201,MATCH(1,(EXCEPCIONES_FECHA!$A$2:$A$201=$A866)*(EXCEPCIONES_FECHA!$B$2:$B$201=$B866),0)),IFERROR(INDEX(EXCEPCIONES_FECHA!$D$2:$D$201,MATCH(1,(EXCEPCIONES_FECHA!$A$2:$A$201=$A866)*(EXCEPCIONES_FECHA!$B$2:$B$201=""),0)),IFERROR(INDEX(IF($I866="FIN",HISTORIAL_HORARIOS!$J$2:$J$201,HISTORIAL_HORARIOS!$F$2:$F$201),MATCH(1,(HISTORIAL_HORARIOS!$A$2:$A$201=$B866)*(HISTORIAL_HORARIOS!$C$2:$C$201&lt;=$A866)*(HISTORIAL_HORARIOS!$D$2:$D$201&gt;=$A866),0)),INDEX(IF($I866="FIN",PERSONAL!$J$2:$J$80,PERSONAL!$F$2:$F$80),MATCH($B866,PERSONAL!$A$2:$A$80,0)))))</f>
        <v/>
      </c>
      <c r="N866" s="53">
        <f t="array" ref="N866">IFERROR(INDEX(EXCEPCIONES_FECHA!$E$2:$E$201,MATCH(1,(EXCEPCIONES_FECHA!$A$2:$A$201=$A866)*(EXCEPCIONES_FECHA!$B$2:$B$201=$B866),0)),IFERROR(INDEX(EXCEPCIONES_FECHA!$E$2:$E$201,MATCH(1,(EXCEPCIONES_FECHA!$A$2:$A$201=$A866)*(EXCEPCIONES_FECHA!$B$2:$B$201=""),0)),IFERROR(INDEX(IF($I866="FIN",HISTORIAL_HORARIOS!$K$2:$K$201,HISTORIAL_HORARIOS!$G$2:$G$201),MATCH(1,(HISTORIAL_HORARIOS!$A$2:$A$201=$B866)*(HISTORIAL_HORARIOS!$C$2:$C$201&lt;=$A866)*(HISTORIAL_HORARIOS!$D$2:$D$201&gt;=$A866),0)),INDEX(IF($I866="FIN",PERSONAL!$K$2:$K$80,PERSONAL!$G$2:$G$80),MATCH($B866,PERSONAL!$A$2:$A$80,0)))))</f>
        <v/>
      </c>
      <c r="O866" s="53">
        <f t="array" ref="O866">IFERROR(INDEX(EXCEPCIONES_FECHA!$F$2:$F$201,MATCH(1,(EXCEPCIONES_FECHA!$A$2:$A$201=$A866)*(EXCEPCIONES_FECHA!$B$2:$B$201=$B866),0)),IFERROR(INDEX(EXCEPCIONES_FECHA!$F$2:$F$201,MATCH(1,(EXCEPCIONES_FECHA!$A$2:$A$201=$A866)*(EXCEPCIONES_FECHA!$B$2:$B$201=""),0)),IFERROR(INDEX(IF($I866="FIN",HISTORIAL_HORARIOS!$L$2:$L$201,HISTORIAL_HORARIOS!$H$2:$H$201),MATCH(1,(HISTORIAL_HORARIOS!$A$2:$A$201=$B866)*(HISTORIAL_HORARIOS!$C$2:$C$201&lt;=$A866)*(HISTORIAL_HORARIOS!$D$2:$D$201&gt;=$A866),0)),INDEX(IF($I866="FIN",PERSONAL!$L$2:$L$80,PERSONAL!$H$2:$H$80),MATCH($B866,PERSONAL!$A$2:$A$80,0)))))</f>
        <v/>
      </c>
    </row>
    <row r="867" ht="15" customHeight="1" s="58">
      <c r="A867" s="40" t="n"/>
      <c r="B867" s="38" t="n"/>
      <c r="C867" s="40" t="n"/>
      <c r="D867" s="40" t="n"/>
      <c r="E867" s="34">
        <f t="array" ref="E867">IF($B867="","",IFERROR(INDEX(PERSONAL!$B$2:$B$80,MATCH($B867,PERSONAL!$A$2:$A$80,0)),"NO EXISTE"))</f>
        <v/>
      </c>
      <c r="F867" s="34">
        <f t="array" ref="F867">IF($B867="","",IFERROR(INDEX(PERSONAL!$C$2:$C$80,MATCH($B867,PERSONAL!$A$2:$A$80,0)),""))</f>
        <v/>
      </c>
      <c r="G867" s="34">
        <f>IF($A867="","",CHOOSE(WEEKDAY($A867,2),"LUNES","MARTES","MIÉRCOLES","JUEVES","VIERNES","SÁBADO","DOMINGO"))</f>
        <v/>
      </c>
      <c r="H867" s="34">
        <f>IF($A867="","",CHOOSE(MONTH($A867),"ENERO","FEBRERO","MARZO","ABRIL","MAYO","JUNIO","JULIO","AGOSTO","SEPTIEMBRE","OCTUBRE","NOVIEMBRE","DICIEMBRE"))</f>
        <v/>
      </c>
      <c r="I867" s="34">
        <f>IF($A867="","",IF(OR($G867="SÁBADO",$G867="DOMINGO"),"FIN","LV"))</f>
        <v/>
      </c>
      <c r="J867" s="34">
        <f>IF(OR($A867="",$B867=""),"",IF($L867&lt;&gt;"",UPPER($L867),IF($C867="","FALTA",IFERROR(IF($C867&gt;=$O867,"ROJO FUERTE",IF($C867&gt;=$N867,"ROJO",IF($C867&gt;=$M867,"AMARILLO","VERDE"))),"REVISAR"))))</f>
        <v/>
      </c>
      <c r="K867" s="36">
        <f>IF(OR($C867="",$D867=""),"",IF($D867&gt;=$C867,($D867-$C867)*24,(1-$C867+$D867)*24))</f>
        <v/>
      </c>
      <c r="L867" s="34" t="n"/>
      <c r="M867" s="53">
        <f t="array" ref="M867">IFERROR(INDEX(EXCEPCIONES_FECHA!$D$2:$D$201,MATCH(1,(EXCEPCIONES_FECHA!$A$2:$A$201=$A867)*(EXCEPCIONES_FECHA!$B$2:$B$201=$B867),0)),IFERROR(INDEX(EXCEPCIONES_FECHA!$D$2:$D$201,MATCH(1,(EXCEPCIONES_FECHA!$A$2:$A$201=$A867)*(EXCEPCIONES_FECHA!$B$2:$B$201=""),0)),IFERROR(INDEX(IF($I867="FIN",HISTORIAL_HORARIOS!$J$2:$J$201,HISTORIAL_HORARIOS!$F$2:$F$201),MATCH(1,(HISTORIAL_HORARIOS!$A$2:$A$201=$B867)*(HISTORIAL_HORARIOS!$C$2:$C$201&lt;=$A867)*(HISTORIAL_HORARIOS!$D$2:$D$201&gt;=$A867),0)),INDEX(IF($I867="FIN",PERSONAL!$J$2:$J$80,PERSONAL!$F$2:$F$80),MATCH($B867,PERSONAL!$A$2:$A$80,0)))))</f>
        <v/>
      </c>
      <c r="N867" s="53">
        <f t="array" ref="N867">IFERROR(INDEX(EXCEPCIONES_FECHA!$E$2:$E$201,MATCH(1,(EXCEPCIONES_FECHA!$A$2:$A$201=$A867)*(EXCEPCIONES_FECHA!$B$2:$B$201=$B867),0)),IFERROR(INDEX(EXCEPCIONES_FECHA!$E$2:$E$201,MATCH(1,(EXCEPCIONES_FECHA!$A$2:$A$201=$A867)*(EXCEPCIONES_FECHA!$B$2:$B$201=""),0)),IFERROR(INDEX(IF($I867="FIN",HISTORIAL_HORARIOS!$K$2:$K$201,HISTORIAL_HORARIOS!$G$2:$G$201),MATCH(1,(HISTORIAL_HORARIOS!$A$2:$A$201=$B867)*(HISTORIAL_HORARIOS!$C$2:$C$201&lt;=$A867)*(HISTORIAL_HORARIOS!$D$2:$D$201&gt;=$A867),0)),INDEX(IF($I867="FIN",PERSONAL!$K$2:$K$80,PERSONAL!$G$2:$G$80),MATCH($B867,PERSONAL!$A$2:$A$80,0)))))</f>
        <v/>
      </c>
      <c r="O867" s="53">
        <f t="array" ref="O867">IFERROR(INDEX(EXCEPCIONES_FECHA!$F$2:$F$201,MATCH(1,(EXCEPCIONES_FECHA!$A$2:$A$201=$A867)*(EXCEPCIONES_FECHA!$B$2:$B$201=$B867),0)),IFERROR(INDEX(EXCEPCIONES_FECHA!$F$2:$F$201,MATCH(1,(EXCEPCIONES_FECHA!$A$2:$A$201=$A867)*(EXCEPCIONES_FECHA!$B$2:$B$201=""),0)),IFERROR(INDEX(IF($I867="FIN",HISTORIAL_HORARIOS!$L$2:$L$201,HISTORIAL_HORARIOS!$H$2:$H$201),MATCH(1,(HISTORIAL_HORARIOS!$A$2:$A$201=$B867)*(HISTORIAL_HORARIOS!$C$2:$C$201&lt;=$A867)*(HISTORIAL_HORARIOS!$D$2:$D$201&gt;=$A867),0)),INDEX(IF($I867="FIN",PERSONAL!$L$2:$L$80,PERSONAL!$H$2:$H$80),MATCH($B867,PERSONAL!$A$2:$A$80,0)))))</f>
        <v/>
      </c>
    </row>
    <row r="868" ht="15" customHeight="1" s="58">
      <c r="A868" s="40" t="n"/>
      <c r="B868" s="38" t="n"/>
      <c r="C868" s="40" t="n"/>
      <c r="D868" s="40" t="n"/>
      <c r="E868" s="34">
        <f t="array" ref="E868">IF($B868="","",IFERROR(INDEX(PERSONAL!$B$2:$B$80,MATCH($B868,PERSONAL!$A$2:$A$80,0)),"NO EXISTE"))</f>
        <v/>
      </c>
      <c r="F868" s="34">
        <f t="array" ref="F868">IF($B868="","",IFERROR(INDEX(PERSONAL!$C$2:$C$80,MATCH($B868,PERSONAL!$A$2:$A$80,0)),""))</f>
        <v/>
      </c>
      <c r="G868" s="34">
        <f>IF($A868="","",CHOOSE(WEEKDAY($A868,2),"LUNES","MARTES","MIÉRCOLES","JUEVES","VIERNES","SÁBADO","DOMINGO"))</f>
        <v/>
      </c>
      <c r="H868" s="34">
        <f>IF($A868="","",CHOOSE(MONTH($A868),"ENERO","FEBRERO","MARZO","ABRIL","MAYO","JUNIO","JULIO","AGOSTO","SEPTIEMBRE","OCTUBRE","NOVIEMBRE","DICIEMBRE"))</f>
        <v/>
      </c>
      <c r="I868" s="34">
        <f>IF($A868="","",IF(OR($G868="SÁBADO",$G868="DOMINGO"),"FIN","LV"))</f>
        <v/>
      </c>
      <c r="J868" s="34">
        <f>IF(OR($A868="",$B868=""),"",IF($L868&lt;&gt;"",UPPER($L868),IF($C868="","FALTA",IFERROR(IF($C868&gt;=$O868,"ROJO FUERTE",IF($C868&gt;=$N868,"ROJO",IF($C868&gt;=$M868,"AMARILLO","VERDE"))),"REVISAR"))))</f>
        <v/>
      </c>
      <c r="K868" s="36">
        <f>IF(OR($C868="",$D868=""),"",IF($D868&gt;=$C868,($D868-$C868)*24,(1-$C868+$D868)*24))</f>
        <v/>
      </c>
      <c r="L868" s="34" t="n"/>
      <c r="M868" s="53">
        <f t="array" ref="M868">IFERROR(INDEX(EXCEPCIONES_FECHA!$D$2:$D$201,MATCH(1,(EXCEPCIONES_FECHA!$A$2:$A$201=$A868)*(EXCEPCIONES_FECHA!$B$2:$B$201=$B868),0)),IFERROR(INDEX(EXCEPCIONES_FECHA!$D$2:$D$201,MATCH(1,(EXCEPCIONES_FECHA!$A$2:$A$201=$A868)*(EXCEPCIONES_FECHA!$B$2:$B$201=""),0)),IFERROR(INDEX(IF($I868="FIN",HISTORIAL_HORARIOS!$J$2:$J$201,HISTORIAL_HORARIOS!$F$2:$F$201),MATCH(1,(HISTORIAL_HORARIOS!$A$2:$A$201=$B868)*(HISTORIAL_HORARIOS!$C$2:$C$201&lt;=$A868)*(HISTORIAL_HORARIOS!$D$2:$D$201&gt;=$A868),0)),INDEX(IF($I868="FIN",PERSONAL!$J$2:$J$80,PERSONAL!$F$2:$F$80),MATCH($B868,PERSONAL!$A$2:$A$80,0)))))</f>
        <v/>
      </c>
      <c r="N868" s="53">
        <f t="array" ref="N868">IFERROR(INDEX(EXCEPCIONES_FECHA!$E$2:$E$201,MATCH(1,(EXCEPCIONES_FECHA!$A$2:$A$201=$A868)*(EXCEPCIONES_FECHA!$B$2:$B$201=$B868),0)),IFERROR(INDEX(EXCEPCIONES_FECHA!$E$2:$E$201,MATCH(1,(EXCEPCIONES_FECHA!$A$2:$A$201=$A868)*(EXCEPCIONES_FECHA!$B$2:$B$201=""),0)),IFERROR(INDEX(IF($I868="FIN",HISTORIAL_HORARIOS!$K$2:$K$201,HISTORIAL_HORARIOS!$G$2:$G$201),MATCH(1,(HISTORIAL_HORARIOS!$A$2:$A$201=$B868)*(HISTORIAL_HORARIOS!$C$2:$C$201&lt;=$A868)*(HISTORIAL_HORARIOS!$D$2:$D$201&gt;=$A868),0)),INDEX(IF($I868="FIN",PERSONAL!$K$2:$K$80,PERSONAL!$G$2:$G$80),MATCH($B868,PERSONAL!$A$2:$A$80,0)))))</f>
        <v/>
      </c>
      <c r="O868" s="53">
        <f t="array" ref="O868">IFERROR(INDEX(EXCEPCIONES_FECHA!$F$2:$F$201,MATCH(1,(EXCEPCIONES_FECHA!$A$2:$A$201=$A868)*(EXCEPCIONES_FECHA!$B$2:$B$201=$B868),0)),IFERROR(INDEX(EXCEPCIONES_FECHA!$F$2:$F$201,MATCH(1,(EXCEPCIONES_FECHA!$A$2:$A$201=$A868)*(EXCEPCIONES_FECHA!$B$2:$B$201=""),0)),IFERROR(INDEX(IF($I868="FIN",HISTORIAL_HORARIOS!$L$2:$L$201,HISTORIAL_HORARIOS!$H$2:$H$201),MATCH(1,(HISTORIAL_HORARIOS!$A$2:$A$201=$B868)*(HISTORIAL_HORARIOS!$C$2:$C$201&lt;=$A868)*(HISTORIAL_HORARIOS!$D$2:$D$201&gt;=$A868),0)),INDEX(IF($I868="FIN",PERSONAL!$L$2:$L$80,PERSONAL!$H$2:$H$80),MATCH($B868,PERSONAL!$A$2:$A$80,0)))))</f>
        <v/>
      </c>
    </row>
    <row r="869" ht="15" customHeight="1" s="58">
      <c r="A869" s="40" t="n"/>
      <c r="B869" s="38" t="n"/>
      <c r="C869" s="40" t="n"/>
      <c r="D869" s="40" t="n"/>
      <c r="E869" s="34">
        <f t="array" ref="E869">IF($B869="","",IFERROR(INDEX(PERSONAL!$B$2:$B$80,MATCH($B869,PERSONAL!$A$2:$A$80,0)),"NO EXISTE"))</f>
        <v/>
      </c>
      <c r="F869" s="34">
        <f t="array" ref="F869">IF($B869="","",IFERROR(INDEX(PERSONAL!$C$2:$C$80,MATCH($B869,PERSONAL!$A$2:$A$80,0)),""))</f>
        <v/>
      </c>
      <c r="G869" s="34">
        <f>IF($A869="","",CHOOSE(WEEKDAY($A869,2),"LUNES","MARTES","MIÉRCOLES","JUEVES","VIERNES","SÁBADO","DOMINGO"))</f>
        <v/>
      </c>
      <c r="H869" s="34">
        <f>IF($A869="","",CHOOSE(MONTH($A869),"ENERO","FEBRERO","MARZO","ABRIL","MAYO","JUNIO","JULIO","AGOSTO","SEPTIEMBRE","OCTUBRE","NOVIEMBRE","DICIEMBRE"))</f>
        <v/>
      </c>
      <c r="I869" s="34">
        <f>IF($A869="","",IF(OR($G869="SÁBADO",$G869="DOMINGO"),"FIN","LV"))</f>
        <v/>
      </c>
      <c r="J869" s="34">
        <f>IF(OR($A869="",$B869=""),"",IF($L869&lt;&gt;"",UPPER($L869),IF($C869="","FALTA",IFERROR(IF($C869&gt;=$O869,"ROJO FUERTE",IF($C869&gt;=$N869,"ROJO",IF($C869&gt;=$M869,"AMARILLO","VERDE"))),"REVISAR"))))</f>
        <v/>
      </c>
      <c r="K869" s="36">
        <f>IF(OR($C869="",$D869=""),"",IF($D869&gt;=$C869,($D869-$C869)*24,(1-$C869+$D869)*24))</f>
        <v/>
      </c>
      <c r="L869" s="34" t="n"/>
      <c r="M869" s="53">
        <f t="array" ref="M869">IFERROR(INDEX(EXCEPCIONES_FECHA!$D$2:$D$201,MATCH(1,(EXCEPCIONES_FECHA!$A$2:$A$201=$A869)*(EXCEPCIONES_FECHA!$B$2:$B$201=$B869),0)),IFERROR(INDEX(EXCEPCIONES_FECHA!$D$2:$D$201,MATCH(1,(EXCEPCIONES_FECHA!$A$2:$A$201=$A869)*(EXCEPCIONES_FECHA!$B$2:$B$201=""),0)),IFERROR(INDEX(IF($I869="FIN",HISTORIAL_HORARIOS!$J$2:$J$201,HISTORIAL_HORARIOS!$F$2:$F$201),MATCH(1,(HISTORIAL_HORARIOS!$A$2:$A$201=$B869)*(HISTORIAL_HORARIOS!$C$2:$C$201&lt;=$A869)*(HISTORIAL_HORARIOS!$D$2:$D$201&gt;=$A869),0)),INDEX(IF($I869="FIN",PERSONAL!$J$2:$J$80,PERSONAL!$F$2:$F$80),MATCH($B869,PERSONAL!$A$2:$A$80,0)))))</f>
        <v/>
      </c>
      <c r="N869" s="53">
        <f t="array" ref="N869">IFERROR(INDEX(EXCEPCIONES_FECHA!$E$2:$E$201,MATCH(1,(EXCEPCIONES_FECHA!$A$2:$A$201=$A869)*(EXCEPCIONES_FECHA!$B$2:$B$201=$B869),0)),IFERROR(INDEX(EXCEPCIONES_FECHA!$E$2:$E$201,MATCH(1,(EXCEPCIONES_FECHA!$A$2:$A$201=$A869)*(EXCEPCIONES_FECHA!$B$2:$B$201=""),0)),IFERROR(INDEX(IF($I869="FIN",HISTORIAL_HORARIOS!$K$2:$K$201,HISTORIAL_HORARIOS!$G$2:$G$201),MATCH(1,(HISTORIAL_HORARIOS!$A$2:$A$201=$B869)*(HISTORIAL_HORARIOS!$C$2:$C$201&lt;=$A869)*(HISTORIAL_HORARIOS!$D$2:$D$201&gt;=$A869),0)),INDEX(IF($I869="FIN",PERSONAL!$K$2:$K$80,PERSONAL!$G$2:$G$80),MATCH($B869,PERSONAL!$A$2:$A$80,0)))))</f>
        <v/>
      </c>
      <c r="O869" s="53">
        <f t="array" ref="O869">IFERROR(INDEX(EXCEPCIONES_FECHA!$F$2:$F$201,MATCH(1,(EXCEPCIONES_FECHA!$A$2:$A$201=$A869)*(EXCEPCIONES_FECHA!$B$2:$B$201=$B869),0)),IFERROR(INDEX(EXCEPCIONES_FECHA!$F$2:$F$201,MATCH(1,(EXCEPCIONES_FECHA!$A$2:$A$201=$A869)*(EXCEPCIONES_FECHA!$B$2:$B$201=""),0)),IFERROR(INDEX(IF($I869="FIN",HISTORIAL_HORARIOS!$L$2:$L$201,HISTORIAL_HORARIOS!$H$2:$H$201),MATCH(1,(HISTORIAL_HORARIOS!$A$2:$A$201=$B869)*(HISTORIAL_HORARIOS!$C$2:$C$201&lt;=$A869)*(HISTORIAL_HORARIOS!$D$2:$D$201&gt;=$A869),0)),INDEX(IF($I869="FIN",PERSONAL!$L$2:$L$80,PERSONAL!$H$2:$H$80),MATCH($B869,PERSONAL!$A$2:$A$80,0)))))</f>
        <v/>
      </c>
    </row>
    <row r="870" ht="15" customHeight="1" s="58">
      <c r="A870" s="40" t="n"/>
      <c r="B870" s="38" t="n"/>
      <c r="C870" s="40" t="n"/>
      <c r="D870" s="40" t="n"/>
      <c r="E870" s="34">
        <f t="array" ref="E870">IF($B870="","",IFERROR(INDEX(PERSONAL!$B$2:$B$80,MATCH($B870,PERSONAL!$A$2:$A$80,0)),"NO EXISTE"))</f>
        <v/>
      </c>
      <c r="F870" s="34">
        <f t="array" ref="F870">IF($B870="","",IFERROR(INDEX(PERSONAL!$C$2:$C$80,MATCH($B870,PERSONAL!$A$2:$A$80,0)),""))</f>
        <v/>
      </c>
      <c r="G870" s="34">
        <f>IF($A870="","",CHOOSE(WEEKDAY($A870,2),"LUNES","MARTES","MIÉRCOLES","JUEVES","VIERNES","SÁBADO","DOMINGO"))</f>
        <v/>
      </c>
      <c r="H870" s="34">
        <f>IF($A870="","",CHOOSE(MONTH($A870),"ENERO","FEBRERO","MARZO","ABRIL","MAYO","JUNIO","JULIO","AGOSTO","SEPTIEMBRE","OCTUBRE","NOVIEMBRE","DICIEMBRE"))</f>
        <v/>
      </c>
      <c r="I870" s="34">
        <f>IF($A870="","",IF(OR($G870="SÁBADO",$G870="DOMINGO"),"FIN","LV"))</f>
        <v/>
      </c>
      <c r="J870" s="34">
        <f>IF(OR($A870="",$B870=""),"",IF($L870&lt;&gt;"",UPPER($L870),IF($C870="","FALTA",IFERROR(IF($C870&gt;=$O870,"ROJO FUERTE",IF($C870&gt;=$N870,"ROJO",IF($C870&gt;=$M870,"AMARILLO","VERDE"))),"REVISAR"))))</f>
        <v/>
      </c>
      <c r="K870" s="36">
        <f>IF(OR($C870="",$D870=""),"",IF($D870&gt;=$C870,($D870-$C870)*24,(1-$C870+$D870)*24))</f>
        <v/>
      </c>
      <c r="L870" s="34" t="n"/>
      <c r="M870" s="53">
        <f t="array" ref="M870">IFERROR(INDEX(EXCEPCIONES_FECHA!$D$2:$D$201,MATCH(1,(EXCEPCIONES_FECHA!$A$2:$A$201=$A870)*(EXCEPCIONES_FECHA!$B$2:$B$201=$B870),0)),IFERROR(INDEX(EXCEPCIONES_FECHA!$D$2:$D$201,MATCH(1,(EXCEPCIONES_FECHA!$A$2:$A$201=$A870)*(EXCEPCIONES_FECHA!$B$2:$B$201=""),0)),IFERROR(INDEX(IF($I870="FIN",HISTORIAL_HORARIOS!$J$2:$J$201,HISTORIAL_HORARIOS!$F$2:$F$201),MATCH(1,(HISTORIAL_HORARIOS!$A$2:$A$201=$B870)*(HISTORIAL_HORARIOS!$C$2:$C$201&lt;=$A870)*(HISTORIAL_HORARIOS!$D$2:$D$201&gt;=$A870),0)),INDEX(IF($I870="FIN",PERSONAL!$J$2:$J$80,PERSONAL!$F$2:$F$80),MATCH($B870,PERSONAL!$A$2:$A$80,0)))))</f>
        <v/>
      </c>
      <c r="N870" s="53">
        <f t="array" ref="N870">IFERROR(INDEX(EXCEPCIONES_FECHA!$E$2:$E$201,MATCH(1,(EXCEPCIONES_FECHA!$A$2:$A$201=$A870)*(EXCEPCIONES_FECHA!$B$2:$B$201=$B870),0)),IFERROR(INDEX(EXCEPCIONES_FECHA!$E$2:$E$201,MATCH(1,(EXCEPCIONES_FECHA!$A$2:$A$201=$A870)*(EXCEPCIONES_FECHA!$B$2:$B$201=""),0)),IFERROR(INDEX(IF($I870="FIN",HISTORIAL_HORARIOS!$K$2:$K$201,HISTORIAL_HORARIOS!$G$2:$G$201),MATCH(1,(HISTORIAL_HORARIOS!$A$2:$A$201=$B870)*(HISTORIAL_HORARIOS!$C$2:$C$201&lt;=$A870)*(HISTORIAL_HORARIOS!$D$2:$D$201&gt;=$A870),0)),INDEX(IF($I870="FIN",PERSONAL!$K$2:$K$80,PERSONAL!$G$2:$G$80),MATCH($B870,PERSONAL!$A$2:$A$80,0)))))</f>
        <v/>
      </c>
      <c r="O870" s="53">
        <f t="array" ref="O870">IFERROR(INDEX(EXCEPCIONES_FECHA!$F$2:$F$201,MATCH(1,(EXCEPCIONES_FECHA!$A$2:$A$201=$A870)*(EXCEPCIONES_FECHA!$B$2:$B$201=$B870),0)),IFERROR(INDEX(EXCEPCIONES_FECHA!$F$2:$F$201,MATCH(1,(EXCEPCIONES_FECHA!$A$2:$A$201=$A870)*(EXCEPCIONES_FECHA!$B$2:$B$201=""),0)),IFERROR(INDEX(IF($I870="FIN",HISTORIAL_HORARIOS!$L$2:$L$201,HISTORIAL_HORARIOS!$H$2:$H$201),MATCH(1,(HISTORIAL_HORARIOS!$A$2:$A$201=$B870)*(HISTORIAL_HORARIOS!$C$2:$C$201&lt;=$A870)*(HISTORIAL_HORARIOS!$D$2:$D$201&gt;=$A870),0)),INDEX(IF($I870="FIN",PERSONAL!$L$2:$L$80,PERSONAL!$H$2:$H$80),MATCH($B870,PERSONAL!$A$2:$A$80,0)))))</f>
        <v/>
      </c>
    </row>
    <row r="871" ht="15" customHeight="1" s="58">
      <c r="A871" s="40" t="n"/>
      <c r="B871" s="38" t="n"/>
      <c r="C871" s="40" t="n"/>
      <c r="D871" s="40" t="n"/>
      <c r="E871" s="34">
        <f t="array" ref="E871">IF($B871="","",IFERROR(INDEX(PERSONAL!$B$2:$B$80,MATCH($B871,PERSONAL!$A$2:$A$80,0)),"NO EXISTE"))</f>
        <v/>
      </c>
      <c r="F871" s="34">
        <f t="array" ref="F871">IF($B871="","",IFERROR(INDEX(PERSONAL!$C$2:$C$80,MATCH($B871,PERSONAL!$A$2:$A$80,0)),""))</f>
        <v/>
      </c>
      <c r="G871" s="34">
        <f>IF($A871="","",CHOOSE(WEEKDAY($A871,2),"LUNES","MARTES","MIÉRCOLES","JUEVES","VIERNES","SÁBADO","DOMINGO"))</f>
        <v/>
      </c>
      <c r="H871" s="34">
        <f>IF($A871="","",CHOOSE(MONTH($A871),"ENERO","FEBRERO","MARZO","ABRIL","MAYO","JUNIO","JULIO","AGOSTO","SEPTIEMBRE","OCTUBRE","NOVIEMBRE","DICIEMBRE"))</f>
        <v/>
      </c>
      <c r="I871" s="34">
        <f>IF($A871="","",IF(OR($G871="SÁBADO",$G871="DOMINGO"),"FIN","LV"))</f>
        <v/>
      </c>
      <c r="J871" s="34">
        <f>IF(OR($A871="",$B871=""),"",IF($L871&lt;&gt;"",UPPER($L871),IF($C871="","FALTA",IFERROR(IF($C871&gt;=$O871,"ROJO FUERTE",IF($C871&gt;=$N871,"ROJO",IF($C871&gt;=$M871,"AMARILLO","VERDE"))),"REVISAR"))))</f>
        <v/>
      </c>
      <c r="K871" s="36">
        <f>IF(OR($C871="",$D871=""),"",IF($D871&gt;=$C871,($D871-$C871)*24,(1-$C871+$D871)*24))</f>
        <v/>
      </c>
      <c r="L871" s="34" t="n"/>
      <c r="M871" s="53">
        <f t="array" ref="M871">IFERROR(INDEX(EXCEPCIONES_FECHA!$D$2:$D$201,MATCH(1,(EXCEPCIONES_FECHA!$A$2:$A$201=$A871)*(EXCEPCIONES_FECHA!$B$2:$B$201=$B871),0)),IFERROR(INDEX(EXCEPCIONES_FECHA!$D$2:$D$201,MATCH(1,(EXCEPCIONES_FECHA!$A$2:$A$201=$A871)*(EXCEPCIONES_FECHA!$B$2:$B$201=""),0)),IFERROR(INDEX(IF($I871="FIN",HISTORIAL_HORARIOS!$J$2:$J$201,HISTORIAL_HORARIOS!$F$2:$F$201),MATCH(1,(HISTORIAL_HORARIOS!$A$2:$A$201=$B871)*(HISTORIAL_HORARIOS!$C$2:$C$201&lt;=$A871)*(HISTORIAL_HORARIOS!$D$2:$D$201&gt;=$A871),0)),INDEX(IF($I871="FIN",PERSONAL!$J$2:$J$80,PERSONAL!$F$2:$F$80),MATCH($B871,PERSONAL!$A$2:$A$80,0)))))</f>
        <v/>
      </c>
      <c r="N871" s="53">
        <f t="array" ref="N871">IFERROR(INDEX(EXCEPCIONES_FECHA!$E$2:$E$201,MATCH(1,(EXCEPCIONES_FECHA!$A$2:$A$201=$A871)*(EXCEPCIONES_FECHA!$B$2:$B$201=$B871),0)),IFERROR(INDEX(EXCEPCIONES_FECHA!$E$2:$E$201,MATCH(1,(EXCEPCIONES_FECHA!$A$2:$A$201=$A871)*(EXCEPCIONES_FECHA!$B$2:$B$201=""),0)),IFERROR(INDEX(IF($I871="FIN",HISTORIAL_HORARIOS!$K$2:$K$201,HISTORIAL_HORARIOS!$G$2:$G$201),MATCH(1,(HISTORIAL_HORARIOS!$A$2:$A$201=$B871)*(HISTORIAL_HORARIOS!$C$2:$C$201&lt;=$A871)*(HISTORIAL_HORARIOS!$D$2:$D$201&gt;=$A871),0)),INDEX(IF($I871="FIN",PERSONAL!$K$2:$K$80,PERSONAL!$G$2:$G$80),MATCH($B871,PERSONAL!$A$2:$A$80,0)))))</f>
        <v/>
      </c>
      <c r="O871" s="53">
        <f t="array" ref="O871">IFERROR(INDEX(EXCEPCIONES_FECHA!$F$2:$F$201,MATCH(1,(EXCEPCIONES_FECHA!$A$2:$A$201=$A871)*(EXCEPCIONES_FECHA!$B$2:$B$201=$B871),0)),IFERROR(INDEX(EXCEPCIONES_FECHA!$F$2:$F$201,MATCH(1,(EXCEPCIONES_FECHA!$A$2:$A$201=$A871)*(EXCEPCIONES_FECHA!$B$2:$B$201=""),0)),IFERROR(INDEX(IF($I871="FIN",HISTORIAL_HORARIOS!$L$2:$L$201,HISTORIAL_HORARIOS!$H$2:$H$201),MATCH(1,(HISTORIAL_HORARIOS!$A$2:$A$201=$B871)*(HISTORIAL_HORARIOS!$C$2:$C$201&lt;=$A871)*(HISTORIAL_HORARIOS!$D$2:$D$201&gt;=$A871),0)),INDEX(IF($I871="FIN",PERSONAL!$L$2:$L$80,PERSONAL!$H$2:$H$80),MATCH($B871,PERSONAL!$A$2:$A$80,0)))))</f>
        <v/>
      </c>
    </row>
    <row r="872" ht="15" customHeight="1" s="58">
      <c r="A872" s="40" t="n"/>
      <c r="B872" s="38" t="n"/>
      <c r="C872" s="40" t="n"/>
      <c r="D872" s="40" t="n"/>
      <c r="E872" s="34">
        <f t="array" ref="E872">IF($B872="","",IFERROR(INDEX(PERSONAL!$B$2:$B$80,MATCH($B872,PERSONAL!$A$2:$A$80,0)),"NO EXISTE"))</f>
        <v/>
      </c>
      <c r="F872" s="34">
        <f t="array" ref="F872">IF($B872="","",IFERROR(INDEX(PERSONAL!$C$2:$C$80,MATCH($B872,PERSONAL!$A$2:$A$80,0)),""))</f>
        <v/>
      </c>
      <c r="G872" s="34">
        <f>IF($A872="","",CHOOSE(WEEKDAY($A872,2),"LUNES","MARTES","MIÉRCOLES","JUEVES","VIERNES","SÁBADO","DOMINGO"))</f>
        <v/>
      </c>
      <c r="H872" s="34">
        <f>IF($A872="","",CHOOSE(MONTH($A872),"ENERO","FEBRERO","MARZO","ABRIL","MAYO","JUNIO","JULIO","AGOSTO","SEPTIEMBRE","OCTUBRE","NOVIEMBRE","DICIEMBRE"))</f>
        <v/>
      </c>
      <c r="I872" s="34">
        <f>IF($A872="","",IF(OR($G872="SÁBADO",$G872="DOMINGO"),"FIN","LV"))</f>
        <v/>
      </c>
      <c r="J872" s="34">
        <f>IF(OR($A872="",$B872=""),"",IF($L872&lt;&gt;"",UPPER($L872),IF($C872="","FALTA",IFERROR(IF($C872&gt;=$O872,"ROJO FUERTE",IF($C872&gt;=$N872,"ROJO",IF($C872&gt;=$M872,"AMARILLO","VERDE"))),"REVISAR"))))</f>
        <v/>
      </c>
      <c r="K872" s="36">
        <f>IF(OR($C872="",$D872=""),"",IF($D872&gt;=$C872,($D872-$C872)*24,(1-$C872+$D872)*24))</f>
        <v/>
      </c>
      <c r="L872" s="34" t="n"/>
      <c r="M872" s="53">
        <f t="array" ref="M872">IFERROR(INDEX(EXCEPCIONES_FECHA!$D$2:$D$201,MATCH(1,(EXCEPCIONES_FECHA!$A$2:$A$201=$A872)*(EXCEPCIONES_FECHA!$B$2:$B$201=$B872),0)),IFERROR(INDEX(EXCEPCIONES_FECHA!$D$2:$D$201,MATCH(1,(EXCEPCIONES_FECHA!$A$2:$A$201=$A872)*(EXCEPCIONES_FECHA!$B$2:$B$201=""),0)),IFERROR(INDEX(IF($I872="FIN",HISTORIAL_HORARIOS!$J$2:$J$201,HISTORIAL_HORARIOS!$F$2:$F$201),MATCH(1,(HISTORIAL_HORARIOS!$A$2:$A$201=$B872)*(HISTORIAL_HORARIOS!$C$2:$C$201&lt;=$A872)*(HISTORIAL_HORARIOS!$D$2:$D$201&gt;=$A872),0)),INDEX(IF($I872="FIN",PERSONAL!$J$2:$J$80,PERSONAL!$F$2:$F$80),MATCH($B872,PERSONAL!$A$2:$A$80,0)))))</f>
        <v/>
      </c>
      <c r="N872" s="53">
        <f t="array" ref="N872">IFERROR(INDEX(EXCEPCIONES_FECHA!$E$2:$E$201,MATCH(1,(EXCEPCIONES_FECHA!$A$2:$A$201=$A872)*(EXCEPCIONES_FECHA!$B$2:$B$201=$B872),0)),IFERROR(INDEX(EXCEPCIONES_FECHA!$E$2:$E$201,MATCH(1,(EXCEPCIONES_FECHA!$A$2:$A$201=$A872)*(EXCEPCIONES_FECHA!$B$2:$B$201=""),0)),IFERROR(INDEX(IF($I872="FIN",HISTORIAL_HORARIOS!$K$2:$K$201,HISTORIAL_HORARIOS!$G$2:$G$201),MATCH(1,(HISTORIAL_HORARIOS!$A$2:$A$201=$B872)*(HISTORIAL_HORARIOS!$C$2:$C$201&lt;=$A872)*(HISTORIAL_HORARIOS!$D$2:$D$201&gt;=$A872),0)),INDEX(IF($I872="FIN",PERSONAL!$K$2:$K$80,PERSONAL!$G$2:$G$80),MATCH($B872,PERSONAL!$A$2:$A$80,0)))))</f>
        <v/>
      </c>
      <c r="O872" s="53">
        <f t="array" ref="O872">IFERROR(INDEX(EXCEPCIONES_FECHA!$F$2:$F$201,MATCH(1,(EXCEPCIONES_FECHA!$A$2:$A$201=$A872)*(EXCEPCIONES_FECHA!$B$2:$B$201=$B872),0)),IFERROR(INDEX(EXCEPCIONES_FECHA!$F$2:$F$201,MATCH(1,(EXCEPCIONES_FECHA!$A$2:$A$201=$A872)*(EXCEPCIONES_FECHA!$B$2:$B$201=""),0)),IFERROR(INDEX(IF($I872="FIN",HISTORIAL_HORARIOS!$L$2:$L$201,HISTORIAL_HORARIOS!$H$2:$H$201),MATCH(1,(HISTORIAL_HORARIOS!$A$2:$A$201=$B872)*(HISTORIAL_HORARIOS!$C$2:$C$201&lt;=$A872)*(HISTORIAL_HORARIOS!$D$2:$D$201&gt;=$A872),0)),INDEX(IF($I872="FIN",PERSONAL!$L$2:$L$80,PERSONAL!$H$2:$H$80),MATCH($B872,PERSONAL!$A$2:$A$80,0)))))</f>
        <v/>
      </c>
    </row>
    <row r="873" ht="15" customHeight="1" s="58">
      <c r="A873" s="40" t="n"/>
      <c r="B873" s="38" t="n"/>
      <c r="C873" s="40" t="n"/>
      <c r="D873" s="40" t="n"/>
      <c r="E873" s="34">
        <f t="array" ref="E873">IF($B873="","",IFERROR(INDEX(PERSONAL!$B$2:$B$80,MATCH($B873,PERSONAL!$A$2:$A$80,0)),"NO EXISTE"))</f>
        <v/>
      </c>
      <c r="F873" s="34">
        <f t="array" ref="F873">IF($B873="","",IFERROR(INDEX(PERSONAL!$C$2:$C$80,MATCH($B873,PERSONAL!$A$2:$A$80,0)),""))</f>
        <v/>
      </c>
      <c r="G873" s="34">
        <f>IF($A873="","",CHOOSE(WEEKDAY($A873,2),"LUNES","MARTES","MIÉRCOLES","JUEVES","VIERNES","SÁBADO","DOMINGO"))</f>
        <v/>
      </c>
      <c r="H873" s="34">
        <f>IF($A873="","",CHOOSE(MONTH($A873),"ENERO","FEBRERO","MARZO","ABRIL","MAYO","JUNIO","JULIO","AGOSTO","SEPTIEMBRE","OCTUBRE","NOVIEMBRE","DICIEMBRE"))</f>
        <v/>
      </c>
      <c r="I873" s="34">
        <f>IF($A873="","",IF(OR($G873="SÁBADO",$G873="DOMINGO"),"FIN","LV"))</f>
        <v/>
      </c>
      <c r="J873" s="34">
        <f>IF(OR($A873="",$B873=""),"",IF($L873&lt;&gt;"",UPPER($L873),IF($C873="","FALTA",IFERROR(IF($C873&gt;=$O873,"ROJO FUERTE",IF($C873&gt;=$N873,"ROJO",IF($C873&gt;=$M873,"AMARILLO","VERDE"))),"REVISAR"))))</f>
        <v/>
      </c>
      <c r="K873" s="36">
        <f>IF(OR($C873="",$D873=""),"",IF($D873&gt;=$C873,($D873-$C873)*24,(1-$C873+$D873)*24))</f>
        <v/>
      </c>
      <c r="L873" s="34" t="n"/>
      <c r="M873" s="53">
        <f t="array" ref="M873">IFERROR(INDEX(EXCEPCIONES_FECHA!$D$2:$D$201,MATCH(1,(EXCEPCIONES_FECHA!$A$2:$A$201=$A873)*(EXCEPCIONES_FECHA!$B$2:$B$201=$B873),0)),IFERROR(INDEX(EXCEPCIONES_FECHA!$D$2:$D$201,MATCH(1,(EXCEPCIONES_FECHA!$A$2:$A$201=$A873)*(EXCEPCIONES_FECHA!$B$2:$B$201=""),0)),IFERROR(INDEX(IF($I873="FIN",HISTORIAL_HORARIOS!$J$2:$J$201,HISTORIAL_HORARIOS!$F$2:$F$201),MATCH(1,(HISTORIAL_HORARIOS!$A$2:$A$201=$B873)*(HISTORIAL_HORARIOS!$C$2:$C$201&lt;=$A873)*(HISTORIAL_HORARIOS!$D$2:$D$201&gt;=$A873),0)),INDEX(IF($I873="FIN",PERSONAL!$J$2:$J$80,PERSONAL!$F$2:$F$80),MATCH($B873,PERSONAL!$A$2:$A$80,0)))))</f>
        <v/>
      </c>
      <c r="N873" s="53">
        <f t="array" ref="N873">IFERROR(INDEX(EXCEPCIONES_FECHA!$E$2:$E$201,MATCH(1,(EXCEPCIONES_FECHA!$A$2:$A$201=$A873)*(EXCEPCIONES_FECHA!$B$2:$B$201=$B873),0)),IFERROR(INDEX(EXCEPCIONES_FECHA!$E$2:$E$201,MATCH(1,(EXCEPCIONES_FECHA!$A$2:$A$201=$A873)*(EXCEPCIONES_FECHA!$B$2:$B$201=""),0)),IFERROR(INDEX(IF($I873="FIN",HISTORIAL_HORARIOS!$K$2:$K$201,HISTORIAL_HORARIOS!$G$2:$G$201),MATCH(1,(HISTORIAL_HORARIOS!$A$2:$A$201=$B873)*(HISTORIAL_HORARIOS!$C$2:$C$201&lt;=$A873)*(HISTORIAL_HORARIOS!$D$2:$D$201&gt;=$A873),0)),INDEX(IF($I873="FIN",PERSONAL!$K$2:$K$80,PERSONAL!$G$2:$G$80),MATCH($B873,PERSONAL!$A$2:$A$80,0)))))</f>
        <v/>
      </c>
      <c r="O873" s="53">
        <f t="array" ref="O873">IFERROR(INDEX(EXCEPCIONES_FECHA!$F$2:$F$201,MATCH(1,(EXCEPCIONES_FECHA!$A$2:$A$201=$A873)*(EXCEPCIONES_FECHA!$B$2:$B$201=$B873),0)),IFERROR(INDEX(EXCEPCIONES_FECHA!$F$2:$F$201,MATCH(1,(EXCEPCIONES_FECHA!$A$2:$A$201=$A873)*(EXCEPCIONES_FECHA!$B$2:$B$201=""),0)),IFERROR(INDEX(IF($I873="FIN",HISTORIAL_HORARIOS!$L$2:$L$201,HISTORIAL_HORARIOS!$H$2:$H$201),MATCH(1,(HISTORIAL_HORARIOS!$A$2:$A$201=$B873)*(HISTORIAL_HORARIOS!$C$2:$C$201&lt;=$A873)*(HISTORIAL_HORARIOS!$D$2:$D$201&gt;=$A873),0)),INDEX(IF($I873="FIN",PERSONAL!$L$2:$L$80,PERSONAL!$H$2:$H$80),MATCH($B873,PERSONAL!$A$2:$A$80,0)))))</f>
        <v/>
      </c>
    </row>
    <row r="874" ht="15" customHeight="1" s="58">
      <c r="A874" s="40" t="n"/>
      <c r="B874" s="38" t="n"/>
      <c r="C874" s="40" t="n"/>
      <c r="D874" s="40" t="n"/>
      <c r="E874" s="34">
        <f t="array" ref="E874">IF($B874="","",IFERROR(INDEX(PERSONAL!$B$2:$B$80,MATCH($B874,PERSONAL!$A$2:$A$80,0)),"NO EXISTE"))</f>
        <v/>
      </c>
      <c r="F874" s="34">
        <f t="array" ref="F874">IF($B874="","",IFERROR(INDEX(PERSONAL!$C$2:$C$80,MATCH($B874,PERSONAL!$A$2:$A$80,0)),""))</f>
        <v/>
      </c>
      <c r="G874" s="34">
        <f>IF($A874="","",CHOOSE(WEEKDAY($A874,2),"LUNES","MARTES","MIÉRCOLES","JUEVES","VIERNES","SÁBADO","DOMINGO"))</f>
        <v/>
      </c>
      <c r="H874" s="34">
        <f>IF($A874="","",CHOOSE(MONTH($A874),"ENERO","FEBRERO","MARZO","ABRIL","MAYO","JUNIO","JULIO","AGOSTO","SEPTIEMBRE","OCTUBRE","NOVIEMBRE","DICIEMBRE"))</f>
        <v/>
      </c>
      <c r="I874" s="34">
        <f>IF($A874="","",IF(OR($G874="SÁBADO",$G874="DOMINGO"),"FIN","LV"))</f>
        <v/>
      </c>
      <c r="J874" s="34">
        <f>IF(OR($A874="",$B874=""),"",IF($L874&lt;&gt;"",UPPER($L874),IF($C874="","FALTA",IFERROR(IF($C874&gt;=$O874,"ROJO FUERTE",IF($C874&gt;=$N874,"ROJO",IF($C874&gt;=$M874,"AMARILLO","VERDE"))),"REVISAR"))))</f>
        <v/>
      </c>
      <c r="K874" s="36">
        <f>IF(OR($C874="",$D874=""),"",IF($D874&gt;=$C874,($D874-$C874)*24,(1-$C874+$D874)*24))</f>
        <v/>
      </c>
      <c r="L874" s="34" t="n"/>
      <c r="M874" s="53">
        <f t="array" ref="M874">IFERROR(INDEX(EXCEPCIONES_FECHA!$D$2:$D$201,MATCH(1,(EXCEPCIONES_FECHA!$A$2:$A$201=$A874)*(EXCEPCIONES_FECHA!$B$2:$B$201=$B874),0)),IFERROR(INDEX(EXCEPCIONES_FECHA!$D$2:$D$201,MATCH(1,(EXCEPCIONES_FECHA!$A$2:$A$201=$A874)*(EXCEPCIONES_FECHA!$B$2:$B$201=""),0)),IFERROR(INDEX(IF($I874="FIN",HISTORIAL_HORARIOS!$J$2:$J$201,HISTORIAL_HORARIOS!$F$2:$F$201),MATCH(1,(HISTORIAL_HORARIOS!$A$2:$A$201=$B874)*(HISTORIAL_HORARIOS!$C$2:$C$201&lt;=$A874)*(HISTORIAL_HORARIOS!$D$2:$D$201&gt;=$A874),0)),INDEX(IF($I874="FIN",PERSONAL!$J$2:$J$80,PERSONAL!$F$2:$F$80),MATCH($B874,PERSONAL!$A$2:$A$80,0)))))</f>
        <v/>
      </c>
      <c r="N874" s="53">
        <f t="array" ref="N874">IFERROR(INDEX(EXCEPCIONES_FECHA!$E$2:$E$201,MATCH(1,(EXCEPCIONES_FECHA!$A$2:$A$201=$A874)*(EXCEPCIONES_FECHA!$B$2:$B$201=$B874),0)),IFERROR(INDEX(EXCEPCIONES_FECHA!$E$2:$E$201,MATCH(1,(EXCEPCIONES_FECHA!$A$2:$A$201=$A874)*(EXCEPCIONES_FECHA!$B$2:$B$201=""),0)),IFERROR(INDEX(IF($I874="FIN",HISTORIAL_HORARIOS!$K$2:$K$201,HISTORIAL_HORARIOS!$G$2:$G$201),MATCH(1,(HISTORIAL_HORARIOS!$A$2:$A$201=$B874)*(HISTORIAL_HORARIOS!$C$2:$C$201&lt;=$A874)*(HISTORIAL_HORARIOS!$D$2:$D$201&gt;=$A874),0)),INDEX(IF($I874="FIN",PERSONAL!$K$2:$K$80,PERSONAL!$G$2:$G$80),MATCH($B874,PERSONAL!$A$2:$A$80,0)))))</f>
        <v/>
      </c>
      <c r="O874" s="53">
        <f t="array" ref="O874">IFERROR(INDEX(EXCEPCIONES_FECHA!$F$2:$F$201,MATCH(1,(EXCEPCIONES_FECHA!$A$2:$A$201=$A874)*(EXCEPCIONES_FECHA!$B$2:$B$201=$B874),0)),IFERROR(INDEX(EXCEPCIONES_FECHA!$F$2:$F$201,MATCH(1,(EXCEPCIONES_FECHA!$A$2:$A$201=$A874)*(EXCEPCIONES_FECHA!$B$2:$B$201=""),0)),IFERROR(INDEX(IF($I874="FIN",HISTORIAL_HORARIOS!$L$2:$L$201,HISTORIAL_HORARIOS!$H$2:$H$201),MATCH(1,(HISTORIAL_HORARIOS!$A$2:$A$201=$B874)*(HISTORIAL_HORARIOS!$C$2:$C$201&lt;=$A874)*(HISTORIAL_HORARIOS!$D$2:$D$201&gt;=$A874),0)),INDEX(IF($I874="FIN",PERSONAL!$L$2:$L$80,PERSONAL!$H$2:$H$80),MATCH($B874,PERSONAL!$A$2:$A$80,0)))))</f>
        <v/>
      </c>
    </row>
    <row r="875" ht="15" customHeight="1" s="58">
      <c r="A875" s="40" t="n"/>
      <c r="B875" s="38" t="n"/>
      <c r="C875" s="40" t="n"/>
      <c r="D875" s="40" t="n"/>
      <c r="E875" s="34">
        <f t="array" ref="E875">IF($B875="","",IFERROR(INDEX(PERSONAL!$B$2:$B$80,MATCH($B875,PERSONAL!$A$2:$A$80,0)),"NO EXISTE"))</f>
        <v/>
      </c>
      <c r="F875" s="34">
        <f t="array" ref="F875">IF($B875="","",IFERROR(INDEX(PERSONAL!$C$2:$C$80,MATCH($B875,PERSONAL!$A$2:$A$80,0)),""))</f>
        <v/>
      </c>
      <c r="G875" s="34">
        <f>IF($A875="","",CHOOSE(WEEKDAY($A875,2),"LUNES","MARTES","MIÉRCOLES","JUEVES","VIERNES","SÁBADO","DOMINGO"))</f>
        <v/>
      </c>
      <c r="H875" s="34">
        <f>IF($A875="","",CHOOSE(MONTH($A875),"ENERO","FEBRERO","MARZO","ABRIL","MAYO","JUNIO","JULIO","AGOSTO","SEPTIEMBRE","OCTUBRE","NOVIEMBRE","DICIEMBRE"))</f>
        <v/>
      </c>
      <c r="I875" s="34">
        <f>IF($A875="","",IF(OR($G875="SÁBADO",$G875="DOMINGO"),"FIN","LV"))</f>
        <v/>
      </c>
      <c r="J875" s="34">
        <f>IF(OR($A875="",$B875=""),"",IF($L875&lt;&gt;"",UPPER($L875),IF($C875="","FALTA",IFERROR(IF($C875&gt;=$O875,"ROJO FUERTE",IF($C875&gt;=$N875,"ROJO",IF($C875&gt;=$M875,"AMARILLO","VERDE"))),"REVISAR"))))</f>
        <v/>
      </c>
      <c r="K875" s="36">
        <f>IF(OR($C875="",$D875=""),"",IF($D875&gt;=$C875,($D875-$C875)*24,(1-$C875+$D875)*24))</f>
        <v/>
      </c>
      <c r="L875" s="34" t="n"/>
      <c r="M875" s="53">
        <f t="array" ref="M875">IFERROR(INDEX(EXCEPCIONES_FECHA!$D$2:$D$201,MATCH(1,(EXCEPCIONES_FECHA!$A$2:$A$201=$A875)*(EXCEPCIONES_FECHA!$B$2:$B$201=$B875),0)),IFERROR(INDEX(EXCEPCIONES_FECHA!$D$2:$D$201,MATCH(1,(EXCEPCIONES_FECHA!$A$2:$A$201=$A875)*(EXCEPCIONES_FECHA!$B$2:$B$201=""),0)),IFERROR(INDEX(IF($I875="FIN",HISTORIAL_HORARIOS!$J$2:$J$201,HISTORIAL_HORARIOS!$F$2:$F$201),MATCH(1,(HISTORIAL_HORARIOS!$A$2:$A$201=$B875)*(HISTORIAL_HORARIOS!$C$2:$C$201&lt;=$A875)*(HISTORIAL_HORARIOS!$D$2:$D$201&gt;=$A875),0)),INDEX(IF($I875="FIN",PERSONAL!$J$2:$J$80,PERSONAL!$F$2:$F$80),MATCH($B875,PERSONAL!$A$2:$A$80,0)))))</f>
        <v/>
      </c>
      <c r="N875" s="53">
        <f t="array" ref="N875">IFERROR(INDEX(EXCEPCIONES_FECHA!$E$2:$E$201,MATCH(1,(EXCEPCIONES_FECHA!$A$2:$A$201=$A875)*(EXCEPCIONES_FECHA!$B$2:$B$201=$B875),0)),IFERROR(INDEX(EXCEPCIONES_FECHA!$E$2:$E$201,MATCH(1,(EXCEPCIONES_FECHA!$A$2:$A$201=$A875)*(EXCEPCIONES_FECHA!$B$2:$B$201=""),0)),IFERROR(INDEX(IF($I875="FIN",HISTORIAL_HORARIOS!$K$2:$K$201,HISTORIAL_HORARIOS!$G$2:$G$201),MATCH(1,(HISTORIAL_HORARIOS!$A$2:$A$201=$B875)*(HISTORIAL_HORARIOS!$C$2:$C$201&lt;=$A875)*(HISTORIAL_HORARIOS!$D$2:$D$201&gt;=$A875),0)),INDEX(IF($I875="FIN",PERSONAL!$K$2:$K$80,PERSONAL!$G$2:$G$80),MATCH($B875,PERSONAL!$A$2:$A$80,0)))))</f>
        <v/>
      </c>
      <c r="O875" s="53">
        <f t="array" ref="O875">IFERROR(INDEX(EXCEPCIONES_FECHA!$F$2:$F$201,MATCH(1,(EXCEPCIONES_FECHA!$A$2:$A$201=$A875)*(EXCEPCIONES_FECHA!$B$2:$B$201=$B875),0)),IFERROR(INDEX(EXCEPCIONES_FECHA!$F$2:$F$201,MATCH(1,(EXCEPCIONES_FECHA!$A$2:$A$201=$A875)*(EXCEPCIONES_FECHA!$B$2:$B$201=""),0)),IFERROR(INDEX(IF($I875="FIN",HISTORIAL_HORARIOS!$L$2:$L$201,HISTORIAL_HORARIOS!$H$2:$H$201),MATCH(1,(HISTORIAL_HORARIOS!$A$2:$A$201=$B875)*(HISTORIAL_HORARIOS!$C$2:$C$201&lt;=$A875)*(HISTORIAL_HORARIOS!$D$2:$D$201&gt;=$A875),0)),INDEX(IF($I875="FIN",PERSONAL!$L$2:$L$80,PERSONAL!$H$2:$H$80),MATCH($B875,PERSONAL!$A$2:$A$80,0)))))</f>
        <v/>
      </c>
    </row>
    <row r="876" ht="15" customHeight="1" s="58">
      <c r="A876" s="40" t="n"/>
      <c r="B876" s="38" t="n"/>
      <c r="C876" s="40" t="n"/>
      <c r="D876" s="40" t="n"/>
      <c r="E876" s="34">
        <f t="array" ref="E876">IF($B876="","",IFERROR(INDEX(PERSONAL!$B$2:$B$80,MATCH($B876,PERSONAL!$A$2:$A$80,0)),"NO EXISTE"))</f>
        <v/>
      </c>
      <c r="F876" s="34">
        <f t="array" ref="F876">IF($B876="","",IFERROR(INDEX(PERSONAL!$C$2:$C$80,MATCH($B876,PERSONAL!$A$2:$A$80,0)),""))</f>
        <v/>
      </c>
      <c r="G876" s="34">
        <f>IF($A876="","",CHOOSE(WEEKDAY($A876,2),"LUNES","MARTES","MIÉRCOLES","JUEVES","VIERNES","SÁBADO","DOMINGO"))</f>
        <v/>
      </c>
      <c r="H876" s="34">
        <f>IF($A876="","",CHOOSE(MONTH($A876),"ENERO","FEBRERO","MARZO","ABRIL","MAYO","JUNIO","JULIO","AGOSTO","SEPTIEMBRE","OCTUBRE","NOVIEMBRE","DICIEMBRE"))</f>
        <v/>
      </c>
      <c r="I876" s="34">
        <f>IF($A876="","",IF(OR($G876="SÁBADO",$G876="DOMINGO"),"FIN","LV"))</f>
        <v/>
      </c>
      <c r="J876" s="34">
        <f>IF(OR($A876="",$B876=""),"",IF($L876&lt;&gt;"",UPPER($L876),IF($C876="","FALTA",IFERROR(IF($C876&gt;=$O876,"ROJO FUERTE",IF($C876&gt;=$N876,"ROJO",IF($C876&gt;=$M876,"AMARILLO","VERDE"))),"REVISAR"))))</f>
        <v/>
      </c>
      <c r="K876" s="36">
        <f>IF(OR($C876="",$D876=""),"",IF($D876&gt;=$C876,($D876-$C876)*24,(1-$C876+$D876)*24))</f>
        <v/>
      </c>
      <c r="L876" s="34" t="n"/>
      <c r="M876" s="53">
        <f t="array" ref="M876">IFERROR(INDEX(EXCEPCIONES_FECHA!$D$2:$D$201,MATCH(1,(EXCEPCIONES_FECHA!$A$2:$A$201=$A876)*(EXCEPCIONES_FECHA!$B$2:$B$201=$B876),0)),IFERROR(INDEX(EXCEPCIONES_FECHA!$D$2:$D$201,MATCH(1,(EXCEPCIONES_FECHA!$A$2:$A$201=$A876)*(EXCEPCIONES_FECHA!$B$2:$B$201=""),0)),IFERROR(INDEX(IF($I876="FIN",HISTORIAL_HORARIOS!$J$2:$J$201,HISTORIAL_HORARIOS!$F$2:$F$201),MATCH(1,(HISTORIAL_HORARIOS!$A$2:$A$201=$B876)*(HISTORIAL_HORARIOS!$C$2:$C$201&lt;=$A876)*(HISTORIAL_HORARIOS!$D$2:$D$201&gt;=$A876),0)),INDEX(IF($I876="FIN",PERSONAL!$J$2:$J$80,PERSONAL!$F$2:$F$80),MATCH($B876,PERSONAL!$A$2:$A$80,0)))))</f>
        <v/>
      </c>
      <c r="N876" s="53">
        <f t="array" ref="N876">IFERROR(INDEX(EXCEPCIONES_FECHA!$E$2:$E$201,MATCH(1,(EXCEPCIONES_FECHA!$A$2:$A$201=$A876)*(EXCEPCIONES_FECHA!$B$2:$B$201=$B876),0)),IFERROR(INDEX(EXCEPCIONES_FECHA!$E$2:$E$201,MATCH(1,(EXCEPCIONES_FECHA!$A$2:$A$201=$A876)*(EXCEPCIONES_FECHA!$B$2:$B$201=""),0)),IFERROR(INDEX(IF($I876="FIN",HISTORIAL_HORARIOS!$K$2:$K$201,HISTORIAL_HORARIOS!$G$2:$G$201),MATCH(1,(HISTORIAL_HORARIOS!$A$2:$A$201=$B876)*(HISTORIAL_HORARIOS!$C$2:$C$201&lt;=$A876)*(HISTORIAL_HORARIOS!$D$2:$D$201&gt;=$A876),0)),INDEX(IF($I876="FIN",PERSONAL!$K$2:$K$80,PERSONAL!$G$2:$G$80),MATCH($B876,PERSONAL!$A$2:$A$80,0)))))</f>
        <v/>
      </c>
      <c r="O876" s="53">
        <f t="array" ref="O876">IFERROR(INDEX(EXCEPCIONES_FECHA!$F$2:$F$201,MATCH(1,(EXCEPCIONES_FECHA!$A$2:$A$201=$A876)*(EXCEPCIONES_FECHA!$B$2:$B$201=$B876),0)),IFERROR(INDEX(EXCEPCIONES_FECHA!$F$2:$F$201,MATCH(1,(EXCEPCIONES_FECHA!$A$2:$A$201=$A876)*(EXCEPCIONES_FECHA!$B$2:$B$201=""),0)),IFERROR(INDEX(IF($I876="FIN",HISTORIAL_HORARIOS!$L$2:$L$201,HISTORIAL_HORARIOS!$H$2:$H$201),MATCH(1,(HISTORIAL_HORARIOS!$A$2:$A$201=$B876)*(HISTORIAL_HORARIOS!$C$2:$C$201&lt;=$A876)*(HISTORIAL_HORARIOS!$D$2:$D$201&gt;=$A876),0)),INDEX(IF($I876="FIN",PERSONAL!$L$2:$L$80,PERSONAL!$H$2:$H$80),MATCH($B876,PERSONAL!$A$2:$A$80,0)))))</f>
        <v/>
      </c>
    </row>
    <row r="877" ht="15" customHeight="1" s="58">
      <c r="A877" s="40" t="n"/>
      <c r="B877" s="38" t="n"/>
      <c r="C877" s="40" t="n"/>
      <c r="D877" s="40" t="n"/>
      <c r="E877" s="34">
        <f t="array" ref="E877">IF($B877="","",IFERROR(INDEX(PERSONAL!$B$2:$B$80,MATCH($B877,PERSONAL!$A$2:$A$80,0)),"NO EXISTE"))</f>
        <v/>
      </c>
      <c r="F877" s="34">
        <f t="array" ref="F877">IF($B877="","",IFERROR(INDEX(PERSONAL!$C$2:$C$80,MATCH($B877,PERSONAL!$A$2:$A$80,0)),""))</f>
        <v/>
      </c>
      <c r="G877" s="34">
        <f>IF($A877="","",CHOOSE(WEEKDAY($A877,2),"LUNES","MARTES","MIÉRCOLES","JUEVES","VIERNES","SÁBADO","DOMINGO"))</f>
        <v/>
      </c>
      <c r="H877" s="34">
        <f>IF($A877="","",CHOOSE(MONTH($A877),"ENERO","FEBRERO","MARZO","ABRIL","MAYO","JUNIO","JULIO","AGOSTO","SEPTIEMBRE","OCTUBRE","NOVIEMBRE","DICIEMBRE"))</f>
        <v/>
      </c>
      <c r="I877" s="34">
        <f>IF($A877="","",IF(OR($G877="SÁBADO",$G877="DOMINGO"),"FIN","LV"))</f>
        <v/>
      </c>
      <c r="J877" s="34">
        <f>IF(OR($A877="",$B877=""),"",IF($L877&lt;&gt;"",UPPER($L877),IF($C877="","FALTA",IFERROR(IF($C877&gt;=$O877,"ROJO FUERTE",IF($C877&gt;=$N877,"ROJO",IF($C877&gt;=$M877,"AMARILLO","VERDE"))),"REVISAR"))))</f>
        <v/>
      </c>
      <c r="K877" s="36">
        <f>IF(OR($C877="",$D877=""),"",IF($D877&gt;=$C877,($D877-$C877)*24,(1-$C877+$D877)*24))</f>
        <v/>
      </c>
      <c r="L877" s="34" t="n"/>
      <c r="M877" s="53">
        <f t="array" ref="M877">IFERROR(INDEX(EXCEPCIONES_FECHA!$D$2:$D$201,MATCH(1,(EXCEPCIONES_FECHA!$A$2:$A$201=$A877)*(EXCEPCIONES_FECHA!$B$2:$B$201=$B877),0)),IFERROR(INDEX(EXCEPCIONES_FECHA!$D$2:$D$201,MATCH(1,(EXCEPCIONES_FECHA!$A$2:$A$201=$A877)*(EXCEPCIONES_FECHA!$B$2:$B$201=""),0)),IFERROR(INDEX(IF($I877="FIN",HISTORIAL_HORARIOS!$J$2:$J$201,HISTORIAL_HORARIOS!$F$2:$F$201),MATCH(1,(HISTORIAL_HORARIOS!$A$2:$A$201=$B877)*(HISTORIAL_HORARIOS!$C$2:$C$201&lt;=$A877)*(HISTORIAL_HORARIOS!$D$2:$D$201&gt;=$A877),0)),INDEX(IF($I877="FIN",PERSONAL!$J$2:$J$80,PERSONAL!$F$2:$F$80),MATCH($B877,PERSONAL!$A$2:$A$80,0)))))</f>
        <v/>
      </c>
      <c r="N877" s="53">
        <f t="array" ref="N877">IFERROR(INDEX(EXCEPCIONES_FECHA!$E$2:$E$201,MATCH(1,(EXCEPCIONES_FECHA!$A$2:$A$201=$A877)*(EXCEPCIONES_FECHA!$B$2:$B$201=$B877),0)),IFERROR(INDEX(EXCEPCIONES_FECHA!$E$2:$E$201,MATCH(1,(EXCEPCIONES_FECHA!$A$2:$A$201=$A877)*(EXCEPCIONES_FECHA!$B$2:$B$201=""),0)),IFERROR(INDEX(IF($I877="FIN",HISTORIAL_HORARIOS!$K$2:$K$201,HISTORIAL_HORARIOS!$G$2:$G$201),MATCH(1,(HISTORIAL_HORARIOS!$A$2:$A$201=$B877)*(HISTORIAL_HORARIOS!$C$2:$C$201&lt;=$A877)*(HISTORIAL_HORARIOS!$D$2:$D$201&gt;=$A877),0)),INDEX(IF($I877="FIN",PERSONAL!$K$2:$K$80,PERSONAL!$G$2:$G$80),MATCH($B877,PERSONAL!$A$2:$A$80,0)))))</f>
        <v/>
      </c>
      <c r="O877" s="53">
        <f t="array" ref="O877">IFERROR(INDEX(EXCEPCIONES_FECHA!$F$2:$F$201,MATCH(1,(EXCEPCIONES_FECHA!$A$2:$A$201=$A877)*(EXCEPCIONES_FECHA!$B$2:$B$201=$B877),0)),IFERROR(INDEX(EXCEPCIONES_FECHA!$F$2:$F$201,MATCH(1,(EXCEPCIONES_FECHA!$A$2:$A$201=$A877)*(EXCEPCIONES_FECHA!$B$2:$B$201=""),0)),IFERROR(INDEX(IF($I877="FIN",HISTORIAL_HORARIOS!$L$2:$L$201,HISTORIAL_HORARIOS!$H$2:$H$201),MATCH(1,(HISTORIAL_HORARIOS!$A$2:$A$201=$B877)*(HISTORIAL_HORARIOS!$C$2:$C$201&lt;=$A877)*(HISTORIAL_HORARIOS!$D$2:$D$201&gt;=$A877),0)),INDEX(IF($I877="FIN",PERSONAL!$L$2:$L$80,PERSONAL!$H$2:$H$80),MATCH($B877,PERSONAL!$A$2:$A$80,0)))))</f>
        <v/>
      </c>
    </row>
    <row r="878" ht="15" customHeight="1" s="58">
      <c r="A878" s="40" t="n"/>
      <c r="B878" s="38" t="n"/>
      <c r="C878" s="40" t="n"/>
      <c r="D878" s="40" t="n"/>
      <c r="E878" s="34">
        <f t="array" ref="E878">IF($B878="","",IFERROR(INDEX(PERSONAL!$B$2:$B$80,MATCH($B878,PERSONAL!$A$2:$A$80,0)),"NO EXISTE"))</f>
        <v/>
      </c>
      <c r="F878" s="34">
        <f t="array" ref="F878">IF($B878="","",IFERROR(INDEX(PERSONAL!$C$2:$C$80,MATCH($B878,PERSONAL!$A$2:$A$80,0)),""))</f>
        <v/>
      </c>
      <c r="G878" s="34">
        <f>IF($A878="","",CHOOSE(WEEKDAY($A878,2),"LUNES","MARTES","MIÉRCOLES","JUEVES","VIERNES","SÁBADO","DOMINGO"))</f>
        <v/>
      </c>
      <c r="H878" s="34">
        <f>IF($A878="","",CHOOSE(MONTH($A878),"ENERO","FEBRERO","MARZO","ABRIL","MAYO","JUNIO","JULIO","AGOSTO","SEPTIEMBRE","OCTUBRE","NOVIEMBRE","DICIEMBRE"))</f>
        <v/>
      </c>
      <c r="I878" s="34">
        <f>IF($A878="","",IF(OR($G878="SÁBADO",$G878="DOMINGO"),"FIN","LV"))</f>
        <v/>
      </c>
      <c r="J878" s="34">
        <f>IF(OR($A878="",$B878=""),"",IF($L878&lt;&gt;"",UPPER($L878),IF($C878="","FALTA",IFERROR(IF($C878&gt;=$O878,"ROJO FUERTE",IF($C878&gt;=$N878,"ROJO",IF($C878&gt;=$M878,"AMARILLO","VERDE"))),"REVISAR"))))</f>
        <v/>
      </c>
      <c r="K878" s="36">
        <f>IF(OR($C878="",$D878=""),"",IF($D878&gt;=$C878,($D878-$C878)*24,(1-$C878+$D878)*24))</f>
        <v/>
      </c>
      <c r="L878" s="34" t="n"/>
      <c r="M878" s="53">
        <f t="array" ref="M878">IFERROR(INDEX(EXCEPCIONES_FECHA!$D$2:$D$201,MATCH(1,(EXCEPCIONES_FECHA!$A$2:$A$201=$A878)*(EXCEPCIONES_FECHA!$B$2:$B$201=$B878),0)),IFERROR(INDEX(EXCEPCIONES_FECHA!$D$2:$D$201,MATCH(1,(EXCEPCIONES_FECHA!$A$2:$A$201=$A878)*(EXCEPCIONES_FECHA!$B$2:$B$201=""),0)),IFERROR(INDEX(IF($I878="FIN",HISTORIAL_HORARIOS!$J$2:$J$201,HISTORIAL_HORARIOS!$F$2:$F$201),MATCH(1,(HISTORIAL_HORARIOS!$A$2:$A$201=$B878)*(HISTORIAL_HORARIOS!$C$2:$C$201&lt;=$A878)*(HISTORIAL_HORARIOS!$D$2:$D$201&gt;=$A878),0)),INDEX(IF($I878="FIN",PERSONAL!$J$2:$J$80,PERSONAL!$F$2:$F$80),MATCH($B878,PERSONAL!$A$2:$A$80,0)))))</f>
        <v/>
      </c>
      <c r="N878" s="53">
        <f t="array" ref="N878">IFERROR(INDEX(EXCEPCIONES_FECHA!$E$2:$E$201,MATCH(1,(EXCEPCIONES_FECHA!$A$2:$A$201=$A878)*(EXCEPCIONES_FECHA!$B$2:$B$201=$B878),0)),IFERROR(INDEX(EXCEPCIONES_FECHA!$E$2:$E$201,MATCH(1,(EXCEPCIONES_FECHA!$A$2:$A$201=$A878)*(EXCEPCIONES_FECHA!$B$2:$B$201=""),0)),IFERROR(INDEX(IF($I878="FIN",HISTORIAL_HORARIOS!$K$2:$K$201,HISTORIAL_HORARIOS!$G$2:$G$201),MATCH(1,(HISTORIAL_HORARIOS!$A$2:$A$201=$B878)*(HISTORIAL_HORARIOS!$C$2:$C$201&lt;=$A878)*(HISTORIAL_HORARIOS!$D$2:$D$201&gt;=$A878),0)),INDEX(IF($I878="FIN",PERSONAL!$K$2:$K$80,PERSONAL!$G$2:$G$80),MATCH($B878,PERSONAL!$A$2:$A$80,0)))))</f>
        <v/>
      </c>
      <c r="O878" s="53">
        <f t="array" ref="O878">IFERROR(INDEX(EXCEPCIONES_FECHA!$F$2:$F$201,MATCH(1,(EXCEPCIONES_FECHA!$A$2:$A$201=$A878)*(EXCEPCIONES_FECHA!$B$2:$B$201=$B878),0)),IFERROR(INDEX(EXCEPCIONES_FECHA!$F$2:$F$201,MATCH(1,(EXCEPCIONES_FECHA!$A$2:$A$201=$A878)*(EXCEPCIONES_FECHA!$B$2:$B$201=""),0)),IFERROR(INDEX(IF($I878="FIN",HISTORIAL_HORARIOS!$L$2:$L$201,HISTORIAL_HORARIOS!$H$2:$H$201),MATCH(1,(HISTORIAL_HORARIOS!$A$2:$A$201=$B878)*(HISTORIAL_HORARIOS!$C$2:$C$201&lt;=$A878)*(HISTORIAL_HORARIOS!$D$2:$D$201&gt;=$A878),0)),INDEX(IF($I878="FIN",PERSONAL!$L$2:$L$80,PERSONAL!$H$2:$H$80),MATCH($B878,PERSONAL!$A$2:$A$80,0)))))</f>
        <v/>
      </c>
    </row>
    <row r="879" ht="15" customHeight="1" s="58">
      <c r="A879" s="40" t="n"/>
      <c r="B879" s="38" t="n"/>
      <c r="C879" s="40" t="n"/>
      <c r="D879" s="40" t="n"/>
      <c r="E879" s="34">
        <f t="array" ref="E879">IF($B879="","",IFERROR(INDEX(PERSONAL!$B$2:$B$80,MATCH($B879,PERSONAL!$A$2:$A$80,0)),"NO EXISTE"))</f>
        <v/>
      </c>
      <c r="F879" s="34">
        <f t="array" ref="F879">IF($B879="","",IFERROR(INDEX(PERSONAL!$C$2:$C$80,MATCH($B879,PERSONAL!$A$2:$A$80,0)),""))</f>
        <v/>
      </c>
      <c r="G879" s="34">
        <f>IF($A879="","",CHOOSE(WEEKDAY($A879,2),"LUNES","MARTES","MIÉRCOLES","JUEVES","VIERNES","SÁBADO","DOMINGO"))</f>
        <v/>
      </c>
      <c r="H879" s="34">
        <f>IF($A879="","",CHOOSE(MONTH($A879),"ENERO","FEBRERO","MARZO","ABRIL","MAYO","JUNIO","JULIO","AGOSTO","SEPTIEMBRE","OCTUBRE","NOVIEMBRE","DICIEMBRE"))</f>
        <v/>
      </c>
      <c r="I879" s="34">
        <f>IF($A879="","",IF(OR($G879="SÁBADO",$G879="DOMINGO"),"FIN","LV"))</f>
        <v/>
      </c>
      <c r="J879" s="34">
        <f>IF(OR($A879="",$B879=""),"",IF($L879&lt;&gt;"",UPPER($L879),IF($C879="","FALTA",IFERROR(IF($C879&gt;=$O879,"ROJO FUERTE",IF($C879&gt;=$N879,"ROJO",IF($C879&gt;=$M879,"AMARILLO","VERDE"))),"REVISAR"))))</f>
        <v/>
      </c>
      <c r="K879" s="36">
        <f>IF(OR($C879="",$D879=""),"",IF($D879&gt;=$C879,($D879-$C879)*24,(1-$C879+$D879)*24))</f>
        <v/>
      </c>
      <c r="L879" s="34" t="n"/>
      <c r="M879" s="53">
        <f t="array" ref="M879">IFERROR(INDEX(EXCEPCIONES_FECHA!$D$2:$D$201,MATCH(1,(EXCEPCIONES_FECHA!$A$2:$A$201=$A879)*(EXCEPCIONES_FECHA!$B$2:$B$201=$B879),0)),IFERROR(INDEX(EXCEPCIONES_FECHA!$D$2:$D$201,MATCH(1,(EXCEPCIONES_FECHA!$A$2:$A$201=$A879)*(EXCEPCIONES_FECHA!$B$2:$B$201=""),0)),IFERROR(INDEX(IF($I879="FIN",HISTORIAL_HORARIOS!$J$2:$J$201,HISTORIAL_HORARIOS!$F$2:$F$201),MATCH(1,(HISTORIAL_HORARIOS!$A$2:$A$201=$B879)*(HISTORIAL_HORARIOS!$C$2:$C$201&lt;=$A879)*(HISTORIAL_HORARIOS!$D$2:$D$201&gt;=$A879),0)),INDEX(IF($I879="FIN",PERSONAL!$J$2:$J$80,PERSONAL!$F$2:$F$80),MATCH($B879,PERSONAL!$A$2:$A$80,0)))))</f>
        <v/>
      </c>
      <c r="N879" s="53">
        <f t="array" ref="N879">IFERROR(INDEX(EXCEPCIONES_FECHA!$E$2:$E$201,MATCH(1,(EXCEPCIONES_FECHA!$A$2:$A$201=$A879)*(EXCEPCIONES_FECHA!$B$2:$B$201=$B879),0)),IFERROR(INDEX(EXCEPCIONES_FECHA!$E$2:$E$201,MATCH(1,(EXCEPCIONES_FECHA!$A$2:$A$201=$A879)*(EXCEPCIONES_FECHA!$B$2:$B$201=""),0)),IFERROR(INDEX(IF($I879="FIN",HISTORIAL_HORARIOS!$K$2:$K$201,HISTORIAL_HORARIOS!$G$2:$G$201),MATCH(1,(HISTORIAL_HORARIOS!$A$2:$A$201=$B879)*(HISTORIAL_HORARIOS!$C$2:$C$201&lt;=$A879)*(HISTORIAL_HORARIOS!$D$2:$D$201&gt;=$A879),0)),INDEX(IF($I879="FIN",PERSONAL!$K$2:$K$80,PERSONAL!$G$2:$G$80),MATCH($B879,PERSONAL!$A$2:$A$80,0)))))</f>
        <v/>
      </c>
      <c r="O879" s="53">
        <f t="array" ref="O879">IFERROR(INDEX(EXCEPCIONES_FECHA!$F$2:$F$201,MATCH(1,(EXCEPCIONES_FECHA!$A$2:$A$201=$A879)*(EXCEPCIONES_FECHA!$B$2:$B$201=$B879),0)),IFERROR(INDEX(EXCEPCIONES_FECHA!$F$2:$F$201,MATCH(1,(EXCEPCIONES_FECHA!$A$2:$A$201=$A879)*(EXCEPCIONES_FECHA!$B$2:$B$201=""),0)),IFERROR(INDEX(IF($I879="FIN",HISTORIAL_HORARIOS!$L$2:$L$201,HISTORIAL_HORARIOS!$H$2:$H$201),MATCH(1,(HISTORIAL_HORARIOS!$A$2:$A$201=$B879)*(HISTORIAL_HORARIOS!$C$2:$C$201&lt;=$A879)*(HISTORIAL_HORARIOS!$D$2:$D$201&gt;=$A879),0)),INDEX(IF($I879="FIN",PERSONAL!$L$2:$L$80,PERSONAL!$H$2:$H$80),MATCH($B879,PERSONAL!$A$2:$A$80,0)))))</f>
        <v/>
      </c>
    </row>
    <row r="880" ht="15" customHeight="1" s="58">
      <c r="A880" s="40" t="n"/>
      <c r="B880" s="38" t="n"/>
      <c r="C880" s="40" t="n"/>
      <c r="D880" s="40" t="n"/>
      <c r="E880" s="34">
        <f t="array" ref="E880">IF($B880="","",IFERROR(INDEX(PERSONAL!$B$2:$B$80,MATCH($B880,PERSONAL!$A$2:$A$80,0)),"NO EXISTE"))</f>
        <v/>
      </c>
      <c r="F880" s="34">
        <f t="array" ref="F880">IF($B880="","",IFERROR(INDEX(PERSONAL!$C$2:$C$80,MATCH($B880,PERSONAL!$A$2:$A$80,0)),""))</f>
        <v/>
      </c>
      <c r="G880" s="34">
        <f>IF($A880="","",CHOOSE(WEEKDAY($A880,2),"LUNES","MARTES","MIÉRCOLES","JUEVES","VIERNES","SÁBADO","DOMINGO"))</f>
        <v/>
      </c>
      <c r="H880" s="34">
        <f>IF($A880="","",CHOOSE(MONTH($A880),"ENERO","FEBRERO","MARZO","ABRIL","MAYO","JUNIO","JULIO","AGOSTO","SEPTIEMBRE","OCTUBRE","NOVIEMBRE","DICIEMBRE"))</f>
        <v/>
      </c>
      <c r="I880" s="34">
        <f>IF($A880="","",IF(OR($G880="SÁBADO",$G880="DOMINGO"),"FIN","LV"))</f>
        <v/>
      </c>
      <c r="J880" s="34">
        <f>IF(OR($A880="",$B880=""),"",IF($L880&lt;&gt;"",UPPER($L880),IF($C880="","FALTA",IFERROR(IF($C880&gt;=$O880,"ROJO FUERTE",IF($C880&gt;=$N880,"ROJO",IF($C880&gt;=$M880,"AMARILLO","VERDE"))),"REVISAR"))))</f>
        <v/>
      </c>
      <c r="K880" s="36">
        <f>IF(OR($C880="",$D880=""),"",IF($D880&gt;=$C880,($D880-$C880)*24,(1-$C880+$D880)*24))</f>
        <v/>
      </c>
      <c r="L880" s="34" t="n"/>
      <c r="M880" s="53">
        <f t="array" ref="M880">IFERROR(INDEX(EXCEPCIONES_FECHA!$D$2:$D$201,MATCH(1,(EXCEPCIONES_FECHA!$A$2:$A$201=$A880)*(EXCEPCIONES_FECHA!$B$2:$B$201=$B880),0)),IFERROR(INDEX(EXCEPCIONES_FECHA!$D$2:$D$201,MATCH(1,(EXCEPCIONES_FECHA!$A$2:$A$201=$A880)*(EXCEPCIONES_FECHA!$B$2:$B$201=""),0)),IFERROR(INDEX(IF($I880="FIN",HISTORIAL_HORARIOS!$J$2:$J$201,HISTORIAL_HORARIOS!$F$2:$F$201),MATCH(1,(HISTORIAL_HORARIOS!$A$2:$A$201=$B880)*(HISTORIAL_HORARIOS!$C$2:$C$201&lt;=$A880)*(HISTORIAL_HORARIOS!$D$2:$D$201&gt;=$A880),0)),INDEX(IF($I880="FIN",PERSONAL!$J$2:$J$80,PERSONAL!$F$2:$F$80),MATCH($B880,PERSONAL!$A$2:$A$80,0)))))</f>
        <v/>
      </c>
      <c r="N880" s="53">
        <f t="array" ref="N880">IFERROR(INDEX(EXCEPCIONES_FECHA!$E$2:$E$201,MATCH(1,(EXCEPCIONES_FECHA!$A$2:$A$201=$A880)*(EXCEPCIONES_FECHA!$B$2:$B$201=$B880),0)),IFERROR(INDEX(EXCEPCIONES_FECHA!$E$2:$E$201,MATCH(1,(EXCEPCIONES_FECHA!$A$2:$A$201=$A880)*(EXCEPCIONES_FECHA!$B$2:$B$201=""),0)),IFERROR(INDEX(IF($I880="FIN",HISTORIAL_HORARIOS!$K$2:$K$201,HISTORIAL_HORARIOS!$G$2:$G$201),MATCH(1,(HISTORIAL_HORARIOS!$A$2:$A$201=$B880)*(HISTORIAL_HORARIOS!$C$2:$C$201&lt;=$A880)*(HISTORIAL_HORARIOS!$D$2:$D$201&gt;=$A880),0)),INDEX(IF($I880="FIN",PERSONAL!$K$2:$K$80,PERSONAL!$G$2:$G$80),MATCH($B880,PERSONAL!$A$2:$A$80,0)))))</f>
        <v/>
      </c>
      <c r="O880" s="53">
        <f t="array" ref="O880">IFERROR(INDEX(EXCEPCIONES_FECHA!$F$2:$F$201,MATCH(1,(EXCEPCIONES_FECHA!$A$2:$A$201=$A880)*(EXCEPCIONES_FECHA!$B$2:$B$201=$B880),0)),IFERROR(INDEX(EXCEPCIONES_FECHA!$F$2:$F$201,MATCH(1,(EXCEPCIONES_FECHA!$A$2:$A$201=$A880)*(EXCEPCIONES_FECHA!$B$2:$B$201=""),0)),IFERROR(INDEX(IF($I880="FIN",HISTORIAL_HORARIOS!$L$2:$L$201,HISTORIAL_HORARIOS!$H$2:$H$201),MATCH(1,(HISTORIAL_HORARIOS!$A$2:$A$201=$B880)*(HISTORIAL_HORARIOS!$C$2:$C$201&lt;=$A880)*(HISTORIAL_HORARIOS!$D$2:$D$201&gt;=$A880),0)),INDEX(IF($I880="FIN",PERSONAL!$L$2:$L$80,PERSONAL!$H$2:$H$80),MATCH($B880,PERSONAL!$A$2:$A$80,0)))))</f>
        <v/>
      </c>
    </row>
    <row r="881" ht="15" customHeight="1" s="58">
      <c r="A881" s="40" t="n"/>
      <c r="B881" s="38" t="n"/>
      <c r="C881" s="40" t="n"/>
      <c r="D881" s="40" t="n"/>
      <c r="E881" s="34">
        <f t="array" ref="E881">IF($B881="","",IFERROR(INDEX(PERSONAL!$B$2:$B$80,MATCH($B881,PERSONAL!$A$2:$A$80,0)),"NO EXISTE"))</f>
        <v/>
      </c>
      <c r="F881" s="34">
        <f t="array" ref="F881">IF($B881="","",IFERROR(INDEX(PERSONAL!$C$2:$C$80,MATCH($B881,PERSONAL!$A$2:$A$80,0)),""))</f>
        <v/>
      </c>
      <c r="G881" s="34">
        <f>IF($A881="","",CHOOSE(WEEKDAY($A881,2),"LUNES","MARTES","MIÉRCOLES","JUEVES","VIERNES","SÁBADO","DOMINGO"))</f>
        <v/>
      </c>
      <c r="H881" s="34">
        <f>IF($A881="","",CHOOSE(MONTH($A881),"ENERO","FEBRERO","MARZO","ABRIL","MAYO","JUNIO","JULIO","AGOSTO","SEPTIEMBRE","OCTUBRE","NOVIEMBRE","DICIEMBRE"))</f>
        <v/>
      </c>
      <c r="I881" s="34">
        <f>IF($A881="","",IF(OR($G881="SÁBADO",$G881="DOMINGO"),"FIN","LV"))</f>
        <v/>
      </c>
      <c r="J881" s="34">
        <f>IF(OR($A881="",$B881=""),"",IF($L881&lt;&gt;"",UPPER($L881),IF($C881="","FALTA",IFERROR(IF($C881&gt;=$O881,"ROJO FUERTE",IF($C881&gt;=$N881,"ROJO",IF($C881&gt;=$M881,"AMARILLO","VERDE"))),"REVISAR"))))</f>
        <v/>
      </c>
      <c r="K881" s="36">
        <f>IF(OR($C881="",$D881=""),"",IF($D881&gt;=$C881,($D881-$C881)*24,(1-$C881+$D881)*24))</f>
        <v/>
      </c>
      <c r="L881" s="34" t="n"/>
      <c r="M881" s="53">
        <f t="array" ref="M881">IFERROR(INDEX(EXCEPCIONES_FECHA!$D$2:$D$201,MATCH(1,(EXCEPCIONES_FECHA!$A$2:$A$201=$A881)*(EXCEPCIONES_FECHA!$B$2:$B$201=$B881),0)),IFERROR(INDEX(EXCEPCIONES_FECHA!$D$2:$D$201,MATCH(1,(EXCEPCIONES_FECHA!$A$2:$A$201=$A881)*(EXCEPCIONES_FECHA!$B$2:$B$201=""),0)),IFERROR(INDEX(IF($I881="FIN",HISTORIAL_HORARIOS!$J$2:$J$201,HISTORIAL_HORARIOS!$F$2:$F$201),MATCH(1,(HISTORIAL_HORARIOS!$A$2:$A$201=$B881)*(HISTORIAL_HORARIOS!$C$2:$C$201&lt;=$A881)*(HISTORIAL_HORARIOS!$D$2:$D$201&gt;=$A881),0)),INDEX(IF($I881="FIN",PERSONAL!$J$2:$J$80,PERSONAL!$F$2:$F$80),MATCH($B881,PERSONAL!$A$2:$A$80,0)))))</f>
        <v/>
      </c>
      <c r="N881" s="53">
        <f t="array" ref="N881">IFERROR(INDEX(EXCEPCIONES_FECHA!$E$2:$E$201,MATCH(1,(EXCEPCIONES_FECHA!$A$2:$A$201=$A881)*(EXCEPCIONES_FECHA!$B$2:$B$201=$B881),0)),IFERROR(INDEX(EXCEPCIONES_FECHA!$E$2:$E$201,MATCH(1,(EXCEPCIONES_FECHA!$A$2:$A$201=$A881)*(EXCEPCIONES_FECHA!$B$2:$B$201=""),0)),IFERROR(INDEX(IF($I881="FIN",HISTORIAL_HORARIOS!$K$2:$K$201,HISTORIAL_HORARIOS!$G$2:$G$201),MATCH(1,(HISTORIAL_HORARIOS!$A$2:$A$201=$B881)*(HISTORIAL_HORARIOS!$C$2:$C$201&lt;=$A881)*(HISTORIAL_HORARIOS!$D$2:$D$201&gt;=$A881),0)),INDEX(IF($I881="FIN",PERSONAL!$K$2:$K$80,PERSONAL!$G$2:$G$80),MATCH($B881,PERSONAL!$A$2:$A$80,0)))))</f>
        <v/>
      </c>
      <c r="O881" s="53">
        <f t="array" ref="O881">IFERROR(INDEX(EXCEPCIONES_FECHA!$F$2:$F$201,MATCH(1,(EXCEPCIONES_FECHA!$A$2:$A$201=$A881)*(EXCEPCIONES_FECHA!$B$2:$B$201=$B881),0)),IFERROR(INDEX(EXCEPCIONES_FECHA!$F$2:$F$201,MATCH(1,(EXCEPCIONES_FECHA!$A$2:$A$201=$A881)*(EXCEPCIONES_FECHA!$B$2:$B$201=""),0)),IFERROR(INDEX(IF($I881="FIN",HISTORIAL_HORARIOS!$L$2:$L$201,HISTORIAL_HORARIOS!$H$2:$H$201),MATCH(1,(HISTORIAL_HORARIOS!$A$2:$A$201=$B881)*(HISTORIAL_HORARIOS!$C$2:$C$201&lt;=$A881)*(HISTORIAL_HORARIOS!$D$2:$D$201&gt;=$A881),0)),INDEX(IF($I881="FIN",PERSONAL!$L$2:$L$80,PERSONAL!$H$2:$H$80),MATCH($B881,PERSONAL!$A$2:$A$80,0)))))</f>
        <v/>
      </c>
    </row>
    <row r="882" ht="15" customHeight="1" s="58">
      <c r="A882" s="40" t="n"/>
      <c r="B882" s="38" t="n"/>
      <c r="C882" s="40" t="n"/>
      <c r="D882" s="40" t="n"/>
      <c r="E882" s="34">
        <f t="array" ref="E882">IF($B882="","",IFERROR(INDEX(PERSONAL!$B$2:$B$80,MATCH($B882,PERSONAL!$A$2:$A$80,0)),"NO EXISTE"))</f>
        <v/>
      </c>
      <c r="F882" s="34">
        <f t="array" ref="F882">IF($B882="","",IFERROR(INDEX(PERSONAL!$C$2:$C$80,MATCH($B882,PERSONAL!$A$2:$A$80,0)),""))</f>
        <v/>
      </c>
      <c r="G882" s="34">
        <f>IF($A882="","",CHOOSE(WEEKDAY($A882,2),"LUNES","MARTES","MIÉRCOLES","JUEVES","VIERNES","SÁBADO","DOMINGO"))</f>
        <v/>
      </c>
      <c r="H882" s="34">
        <f>IF($A882="","",CHOOSE(MONTH($A882),"ENERO","FEBRERO","MARZO","ABRIL","MAYO","JUNIO","JULIO","AGOSTO","SEPTIEMBRE","OCTUBRE","NOVIEMBRE","DICIEMBRE"))</f>
        <v/>
      </c>
      <c r="I882" s="34">
        <f>IF($A882="","",IF(OR($G882="SÁBADO",$G882="DOMINGO"),"FIN","LV"))</f>
        <v/>
      </c>
      <c r="J882" s="34">
        <f>IF(OR($A882="",$B882=""),"",IF($L882&lt;&gt;"",UPPER($L882),IF($C882="","FALTA",IFERROR(IF($C882&gt;=$O882,"ROJO FUERTE",IF($C882&gt;=$N882,"ROJO",IF($C882&gt;=$M882,"AMARILLO","VERDE"))),"REVISAR"))))</f>
        <v/>
      </c>
      <c r="K882" s="36">
        <f>IF(OR($C882="",$D882=""),"",IF($D882&gt;=$C882,($D882-$C882)*24,(1-$C882+$D882)*24))</f>
        <v/>
      </c>
      <c r="L882" s="34" t="n"/>
      <c r="M882" s="53">
        <f t="array" ref="M882">IFERROR(INDEX(EXCEPCIONES_FECHA!$D$2:$D$201,MATCH(1,(EXCEPCIONES_FECHA!$A$2:$A$201=$A882)*(EXCEPCIONES_FECHA!$B$2:$B$201=$B882),0)),IFERROR(INDEX(EXCEPCIONES_FECHA!$D$2:$D$201,MATCH(1,(EXCEPCIONES_FECHA!$A$2:$A$201=$A882)*(EXCEPCIONES_FECHA!$B$2:$B$201=""),0)),IFERROR(INDEX(IF($I882="FIN",HISTORIAL_HORARIOS!$J$2:$J$201,HISTORIAL_HORARIOS!$F$2:$F$201),MATCH(1,(HISTORIAL_HORARIOS!$A$2:$A$201=$B882)*(HISTORIAL_HORARIOS!$C$2:$C$201&lt;=$A882)*(HISTORIAL_HORARIOS!$D$2:$D$201&gt;=$A882),0)),INDEX(IF($I882="FIN",PERSONAL!$J$2:$J$80,PERSONAL!$F$2:$F$80),MATCH($B882,PERSONAL!$A$2:$A$80,0)))))</f>
        <v/>
      </c>
      <c r="N882" s="53">
        <f t="array" ref="N882">IFERROR(INDEX(EXCEPCIONES_FECHA!$E$2:$E$201,MATCH(1,(EXCEPCIONES_FECHA!$A$2:$A$201=$A882)*(EXCEPCIONES_FECHA!$B$2:$B$201=$B882),0)),IFERROR(INDEX(EXCEPCIONES_FECHA!$E$2:$E$201,MATCH(1,(EXCEPCIONES_FECHA!$A$2:$A$201=$A882)*(EXCEPCIONES_FECHA!$B$2:$B$201=""),0)),IFERROR(INDEX(IF($I882="FIN",HISTORIAL_HORARIOS!$K$2:$K$201,HISTORIAL_HORARIOS!$G$2:$G$201),MATCH(1,(HISTORIAL_HORARIOS!$A$2:$A$201=$B882)*(HISTORIAL_HORARIOS!$C$2:$C$201&lt;=$A882)*(HISTORIAL_HORARIOS!$D$2:$D$201&gt;=$A882),0)),INDEX(IF($I882="FIN",PERSONAL!$K$2:$K$80,PERSONAL!$G$2:$G$80),MATCH($B882,PERSONAL!$A$2:$A$80,0)))))</f>
        <v/>
      </c>
      <c r="O882" s="53">
        <f t="array" ref="O882">IFERROR(INDEX(EXCEPCIONES_FECHA!$F$2:$F$201,MATCH(1,(EXCEPCIONES_FECHA!$A$2:$A$201=$A882)*(EXCEPCIONES_FECHA!$B$2:$B$201=$B882),0)),IFERROR(INDEX(EXCEPCIONES_FECHA!$F$2:$F$201,MATCH(1,(EXCEPCIONES_FECHA!$A$2:$A$201=$A882)*(EXCEPCIONES_FECHA!$B$2:$B$201=""),0)),IFERROR(INDEX(IF($I882="FIN",HISTORIAL_HORARIOS!$L$2:$L$201,HISTORIAL_HORARIOS!$H$2:$H$201),MATCH(1,(HISTORIAL_HORARIOS!$A$2:$A$201=$B882)*(HISTORIAL_HORARIOS!$C$2:$C$201&lt;=$A882)*(HISTORIAL_HORARIOS!$D$2:$D$201&gt;=$A882),0)),INDEX(IF($I882="FIN",PERSONAL!$L$2:$L$80,PERSONAL!$H$2:$H$80),MATCH($B882,PERSONAL!$A$2:$A$80,0)))))</f>
        <v/>
      </c>
    </row>
    <row r="883" ht="15" customHeight="1" s="58">
      <c r="A883" s="40" t="n"/>
      <c r="B883" s="38" t="n"/>
      <c r="C883" s="40" t="n"/>
      <c r="D883" s="40" t="n"/>
      <c r="E883" s="34">
        <f t="array" ref="E883">IF($B883="","",IFERROR(INDEX(PERSONAL!$B$2:$B$80,MATCH($B883,PERSONAL!$A$2:$A$80,0)),"NO EXISTE"))</f>
        <v/>
      </c>
      <c r="F883" s="34">
        <f t="array" ref="F883">IF($B883="","",IFERROR(INDEX(PERSONAL!$C$2:$C$80,MATCH($B883,PERSONAL!$A$2:$A$80,0)),""))</f>
        <v/>
      </c>
      <c r="G883" s="34">
        <f>IF($A883="","",CHOOSE(WEEKDAY($A883,2),"LUNES","MARTES","MIÉRCOLES","JUEVES","VIERNES","SÁBADO","DOMINGO"))</f>
        <v/>
      </c>
      <c r="H883" s="34">
        <f>IF($A883="","",CHOOSE(MONTH($A883),"ENERO","FEBRERO","MARZO","ABRIL","MAYO","JUNIO","JULIO","AGOSTO","SEPTIEMBRE","OCTUBRE","NOVIEMBRE","DICIEMBRE"))</f>
        <v/>
      </c>
      <c r="I883" s="34">
        <f>IF($A883="","",IF(OR($G883="SÁBADO",$G883="DOMINGO"),"FIN","LV"))</f>
        <v/>
      </c>
      <c r="J883" s="34">
        <f>IF(OR($A883="",$B883=""),"",IF($L883&lt;&gt;"",UPPER($L883),IF($C883="","FALTA",IFERROR(IF($C883&gt;=$O883,"ROJO FUERTE",IF($C883&gt;=$N883,"ROJO",IF($C883&gt;=$M883,"AMARILLO","VERDE"))),"REVISAR"))))</f>
        <v/>
      </c>
      <c r="K883" s="36">
        <f>IF(OR($C883="",$D883=""),"",IF($D883&gt;=$C883,($D883-$C883)*24,(1-$C883+$D883)*24))</f>
        <v/>
      </c>
      <c r="L883" s="34" t="n"/>
      <c r="M883" s="53">
        <f t="array" ref="M883">IFERROR(INDEX(EXCEPCIONES_FECHA!$D$2:$D$201,MATCH(1,(EXCEPCIONES_FECHA!$A$2:$A$201=$A883)*(EXCEPCIONES_FECHA!$B$2:$B$201=$B883),0)),IFERROR(INDEX(EXCEPCIONES_FECHA!$D$2:$D$201,MATCH(1,(EXCEPCIONES_FECHA!$A$2:$A$201=$A883)*(EXCEPCIONES_FECHA!$B$2:$B$201=""),0)),IFERROR(INDEX(IF($I883="FIN",HISTORIAL_HORARIOS!$J$2:$J$201,HISTORIAL_HORARIOS!$F$2:$F$201),MATCH(1,(HISTORIAL_HORARIOS!$A$2:$A$201=$B883)*(HISTORIAL_HORARIOS!$C$2:$C$201&lt;=$A883)*(HISTORIAL_HORARIOS!$D$2:$D$201&gt;=$A883),0)),INDEX(IF($I883="FIN",PERSONAL!$J$2:$J$80,PERSONAL!$F$2:$F$80),MATCH($B883,PERSONAL!$A$2:$A$80,0)))))</f>
        <v/>
      </c>
      <c r="N883" s="53">
        <f t="array" ref="N883">IFERROR(INDEX(EXCEPCIONES_FECHA!$E$2:$E$201,MATCH(1,(EXCEPCIONES_FECHA!$A$2:$A$201=$A883)*(EXCEPCIONES_FECHA!$B$2:$B$201=$B883),0)),IFERROR(INDEX(EXCEPCIONES_FECHA!$E$2:$E$201,MATCH(1,(EXCEPCIONES_FECHA!$A$2:$A$201=$A883)*(EXCEPCIONES_FECHA!$B$2:$B$201=""),0)),IFERROR(INDEX(IF($I883="FIN",HISTORIAL_HORARIOS!$K$2:$K$201,HISTORIAL_HORARIOS!$G$2:$G$201),MATCH(1,(HISTORIAL_HORARIOS!$A$2:$A$201=$B883)*(HISTORIAL_HORARIOS!$C$2:$C$201&lt;=$A883)*(HISTORIAL_HORARIOS!$D$2:$D$201&gt;=$A883),0)),INDEX(IF($I883="FIN",PERSONAL!$K$2:$K$80,PERSONAL!$G$2:$G$80),MATCH($B883,PERSONAL!$A$2:$A$80,0)))))</f>
        <v/>
      </c>
      <c r="O883" s="53">
        <f t="array" ref="O883">IFERROR(INDEX(EXCEPCIONES_FECHA!$F$2:$F$201,MATCH(1,(EXCEPCIONES_FECHA!$A$2:$A$201=$A883)*(EXCEPCIONES_FECHA!$B$2:$B$201=$B883),0)),IFERROR(INDEX(EXCEPCIONES_FECHA!$F$2:$F$201,MATCH(1,(EXCEPCIONES_FECHA!$A$2:$A$201=$A883)*(EXCEPCIONES_FECHA!$B$2:$B$201=""),0)),IFERROR(INDEX(IF($I883="FIN",HISTORIAL_HORARIOS!$L$2:$L$201,HISTORIAL_HORARIOS!$H$2:$H$201),MATCH(1,(HISTORIAL_HORARIOS!$A$2:$A$201=$B883)*(HISTORIAL_HORARIOS!$C$2:$C$201&lt;=$A883)*(HISTORIAL_HORARIOS!$D$2:$D$201&gt;=$A883),0)),INDEX(IF($I883="FIN",PERSONAL!$L$2:$L$80,PERSONAL!$H$2:$H$80),MATCH($B883,PERSONAL!$A$2:$A$80,0)))))</f>
        <v/>
      </c>
    </row>
    <row r="884" ht="15" customHeight="1" s="58">
      <c r="A884" s="40" t="n"/>
      <c r="B884" s="38" t="n"/>
      <c r="C884" s="40" t="n"/>
      <c r="D884" s="40" t="n"/>
      <c r="E884" s="34">
        <f t="array" ref="E884">IF($B884="","",IFERROR(INDEX(PERSONAL!$B$2:$B$80,MATCH($B884,PERSONAL!$A$2:$A$80,0)),"NO EXISTE"))</f>
        <v/>
      </c>
      <c r="F884" s="34">
        <f t="array" ref="F884">IF($B884="","",IFERROR(INDEX(PERSONAL!$C$2:$C$80,MATCH($B884,PERSONAL!$A$2:$A$80,0)),""))</f>
        <v/>
      </c>
      <c r="G884" s="34">
        <f>IF($A884="","",CHOOSE(WEEKDAY($A884,2),"LUNES","MARTES","MIÉRCOLES","JUEVES","VIERNES","SÁBADO","DOMINGO"))</f>
        <v/>
      </c>
      <c r="H884" s="34">
        <f>IF($A884="","",CHOOSE(MONTH($A884),"ENERO","FEBRERO","MARZO","ABRIL","MAYO","JUNIO","JULIO","AGOSTO","SEPTIEMBRE","OCTUBRE","NOVIEMBRE","DICIEMBRE"))</f>
        <v/>
      </c>
      <c r="I884" s="34">
        <f>IF($A884="","",IF(OR($G884="SÁBADO",$G884="DOMINGO"),"FIN","LV"))</f>
        <v/>
      </c>
      <c r="J884" s="34">
        <f>IF(OR($A884="",$B884=""),"",IF($L884&lt;&gt;"",UPPER($L884),IF($C884="","FALTA",IFERROR(IF($C884&gt;=$O884,"ROJO FUERTE",IF($C884&gt;=$N884,"ROJO",IF($C884&gt;=$M884,"AMARILLO","VERDE"))),"REVISAR"))))</f>
        <v/>
      </c>
      <c r="K884" s="36">
        <f>IF(OR($C884="",$D884=""),"",IF($D884&gt;=$C884,($D884-$C884)*24,(1-$C884+$D884)*24))</f>
        <v/>
      </c>
      <c r="L884" s="34" t="n"/>
      <c r="M884" s="53">
        <f t="array" ref="M884">IFERROR(INDEX(EXCEPCIONES_FECHA!$D$2:$D$201,MATCH(1,(EXCEPCIONES_FECHA!$A$2:$A$201=$A884)*(EXCEPCIONES_FECHA!$B$2:$B$201=$B884),0)),IFERROR(INDEX(EXCEPCIONES_FECHA!$D$2:$D$201,MATCH(1,(EXCEPCIONES_FECHA!$A$2:$A$201=$A884)*(EXCEPCIONES_FECHA!$B$2:$B$201=""),0)),IFERROR(INDEX(IF($I884="FIN",HISTORIAL_HORARIOS!$J$2:$J$201,HISTORIAL_HORARIOS!$F$2:$F$201),MATCH(1,(HISTORIAL_HORARIOS!$A$2:$A$201=$B884)*(HISTORIAL_HORARIOS!$C$2:$C$201&lt;=$A884)*(HISTORIAL_HORARIOS!$D$2:$D$201&gt;=$A884),0)),INDEX(IF($I884="FIN",PERSONAL!$J$2:$J$80,PERSONAL!$F$2:$F$80),MATCH($B884,PERSONAL!$A$2:$A$80,0)))))</f>
        <v/>
      </c>
      <c r="N884" s="53">
        <f t="array" ref="N884">IFERROR(INDEX(EXCEPCIONES_FECHA!$E$2:$E$201,MATCH(1,(EXCEPCIONES_FECHA!$A$2:$A$201=$A884)*(EXCEPCIONES_FECHA!$B$2:$B$201=$B884),0)),IFERROR(INDEX(EXCEPCIONES_FECHA!$E$2:$E$201,MATCH(1,(EXCEPCIONES_FECHA!$A$2:$A$201=$A884)*(EXCEPCIONES_FECHA!$B$2:$B$201=""),0)),IFERROR(INDEX(IF($I884="FIN",HISTORIAL_HORARIOS!$K$2:$K$201,HISTORIAL_HORARIOS!$G$2:$G$201),MATCH(1,(HISTORIAL_HORARIOS!$A$2:$A$201=$B884)*(HISTORIAL_HORARIOS!$C$2:$C$201&lt;=$A884)*(HISTORIAL_HORARIOS!$D$2:$D$201&gt;=$A884),0)),INDEX(IF($I884="FIN",PERSONAL!$K$2:$K$80,PERSONAL!$G$2:$G$80),MATCH($B884,PERSONAL!$A$2:$A$80,0)))))</f>
        <v/>
      </c>
      <c r="O884" s="53">
        <f t="array" ref="O884">IFERROR(INDEX(EXCEPCIONES_FECHA!$F$2:$F$201,MATCH(1,(EXCEPCIONES_FECHA!$A$2:$A$201=$A884)*(EXCEPCIONES_FECHA!$B$2:$B$201=$B884),0)),IFERROR(INDEX(EXCEPCIONES_FECHA!$F$2:$F$201,MATCH(1,(EXCEPCIONES_FECHA!$A$2:$A$201=$A884)*(EXCEPCIONES_FECHA!$B$2:$B$201=""),0)),IFERROR(INDEX(IF($I884="FIN",HISTORIAL_HORARIOS!$L$2:$L$201,HISTORIAL_HORARIOS!$H$2:$H$201),MATCH(1,(HISTORIAL_HORARIOS!$A$2:$A$201=$B884)*(HISTORIAL_HORARIOS!$C$2:$C$201&lt;=$A884)*(HISTORIAL_HORARIOS!$D$2:$D$201&gt;=$A884),0)),INDEX(IF($I884="FIN",PERSONAL!$L$2:$L$80,PERSONAL!$H$2:$H$80),MATCH($B884,PERSONAL!$A$2:$A$80,0)))))</f>
        <v/>
      </c>
    </row>
    <row r="885" ht="15" customHeight="1" s="58">
      <c r="A885" s="40" t="n"/>
      <c r="B885" s="38" t="n"/>
      <c r="C885" s="40" t="n"/>
      <c r="D885" s="40" t="n"/>
      <c r="E885" s="34">
        <f t="array" ref="E885">IF($B885="","",IFERROR(INDEX(PERSONAL!$B$2:$B$80,MATCH($B885,PERSONAL!$A$2:$A$80,0)),"NO EXISTE"))</f>
        <v/>
      </c>
      <c r="F885" s="34">
        <f t="array" ref="F885">IF($B885="","",IFERROR(INDEX(PERSONAL!$C$2:$C$80,MATCH($B885,PERSONAL!$A$2:$A$80,0)),""))</f>
        <v/>
      </c>
      <c r="G885" s="34">
        <f>IF($A885="","",CHOOSE(WEEKDAY($A885,2),"LUNES","MARTES","MIÉRCOLES","JUEVES","VIERNES","SÁBADO","DOMINGO"))</f>
        <v/>
      </c>
      <c r="H885" s="34">
        <f>IF($A885="","",CHOOSE(MONTH($A885),"ENERO","FEBRERO","MARZO","ABRIL","MAYO","JUNIO","JULIO","AGOSTO","SEPTIEMBRE","OCTUBRE","NOVIEMBRE","DICIEMBRE"))</f>
        <v/>
      </c>
      <c r="I885" s="34">
        <f>IF($A885="","",IF(OR($G885="SÁBADO",$G885="DOMINGO"),"FIN","LV"))</f>
        <v/>
      </c>
      <c r="J885" s="34">
        <f>IF(OR($A885="",$B885=""),"",IF($L885&lt;&gt;"",UPPER($L885),IF($C885="","FALTA",IFERROR(IF($C885&gt;=$O885,"ROJO FUERTE",IF($C885&gt;=$N885,"ROJO",IF($C885&gt;=$M885,"AMARILLO","VERDE"))),"REVISAR"))))</f>
        <v/>
      </c>
      <c r="K885" s="36">
        <f>IF(OR($C885="",$D885=""),"",IF($D885&gt;=$C885,($D885-$C885)*24,(1-$C885+$D885)*24))</f>
        <v/>
      </c>
      <c r="L885" s="34" t="n"/>
      <c r="M885" s="53">
        <f t="array" ref="M885">IFERROR(INDEX(EXCEPCIONES_FECHA!$D$2:$D$201,MATCH(1,(EXCEPCIONES_FECHA!$A$2:$A$201=$A885)*(EXCEPCIONES_FECHA!$B$2:$B$201=$B885),0)),IFERROR(INDEX(EXCEPCIONES_FECHA!$D$2:$D$201,MATCH(1,(EXCEPCIONES_FECHA!$A$2:$A$201=$A885)*(EXCEPCIONES_FECHA!$B$2:$B$201=""),0)),IFERROR(INDEX(IF($I885="FIN",HISTORIAL_HORARIOS!$J$2:$J$201,HISTORIAL_HORARIOS!$F$2:$F$201),MATCH(1,(HISTORIAL_HORARIOS!$A$2:$A$201=$B885)*(HISTORIAL_HORARIOS!$C$2:$C$201&lt;=$A885)*(HISTORIAL_HORARIOS!$D$2:$D$201&gt;=$A885),0)),INDEX(IF($I885="FIN",PERSONAL!$J$2:$J$80,PERSONAL!$F$2:$F$80),MATCH($B885,PERSONAL!$A$2:$A$80,0)))))</f>
        <v/>
      </c>
      <c r="N885" s="53">
        <f t="array" ref="N885">IFERROR(INDEX(EXCEPCIONES_FECHA!$E$2:$E$201,MATCH(1,(EXCEPCIONES_FECHA!$A$2:$A$201=$A885)*(EXCEPCIONES_FECHA!$B$2:$B$201=$B885),0)),IFERROR(INDEX(EXCEPCIONES_FECHA!$E$2:$E$201,MATCH(1,(EXCEPCIONES_FECHA!$A$2:$A$201=$A885)*(EXCEPCIONES_FECHA!$B$2:$B$201=""),0)),IFERROR(INDEX(IF($I885="FIN",HISTORIAL_HORARIOS!$K$2:$K$201,HISTORIAL_HORARIOS!$G$2:$G$201),MATCH(1,(HISTORIAL_HORARIOS!$A$2:$A$201=$B885)*(HISTORIAL_HORARIOS!$C$2:$C$201&lt;=$A885)*(HISTORIAL_HORARIOS!$D$2:$D$201&gt;=$A885),0)),INDEX(IF($I885="FIN",PERSONAL!$K$2:$K$80,PERSONAL!$G$2:$G$80),MATCH($B885,PERSONAL!$A$2:$A$80,0)))))</f>
        <v/>
      </c>
      <c r="O885" s="53">
        <f t="array" ref="O885">IFERROR(INDEX(EXCEPCIONES_FECHA!$F$2:$F$201,MATCH(1,(EXCEPCIONES_FECHA!$A$2:$A$201=$A885)*(EXCEPCIONES_FECHA!$B$2:$B$201=$B885),0)),IFERROR(INDEX(EXCEPCIONES_FECHA!$F$2:$F$201,MATCH(1,(EXCEPCIONES_FECHA!$A$2:$A$201=$A885)*(EXCEPCIONES_FECHA!$B$2:$B$201=""),0)),IFERROR(INDEX(IF($I885="FIN",HISTORIAL_HORARIOS!$L$2:$L$201,HISTORIAL_HORARIOS!$H$2:$H$201),MATCH(1,(HISTORIAL_HORARIOS!$A$2:$A$201=$B885)*(HISTORIAL_HORARIOS!$C$2:$C$201&lt;=$A885)*(HISTORIAL_HORARIOS!$D$2:$D$201&gt;=$A885),0)),INDEX(IF($I885="FIN",PERSONAL!$L$2:$L$80,PERSONAL!$H$2:$H$80),MATCH($B885,PERSONAL!$A$2:$A$80,0)))))</f>
        <v/>
      </c>
    </row>
    <row r="886" ht="15" customHeight="1" s="58">
      <c r="A886" s="40" t="n"/>
      <c r="B886" s="38" t="n"/>
      <c r="C886" s="40" t="n"/>
      <c r="D886" s="40" t="n"/>
      <c r="E886" s="34">
        <f t="array" ref="E886">IF($B886="","",IFERROR(INDEX(PERSONAL!$B$2:$B$80,MATCH($B886,PERSONAL!$A$2:$A$80,0)),"NO EXISTE"))</f>
        <v/>
      </c>
      <c r="F886" s="34">
        <f t="array" ref="F886">IF($B886="","",IFERROR(INDEX(PERSONAL!$C$2:$C$80,MATCH($B886,PERSONAL!$A$2:$A$80,0)),""))</f>
        <v/>
      </c>
      <c r="G886" s="34">
        <f>IF($A886="","",CHOOSE(WEEKDAY($A886,2),"LUNES","MARTES","MIÉRCOLES","JUEVES","VIERNES","SÁBADO","DOMINGO"))</f>
        <v/>
      </c>
      <c r="H886" s="34">
        <f>IF($A886="","",CHOOSE(MONTH($A886),"ENERO","FEBRERO","MARZO","ABRIL","MAYO","JUNIO","JULIO","AGOSTO","SEPTIEMBRE","OCTUBRE","NOVIEMBRE","DICIEMBRE"))</f>
        <v/>
      </c>
      <c r="I886" s="34">
        <f>IF($A886="","",IF(OR($G886="SÁBADO",$G886="DOMINGO"),"FIN","LV"))</f>
        <v/>
      </c>
      <c r="J886" s="34">
        <f>IF(OR($A886="",$B886=""),"",IF($L886&lt;&gt;"",UPPER($L886),IF($C886="","FALTA",IFERROR(IF($C886&gt;=$O886,"ROJO FUERTE",IF($C886&gt;=$N886,"ROJO",IF($C886&gt;=$M886,"AMARILLO","VERDE"))),"REVISAR"))))</f>
        <v/>
      </c>
      <c r="K886" s="36">
        <f>IF(OR($C886="",$D886=""),"",IF($D886&gt;=$C886,($D886-$C886)*24,(1-$C886+$D886)*24))</f>
        <v/>
      </c>
      <c r="L886" s="34" t="n"/>
      <c r="M886" s="53">
        <f t="array" ref="M886">IFERROR(INDEX(EXCEPCIONES_FECHA!$D$2:$D$201,MATCH(1,(EXCEPCIONES_FECHA!$A$2:$A$201=$A886)*(EXCEPCIONES_FECHA!$B$2:$B$201=$B886),0)),IFERROR(INDEX(EXCEPCIONES_FECHA!$D$2:$D$201,MATCH(1,(EXCEPCIONES_FECHA!$A$2:$A$201=$A886)*(EXCEPCIONES_FECHA!$B$2:$B$201=""),0)),IFERROR(INDEX(IF($I886="FIN",HISTORIAL_HORARIOS!$J$2:$J$201,HISTORIAL_HORARIOS!$F$2:$F$201),MATCH(1,(HISTORIAL_HORARIOS!$A$2:$A$201=$B886)*(HISTORIAL_HORARIOS!$C$2:$C$201&lt;=$A886)*(HISTORIAL_HORARIOS!$D$2:$D$201&gt;=$A886),0)),INDEX(IF($I886="FIN",PERSONAL!$J$2:$J$80,PERSONAL!$F$2:$F$80),MATCH($B886,PERSONAL!$A$2:$A$80,0)))))</f>
        <v/>
      </c>
      <c r="N886" s="53">
        <f t="array" ref="N886">IFERROR(INDEX(EXCEPCIONES_FECHA!$E$2:$E$201,MATCH(1,(EXCEPCIONES_FECHA!$A$2:$A$201=$A886)*(EXCEPCIONES_FECHA!$B$2:$B$201=$B886),0)),IFERROR(INDEX(EXCEPCIONES_FECHA!$E$2:$E$201,MATCH(1,(EXCEPCIONES_FECHA!$A$2:$A$201=$A886)*(EXCEPCIONES_FECHA!$B$2:$B$201=""),0)),IFERROR(INDEX(IF($I886="FIN",HISTORIAL_HORARIOS!$K$2:$K$201,HISTORIAL_HORARIOS!$G$2:$G$201),MATCH(1,(HISTORIAL_HORARIOS!$A$2:$A$201=$B886)*(HISTORIAL_HORARIOS!$C$2:$C$201&lt;=$A886)*(HISTORIAL_HORARIOS!$D$2:$D$201&gt;=$A886),0)),INDEX(IF($I886="FIN",PERSONAL!$K$2:$K$80,PERSONAL!$G$2:$G$80),MATCH($B886,PERSONAL!$A$2:$A$80,0)))))</f>
        <v/>
      </c>
      <c r="O886" s="53">
        <f t="array" ref="O886">IFERROR(INDEX(EXCEPCIONES_FECHA!$F$2:$F$201,MATCH(1,(EXCEPCIONES_FECHA!$A$2:$A$201=$A886)*(EXCEPCIONES_FECHA!$B$2:$B$201=$B886),0)),IFERROR(INDEX(EXCEPCIONES_FECHA!$F$2:$F$201,MATCH(1,(EXCEPCIONES_FECHA!$A$2:$A$201=$A886)*(EXCEPCIONES_FECHA!$B$2:$B$201=""),0)),IFERROR(INDEX(IF($I886="FIN",HISTORIAL_HORARIOS!$L$2:$L$201,HISTORIAL_HORARIOS!$H$2:$H$201),MATCH(1,(HISTORIAL_HORARIOS!$A$2:$A$201=$B886)*(HISTORIAL_HORARIOS!$C$2:$C$201&lt;=$A886)*(HISTORIAL_HORARIOS!$D$2:$D$201&gt;=$A886),0)),INDEX(IF($I886="FIN",PERSONAL!$L$2:$L$80,PERSONAL!$H$2:$H$80),MATCH($B886,PERSONAL!$A$2:$A$80,0)))))</f>
        <v/>
      </c>
    </row>
    <row r="887" ht="15" customHeight="1" s="58">
      <c r="A887" s="40" t="n"/>
      <c r="B887" s="38" t="n"/>
      <c r="C887" s="40" t="n"/>
      <c r="D887" s="40" t="n"/>
      <c r="E887" s="34">
        <f t="array" ref="E887">IF($B887="","",IFERROR(INDEX(PERSONAL!$B$2:$B$80,MATCH($B887,PERSONAL!$A$2:$A$80,0)),"NO EXISTE"))</f>
        <v/>
      </c>
      <c r="F887" s="34">
        <f t="array" ref="F887">IF($B887="","",IFERROR(INDEX(PERSONAL!$C$2:$C$80,MATCH($B887,PERSONAL!$A$2:$A$80,0)),""))</f>
        <v/>
      </c>
      <c r="G887" s="34">
        <f>IF($A887="","",CHOOSE(WEEKDAY($A887,2),"LUNES","MARTES","MIÉRCOLES","JUEVES","VIERNES","SÁBADO","DOMINGO"))</f>
        <v/>
      </c>
      <c r="H887" s="34">
        <f>IF($A887="","",CHOOSE(MONTH($A887),"ENERO","FEBRERO","MARZO","ABRIL","MAYO","JUNIO","JULIO","AGOSTO","SEPTIEMBRE","OCTUBRE","NOVIEMBRE","DICIEMBRE"))</f>
        <v/>
      </c>
      <c r="I887" s="34">
        <f>IF($A887="","",IF(OR($G887="SÁBADO",$G887="DOMINGO"),"FIN","LV"))</f>
        <v/>
      </c>
      <c r="J887" s="34">
        <f>IF(OR($A887="",$B887=""),"",IF($L887&lt;&gt;"",UPPER($L887),IF($C887="","FALTA",IFERROR(IF($C887&gt;=$O887,"ROJO FUERTE",IF($C887&gt;=$N887,"ROJO",IF($C887&gt;=$M887,"AMARILLO","VERDE"))),"REVISAR"))))</f>
        <v/>
      </c>
      <c r="K887" s="36">
        <f>IF(OR($C887="",$D887=""),"",IF($D887&gt;=$C887,($D887-$C887)*24,(1-$C887+$D887)*24))</f>
        <v/>
      </c>
      <c r="L887" s="34" t="n"/>
      <c r="M887" s="53">
        <f t="array" ref="M887">IFERROR(INDEX(EXCEPCIONES_FECHA!$D$2:$D$201,MATCH(1,(EXCEPCIONES_FECHA!$A$2:$A$201=$A887)*(EXCEPCIONES_FECHA!$B$2:$B$201=$B887),0)),IFERROR(INDEX(EXCEPCIONES_FECHA!$D$2:$D$201,MATCH(1,(EXCEPCIONES_FECHA!$A$2:$A$201=$A887)*(EXCEPCIONES_FECHA!$B$2:$B$201=""),0)),IFERROR(INDEX(IF($I887="FIN",HISTORIAL_HORARIOS!$J$2:$J$201,HISTORIAL_HORARIOS!$F$2:$F$201),MATCH(1,(HISTORIAL_HORARIOS!$A$2:$A$201=$B887)*(HISTORIAL_HORARIOS!$C$2:$C$201&lt;=$A887)*(HISTORIAL_HORARIOS!$D$2:$D$201&gt;=$A887),0)),INDEX(IF($I887="FIN",PERSONAL!$J$2:$J$80,PERSONAL!$F$2:$F$80),MATCH($B887,PERSONAL!$A$2:$A$80,0)))))</f>
        <v/>
      </c>
      <c r="N887" s="53">
        <f t="array" ref="N887">IFERROR(INDEX(EXCEPCIONES_FECHA!$E$2:$E$201,MATCH(1,(EXCEPCIONES_FECHA!$A$2:$A$201=$A887)*(EXCEPCIONES_FECHA!$B$2:$B$201=$B887),0)),IFERROR(INDEX(EXCEPCIONES_FECHA!$E$2:$E$201,MATCH(1,(EXCEPCIONES_FECHA!$A$2:$A$201=$A887)*(EXCEPCIONES_FECHA!$B$2:$B$201=""),0)),IFERROR(INDEX(IF($I887="FIN",HISTORIAL_HORARIOS!$K$2:$K$201,HISTORIAL_HORARIOS!$G$2:$G$201),MATCH(1,(HISTORIAL_HORARIOS!$A$2:$A$201=$B887)*(HISTORIAL_HORARIOS!$C$2:$C$201&lt;=$A887)*(HISTORIAL_HORARIOS!$D$2:$D$201&gt;=$A887),0)),INDEX(IF($I887="FIN",PERSONAL!$K$2:$K$80,PERSONAL!$G$2:$G$80),MATCH($B887,PERSONAL!$A$2:$A$80,0)))))</f>
        <v/>
      </c>
      <c r="O887" s="53">
        <f t="array" ref="O887">IFERROR(INDEX(EXCEPCIONES_FECHA!$F$2:$F$201,MATCH(1,(EXCEPCIONES_FECHA!$A$2:$A$201=$A887)*(EXCEPCIONES_FECHA!$B$2:$B$201=$B887),0)),IFERROR(INDEX(EXCEPCIONES_FECHA!$F$2:$F$201,MATCH(1,(EXCEPCIONES_FECHA!$A$2:$A$201=$A887)*(EXCEPCIONES_FECHA!$B$2:$B$201=""),0)),IFERROR(INDEX(IF($I887="FIN",HISTORIAL_HORARIOS!$L$2:$L$201,HISTORIAL_HORARIOS!$H$2:$H$201),MATCH(1,(HISTORIAL_HORARIOS!$A$2:$A$201=$B887)*(HISTORIAL_HORARIOS!$C$2:$C$201&lt;=$A887)*(HISTORIAL_HORARIOS!$D$2:$D$201&gt;=$A887),0)),INDEX(IF($I887="FIN",PERSONAL!$L$2:$L$80,PERSONAL!$H$2:$H$80),MATCH($B887,PERSONAL!$A$2:$A$80,0)))))</f>
        <v/>
      </c>
    </row>
    <row r="888" ht="15" customHeight="1" s="58">
      <c r="A888" s="40" t="n"/>
      <c r="B888" s="38" t="n"/>
      <c r="C888" s="40" t="n"/>
      <c r="D888" s="40" t="n"/>
      <c r="E888" s="34">
        <f t="array" ref="E888">IF($B888="","",IFERROR(INDEX(PERSONAL!$B$2:$B$80,MATCH($B888,PERSONAL!$A$2:$A$80,0)),"NO EXISTE"))</f>
        <v/>
      </c>
      <c r="F888" s="34">
        <f t="array" ref="F888">IF($B888="","",IFERROR(INDEX(PERSONAL!$C$2:$C$80,MATCH($B888,PERSONAL!$A$2:$A$80,0)),""))</f>
        <v/>
      </c>
      <c r="G888" s="34">
        <f>IF($A888="","",CHOOSE(WEEKDAY($A888,2),"LUNES","MARTES","MIÉRCOLES","JUEVES","VIERNES","SÁBADO","DOMINGO"))</f>
        <v/>
      </c>
      <c r="H888" s="34">
        <f>IF($A888="","",CHOOSE(MONTH($A888),"ENERO","FEBRERO","MARZO","ABRIL","MAYO","JUNIO","JULIO","AGOSTO","SEPTIEMBRE","OCTUBRE","NOVIEMBRE","DICIEMBRE"))</f>
        <v/>
      </c>
      <c r="I888" s="34">
        <f>IF($A888="","",IF(OR($G888="SÁBADO",$G888="DOMINGO"),"FIN","LV"))</f>
        <v/>
      </c>
      <c r="J888" s="34">
        <f>IF(OR($A888="",$B888=""),"",IF($L888&lt;&gt;"",UPPER($L888),IF($C888="","FALTA",IFERROR(IF($C888&gt;=$O888,"ROJO FUERTE",IF($C888&gt;=$N888,"ROJO",IF($C888&gt;=$M888,"AMARILLO","VERDE"))),"REVISAR"))))</f>
        <v/>
      </c>
      <c r="K888" s="36">
        <f>IF(OR($C888="",$D888=""),"",IF($D888&gt;=$C888,($D888-$C888)*24,(1-$C888+$D888)*24))</f>
        <v/>
      </c>
      <c r="L888" s="34" t="n"/>
      <c r="M888" s="53">
        <f t="array" ref="M888">IFERROR(INDEX(EXCEPCIONES_FECHA!$D$2:$D$201,MATCH(1,(EXCEPCIONES_FECHA!$A$2:$A$201=$A888)*(EXCEPCIONES_FECHA!$B$2:$B$201=$B888),0)),IFERROR(INDEX(EXCEPCIONES_FECHA!$D$2:$D$201,MATCH(1,(EXCEPCIONES_FECHA!$A$2:$A$201=$A888)*(EXCEPCIONES_FECHA!$B$2:$B$201=""),0)),IFERROR(INDEX(IF($I888="FIN",HISTORIAL_HORARIOS!$J$2:$J$201,HISTORIAL_HORARIOS!$F$2:$F$201),MATCH(1,(HISTORIAL_HORARIOS!$A$2:$A$201=$B888)*(HISTORIAL_HORARIOS!$C$2:$C$201&lt;=$A888)*(HISTORIAL_HORARIOS!$D$2:$D$201&gt;=$A888),0)),INDEX(IF($I888="FIN",PERSONAL!$J$2:$J$80,PERSONAL!$F$2:$F$80),MATCH($B888,PERSONAL!$A$2:$A$80,0)))))</f>
        <v/>
      </c>
      <c r="N888" s="53">
        <f t="array" ref="N888">IFERROR(INDEX(EXCEPCIONES_FECHA!$E$2:$E$201,MATCH(1,(EXCEPCIONES_FECHA!$A$2:$A$201=$A888)*(EXCEPCIONES_FECHA!$B$2:$B$201=$B888),0)),IFERROR(INDEX(EXCEPCIONES_FECHA!$E$2:$E$201,MATCH(1,(EXCEPCIONES_FECHA!$A$2:$A$201=$A888)*(EXCEPCIONES_FECHA!$B$2:$B$201=""),0)),IFERROR(INDEX(IF($I888="FIN",HISTORIAL_HORARIOS!$K$2:$K$201,HISTORIAL_HORARIOS!$G$2:$G$201),MATCH(1,(HISTORIAL_HORARIOS!$A$2:$A$201=$B888)*(HISTORIAL_HORARIOS!$C$2:$C$201&lt;=$A888)*(HISTORIAL_HORARIOS!$D$2:$D$201&gt;=$A888),0)),INDEX(IF($I888="FIN",PERSONAL!$K$2:$K$80,PERSONAL!$G$2:$G$80),MATCH($B888,PERSONAL!$A$2:$A$80,0)))))</f>
        <v/>
      </c>
      <c r="O888" s="53">
        <f t="array" ref="O888">IFERROR(INDEX(EXCEPCIONES_FECHA!$F$2:$F$201,MATCH(1,(EXCEPCIONES_FECHA!$A$2:$A$201=$A888)*(EXCEPCIONES_FECHA!$B$2:$B$201=$B888),0)),IFERROR(INDEX(EXCEPCIONES_FECHA!$F$2:$F$201,MATCH(1,(EXCEPCIONES_FECHA!$A$2:$A$201=$A888)*(EXCEPCIONES_FECHA!$B$2:$B$201=""),0)),IFERROR(INDEX(IF($I888="FIN",HISTORIAL_HORARIOS!$L$2:$L$201,HISTORIAL_HORARIOS!$H$2:$H$201),MATCH(1,(HISTORIAL_HORARIOS!$A$2:$A$201=$B888)*(HISTORIAL_HORARIOS!$C$2:$C$201&lt;=$A888)*(HISTORIAL_HORARIOS!$D$2:$D$201&gt;=$A888),0)),INDEX(IF($I888="FIN",PERSONAL!$L$2:$L$80,PERSONAL!$H$2:$H$80),MATCH($B888,PERSONAL!$A$2:$A$80,0)))))</f>
        <v/>
      </c>
    </row>
    <row r="889" ht="15" customHeight="1" s="58">
      <c r="A889" s="40" t="n"/>
      <c r="B889" s="38" t="n"/>
      <c r="C889" s="40" t="n"/>
      <c r="D889" s="40" t="n"/>
      <c r="E889" s="34">
        <f t="array" ref="E889">IF($B889="","",IFERROR(INDEX(PERSONAL!$B$2:$B$80,MATCH($B889,PERSONAL!$A$2:$A$80,0)),"NO EXISTE"))</f>
        <v/>
      </c>
      <c r="F889" s="34">
        <f t="array" ref="F889">IF($B889="","",IFERROR(INDEX(PERSONAL!$C$2:$C$80,MATCH($B889,PERSONAL!$A$2:$A$80,0)),""))</f>
        <v/>
      </c>
      <c r="G889" s="34">
        <f>IF($A889="","",CHOOSE(WEEKDAY($A889,2),"LUNES","MARTES","MIÉRCOLES","JUEVES","VIERNES","SÁBADO","DOMINGO"))</f>
        <v/>
      </c>
      <c r="H889" s="34">
        <f>IF($A889="","",CHOOSE(MONTH($A889),"ENERO","FEBRERO","MARZO","ABRIL","MAYO","JUNIO","JULIO","AGOSTO","SEPTIEMBRE","OCTUBRE","NOVIEMBRE","DICIEMBRE"))</f>
        <v/>
      </c>
      <c r="I889" s="34">
        <f>IF($A889="","",IF(OR($G889="SÁBADO",$G889="DOMINGO"),"FIN","LV"))</f>
        <v/>
      </c>
      <c r="J889" s="34">
        <f>IF(OR($A889="",$B889=""),"",IF($L889&lt;&gt;"",UPPER($L889),IF($C889="","FALTA",IFERROR(IF($C889&gt;=$O889,"ROJO FUERTE",IF($C889&gt;=$N889,"ROJO",IF($C889&gt;=$M889,"AMARILLO","VERDE"))),"REVISAR"))))</f>
        <v/>
      </c>
      <c r="K889" s="36">
        <f>IF(OR($C889="",$D889=""),"",IF($D889&gt;=$C889,($D889-$C889)*24,(1-$C889+$D889)*24))</f>
        <v/>
      </c>
      <c r="L889" s="34" t="n"/>
      <c r="M889" s="53">
        <f t="array" ref="M889">IFERROR(INDEX(EXCEPCIONES_FECHA!$D$2:$D$201,MATCH(1,(EXCEPCIONES_FECHA!$A$2:$A$201=$A889)*(EXCEPCIONES_FECHA!$B$2:$B$201=$B889),0)),IFERROR(INDEX(EXCEPCIONES_FECHA!$D$2:$D$201,MATCH(1,(EXCEPCIONES_FECHA!$A$2:$A$201=$A889)*(EXCEPCIONES_FECHA!$B$2:$B$201=""),0)),IFERROR(INDEX(IF($I889="FIN",HISTORIAL_HORARIOS!$J$2:$J$201,HISTORIAL_HORARIOS!$F$2:$F$201),MATCH(1,(HISTORIAL_HORARIOS!$A$2:$A$201=$B889)*(HISTORIAL_HORARIOS!$C$2:$C$201&lt;=$A889)*(HISTORIAL_HORARIOS!$D$2:$D$201&gt;=$A889),0)),INDEX(IF($I889="FIN",PERSONAL!$J$2:$J$80,PERSONAL!$F$2:$F$80),MATCH($B889,PERSONAL!$A$2:$A$80,0)))))</f>
        <v/>
      </c>
      <c r="N889" s="53">
        <f t="array" ref="N889">IFERROR(INDEX(EXCEPCIONES_FECHA!$E$2:$E$201,MATCH(1,(EXCEPCIONES_FECHA!$A$2:$A$201=$A889)*(EXCEPCIONES_FECHA!$B$2:$B$201=$B889),0)),IFERROR(INDEX(EXCEPCIONES_FECHA!$E$2:$E$201,MATCH(1,(EXCEPCIONES_FECHA!$A$2:$A$201=$A889)*(EXCEPCIONES_FECHA!$B$2:$B$201=""),0)),IFERROR(INDEX(IF($I889="FIN",HISTORIAL_HORARIOS!$K$2:$K$201,HISTORIAL_HORARIOS!$G$2:$G$201),MATCH(1,(HISTORIAL_HORARIOS!$A$2:$A$201=$B889)*(HISTORIAL_HORARIOS!$C$2:$C$201&lt;=$A889)*(HISTORIAL_HORARIOS!$D$2:$D$201&gt;=$A889),0)),INDEX(IF($I889="FIN",PERSONAL!$K$2:$K$80,PERSONAL!$G$2:$G$80),MATCH($B889,PERSONAL!$A$2:$A$80,0)))))</f>
        <v/>
      </c>
      <c r="O889" s="53">
        <f t="array" ref="O889">IFERROR(INDEX(EXCEPCIONES_FECHA!$F$2:$F$201,MATCH(1,(EXCEPCIONES_FECHA!$A$2:$A$201=$A889)*(EXCEPCIONES_FECHA!$B$2:$B$201=$B889),0)),IFERROR(INDEX(EXCEPCIONES_FECHA!$F$2:$F$201,MATCH(1,(EXCEPCIONES_FECHA!$A$2:$A$201=$A889)*(EXCEPCIONES_FECHA!$B$2:$B$201=""),0)),IFERROR(INDEX(IF($I889="FIN",HISTORIAL_HORARIOS!$L$2:$L$201,HISTORIAL_HORARIOS!$H$2:$H$201),MATCH(1,(HISTORIAL_HORARIOS!$A$2:$A$201=$B889)*(HISTORIAL_HORARIOS!$C$2:$C$201&lt;=$A889)*(HISTORIAL_HORARIOS!$D$2:$D$201&gt;=$A889),0)),INDEX(IF($I889="FIN",PERSONAL!$L$2:$L$80,PERSONAL!$H$2:$H$80),MATCH($B889,PERSONAL!$A$2:$A$80,0)))))</f>
        <v/>
      </c>
    </row>
    <row r="890" ht="15" customHeight="1" s="58">
      <c r="A890" s="40" t="n"/>
      <c r="B890" s="38" t="n"/>
      <c r="C890" s="40" t="n"/>
      <c r="D890" s="40" t="n"/>
      <c r="E890" s="34">
        <f t="array" ref="E890">IF($B890="","",IFERROR(INDEX(PERSONAL!$B$2:$B$80,MATCH($B890,PERSONAL!$A$2:$A$80,0)),"NO EXISTE"))</f>
        <v/>
      </c>
      <c r="F890" s="34">
        <f t="array" ref="F890">IF($B890="","",IFERROR(INDEX(PERSONAL!$C$2:$C$80,MATCH($B890,PERSONAL!$A$2:$A$80,0)),""))</f>
        <v/>
      </c>
      <c r="G890" s="34">
        <f>IF($A890="","",CHOOSE(WEEKDAY($A890,2),"LUNES","MARTES","MIÉRCOLES","JUEVES","VIERNES","SÁBADO","DOMINGO"))</f>
        <v/>
      </c>
      <c r="H890" s="34">
        <f>IF($A890="","",CHOOSE(MONTH($A890),"ENERO","FEBRERO","MARZO","ABRIL","MAYO","JUNIO","JULIO","AGOSTO","SEPTIEMBRE","OCTUBRE","NOVIEMBRE","DICIEMBRE"))</f>
        <v/>
      </c>
      <c r="I890" s="34">
        <f>IF($A890="","",IF(OR($G890="SÁBADO",$G890="DOMINGO"),"FIN","LV"))</f>
        <v/>
      </c>
      <c r="J890" s="34">
        <f>IF(OR($A890="",$B890=""),"",IF($L890&lt;&gt;"",UPPER($L890),IF($C890="","FALTA",IFERROR(IF($C890&gt;=$O890,"ROJO FUERTE",IF($C890&gt;=$N890,"ROJO",IF($C890&gt;=$M890,"AMARILLO","VERDE"))),"REVISAR"))))</f>
        <v/>
      </c>
      <c r="K890" s="36">
        <f>IF(OR($C890="",$D890=""),"",IF($D890&gt;=$C890,($D890-$C890)*24,(1-$C890+$D890)*24))</f>
        <v/>
      </c>
      <c r="L890" s="34" t="n"/>
      <c r="M890" s="53">
        <f t="array" ref="M890">IFERROR(INDEX(EXCEPCIONES_FECHA!$D$2:$D$201,MATCH(1,(EXCEPCIONES_FECHA!$A$2:$A$201=$A890)*(EXCEPCIONES_FECHA!$B$2:$B$201=$B890),0)),IFERROR(INDEX(EXCEPCIONES_FECHA!$D$2:$D$201,MATCH(1,(EXCEPCIONES_FECHA!$A$2:$A$201=$A890)*(EXCEPCIONES_FECHA!$B$2:$B$201=""),0)),IFERROR(INDEX(IF($I890="FIN",HISTORIAL_HORARIOS!$J$2:$J$201,HISTORIAL_HORARIOS!$F$2:$F$201),MATCH(1,(HISTORIAL_HORARIOS!$A$2:$A$201=$B890)*(HISTORIAL_HORARIOS!$C$2:$C$201&lt;=$A890)*(HISTORIAL_HORARIOS!$D$2:$D$201&gt;=$A890),0)),INDEX(IF($I890="FIN",PERSONAL!$J$2:$J$80,PERSONAL!$F$2:$F$80),MATCH($B890,PERSONAL!$A$2:$A$80,0)))))</f>
        <v/>
      </c>
      <c r="N890" s="53">
        <f t="array" ref="N890">IFERROR(INDEX(EXCEPCIONES_FECHA!$E$2:$E$201,MATCH(1,(EXCEPCIONES_FECHA!$A$2:$A$201=$A890)*(EXCEPCIONES_FECHA!$B$2:$B$201=$B890),0)),IFERROR(INDEX(EXCEPCIONES_FECHA!$E$2:$E$201,MATCH(1,(EXCEPCIONES_FECHA!$A$2:$A$201=$A890)*(EXCEPCIONES_FECHA!$B$2:$B$201=""),0)),IFERROR(INDEX(IF($I890="FIN",HISTORIAL_HORARIOS!$K$2:$K$201,HISTORIAL_HORARIOS!$G$2:$G$201),MATCH(1,(HISTORIAL_HORARIOS!$A$2:$A$201=$B890)*(HISTORIAL_HORARIOS!$C$2:$C$201&lt;=$A890)*(HISTORIAL_HORARIOS!$D$2:$D$201&gt;=$A890),0)),INDEX(IF($I890="FIN",PERSONAL!$K$2:$K$80,PERSONAL!$G$2:$G$80),MATCH($B890,PERSONAL!$A$2:$A$80,0)))))</f>
        <v/>
      </c>
      <c r="O890" s="53">
        <f t="array" ref="O890">IFERROR(INDEX(EXCEPCIONES_FECHA!$F$2:$F$201,MATCH(1,(EXCEPCIONES_FECHA!$A$2:$A$201=$A890)*(EXCEPCIONES_FECHA!$B$2:$B$201=$B890),0)),IFERROR(INDEX(EXCEPCIONES_FECHA!$F$2:$F$201,MATCH(1,(EXCEPCIONES_FECHA!$A$2:$A$201=$A890)*(EXCEPCIONES_FECHA!$B$2:$B$201=""),0)),IFERROR(INDEX(IF($I890="FIN",HISTORIAL_HORARIOS!$L$2:$L$201,HISTORIAL_HORARIOS!$H$2:$H$201),MATCH(1,(HISTORIAL_HORARIOS!$A$2:$A$201=$B890)*(HISTORIAL_HORARIOS!$C$2:$C$201&lt;=$A890)*(HISTORIAL_HORARIOS!$D$2:$D$201&gt;=$A890),0)),INDEX(IF($I890="FIN",PERSONAL!$L$2:$L$80,PERSONAL!$H$2:$H$80),MATCH($B890,PERSONAL!$A$2:$A$80,0)))))</f>
        <v/>
      </c>
    </row>
    <row r="891" ht="15" customHeight="1" s="58">
      <c r="A891" s="40" t="n"/>
      <c r="B891" s="38" t="n"/>
      <c r="C891" s="40" t="n"/>
      <c r="D891" s="40" t="n"/>
      <c r="E891" s="34">
        <f t="array" ref="E891">IF($B891="","",IFERROR(INDEX(PERSONAL!$B$2:$B$80,MATCH($B891,PERSONAL!$A$2:$A$80,0)),"NO EXISTE"))</f>
        <v/>
      </c>
      <c r="F891" s="34">
        <f t="array" ref="F891">IF($B891="","",IFERROR(INDEX(PERSONAL!$C$2:$C$80,MATCH($B891,PERSONAL!$A$2:$A$80,0)),""))</f>
        <v/>
      </c>
      <c r="G891" s="34">
        <f>IF($A891="","",CHOOSE(WEEKDAY($A891,2),"LUNES","MARTES","MIÉRCOLES","JUEVES","VIERNES","SÁBADO","DOMINGO"))</f>
        <v/>
      </c>
      <c r="H891" s="34">
        <f>IF($A891="","",CHOOSE(MONTH($A891),"ENERO","FEBRERO","MARZO","ABRIL","MAYO","JUNIO","JULIO","AGOSTO","SEPTIEMBRE","OCTUBRE","NOVIEMBRE","DICIEMBRE"))</f>
        <v/>
      </c>
      <c r="I891" s="34">
        <f>IF($A891="","",IF(OR($G891="SÁBADO",$G891="DOMINGO"),"FIN","LV"))</f>
        <v/>
      </c>
      <c r="J891" s="34">
        <f>IF(OR($A891="",$B891=""),"",IF($L891&lt;&gt;"",UPPER($L891),IF($C891="","FALTA",IFERROR(IF($C891&gt;=$O891,"ROJO FUERTE",IF($C891&gt;=$N891,"ROJO",IF($C891&gt;=$M891,"AMARILLO","VERDE"))),"REVISAR"))))</f>
        <v/>
      </c>
      <c r="K891" s="36">
        <f>IF(OR($C891="",$D891=""),"",IF($D891&gt;=$C891,($D891-$C891)*24,(1-$C891+$D891)*24))</f>
        <v/>
      </c>
      <c r="L891" s="34" t="n"/>
      <c r="M891" s="53">
        <f t="array" ref="M891">IFERROR(INDEX(EXCEPCIONES_FECHA!$D$2:$D$201,MATCH(1,(EXCEPCIONES_FECHA!$A$2:$A$201=$A891)*(EXCEPCIONES_FECHA!$B$2:$B$201=$B891),0)),IFERROR(INDEX(EXCEPCIONES_FECHA!$D$2:$D$201,MATCH(1,(EXCEPCIONES_FECHA!$A$2:$A$201=$A891)*(EXCEPCIONES_FECHA!$B$2:$B$201=""),0)),IFERROR(INDEX(IF($I891="FIN",HISTORIAL_HORARIOS!$J$2:$J$201,HISTORIAL_HORARIOS!$F$2:$F$201),MATCH(1,(HISTORIAL_HORARIOS!$A$2:$A$201=$B891)*(HISTORIAL_HORARIOS!$C$2:$C$201&lt;=$A891)*(HISTORIAL_HORARIOS!$D$2:$D$201&gt;=$A891),0)),INDEX(IF($I891="FIN",PERSONAL!$J$2:$J$80,PERSONAL!$F$2:$F$80),MATCH($B891,PERSONAL!$A$2:$A$80,0)))))</f>
        <v/>
      </c>
      <c r="N891" s="53">
        <f t="array" ref="N891">IFERROR(INDEX(EXCEPCIONES_FECHA!$E$2:$E$201,MATCH(1,(EXCEPCIONES_FECHA!$A$2:$A$201=$A891)*(EXCEPCIONES_FECHA!$B$2:$B$201=$B891),0)),IFERROR(INDEX(EXCEPCIONES_FECHA!$E$2:$E$201,MATCH(1,(EXCEPCIONES_FECHA!$A$2:$A$201=$A891)*(EXCEPCIONES_FECHA!$B$2:$B$201=""),0)),IFERROR(INDEX(IF($I891="FIN",HISTORIAL_HORARIOS!$K$2:$K$201,HISTORIAL_HORARIOS!$G$2:$G$201),MATCH(1,(HISTORIAL_HORARIOS!$A$2:$A$201=$B891)*(HISTORIAL_HORARIOS!$C$2:$C$201&lt;=$A891)*(HISTORIAL_HORARIOS!$D$2:$D$201&gt;=$A891),0)),INDEX(IF($I891="FIN",PERSONAL!$K$2:$K$80,PERSONAL!$G$2:$G$80),MATCH($B891,PERSONAL!$A$2:$A$80,0)))))</f>
        <v/>
      </c>
      <c r="O891" s="53">
        <f t="array" ref="O891">IFERROR(INDEX(EXCEPCIONES_FECHA!$F$2:$F$201,MATCH(1,(EXCEPCIONES_FECHA!$A$2:$A$201=$A891)*(EXCEPCIONES_FECHA!$B$2:$B$201=$B891),0)),IFERROR(INDEX(EXCEPCIONES_FECHA!$F$2:$F$201,MATCH(1,(EXCEPCIONES_FECHA!$A$2:$A$201=$A891)*(EXCEPCIONES_FECHA!$B$2:$B$201=""),0)),IFERROR(INDEX(IF($I891="FIN",HISTORIAL_HORARIOS!$L$2:$L$201,HISTORIAL_HORARIOS!$H$2:$H$201),MATCH(1,(HISTORIAL_HORARIOS!$A$2:$A$201=$B891)*(HISTORIAL_HORARIOS!$C$2:$C$201&lt;=$A891)*(HISTORIAL_HORARIOS!$D$2:$D$201&gt;=$A891),0)),INDEX(IF($I891="FIN",PERSONAL!$L$2:$L$80,PERSONAL!$H$2:$H$80),MATCH($B891,PERSONAL!$A$2:$A$80,0)))))</f>
        <v/>
      </c>
    </row>
    <row r="892" ht="15" customHeight="1" s="58">
      <c r="A892" s="40" t="n"/>
      <c r="B892" s="38" t="n"/>
      <c r="C892" s="40" t="n"/>
      <c r="D892" s="40" t="n"/>
      <c r="E892" s="34">
        <f t="array" ref="E892">IF($B892="","",IFERROR(INDEX(PERSONAL!$B$2:$B$80,MATCH($B892,PERSONAL!$A$2:$A$80,0)),"NO EXISTE"))</f>
        <v/>
      </c>
      <c r="F892" s="34">
        <f t="array" ref="F892">IF($B892="","",IFERROR(INDEX(PERSONAL!$C$2:$C$80,MATCH($B892,PERSONAL!$A$2:$A$80,0)),""))</f>
        <v/>
      </c>
      <c r="G892" s="34">
        <f>IF($A892="","",CHOOSE(WEEKDAY($A892,2),"LUNES","MARTES","MIÉRCOLES","JUEVES","VIERNES","SÁBADO","DOMINGO"))</f>
        <v/>
      </c>
      <c r="H892" s="34">
        <f>IF($A892="","",CHOOSE(MONTH($A892),"ENERO","FEBRERO","MARZO","ABRIL","MAYO","JUNIO","JULIO","AGOSTO","SEPTIEMBRE","OCTUBRE","NOVIEMBRE","DICIEMBRE"))</f>
        <v/>
      </c>
      <c r="I892" s="34">
        <f>IF($A892="","",IF(OR($G892="SÁBADO",$G892="DOMINGO"),"FIN","LV"))</f>
        <v/>
      </c>
      <c r="J892" s="34">
        <f>IF(OR($A892="",$B892=""),"",IF($L892&lt;&gt;"",UPPER($L892),IF($C892="","FALTA",IFERROR(IF($C892&gt;=$O892,"ROJO FUERTE",IF($C892&gt;=$N892,"ROJO",IF($C892&gt;=$M892,"AMARILLO","VERDE"))),"REVISAR"))))</f>
        <v/>
      </c>
      <c r="K892" s="36">
        <f>IF(OR($C892="",$D892=""),"",IF($D892&gt;=$C892,($D892-$C892)*24,(1-$C892+$D892)*24))</f>
        <v/>
      </c>
      <c r="L892" s="34" t="n"/>
      <c r="M892" s="53">
        <f t="array" ref="M892">IFERROR(INDEX(EXCEPCIONES_FECHA!$D$2:$D$201,MATCH(1,(EXCEPCIONES_FECHA!$A$2:$A$201=$A892)*(EXCEPCIONES_FECHA!$B$2:$B$201=$B892),0)),IFERROR(INDEX(EXCEPCIONES_FECHA!$D$2:$D$201,MATCH(1,(EXCEPCIONES_FECHA!$A$2:$A$201=$A892)*(EXCEPCIONES_FECHA!$B$2:$B$201=""),0)),IFERROR(INDEX(IF($I892="FIN",HISTORIAL_HORARIOS!$J$2:$J$201,HISTORIAL_HORARIOS!$F$2:$F$201),MATCH(1,(HISTORIAL_HORARIOS!$A$2:$A$201=$B892)*(HISTORIAL_HORARIOS!$C$2:$C$201&lt;=$A892)*(HISTORIAL_HORARIOS!$D$2:$D$201&gt;=$A892),0)),INDEX(IF($I892="FIN",PERSONAL!$J$2:$J$80,PERSONAL!$F$2:$F$80),MATCH($B892,PERSONAL!$A$2:$A$80,0)))))</f>
        <v/>
      </c>
      <c r="N892" s="53">
        <f t="array" ref="N892">IFERROR(INDEX(EXCEPCIONES_FECHA!$E$2:$E$201,MATCH(1,(EXCEPCIONES_FECHA!$A$2:$A$201=$A892)*(EXCEPCIONES_FECHA!$B$2:$B$201=$B892),0)),IFERROR(INDEX(EXCEPCIONES_FECHA!$E$2:$E$201,MATCH(1,(EXCEPCIONES_FECHA!$A$2:$A$201=$A892)*(EXCEPCIONES_FECHA!$B$2:$B$201=""),0)),IFERROR(INDEX(IF($I892="FIN",HISTORIAL_HORARIOS!$K$2:$K$201,HISTORIAL_HORARIOS!$G$2:$G$201),MATCH(1,(HISTORIAL_HORARIOS!$A$2:$A$201=$B892)*(HISTORIAL_HORARIOS!$C$2:$C$201&lt;=$A892)*(HISTORIAL_HORARIOS!$D$2:$D$201&gt;=$A892),0)),INDEX(IF($I892="FIN",PERSONAL!$K$2:$K$80,PERSONAL!$G$2:$G$80),MATCH($B892,PERSONAL!$A$2:$A$80,0)))))</f>
        <v/>
      </c>
      <c r="O892" s="53">
        <f t="array" ref="O892">IFERROR(INDEX(EXCEPCIONES_FECHA!$F$2:$F$201,MATCH(1,(EXCEPCIONES_FECHA!$A$2:$A$201=$A892)*(EXCEPCIONES_FECHA!$B$2:$B$201=$B892),0)),IFERROR(INDEX(EXCEPCIONES_FECHA!$F$2:$F$201,MATCH(1,(EXCEPCIONES_FECHA!$A$2:$A$201=$A892)*(EXCEPCIONES_FECHA!$B$2:$B$201=""),0)),IFERROR(INDEX(IF($I892="FIN",HISTORIAL_HORARIOS!$L$2:$L$201,HISTORIAL_HORARIOS!$H$2:$H$201),MATCH(1,(HISTORIAL_HORARIOS!$A$2:$A$201=$B892)*(HISTORIAL_HORARIOS!$C$2:$C$201&lt;=$A892)*(HISTORIAL_HORARIOS!$D$2:$D$201&gt;=$A892),0)),INDEX(IF($I892="FIN",PERSONAL!$L$2:$L$80,PERSONAL!$H$2:$H$80),MATCH($B892,PERSONAL!$A$2:$A$80,0)))))</f>
        <v/>
      </c>
    </row>
    <row r="893" ht="15" customHeight="1" s="58">
      <c r="A893" s="40" t="n"/>
      <c r="B893" s="38" t="n"/>
      <c r="C893" s="40" t="n"/>
      <c r="D893" s="40" t="n"/>
      <c r="E893" s="34">
        <f t="array" ref="E893">IF($B893="","",IFERROR(INDEX(PERSONAL!$B$2:$B$80,MATCH($B893,PERSONAL!$A$2:$A$80,0)),"NO EXISTE"))</f>
        <v/>
      </c>
      <c r="F893" s="34">
        <f t="array" ref="F893">IF($B893="","",IFERROR(INDEX(PERSONAL!$C$2:$C$80,MATCH($B893,PERSONAL!$A$2:$A$80,0)),""))</f>
        <v/>
      </c>
      <c r="G893" s="34">
        <f>IF($A893="","",CHOOSE(WEEKDAY($A893,2),"LUNES","MARTES","MIÉRCOLES","JUEVES","VIERNES","SÁBADO","DOMINGO"))</f>
        <v/>
      </c>
      <c r="H893" s="34">
        <f>IF($A893="","",CHOOSE(MONTH($A893),"ENERO","FEBRERO","MARZO","ABRIL","MAYO","JUNIO","JULIO","AGOSTO","SEPTIEMBRE","OCTUBRE","NOVIEMBRE","DICIEMBRE"))</f>
        <v/>
      </c>
      <c r="I893" s="34">
        <f>IF($A893="","",IF(OR($G893="SÁBADO",$G893="DOMINGO"),"FIN","LV"))</f>
        <v/>
      </c>
      <c r="J893" s="34">
        <f>IF(OR($A893="",$B893=""),"",IF($L893&lt;&gt;"",UPPER($L893),IF($C893="","FALTA",IFERROR(IF($C893&gt;=$O893,"ROJO FUERTE",IF($C893&gt;=$N893,"ROJO",IF($C893&gt;=$M893,"AMARILLO","VERDE"))),"REVISAR"))))</f>
        <v/>
      </c>
      <c r="K893" s="36">
        <f>IF(OR($C893="",$D893=""),"",IF($D893&gt;=$C893,($D893-$C893)*24,(1-$C893+$D893)*24))</f>
        <v/>
      </c>
      <c r="L893" s="34" t="n"/>
      <c r="M893" s="53">
        <f t="array" ref="M893">IFERROR(INDEX(EXCEPCIONES_FECHA!$D$2:$D$201,MATCH(1,(EXCEPCIONES_FECHA!$A$2:$A$201=$A893)*(EXCEPCIONES_FECHA!$B$2:$B$201=$B893),0)),IFERROR(INDEX(EXCEPCIONES_FECHA!$D$2:$D$201,MATCH(1,(EXCEPCIONES_FECHA!$A$2:$A$201=$A893)*(EXCEPCIONES_FECHA!$B$2:$B$201=""),0)),IFERROR(INDEX(IF($I893="FIN",HISTORIAL_HORARIOS!$J$2:$J$201,HISTORIAL_HORARIOS!$F$2:$F$201),MATCH(1,(HISTORIAL_HORARIOS!$A$2:$A$201=$B893)*(HISTORIAL_HORARIOS!$C$2:$C$201&lt;=$A893)*(HISTORIAL_HORARIOS!$D$2:$D$201&gt;=$A893),0)),INDEX(IF($I893="FIN",PERSONAL!$J$2:$J$80,PERSONAL!$F$2:$F$80),MATCH($B893,PERSONAL!$A$2:$A$80,0)))))</f>
        <v/>
      </c>
      <c r="N893" s="53">
        <f t="array" ref="N893">IFERROR(INDEX(EXCEPCIONES_FECHA!$E$2:$E$201,MATCH(1,(EXCEPCIONES_FECHA!$A$2:$A$201=$A893)*(EXCEPCIONES_FECHA!$B$2:$B$201=$B893),0)),IFERROR(INDEX(EXCEPCIONES_FECHA!$E$2:$E$201,MATCH(1,(EXCEPCIONES_FECHA!$A$2:$A$201=$A893)*(EXCEPCIONES_FECHA!$B$2:$B$201=""),0)),IFERROR(INDEX(IF($I893="FIN",HISTORIAL_HORARIOS!$K$2:$K$201,HISTORIAL_HORARIOS!$G$2:$G$201),MATCH(1,(HISTORIAL_HORARIOS!$A$2:$A$201=$B893)*(HISTORIAL_HORARIOS!$C$2:$C$201&lt;=$A893)*(HISTORIAL_HORARIOS!$D$2:$D$201&gt;=$A893),0)),INDEX(IF($I893="FIN",PERSONAL!$K$2:$K$80,PERSONAL!$G$2:$G$80),MATCH($B893,PERSONAL!$A$2:$A$80,0)))))</f>
        <v/>
      </c>
      <c r="O893" s="53">
        <f t="array" ref="O893">IFERROR(INDEX(EXCEPCIONES_FECHA!$F$2:$F$201,MATCH(1,(EXCEPCIONES_FECHA!$A$2:$A$201=$A893)*(EXCEPCIONES_FECHA!$B$2:$B$201=$B893),0)),IFERROR(INDEX(EXCEPCIONES_FECHA!$F$2:$F$201,MATCH(1,(EXCEPCIONES_FECHA!$A$2:$A$201=$A893)*(EXCEPCIONES_FECHA!$B$2:$B$201=""),0)),IFERROR(INDEX(IF($I893="FIN",HISTORIAL_HORARIOS!$L$2:$L$201,HISTORIAL_HORARIOS!$H$2:$H$201),MATCH(1,(HISTORIAL_HORARIOS!$A$2:$A$201=$B893)*(HISTORIAL_HORARIOS!$C$2:$C$201&lt;=$A893)*(HISTORIAL_HORARIOS!$D$2:$D$201&gt;=$A893),0)),INDEX(IF($I893="FIN",PERSONAL!$L$2:$L$80,PERSONAL!$H$2:$H$80),MATCH($B893,PERSONAL!$A$2:$A$80,0)))))</f>
        <v/>
      </c>
    </row>
    <row r="894" ht="15" customHeight="1" s="58">
      <c r="A894" s="40" t="n"/>
      <c r="B894" s="38" t="n"/>
      <c r="C894" s="40" t="n"/>
      <c r="D894" s="40" t="n"/>
      <c r="E894" s="34">
        <f t="array" ref="E894">IF($B894="","",IFERROR(INDEX(PERSONAL!$B$2:$B$80,MATCH($B894,PERSONAL!$A$2:$A$80,0)),"NO EXISTE"))</f>
        <v/>
      </c>
      <c r="F894" s="34">
        <f t="array" ref="F894">IF($B894="","",IFERROR(INDEX(PERSONAL!$C$2:$C$80,MATCH($B894,PERSONAL!$A$2:$A$80,0)),""))</f>
        <v/>
      </c>
      <c r="G894" s="34">
        <f>IF($A894="","",CHOOSE(WEEKDAY($A894,2),"LUNES","MARTES","MIÉRCOLES","JUEVES","VIERNES","SÁBADO","DOMINGO"))</f>
        <v/>
      </c>
      <c r="H894" s="34">
        <f>IF($A894="","",CHOOSE(MONTH($A894),"ENERO","FEBRERO","MARZO","ABRIL","MAYO","JUNIO","JULIO","AGOSTO","SEPTIEMBRE","OCTUBRE","NOVIEMBRE","DICIEMBRE"))</f>
        <v/>
      </c>
      <c r="I894" s="34">
        <f>IF($A894="","",IF(OR($G894="SÁBADO",$G894="DOMINGO"),"FIN","LV"))</f>
        <v/>
      </c>
      <c r="J894" s="34">
        <f>IF(OR($A894="",$B894=""),"",IF($L894&lt;&gt;"",UPPER($L894),IF($C894="","FALTA",IFERROR(IF($C894&gt;=$O894,"ROJO FUERTE",IF($C894&gt;=$N894,"ROJO",IF($C894&gt;=$M894,"AMARILLO","VERDE"))),"REVISAR"))))</f>
        <v/>
      </c>
      <c r="K894" s="36">
        <f>IF(OR($C894="",$D894=""),"",IF($D894&gt;=$C894,($D894-$C894)*24,(1-$C894+$D894)*24))</f>
        <v/>
      </c>
      <c r="L894" s="34" t="n"/>
      <c r="M894" s="53">
        <f t="array" ref="M894">IFERROR(INDEX(EXCEPCIONES_FECHA!$D$2:$D$201,MATCH(1,(EXCEPCIONES_FECHA!$A$2:$A$201=$A894)*(EXCEPCIONES_FECHA!$B$2:$B$201=$B894),0)),IFERROR(INDEX(EXCEPCIONES_FECHA!$D$2:$D$201,MATCH(1,(EXCEPCIONES_FECHA!$A$2:$A$201=$A894)*(EXCEPCIONES_FECHA!$B$2:$B$201=""),0)),IFERROR(INDEX(IF($I894="FIN",HISTORIAL_HORARIOS!$J$2:$J$201,HISTORIAL_HORARIOS!$F$2:$F$201),MATCH(1,(HISTORIAL_HORARIOS!$A$2:$A$201=$B894)*(HISTORIAL_HORARIOS!$C$2:$C$201&lt;=$A894)*(HISTORIAL_HORARIOS!$D$2:$D$201&gt;=$A894),0)),INDEX(IF($I894="FIN",PERSONAL!$J$2:$J$80,PERSONAL!$F$2:$F$80),MATCH($B894,PERSONAL!$A$2:$A$80,0)))))</f>
        <v/>
      </c>
      <c r="N894" s="53">
        <f t="array" ref="N894">IFERROR(INDEX(EXCEPCIONES_FECHA!$E$2:$E$201,MATCH(1,(EXCEPCIONES_FECHA!$A$2:$A$201=$A894)*(EXCEPCIONES_FECHA!$B$2:$B$201=$B894),0)),IFERROR(INDEX(EXCEPCIONES_FECHA!$E$2:$E$201,MATCH(1,(EXCEPCIONES_FECHA!$A$2:$A$201=$A894)*(EXCEPCIONES_FECHA!$B$2:$B$201=""),0)),IFERROR(INDEX(IF($I894="FIN",HISTORIAL_HORARIOS!$K$2:$K$201,HISTORIAL_HORARIOS!$G$2:$G$201),MATCH(1,(HISTORIAL_HORARIOS!$A$2:$A$201=$B894)*(HISTORIAL_HORARIOS!$C$2:$C$201&lt;=$A894)*(HISTORIAL_HORARIOS!$D$2:$D$201&gt;=$A894),0)),INDEX(IF($I894="FIN",PERSONAL!$K$2:$K$80,PERSONAL!$G$2:$G$80),MATCH($B894,PERSONAL!$A$2:$A$80,0)))))</f>
        <v/>
      </c>
      <c r="O894" s="53">
        <f t="array" ref="O894">IFERROR(INDEX(EXCEPCIONES_FECHA!$F$2:$F$201,MATCH(1,(EXCEPCIONES_FECHA!$A$2:$A$201=$A894)*(EXCEPCIONES_FECHA!$B$2:$B$201=$B894),0)),IFERROR(INDEX(EXCEPCIONES_FECHA!$F$2:$F$201,MATCH(1,(EXCEPCIONES_FECHA!$A$2:$A$201=$A894)*(EXCEPCIONES_FECHA!$B$2:$B$201=""),0)),IFERROR(INDEX(IF($I894="FIN",HISTORIAL_HORARIOS!$L$2:$L$201,HISTORIAL_HORARIOS!$H$2:$H$201),MATCH(1,(HISTORIAL_HORARIOS!$A$2:$A$201=$B894)*(HISTORIAL_HORARIOS!$C$2:$C$201&lt;=$A894)*(HISTORIAL_HORARIOS!$D$2:$D$201&gt;=$A894),0)),INDEX(IF($I894="FIN",PERSONAL!$L$2:$L$80,PERSONAL!$H$2:$H$80),MATCH($B894,PERSONAL!$A$2:$A$80,0)))))</f>
        <v/>
      </c>
    </row>
    <row r="895" ht="15" customHeight="1" s="58">
      <c r="A895" s="40" t="n"/>
      <c r="B895" s="38" t="n"/>
      <c r="C895" s="40" t="n"/>
      <c r="D895" s="40" t="n"/>
      <c r="E895" s="34">
        <f t="array" ref="E895">IF($B895="","",IFERROR(INDEX(PERSONAL!$B$2:$B$80,MATCH($B895,PERSONAL!$A$2:$A$80,0)),"NO EXISTE"))</f>
        <v/>
      </c>
      <c r="F895" s="34">
        <f t="array" ref="F895">IF($B895="","",IFERROR(INDEX(PERSONAL!$C$2:$C$80,MATCH($B895,PERSONAL!$A$2:$A$80,0)),""))</f>
        <v/>
      </c>
      <c r="G895" s="34">
        <f>IF($A895="","",CHOOSE(WEEKDAY($A895,2),"LUNES","MARTES","MIÉRCOLES","JUEVES","VIERNES","SÁBADO","DOMINGO"))</f>
        <v/>
      </c>
      <c r="H895" s="34">
        <f>IF($A895="","",CHOOSE(MONTH($A895),"ENERO","FEBRERO","MARZO","ABRIL","MAYO","JUNIO","JULIO","AGOSTO","SEPTIEMBRE","OCTUBRE","NOVIEMBRE","DICIEMBRE"))</f>
        <v/>
      </c>
      <c r="I895" s="34">
        <f>IF($A895="","",IF(OR($G895="SÁBADO",$G895="DOMINGO"),"FIN","LV"))</f>
        <v/>
      </c>
      <c r="J895" s="34">
        <f>IF(OR($A895="",$B895=""),"",IF($L895&lt;&gt;"",UPPER($L895),IF($C895="","FALTA",IFERROR(IF($C895&gt;=$O895,"ROJO FUERTE",IF($C895&gt;=$N895,"ROJO",IF($C895&gt;=$M895,"AMARILLO","VERDE"))),"REVISAR"))))</f>
        <v/>
      </c>
      <c r="K895" s="36">
        <f>IF(OR($C895="",$D895=""),"",IF($D895&gt;=$C895,($D895-$C895)*24,(1-$C895+$D895)*24))</f>
        <v/>
      </c>
      <c r="L895" s="34" t="n"/>
      <c r="M895" s="53">
        <f t="array" ref="M895">IFERROR(INDEX(EXCEPCIONES_FECHA!$D$2:$D$201,MATCH(1,(EXCEPCIONES_FECHA!$A$2:$A$201=$A895)*(EXCEPCIONES_FECHA!$B$2:$B$201=$B895),0)),IFERROR(INDEX(EXCEPCIONES_FECHA!$D$2:$D$201,MATCH(1,(EXCEPCIONES_FECHA!$A$2:$A$201=$A895)*(EXCEPCIONES_FECHA!$B$2:$B$201=""),0)),IFERROR(INDEX(IF($I895="FIN",HISTORIAL_HORARIOS!$J$2:$J$201,HISTORIAL_HORARIOS!$F$2:$F$201),MATCH(1,(HISTORIAL_HORARIOS!$A$2:$A$201=$B895)*(HISTORIAL_HORARIOS!$C$2:$C$201&lt;=$A895)*(HISTORIAL_HORARIOS!$D$2:$D$201&gt;=$A895),0)),INDEX(IF($I895="FIN",PERSONAL!$J$2:$J$80,PERSONAL!$F$2:$F$80),MATCH($B895,PERSONAL!$A$2:$A$80,0)))))</f>
        <v/>
      </c>
      <c r="N895" s="53">
        <f t="array" ref="N895">IFERROR(INDEX(EXCEPCIONES_FECHA!$E$2:$E$201,MATCH(1,(EXCEPCIONES_FECHA!$A$2:$A$201=$A895)*(EXCEPCIONES_FECHA!$B$2:$B$201=$B895),0)),IFERROR(INDEX(EXCEPCIONES_FECHA!$E$2:$E$201,MATCH(1,(EXCEPCIONES_FECHA!$A$2:$A$201=$A895)*(EXCEPCIONES_FECHA!$B$2:$B$201=""),0)),IFERROR(INDEX(IF($I895="FIN",HISTORIAL_HORARIOS!$K$2:$K$201,HISTORIAL_HORARIOS!$G$2:$G$201),MATCH(1,(HISTORIAL_HORARIOS!$A$2:$A$201=$B895)*(HISTORIAL_HORARIOS!$C$2:$C$201&lt;=$A895)*(HISTORIAL_HORARIOS!$D$2:$D$201&gt;=$A895),0)),INDEX(IF($I895="FIN",PERSONAL!$K$2:$K$80,PERSONAL!$G$2:$G$80),MATCH($B895,PERSONAL!$A$2:$A$80,0)))))</f>
        <v/>
      </c>
      <c r="O895" s="53">
        <f t="array" ref="O895">IFERROR(INDEX(EXCEPCIONES_FECHA!$F$2:$F$201,MATCH(1,(EXCEPCIONES_FECHA!$A$2:$A$201=$A895)*(EXCEPCIONES_FECHA!$B$2:$B$201=$B895),0)),IFERROR(INDEX(EXCEPCIONES_FECHA!$F$2:$F$201,MATCH(1,(EXCEPCIONES_FECHA!$A$2:$A$201=$A895)*(EXCEPCIONES_FECHA!$B$2:$B$201=""),0)),IFERROR(INDEX(IF($I895="FIN",HISTORIAL_HORARIOS!$L$2:$L$201,HISTORIAL_HORARIOS!$H$2:$H$201),MATCH(1,(HISTORIAL_HORARIOS!$A$2:$A$201=$B895)*(HISTORIAL_HORARIOS!$C$2:$C$201&lt;=$A895)*(HISTORIAL_HORARIOS!$D$2:$D$201&gt;=$A895),0)),INDEX(IF($I895="FIN",PERSONAL!$L$2:$L$80,PERSONAL!$H$2:$H$80),MATCH($B895,PERSONAL!$A$2:$A$80,0)))))</f>
        <v/>
      </c>
    </row>
    <row r="896" ht="15" customHeight="1" s="58">
      <c r="A896" s="40" t="n"/>
      <c r="B896" s="38" t="n"/>
      <c r="C896" s="40" t="n"/>
      <c r="D896" s="40" t="n"/>
      <c r="E896" s="34">
        <f t="array" ref="E896">IF($B896="","",IFERROR(INDEX(PERSONAL!$B$2:$B$80,MATCH($B896,PERSONAL!$A$2:$A$80,0)),"NO EXISTE"))</f>
        <v/>
      </c>
      <c r="F896" s="34">
        <f t="array" ref="F896">IF($B896="","",IFERROR(INDEX(PERSONAL!$C$2:$C$80,MATCH($B896,PERSONAL!$A$2:$A$80,0)),""))</f>
        <v/>
      </c>
      <c r="G896" s="34">
        <f>IF($A896="","",CHOOSE(WEEKDAY($A896,2),"LUNES","MARTES","MIÉRCOLES","JUEVES","VIERNES","SÁBADO","DOMINGO"))</f>
        <v/>
      </c>
      <c r="H896" s="34">
        <f>IF($A896="","",CHOOSE(MONTH($A896),"ENERO","FEBRERO","MARZO","ABRIL","MAYO","JUNIO","JULIO","AGOSTO","SEPTIEMBRE","OCTUBRE","NOVIEMBRE","DICIEMBRE"))</f>
        <v/>
      </c>
      <c r="I896" s="34">
        <f>IF($A896="","",IF(OR($G896="SÁBADO",$G896="DOMINGO"),"FIN","LV"))</f>
        <v/>
      </c>
      <c r="J896" s="34">
        <f>IF(OR($A896="",$B896=""),"",IF($L896&lt;&gt;"",UPPER($L896),IF($C896="","FALTA",IFERROR(IF($C896&gt;=$O896,"ROJO FUERTE",IF($C896&gt;=$N896,"ROJO",IF($C896&gt;=$M896,"AMARILLO","VERDE"))),"REVISAR"))))</f>
        <v/>
      </c>
      <c r="K896" s="36">
        <f>IF(OR($C896="",$D896=""),"",IF($D896&gt;=$C896,($D896-$C896)*24,(1-$C896+$D896)*24))</f>
        <v/>
      </c>
      <c r="L896" s="34" t="n"/>
      <c r="M896" s="53">
        <f t="array" ref="M896">IFERROR(INDEX(EXCEPCIONES_FECHA!$D$2:$D$201,MATCH(1,(EXCEPCIONES_FECHA!$A$2:$A$201=$A896)*(EXCEPCIONES_FECHA!$B$2:$B$201=$B896),0)),IFERROR(INDEX(EXCEPCIONES_FECHA!$D$2:$D$201,MATCH(1,(EXCEPCIONES_FECHA!$A$2:$A$201=$A896)*(EXCEPCIONES_FECHA!$B$2:$B$201=""),0)),IFERROR(INDEX(IF($I896="FIN",HISTORIAL_HORARIOS!$J$2:$J$201,HISTORIAL_HORARIOS!$F$2:$F$201),MATCH(1,(HISTORIAL_HORARIOS!$A$2:$A$201=$B896)*(HISTORIAL_HORARIOS!$C$2:$C$201&lt;=$A896)*(HISTORIAL_HORARIOS!$D$2:$D$201&gt;=$A896),0)),INDEX(IF($I896="FIN",PERSONAL!$J$2:$J$80,PERSONAL!$F$2:$F$80),MATCH($B896,PERSONAL!$A$2:$A$80,0)))))</f>
        <v/>
      </c>
      <c r="N896" s="53">
        <f t="array" ref="N896">IFERROR(INDEX(EXCEPCIONES_FECHA!$E$2:$E$201,MATCH(1,(EXCEPCIONES_FECHA!$A$2:$A$201=$A896)*(EXCEPCIONES_FECHA!$B$2:$B$201=$B896),0)),IFERROR(INDEX(EXCEPCIONES_FECHA!$E$2:$E$201,MATCH(1,(EXCEPCIONES_FECHA!$A$2:$A$201=$A896)*(EXCEPCIONES_FECHA!$B$2:$B$201=""),0)),IFERROR(INDEX(IF($I896="FIN",HISTORIAL_HORARIOS!$K$2:$K$201,HISTORIAL_HORARIOS!$G$2:$G$201),MATCH(1,(HISTORIAL_HORARIOS!$A$2:$A$201=$B896)*(HISTORIAL_HORARIOS!$C$2:$C$201&lt;=$A896)*(HISTORIAL_HORARIOS!$D$2:$D$201&gt;=$A896),0)),INDEX(IF($I896="FIN",PERSONAL!$K$2:$K$80,PERSONAL!$G$2:$G$80),MATCH($B896,PERSONAL!$A$2:$A$80,0)))))</f>
        <v/>
      </c>
      <c r="O896" s="53">
        <f t="array" ref="O896">IFERROR(INDEX(EXCEPCIONES_FECHA!$F$2:$F$201,MATCH(1,(EXCEPCIONES_FECHA!$A$2:$A$201=$A896)*(EXCEPCIONES_FECHA!$B$2:$B$201=$B896),0)),IFERROR(INDEX(EXCEPCIONES_FECHA!$F$2:$F$201,MATCH(1,(EXCEPCIONES_FECHA!$A$2:$A$201=$A896)*(EXCEPCIONES_FECHA!$B$2:$B$201=""),0)),IFERROR(INDEX(IF($I896="FIN",HISTORIAL_HORARIOS!$L$2:$L$201,HISTORIAL_HORARIOS!$H$2:$H$201),MATCH(1,(HISTORIAL_HORARIOS!$A$2:$A$201=$B896)*(HISTORIAL_HORARIOS!$C$2:$C$201&lt;=$A896)*(HISTORIAL_HORARIOS!$D$2:$D$201&gt;=$A896),0)),INDEX(IF($I896="FIN",PERSONAL!$L$2:$L$80,PERSONAL!$H$2:$H$80),MATCH($B896,PERSONAL!$A$2:$A$80,0)))))</f>
        <v/>
      </c>
    </row>
    <row r="897" ht="15" customHeight="1" s="58">
      <c r="A897" s="40" t="n"/>
      <c r="B897" s="38" t="n"/>
      <c r="C897" s="40" t="n"/>
      <c r="D897" s="40" t="n"/>
      <c r="E897" s="34">
        <f t="array" ref="E897">IF($B897="","",IFERROR(INDEX(PERSONAL!$B$2:$B$80,MATCH($B897,PERSONAL!$A$2:$A$80,0)),"NO EXISTE"))</f>
        <v/>
      </c>
      <c r="F897" s="34">
        <f t="array" ref="F897">IF($B897="","",IFERROR(INDEX(PERSONAL!$C$2:$C$80,MATCH($B897,PERSONAL!$A$2:$A$80,0)),""))</f>
        <v/>
      </c>
      <c r="G897" s="34">
        <f>IF($A897="","",CHOOSE(WEEKDAY($A897,2),"LUNES","MARTES","MIÉRCOLES","JUEVES","VIERNES","SÁBADO","DOMINGO"))</f>
        <v/>
      </c>
      <c r="H897" s="34">
        <f>IF($A897="","",CHOOSE(MONTH($A897),"ENERO","FEBRERO","MARZO","ABRIL","MAYO","JUNIO","JULIO","AGOSTO","SEPTIEMBRE","OCTUBRE","NOVIEMBRE","DICIEMBRE"))</f>
        <v/>
      </c>
      <c r="I897" s="34">
        <f>IF($A897="","",IF(OR($G897="SÁBADO",$G897="DOMINGO"),"FIN","LV"))</f>
        <v/>
      </c>
      <c r="J897" s="34">
        <f>IF(OR($A897="",$B897=""),"",IF($L897&lt;&gt;"",UPPER($L897),IF($C897="","FALTA",IFERROR(IF($C897&gt;=$O897,"ROJO FUERTE",IF($C897&gt;=$N897,"ROJO",IF($C897&gt;=$M897,"AMARILLO","VERDE"))),"REVISAR"))))</f>
        <v/>
      </c>
      <c r="K897" s="36">
        <f>IF(OR($C897="",$D897=""),"",IF($D897&gt;=$C897,($D897-$C897)*24,(1-$C897+$D897)*24))</f>
        <v/>
      </c>
      <c r="L897" s="34" t="n"/>
      <c r="M897" s="53">
        <f t="array" ref="M897">IFERROR(INDEX(EXCEPCIONES_FECHA!$D$2:$D$201,MATCH(1,(EXCEPCIONES_FECHA!$A$2:$A$201=$A897)*(EXCEPCIONES_FECHA!$B$2:$B$201=$B897),0)),IFERROR(INDEX(EXCEPCIONES_FECHA!$D$2:$D$201,MATCH(1,(EXCEPCIONES_FECHA!$A$2:$A$201=$A897)*(EXCEPCIONES_FECHA!$B$2:$B$201=""),0)),IFERROR(INDEX(IF($I897="FIN",HISTORIAL_HORARIOS!$J$2:$J$201,HISTORIAL_HORARIOS!$F$2:$F$201),MATCH(1,(HISTORIAL_HORARIOS!$A$2:$A$201=$B897)*(HISTORIAL_HORARIOS!$C$2:$C$201&lt;=$A897)*(HISTORIAL_HORARIOS!$D$2:$D$201&gt;=$A897),0)),INDEX(IF($I897="FIN",PERSONAL!$J$2:$J$80,PERSONAL!$F$2:$F$80),MATCH($B897,PERSONAL!$A$2:$A$80,0)))))</f>
        <v/>
      </c>
      <c r="N897" s="53">
        <f t="array" ref="N897">IFERROR(INDEX(EXCEPCIONES_FECHA!$E$2:$E$201,MATCH(1,(EXCEPCIONES_FECHA!$A$2:$A$201=$A897)*(EXCEPCIONES_FECHA!$B$2:$B$201=$B897),0)),IFERROR(INDEX(EXCEPCIONES_FECHA!$E$2:$E$201,MATCH(1,(EXCEPCIONES_FECHA!$A$2:$A$201=$A897)*(EXCEPCIONES_FECHA!$B$2:$B$201=""),0)),IFERROR(INDEX(IF($I897="FIN",HISTORIAL_HORARIOS!$K$2:$K$201,HISTORIAL_HORARIOS!$G$2:$G$201),MATCH(1,(HISTORIAL_HORARIOS!$A$2:$A$201=$B897)*(HISTORIAL_HORARIOS!$C$2:$C$201&lt;=$A897)*(HISTORIAL_HORARIOS!$D$2:$D$201&gt;=$A897),0)),INDEX(IF($I897="FIN",PERSONAL!$K$2:$K$80,PERSONAL!$G$2:$G$80),MATCH($B897,PERSONAL!$A$2:$A$80,0)))))</f>
        <v/>
      </c>
      <c r="O897" s="53">
        <f t="array" ref="O897">IFERROR(INDEX(EXCEPCIONES_FECHA!$F$2:$F$201,MATCH(1,(EXCEPCIONES_FECHA!$A$2:$A$201=$A897)*(EXCEPCIONES_FECHA!$B$2:$B$201=$B897),0)),IFERROR(INDEX(EXCEPCIONES_FECHA!$F$2:$F$201,MATCH(1,(EXCEPCIONES_FECHA!$A$2:$A$201=$A897)*(EXCEPCIONES_FECHA!$B$2:$B$201=""),0)),IFERROR(INDEX(IF($I897="FIN",HISTORIAL_HORARIOS!$L$2:$L$201,HISTORIAL_HORARIOS!$H$2:$H$201),MATCH(1,(HISTORIAL_HORARIOS!$A$2:$A$201=$B897)*(HISTORIAL_HORARIOS!$C$2:$C$201&lt;=$A897)*(HISTORIAL_HORARIOS!$D$2:$D$201&gt;=$A897),0)),INDEX(IF($I897="FIN",PERSONAL!$L$2:$L$80,PERSONAL!$H$2:$H$80),MATCH($B897,PERSONAL!$A$2:$A$80,0)))))</f>
        <v/>
      </c>
    </row>
    <row r="898" ht="15" customHeight="1" s="58">
      <c r="A898" s="40" t="n"/>
      <c r="B898" s="38" t="n"/>
      <c r="C898" s="40" t="n"/>
      <c r="D898" s="40" t="n"/>
      <c r="E898" s="34">
        <f t="array" ref="E898">IF($B898="","",IFERROR(INDEX(PERSONAL!$B$2:$B$80,MATCH($B898,PERSONAL!$A$2:$A$80,0)),"NO EXISTE"))</f>
        <v/>
      </c>
      <c r="F898" s="34">
        <f t="array" ref="F898">IF($B898="","",IFERROR(INDEX(PERSONAL!$C$2:$C$80,MATCH($B898,PERSONAL!$A$2:$A$80,0)),""))</f>
        <v/>
      </c>
      <c r="G898" s="34">
        <f>IF($A898="","",CHOOSE(WEEKDAY($A898,2),"LUNES","MARTES","MIÉRCOLES","JUEVES","VIERNES","SÁBADO","DOMINGO"))</f>
        <v/>
      </c>
      <c r="H898" s="34">
        <f>IF($A898="","",CHOOSE(MONTH($A898),"ENERO","FEBRERO","MARZO","ABRIL","MAYO","JUNIO","JULIO","AGOSTO","SEPTIEMBRE","OCTUBRE","NOVIEMBRE","DICIEMBRE"))</f>
        <v/>
      </c>
      <c r="I898" s="34">
        <f>IF($A898="","",IF(OR($G898="SÁBADO",$G898="DOMINGO"),"FIN","LV"))</f>
        <v/>
      </c>
      <c r="J898" s="34">
        <f>IF(OR($A898="",$B898=""),"",IF($L898&lt;&gt;"",UPPER($L898),IF($C898="","FALTA",IFERROR(IF($C898&gt;=$O898,"ROJO FUERTE",IF($C898&gt;=$N898,"ROJO",IF($C898&gt;=$M898,"AMARILLO","VERDE"))),"REVISAR"))))</f>
        <v/>
      </c>
      <c r="K898" s="36">
        <f>IF(OR($C898="",$D898=""),"",IF($D898&gt;=$C898,($D898-$C898)*24,(1-$C898+$D898)*24))</f>
        <v/>
      </c>
      <c r="L898" s="34" t="n"/>
      <c r="M898" s="53">
        <f t="array" ref="M898">IFERROR(INDEX(EXCEPCIONES_FECHA!$D$2:$D$201,MATCH(1,(EXCEPCIONES_FECHA!$A$2:$A$201=$A898)*(EXCEPCIONES_FECHA!$B$2:$B$201=$B898),0)),IFERROR(INDEX(EXCEPCIONES_FECHA!$D$2:$D$201,MATCH(1,(EXCEPCIONES_FECHA!$A$2:$A$201=$A898)*(EXCEPCIONES_FECHA!$B$2:$B$201=""),0)),IFERROR(INDEX(IF($I898="FIN",HISTORIAL_HORARIOS!$J$2:$J$201,HISTORIAL_HORARIOS!$F$2:$F$201),MATCH(1,(HISTORIAL_HORARIOS!$A$2:$A$201=$B898)*(HISTORIAL_HORARIOS!$C$2:$C$201&lt;=$A898)*(HISTORIAL_HORARIOS!$D$2:$D$201&gt;=$A898),0)),INDEX(IF($I898="FIN",PERSONAL!$J$2:$J$80,PERSONAL!$F$2:$F$80),MATCH($B898,PERSONAL!$A$2:$A$80,0)))))</f>
        <v/>
      </c>
      <c r="N898" s="53">
        <f t="array" ref="N898">IFERROR(INDEX(EXCEPCIONES_FECHA!$E$2:$E$201,MATCH(1,(EXCEPCIONES_FECHA!$A$2:$A$201=$A898)*(EXCEPCIONES_FECHA!$B$2:$B$201=$B898),0)),IFERROR(INDEX(EXCEPCIONES_FECHA!$E$2:$E$201,MATCH(1,(EXCEPCIONES_FECHA!$A$2:$A$201=$A898)*(EXCEPCIONES_FECHA!$B$2:$B$201=""),0)),IFERROR(INDEX(IF($I898="FIN",HISTORIAL_HORARIOS!$K$2:$K$201,HISTORIAL_HORARIOS!$G$2:$G$201),MATCH(1,(HISTORIAL_HORARIOS!$A$2:$A$201=$B898)*(HISTORIAL_HORARIOS!$C$2:$C$201&lt;=$A898)*(HISTORIAL_HORARIOS!$D$2:$D$201&gt;=$A898),0)),INDEX(IF($I898="FIN",PERSONAL!$K$2:$K$80,PERSONAL!$G$2:$G$80),MATCH($B898,PERSONAL!$A$2:$A$80,0)))))</f>
        <v/>
      </c>
      <c r="O898" s="53">
        <f t="array" ref="O898">IFERROR(INDEX(EXCEPCIONES_FECHA!$F$2:$F$201,MATCH(1,(EXCEPCIONES_FECHA!$A$2:$A$201=$A898)*(EXCEPCIONES_FECHA!$B$2:$B$201=$B898),0)),IFERROR(INDEX(EXCEPCIONES_FECHA!$F$2:$F$201,MATCH(1,(EXCEPCIONES_FECHA!$A$2:$A$201=$A898)*(EXCEPCIONES_FECHA!$B$2:$B$201=""),0)),IFERROR(INDEX(IF($I898="FIN",HISTORIAL_HORARIOS!$L$2:$L$201,HISTORIAL_HORARIOS!$H$2:$H$201),MATCH(1,(HISTORIAL_HORARIOS!$A$2:$A$201=$B898)*(HISTORIAL_HORARIOS!$C$2:$C$201&lt;=$A898)*(HISTORIAL_HORARIOS!$D$2:$D$201&gt;=$A898),0)),INDEX(IF($I898="FIN",PERSONAL!$L$2:$L$80,PERSONAL!$H$2:$H$80),MATCH($B898,PERSONAL!$A$2:$A$80,0)))))</f>
        <v/>
      </c>
    </row>
    <row r="899" ht="15" customHeight="1" s="58">
      <c r="A899" s="40" t="n"/>
      <c r="B899" s="38" t="n"/>
      <c r="C899" s="40" t="n"/>
      <c r="D899" s="40" t="n"/>
      <c r="E899" s="34">
        <f t="array" ref="E899">IF($B899="","",IFERROR(INDEX(PERSONAL!$B$2:$B$80,MATCH($B899,PERSONAL!$A$2:$A$80,0)),"NO EXISTE"))</f>
        <v/>
      </c>
      <c r="F899" s="34">
        <f t="array" ref="F899">IF($B899="","",IFERROR(INDEX(PERSONAL!$C$2:$C$80,MATCH($B899,PERSONAL!$A$2:$A$80,0)),""))</f>
        <v/>
      </c>
      <c r="G899" s="34">
        <f>IF($A899="","",CHOOSE(WEEKDAY($A899,2),"LUNES","MARTES","MIÉRCOLES","JUEVES","VIERNES","SÁBADO","DOMINGO"))</f>
        <v/>
      </c>
      <c r="H899" s="34">
        <f>IF($A899="","",CHOOSE(MONTH($A899),"ENERO","FEBRERO","MARZO","ABRIL","MAYO","JUNIO","JULIO","AGOSTO","SEPTIEMBRE","OCTUBRE","NOVIEMBRE","DICIEMBRE"))</f>
        <v/>
      </c>
      <c r="I899" s="34">
        <f>IF($A899="","",IF(OR($G899="SÁBADO",$G899="DOMINGO"),"FIN","LV"))</f>
        <v/>
      </c>
      <c r="J899" s="34">
        <f>IF(OR($A899="",$B899=""),"",IF($L899&lt;&gt;"",UPPER($L899),IF($C899="","FALTA",IFERROR(IF($C899&gt;=$O899,"ROJO FUERTE",IF($C899&gt;=$N899,"ROJO",IF($C899&gt;=$M899,"AMARILLO","VERDE"))),"REVISAR"))))</f>
        <v/>
      </c>
      <c r="K899" s="36">
        <f>IF(OR($C899="",$D899=""),"",IF($D899&gt;=$C899,($D899-$C899)*24,(1-$C899+$D899)*24))</f>
        <v/>
      </c>
      <c r="L899" s="34" t="n"/>
      <c r="M899" s="53">
        <f t="array" ref="M899">IFERROR(INDEX(EXCEPCIONES_FECHA!$D$2:$D$201,MATCH(1,(EXCEPCIONES_FECHA!$A$2:$A$201=$A899)*(EXCEPCIONES_FECHA!$B$2:$B$201=$B899),0)),IFERROR(INDEX(EXCEPCIONES_FECHA!$D$2:$D$201,MATCH(1,(EXCEPCIONES_FECHA!$A$2:$A$201=$A899)*(EXCEPCIONES_FECHA!$B$2:$B$201=""),0)),IFERROR(INDEX(IF($I899="FIN",HISTORIAL_HORARIOS!$J$2:$J$201,HISTORIAL_HORARIOS!$F$2:$F$201),MATCH(1,(HISTORIAL_HORARIOS!$A$2:$A$201=$B899)*(HISTORIAL_HORARIOS!$C$2:$C$201&lt;=$A899)*(HISTORIAL_HORARIOS!$D$2:$D$201&gt;=$A899),0)),INDEX(IF($I899="FIN",PERSONAL!$J$2:$J$80,PERSONAL!$F$2:$F$80),MATCH($B899,PERSONAL!$A$2:$A$80,0)))))</f>
        <v/>
      </c>
      <c r="N899" s="53">
        <f t="array" ref="N899">IFERROR(INDEX(EXCEPCIONES_FECHA!$E$2:$E$201,MATCH(1,(EXCEPCIONES_FECHA!$A$2:$A$201=$A899)*(EXCEPCIONES_FECHA!$B$2:$B$201=$B899),0)),IFERROR(INDEX(EXCEPCIONES_FECHA!$E$2:$E$201,MATCH(1,(EXCEPCIONES_FECHA!$A$2:$A$201=$A899)*(EXCEPCIONES_FECHA!$B$2:$B$201=""),0)),IFERROR(INDEX(IF($I899="FIN",HISTORIAL_HORARIOS!$K$2:$K$201,HISTORIAL_HORARIOS!$G$2:$G$201),MATCH(1,(HISTORIAL_HORARIOS!$A$2:$A$201=$B899)*(HISTORIAL_HORARIOS!$C$2:$C$201&lt;=$A899)*(HISTORIAL_HORARIOS!$D$2:$D$201&gt;=$A899),0)),INDEX(IF($I899="FIN",PERSONAL!$K$2:$K$80,PERSONAL!$G$2:$G$80),MATCH($B899,PERSONAL!$A$2:$A$80,0)))))</f>
        <v/>
      </c>
      <c r="O899" s="53">
        <f t="array" ref="O899">IFERROR(INDEX(EXCEPCIONES_FECHA!$F$2:$F$201,MATCH(1,(EXCEPCIONES_FECHA!$A$2:$A$201=$A899)*(EXCEPCIONES_FECHA!$B$2:$B$201=$B899),0)),IFERROR(INDEX(EXCEPCIONES_FECHA!$F$2:$F$201,MATCH(1,(EXCEPCIONES_FECHA!$A$2:$A$201=$A899)*(EXCEPCIONES_FECHA!$B$2:$B$201=""),0)),IFERROR(INDEX(IF($I899="FIN",HISTORIAL_HORARIOS!$L$2:$L$201,HISTORIAL_HORARIOS!$H$2:$H$201),MATCH(1,(HISTORIAL_HORARIOS!$A$2:$A$201=$B899)*(HISTORIAL_HORARIOS!$C$2:$C$201&lt;=$A899)*(HISTORIAL_HORARIOS!$D$2:$D$201&gt;=$A899),0)),INDEX(IF($I899="FIN",PERSONAL!$L$2:$L$80,PERSONAL!$H$2:$H$80),MATCH($B899,PERSONAL!$A$2:$A$80,0)))))</f>
        <v/>
      </c>
    </row>
    <row r="900" ht="15" customHeight="1" s="58">
      <c r="A900" s="40" t="n"/>
      <c r="B900" s="38" t="n"/>
      <c r="C900" s="40" t="n"/>
      <c r="D900" s="40" t="n"/>
      <c r="E900" s="34">
        <f t="array" ref="E900">IF($B900="","",IFERROR(INDEX(PERSONAL!$B$2:$B$80,MATCH($B900,PERSONAL!$A$2:$A$80,0)),"NO EXISTE"))</f>
        <v/>
      </c>
      <c r="F900" s="34">
        <f t="array" ref="F900">IF($B900="","",IFERROR(INDEX(PERSONAL!$C$2:$C$80,MATCH($B900,PERSONAL!$A$2:$A$80,0)),""))</f>
        <v/>
      </c>
      <c r="G900" s="34">
        <f>IF($A900="","",CHOOSE(WEEKDAY($A900,2),"LUNES","MARTES","MIÉRCOLES","JUEVES","VIERNES","SÁBADO","DOMINGO"))</f>
        <v/>
      </c>
      <c r="H900" s="34">
        <f>IF($A900="","",CHOOSE(MONTH($A900),"ENERO","FEBRERO","MARZO","ABRIL","MAYO","JUNIO","JULIO","AGOSTO","SEPTIEMBRE","OCTUBRE","NOVIEMBRE","DICIEMBRE"))</f>
        <v/>
      </c>
      <c r="I900" s="34">
        <f>IF($A900="","",IF(OR($G900="SÁBADO",$G900="DOMINGO"),"FIN","LV"))</f>
        <v/>
      </c>
      <c r="J900" s="34">
        <f>IF(OR($A900="",$B900=""),"",IF($L900&lt;&gt;"",UPPER($L900),IF($C900="","FALTA",IFERROR(IF($C900&gt;=$O900,"ROJO FUERTE",IF($C900&gt;=$N900,"ROJO",IF($C900&gt;=$M900,"AMARILLO","VERDE"))),"REVISAR"))))</f>
        <v/>
      </c>
      <c r="K900" s="36">
        <f>IF(OR($C900="",$D900=""),"",IF($D900&gt;=$C900,($D900-$C900)*24,(1-$C900+$D900)*24))</f>
        <v/>
      </c>
      <c r="L900" s="34" t="n"/>
      <c r="M900" s="53">
        <f t="array" ref="M900">IFERROR(INDEX(EXCEPCIONES_FECHA!$D$2:$D$201,MATCH(1,(EXCEPCIONES_FECHA!$A$2:$A$201=$A900)*(EXCEPCIONES_FECHA!$B$2:$B$201=$B900),0)),IFERROR(INDEX(EXCEPCIONES_FECHA!$D$2:$D$201,MATCH(1,(EXCEPCIONES_FECHA!$A$2:$A$201=$A900)*(EXCEPCIONES_FECHA!$B$2:$B$201=""),0)),IFERROR(INDEX(IF($I900="FIN",HISTORIAL_HORARIOS!$J$2:$J$201,HISTORIAL_HORARIOS!$F$2:$F$201),MATCH(1,(HISTORIAL_HORARIOS!$A$2:$A$201=$B900)*(HISTORIAL_HORARIOS!$C$2:$C$201&lt;=$A900)*(HISTORIAL_HORARIOS!$D$2:$D$201&gt;=$A900),0)),INDEX(IF($I900="FIN",PERSONAL!$J$2:$J$80,PERSONAL!$F$2:$F$80),MATCH($B900,PERSONAL!$A$2:$A$80,0)))))</f>
        <v/>
      </c>
      <c r="N900" s="53">
        <f t="array" ref="N900">IFERROR(INDEX(EXCEPCIONES_FECHA!$E$2:$E$201,MATCH(1,(EXCEPCIONES_FECHA!$A$2:$A$201=$A900)*(EXCEPCIONES_FECHA!$B$2:$B$201=$B900),0)),IFERROR(INDEX(EXCEPCIONES_FECHA!$E$2:$E$201,MATCH(1,(EXCEPCIONES_FECHA!$A$2:$A$201=$A900)*(EXCEPCIONES_FECHA!$B$2:$B$201=""),0)),IFERROR(INDEX(IF($I900="FIN",HISTORIAL_HORARIOS!$K$2:$K$201,HISTORIAL_HORARIOS!$G$2:$G$201),MATCH(1,(HISTORIAL_HORARIOS!$A$2:$A$201=$B900)*(HISTORIAL_HORARIOS!$C$2:$C$201&lt;=$A900)*(HISTORIAL_HORARIOS!$D$2:$D$201&gt;=$A900),0)),INDEX(IF($I900="FIN",PERSONAL!$K$2:$K$80,PERSONAL!$G$2:$G$80),MATCH($B900,PERSONAL!$A$2:$A$80,0)))))</f>
        <v/>
      </c>
      <c r="O900" s="53">
        <f t="array" ref="O900">IFERROR(INDEX(EXCEPCIONES_FECHA!$F$2:$F$201,MATCH(1,(EXCEPCIONES_FECHA!$A$2:$A$201=$A900)*(EXCEPCIONES_FECHA!$B$2:$B$201=$B900),0)),IFERROR(INDEX(EXCEPCIONES_FECHA!$F$2:$F$201,MATCH(1,(EXCEPCIONES_FECHA!$A$2:$A$201=$A900)*(EXCEPCIONES_FECHA!$B$2:$B$201=""),0)),IFERROR(INDEX(IF($I900="FIN",HISTORIAL_HORARIOS!$L$2:$L$201,HISTORIAL_HORARIOS!$H$2:$H$201),MATCH(1,(HISTORIAL_HORARIOS!$A$2:$A$201=$B900)*(HISTORIAL_HORARIOS!$C$2:$C$201&lt;=$A900)*(HISTORIAL_HORARIOS!$D$2:$D$201&gt;=$A900),0)),INDEX(IF($I900="FIN",PERSONAL!$L$2:$L$80,PERSONAL!$H$2:$H$80),MATCH($B900,PERSONAL!$A$2:$A$80,0)))))</f>
        <v/>
      </c>
    </row>
    <row r="901" ht="15" customHeight="1" s="58">
      <c r="A901" s="40" t="n"/>
      <c r="B901" s="38" t="n"/>
      <c r="C901" s="40" t="n"/>
      <c r="D901" s="40" t="n"/>
      <c r="E901" s="34">
        <f t="array" ref="E901">IF($B901="","",IFERROR(INDEX(PERSONAL!$B$2:$B$80,MATCH($B901,PERSONAL!$A$2:$A$80,0)),"NO EXISTE"))</f>
        <v/>
      </c>
      <c r="F901" s="34">
        <f t="array" ref="F901">IF($B901="","",IFERROR(INDEX(PERSONAL!$C$2:$C$80,MATCH($B901,PERSONAL!$A$2:$A$80,0)),""))</f>
        <v/>
      </c>
      <c r="G901" s="34">
        <f>IF($A901="","",CHOOSE(WEEKDAY($A901,2),"LUNES","MARTES","MIÉRCOLES","JUEVES","VIERNES","SÁBADO","DOMINGO"))</f>
        <v/>
      </c>
      <c r="H901" s="34">
        <f>IF($A901="","",CHOOSE(MONTH($A901),"ENERO","FEBRERO","MARZO","ABRIL","MAYO","JUNIO","JULIO","AGOSTO","SEPTIEMBRE","OCTUBRE","NOVIEMBRE","DICIEMBRE"))</f>
        <v/>
      </c>
      <c r="I901" s="34">
        <f>IF($A901="","",IF(OR($G901="SÁBADO",$G901="DOMINGO"),"FIN","LV"))</f>
        <v/>
      </c>
      <c r="J901" s="34">
        <f>IF(OR($A901="",$B901=""),"",IF($L901&lt;&gt;"",UPPER($L901),IF($C901="","FALTA",IFERROR(IF($C901&gt;=$O901,"ROJO FUERTE",IF($C901&gt;=$N901,"ROJO",IF($C901&gt;=$M901,"AMARILLO","VERDE"))),"REVISAR"))))</f>
        <v/>
      </c>
      <c r="K901" s="36">
        <f>IF(OR($C901="",$D901=""),"",IF($D901&gt;=$C901,($D901-$C901)*24,(1-$C901+$D901)*24))</f>
        <v/>
      </c>
      <c r="L901" s="34" t="n"/>
      <c r="M901" s="53">
        <f t="array" ref="M901">IFERROR(INDEX(EXCEPCIONES_FECHA!$D$2:$D$201,MATCH(1,(EXCEPCIONES_FECHA!$A$2:$A$201=$A901)*(EXCEPCIONES_FECHA!$B$2:$B$201=$B901),0)),IFERROR(INDEX(EXCEPCIONES_FECHA!$D$2:$D$201,MATCH(1,(EXCEPCIONES_FECHA!$A$2:$A$201=$A901)*(EXCEPCIONES_FECHA!$B$2:$B$201=""),0)),IFERROR(INDEX(IF($I901="FIN",HISTORIAL_HORARIOS!$J$2:$J$201,HISTORIAL_HORARIOS!$F$2:$F$201),MATCH(1,(HISTORIAL_HORARIOS!$A$2:$A$201=$B901)*(HISTORIAL_HORARIOS!$C$2:$C$201&lt;=$A901)*(HISTORIAL_HORARIOS!$D$2:$D$201&gt;=$A901),0)),INDEX(IF($I901="FIN",PERSONAL!$J$2:$J$80,PERSONAL!$F$2:$F$80),MATCH($B901,PERSONAL!$A$2:$A$80,0)))))</f>
        <v/>
      </c>
      <c r="N901" s="53">
        <f t="array" ref="N901">IFERROR(INDEX(EXCEPCIONES_FECHA!$E$2:$E$201,MATCH(1,(EXCEPCIONES_FECHA!$A$2:$A$201=$A901)*(EXCEPCIONES_FECHA!$B$2:$B$201=$B901),0)),IFERROR(INDEX(EXCEPCIONES_FECHA!$E$2:$E$201,MATCH(1,(EXCEPCIONES_FECHA!$A$2:$A$201=$A901)*(EXCEPCIONES_FECHA!$B$2:$B$201=""),0)),IFERROR(INDEX(IF($I901="FIN",HISTORIAL_HORARIOS!$K$2:$K$201,HISTORIAL_HORARIOS!$G$2:$G$201),MATCH(1,(HISTORIAL_HORARIOS!$A$2:$A$201=$B901)*(HISTORIAL_HORARIOS!$C$2:$C$201&lt;=$A901)*(HISTORIAL_HORARIOS!$D$2:$D$201&gt;=$A901),0)),INDEX(IF($I901="FIN",PERSONAL!$K$2:$K$80,PERSONAL!$G$2:$G$80),MATCH($B901,PERSONAL!$A$2:$A$80,0)))))</f>
        <v/>
      </c>
      <c r="O901" s="53">
        <f t="array" ref="O901">IFERROR(INDEX(EXCEPCIONES_FECHA!$F$2:$F$201,MATCH(1,(EXCEPCIONES_FECHA!$A$2:$A$201=$A901)*(EXCEPCIONES_FECHA!$B$2:$B$201=$B901),0)),IFERROR(INDEX(EXCEPCIONES_FECHA!$F$2:$F$201,MATCH(1,(EXCEPCIONES_FECHA!$A$2:$A$201=$A901)*(EXCEPCIONES_FECHA!$B$2:$B$201=""),0)),IFERROR(INDEX(IF($I901="FIN",HISTORIAL_HORARIOS!$L$2:$L$201,HISTORIAL_HORARIOS!$H$2:$H$201),MATCH(1,(HISTORIAL_HORARIOS!$A$2:$A$201=$B901)*(HISTORIAL_HORARIOS!$C$2:$C$201&lt;=$A901)*(HISTORIAL_HORARIOS!$D$2:$D$201&gt;=$A901),0)),INDEX(IF($I901="FIN",PERSONAL!$L$2:$L$80,PERSONAL!$H$2:$H$80),MATCH($B901,PERSONAL!$A$2:$A$80,0)))))</f>
        <v/>
      </c>
    </row>
    <row r="902" ht="15" customHeight="1" s="58">
      <c r="A902" s="40" t="n"/>
      <c r="B902" s="38" t="n"/>
      <c r="C902" s="40" t="n"/>
      <c r="D902" s="40" t="n"/>
      <c r="E902" s="34">
        <f t="array" ref="E902">IF($B902="","",IFERROR(INDEX(PERSONAL!$B$2:$B$80,MATCH($B902,PERSONAL!$A$2:$A$80,0)),"NO EXISTE"))</f>
        <v/>
      </c>
      <c r="F902" s="34">
        <f t="array" ref="F902">IF($B902="","",IFERROR(INDEX(PERSONAL!$C$2:$C$80,MATCH($B902,PERSONAL!$A$2:$A$80,0)),""))</f>
        <v/>
      </c>
      <c r="G902" s="34">
        <f>IF($A902="","",CHOOSE(WEEKDAY($A902,2),"LUNES","MARTES","MIÉRCOLES","JUEVES","VIERNES","SÁBADO","DOMINGO"))</f>
        <v/>
      </c>
      <c r="H902" s="34">
        <f>IF($A902="","",CHOOSE(MONTH($A902),"ENERO","FEBRERO","MARZO","ABRIL","MAYO","JUNIO","JULIO","AGOSTO","SEPTIEMBRE","OCTUBRE","NOVIEMBRE","DICIEMBRE"))</f>
        <v/>
      </c>
      <c r="I902" s="34">
        <f>IF($A902="","",IF(OR($G902="SÁBADO",$G902="DOMINGO"),"FIN","LV"))</f>
        <v/>
      </c>
      <c r="J902" s="34">
        <f>IF(OR($A902="",$B902=""),"",IF($L902&lt;&gt;"",UPPER($L902),IF($C902="","FALTA",IFERROR(IF($C902&gt;=$O902,"ROJO FUERTE",IF($C902&gt;=$N902,"ROJO",IF($C902&gt;=$M902,"AMARILLO","VERDE"))),"REVISAR"))))</f>
        <v/>
      </c>
      <c r="K902" s="36">
        <f>IF(OR($C902="",$D902=""),"",IF($D902&gt;=$C902,($D902-$C902)*24,(1-$C902+$D902)*24))</f>
        <v/>
      </c>
      <c r="L902" s="34" t="n"/>
      <c r="M902" s="53">
        <f t="array" ref="M902">IFERROR(INDEX(EXCEPCIONES_FECHA!$D$2:$D$201,MATCH(1,(EXCEPCIONES_FECHA!$A$2:$A$201=$A902)*(EXCEPCIONES_FECHA!$B$2:$B$201=$B902),0)),IFERROR(INDEX(EXCEPCIONES_FECHA!$D$2:$D$201,MATCH(1,(EXCEPCIONES_FECHA!$A$2:$A$201=$A902)*(EXCEPCIONES_FECHA!$B$2:$B$201=""),0)),IFERROR(INDEX(IF($I902="FIN",HISTORIAL_HORARIOS!$J$2:$J$201,HISTORIAL_HORARIOS!$F$2:$F$201),MATCH(1,(HISTORIAL_HORARIOS!$A$2:$A$201=$B902)*(HISTORIAL_HORARIOS!$C$2:$C$201&lt;=$A902)*(HISTORIAL_HORARIOS!$D$2:$D$201&gt;=$A902),0)),INDEX(IF($I902="FIN",PERSONAL!$J$2:$J$80,PERSONAL!$F$2:$F$80),MATCH($B902,PERSONAL!$A$2:$A$80,0)))))</f>
        <v/>
      </c>
      <c r="N902" s="53">
        <f t="array" ref="N902">IFERROR(INDEX(EXCEPCIONES_FECHA!$E$2:$E$201,MATCH(1,(EXCEPCIONES_FECHA!$A$2:$A$201=$A902)*(EXCEPCIONES_FECHA!$B$2:$B$201=$B902),0)),IFERROR(INDEX(EXCEPCIONES_FECHA!$E$2:$E$201,MATCH(1,(EXCEPCIONES_FECHA!$A$2:$A$201=$A902)*(EXCEPCIONES_FECHA!$B$2:$B$201=""),0)),IFERROR(INDEX(IF($I902="FIN",HISTORIAL_HORARIOS!$K$2:$K$201,HISTORIAL_HORARIOS!$G$2:$G$201),MATCH(1,(HISTORIAL_HORARIOS!$A$2:$A$201=$B902)*(HISTORIAL_HORARIOS!$C$2:$C$201&lt;=$A902)*(HISTORIAL_HORARIOS!$D$2:$D$201&gt;=$A902),0)),INDEX(IF($I902="FIN",PERSONAL!$K$2:$K$80,PERSONAL!$G$2:$G$80),MATCH($B902,PERSONAL!$A$2:$A$80,0)))))</f>
        <v/>
      </c>
      <c r="O902" s="53">
        <f t="array" ref="O902">IFERROR(INDEX(EXCEPCIONES_FECHA!$F$2:$F$201,MATCH(1,(EXCEPCIONES_FECHA!$A$2:$A$201=$A902)*(EXCEPCIONES_FECHA!$B$2:$B$201=$B902),0)),IFERROR(INDEX(EXCEPCIONES_FECHA!$F$2:$F$201,MATCH(1,(EXCEPCIONES_FECHA!$A$2:$A$201=$A902)*(EXCEPCIONES_FECHA!$B$2:$B$201=""),0)),IFERROR(INDEX(IF($I902="FIN",HISTORIAL_HORARIOS!$L$2:$L$201,HISTORIAL_HORARIOS!$H$2:$H$201),MATCH(1,(HISTORIAL_HORARIOS!$A$2:$A$201=$B902)*(HISTORIAL_HORARIOS!$C$2:$C$201&lt;=$A902)*(HISTORIAL_HORARIOS!$D$2:$D$201&gt;=$A902),0)),INDEX(IF($I902="FIN",PERSONAL!$L$2:$L$80,PERSONAL!$H$2:$H$80),MATCH($B902,PERSONAL!$A$2:$A$80,0)))))</f>
        <v/>
      </c>
    </row>
    <row r="903" ht="15" customHeight="1" s="58">
      <c r="A903" s="40" t="n"/>
      <c r="B903" s="38" t="n"/>
      <c r="C903" s="40" t="n"/>
      <c r="D903" s="40" t="n"/>
      <c r="E903" s="34">
        <f t="array" ref="E903">IF($B903="","",IFERROR(INDEX(PERSONAL!$B$2:$B$80,MATCH($B903,PERSONAL!$A$2:$A$80,0)),"NO EXISTE"))</f>
        <v/>
      </c>
      <c r="F903" s="34">
        <f t="array" ref="F903">IF($B903="","",IFERROR(INDEX(PERSONAL!$C$2:$C$80,MATCH($B903,PERSONAL!$A$2:$A$80,0)),""))</f>
        <v/>
      </c>
      <c r="G903" s="34">
        <f>IF($A903="","",CHOOSE(WEEKDAY($A903,2),"LUNES","MARTES","MIÉRCOLES","JUEVES","VIERNES","SÁBADO","DOMINGO"))</f>
        <v/>
      </c>
      <c r="H903" s="34">
        <f>IF($A903="","",CHOOSE(MONTH($A903),"ENERO","FEBRERO","MARZO","ABRIL","MAYO","JUNIO","JULIO","AGOSTO","SEPTIEMBRE","OCTUBRE","NOVIEMBRE","DICIEMBRE"))</f>
        <v/>
      </c>
      <c r="I903" s="34">
        <f>IF($A903="","",IF(OR($G903="SÁBADO",$G903="DOMINGO"),"FIN","LV"))</f>
        <v/>
      </c>
      <c r="J903" s="34">
        <f>IF(OR($A903="",$B903=""),"",IF($L903&lt;&gt;"",UPPER($L903),IF($C903="","FALTA",IFERROR(IF($C903&gt;=$O903,"ROJO FUERTE",IF($C903&gt;=$N903,"ROJO",IF($C903&gt;=$M903,"AMARILLO","VERDE"))),"REVISAR"))))</f>
        <v/>
      </c>
      <c r="K903" s="36">
        <f>IF(OR($C903="",$D903=""),"",IF($D903&gt;=$C903,($D903-$C903)*24,(1-$C903+$D903)*24))</f>
        <v/>
      </c>
      <c r="L903" s="34" t="n"/>
      <c r="M903" s="53">
        <f t="array" ref="M903">IFERROR(INDEX(EXCEPCIONES_FECHA!$D$2:$D$201,MATCH(1,(EXCEPCIONES_FECHA!$A$2:$A$201=$A903)*(EXCEPCIONES_FECHA!$B$2:$B$201=$B903),0)),IFERROR(INDEX(EXCEPCIONES_FECHA!$D$2:$D$201,MATCH(1,(EXCEPCIONES_FECHA!$A$2:$A$201=$A903)*(EXCEPCIONES_FECHA!$B$2:$B$201=""),0)),IFERROR(INDEX(IF($I903="FIN",HISTORIAL_HORARIOS!$J$2:$J$201,HISTORIAL_HORARIOS!$F$2:$F$201),MATCH(1,(HISTORIAL_HORARIOS!$A$2:$A$201=$B903)*(HISTORIAL_HORARIOS!$C$2:$C$201&lt;=$A903)*(HISTORIAL_HORARIOS!$D$2:$D$201&gt;=$A903),0)),INDEX(IF($I903="FIN",PERSONAL!$J$2:$J$80,PERSONAL!$F$2:$F$80),MATCH($B903,PERSONAL!$A$2:$A$80,0)))))</f>
        <v/>
      </c>
      <c r="N903" s="53">
        <f t="array" ref="N903">IFERROR(INDEX(EXCEPCIONES_FECHA!$E$2:$E$201,MATCH(1,(EXCEPCIONES_FECHA!$A$2:$A$201=$A903)*(EXCEPCIONES_FECHA!$B$2:$B$201=$B903),0)),IFERROR(INDEX(EXCEPCIONES_FECHA!$E$2:$E$201,MATCH(1,(EXCEPCIONES_FECHA!$A$2:$A$201=$A903)*(EXCEPCIONES_FECHA!$B$2:$B$201=""),0)),IFERROR(INDEX(IF($I903="FIN",HISTORIAL_HORARIOS!$K$2:$K$201,HISTORIAL_HORARIOS!$G$2:$G$201),MATCH(1,(HISTORIAL_HORARIOS!$A$2:$A$201=$B903)*(HISTORIAL_HORARIOS!$C$2:$C$201&lt;=$A903)*(HISTORIAL_HORARIOS!$D$2:$D$201&gt;=$A903),0)),INDEX(IF($I903="FIN",PERSONAL!$K$2:$K$80,PERSONAL!$G$2:$G$80),MATCH($B903,PERSONAL!$A$2:$A$80,0)))))</f>
        <v/>
      </c>
      <c r="O903" s="53">
        <f t="array" ref="O903">IFERROR(INDEX(EXCEPCIONES_FECHA!$F$2:$F$201,MATCH(1,(EXCEPCIONES_FECHA!$A$2:$A$201=$A903)*(EXCEPCIONES_FECHA!$B$2:$B$201=$B903),0)),IFERROR(INDEX(EXCEPCIONES_FECHA!$F$2:$F$201,MATCH(1,(EXCEPCIONES_FECHA!$A$2:$A$201=$A903)*(EXCEPCIONES_FECHA!$B$2:$B$201=""),0)),IFERROR(INDEX(IF($I903="FIN",HISTORIAL_HORARIOS!$L$2:$L$201,HISTORIAL_HORARIOS!$H$2:$H$201),MATCH(1,(HISTORIAL_HORARIOS!$A$2:$A$201=$B903)*(HISTORIAL_HORARIOS!$C$2:$C$201&lt;=$A903)*(HISTORIAL_HORARIOS!$D$2:$D$201&gt;=$A903),0)),INDEX(IF($I903="FIN",PERSONAL!$L$2:$L$80,PERSONAL!$H$2:$H$80),MATCH($B903,PERSONAL!$A$2:$A$80,0)))))</f>
        <v/>
      </c>
    </row>
    <row r="904" ht="15" customHeight="1" s="58">
      <c r="A904" s="40" t="n"/>
      <c r="B904" s="38" t="n"/>
      <c r="C904" s="40" t="n"/>
      <c r="D904" s="40" t="n"/>
      <c r="E904" s="34">
        <f t="array" ref="E904">IF($B904="","",IFERROR(INDEX(PERSONAL!$B$2:$B$80,MATCH($B904,PERSONAL!$A$2:$A$80,0)),"NO EXISTE"))</f>
        <v/>
      </c>
      <c r="F904" s="34">
        <f t="array" ref="F904">IF($B904="","",IFERROR(INDEX(PERSONAL!$C$2:$C$80,MATCH($B904,PERSONAL!$A$2:$A$80,0)),""))</f>
        <v/>
      </c>
      <c r="G904" s="34">
        <f>IF($A904="","",CHOOSE(WEEKDAY($A904,2),"LUNES","MARTES","MIÉRCOLES","JUEVES","VIERNES","SÁBADO","DOMINGO"))</f>
        <v/>
      </c>
      <c r="H904" s="34">
        <f>IF($A904="","",CHOOSE(MONTH($A904),"ENERO","FEBRERO","MARZO","ABRIL","MAYO","JUNIO","JULIO","AGOSTO","SEPTIEMBRE","OCTUBRE","NOVIEMBRE","DICIEMBRE"))</f>
        <v/>
      </c>
      <c r="I904" s="34">
        <f>IF($A904="","",IF(OR($G904="SÁBADO",$G904="DOMINGO"),"FIN","LV"))</f>
        <v/>
      </c>
      <c r="J904" s="34">
        <f>IF(OR($A904="",$B904=""),"",IF($L904&lt;&gt;"",UPPER($L904),IF($C904="","FALTA",IFERROR(IF($C904&gt;=$O904,"ROJO FUERTE",IF($C904&gt;=$N904,"ROJO",IF($C904&gt;=$M904,"AMARILLO","VERDE"))),"REVISAR"))))</f>
        <v/>
      </c>
      <c r="K904" s="36">
        <f>IF(OR($C904="",$D904=""),"",IF($D904&gt;=$C904,($D904-$C904)*24,(1-$C904+$D904)*24))</f>
        <v/>
      </c>
      <c r="L904" s="34" t="n"/>
      <c r="M904" s="53">
        <f t="array" ref="M904">IFERROR(INDEX(EXCEPCIONES_FECHA!$D$2:$D$201,MATCH(1,(EXCEPCIONES_FECHA!$A$2:$A$201=$A904)*(EXCEPCIONES_FECHA!$B$2:$B$201=$B904),0)),IFERROR(INDEX(EXCEPCIONES_FECHA!$D$2:$D$201,MATCH(1,(EXCEPCIONES_FECHA!$A$2:$A$201=$A904)*(EXCEPCIONES_FECHA!$B$2:$B$201=""),0)),IFERROR(INDEX(IF($I904="FIN",HISTORIAL_HORARIOS!$J$2:$J$201,HISTORIAL_HORARIOS!$F$2:$F$201),MATCH(1,(HISTORIAL_HORARIOS!$A$2:$A$201=$B904)*(HISTORIAL_HORARIOS!$C$2:$C$201&lt;=$A904)*(HISTORIAL_HORARIOS!$D$2:$D$201&gt;=$A904),0)),INDEX(IF($I904="FIN",PERSONAL!$J$2:$J$80,PERSONAL!$F$2:$F$80),MATCH($B904,PERSONAL!$A$2:$A$80,0)))))</f>
        <v/>
      </c>
      <c r="N904" s="53">
        <f t="array" ref="N904">IFERROR(INDEX(EXCEPCIONES_FECHA!$E$2:$E$201,MATCH(1,(EXCEPCIONES_FECHA!$A$2:$A$201=$A904)*(EXCEPCIONES_FECHA!$B$2:$B$201=$B904),0)),IFERROR(INDEX(EXCEPCIONES_FECHA!$E$2:$E$201,MATCH(1,(EXCEPCIONES_FECHA!$A$2:$A$201=$A904)*(EXCEPCIONES_FECHA!$B$2:$B$201=""),0)),IFERROR(INDEX(IF($I904="FIN",HISTORIAL_HORARIOS!$K$2:$K$201,HISTORIAL_HORARIOS!$G$2:$G$201),MATCH(1,(HISTORIAL_HORARIOS!$A$2:$A$201=$B904)*(HISTORIAL_HORARIOS!$C$2:$C$201&lt;=$A904)*(HISTORIAL_HORARIOS!$D$2:$D$201&gt;=$A904),0)),INDEX(IF($I904="FIN",PERSONAL!$K$2:$K$80,PERSONAL!$G$2:$G$80),MATCH($B904,PERSONAL!$A$2:$A$80,0)))))</f>
        <v/>
      </c>
      <c r="O904" s="53">
        <f t="array" ref="O904">IFERROR(INDEX(EXCEPCIONES_FECHA!$F$2:$F$201,MATCH(1,(EXCEPCIONES_FECHA!$A$2:$A$201=$A904)*(EXCEPCIONES_FECHA!$B$2:$B$201=$B904),0)),IFERROR(INDEX(EXCEPCIONES_FECHA!$F$2:$F$201,MATCH(1,(EXCEPCIONES_FECHA!$A$2:$A$201=$A904)*(EXCEPCIONES_FECHA!$B$2:$B$201=""),0)),IFERROR(INDEX(IF($I904="FIN",HISTORIAL_HORARIOS!$L$2:$L$201,HISTORIAL_HORARIOS!$H$2:$H$201),MATCH(1,(HISTORIAL_HORARIOS!$A$2:$A$201=$B904)*(HISTORIAL_HORARIOS!$C$2:$C$201&lt;=$A904)*(HISTORIAL_HORARIOS!$D$2:$D$201&gt;=$A904),0)),INDEX(IF($I904="FIN",PERSONAL!$L$2:$L$80,PERSONAL!$H$2:$H$80),MATCH($B904,PERSONAL!$A$2:$A$80,0)))))</f>
        <v/>
      </c>
    </row>
    <row r="905" ht="15" customHeight="1" s="58">
      <c r="A905" s="40" t="n"/>
      <c r="B905" s="38" t="n"/>
      <c r="C905" s="40" t="n"/>
      <c r="D905" s="40" t="n"/>
      <c r="E905" s="34">
        <f t="array" ref="E905">IF($B905="","",IFERROR(INDEX(PERSONAL!$B$2:$B$80,MATCH($B905,PERSONAL!$A$2:$A$80,0)),"NO EXISTE"))</f>
        <v/>
      </c>
      <c r="F905" s="34">
        <f t="array" ref="F905">IF($B905="","",IFERROR(INDEX(PERSONAL!$C$2:$C$80,MATCH($B905,PERSONAL!$A$2:$A$80,0)),""))</f>
        <v/>
      </c>
      <c r="G905" s="34">
        <f>IF($A905="","",CHOOSE(WEEKDAY($A905,2),"LUNES","MARTES","MIÉRCOLES","JUEVES","VIERNES","SÁBADO","DOMINGO"))</f>
        <v/>
      </c>
      <c r="H905" s="34">
        <f>IF($A905="","",CHOOSE(MONTH($A905),"ENERO","FEBRERO","MARZO","ABRIL","MAYO","JUNIO","JULIO","AGOSTO","SEPTIEMBRE","OCTUBRE","NOVIEMBRE","DICIEMBRE"))</f>
        <v/>
      </c>
      <c r="I905" s="34">
        <f>IF($A905="","",IF(OR($G905="SÁBADO",$G905="DOMINGO"),"FIN","LV"))</f>
        <v/>
      </c>
      <c r="J905" s="34">
        <f>IF(OR($A905="",$B905=""),"",IF($L905&lt;&gt;"",UPPER($L905),IF($C905="","FALTA",IFERROR(IF($C905&gt;=$O905,"ROJO FUERTE",IF($C905&gt;=$N905,"ROJO",IF($C905&gt;=$M905,"AMARILLO","VERDE"))),"REVISAR"))))</f>
        <v/>
      </c>
      <c r="K905" s="36">
        <f>IF(OR($C905="",$D905=""),"",IF($D905&gt;=$C905,($D905-$C905)*24,(1-$C905+$D905)*24))</f>
        <v/>
      </c>
      <c r="L905" s="34" t="n"/>
      <c r="M905" s="53">
        <f t="array" ref="M905">IFERROR(INDEX(EXCEPCIONES_FECHA!$D$2:$D$201,MATCH(1,(EXCEPCIONES_FECHA!$A$2:$A$201=$A905)*(EXCEPCIONES_FECHA!$B$2:$B$201=$B905),0)),IFERROR(INDEX(EXCEPCIONES_FECHA!$D$2:$D$201,MATCH(1,(EXCEPCIONES_FECHA!$A$2:$A$201=$A905)*(EXCEPCIONES_FECHA!$B$2:$B$201=""),0)),IFERROR(INDEX(IF($I905="FIN",HISTORIAL_HORARIOS!$J$2:$J$201,HISTORIAL_HORARIOS!$F$2:$F$201),MATCH(1,(HISTORIAL_HORARIOS!$A$2:$A$201=$B905)*(HISTORIAL_HORARIOS!$C$2:$C$201&lt;=$A905)*(HISTORIAL_HORARIOS!$D$2:$D$201&gt;=$A905),0)),INDEX(IF($I905="FIN",PERSONAL!$J$2:$J$80,PERSONAL!$F$2:$F$80),MATCH($B905,PERSONAL!$A$2:$A$80,0)))))</f>
        <v/>
      </c>
      <c r="N905" s="53">
        <f t="array" ref="N905">IFERROR(INDEX(EXCEPCIONES_FECHA!$E$2:$E$201,MATCH(1,(EXCEPCIONES_FECHA!$A$2:$A$201=$A905)*(EXCEPCIONES_FECHA!$B$2:$B$201=$B905),0)),IFERROR(INDEX(EXCEPCIONES_FECHA!$E$2:$E$201,MATCH(1,(EXCEPCIONES_FECHA!$A$2:$A$201=$A905)*(EXCEPCIONES_FECHA!$B$2:$B$201=""),0)),IFERROR(INDEX(IF($I905="FIN",HISTORIAL_HORARIOS!$K$2:$K$201,HISTORIAL_HORARIOS!$G$2:$G$201),MATCH(1,(HISTORIAL_HORARIOS!$A$2:$A$201=$B905)*(HISTORIAL_HORARIOS!$C$2:$C$201&lt;=$A905)*(HISTORIAL_HORARIOS!$D$2:$D$201&gt;=$A905),0)),INDEX(IF($I905="FIN",PERSONAL!$K$2:$K$80,PERSONAL!$G$2:$G$80),MATCH($B905,PERSONAL!$A$2:$A$80,0)))))</f>
        <v/>
      </c>
      <c r="O905" s="53">
        <f t="array" ref="O905">IFERROR(INDEX(EXCEPCIONES_FECHA!$F$2:$F$201,MATCH(1,(EXCEPCIONES_FECHA!$A$2:$A$201=$A905)*(EXCEPCIONES_FECHA!$B$2:$B$201=$B905),0)),IFERROR(INDEX(EXCEPCIONES_FECHA!$F$2:$F$201,MATCH(1,(EXCEPCIONES_FECHA!$A$2:$A$201=$A905)*(EXCEPCIONES_FECHA!$B$2:$B$201=""),0)),IFERROR(INDEX(IF($I905="FIN",HISTORIAL_HORARIOS!$L$2:$L$201,HISTORIAL_HORARIOS!$H$2:$H$201),MATCH(1,(HISTORIAL_HORARIOS!$A$2:$A$201=$B905)*(HISTORIAL_HORARIOS!$C$2:$C$201&lt;=$A905)*(HISTORIAL_HORARIOS!$D$2:$D$201&gt;=$A905),0)),INDEX(IF($I905="FIN",PERSONAL!$L$2:$L$80,PERSONAL!$H$2:$H$80),MATCH($B905,PERSONAL!$A$2:$A$80,0)))))</f>
        <v/>
      </c>
    </row>
    <row r="906" ht="15" customHeight="1" s="58">
      <c r="A906" s="40" t="n"/>
      <c r="B906" s="38" t="n"/>
      <c r="C906" s="40" t="n"/>
      <c r="D906" s="40" t="n"/>
      <c r="E906" s="34">
        <f t="array" ref="E906">IF($B906="","",IFERROR(INDEX(PERSONAL!$B$2:$B$80,MATCH($B906,PERSONAL!$A$2:$A$80,0)),"NO EXISTE"))</f>
        <v/>
      </c>
      <c r="F906" s="34">
        <f t="array" ref="F906">IF($B906="","",IFERROR(INDEX(PERSONAL!$C$2:$C$80,MATCH($B906,PERSONAL!$A$2:$A$80,0)),""))</f>
        <v/>
      </c>
      <c r="G906" s="34">
        <f>IF($A906="","",CHOOSE(WEEKDAY($A906,2),"LUNES","MARTES","MIÉRCOLES","JUEVES","VIERNES","SÁBADO","DOMINGO"))</f>
        <v/>
      </c>
      <c r="H906" s="34">
        <f>IF($A906="","",CHOOSE(MONTH($A906),"ENERO","FEBRERO","MARZO","ABRIL","MAYO","JUNIO","JULIO","AGOSTO","SEPTIEMBRE","OCTUBRE","NOVIEMBRE","DICIEMBRE"))</f>
        <v/>
      </c>
      <c r="I906" s="34">
        <f>IF($A906="","",IF(OR($G906="SÁBADO",$G906="DOMINGO"),"FIN","LV"))</f>
        <v/>
      </c>
      <c r="J906" s="34">
        <f>IF(OR($A906="",$B906=""),"",IF($L906&lt;&gt;"",UPPER($L906),IF($C906="","FALTA",IFERROR(IF($C906&gt;=$O906,"ROJO FUERTE",IF($C906&gt;=$N906,"ROJO",IF($C906&gt;=$M906,"AMARILLO","VERDE"))),"REVISAR"))))</f>
        <v/>
      </c>
      <c r="K906" s="36">
        <f>IF(OR($C906="",$D906=""),"",IF($D906&gt;=$C906,($D906-$C906)*24,(1-$C906+$D906)*24))</f>
        <v/>
      </c>
      <c r="L906" s="34" t="n"/>
      <c r="M906" s="53">
        <f t="array" ref="M906">IFERROR(INDEX(EXCEPCIONES_FECHA!$D$2:$D$201,MATCH(1,(EXCEPCIONES_FECHA!$A$2:$A$201=$A906)*(EXCEPCIONES_FECHA!$B$2:$B$201=$B906),0)),IFERROR(INDEX(EXCEPCIONES_FECHA!$D$2:$D$201,MATCH(1,(EXCEPCIONES_FECHA!$A$2:$A$201=$A906)*(EXCEPCIONES_FECHA!$B$2:$B$201=""),0)),IFERROR(INDEX(IF($I906="FIN",HISTORIAL_HORARIOS!$J$2:$J$201,HISTORIAL_HORARIOS!$F$2:$F$201),MATCH(1,(HISTORIAL_HORARIOS!$A$2:$A$201=$B906)*(HISTORIAL_HORARIOS!$C$2:$C$201&lt;=$A906)*(HISTORIAL_HORARIOS!$D$2:$D$201&gt;=$A906),0)),INDEX(IF($I906="FIN",PERSONAL!$J$2:$J$80,PERSONAL!$F$2:$F$80),MATCH($B906,PERSONAL!$A$2:$A$80,0)))))</f>
        <v/>
      </c>
      <c r="N906" s="53">
        <f t="array" ref="N906">IFERROR(INDEX(EXCEPCIONES_FECHA!$E$2:$E$201,MATCH(1,(EXCEPCIONES_FECHA!$A$2:$A$201=$A906)*(EXCEPCIONES_FECHA!$B$2:$B$201=$B906),0)),IFERROR(INDEX(EXCEPCIONES_FECHA!$E$2:$E$201,MATCH(1,(EXCEPCIONES_FECHA!$A$2:$A$201=$A906)*(EXCEPCIONES_FECHA!$B$2:$B$201=""),0)),IFERROR(INDEX(IF($I906="FIN",HISTORIAL_HORARIOS!$K$2:$K$201,HISTORIAL_HORARIOS!$G$2:$G$201),MATCH(1,(HISTORIAL_HORARIOS!$A$2:$A$201=$B906)*(HISTORIAL_HORARIOS!$C$2:$C$201&lt;=$A906)*(HISTORIAL_HORARIOS!$D$2:$D$201&gt;=$A906),0)),INDEX(IF($I906="FIN",PERSONAL!$K$2:$K$80,PERSONAL!$G$2:$G$80),MATCH($B906,PERSONAL!$A$2:$A$80,0)))))</f>
        <v/>
      </c>
      <c r="O906" s="53">
        <f t="array" ref="O906">IFERROR(INDEX(EXCEPCIONES_FECHA!$F$2:$F$201,MATCH(1,(EXCEPCIONES_FECHA!$A$2:$A$201=$A906)*(EXCEPCIONES_FECHA!$B$2:$B$201=$B906),0)),IFERROR(INDEX(EXCEPCIONES_FECHA!$F$2:$F$201,MATCH(1,(EXCEPCIONES_FECHA!$A$2:$A$201=$A906)*(EXCEPCIONES_FECHA!$B$2:$B$201=""),0)),IFERROR(INDEX(IF($I906="FIN",HISTORIAL_HORARIOS!$L$2:$L$201,HISTORIAL_HORARIOS!$H$2:$H$201),MATCH(1,(HISTORIAL_HORARIOS!$A$2:$A$201=$B906)*(HISTORIAL_HORARIOS!$C$2:$C$201&lt;=$A906)*(HISTORIAL_HORARIOS!$D$2:$D$201&gt;=$A906),0)),INDEX(IF($I906="FIN",PERSONAL!$L$2:$L$80,PERSONAL!$H$2:$H$80),MATCH($B906,PERSONAL!$A$2:$A$80,0)))))</f>
        <v/>
      </c>
    </row>
    <row r="907" ht="15" customHeight="1" s="58">
      <c r="A907" s="40" t="n"/>
      <c r="B907" s="38" t="n"/>
      <c r="C907" s="40" t="n"/>
      <c r="D907" s="40" t="n"/>
      <c r="E907" s="34">
        <f t="array" ref="E907">IF($B907="","",IFERROR(INDEX(PERSONAL!$B$2:$B$80,MATCH($B907,PERSONAL!$A$2:$A$80,0)),"NO EXISTE"))</f>
        <v/>
      </c>
      <c r="F907" s="34">
        <f t="array" ref="F907">IF($B907="","",IFERROR(INDEX(PERSONAL!$C$2:$C$80,MATCH($B907,PERSONAL!$A$2:$A$80,0)),""))</f>
        <v/>
      </c>
      <c r="G907" s="34">
        <f>IF($A907="","",CHOOSE(WEEKDAY($A907,2),"LUNES","MARTES","MIÉRCOLES","JUEVES","VIERNES","SÁBADO","DOMINGO"))</f>
        <v/>
      </c>
      <c r="H907" s="34">
        <f>IF($A907="","",CHOOSE(MONTH($A907),"ENERO","FEBRERO","MARZO","ABRIL","MAYO","JUNIO","JULIO","AGOSTO","SEPTIEMBRE","OCTUBRE","NOVIEMBRE","DICIEMBRE"))</f>
        <v/>
      </c>
      <c r="I907" s="34">
        <f>IF($A907="","",IF(OR($G907="SÁBADO",$G907="DOMINGO"),"FIN","LV"))</f>
        <v/>
      </c>
      <c r="J907" s="34">
        <f>IF(OR($A907="",$B907=""),"",IF($L907&lt;&gt;"",UPPER($L907),IF($C907="","FALTA",IFERROR(IF($C907&gt;=$O907,"ROJO FUERTE",IF($C907&gt;=$N907,"ROJO",IF($C907&gt;=$M907,"AMARILLO","VERDE"))),"REVISAR"))))</f>
        <v/>
      </c>
      <c r="K907" s="36">
        <f>IF(OR($C907="",$D907=""),"",IF($D907&gt;=$C907,($D907-$C907)*24,(1-$C907+$D907)*24))</f>
        <v/>
      </c>
      <c r="L907" s="34" t="n"/>
      <c r="M907" s="53">
        <f t="array" ref="M907">IFERROR(INDEX(EXCEPCIONES_FECHA!$D$2:$D$201,MATCH(1,(EXCEPCIONES_FECHA!$A$2:$A$201=$A907)*(EXCEPCIONES_FECHA!$B$2:$B$201=$B907),0)),IFERROR(INDEX(EXCEPCIONES_FECHA!$D$2:$D$201,MATCH(1,(EXCEPCIONES_FECHA!$A$2:$A$201=$A907)*(EXCEPCIONES_FECHA!$B$2:$B$201=""),0)),IFERROR(INDEX(IF($I907="FIN",HISTORIAL_HORARIOS!$J$2:$J$201,HISTORIAL_HORARIOS!$F$2:$F$201),MATCH(1,(HISTORIAL_HORARIOS!$A$2:$A$201=$B907)*(HISTORIAL_HORARIOS!$C$2:$C$201&lt;=$A907)*(HISTORIAL_HORARIOS!$D$2:$D$201&gt;=$A907),0)),INDEX(IF($I907="FIN",PERSONAL!$J$2:$J$80,PERSONAL!$F$2:$F$80),MATCH($B907,PERSONAL!$A$2:$A$80,0)))))</f>
        <v/>
      </c>
      <c r="N907" s="53">
        <f t="array" ref="N907">IFERROR(INDEX(EXCEPCIONES_FECHA!$E$2:$E$201,MATCH(1,(EXCEPCIONES_FECHA!$A$2:$A$201=$A907)*(EXCEPCIONES_FECHA!$B$2:$B$201=$B907),0)),IFERROR(INDEX(EXCEPCIONES_FECHA!$E$2:$E$201,MATCH(1,(EXCEPCIONES_FECHA!$A$2:$A$201=$A907)*(EXCEPCIONES_FECHA!$B$2:$B$201=""),0)),IFERROR(INDEX(IF($I907="FIN",HISTORIAL_HORARIOS!$K$2:$K$201,HISTORIAL_HORARIOS!$G$2:$G$201),MATCH(1,(HISTORIAL_HORARIOS!$A$2:$A$201=$B907)*(HISTORIAL_HORARIOS!$C$2:$C$201&lt;=$A907)*(HISTORIAL_HORARIOS!$D$2:$D$201&gt;=$A907),0)),INDEX(IF($I907="FIN",PERSONAL!$K$2:$K$80,PERSONAL!$G$2:$G$80),MATCH($B907,PERSONAL!$A$2:$A$80,0)))))</f>
        <v/>
      </c>
      <c r="O907" s="53">
        <f t="array" ref="O907">IFERROR(INDEX(EXCEPCIONES_FECHA!$F$2:$F$201,MATCH(1,(EXCEPCIONES_FECHA!$A$2:$A$201=$A907)*(EXCEPCIONES_FECHA!$B$2:$B$201=$B907),0)),IFERROR(INDEX(EXCEPCIONES_FECHA!$F$2:$F$201,MATCH(1,(EXCEPCIONES_FECHA!$A$2:$A$201=$A907)*(EXCEPCIONES_FECHA!$B$2:$B$201=""),0)),IFERROR(INDEX(IF($I907="FIN",HISTORIAL_HORARIOS!$L$2:$L$201,HISTORIAL_HORARIOS!$H$2:$H$201),MATCH(1,(HISTORIAL_HORARIOS!$A$2:$A$201=$B907)*(HISTORIAL_HORARIOS!$C$2:$C$201&lt;=$A907)*(HISTORIAL_HORARIOS!$D$2:$D$201&gt;=$A907),0)),INDEX(IF($I907="FIN",PERSONAL!$L$2:$L$80,PERSONAL!$H$2:$H$80),MATCH($B907,PERSONAL!$A$2:$A$80,0)))))</f>
        <v/>
      </c>
    </row>
    <row r="908" ht="15" customHeight="1" s="58">
      <c r="A908" s="40" t="n"/>
      <c r="B908" s="38" t="n"/>
      <c r="C908" s="40" t="n"/>
      <c r="D908" s="40" t="n"/>
      <c r="E908" s="34">
        <f t="array" ref="E908">IF($B908="","",IFERROR(INDEX(PERSONAL!$B$2:$B$80,MATCH($B908,PERSONAL!$A$2:$A$80,0)),"NO EXISTE"))</f>
        <v/>
      </c>
      <c r="F908" s="34">
        <f t="array" ref="F908">IF($B908="","",IFERROR(INDEX(PERSONAL!$C$2:$C$80,MATCH($B908,PERSONAL!$A$2:$A$80,0)),""))</f>
        <v/>
      </c>
      <c r="G908" s="34">
        <f>IF($A908="","",CHOOSE(WEEKDAY($A908,2),"LUNES","MARTES","MIÉRCOLES","JUEVES","VIERNES","SÁBADO","DOMINGO"))</f>
        <v/>
      </c>
      <c r="H908" s="34">
        <f>IF($A908="","",CHOOSE(MONTH($A908),"ENERO","FEBRERO","MARZO","ABRIL","MAYO","JUNIO","JULIO","AGOSTO","SEPTIEMBRE","OCTUBRE","NOVIEMBRE","DICIEMBRE"))</f>
        <v/>
      </c>
      <c r="I908" s="34">
        <f>IF($A908="","",IF(OR($G908="SÁBADO",$G908="DOMINGO"),"FIN","LV"))</f>
        <v/>
      </c>
      <c r="J908" s="34">
        <f>IF(OR($A908="",$B908=""),"",IF($L908&lt;&gt;"",UPPER($L908),IF($C908="","FALTA",IFERROR(IF($C908&gt;=$O908,"ROJO FUERTE",IF($C908&gt;=$N908,"ROJO",IF($C908&gt;=$M908,"AMARILLO","VERDE"))),"REVISAR"))))</f>
        <v/>
      </c>
      <c r="K908" s="36">
        <f>IF(OR($C908="",$D908=""),"",IF($D908&gt;=$C908,($D908-$C908)*24,(1-$C908+$D908)*24))</f>
        <v/>
      </c>
      <c r="L908" s="34" t="n"/>
      <c r="M908" s="53">
        <f t="array" ref="M908">IFERROR(INDEX(EXCEPCIONES_FECHA!$D$2:$D$201,MATCH(1,(EXCEPCIONES_FECHA!$A$2:$A$201=$A908)*(EXCEPCIONES_FECHA!$B$2:$B$201=$B908),0)),IFERROR(INDEX(EXCEPCIONES_FECHA!$D$2:$D$201,MATCH(1,(EXCEPCIONES_FECHA!$A$2:$A$201=$A908)*(EXCEPCIONES_FECHA!$B$2:$B$201=""),0)),IFERROR(INDEX(IF($I908="FIN",HISTORIAL_HORARIOS!$J$2:$J$201,HISTORIAL_HORARIOS!$F$2:$F$201),MATCH(1,(HISTORIAL_HORARIOS!$A$2:$A$201=$B908)*(HISTORIAL_HORARIOS!$C$2:$C$201&lt;=$A908)*(HISTORIAL_HORARIOS!$D$2:$D$201&gt;=$A908),0)),INDEX(IF($I908="FIN",PERSONAL!$J$2:$J$80,PERSONAL!$F$2:$F$80),MATCH($B908,PERSONAL!$A$2:$A$80,0)))))</f>
        <v/>
      </c>
      <c r="N908" s="53">
        <f t="array" ref="N908">IFERROR(INDEX(EXCEPCIONES_FECHA!$E$2:$E$201,MATCH(1,(EXCEPCIONES_FECHA!$A$2:$A$201=$A908)*(EXCEPCIONES_FECHA!$B$2:$B$201=$B908),0)),IFERROR(INDEX(EXCEPCIONES_FECHA!$E$2:$E$201,MATCH(1,(EXCEPCIONES_FECHA!$A$2:$A$201=$A908)*(EXCEPCIONES_FECHA!$B$2:$B$201=""),0)),IFERROR(INDEX(IF($I908="FIN",HISTORIAL_HORARIOS!$K$2:$K$201,HISTORIAL_HORARIOS!$G$2:$G$201),MATCH(1,(HISTORIAL_HORARIOS!$A$2:$A$201=$B908)*(HISTORIAL_HORARIOS!$C$2:$C$201&lt;=$A908)*(HISTORIAL_HORARIOS!$D$2:$D$201&gt;=$A908),0)),INDEX(IF($I908="FIN",PERSONAL!$K$2:$K$80,PERSONAL!$G$2:$G$80),MATCH($B908,PERSONAL!$A$2:$A$80,0)))))</f>
        <v/>
      </c>
      <c r="O908" s="53">
        <f t="array" ref="O908">IFERROR(INDEX(EXCEPCIONES_FECHA!$F$2:$F$201,MATCH(1,(EXCEPCIONES_FECHA!$A$2:$A$201=$A908)*(EXCEPCIONES_FECHA!$B$2:$B$201=$B908),0)),IFERROR(INDEX(EXCEPCIONES_FECHA!$F$2:$F$201,MATCH(1,(EXCEPCIONES_FECHA!$A$2:$A$201=$A908)*(EXCEPCIONES_FECHA!$B$2:$B$201=""),0)),IFERROR(INDEX(IF($I908="FIN",HISTORIAL_HORARIOS!$L$2:$L$201,HISTORIAL_HORARIOS!$H$2:$H$201),MATCH(1,(HISTORIAL_HORARIOS!$A$2:$A$201=$B908)*(HISTORIAL_HORARIOS!$C$2:$C$201&lt;=$A908)*(HISTORIAL_HORARIOS!$D$2:$D$201&gt;=$A908),0)),INDEX(IF($I908="FIN",PERSONAL!$L$2:$L$80,PERSONAL!$H$2:$H$80),MATCH($B908,PERSONAL!$A$2:$A$80,0)))))</f>
        <v/>
      </c>
    </row>
    <row r="909" ht="15" customHeight="1" s="58">
      <c r="A909" s="40" t="n"/>
      <c r="B909" s="38" t="n"/>
      <c r="C909" s="40" t="n"/>
      <c r="D909" s="40" t="n"/>
      <c r="E909" s="34">
        <f t="array" ref="E909">IF($B909="","",IFERROR(INDEX(PERSONAL!$B$2:$B$80,MATCH($B909,PERSONAL!$A$2:$A$80,0)),"NO EXISTE"))</f>
        <v/>
      </c>
      <c r="F909" s="34">
        <f t="array" ref="F909">IF($B909="","",IFERROR(INDEX(PERSONAL!$C$2:$C$80,MATCH($B909,PERSONAL!$A$2:$A$80,0)),""))</f>
        <v/>
      </c>
      <c r="G909" s="34">
        <f>IF($A909="","",CHOOSE(WEEKDAY($A909,2),"LUNES","MARTES","MIÉRCOLES","JUEVES","VIERNES","SÁBADO","DOMINGO"))</f>
        <v/>
      </c>
      <c r="H909" s="34">
        <f>IF($A909="","",CHOOSE(MONTH($A909),"ENERO","FEBRERO","MARZO","ABRIL","MAYO","JUNIO","JULIO","AGOSTO","SEPTIEMBRE","OCTUBRE","NOVIEMBRE","DICIEMBRE"))</f>
        <v/>
      </c>
      <c r="I909" s="34">
        <f>IF($A909="","",IF(OR($G909="SÁBADO",$G909="DOMINGO"),"FIN","LV"))</f>
        <v/>
      </c>
      <c r="J909" s="34">
        <f>IF(OR($A909="",$B909=""),"",IF($L909&lt;&gt;"",UPPER($L909),IF($C909="","FALTA",IFERROR(IF($C909&gt;=$O909,"ROJO FUERTE",IF($C909&gt;=$N909,"ROJO",IF($C909&gt;=$M909,"AMARILLO","VERDE"))),"REVISAR"))))</f>
        <v/>
      </c>
      <c r="K909" s="36">
        <f>IF(OR($C909="",$D909=""),"",IF($D909&gt;=$C909,($D909-$C909)*24,(1-$C909+$D909)*24))</f>
        <v/>
      </c>
      <c r="L909" s="34" t="n"/>
      <c r="M909" s="53">
        <f t="array" ref="M909">IFERROR(INDEX(EXCEPCIONES_FECHA!$D$2:$D$201,MATCH(1,(EXCEPCIONES_FECHA!$A$2:$A$201=$A909)*(EXCEPCIONES_FECHA!$B$2:$B$201=$B909),0)),IFERROR(INDEX(EXCEPCIONES_FECHA!$D$2:$D$201,MATCH(1,(EXCEPCIONES_FECHA!$A$2:$A$201=$A909)*(EXCEPCIONES_FECHA!$B$2:$B$201=""),0)),IFERROR(INDEX(IF($I909="FIN",HISTORIAL_HORARIOS!$J$2:$J$201,HISTORIAL_HORARIOS!$F$2:$F$201),MATCH(1,(HISTORIAL_HORARIOS!$A$2:$A$201=$B909)*(HISTORIAL_HORARIOS!$C$2:$C$201&lt;=$A909)*(HISTORIAL_HORARIOS!$D$2:$D$201&gt;=$A909),0)),INDEX(IF($I909="FIN",PERSONAL!$J$2:$J$80,PERSONAL!$F$2:$F$80),MATCH($B909,PERSONAL!$A$2:$A$80,0)))))</f>
        <v/>
      </c>
      <c r="N909" s="53">
        <f t="array" ref="N909">IFERROR(INDEX(EXCEPCIONES_FECHA!$E$2:$E$201,MATCH(1,(EXCEPCIONES_FECHA!$A$2:$A$201=$A909)*(EXCEPCIONES_FECHA!$B$2:$B$201=$B909),0)),IFERROR(INDEX(EXCEPCIONES_FECHA!$E$2:$E$201,MATCH(1,(EXCEPCIONES_FECHA!$A$2:$A$201=$A909)*(EXCEPCIONES_FECHA!$B$2:$B$201=""),0)),IFERROR(INDEX(IF($I909="FIN",HISTORIAL_HORARIOS!$K$2:$K$201,HISTORIAL_HORARIOS!$G$2:$G$201),MATCH(1,(HISTORIAL_HORARIOS!$A$2:$A$201=$B909)*(HISTORIAL_HORARIOS!$C$2:$C$201&lt;=$A909)*(HISTORIAL_HORARIOS!$D$2:$D$201&gt;=$A909),0)),INDEX(IF($I909="FIN",PERSONAL!$K$2:$K$80,PERSONAL!$G$2:$G$80),MATCH($B909,PERSONAL!$A$2:$A$80,0)))))</f>
        <v/>
      </c>
      <c r="O909" s="53">
        <f t="array" ref="O909">IFERROR(INDEX(EXCEPCIONES_FECHA!$F$2:$F$201,MATCH(1,(EXCEPCIONES_FECHA!$A$2:$A$201=$A909)*(EXCEPCIONES_FECHA!$B$2:$B$201=$B909),0)),IFERROR(INDEX(EXCEPCIONES_FECHA!$F$2:$F$201,MATCH(1,(EXCEPCIONES_FECHA!$A$2:$A$201=$A909)*(EXCEPCIONES_FECHA!$B$2:$B$201=""),0)),IFERROR(INDEX(IF($I909="FIN",HISTORIAL_HORARIOS!$L$2:$L$201,HISTORIAL_HORARIOS!$H$2:$H$201),MATCH(1,(HISTORIAL_HORARIOS!$A$2:$A$201=$B909)*(HISTORIAL_HORARIOS!$C$2:$C$201&lt;=$A909)*(HISTORIAL_HORARIOS!$D$2:$D$201&gt;=$A909),0)),INDEX(IF($I909="FIN",PERSONAL!$L$2:$L$80,PERSONAL!$H$2:$H$80),MATCH($B909,PERSONAL!$A$2:$A$80,0)))))</f>
        <v/>
      </c>
    </row>
    <row r="910" ht="15" customHeight="1" s="58">
      <c r="A910" s="40" t="n"/>
      <c r="B910" s="38" t="n"/>
      <c r="C910" s="40" t="n"/>
      <c r="D910" s="40" t="n"/>
      <c r="E910" s="34">
        <f t="array" ref="E910">IF($B910="","",IFERROR(INDEX(PERSONAL!$B$2:$B$80,MATCH($B910,PERSONAL!$A$2:$A$80,0)),"NO EXISTE"))</f>
        <v/>
      </c>
      <c r="F910" s="34">
        <f t="array" ref="F910">IF($B910="","",IFERROR(INDEX(PERSONAL!$C$2:$C$80,MATCH($B910,PERSONAL!$A$2:$A$80,0)),""))</f>
        <v/>
      </c>
      <c r="G910" s="34">
        <f>IF($A910="","",CHOOSE(WEEKDAY($A910,2),"LUNES","MARTES","MIÉRCOLES","JUEVES","VIERNES","SÁBADO","DOMINGO"))</f>
        <v/>
      </c>
      <c r="H910" s="34">
        <f>IF($A910="","",CHOOSE(MONTH($A910),"ENERO","FEBRERO","MARZO","ABRIL","MAYO","JUNIO","JULIO","AGOSTO","SEPTIEMBRE","OCTUBRE","NOVIEMBRE","DICIEMBRE"))</f>
        <v/>
      </c>
      <c r="I910" s="34">
        <f>IF($A910="","",IF(OR($G910="SÁBADO",$G910="DOMINGO"),"FIN","LV"))</f>
        <v/>
      </c>
      <c r="J910" s="34">
        <f>IF(OR($A910="",$B910=""),"",IF($L910&lt;&gt;"",UPPER($L910),IF($C910="","FALTA",IFERROR(IF($C910&gt;=$O910,"ROJO FUERTE",IF($C910&gt;=$N910,"ROJO",IF($C910&gt;=$M910,"AMARILLO","VERDE"))),"REVISAR"))))</f>
        <v/>
      </c>
      <c r="K910" s="36">
        <f>IF(OR($C910="",$D910=""),"",IF($D910&gt;=$C910,($D910-$C910)*24,(1-$C910+$D910)*24))</f>
        <v/>
      </c>
      <c r="L910" s="34" t="n"/>
      <c r="M910" s="53">
        <f t="array" ref="M910">IFERROR(INDEX(EXCEPCIONES_FECHA!$D$2:$D$201,MATCH(1,(EXCEPCIONES_FECHA!$A$2:$A$201=$A910)*(EXCEPCIONES_FECHA!$B$2:$B$201=$B910),0)),IFERROR(INDEX(EXCEPCIONES_FECHA!$D$2:$D$201,MATCH(1,(EXCEPCIONES_FECHA!$A$2:$A$201=$A910)*(EXCEPCIONES_FECHA!$B$2:$B$201=""),0)),IFERROR(INDEX(IF($I910="FIN",HISTORIAL_HORARIOS!$J$2:$J$201,HISTORIAL_HORARIOS!$F$2:$F$201),MATCH(1,(HISTORIAL_HORARIOS!$A$2:$A$201=$B910)*(HISTORIAL_HORARIOS!$C$2:$C$201&lt;=$A910)*(HISTORIAL_HORARIOS!$D$2:$D$201&gt;=$A910),0)),INDEX(IF($I910="FIN",PERSONAL!$J$2:$J$80,PERSONAL!$F$2:$F$80),MATCH($B910,PERSONAL!$A$2:$A$80,0)))))</f>
        <v/>
      </c>
      <c r="N910" s="53">
        <f t="array" ref="N910">IFERROR(INDEX(EXCEPCIONES_FECHA!$E$2:$E$201,MATCH(1,(EXCEPCIONES_FECHA!$A$2:$A$201=$A910)*(EXCEPCIONES_FECHA!$B$2:$B$201=$B910),0)),IFERROR(INDEX(EXCEPCIONES_FECHA!$E$2:$E$201,MATCH(1,(EXCEPCIONES_FECHA!$A$2:$A$201=$A910)*(EXCEPCIONES_FECHA!$B$2:$B$201=""),0)),IFERROR(INDEX(IF($I910="FIN",HISTORIAL_HORARIOS!$K$2:$K$201,HISTORIAL_HORARIOS!$G$2:$G$201),MATCH(1,(HISTORIAL_HORARIOS!$A$2:$A$201=$B910)*(HISTORIAL_HORARIOS!$C$2:$C$201&lt;=$A910)*(HISTORIAL_HORARIOS!$D$2:$D$201&gt;=$A910),0)),INDEX(IF($I910="FIN",PERSONAL!$K$2:$K$80,PERSONAL!$G$2:$G$80),MATCH($B910,PERSONAL!$A$2:$A$80,0)))))</f>
        <v/>
      </c>
      <c r="O910" s="53">
        <f t="array" ref="O910">IFERROR(INDEX(EXCEPCIONES_FECHA!$F$2:$F$201,MATCH(1,(EXCEPCIONES_FECHA!$A$2:$A$201=$A910)*(EXCEPCIONES_FECHA!$B$2:$B$201=$B910),0)),IFERROR(INDEX(EXCEPCIONES_FECHA!$F$2:$F$201,MATCH(1,(EXCEPCIONES_FECHA!$A$2:$A$201=$A910)*(EXCEPCIONES_FECHA!$B$2:$B$201=""),0)),IFERROR(INDEX(IF($I910="FIN",HISTORIAL_HORARIOS!$L$2:$L$201,HISTORIAL_HORARIOS!$H$2:$H$201),MATCH(1,(HISTORIAL_HORARIOS!$A$2:$A$201=$B910)*(HISTORIAL_HORARIOS!$C$2:$C$201&lt;=$A910)*(HISTORIAL_HORARIOS!$D$2:$D$201&gt;=$A910),0)),INDEX(IF($I910="FIN",PERSONAL!$L$2:$L$80,PERSONAL!$H$2:$H$80),MATCH($B910,PERSONAL!$A$2:$A$80,0)))))</f>
        <v/>
      </c>
    </row>
    <row r="911" ht="15" customHeight="1" s="58">
      <c r="A911" s="40" t="n"/>
      <c r="B911" s="38" t="n"/>
      <c r="C911" s="40" t="n"/>
      <c r="D911" s="40" t="n"/>
      <c r="E911" s="34">
        <f t="array" ref="E911">IF($B911="","",IFERROR(INDEX(PERSONAL!$B$2:$B$80,MATCH($B911,PERSONAL!$A$2:$A$80,0)),"NO EXISTE"))</f>
        <v/>
      </c>
      <c r="F911" s="34">
        <f t="array" ref="F911">IF($B911="","",IFERROR(INDEX(PERSONAL!$C$2:$C$80,MATCH($B911,PERSONAL!$A$2:$A$80,0)),""))</f>
        <v/>
      </c>
      <c r="G911" s="34">
        <f>IF($A911="","",CHOOSE(WEEKDAY($A911,2),"LUNES","MARTES","MIÉRCOLES","JUEVES","VIERNES","SÁBADO","DOMINGO"))</f>
        <v/>
      </c>
      <c r="H911" s="34">
        <f>IF($A911="","",CHOOSE(MONTH($A911),"ENERO","FEBRERO","MARZO","ABRIL","MAYO","JUNIO","JULIO","AGOSTO","SEPTIEMBRE","OCTUBRE","NOVIEMBRE","DICIEMBRE"))</f>
        <v/>
      </c>
      <c r="I911" s="34">
        <f>IF($A911="","",IF(OR($G911="SÁBADO",$G911="DOMINGO"),"FIN","LV"))</f>
        <v/>
      </c>
      <c r="J911" s="34">
        <f>IF(OR($A911="",$B911=""),"",IF($L911&lt;&gt;"",UPPER($L911),IF($C911="","FALTA",IFERROR(IF($C911&gt;=$O911,"ROJO FUERTE",IF($C911&gt;=$N911,"ROJO",IF($C911&gt;=$M911,"AMARILLO","VERDE"))),"REVISAR"))))</f>
        <v/>
      </c>
      <c r="K911" s="36">
        <f>IF(OR($C911="",$D911=""),"",IF($D911&gt;=$C911,($D911-$C911)*24,(1-$C911+$D911)*24))</f>
        <v/>
      </c>
      <c r="L911" s="34" t="n"/>
      <c r="M911" s="53">
        <f t="array" ref="M911">IFERROR(INDEX(EXCEPCIONES_FECHA!$D$2:$D$201,MATCH(1,(EXCEPCIONES_FECHA!$A$2:$A$201=$A911)*(EXCEPCIONES_FECHA!$B$2:$B$201=$B911),0)),IFERROR(INDEX(EXCEPCIONES_FECHA!$D$2:$D$201,MATCH(1,(EXCEPCIONES_FECHA!$A$2:$A$201=$A911)*(EXCEPCIONES_FECHA!$B$2:$B$201=""),0)),IFERROR(INDEX(IF($I911="FIN",HISTORIAL_HORARIOS!$J$2:$J$201,HISTORIAL_HORARIOS!$F$2:$F$201),MATCH(1,(HISTORIAL_HORARIOS!$A$2:$A$201=$B911)*(HISTORIAL_HORARIOS!$C$2:$C$201&lt;=$A911)*(HISTORIAL_HORARIOS!$D$2:$D$201&gt;=$A911),0)),INDEX(IF($I911="FIN",PERSONAL!$J$2:$J$80,PERSONAL!$F$2:$F$80),MATCH($B911,PERSONAL!$A$2:$A$80,0)))))</f>
        <v/>
      </c>
      <c r="N911" s="53">
        <f t="array" ref="N911">IFERROR(INDEX(EXCEPCIONES_FECHA!$E$2:$E$201,MATCH(1,(EXCEPCIONES_FECHA!$A$2:$A$201=$A911)*(EXCEPCIONES_FECHA!$B$2:$B$201=$B911),0)),IFERROR(INDEX(EXCEPCIONES_FECHA!$E$2:$E$201,MATCH(1,(EXCEPCIONES_FECHA!$A$2:$A$201=$A911)*(EXCEPCIONES_FECHA!$B$2:$B$201=""),0)),IFERROR(INDEX(IF($I911="FIN",HISTORIAL_HORARIOS!$K$2:$K$201,HISTORIAL_HORARIOS!$G$2:$G$201),MATCH(1,(HISTORIAL_HORARIOS!$A$2:$A$201=$B911)*(HISTORIAL_HORARIOS!$C$2:$C$201&lt;=$A911)*(HISTORIAL_HORARIOS!$D$2:$D$201&gt;=$A911),0)),INDEX(IF($I911="FIN",PERSONAL!$K$2:$K$80,PERSONAL!$G$2:$G$80),MATCH($B911,PERSONAL!$A$2:$A$80,0)))))</f>
        <v/>
      </c>
      <c r="O911" s="53">
        <f t="array" ref="O911">IFERROR(INDEX(EXCEPCIONES_FECHA!$F$2:$F$201,MATCH(1,(EXCEPCIONES_FECHA!$A$2:$A$201=$A911)*(EXCEPCIONES_FECHA!$B$2:$B$201=$B911),0)),IFERROR(INDEX(EXCEPCIONES_FECHA!$F$2:$F$201,MATCH(1,(EXCEPCIONES_FECHA!$A$2:$A$201=$A911)*(EXCEPCIONES_FECHA!$B$2:$B$201=""),0)),IFERROR(INDEX(IF($I911="FIN",HISTORIAL_HORARIOS!$L$2:$L$201,HISTORIAL_HORARIOS!$H$2:$H$201),MATCH(1,(HISTORIAL_HORARIOS!$A$2:$A$201=$B911)*(HISTORIAL_HORARIOS!$C$2:$C$201&lt;=$A911)*(HISTORIAL_HORARIOS!$D$2:$D$201&gt;=$A911),0)),INDEX(IF($I911="FIN",PERSONAL!$L$2:$L$80,PERSONAL!$H$2:$H$80),MATCH($B911,PERSONAL!$A$2:$A$80,0)))))</f>
        <v/>
      </c>
    </row>
    <row r="912" ht="15" customHeight="1" s="58">
      <c r="A912" s="40" t="n"/>
      <c r="B912" s="38" t="n"/>
      <c r="C912" s="40" t="n"/>
      <c r="D912" s="40" t="n"/>
      <c r="E912" s="34">
        <f t="array" ref="E912">IF($B912="","",IFERROR(INDEX(PERSONAL!$B$2:$B$80,MATCH($B912,PERSONAL!$A$2:$A$80,0)),"NO EXISTE"))</f>
        <v/>
      </c>
      <c r="F912" s="34">
        <f t="array" ref="F912">IF($B912="","",IFERROR(INDEX(PERSONAL!$C$2:$C$80,MATCH($B912,PERSONAL!$A$2:$A$80,0)),""))</f>
        <v/>
      </c>
      <c r="G912" s="34">
        <f>IF($A912="","",CHOOSE(WEEKDAY($A912,2),"LUNES","MARTES","MIÉRCOLES","JUEVES","VIERNES","SÁBADO","DOMINGO"))</f>
        <v/>
      </c>
      <c r="H912" s="34">
        <f>IF($A912="","",CHOOSE(MONTH($A912),"ENERO","FEBRERO","MARZO","ABRIL","MAYO","JUNIO","JULIO","AGOSTO","SEPTIEMBRE","OCTUBRE","NOVIEMBRE","DICIEMBRE"))</f>
        <v/>
      </c>
      <c r="I912" s="34">
        <f>IF($A912="","",IF(OR($G912="SÁBADO",$G912="DOMINGO"),"FIN","LV"))</f>
        <v/>
      </c>
      <c r="J912" s="34">
        <f>IF(OR($A912="",$B912=""),"",IF($L912&lt;&gt;"",UPPER($L912),IF($C912="","FALTA",IFERROR(IF($C912&gt;=$O912,"ROJO FUERTE",IF($C912&gt;=$N912,"ROJO",IF($C912&gt;=$M912,"AMARILLO","VERDE"))),"REVISAR"))))</f>
        <v/>
      </c>
      <c r="K912" s="36">
        <f>IF(OR($C912="",$D912=""),"",IF($D912&gt;=$C912,($D912-$C912)*24,(1-$C912+$D912)*24))</f>
        <v/>
      </c>
      <c r="L912" s="34" t="n"/>
      <c r="M912" s="53">
        <f t="array" ref="M912">IFERROR(INDEX(EXCEPCIONES_FECHA!$D$2:$D$201,MATCH(1,(EXCEPCIONES_FECHA!$A$2:$A$201=$A912)*(EXCEPCIONES_FECHA!$B$2:$B$201=$B912),0)),IFERROR(INDEX(EXCEPCIONES_FECHA!$D$2:$D$201,MATCH(1,(EXCEPCIONES_FECHA!$A$2:$A$201=$A912)*(EXCEPCIONES_FECHA!$B$2:$B$201=""),0)),IFERROR(INDEX(IF($I912="FIN",HISTORIAL_HORARIOS!$J$2:$J$201,HISTORIAL_HORARIOS!$F$2:$F$201),MATCH(1,(HISTORIAL_HORARIOS!$A$2:$A$201=$B912)*(HISTORIAL_HORARIOS!$C$2:$C$201&lt;=$A912)*(HISTORIAL_HORARIOS!$D$2:$D$201&gt;=$A912),0)),INDEX(IF($I912="FIN",PERSONAL!$J$2:$J$80,PERSONAL!$F$2:$F$80),MATCH($B912,PERSONAL!$A$2:$A$80,0)))))</f>
        <v/>
      </c>
      <c r="N912" s="53">
        <f t="array" ref="N912">IFERROR(INDEX(EXCEPCIONES_FECHA!$E$2:$E$201,MATCH(1,(EXCEPCIONES_FECHA!$A$2:$A$201=$A912)*(EXCEPCIONES_FECHA!$B$2:$B$201=$B912),0)),IFERROR(INDEX(EXCEPCIONES_FECHA!$E$2:$E$201,MATCH(1,(EXCEPCIONES_FECHA!$A$2:$A$201=$A912)*(EXCEPCIONES_FECHA!$B$2:$B$201=""),0)),IFERROR(INDEX(IF($I912="FIN",HISTORIAL_HORARIOS!$K$2:$K$201,HISTORIAL_HORARIOS!$G$2:$G$201),MATCH(1,(HISTORIAL_HORARIOS!$A$2:$A$201=$B912)*(HISTORIAL_HORARIOS!$C$2:$C$201&lt;=$A912)*(HISTORIAL_HORARIOS!$D$2:$D$201&gt;=$A912),0)),INDEX(IF($I912="FIN",PERSONAL!$K$2:$K$80,PERSONAL!$G$2:$G$80),MATCH($B912,PERSONAL!$A$2:$A$80,0)))))</f>
        <v/>
      </c>
      <c r="O912" s="53">
        <f t="array" ref="O912">IFERROR(INDEX(EXCEPCIONES_FECHA!$F$2:$F$201,MATCH(1,(EXCEPCIONES_FECHA!$A$2:$A$201=$A912)*(EXCEPCIONES_FECHA!$B$2:$B$201=$B912),0)),IFERROR(INDEX(EXCEPCIONES_FECHA!$F$2:$F$201,MATCH(1,(EXCEPCIONES_FECHA!$A$2:$A$201=$A912)*(EXCEPCIONES_FECHA!$B$2:$B$201=""),0)),IFERROR(INDEX(IF($I912="FIN",HISTORIAL_HORARIOS!$L$2:$L$201,HISTORIAL_HORARIOS!$H$2:$H$201),MATCH(1,(HISTORIAL_HORARIOS!$A$2:$A$201=$B912)*(HISTORIAL_HORARIOS!$C$2:$C$201&lt;=$A912)*(HISTORIAL_HORARIOS!$D$2:$D$201&gt;=$A912),0)),INDEX(IF($I912="FIN",PERSONAL!$L$2:$L$80,PERSONAL!$H$2:$H$80),MATCH($B912,PERSONAL!$A$2:$A$80,0)))))</f>
        <v/>
      </c>
    </row>
    <row r="913" ht="15" customHeight="1" s="58">
      <c r="A913" s="40" t="n"/>
      <c r="B913" s="38" t="n"/>
      <c r="C913" s="40" t="n"/>
      <c r="D913" s="40" t="n"/>
      <c r="E913" s="34">
        <f t="array" ref="E913">IF($B913="","",IFERROR(INDEX(PERSONAL!$B$2:$B$80,MATCH($B913,PERSONAL!$A$2:$A$80,0)),"NO EXISTE"))</f>
        <v/>
      </c>
      <c r="F913" s="34">
        <f t="array" ref="F913">IF($B913="","",IFERROR(INDEX(PERSONAL!$C$2:$C$80,MATCH($B913,PERSONAL!$A$2:$A$80,0)),""))</f>
        <v/>
      </c>
      <c r="G913" s="34">
        <f>IF($A913="","",CHOOSE(WEEKDAY($A913,2),"LUNES","MARTES","MIÉRCOLES","JUEVES","VIERNES","SÁBADO","DOMINGO"))</f>
        <v/>
      </c>
      <c r="H913" s="34">
        <f>IF($A913="","",CHOOSE(MONTH($A913),"ENERO","FEBRERO","MARZO","ABRIL","MAYO","JUNIO","JULIO","AGOSTO","SEPTIEMBRE","OCTUBRE","NOVIEMBRE","DICIEMBRE"))</f>
        <v/>
      </c>
      <c r="I913" s="34">
        <f>IF($A913="","",IF(OR($G913="SÁBADO",$G913="DOMINGO"),"FIN","LV"))</f>
        <v/>
      </c>
      <c r="J913" s="34">
        <f>IF(OR($A913="",$B913=""),"",IF($L913&lt;&gt;"",UPPER($L913),IF($C913="","FALTA",IFERROR(IF($C913&gt;=$O913,"ROJO FUERTE",IF($C913&gt;=$N913,"ROJO",IF($C913&gt;=$M913,"AMARILLO","VERDE"))),"REVISAR"))))</f>
        <v/>
      </c>
      <c r="K913" s="36">
        <f>IF(OR($C913="",$D913=""),"",IF($D913&gt;=$C913,($D913-$C913)*24,(1-$C913+$D913)*24))</f>
        <v/>
      </c>
      <c r="L913" s="34" t="n"/>
      <c r="M913" s="53">
        <f t="array" ref="M913">IFERROR(INDEX(EXCEPCIONES_FECHA!$D$2:$D$201,MATCH(1,(EXCEPCIONES_FECHA!$A$2:$A$201=$A913)*(EXCEPCIONES_FECHA!$B$2:$B$201=$B913),0)),IFERROR(INDEX(EXCEPCIONES_FECHA!$D$2:$D$201,MATCH(1,(EXCEPCIONES_FECHA!$A$2:$A$201=$A913)*(EXCEPCIONES_FECHA!$B$2:$B$201=""),0)),IFERROR(INDEX(IF($I913="FIN",HISTORIAL_HORARIOS!$J$2:$J$201,HISTORIAL_HORARIOS!$F$2:$F$201),MATCH(1,(HISTORIAL_HORARIOS!$A$2:$A$201=$B913)*(HISTORIAL_HORARIOS!$C$2:$C$201&lt;=$A913)*(HISTORIAL_HORARIOS!$D$2:$D$201&gt;=$A913),0)),INDEX(IF($I913="FIN",PERSONAL!$J$2:$J$80,PERSONAL!$F$2:$F$80),MATCH($B913,PERSONAL!$A$2:$A$80,0)))))</f>
        <v/>
      </c>
      <c r="N913" s="53">
        <f t="array" ref="N913">IFERROR(INDEX(EXCEPCIONES_FECHA!$E$2:$E$201,MATCH(1,(EXCEPCIONES_FECHA!$A$2:$A$201=$A913)*(EXCEPCIONES_FECHA!$B$2:$B$201=$B913),0)),IFERROR(INDEX(EXCEPCIONES_FECHA!$E$2:$E$201,MATCH(1,(EXCEPCIONES_FECHA!$A$2:$A$201=$A913)*(EXCEPCIONES_FECHA!$B$2:$B$201=""),0)),IFERROR(INDEX(IF($I913="FIN",HISTORIAL_HORARIOS!$K$2:$K$201,HISTORIAL_HORARIOS!$G$2:$G$201),MATCH(1,(HISTORIAL_HORARIOS!$A$2:$A$201=$B913)*(HISTORIAL_HORARIOS!$C$2:$C$201&lt;=$A913)*(HISTORIAL_HORARIOS!$D$2:$D$201&gt;=$A913),0)),INDEX(IF($I913="FIN",PERSONAL!$K$2:$K$80,PERSONAL!$G$2:$G$80),MATCH($B913,PERSONAL!$A$2:$A$80,0)))))</f>
        <v/>
      </c>
      <c r="O913" s="53">
        <f t="array" ref="O913">IFERROR(INDEX(EXCEPCIONES_FECHA!$F$2:$F$201,MATCH(1,(EXCEPCIONES_FECHA!$A$2:$A$201=$A913)*(EXCEPCIONES_FECHA!$B$2:$B$201=$B913),0)),IFERROR(INDEX(EXCEPCIONES_FECHA!$F$2:$F$201,MATCH(1,(EXCEPCIONES_FECHA!$A$2:$A$201=$A913)*(EXCEPCIONES_FECHA!$B$2:$B$201=""),0)),IFERROR(INDEX(IF($I913="FIN",HISTORIAL_HORARIOS!$L$2:$L$201,HISTORIAL_HORARIOS!$H$2:$H$201),MATCH(1,(HISTORIAL_HORARIOS!$A$2:$A$201=$B913)*(HISTORIAL_HORARIOS!$C$2:$C$201&lt;=$A913)*(HISTORIAL_HORARIOS!$D$2:$D$201&gt;=$A913),0)),INDEX(IF($I913="FIN",PERSONAL!$L$2:$L$80,PERSONAL!$H$2:$H$80),MATCH($B913,PERSONAL!$A$2:$A$80,0)))))</f>
        <v/>
      </c>
    </row>
    <row r="914" ht="15" customHeight="1" s="58">
      <c r="A914" s="40" t="n"/>
      <c r="B914" s="38" t="n"/>
      <c r="C914" s="40" t="n"/>
      <c r="D914" s="40" t="n"/>
      <c r="E914" s="34">
        <f t="array" ref="E914">IF($B914="","",IFERROR(INDEX(PERSONAL!$B$2:$B$80,MATCH($B914,PERSONAL!$A$2:$A$80,0)),"NO EXISTE"))</f>
        <v/>
      </c>
      <c r="F914" s="34">
        <f t="array" ref="F914">IF($B914="","",IFERROR(INDEX(PERSONAL!$C$2:$C$80,MATCH($B914,PERSONAL!$A$2:$A$80,0)),""))</f>
        <v/>
      </c>
      <c r="G914" s="34">
        <f>IF($A914="","",CHOOSE(WEEKDAY($A914,2),"LUNES","MARTES","MIÉRCOLES","JUEVES","VIERNES","SÁBADO","DOMINGO"))</f>
        <v/>
      </c>
      <c r="H914" s="34">
        <f>IF($A914="","",CHOOSE(MONTH($A914),"ENERO","FEBRERO","MARZO","ABRIL","MAYO","JUNIO","JULIO","AGOSTO","SEPTIEMBRE","OCTUBRE","NOVIEMBRE","DICIEMBRE"))</f>
        <v/>
      </c>
      <c r="I914" s="34">
        <f>IF($A914="","",IF(OR($G914="SÁBADO",$G914="DOMINGO"),"FIN","LV"))</f>
        <v/>
      </c>
      <c r="J914" s="34">
        <f>IF(OR($A914="",$B914=""),"",IF($L914&lt;&gt;"",UPPER($L914),IF($C914="","FALTA",IFERROR(IF($C914&gt;=$O914,"ROJO FUERTE",IF($C914&gt;=$N914,"ROJO",IF($C914&gt;=$M914,"AMARILLO","VERDE"))),"REVISAR"))))</f>
        <v/>
      </c>
      <c r="K914" s="36">
        <f>IF(OR($C914="",$D914=""),"",IF($D914&gt;=$C914,($D914-$C914)*24,(1-$C914+$D914)*24))</f>
        <v/>
      </c>
      <c r="L914" s="34" t="n"/>
      <c r="M914" s="53">
        <f t="array" ref="M914">IFERROR(INDEX(EXCEPCIONES_FECHA!$D$2:$D$201,MATCH(1,(EXCEPCIONES_FECHA!$A$2:$A$201=$A914)*(EXCEPCIONES_FECHA!$B$2:$B$201=$B914),0)),IFERROR(INDEX(EXCEPCIONES_FECHA!$D$2:$D$201,MATCH(1,(EXCEPCIONES_FECHA!$A$2:$A$201=$A914)*(EXCEPCIONES_FECHA!$B$2:$B$201=""),0)),IFERROR(INDEX(IF($I914="FIN",HISTORIAL_HORARIOS!$J$2:$J$201,HISTORIAL_HORARIOS!$F$2:$F$201),MATCH(1,(HISTORIAL_HORARIOS!$A$2:$A$201=$B914)*(HISTORIAL_HORARIOS!$C$2:$C$201&lt;=$A914)*(HISTORIAL_HORARIOS!$D$2:$D$201&gt;=$A914),0)),INDEX(IF($I914="FIN",PERSONAL!$J$2:$J$80,PERSONAL!$F$2:$F$80),MATCH($B914,PERSONAL!$A$2:$A$80,0)))))</f>
        <v/>
      </c>
      <c r="N914" s="53">
        <f t="array" ref="N914">IFERROR(INDEX(EXCEPCIONES_FECHA!$E$2:$E$201,MATCH(1,(EXCEPCIONES_FECHA!$A$2:$A$201=$A914)*(EXCEPCIONES_FECHA!$B$2:$B$201=$B914),0)),IFERROR(INDEX(EXCEPCIONES_FECHA!$E$2:$E$201,MATCH(1,(EXCEPCIONES_FECHA!$A$2:$A$201=$A914)*(EXCEPCIONES_FECHA!$B$2:$B$201=""),0)),IFERROR(INDEX(IF($I914="FIN",HISTORIAL_HORARIOS!$K$2:$K$201,HISTORIAL_HORARIOS!$G$2:$G$201),MATCH(1,(HISTORIAL_HORARIOS!$A$2:$A$201=$B914)*(HISTORIAL_HORARIOS!$C$2:$C$201&lt;=$A914)*(HISTORIAL_HORARIOS!$D$2:$D$201&gt;=$A914),0)),INDEX(IF($I914="FIN",PERSONAL!$K$2:$K$80,PERSONAL!$G$2:$G$80),MATCH($B914,PERSONAL!$A$2:$A$80,0)))))</f>
        <v/>
      </c>
      <c r="O914" s="53">
        <f t="array" ref="O914">IFERROR(INDEX(EXCEPCIONES_FECHA!$F$2:$F$201,MATCH(1,(EXCEPCIONES_FECHA!$A$2:$A$201=$A914)*(EXCEPCIONES_FECHA!$B$2:$B$201=$B914),0)),IFERROR(INDEX(EXCEPCIONES_FECHA!$F$2:$F$201,MATCH(1,(EXCEPCIONES_FECHA!$A$2:$A$201=$A914)*(EXCEPCIONES_FECHA!$B$2:$B$201=""),0)),IFERROR(INDEX(IF($I914="FIN",HISTORIAL_HORARIOS!$L$2:$L$201,HISTORIAL_HORARIOS!$H$2:$H$201),MATCH(1,(HISTORIAL_HORARIOS!$A$2:$A$201=$B914)*(HISTORIAL_HORARIOS!$C$2:$C$201&lt;=$A914)*(HISTORIAL_HORARIOS!$D$2:$D$201&gt;=$A914),0)),INDEX(IF($I914="FIN",PERSONAL!$L$2:$L$80,PERSONAL!$H$2:$H$80),MATCH($B914,PERSONAL!$A$2:$A$80,0)))))</f>
        <v/>
      </c>
    </row>
    <row r="915" ht="15" customHeight="1" s="58">
      <c r="A915" s="40" t="n"/>
      <c r="B915" s="38" t="n"/>
      <c r="C915" s="40" t="n"/>
      <c r="D915" s="40" t="n"/>
      <c r="E915" s="34">
        <f t="array" ref="E915">IF($B915="","",IFERROR(INDEX(PERSONAL!$B$2:$B$80,MATCH($B915,PERSONAL!$A$2:$A$80,0)),"NO EXISTE"))</f>
        <v/>
      </c>
      <c r="F915" s="34">
        <f t="array" ref="F915">IF($B915="","",IFERROR(INDEX(PERSONAL!$C$2:$C$80,MATCH($B915,PERSONAL!$A$2:$A$80,0)),""))</f>
        <v/>
      </c>
      <c r="G915" s="34">
        <f>IF($A915="","",CHOOSE(WEEKDAY($A915,2),"LUNES","MARTES","MIÉRCOLES","JUEVES","VIERNES","SÁBADO","DOMINGO"))</f>
        <v/>
      </c>
      <c r="H915" s="34">
        <f>IF($A915="","",CHOOSE(MONTH($A915),"ENERO","FEBRERO","MARZO","ABRIL","MAYO","JUNIO","JULIO","AGOSTO","SEPTIEMBRE","OCTUBRE","NOVIEMBRE","DICIEMBRE"))</f>
        <v/>
      </c>
      <c r="I915" s="34">
        <f>IF($A915="","",IF(OR($G915="SÁBADO",$G915="DOMINGO"),"FIN","LV"))</f>
        <v/>
      </c>
      <c r="J915" s="34">
        <f>IF(OR($A915="",$B915=""),"",IF($L915&lt;&gt;"",UPPER($L915),IF($C915="","FALTA",IFERROR(IF($C915&gt;=$O915,"ROJO FUERTE",IF($C915&gt;=$N915,"ROJO",IF($C915&gt;=$M915,"AMARILLO","VERDE"))),"REVISAR"))))</f>
        <v/>
      </c>
      <c r="K915" s="36">
        <f>IF(OR($C915="",$D915=""),"",IF($D915&gt;=$C915,($D915-$C915)*24,(1-$C915+$D915)*24))</f>
        <v/>
      </c>
      <c r="L915" s="34" t="n"/>
      <c r="M915" s="53">
        <f t="array" ref="M915">IFERROR(INDEX(EXCEPCIONES_FECHA!$D$2:$D$201,MATCH(1,(EXCEPCIONES_FECHA!$A$2:$A$201=$A915)*(EXCEPCIONES_FECHA!$B$2:$B$201=$B915),0)),IFERROR(INDEX(EXCEPCIONES_FECHA!$D$2:$D$201,MATCH(1,(EXCEPCIONES_FECHA!$A$2:$A$201=$A915)*(EXCEPCIONES_FECHA!$B$2:$B$201=""),0)),IFERROR(INDEX(IF($I915="FIN",HISTORIAL_HORARIOS!$J$2:$J$201,HISTORIAL_HORARIOS!$F$2:$F$201),MATCH(1,(HISTORIAL_HORARIOS!$A$2:$A$201=$B915)*(HISTORIAL_HORARIOS!$C$2:$C$201&lt;=$A915)*(HISTORIAL_HORARIOS!$D$2:$D$201&gt;=$A915),0)),INDEX(IF($I915="FIN",PERSONAL!$J$2:$J$80,PERSONAL!$F$2:$F$80),MATCH($B915,PERSONAL!$A$2:$A$80,0)))))</f>
        <v/>
      </c>
      <c r="N915" s="53">
        <f t="array" ref="N915">IFERROR(INDEX(EXCEPCIONES_FECHA!$E$2:$E$201,MATCH(1,(EXCEPCIONES_FECHA!$A$2:$A$201=$A915)*(EXCEPCIONES_FECHA!$B$2:$B$201=$B915),0)),IFERROR(INDEX(EXCEPCIONES_FECHA!$E$2:$E$201,MATCH(1,(EXCEPCIONES_FECHA!$A$2:$A$201=$A915)*(EXCEPCIONES_FECHA!$B$2:$B$201=""),0)),IFERROR(INDEX(IF($I915="FIN",HISTORIAL_HORARIOS!$K$2:$K$201,HISTORIAL_HORARIOS!$G$2:$G$201),MATCH(1,(HISTORIAL_HORARIOS!$A$2:$A$201=$B915)*(HISTORIAL_HORARIOS!$C$2:$C$201&lt;=$A915)*(HISTORIAL_HORARIOS!$D$2:$D$201&gt;=$A915),0)),INDEX(IF($I915="FIN",PERSONAL!$K$2:$K$80,PERSONAL!$G$2:$G$80),MATCH($B915,PERSONAL!$A$2:$A$80,0)))))</f>
        <v/>
      </c>
      <c r="O915" s="53">
        <f t="array" ref="O915">IFERROR(INDEX(EXCEPCIONES_FECHA!$F$2:$F$201,MATCH(1,(EXCEPCIONES_FECHA!$A$2:$A$201=$A915)*(EXCEPCIONES_FECHA!$B$2:$B$201=$B915),0)),IFERROR(INDEX(EXCEPCIONES_FECHA!$F$2:$F$201,MATCH(1,(EXCEPCIONES_FECHA!$A$2:$A$201=$A915)*(EXCEPCIONES_FECHA!$B$2:$B$201=""),0)),IFERROR(INDEX(IF($I915="FIN",HISTORIAL_HORARIOS!$L$2:$L$201,HISTORIAL_HORARIOS!$H$2:$H$201),MATCH(1,(HISTORIAL_HORARIOS!$A$2:$A$201=$B915)*(HISTORIAL_HORARIOS!$C$2:$C$201&lt;=$A915)*(HISTORIAL_HORARIOS!$D$2:$D$201&gt;=$A915),0)),INDEX(IF($I915="FIN",PERSONAL!$L$2:$L$80,PERSONAL!$H$2:$H$80),MATCH($B915,PERSONAL!$A$2:$A$80,0)))))</f>
        <v/>
      </c>
    </row>
    <row r="916" ht="15" customHeight="1" s="58">
      <c r="A916" s="40" t="n"/>
      <c r="B916" s="38" t="n"/>
      <c r="C916" s="40" t="n"/>
      <c r="D916" s="40" t="n"/>
      <c r="E916" s="34">
        <f t="array" ref="E916">IF($B916="","",IFERROR(INDEX(PERSONAL!$B$2:$B$80,MATCH($B916,PERSONAL!$A$2:$A$80,0)),"NO EXISTE"))</f>
        <v/>
      </c>
      <c r="F916" s="34">
        <f t="array" ref="F916">IF($B916="","",IFERROR(INDEX(PERSONAL!$C$2:$C$80,MATCH($B916,PERSONAL!$A$2:$A$80,0)),""))</f>
        <v/>
      </c>
      <c r="G916" s="34">
        <f>IF($A916="","",CHOOSE(WEEKDAY($A916,2),"LUNES","MARTES","MIÉRCOLES","JUEVES","VIERNES","SÁBADO","DOMINGO"))</f>
        <v/>
      </c>
      <c r="H916" s="34">
        <f>IF($A916="","",CHOOSE(MONTH($A916),"ENERO","FEBRERO","MARZO","ABRIL","MAYO","JUNIO","JULIO","AGOSTO","SEPTIEMBRE","OCTUBRE","NOVIEMBRE","DICIEMBRE"))</f>
        <v/>
      </c>
      <c r="I916" s="34">
        <f>IF($A916="","",IF(OR($G916="SÁBADO",$G916="DOMINGO"),"FIN","LV"))</f>
        <v/>
      </c>
      <c r="J916" s="34">
        <f>IF(OR($A916="",$B916=""),"",IF($L916&lt;&gt;"",UPPER($L916),IF($C916="","FALTA",IFERROR(IF($C916&gt;=$O916,"ROJO FUERTE",IF($C916&gt;=$N916,"ROJO",IF($C916&gt;=$M916,"AMARILLO","VERDE"))),"REVISAR"))))</f>
        <v/>
      </c>
      <c r="K916" s="36">
        <f>IF(OR($C916="",$D916=""),"",IF($D916&gt;=$C916,($D916-$C916)*24,(1-$C916+$D916)*24))</f>
        <v/>
      </c>
      <c r="L916" s="34" t="n"/>
      <c r="M916" s="53">
        <f t="array" ref="M916">IFERROR(INDEX(EXCEPCIONES_FECHA!$D$2:$D$201,MATCH(1,(EXCEPCIONES_FECHA!$A$2:$A$201=$A916)*(EXCEPCIONES_FECHA!$B$2:$B$201=$B916),0)),IFERROR(INDEX(EXCEPCIONES_FECHA!$D$2:$D$201,MATCH(1,(EXCEPCIONES_FECHA!$A$2:$A$201=$A916)*(EXCEPCIONES_FECHA!$B$2:$B$201=""),0)),IFERROR(INDEX(IF($I916="FIN",HISTORIAL_HORARIOS!$J$2:$J$201,HISTORIAL_HORARIOS!$F$2:$F$201),MATCH(1,(HISTORIAL_HORARIOS!$A$2:$A$201=$B916)*(HISTORIAL_HORARIOS!$C$2:$C$201&lt;=$A916)*(HISTORIAL_HORARIOS!$D$2:$D$201&gt;=$A916),0)),INDEX(IF($I916="FIN",PERSONAL!$J$2:$J$80,PERSONAL!$F$2:$F$80),MATCH($B916,PERSONAL!$A$2:$A$80,0)))))</f>
        <v/>
      </c>
      <c r="N916" s="53">
        <f t="array" ref="N916">IFERROR(INDEX(EXCEPCIONES_FECHA!$E$2:$E$201,MATCH(1,(EXCEPCIONES_FECHA!$A$2:$A$201=$A916)*(EXCEPCIONES_FECHA!$B$2:$B$201=$B916),0)),IFERROR(INDEX(EXCEPCIONES_FECHA!$E$2:$E$201,MATCH(1,(EXCEPCIONES_FECHA!$A$2:$A$201=$A916)*(EXCEPCIONES_FECHA!$B$2:$B$201=""),0)),IFERROR(INDEX(IF($I916="FIN",HISTORIAL_HORARIOS!$K$2:$K$201,HISTORIAL_HORARIOS!$G$2:$G$201),MATCH(1,(HISTORIAL_HORARIOS!$A$2:$A$201=$B916)*(HISTORIAL_HORARIOS!$C$2:$C$201&lt;=$A916)*(HISTORIAL_HORARIOS!$D$2:$D$201&gt;=$A916),0)),INDEX(IF($I916="FIN",PERSONAL!$K$2:$K$80,PERSONAL!$G$2:$G$80),MATCH($B916,PERSONAL!$A$2:$A$80,0)))))</f>
        <v/>
      </c>
      <c r="O916" s="53">
        <f t="array" ref="O916">IFERROR(INDEX(EXCEPCIONES_FECHA!$F$2:$F$201,MATCH(1,(EXCEPCIONES_FECHA!$A$2:$A$201=$A916)*(EXCEPCIONES_FECHA!$B$2:$B$201=$B916),0)),IFERROR(INDEX(EXCEPCIONES_FECHA!$F$2:$F$201,MATCH(1,(EXCEPCIONES_FECHA!$A$2:$A$201=$A916)*(EXCEPCIONES_FECHA!$B$2:$B$201=""),0)),IFERROR(INDEX(IF($I916="FIN",HISTORIAL_HORARIOS!$L$2:$L$201,HISTORIAL_HORARIOS!$H$2:$H$201),MATCH(1,(HISTORIAL_HORARIOS!$A$2:$A$201=$B916)*(HISTORIAL_HORARIOS!$C$2:$C$201&lt;=$A916)*(HISTORIAL_HORARIOS!$D$2:$D$201&gt;=$A916),0)),INDEX(IF($I916="FIN",PERSONAL!$L$2:$L$80,PERSONAL!$H$2:$H$80),MATCH($B916,PERSONAL!$A$2:$A$80,0)))))</f>
        <v/>
      </c>
    </row>
    <row r="917" ht="15" customHeight="1" s="58">
      <c r="A917" s="40" t="n"/>
      <c r="B917" s="38" t="n"/>
      <c r="C917" s="40" t="n"/>
      <c r="D917" s="40" t="n"/>
      <c r="E917" s="34">
        <f t="array" ref="E917">IF($B917="","",IFERROR(INDEX(PERSONAL!$B$2:$B$80,MATCH($B917,PERSONAL!$A$2:$A$80,0)),"NO EXISTE"))</f>
        <v/>
      </c>
      <c r="F917" s="34">
        <f t="array" ref="F917">IF($B917="","",IFERROR(INDEX(PERSONAL!$C$2:$C$80,MATCH($B917,PERSONAL!$A$2:$A$80,0)),""))</f>
        <v/>
      </c>
      <c r="G917" s="34">
        <f>IF($A917="","",CHOOSE(WEEKDAY($A917,2),"LUNES","MARTES","MIÉRCOLES","JUEVES","VIERNES","SÁBADO","DOMINGO"))</f>
        <v/>
      </c>
      <c r="H917" s="34">
        <f>IF($A917="","",CHOOSE(MONTH($A917),"ENERO","FEBRERO","MARZO","ABRIL","MAYO","JUNIO","JULIO","AGOSTO","SEPTIEMBRE","OCTUBRE","NOVIEMBRE","DICIEMBRE"))</f>
        <v/>
      </c>
      <c r="I917" s="34">
        <f>IF($A917="","",IF(OR($G917="SÁBADO",$G917="DOMINGO"),"FIN","LV"))</f>
        <v/>
      </c>
      <c r="J917" s="34">
        <f>IF(OR($A917="",$B917=""),"",IF($L917&lt;&gt;"",UPPER($L917),IF($C917="","FALTA",IFERROR(IF($C917&gt;=$O917,"ROJO FUERTE",IF($C917&gt;=$N917,"ROJO",IF($C917&gt;=$M917,"AMARILLO","VERDE"))),"REVISAR"))))</f>
        <v/>
      </c>
      <c r="K917" s="36">
        <f>IF(OR($C917="",$D917=""),"",IF($D917&gt;=$C917,($D917-$C917)*24,(1-$C917+$D917)*24))</f>
        <v/>
      </c>
      <c r="L917" s="34" t="n"/>
      <c r="M917" s="53">
        <f t="array" ref="M917">IFERROR(INDEX(EXCEPCIONES_FECHA!$D$2:$D$201,MATCH(1,(EXCEPCIONES_FECHA!$A$2:$A$201=$A917)*(EXCEPCIONES_FECHA!$B$2:$B$201=$B917),0)),IFERROR(INDEX(EXCEPCIONES_FECHA!$D$2:$D$201,MATCH(1,(EXCEPCIONES_FECHA!$A$2:$A$201=$A917)*(EXCEPCIONES_FECHA!$B$2:$B$201=""),0)),IFERROR(INDEX(IF($I917="FIN",HISTORIAL_HORARIOS!$J$2:$J$201,HISTORIAL_HORARIOS!$F$2:$F$201),MATCH(1,(HISTORIAL_HORARIOS!$A$2:$A$201=$B917)*(HISTORIAL_HORARIOS!$C$2:$C$201&lt;=$A917)*(HISTORIAL_HORARIOS!$D$2:$D$201&gt;=$A917),0)),INDEX(IF($I917="FIN",PERSONAL!$J$2:$J$80,PERSONAL!$F$2:$F$80),MATCH($B917,PERSONAL!$A$2:$A$80,0)))))</f>
        <v/>
      </c>
      <c r="N917" s="53">
        <f t="array" ref="N917">IFERROR(INDEX(EXCEPCIONES_FECHA!$E$2:$E$201,MATCH(1,(EXCEPCIONES_FECHA!$A$2:$A$201=$A917)*(EXCEPCIONES_FECHA!$B$2:$B$201=$B917),0)),IFERROR(INDEX(EXCEPCIONES_FECHA!$E$2:$E$201,MATCH(1,(EXCEPCIONES_FECHA!$A$2:$A$201=$A917)*(EXCEPCIONES_FECHA!$B$2:$B$201=""),0)),IFERROR(INDEX(IF($I917="FIN",HISTORIAL_HORARIOS!$K$2:$K$201,HISTORIAL_HORARIOS!$G$2:$G$201),MATCH(1,(HISTORIAL_HORARIOS!$A$2:$A$201=$B917)*(HISTORIAL_HORARIOS!$C$2:$C$201&lt;=$A917)*(HISTORIAL_HORARIOS!$D$2:$D$201&gt;=$A917),0)),INDEX(IF($I917="FIN",PERSONAL!$K$2:$K$80,PERSONAL!$G$2:$G$80),MATCH($B917,PERSONAL!$A$2:$A$80,0)))))</f>
        <v/>
      </c>
      <c r="O917" s="53">
        <f t="array" ref="O917">IFERROR(INDEX(EXCEPCIONES_FECHA!$F$2:$F$201,MATCH(1,(EXCEPCIONES_FECHA!$A$2:$A$201=$A917)*(EXCEPCIONES_FECHA!$B$2:$B$201=$B917),0)),IFERROR(INDEX(EXCEPCIONES_FECHA!$F$2:$F$201,MATCH(1,(EXCEPCIONES_FECHA!$A$2:$A$201=$A917)*(EXCEPCIONES_FECHA!$B$2:$B$201=""),0)),IFERROR(INDEX(IF($I917="FIN",HISTORIAL_HORARIOS!$L$2:$L$201,HISTORIAL_HORARIOS!$H$2:$H$201),MATCH(1,(HISTORIAL_HORARIOS!$A$2:$A$201=$B917)*(HISTORIAL_HORARIOS!$C$2:$C$201&lt;=$A917)*(HISTORIAL_HORARIOS!$D$2:$D$201&gt;=$A917),0)),INDEX(IF($I917="FIN",PERSONAL!$L$2:$L$80,PERSONAL!$H$2:$H$80),MATCH($B917,PERSONAL!$A$2:$A$80,0)))))</f>
        <v/>
      </c>
    </row>
    <row r="918" ht="15" customHeight="1" s="58">
      <c r="A918" s="40" t="n"/>
      <c r="B918" s="38" t="n"/>
      <c r="C918" s="40" t="n"/>
      <c r="D918" s="40" t="n"/>
      <c r="E918" s="34">
        <f t="array" ref="E918">IF($B918="","",IFERROR(INDEX(PERSONAL!$B$2:$B$80,MATCH($B918,PERSONAL!$A$2:$A$80,0)),"NO EXISTE"))</f>
        <v/>
      </c>
      <c r="F918" s="34">
        <f t="array" ref="F918">IF($B918="","",IFERROR(INDEX(PERSONAL!$C$2:$C$80,MATCH($B918,PERSONAL!$A$2:$A$80,0)),""))</f>
        <v/>
      </c>
      <c r="G918" s="34">
        <f>IF($A918="","",CHOOSE(WEEKDAY($A918,2),"LUNES","MARTES","MIÉRCOLES","JUEVES","VIERNES","SÁBADO","DOMINGO"))</f>
        <v/>
      </c>
      <c r="H918" s="34">
        <f>IF($A918="","",CHOOSE(MONTH($A918),"ENERO","FEBRERO","MARZO","ABRIL","MAYO","JUNIO","JULIO","AGOSTO","SEPTIEMBRE","OCTUBRE","NOVIEMBRE","DICIEMBRE"))</f>
        <v/>
      </c>
      <c r="I918" s="34">
        <f>IF($A918="","",IF(OR($G918="SÁBADO",$G918="DOMINGO"),"FIN","LV"))</f>
        <v/>
      </c>
      <c r="J918" s="34">
        <f>IF(OR($A918="",$B918=""),"",IF($L918&lt;&gt;"",UPPER($L918),IF($C918="","FALTA",IFERROR(IF($C918&gt;=$O918,"ROJO FUERTE",IF($C918&gt;=$N918,"ROJO",IF($C918&gt;=$M918,"AMARILLO","VERDE"))),"REVISAR"))))</f>
        <v/>
      </c>
      <c r="K918" s="36">
        <f>IF(OR($C918="",$D918=""),"",IF($D918&gt;=$C918,($D918-$C918)*24,(1-$C918+$D918)*24))</f>
        <v/>
      </c>
      <c r="L918" s="34" t="n"/>
      <c r="M918" s="53">
        <f t="array" ref="M918">IFERROR(INDEX(EXCEPCIONES_FECHA!$D$2:$D$201,MATCH(1,(EXCEPCIONES_FECHA!$A$2:$A$201=$A918)*(EXCEPCIONES_FECHA!$B$2:$B$201=$B918),0)),IFERROR(INDEX(EXCEPCIONES_FECHA!$D$2:$D$201,MATCH(1,(EXCEPCIONES_FECHA!$A$2:$A$201=$A918)*(EXCEPCIONES_FECHA!$B$2:$B$201=""),0)),IFERROR(INDEX(IF($I918="FIN",HISTORIAL_HORARIOS!$J$2:$J$201,HISTORIAL_HORARIOS!$F$2:$F$201),MATCH(1,(HISTORIAL_HORARIOS!$A$2:$A$201=$B918)*(HISTORIAL_HORARIOS!$C$2:$C$201&lt;=$A918)*(HISTORIAL_HORARIOS!$D$2:$D$201&gt;=$A918),0)),INDEX(IF($I918="FIN",PERSONAL!$J$2:$J$80,PERSONAL!$F$2:$F$80),MATCH($B918,PERSONAL!$A$2:$A$80,0)))))</f>
        <v/>
      </c>
      <c r="N918" s="53">
        <f t="array" ref="N918">IFERROR(INDEX(EXCEPCIONES_FECHA!$E$2:$E$201,MATCH(1,(EXCEPCIONES_FECHA!$A$2:$A$201=$A918)*(EXCEPCIONES_FECHA!$B$2:$B$201=$B918),0)),IFERROR(INDEX(EXCEPCIONES_FECHA!$E$2:$E$201,MATCH(1,(EXCEPCIONES_FECHA!$A$2:$A$201=$A918)*(EXCEPCIONES_FECHA!$B$2:$B$201=""),0)),IFERROR(INDEX(IF($I918="FIN",HISTORIAL_HORARIOS!$K$2:$K$201,HISTORIAL_HORARIOS!$G$2:$G$201),MATCH(1,(HISTORIAL_HORARIOS!$A$2:$A$201=$B918)*(HISTORIAL_HORARIOS!$C$2:$C$201&lt;=$A918)*(HISTORIAL_HORARIOS!$D$2:$D$201&gt;=$A918),0)),INDEX(IF($I918="FIN",PERSONAL!$K$2:$K$80,PERSONAL!$G$2:$G$80),MATCH($B918,PERSONAL!$A$2:$A$80,0)))))</f>
        <v/>
      </c>
      <c r="O918" s="53">
        <f t="array" ref="O918">IFERROR(INDEX(EXCEPCIONES_FECHA!$F$2:$F$201,MATCH(1,(EXCEPCIONES_FECHA!$A$2:$A$201=$A918)*(EXCEPCIONES_FECHA!$B$2:$B$201=$B918),0)),IFERROR(INDEX(EXCEPCIONES_FECHA!$F$2:$F$201,MATCH(1,(EXCEPCIONES_FECHA!$A$2:$A$201=$A918)*(EXCEPCIONES_FECHA!$B$2:$B$201=""),0)),IFERROR(INDEX(IF($I918="FIN",HISTORIAL_HORARIOS!$L$2:$L$201,HISTORIAL_HORARIOS!$H$2:$H$201),MATCH(1,(HISTORIAL_HORARIOS!$A$2:$A$201=$B918)*(HISTORIAL_HORARIOS!$C$2:$C$201&lt;=$A918)*(HISTORIAL_HORARIOS!$D$2:$D$201&gt;=$A918),0)),INDEX(IF($I918="FIN",PERSONAL!$L$2:$L$80,PERSONAL!$H$2:$H$80),MATCH($B918,PERSONAL!$A$2:$A$80,0)))))</f>
        <v/>
      </c>
    </row>
    <row r="919" ht="15" customHeight="1" s="58">
      <c r="A919" s="40" t="n"/>
      <c r="B919" s="38" t="n"/>
      <c r="C919" s="40" t="n"/>
      <c r="D919" s="40" t="n"/>
      <c r="E919" s="34">
        <f t="array" ref="E919">IF($B919="","",IFERROR(INDEX(PERSONAL!$B$2:$B$80,MATCH($B919,PERSONAL!$A$2:$A$80,0)),"NO EXISTE"))</f>
        <v/>
      </c>
      <c r="F919" s="34">
        <f t="array" ref="F919">IF($B919="","",IFERROR(INDEX(PERSONAL!$C$2:$C$80,MATCH($B919,PERSONAL!$A$2:$A$80,0)),""))</f>
        <v/>
      </c>
      <c r="G919" s="34">
        <f>IF($A919="","",CHOOSE(WEEKDAY($A919,2),"LUNES","MARTES","MIÉRCOLES","JUEVES","VIERNES","SÁBADO","DOMINGO"))</f>
        <v/>
      </c>
      <c r="H919" s="34">
        <f>IF($A919="","",CHOOSE(MONTH($A919),"ENERO","FEBRERO","MARZO","ABRIL","MAYO","JUNIO","JULIO","AGOSTO","SEPTIEMBRE","OCTUBRE","NOVIEMBRE","DICIEMBRE"))</f>
        <v/>
      </c>
      <c r="I919" s="34">
        <f>IF($A919="","",IF(OR($G919="SÁBADO",$G919="DOMINGO"),"FIN","LV"))</f>
        <v/>
      </c>
      <c r="J919" s="34">
        <f>IF(OR($A919="",$B919=""),"",IF($L919&lt;&gt;"",UPPER($L919),IF($C919="","FALTA",IFERROR(IF($C919&gt;=$O919,"ROJO FUERTE",IF($C919&gt;=$N919,"ROJO",IF($C919&gt;=$M919,"AMARILLO","VERDE"))),"REVISAR"))))</f>
        <v/>
      </c>
      <c r="K919" s="36">
        <f>IF(OR($C919="",$D919=""),"",IF($D919&gt;=$C919,($D919-$C919)*24,(1-$C919+$D919)*24))</f>
        <v/>
      </c>
      <c r="L919" s="34" t="n"/>
      <c r="M919" s="53">
        <f t="array" ref="M919">IFERROR(INDEX(EXCEPCIONES_FECHA!$D$2:$D$201,MATCH(1,(EXCEPCIONES_FECHA!$A$2:$A$201=$A919)*(EXCEPCIONES_FECHA!$B$2:$B$201=$B919),0)),IFERROR(INDEX(EXCEPCIONES_FECHA!$D$2:$D$201,MATCH(1,(EXCEPCIONES_FECHA!$A$2:$A$201=$A919)*(EXCEPCIONES_FECHA!$B$2:$B$201=""),0)),IFERROR(INDEX(IF($I919="FIN",HISTORIAL_HORARIOS!$J$2:$J$201,HISTORIAL_HORARIOS!$F$2:$F$201),MATCH(1,(HISTORIAL_HORARIOS!$A$2:$A$201=$B919)*(HISTORIAL_HORARIOS!$C$2:$C$201&lt;=$A919)*(HISTORIAL_HORARIOS!$D$2:$D$201&gt;=$A919),0)),INDEX(IF($I919="FIN",PERSONAL!$J$2:$J$80,PERSONAL!$F$2:$F$80),MATCH($B919,PERSONAL!$A$2:$A$80,0)))))</f>
        <v/>
      </c>
      <c r="N919" s="53">
        <f t="array" ref="N919">IFERROR(INDEX(EXCEPCIONES_FECHA!$E$2:$E$201,MATCH(1,(EXCEPCIONES_FECHA!$A$2:$A$201=$A919)*(EXCEPCIONES_FECHA!$B$2:$B$201=$B919),0)),IFERROR(INDEX(EXCEPCIONES_FECHA!$E$2:$E$201,MATCH(1,(EXCEPCIONES_FECHA!$A$2:$A$201=$A919)*(EXCEPCIONES_FECHA!$B$2:$B$201=""),0)),IFERROR(INDEX(IF($I919="FIN",HISTORIAL_HORARIOS!$K$2:$K$201,HISTORIAL_HORARIOS!$G$2:$G$201),MATCH(1,(HISTORIAL_HORARIOS!$A$2:$A$201=$B919)*(HISTORIAL_HORARIOS!$C$2:$C$201&lt;=$A919)*(HISTORIAL_HORARIOS!$D$2:$D$201&gt;=$A919),0)),INDEX(IF($I919="FIN",PERSONAL!$K$2:$K$80,PERSONAL!$G$2:$G$80),MATCH($B919,PERSONAL!$A$2:$A$80,0)))))</f>
        <v/>
      </c>
      <c r="O919" s="53">
        <f t="array" ref="O919">IFERROR(INDEX(EXCEPCIONES_FECHA!$F$2:$F$201,MATCH(1,(EXCEPCIONES_FECHA!$A$2:$A$201=$A919)*(EXCEPCIONES_FECHA!$B$2:$B$201=$B919),0)),IFERROR(INDEX(EXCEPCIONES_FECHA!$F$2:$F$201,MATCH(1,(EXCEPCIONES_FECHA!$A$2:$A$201=$A919)*(EXCEPCIONES_FECHA!$B$2:$B$201=""),0)),IFERROR(INDEX(IF($I919="FIN",HISTORIAL_HORARIOS!$L$2:$L$201,HISTORIAL_HORARIOS!$H$2:$H$201),MATCH(1,(HISTORIAL_HORARIOS!$A$2:$A$201=$B919)*(HISTORIAL_HORARIOS!$C$2:$C$201&lt;=$A919)*(HISTORIAL_HORARIOS!$D$2:$D$201&gt;=$A919),0)),INDEX(IF($I919="FIN",PERSONAL!$L$2:$L$80,PERSONAL!$H$2:$H$80),MATCH($B919,PERSONAL!$A$2:$A$80,0)))))</f>
        <v/>
      </c>
    </row>
    <row r="920" ht="15" customHeight="1" s="58">
      <c r="A920" s="40" t="n"/>
      <c r="B920" s="38" t="n"/>
      <c r="C920" s="40" t="n"/>
      <c r="D920" s="40" t="n"/>
      <c r="E920" s="34">
        <f t="array" ref="E920">IF($B920="","",IFERROR(INDEX(PERSONAL!$B$2:$B$80,MATCH($B920,PERSONAL!$A$2:$A$80,0)),"NO EXISTE"))</f>
        <v/>
      </c>
      <c r="F920" s="34">
        <f t="array" ref="F920">IF($B920="","",IFERROR(INDEX(PERSONAL!$C$2:$C$80,MATCH($B920,PERSONAL!$A$2:$A$80,0)),""))</f>
        <v/>
      </c>
      <c r="G920" s="34">
        <f>IF($A920="","",CHOOSE(WEEKDAY($A920,2),"LUNES","MARTES","MIÉRCOLES","JUEVES","VIERNES","SÁBADO","DOMINGO"))</f>
        <v/>
      </c>
      <c r="H920" s="34">
        <f>IF($A920="","",CHOOSE(MONTH($A920),"ENERO","FEBRERO","MARZO","ABRIL","MAYO","JUNIO","JULIO","AGOSTO","SEPTIEMBRE","OCTUBRE","NOVIEMBRE","DICIEMBRE"))</f>
        <v/>
      </c>
      <c r="I920" s="34">
        <f>IF($A920="","",IF(OR($G920="SÁBADO",$G920="DOMINGO"),"FIN","LV"))</f>
        <v/>
      </c>
      <c r="J920" s="34">
        <f>IF(OR($A920="",$B920=""),"",IF($L920&lt;&gt;"",UPPER($L920),IF($C920="","FALTA",IFERROR(IF($C920&gt;=$O920,"ROJO FUERTE",IF($C920&gt;=$N920,"ROJO",IF($C920&gt;=$M920,"AMARILLO","VERDE"))),"REVISAR"))))</f>
        <v/>
      </c>
      <c r="K920" s="36">
        <f>IF(OR($C920="",$D920=""),"",IF($D920&gt;=$C920,($D920-$C920)*24,(1-$C920+$D920)*24))</f>
        <v/>
      </c>
      <c r="L920" s="34" t="n"/>
      <c r="M920" s="53">
        <f t="array" ref="M920">IFERROR(INDEX(EXCEPCIONES_FECHA!$D$2:$D$201,MATCH(1,(EXCEPCIONES_FECHA!$A$2:$A$201=$A920)*(EXCEPCIONES_FECHA!$B$2:$B$201=$B920),0)),IFERROR(INDEX(EXCEPCIONES_FECHA!$D$2:$D$201,MATCH(1,(EXCEPCIONES_FECHA!$A$2:$A$201=$A920)*(EXCEPCIONES_FECHA!$B$2:$B$201=""),0)),IFERROR(INDEX(IF($I920="FIN",HISTORIAL_HORARIOS!$J$2:$J$201,HISTORIAL_HORARIOS!$F$2:$F$201),MATCH(1,(HISTORIAL_HORARIOS!$A$2:$A$201=$B920)*(HISTORIAL_HORARIOS!$C$2:$C$201&lt;=$A920)*(HISTORIAL_HORARIOS!$D$2:$D$201&gt;=$A920),0)),INDEX(IF($I920="FIN",PERSONAL!$J$2:$J$80,PERSONAL!$F$2:$F$80),MATCH($B920,PERSONAL!$A$2:$A$80,0)))))</f>
        <v/>
      </c>
      <c r="N920" s="53">
        <f t="array" ref="N920">IFERROR(INDEX(EXCEPCIONES_FECHA!$E$2:$E$201,MATCH(1,(EXCEPCIONES_FECHA!$A$2:$A$201=$A920)*(EXCEPCIONES_FECHA!$B$2:$B$201=$B920),0)),IFERROR(INDEX(EXCEPCIONES_FECHA!$E$2:$E$201,MATCH(1,(EXCEPCIONES_FECHA!$A$2:$A$201=$A920)*(EXCEPCIONES_FECHA!$B$2:$B$201=""),0)),IFERROR(INDEX(IF($I920="FIN",HISTORIAL_HORARIOS!$K$2:$K$201,HISTORIAL_HORARIOS!$G$2:$G$201),MATCH(1,(HISTORIAL_HORARIOS!$A$2:$A$201=$B920)*(HISTORIAL_HORARIOS!$C$2:$C$201&lt;=$A920)*(HISTORIAL_HORARIOS!$D$2:$D$201&gt;=$A920),0)),INDEX(IF($I920="FIN",PERSONAL!$K$2:$K$80,PERSONAL!$G$2:$G$80),MATCH($B920,PERSONAL!$A$2:$A$80,0)))))</f>
        <v/>
      </c>
      <c r="O920" s="53">
        <f t="array" ref="O920">IFERROR(INDEX(EXCEPCIONES_FECHA!$F$2:$F$201,MATCH(1,(EXCEPCIONES_FECHA!$A$2:$A$201=$A920)*(EXCEPCIONES_FECHA!$B$2:$B$201=$B920),0)),IFERROR(INDEX(EXCEPCIONES_FECHA!$F$2:$F$201,MATCH(1,(EXCEPCIONES_FECHA!$A$2:$A$201=$A920)*(EXCEPCIONES_FECHA!$B$2:$B$201=""),0)),IFERROR(INDEX(IF($I920="FIN",HISTORIAL_HORARIOS!$L$2:$L$201,HISTORIAL_HORARIOS!$H$2:$H$201),MATCH(1,(HISTORIAL_HORARIOS!$A$2:$A$201=$B920)*(HISTORIAL_HORARIOS!$C$2:$C$201&lt;=$A920)*(HISTORIAL_HORARIOS!$D$2:$D$201&gt;=$A920),0)),INDEX(IF($I920="FIN",PERSONAL!$L$2:$L$80,PERSONAL!$H$2:$H$80),MATCH($B920,PERSONAL!$A$2:$A$80,0)))))</f>
        <v/>
      </c>
    </row>
    <row r="921" ht="15" customHeight="1" s="58">
      <c r="A921" s="40" t="n"/>
      <c r="B921" s="38" t="n"/>
      <c r="C921" s="40" t="n"/>
      <c r="D921" s="40" t="n"/>
      <c r="E921" s="34">
        <f t="array" ref="E921">IF($B921="","",IFERROR(INDEX(PERSONAL!$B$2:$B$80,MATCH($B921,PERSONAL!$A$2:$A$80,0)),"NO EXISTE"))</f>
        <v/>
      </c>
      <c r="F921" s="34">
        <f t="array" ref="F921">IF($B921="","",IFERROR(INDEX(PERSONAL!$C$2:$C$80,MATCH($B921,PERSONAL!$A$2:$A$80,0)),""))</f>
        <v/>
      </c>
      <c r="G921" s="34">
        <f>IF($A921="","",CHOOSE(WEEKDAY($A921,2),"LUNES","MARTES","MIÉRCOLES","JUEVES","VIERNES","SÁBADO","DOMINGO"))</f>
        <v/>
      </c>
      <c r="H921" s="34">
        <f>IF($A921="","",CHOOSE(MONTH($A921),"ENERO","FEBRERO","MARZO","ABRIL","MAYO","JUNIO","JULIO","AGOSTO","SEPTIEMBRE","OCTUBRE","NOVIEMBRE","DICIEMBRE"))</f>
        <v/>
      </c>
      <c r="I921" s="34">
        <f>IF($A921="","",IF(OR($G921="SÁBADO",$G921="DOMINGO"),"FIN","LV"))</f>
        <v/>
      </c>
      <c r="J921" s="34">
        <f>IF(OR($A921="",$B921=""),"",IF($L921&lt;&gt;"",UPPER($L921),IF($C921="","FALTA",IFERROR(IF($C921&gt;=$O921,"ROJO FUERTE",IF($C921&gt;=$N921,"ROJO",IF($C921&gt;=$M921,"AMARILLO","VERDE"))),"REVISAR"))))</f>
        <v/>
      </c>
      <c r="K921" s="36">
        <f>IF(OR($C921="",$D921=""),"",IF($D921&gt;=$C921,($D921-$C921)*24,(1-$C921+$D921)*24))</f>
        <v/>
      </c>
      <c r="L921" s="34" t="n"/>
      <c r="M921" s="53">
        <f t="array" ref="M921">IFERROR(INDEX(EXCEPCIONES_FECHA!$D$2:$D$201,MATCH(1,(EXCEPCIONES_FECHA!$A$2:$A$201=$A921)*(EXCEPCIONES_FECHA!$B$2:$B$201=$B921),0)),IFERROR(INDEX(EXCEPCIONES_FECHA!$D$2:$D$201,MATCH(1,(EXCEPCIONES_FECHA!$A$2:$A$201=$A921)*(EXCEPCIONES_FECHA!$B$2:$B$201=""),0)),IFERROR(INDEX(IF($I921="FIN",HISTORIAL_HORARIOS!$J$2:$J$201,HISTORIAL_HORARIOS!$F$2:$F$201),MATCH(1,(HISTORIAL_HORARIOS!$A$2:$A$201=$B921)*(HISTORIAL_HORARIOS!$C$2:$C$201&lt;=$A921)*(HISTORIAL_HORARIOS!$D$2:$D$201&gt;=$A921),0)),INDEX(IF($I921="FIN",PERSONAL!$J$2:$J$80,PERSONAL!$F$2:$F$80),MATCH($B921,PERSONAL!$A$2:$A$80,0)))))</f>
        <v/>
      </c>
      <c r="N921" s="53">
        <f t="array" ref="N921">IFERROR(INDEX(EXCEPCIONES_FECHA!$E$2:$E$201,MATCH(1,(EXCEPCIONES_FECHA!$A$2:$A$201=$A921)*(EXCEPCIONES_FECHA!$B$2:$B$201=$B921),0)),IFERROR(INDEX(EXCEPCIONES_FECHA!$E$2:$E$201,MATCH(1,(EXCEPCIONES_FECHA!$A$2:$A$201=$A921)*(EXCEPCIONES_FECHA!$B$2:$B$201=""),0)),IFERROR(INDEX(IF($I921="FIN",HISTORIAL_HORARIOS!$K$2:$K$201,HISTORIAL_HORARIOS!$G$2:$G$201),MATCH(1,(HISTORIAL_HORARIOS!$A$2:$A$201=$B921)*(HISTORIAL_HORARIOS!$C$2:$C$201&lt;=$A921)*(HISTORIAL_HORARIOS!$D$2:$D$201&gt;=$A921),0)),INDEX(IF($I921="FIN",PERSONAL!$K$2:$K$80,PERSONAL!$G$2:$G$80),MATCH($B921,PERSONAL!$A$2:$A$80,0)))))</f>
        <v/>
      </c>
      <c r="O921" s="53">
        <f t="array" ref="O921">IFERROR(INDEX(EXCEPCIONES_FECHA!$F$2:$F$201,MATCH(1,(EXCEPCIONES_FECHA!$A$2:$A$201=$A921)*(EXCEPCIONES_FECHA!$B$2:$B$201=$B921),0)),IFERROR(INDEX(EXCEPCIONES_FECHA!$F$2:$F$201,MATCH(1,(EXCEPCIONES_FECHA!$A$2:$A$201=$A921)*(EXCEPCIONES_FECHA!$B$2:$B$201=""),0)),IFERROR(INDEX(IF($I921="FIN",HISTORIAL_HORARIOS!$L$2:$L$201,HISTORIAL_HORARIOS!$H$2:$H$201),MATCH(1,(HISTORIAL_HORARIOS!$A$2:$A$201=$B921)*(HISTORIAL_HORARIOS!$C$2:$C$201&lt;=$A921)*(HISTORIAL_HORARIOS!$D$2:$D$201&gt;=$A921),0)),INDEX(IF($I921="FIN",PERSONAL!$L$2:$L$80,PERSONAL!$H$2:$H$80),MATCH($B921,PERSONAL!$A$2:$A$80,0)))))</f>
        <v/>
      </c>
    </row>
    <row r="922" ht="15" customHeight="1" s="58">
      <c r="A922" s="40" t="n"/>
      <c r="B922" s="38" t="n"/>
      <c r="C922" s="40" t="n"/>
      <c r="D922" s="40" t="n"/>
      <c r="E922" s="34">
        <f t="array" ref="E922">IF($B922="","",IFERROR(INDEX(PERSONAL!$B$2:$B$80,MATCH($B922,PERSONAL!$A$2:$A$80,0)),"NO EXISTE"))</f>
        <v/>
      </c>
      <c r="F922" s="34">
        <f t="array" ref="F922">IF($B922="","",IFERROR(INDEX(PERSONAL!$C$2:$C$80,MATCH($B922,PERSONAL!$A$2:$A$80,0)),""))</f>
        <v/>
      </c>
      <c r="G922" s="34">
        <f>IF($A922="","",CHOOSE(WEEKDAY($A922,2),"LUNES","MARTES","MIÉRCOLES","JUEVES","VIERNES","SÁBADO","DOMINGO"))</f>
        <v/>
      </c>
      <c r="H922" s="34">
        <f>IF($A922="","",CHOOSE(MONTH($A922),"ENERO","FEBRERO","MARZO","ABRIL","MAYO","JUNIO","JULIO","AGOSTO","SEPTIEMBRE","OCTUBRE","NOVIEMBRE","DICIEMBRE"))</f>
        <v/>
      </c>
      <c r="I922" s="34">
        <f>IF($A922="","",IF(OR($G922="SÁBADO",$G922="DOMINGO"),"FIN","LV"))</f>
        <v/>
      </c>
      <c r="J922" s="34">
        <f>IF(OR($A922="",$B922=""),"",IF($L922&lt;&gt;"",UPPER($L922),IF($C922="","FALTA",IFERROR(IF($C922&gt;=$O922,"ROJO FUERTE",IF($C922&gt;=$N922,"ROJO",IF($C922&gt;=$M922,"AMARILLO","VERDE"))),"REVISAR"))))</f>
        <v/>
      </c>
      <c r="K922" s="36">
        <f>IF(OR($C922="",$D922=""),"",IF($D922&gt;=$C922,($D922-$C922)*24,(1-$C922+$D922)*24))</f>
        <v/>
      </c>
      <c r="L922" s="34" t="n"/>
      <c r="M922" s="53">
        <f t="array" ref="M922">IFERROR(INDEX(EXCEPCIONES_FECHA!$D$2:$D$201,MATCH(1,(EXCEPCIONES_FECHA!$A$2:$A$201=$A922)*(EXCEPCIONES_FECHA!$B$2:$B$201=$B922),0)),IFERROR(INDEX(EXCEPCIONES_FECHA!$D$2:$D$201,MATCH(1,(EXCEPCIONES_FECHA!$A$2:$A$201=$A922)*(EXCEPCIONES_FECHA!$B$2:$B$201=""),0)),IFERROR(INDEX(IF($I922="FIN",HISTORIAL_HORARIOS!$J$2:$J$201,HISTORIAL_HORARIOS!$F$2:$F$201),MATCH(1,(HISTORIAL_HORARIOS!$A$2:$A$201=$B922)*(HISTORIAL_HORARIOS!$C$2:$C$201&lt;=$A922)*(HISTORIAL_HORARIOS!$D$2:$D$201&gt;=$A922),0)),INDEX(IF($I922="FIN",PERSONAL!$J$2:$J$80,PERSONAL!$F$2:$F$80),MATCH($B922,PERSONAL!$A$2:$A$80,0)))))</f>
        <v/>
      </c>
      <c r="N922" s="53">
        <f t="array" ref="N922">IFERROR(INDEX(EXCEPCIONES_FECHA!$E$2:$E$201,MATCH(1,(EXCEPCIONES_FECHA!$A$2:$A$201=$A922)*(EXCEPCIONES_FECHA!$B$2:$B$201=$B922),0)),IFERROR(INDEX(EXCEPCIONES_FECHA!$E$2:$E$201,MATCH(1,(EXCEPCIONES_FECHA!$A$2:$A$201=$A922)*(EXCEPCIONES_FECHA!$B$2:$B$201=""),0)),IFERROR(INDEX(IF($I922="FIN",HISTORIAL_HORARIOS!$K$2:$K$201,HISTORIAL_HORARIOS!$G$2:$G$201),MATCH(1,(HISTORIAL_HORARIOS!$A$2:$A$201=$B922)*(HISTORIAL_HORARIOS!$C$2:$C$201&lt;=$A922)*(HISTORIAL_HORARIOS!$D$2:$D$201&gt;=$A922),0)),INDEX(IF($I922="FIN",PERSONAL!$K$2:$K$80,PERSONAL!$G$2:$G$80),MATCH($B922,PERSONAL!$A$2:$A$80,0)))))</f>
        <v/>
      </c>
      <c r="O922" s="53">
        <f t="array" ref="O922">IFERROR(INDEX(EXCEPCIONES_FECHA!$F$2:$F$201,MATCH(1,(EXCEPCIONES_FECHA!$A$2:$A$201=$A922)*(EXCEPCIONES_FECHA!$B$2:$B$201=$B922),0)),IFERROR(INDEX(EXCEPCIONES_FECHA!$F$2:$F$201,MATCH(1,(EXCEPCIONES_FECHA!$A$2:$A$201=$A922)*(EXCEPCIONES_FECHA!$B$2:$B$201=""),0)),IFERROR(INDEX(IF($I922="FIN",HISTORIAL_HORARIOS!$L$2:$L$201,HISTORIAL_HORARIOS!$H$2:$H$201),MATCH(1,(HISTORIAL_HORARIOS!$A$2:$A$201=$B922)*(HISTORIAL_HORARIOS!$C$2:$C$201&lt;=$A922)*(HISTORIAL_HORARIOS!$D$2:$D$201&gt;=$A922),0)),INDEX(IF($I922="FIN",PERSONAL!$L$2:$L$80,PERSONAL!$H$2:$H$80),MATCH($B922,PERSONAL!$A$2:$A$80,0)))))</f>
        <v/>
      </c>
    </row>
    <row r="923" ht="15" customHeight="1" s="58">
      <c r="A923" s="40" t="n"/>
      <c r="B923" s="38" t="n"/>
      <c r="C923" s="40" t="n"/>
      <c r="D923" s="40" t="n"/>
      <c r="E923" s="34">
        <f t="array" ref="E923">IF($B923="","",IFERROR(INDEX(PERSONAL!$B$2:$B$80,MATCH($B923,PERSONAL!$A$2:$A$80,0)),"NO EXISTE"))</f>
        <v/>
      </c>
      <c r="F923" s="34">
        <f t="array" ref="F923">IF($B923="","",IFERROR(INDEX(PERSONAL!$C$2:$C$80,MATCH($B923,PERSONAL!$A$2:$A$80,0)),""))</f>
        <v/>
      </c>
      <c r="G923" s="34">
        <f>IF($A923="","",CHOOSE(WEEKDAY($A923,2),"LUNES","MARTES","MIÉRCOLES","JUEVES","VIERNES","SÁBADO","DOMINGO"))</f>
        <v/>
      </c>
      <c r="H923" s="34">
        <f>IF($A923="","",CHOOSE(MONTH($A923),"ENERO","FEBRERO","MARZO","ABRIL","MAYO","JUNIO","JULIO","AGOSTO","SEPTIEMBRE","OCTUBRE","NOVIEMBRE","DICIEMBRE"))</f>
        <v/>
      </c>
      <c r="I923" s="34">
        <f>IF($A923="","",IF(OR($G923="SÁBADO",$G923="DOMINGO"),"FIN","LV"))</f>
        <v/>
      </c>
      <c r="J923" s="34">
        <f>IF(OR($A923="",$B923=""),"",IF($L923&lt;&gt;"",UPPER($L923),IF($C923="","FALTA",IFERROR(IF($C923&gt;=$O923,"ROJO FUERTE",IF($C923&gt;=$N923,"ROJO",IF($C923&gt;=$M923,"AMARILLO","VERDE"))),"REVISAR"))))</f>
        <v/>
      </c>
      <c r="K923" s="36">
        <f>IF(OR($C923="",$D923=""),"",IF($D923&gt;=$C923,($D923-$C923)*24,(1-$C923+$D923)*24))</f>
        <v/>
      </c>
      <c r="L923" s="34" t="n"/>
      <c r="M923" s="53">
        <f t="array" ref="M923">IFERROR(INDEX(EXCEPCIONES_FECHA!$D$2:$D$201,MATCH(1,(EXCEPCIONES_FECHA!$A$2:$A$201=$A923)*(EXCEPCIONES_FECHA!$B$2:$B$201=$B923),0)),IFERROR(INDEX(EXCEPCIONES_FECHA!$D$2:$D$201,MATCH(1,(EXCEPCIONES_FECHA!$A$2:$A$201=$A923)*(EXCEPCIONES_FECHA!$B$2:$B$201=""),0)),IFERROR(INDEX(IF($I923="FIN",HISTORIAL_HORARIOS!$J$2:$J$201,HISTORIAL_HORARIOS!$F$2:$F$201),MATCH(1,(HISTORIAL_HORARIOS!$A$2:$A$201=$B923)*(HISTORIAL_HORARIOS!$C$2:$C$201&lt;=$A923)*(HISTORIAL_HORARIOS!$D$2:$D$201&gt;=$A923),0)),INDEX(IF($I923="FIN",PERSONAL!$J$2:$J$80,PERSONAL!$F$2:$F$80),MATCH($B923,PERSONAL!$A$2:$A$80,0)))))</f>
        <v/>
      </c>
      <c r="N923" s="53">
        <f t="array" ref="N923">IFERROR(INDEX(EXCEPCIONES_FECHA!$E$2:$E$201,MATCH(1,(EXCEPCIONES_FECHA!$A$2:$A$201=$A923)*(EXCEPCIONES_FECHA!$B$2:$B$201=$B923),0)),IFERROR(INDEX(EXCEPCIONES_FECHA!$E$2:$E$201,MATCH(1,(EXCEPCIONES_FECHA!$A$2:$A$201=$A923)*(EXCEPCIONES_FECHA!$B$2:$B$201=""),0)),IFERROR(INDEX(IF($I923="FIN",HISTORIAL_HORARIOS!$K$2:$K$201,HISTORIAL_HORARIOS!$G$2:$G$201),MATCH(1,(HISTORIAL_HORARIOS!$A$2:$A$201=$B923)*(HISTORIAL_HORARIOS!$C$2:$C$201&lt;=$A923)*(HISTORIAL_HORARIOS!$D$2:$D$201&gt;=$A923),0)),INDEX(IF($I923="FIN",PERSONAL!$K$2:$K$80,PERSONAL!$G$2:$G$80),MATCH($B923,PERSONAL!$A$2:$A$80,0)))))</f>
        <v/>
      </c>
      <c r="O923" s="53">
        <f t="array" ref="O923">IFERROR(INDEX(EXCEPCIONES_FECHA!$F$2:$F$201,MATCH(1,(EXCEPCIONES_FECHA!$A$2:$A$201=$A923)*(EXCEPCIONES_FECHA!$B$2:$B$201=$B923),0)),IFERROR(INDEX(EXCEPCIONES_FECHA!$F$2:$F$201,MATCH(1,(EXCEPCIONES_FECHA!$A$2:$A$201=$A923)*(EXCEPCIONES_FECHA!$B$2:$B$201=""),0)),IFERROR(INDEX(IF($I923="FIN",HISTORIAL_HORARIOS!$L$2:$L$201,HISTORIAL_HORARIOS!$H$2:$H$201),MATCH(1,(HISTORIAL_HORARIOS!$A$2:$A$201=$B923)*(HISTORIAL_HORARIOS!$C$2:$C$201&lt;=$A923)*(HISTORIAL_HORARIOS!$D$2:$D$201&gt;=$A923),0)),INDEX(IF($I923="FIN",PERSONAL!$L$2:$L$80,PERSONAL!$H$2:$H$80),MATCH($B923,PERSONAL!$A$2:$A$80,0)))))</f>
        <v/>
      </c>
    </row>
    <row r="924" ht="15" customHeight="1" s="58">
      <c r="A924" s="40" t="n"/>
      <c r="B924" s="38" t="n"/>
      <c r="C924" s="40" t="n"/>
      <c r="D924" s="40" t="n"/>
      <c r="E924" s="34">
        <f t="array" ref="E924">IF($B924="","",IFERROR(INDEX(PERSONAL!$B$2:$B$80,MATCH($B924,PERSONAL!$A$2:$A$80,0)),"NO EXISTE"))</f>
        <v/>
      </c>
      <c r="F924" s="34">
        <f t="array" ref="F924">IF($B924="","",IFERROR(INDEX(PERSONAL!$C$2:$C$80,MATCH($B924,PERSONAL!$A$2:$A$80,0)),""))</f>
        <v/>
      </c>
      <c r="G924" s="34">
        <f>IF($A924="","",CHOOSE(WEEKDAY($A924,2),"LUNES","MARTES","MIÉRCOLES","JUEVES","VIERNES","SÁBADO","DOMINGO"))</f>
        <v/>
      </c>
      <c r="H924" s="34">
        <f>IF($A924="","",CHOOSE(MONTH($A924),"ENERO","FEBRERO","MARZO","ABRIL","MAYO","JUNIO","JULIO","AGOSTO","SEPTIEMBRE","OCTUBRE","NOVIEMBRE","DICIEMBRE"))</f>
        <v/>
      </c>
      <c r="I924" s="34">
        <f>IF($A924="","",IF(OR($G924="SÁBADO",$G924="DOMINGO"),"FIN","LV"))</f>
        <v/>
      </c>
      <c r="J924" s="34">
        <f>IF(OR($A924="",$B924=""),"",IF($L924&lt;&gt;"",UPPER($L924),IF($C924="","FALTA",IFERROR(IF($C924&gt;=$O924,"ROJO FUERTE",IF($C924&gt;=$N924,"ROJO",IF($C924&gt;=$M924,"AMARILLO","VERDE"))),"REVISAR"))))</f>
        <v/>
      </c>
      <c r="K924" s="36">
        <f>IF(OR($C924="",$D924=""),"",IF($D924&gt;=$C924,($D924-$C924)*24,(1-$C924+$D924)*24))</f>
        <v/>
      </c>
      <c r="L924" s="34" t="n"/>
      <c r="M924" s="53">
        <f t="array" ref="M924">IFERROR(INDEX(EXCEPCIONES_FECHA!$D$2:$D$201,MATCH(1,(EXCEPCIONES_FECHA!$A$2:$A$201=$A924)*(EXCEPCIONES_FECHA!$B$2:$B$201=$B924),0)),IFERROR(INDEX(EXCEPCIONES_FECHA!$D$2:$D$201,MATCH(1,(EXCEPCIONES_FECHA!$A$2:$A$201=$A924)*(EXCEPCIONES_FECHA!$B$2:$B$201=""),0)),IFERROR(INDEX(IF($I924="FIN",HISTORIAL_HORARIOS!$J$2:$J$201,HISTORIAL_HORARIOS!$F$2:$F$201),MATCH(1,(HISTORIAL_HORARIOS!$A$2:$A$201=$B924)*(HISTORIAL_HORARIOS!$C$2:$C$201&lt;=$A924)*(HISTORIAL_HORARIOS!$D$2:$D$201&gt;=$A924),0)),INDEX(IF($I924="FIN",PERSONAL!$J$2:$J$80,PERSONAL!$F$2:$F$80),MATCH($B924,PERSONAL!$A$2:$A$80,0)))))</f>
        <v/>
      </c>
      <c r="N924" s="53">
        <f t="array" ref="N924">IFERROR(INDEX(EXCEPCIONES_FECHA!$E$2:$E$201,MATCH(1,(EXCEPCIONES_FECHA!$A$2:$A$201=$A924)*(EXCEPCIONES_FECHA!$B$2:$B$201=$B924),0)),IFERROR(INDEX(EXCEPCIONES_FECHA!$E$2:$E$201,MATCH(1,(EXCEPCIONES_FECHA!$A$2:$A$201=$A924)*(EXCEPCIONES_FECHA!$B$2:$B$201=""),0)),IFERROR(INDEX(IF($I924="FIN",HISTORIAL_HORARIOS!$K$2:$K$201,HISTORIAL_HORARIOS!$G$2:$G$201),MATCH(1,(HISTORIAL_HORARIOS!$A$2:$A$201=$B924)*(HISTORIAL_HORARIOS!$C$2:$C$201&lt;=$A924)*(HISTORIAL_HORARIOS!$D$2:$D$201&gt;=$A924),0)),INDEX(IF($I924="FIN",PERSONAL!$K$2:$K$80,PERSONAL!$G$2:$G$80),MATCH($B924,PERSONAL!$A$2:$A$80,0)))))</f>
        <v/>
      </c>
      <c r="O924" s="53">
        <f t="array" ref="O924">IFERROR(INDEX(EXCEPCIONES_FECHA!$F$2:$F$201,MATCH(1,(EXCEPCIONES_FECHA!$A$2:$A$201=$A924)*(EXCEPCIONES_FECHA!$B$2:$B$201=$B924),0)),IFERROR(INDEX(EXCEPCIONES_FECHA!$F$2:$F$201,MATCH(1,(EXCEPCIONES_FECHA!$A$2:$A$201=$A924)*(EXCEPCIONES_FECHA!$B$2:$B$201=""),0)),IFERROR(INDEX(IF($I924="FIN",HISTORIAL_HORARIOS!$L$2:$L$201,HISTORIAL_HORARIOS!$H$2:$H$201),MATCH(1,(HISTORIAL_HORARIOS!$A$2:$A$201=$B924)*(HISTORIAL_HORARIOS!$C$2:$C$201&lt;=$A924)*(HISTORIAL_HORARIOS!$D$2:$D$201&gt;=$A924),0)),INDEX(IF($I924="FIN",PERSONAL!$L$2:$L$80,PERSONAL!$H$2:$H$80),MATCH($B924,PERSONAL!$A$2:$A$80,0)))))</f>
        <v/>
      </c>
    </row>
    <row r="925" ht="15" customHeight="1" s="58">
      <c r="A925" s="40" t="n"/>
      <c r="B925" s="38" t="n"/>
      <c r="C925" s="40" t="n"/>
      <c r="D925" s="40" t="n"/>
      <c r="E925" s="34">
        <f t="array" ref="E925">IF($B925="","",IFERROR(INDEX(PERSONAL!$B$2:$B$80,MATCH($B925,PERSONAL!$A$2:$A$80,0)),"NO EXISTE"))</f>
        <v/>
      </c>
      <c r="F925" s="34">
        <f t="array" ref="F925">IF($B925="","",IFERROR(INDEX(PERSONAL!$C$2:$C$80,MATCH($B925,PERSONAL!$A$2:$A$80,0)),""))</f>
        <v/>
      </c>
      <c r="G925" s="34">
        <f>IF($A925="","",CHOOSE(WEEKDAY($A925,2),"LUNES","MARTES","MIÉRCOLES","JUEVES","VIERNES","SÁBADO","DOMINGO"))</f>
        <v/>
      </c>
      <c r="H925" s="34">
        <f>IF($A925="","",CHOOSE(MONTH($A925),"ENERO","FEBRERO","MARZO","ABRIL","MAYO","JUNIO","JULIO","AGOSTO","SEPTIEMBRE","OCTUBRE","NOVIEMBRE","DICIEMBRE"))</f>
        <v/>
      </c>
      <c r="I925" s="34">
        <f>IF($A925="","",IF(OR($G925="SÁBADO",$G925="DOMINGO"),"FIN","LV"))</f>
        <v/>
      </c>
      <c r="J925" s="34">
        <f>IF(OR($A925="",$B925=""),"",IF($L925&lt;&gt;"",UPPER($L925),IF($C925="","FALTA",IFERROR(IF($C925&gt;=$O925,"ROJO FUERTE",IF($C925&gt;=$N925,"ROJO",IF($C925&gt;=$M925,"AMARILLO","VERDE"))),"REVISAR"))))</f>
        <v/>
      </c>
      <c r="K925" s="36">
        <f>IF(OR($C925="",$D925=""),"",IF($D925&gt;=$C925,($D925-$C925)*24,(1-$C925+$D925)*24))</f>
        <v/>
      </c>
      <c r="L925" s="34" t="n"/>
      <c r="M925" s="53">
        <f t="array" ref="M925">IFERROR(INDEX(EXCEPCIONES_FECHA!$D$2:$D$201,MATCH(1,(EXCEPCIONES_FECHA!$A$2:$A$201=$A925)*(EXCEPCIONES_FECHA!$B$2:$B$201=$B925),0)),IFERROR(INDEX(EXCEPCIONES_FECHA!$D$2:$D$201,MATCH(1,(EXCEPCIONES_FECHA!$A$2:$A$201=$A925)*(EXCEPCIONES_FECHA!$B$2:$B$201=""),0)),IFERROR(INDEX(IF($I925="FIN",HISTORIAL_HORARIOS!$J$2:$J$201,HISTORIAL_HORARIOS!$F$2:$F$201),MATCH(1,(HISTORIAL_HORARIOS!$A$2:$A$201=$B925)*(HISTORIAL_HORARIOS!$C$2:$C$201&lt;=$A925)*(HISTORIAL_HORARIOS!$D$2:$D$201&gt;=$A925),0)),INDEX(IF($I925="FIN",PERSONAL!$J$2:$J$80,PERSONAL!$F$2:$F$80),MATCH($B925,PERSONAL!$A$2:$A$80,0)))))</f>
        <v/>
      </c>
      <c r="N925" s="53">
        <f t="array" ref="N925">IFERROR(INDEX(EXCEPCIONES_FECHA!$E$2:$E$201,MATCH(1,(EXCEPCIONES_FECHA!$A$2:$A$201=$A925)*(EXCEPCIONES_FECHA!$B$2:$B$201=$B925),0)),IFERROR(INDEX(EXCEPCIONES_FECHA!$E$2:$E$201,MATCH(1,(EXCEPCIONES_FECHA!$A$2:$A$201=$A925)*(EXCEPCIONES_FECHA!$B$2:$B$201=""),0)),IFERROR(INDEX(IF($I925="FIN",HISTORIAL_HORARIOS!$K$2:$K$201,HISTORIAL_HORARIOS!$G$2:$G$201),MATCH(1,(HISTORIAL_HORARIOS!$A$2:$A$201=$B925)*(HISTORIAL_HORARIOS!$C$2:$C$201&lt;=$A925)*(HISTORIAL_HORARIOS!$D$2:$D$201&gt;=$A925),0)),INDEX(IF($I925="FIN",PERSONAL!$K$2:$K$80,PERSONAL!$G$2:$G$80),MATCH($B925,PERSONAL!$A$2:$A$80,0)))))</f>
        <v/>
      </c>
      <c r="O925" s="53">
        <f t="array" ref="O925">IFERROR(INDEX(EXCEPCIONES_FECHA!$F$2:$F$201,MATCH(1,(EXCEPCIONES_FECHA!$A$2:$A$201=$A925)*(EXCEPCIONES_FECHA!$B$2:$B$201=$B925),0)),IFERROR(INDEX(EXCEPCIONES_FECHA!$F$2:$F$201,MATCH(1,(EXCEPCIONES_FECHA!$A$2:$A$201=$A925)*(EXCEPCIONES_FECHA!$B$2:$B$201=""),0)),IFERROR(INDEX(IF($I925="FIN",HISTORIAL_HORARIOS!$L$2:$L$201,HISTORIAL_HORARIOS!$H$2:$H$201),MATCH(1,(HISTORIAL_HORARIOS!$A$2:$A$201=$B925)*(HISTORIAL_HORARIOS!$C$2:$C$201&lt;=$A925)*(HISTORIAL_HORARIOS!$D$2:$D$201&gt;=$A925),0)),INDEX(IF($I925="FIN",PERSONAL!$L$2:$L$80,PERSONAL!$H$2:$H$80),MATCH($B925,PERSONAL!$A$2:$A$80,0)))))</f>
        <v/>
      </c>
    </row>
    <row r="926" ht="15" customHeight="1" s="58">
      <c r="A926" s="40" t="n"/>
      <c r="B926" s="38" t="n"/>
      <c r="C926" s="40" t="n"/>
      <c r="D926" s="40" t="n"/>
      <c r="E926" s="34">
        <f t="array" ref="E926">IF($B926="","",IFERROR(INDEX(PERSONAL!$B$2:$B$80,MATCH($B926,PERSONAL!$A$2:$A$80,0)),"NO EXISTE"))</f>
        <v/>
      </c>
      <c r="F926" s="34">
        <f t="array" ref="F926">IF($B926="","",IFERROR(INDEX(PERSONAL!$C$2:$C$80,MATCH($B926,PERSONAL!$A$2:$A$80,0)),""))</f>
        <v/>
      </c>
      <c r="G926" s="34">
        <f>IF($A926="","",CHOOSE(WEEKDAY($A926,2),"LUNES","MARTES","MIÉRCOLES","JUEVES","VIERNES","SÁBADO","DOMINGO"))</f>
        <v/>
      </c>
      <c r="H926" s="34">
        <f>IF($A926="","",CHOOSE(MONTH($A926),"ENERO","FEBRERO","MARZO","ABRIL","MAYO","JUNIO","JULIO","AGOSTO","SEPTIEMBRE","OCTUBRE","NOVIEMBRE","DICIEMBRE"))</f>
        <v/>
      </c>
      <c r="I926" s="34">
        <f>IF($A926="","",IF(OR($G926="SÁBADO",$G926="DOMINGO"),"FIN","LV"))</f>
        <v/>
      </c>
      <c r="J926" s="34">
        <f>IF(OR($A926="",$B926=""),"",IF($L926&lt;&gt;"",UPPER($L926),IF($C926="","FALTA",IFERROR(IF($C926&gt;=$O926,"ROJO FUERTE",IF($C926&gt;=$N926,"ROJO",IF($C926&gt;=$M926,"AMARILLO","VERDE"))),"REVISAR"))))</f>
        <v/>
      </c>
      <c r="K926" s="36">
        <f>IF(OR($C926="",$D926=""),"",IF($D926&gt;=$C926,($D926-$C926)*24,(1-$C926+$D926)*24))</f>
        <v/>
      </c>
      <c r="L926" s="34" t="n"/>
      <c r="M926" s="53">
        <f t="array" ref="M926">IFERROR(INDEX(EXCEPCIONES_FECHA!$D$2:$D$201,MATCH(1,(EXCEPCIONES_FECHA!$A$2:$A$201=$A926)*(EXCEPCIONES_FECHA!$B$2:$B$201=$B926),0)),IFERROR(INDEX(EXCEPCIONES_FECHA!$D$2:$D$201,MATCH(1,(EXCEPCIONES_FECHA!$A$2:$A$201=$A926)*(EXCEPCIONES_FECHA!$B$2:$B$201=""),0)),IFERROR(INDEX(IF($I926="FIN",HISTORIAL_HORARIOS!$J$2:$J$201,HISTORIAL_HORARIOS!$F$2:$F$201),MATCH(1,(HISTORIAL_HORARIOS!$A$2:$A$201=$B926)*(HISTORIAL_HORARIOS!$C$2:$C$201&lt;=$A926)*(HISTORIAL_HORARIOS!$D$2:$D$201&gt;=$A926),0)),INDEX(IF($I926="FIN",PERSONAL!$J$2:$J$80,PERSONAL!$F$2:$F$80),MATCH($B926,PERSONAL!$A$2:$A$80,0)))))</f>
        <v/>
      </c>
      <c r="N926" s="53">
        <f t="array" ref="N926">IFERROR(INDEX(EXCEPCIONES_FECHA!$E$2:$E$201,MATCH(1,(EXCEPCIONES_FECHA!$A$2:$A$201=$A926)*(EXCEPCIONES_FECHA!$B$2:$B$201=$B926),0)),IFERROR(INDEX(EXCEPCIONES_FECHA!$E$2:$E$201,MATCH(1,(EXCEPCIONES_FECHA!$A$2:$A$201=$A926)*(EXCEPCIONES_FECHA!$B$2:$B$201=""),0)),IFERROR(INDEX(IF($I926="FIN",HISTORIAL_HORARIOS!$K$2:$K$201,HISTORIAL_HORARIOS!$G$2:$G$201),MATCH(1,(HISTORIAL_HORARIOS!$A$2:$A$201=$B926)*(HISTORIAL_HORARIOS!$C$2:$C$201&lt;=$A926)*(HISTORIAL_HORARIOS!$D$2:$D$201&gt;=$A926),0)),INDEX(IF($I926="FIN",PERSONAL!$K$2:$K$80,PERSONAL!$G$2:$G$80),MATCH($B926,PERSONAL!$A$2:$A$80,0)))))</f>
        <v/>
      </c>
      <c r="O926" s="53">
        <f t="array" ref="O926">IFERROR(INDEX(EXCEPCIONES_FECHA!$F$2:$F$201,MATCH(1,(EXCEPCIONES_FECHA!$A$2:$A$201=$A926)*(EXCEPCIONES_FECHA!$B$2:$B$201=$B926),0)),IFERROR(INDEX(EXCEPCIONES_FECHA!$F$2:$F$201,MATCH(1,(EXCEPCIONES_FECHA!$A$2:$A$201=$A926)*(EXCEPCIONES_FECHA!$B$2:$B$201=""),0)),IFERROR(INDEX(IF($I926="FIN",HISTORIAL_HORARIOS!$L$2:$L$201,HISTORIAL_HORARIOS!$H$2:$H$201),MATCH(1,(HISTORIAL_HORARIOS!$A$2:$A$201=$B926)*(HISTORIAL_HORARIOS!$C$2:$C$201&lt;=$A926)*(HISTORIAL_HORARIOS!$D$2:$D$201&gt;=$A926),0)),INDEX(IF($I926="FIN",PERSONAL!$L$2:$L$80,PERSONAL!$H$2:$H$80),MATCH($B926,PERSONAL!$A$2:$A$80,0)))))</f>
        <v/>
      </c>
    </row>
    <row r="927" ht="15" customHeight="1" s="58">
      <c r="A927" s="40" t="n"/>
      <c r="B927" s="38" t="n"/>
      <c r="C927" s="40" t="n"/>
      <c r="D927" s="40" t="n"/>
      <c r="E927" s="34">
        <f t="array" ref="E927">IF($B927="","",IFERROR(INDEX(PERSONAL!$B$2:$B$80,MATCH($B927,PERSONAL!$A$2:$A$80,0)),"NO EXISTE"))</f>
        <v/>
      </c>
      <c r="F927" s="34">
        <f t="array" ref="F927">IF($B927="","",IFERROR(INDEX(PERSONAL!$C$2:$C$80,MATCH($B927,PERSONAL!$A$2:$A$80,0)),""))</f>
        <v/>
      </c>
      <c r="G927" s="34">
        <f>IF($A927="","",CHOOSE(WEEKDAY($A927,2),"LUNES","MARTES","MIÉRCOLES","JUEVES","VIERNES","SÁBADO","DOMINGO"))</f>
        <v/>
      </c>
      <c r="H927" s="34">
        <f>IF($A927="","",CHOOSE(MONTH($A927),"ENERO","FEBRERO","MARZO","ABRIL","MAYO","JUNIO","JULIO","AGOSTO","SEPTIEMBRE","OCTUBRE","NOVIEMBRE","DICIEMBRE"))</f>
        <v/>
      </c>
      <c r="I927" s="34">
        <f>IF($A927="","",IF(OR($G927="SÁBADO",$G927="DOMINGO"),"FIN","LV"))</f>
        <v/>
      </c>
      <c r="J927" s="34">
        <f>IF(OR($A927="",$B927=""),"",IF($L927&lt;&gt;"",UPPER($L927),IF($C927="","FALTA",IFERROR(IF($C927&gt;=$O927,"ROJO FUERTE",IF($C927&gt;=$N927,"ROJO",IF($C927&gt;=$M927,"AMARILLO","VERDE"))),"REVISAR"))))</f>
        <v/>
      </c>
      <c r="K927" s="36">
        <f>IF(OR($C927="",$D927=""),"",IF($D927&gt;=$C927,($D927-$C927)*24,(1-$C927+$D927)*24))</f>
        <v/>
      </c>
      <c r="L927" s="34" t="n"/>
      <c r="M927" s="53">
        <f t="array" ref="M927">IFERROR(INDEX(EXCEPCIONES_FECHA!$D$2:$D$201,MATCH(1,(EXCEPCIONES_FECHA!$A$2:$A$201=$A927)*(EXCEPCIONES_FECHA!$B$2:$B$201=$B927),0)),IFERROR(INDEX(EXCEPCIONES_FECHA!$D$2:$D$201,MATCH(1,(EXCEPCIONES_FECHA!$A$2:$A$201=$A927)*(EXCEPCIONES_FECHA!$B$2:$B$201=""),0)),IFERROR(INDEX(IF($I927="FIN",HISTORIAL_HORARIOS!$J$2:$J$201,HISTORIAL_HORARIOS!$F$2:$F$201),MATCH(1,(HISTORIAL_HORARIOS!$A$2:$A$201=$B927)*(HISTORIAL_HORARIOS!$C$2:$C$201&lt;=$A927)*(HISTORIAL_HORARIOS!$D$2:$D$201&gt;=$A927),0)),INDEX(IF($I927="FIN",PERSONAL!$J$2:$J$80,PERSONAL!$F$2:$F$80),MATCH($B927,PERSONAL!$A$2:$A$80,0)))))</f>
        <v/>
      </c>
      <c r="N927" s="53">
        <f t="array" ref="N927">IFERROR(INDEX(EXCEPCIONES_FECHA!$E$2:$E$201,MATCH(1,(EXCEPCIONES_FECHA!$A$2:$A$201=$A927)*(EXCEPCIONES_FECHA!$B$2:$B$201=$B927),0)),IFERROR(INDEX(EXCEPCIONES_FECHA!$E$2:$E$201,MATCH(1,(EXCEPCIONES_FECHA!$A$2:$A$201=$A927)*(EXCEPCIONES_FECHA!$B$2:$B$201=""),0)),IFERROR(INDEX(IF($I927="FIN",HISTORIAL_HORARIOS!$K$2:$K$201,HISTORIAL_HORARIOS!$G$2:$G$201),MATCH(1,(HISTORIAL_HORARIOS!$A$2:$A$201=$B927)*(HISTORIAL_HORARIOS!$C$2:$C$201&lt;=$A927)*(HISTORIAL_HORARIOS!$D$2:$D$201&gt;=$A927),0)),INDEX(IF($I927="FIN",PERSONAL!$K$2:$K$80,PERSONAL!$G$2:$G$80),MATCH($B927,PERSONAL!$A$2:$A$80,0)))))</f>
        <v/>
      </c>
      <c r="O927" s="53">
        <f t="array" ref="O927">IFERROR(INDEX(EXCEPCIONES_FECHA!$F$2:$F$201,MATCH(1,(EXCEPCIONES_FECHA!$A$2:$A$201=$A927)*(EXCEPCIONES_FECHA!$B$2:$B$201=$B927),0)),IFERROR(INDEX(EXCEPCIONES_FECHA!$F$2:$F$201,MATCH(1,(EXCEPCIONES_FECHA!$A$2:$A$201=$A927)*(EXCEPCIONES_FECHA!$B$2:$B$201=""),0)),IFERROR(INDEX(IF($I927="FIN",HISTORIAL_HORARIOS!$L$2:$L$201,HISTORIAL_HORARIOS!$H$2:$H$201),MATCH(1,(HISTORIAL_HORARIOS!$A$2:$A$201=$B927)*(HISTORIAL_HORARIOS!$C$2:$C$201&lt;=$A927)*(HISTORIAL_HORARIOS!$D$2:$D$201&gt;=$A927),0)),INDEX(IF($I927="FIN",PERSONAL!$L$2:$L$80,PERSONAL!$H$2:$H$80),MATCH($B927,PERSONAL!$A$2:$A$80,0)))))</f>
        <v/>
      </c>
    </row>
    <row r="928" ht="15" customHeight="1" s="58">
      <c r="A928" s="40" t="n"/>
      <c r="B928" s="38" t="n"/>
      <c r="C928" s="40" t="n"/>
      <c r="D928" s="40" t="n"/>
      <c r="E928" s="34">
        <f t="array" ref="E928">IF($B928="","",IFERROR(INDEX(PERSONAL!$B$2:$B$80,MATCH($B928,PERSONAL!$A$2:$A$80,0)),"NO EXISTE"))</f>
        <v/>
      </c>
      <c r="F928" s="34">
        <f t="array" ref="F928">IF($B928="","",IFERROR(INDEX(PERSONAL!$C$2:$C$80,MATCH($B928,PERSONAL!$A$2:$A$80,0)),""))</f>
        <v/>
      </c>
      <c r="G928" s="34">
        <f>IF($A928="","",CHOOSE(WEEKDAY($A928,2),"LUNES","MARTES","MIÉRCOLES","JUEVES","VIERNES","SÁBADO","DOMINGO"))</f>
        <v/>
      </c>
      <c r="H928" s="34">
        <f>IF($A928="","",CHOOSE(MONTH($A928),"ENERO","FEBRERO","MARZO","ABRIL","MAYO","JUNIO","JULIO","AGOSTO","SEPTIEMBRE","OCTUBRE","NOVIEMBRE","DICIEMBRE"))</f>
        <v/>
      </c>
      <c r="I928" s="34">
        <f>IF($A928="","",IF(OR($G928="SÁBADO",$G928="DOMINGO"),"FIN","LV"))</f>
        <v/>
      </c>
      <c r="J928" s="34">
        <f>IF(OR($A928="",$B928=""),"",IF($L928&lt;&gt;"",UPPER($L928),IF($C928="","FALTA",IFERROR(IF($C928&gt;=$O928,"ROJO FUERTE",IF($C928&gt;=$N928,"ROJO",IF($C928&gt;=$M928,"AMARILLO","VERDE"))),"REVISAR"))))</f>
        <v/>
      </c>
      <c r="K928" s="36">
        <f>IF(OR($C928="",$D928=""),"",IF($D928&gt;=$C928,($D928-$C928)*24,(1-$C928+$D928)*24))</f>
        <v/>
      </c>
      <c r="L928" s="34" t="n"/>
      <c r="M928" s="53">
        <f t="array" ref="M928">IFERROR(INDEX(EXCEPCIONES_FECHA!$D$2:$D$201,MATCH(1,(EXCEPCIONES_FECHA!$A$2:$A$201=$A928)*(EXCEPCIONES_FECHA!$B$2:$B$201=$B928),0)),IFERROR(INDEX(EXCEPCIONES_FECHA!$D$2:$D$201,MATCH(1,(EXCEPCIONES_FECHA!$A$2:$A$201=$A928)*(EXCEPCIONES_FECHA!$B$2:$B$201=""),0)),IFERROR(INDEX(IF($I928="FIN",HISTORIAL_HORARIOS!$J$2:$J$201,HISTORIAL_HORARIOS!$F$2:$F$201),MATCH(1,(HISTORIAL_HORARIOS!$A$2:$A$201=$B928)*(HISTORIAL_HORARIOS!$C$2:$C$201&lt;=$A928)*(HISTORIAL_HORARIOS!$D$2:$D$201&gt;=$A928),0)),INDEX(IF($I928="FIN",PERSONAL!$J$2:$J$80,PERSONAL!$F$2:$F$80),MATCH($B928,PERSONAL!$A$2:$A$80,0)))))</f>
        <v/>
      </c>
      <c r="N928" s="53">
        <f t="array" ref="N928">IFERROR(INDEX(EXCEPCIONES_FECHA!$E$2:$E$201,MATCH(1,(EXCEPCIONES_FECHA!$A$2:$A$201=$A928)*(EXCEPCIONES_FECHA!$B$2:$B$201=$B928),0)),IFERROR(INDEX(EXCEPCIONES_FECHA!$E$2:$E$201,MATCH(1,(EXCEPCIONES_FECHA!$A$2:$A$201=$A928)*(EXCEPCIONES_FECHA!$B$2:$B$201=""),0)),IFERROR(INDEX(IF($I928="FIN",HISTORIAL_HORARIOS!$K$2:$K$201,HISTORIAL_HORARIOS!$G$2:$G$201),MATCH(1,(HISTORIAL_HORARIOS!$A$2:$A$201=$B928)*(HISTORIAL_HORARIOS!$C$2:$C$201&lt;=$A928)*(HISTORIAL_HORARIOS!$D$2:$D$201&gt;=$A928),0)),INDEX(IF($I928="FIN",PERSONAL!$K$2:$K$80,PERSONAL!$G$2:$G$80),MATCH($B928,PERSONAL!$A$2:$A$80,0)))))</f>
        <v/>
      </c>
      <c r="O928" s="53">
        <f t="array" ref="O928">IFERROR(INDEX(EXCEPCIONES_FECHA!$F$2:$F$201,MATCH(1,(EXCEPCIONES_FECHA!$A$2:$A$201=$A928)*(EXCEPCIONES_FECHA!$B$2:$B$201=$B928),0)),IFERROR(INDEX(EXCEPCIONES_FECHA!$F$2:$F$201,MATCH(1,(EXCEPCIONES_FECHA!$A$2:$A$201=$A928)*(EXCEPCIONES_FECHA!$B$2:$B$201=""),0)),IFERROR(INDEX(IF($I928="FIN",HISTORIAL_HORARIOS!$L$2:$L$201,HISTORIAL_HORARIOS!$H$2:$H$201),MATCH(1,(HISTORIAL_HORARIOS!$A$2:$A$201=$B928)*(HISTORIAL_HORARIOS!$C$2:$C$201&lt;=$A928)*(HISTORIAL_HORARIOS!$D$2:$D$201&gt;=$A928),0)),INDEX(IF($I928="FIN",PERSONAL!$L$2:$L$80,PERSONAL!$H$2:$H$80),MATCH($B928,PERSONAL!$A$2:$A$80,0)))))</f>
        <v/>
      </c>
    </row>
    <row r="929" ht="15" customHeight="1" s="58">
      <c r="A929" s="40" t="n"/>
      <c r="B929" s="38" t="n"/>
      <c r="C929" s="40" t="n"/>
      <c r="D929" s="40" t="n"/>
      <c r="E929" s="34">
        <f t="array" ref="E929">IF($B929="","",IFERROR(INDEX(PERSONAL!$B$2:$B$80,MATCH($B929,PERSONAL!$A$2:$A$80,0)),"NO EXISTE"))</f>
        <v/>
      </c>
      <c r="F929" s="34">
        <f t="array" ref="F929">IF($B929="","",IFERROR(INDEX(PERSONAL!$C$2:$C$80,MATCH($B929,PERSONAL!$A$2:$A$80,0)),""))</f>
        <v/>
      </c>
      <c r="G929" s="34">
        <f>IF($A929="","",CHOOSE(WEEKDAY($A929,2),"LUNES","MARTES","MIÉRCOLES","JUEVES","VIERNES","SÁBADO","DOMINGO"))</f>
        <v/>
      </c>
      <c r="H929" s="34">
        <f>IF($A929="","",CHOOSE(MONTH($A929),"ENERO","FEBRERO","MARZO","ABRIL","MAYO","JUNIO","JULIO","AGOSTO","SEPTIEMBRE","OCTUBRE","NOVIEMBRE","DICIEMBRE"))</f>
        <v/>
      </c>
      <c r="I929" s="34">
        <f>IF($A929="","",IF(OR($G929="SÁBADO",$G929="DOMINGO"),"FIN","LV"))</f>
        <v/>
      </c>
      <c r="J929" s="34">
        <f>IF(OR($A929="",$B929=""),"",IF($L929&lt;&gt;"",UPPER($L929),IF($C929="","FALTA",IFERROR(IF($C929&gt;=$O929,"ROJO FUERTE",IF($C929&gt;=$N929,"ROJO",IF($C929&gt;=$M929,"AMARILLO","VERDE"))),"REVISAR"))))</f>
        <v/>
      </c>
      <c r="K929" s="36">
        <f>IF(OR($C929="",$D929=""),"",IF($D929&gt;=$C929,($D929-$C929)*24,(1-$C929+$D929)*24))</f>
        <v/>
      </c>
      <c r="L929" s="34" t="n"/>
      <c r="M929" s="53">
        <f t="array" ref="M929">IFERROR(INDEX(EXCEPCIONES_FECHA!$D$2:$D$201,MATCH(1,(EXCEPCIONES_FECHA!$A$2:$A$201=$A929)*(EXCEPCIONES_FECHA!$B$2:$B$201=$B929),0)),IFERROR(INDEX(EXCEPCIONES_FECHA!$D$2:$D$201,MATCH(1,(EXCEPCIONES_FECHA!$A$2:$A$201=$A929)*(EXCEPCIONES_FECHA!$B$2:$B$201=""),0)),IFERROR(INDEX(IF($I929="FIN",HISTORIAL_HORARIOS!$J$2:$J$201,HISTORIAL_HORARIOS!$F$2:$F$201),MATCH(1,(HISTORIAL_HORARIOS!$A$2:$A$201=$B929)*(HISTORIAL_HORARIOS!$C$2:$C$201&lt;=$A929)*(HISTORIAL_HORARIOS!$D$2:$D$201&gt;=$A929),0)),INDEX(IF($I929="FIN",PERSONAL!$J$2:$J$80,PERSONAL!$F$2:$F$80),MATCH($B929,PERSONAL!$A$2:$A$80,0)))))</f>
        <v/>
      </c>
      <c r="N929" s="53">
        <f t="array" ref="N929">IFERROR(INDEX(EXCEPCIONES_FECHA!$E$2:$E$201,MATCH(1,(EXCEPCIONES_FECHA!$A$2:$A$201=$A929)*(EXCEPCIONES_FECHA!$B$2:$B$201=$B929),0)),IFERROR(INDEX(EXCEPCIONES_FECHA!$E$2:$E$201,MATCH(1,(EXCEPCIONES_FECHA!$A$2:$A$201=$A929)*(EXCEPCIONES_FECHA!$B$2:$B$201=""),0)),IFERROR(INDEX(IF($I929="FIN",HISTORIAL_HORARIOS!$K$2:$K$201,HISTORIAL_HORARIOS!$G$2:$G$201),MATCH(1,(HISTORIAL_HORARIOS!$A$2:$A$201=$B929)*(HISTORIAL_HORARIOS!$C$2:$C$201&lt;=$A929)*(HISTORIAL_HORARIOS!$D$2:$D$201&gt;=$A929),0)),INDEX(IF($I929="FIN",PERSONAL!$K$2:$K$80,PERSONAL!$G$2:$G$80),MATCH($B929,PERSONAL!$A$2:$A$80,0)))))</f>
        <v/>
      </c>
      <c r="O929" s="53">
        <f t="array" ref="O929">IFERROR(INDEX(EXCEPCIONES_FECHA!$F$2:$F$201,MATCH(1,(EXCEPCIONES_FECHA!$A$2:$A$201=$A929)*(EXCEPCIONES_FECHA!$B$2:$B$201=$B929),0)),IFERROR(INDEX(EXCEPCIONES_FECHA!$F$2:$F$201,MATCH(1,(EXCEPCIONES_FECHA!$A$2:$A$201=$A929)*(EXCEPCIONES_FECHA!$B$2:$B$201=""),0)),IFERROR(INDEX(IF($I929="FIN",HISTORIAL_HORARIOS!$L$2:$L$201,HISTORIAL_HORARIOS!$H$2:$H$201),MATCH(1,(HISTORIAL_HORARIOS!$A$2:$A$201=$B929)*(HISTORIAL_HORARIOS!$C$2:$C$201&lt;=$A929)*(HISTORIAL_HORARIOS!$D$2:$D$201&gt;=$A929),0)),INDEX(IF($I929="FIN",PERSONAL!$L$2:$L$80,PERSONAL!$H$2:$H$80),MATCH($B929,PERSONAL!$A$2:$A$80,0)))))</f>
        <v/>
      </c>
    </row>
    <row r="930" ht="15" customHeight="1" s="58">
      <c r="A930" s="40" t="n"/>
      <c r="B930" s="38" t="n"/>
      <c r="C930" s="40" t="n"/>
      <c r="D930" s="40" t="n"/>
      <c r="E930" s="34">
        <f t="array" ref="E930">IF($B930="","",IFERROR(INDEX(PERSONAL!$B$2:$B$80,MATCH($B930,PERSONAL!$A$2:$A$80,0)),"NO EXISTE"))</f>
        <v/>
      </c>
      <c r="F930" s="34">
        <f t="array" ref="F930">IF($B930="","",IFERROR(INDEX(PERSONAL!$C$2:$C$80,MATCH($B930,PERSONAL!$A$2:$A$80,0)),""))</f>
        <v/>
      </c>
      <c r="G930" s="34">
        <f>IF($A930="","",CHOOSE(WEEKDAY($A930,2),"LUNES","MARTES","MIÉRCOLES","JUEVES","VIERNES","SÁBADO","DOMINGO"))</f>
        <v/>
      </c>
      <c r="H930" s="34">
        <f>IF($A930="","",CHOOSE(MONTH($A930),"ENERO","FEBRERO","MARZO","ABRIL","MAYO","JUNIO","JULIO","AGOSTO","SEPTIEMBRE","OCTUBRE","NOVIEMBRE","DICIEMBRE"))</f>
        <v/>
      </c>
      <c r="I930" s="34">
        <f>IF($A930="","",IF(OR($G930="SÁBADO",$G930="DOMINGO"),"FIN","LV"))</f>
        <v/>
      </c>
      <c r="J930" s="34">
        <f>IF(OR($A930="",$B930=""),"",IF($L930&lt;&gt;"",UPPER($L930),IF($C930="","FALTA",IFERROR(IF($C930&gt;=$O930,"ROJO FUERTE",IF($C930&gt;=$N930,"ROJO",IF($C930&gt;=$M930,"AMARILLO","VERDE"))),"REVISAR"))))</f>
        <v/>
      </c>
      <c r="K930" s="36">
        <f>IF(OR($C930="",$D930=""),"",IF($D930&gt;=$C930,($D930-$C930)*24,(1-$C930+$D930)*24))</f>
        <v/>
      </c>
      <c r="L930" s="34" t="n"/>
      <c r="M930" s="53">
        <f t="array" ref="M930">IFERROR(INDEX(EXCEPCIONES_FECHA!$D$2:$D$201,MATCH(1,(EXCEPCIONES_FECHA!$A$2:$A$201=$A930)*(EXCEPCIONES_FECHA!$B$2:$B$201=$B930),0)),IFERROR(INDEX(EXCEPCIONES_FECHA!$D$2:$D$201,MATCH(1,(EXCEPCIONES_FECHA!$A$2:$A$201=$A930)*(EXCEPCIONES_FECHA!$B$2:$B$201=""),0)),IFERROR(INDEX(IF($I930="FIN",HISTORIAL_HORARIOS!$J$2:$J$201,HISTORIAL_HORARIOS!$F$2:$F$201),MATCH(1,(HISTORIAL_HORARIOS!$A$2:$A$201=$B930)*(HISTORIAL_HORARIOS!$C$2:$C$201&lt;=$A930)*(HISTORIAL_HORARIOS!$D$2:$D$201&gt;=$A930),0)),INDEX(IF($I930="FIN",PERSONAL!$J$2:$J$80,PERSONAL!$F$2:$F$80),MATCH($B930,PERSONAL!$A$2:$A$80,0)))))</f>
        <v/>
      </c>
      <c r="N930" s="53">
        <f t="array" ref="N930">IFERROR(INDEX(EXCEPCIONES_FECHA!$E$2:$E$201,MATCH(1,(EXCEPCIONES_FECHA!$A$2:$A$201=$A930)*(EXCEPCIONES_FECHA!$B$2:$B$201=$B930),0)),IFERROR(INDEX(EXCEPCIONES_FECHA!$E$2:$E$201,MATCH(1,(EXCEPCIONES_FECHA!$A$2:$A$201=$A930)*(EXCEPCIONES_FECHA!$B$2:$B$201=""),0)),IFERROR(INDEX(IF($I930="FIN",HISTORIAL_HORARIOS!$K$2:$K$201,HISTORIAL_HORARIOS!$G$2:$G$201),MATCH(1,(HISTORIAL_HORARIOS!$A$2:$A$201=$B930)*(HISTORIAL_HORARIOS!$C$2:$C$201&lt;=$A930)*(HISTORIAL_HORARIOS!$D$2:$D$201&gt;=$A930),0)),INDEX(IF($I930="FIN",PERSONAL!$K$2:$K$80,PERSONAL!$G$2:$G$80),MATCH($B930,PERSONAL!$A$2:$A$80,0)))))</f>
        <v/>
      </c>
      <c r="O930" s="53">
        <f t="array" ref="O930">IFERROR(INDEX(EXCEPCIONES_FECHA!$F$2:$F$201,MATCH(1,(EXCEPCIONES_FECHA!$A$2:$A$201=$A930)*(EXCEPCIONES_FECHA!$B$2:$B$201=$B930),0)),IFERROR(INDEX(EXCEPCIONES_FECHA!$F$2:$F$201,MATCH(1,(EXCEPCIONES_FECHA!$A$2:$A$201=$A930)*(EXCEPCIONES_FECHA!$B$2:$B$201=""),0)),IFERROR(INDEX(IF($I930="FIN",HISTORIAL_HORARIOS!$L$2:$L$201,HISTORIAL_HORARIOS!$H$2:$H$201),MATCH(1,(HISTORIAL_HORARIOS!$A$2:$A$201=$B930)*(HISTORIAL_HORARIOS!$C$2:$C$201&lt;=$A930)*(HISTORIAL_HORARIOS!$D$2:$D$201&gt;=$A930),0)),INDEX(IF($I930="FIN",PERSONAL!$L$2:$L$80,PERSONAL!$H$2:$H$80),MATCH($B930,PERSONAL!$A$2:$A$80,0)))))</f>
        <v/>
      </c>
    </row>
    <row r="931" ht="15" customHeight="1" s="58">
      <c r="A931" s="40" t="n"/>
      <c r="B931" s="38" t="n"/>
      <c r="C931" s="40" t="n"/>
      <c r="D931" s="40" t="n"/>
      <c r="E931" s="34">
        <f t="array" ref="E931">IF($B931="","",IFERROR(INDEX(PERSONAL!$B$2:$B$80,MATCH($B931,PERSONAL!$A$2:$A$80,0)),"NO EXISTE"))</f>
        <v/>
      </c>
      <c r="F931" s="34">
        <f t="array" ref="F931">IF($B931="","",IFERROR(INDEX(PERSONAL!$C$2:$C$80,MATCH($B931,PERSONAL!$A$2:$A$80,0)),""))</f>
        <v/>
      </c>
      <c r="G931" s="34">
        <f>IF($A931="","",CHOOSE(WEEKDAY($A931,2),"LUNES","MARTES","MIÉRCOLES","JUEVES","VIERNES","SÁBADO","DOMINGO"))</f>
        <v/>
      </c>
      <c r="H931" s="34">
        <f>IF($A931="","",CHOOSE(MONTH($A931),"ENERO","FEBRERO","MARZO","ABRIL","MAYO","JUNIO","JULIO","AGOSTO","SEPTIEMBRE","OCTUBRE","NOVIEMBRE","DICIEMBRE"))</f>
        <v/>
      </c>
      <c r="I931" s="34">
        <f>IF($A931="","",IF(OR($G931="SÁBADO",$G931="DOMINGO"),"FIN","LV"))</f>
        <v/>
      </c>
      <c r="J931" s="34">
        <f>IF(OR($A931="",$B931=""),"",IF($L931&lt;&gt;"",UPPER($L931),IF($C931="","FALTA",IFERROR(IF($C931&gt;=$O931,"ROJO FUERTE",IF($C931&gt;=$N931,"ROJO",IF($C931&gt;=$M931,"AMARILLO","VERDE"))),"REVISAR"))))</f>
        <v/>
      </c>
      <c r="K931" s="36">
        <f>IF(OR($C931="",$D931=""),"",IF($D931&gt;=$C931,($D931-$C931)*24,(1-$C931+$D931)*24))</f>
        <v/>
      </c>
      <c r="L931" s="34" t="n"/>
      <c r="M931" s="53">
        <f t="array" ref="M931">IFERROR(INDEX(EXCEPCIONES_FECHA!$D$2:$D$201,MATCH(1,(EXCEPCIONES_FECHA!$A$2:$A$201=$A931)*(EXCEPCIONES_FECHA!$B$2:$B$201=$B931),0)),IFERROR(INDEX(EXCEPCIONES_FECHA!$D$2:$D$201,MATCH(1,(EXCEPCIONES_FECHA!$A$2:$A$201=$A931)*(EXCEPCIONES_FECHA!$B$2:$B$201=""),0)),IFERROR(INDEX(IF($I931="FIN",HISTORIAL_HORARIOS!$J$2:$J$201,HISTORIAL_HORARIOS!$F$2:$F$201),MATCH(1,(HISTORIAL_HORARIOS!$A$2:$A$201=$B931)*(HISTORIAL_HORARIOS!$C$2:$C$201&lt;=$A931)*(HISTORIAL_HORARIOS!$D$2:$D$201&gt;=$A931),0)),INDEX(IF($I931="FIN",PERSONAL!$J$2:$J$80,PERSONAL!$F$2:$F$80),MATCH($B931,PERSONAL!$A$2:$A$80,0)))))</f>
        <v/>
      </c>
      <c r="N931" s="53">
        <f t="array" ref="N931">IFERROR(INDEX(EXCEPCIONES_FECHA!$E$2:$E$201,MATCH(1,(EXCEPCIONES_FECHA!$A$2:$A$201=$A931)*(EXCEPCIONES_FECHA!$B$2:$B$201=$B931),0)),IFERROR(INDEX(EXCEPCIONES_FECHA!$E$2:$E$201,MATCH(1,(EXCEPCIONES_FECHA!$A$2:$A$201=$A931)*(EXCEPCIONES_FECHA!$B$2:$B$201=""),0)),IFERROR(INDEX(IF($I931="FIN",HISTORIAL_HORARIOS!$K$2:$K$201,HISTORIAL_HORARIOS!$G$2:$G$201),MATCH(1,(HISTORIAL_HORARIOS!$A$2:$A$201=$B931)*(HISTORIAL_HORARIOS!$C$2:$C$201&lt;=$A931)*(HISTORIAL_HORARIOS!$D$2:$D$201&gt;=$A931),0)),INDEX(IF($I931="FIN",PERSONAL!$K$2:$K$80,PERSONAL!$G$2:$G$80),MATCH($B931,PERSONAL!$A$2:$A$80,0)))))</f>
        <v/>
      </c>
      <c r="O931" s="53">
        <f t="array" ref="O931">IFERROR(INDEX(EXCEPCIONES_FECHA!$F$2:$F$201,MATCH(1,(EXCEPCIONES_FECHA!$A$2:$A$201=$A931)*(EXCEPCIONES_FECHA!$B$2:$B$201=$B931),0)),IFERROR(INDEX(EXCEPCIONES_FECHA!$F$2:$F$201,MATCH(1,(EXCEPCIONES_FECHA!$A$2:$A$201=$A931)*(EXCEPCIONES_FECHA!$B$2:$B$201=""),0)),IFERROR(INDEX(IF($I931="FIN",HISTORIAL_HORARIOS!$L$2:$L$201,HISTORIAL_HORARIOS!$H$2:$H$201),MATCH(1,(HISTORIAL_HORARIOS!$A$2:$A$201=$B931)*(HISTORIAL_HORARIOS!$C$2:$C$201&lt;=$A931)*(HISTORIAL_HORARIOS!$D$2:$D$201&gt;=$A931),0)),INDEX(IF($I931="FIN",PERSONAL!$L$2:$L$80,PERSONAL!$H$2:$H$80),MATCH($B931,PERSONAL!$A$2:$A$80,0)))))</f>
        <v/>
      </c>
    </row>
    <row r="932" ht="15" customHeight="1" s="58">
      <c r="A932" s="40" t="n"/>
      <c r="B932" s="38" t="n"/>
      <c r="C932" s="40" t="n"/>
      <c r="D932" s="40" t="n"/>
      <c r="E932" s="34">
        <f t="array" ref="E932">IF($B932="","",IFERROR(INDEX(PERSONAL!$B$2:$B$80,MATCH($B932,PERSONAL!$A$2:$A$80,0)),"NO EXISTE"))</f>
        <v/>
      </c>
      <c r="F932" s="34">
        <f t="array" ref="F932">IF($B932="","",IFERROR(INDEX(PERSONAL!$C$2:$C$80,MATCH($B932,PERSONAL!$A$2:$A$80,0)),""))</f>
        <v/>
      </c>
      <c r="G932" s="34">
        <f>IF($A932="","",CHOOSE(WEEKDAY($A932,2),"LUNES","MARTES","MIÉRCOLES","JUEVES","VIERNES","SÁBADO","DOMINGO"))</f>
        <v/>
      </c>
      <c r="H932" s="34">
        <f>IF($A932="","",CHOOSE(MONTH($A932),"ENERO","FEBRERO","MARZO","ABRIL","MAYO","JUNIO","JULIO","AGOSTO","SEPTIEMBRE","OCTUBRE","NOVIEMBRE","DICIEMBRE"))</f>
        <v/>
      </c>
      <c r="I932" s="34">
        <f>IF($A932="","",IF(OR($G932="SÁBADO",$G932="DOMINGO"),"FIN","LV"))</f>
        <v/>
      </c>
      <c r="J932" s="34">
        <f>IF(OR($A932="",$B932=""),"",IF($L932&lt;&gt;"",UPPER($L932),IF($C932="","FALTA",IFERROR(IF($C932&gt;=$O932,"ROJO FUERTE",IF($C932&gt;=$N932,"ROJO",IF($C932&gt;=$M932,"AMARILLO","VERDE"))),"REVISAR"))))</f>
        <v/>
      </c>
      <c r="K932" s="36">
        <f>IF(OR($C932="",$D932=""),"",IF($D932&gt;=$C932,($D932-$C932)*24,(1-$C932+$D932)*24))</f>
        <v/>
      </c>
      <c r="L932" s="34" t="n"/>
      <c r="M932" s="53">
        <f t="array" ref="M932">IFERROR(INDEX(EXCEPCIONES_FECHA!$D$2:$D$201,MATCH(1,(EXCEPCIONES_FECHA!$A$2:$A$201=$A932)*(EXCEPCIONES_FECHA!$B$2:$B$201=$B932),0)),IFERROR(INDEX(EXCEPCIONES_FECHA!$D$2:$D$201,MATCH(1,(EXCEPCIONES_FECHA!$A$2:$A$201=$A932)*(EXCEPCIONES_FECHA!$B$2:$B$201=""),0)),IFERROR(INDEX(IF($I932="FIN",HISTORIAL_HORARIOS!$J$2:$J$201,HISTORIAL_HORARIOS!$F$2:$F$201),MATCH(1,(HISTORIAL_HORARIOS!$A$2:$A$201=$B932)*(HISTORIAL_HORARIOS!$C$2:$C$201&lt;=$A932)*(HISTORIAL_HORARIOS!$D$2:$D$201&gt;=$A932),0)),INDEX(IF($I932="FIN",PERSONAL!$J$2:$J$80,PERSONAL!$F$2:$F$80),MATCH($B932,PERSONAL!$A$2:$A$80,0)))))</f>
        <v/>
      </c>
      <c r="N932" s="53">
        <f t="array" ref="N932">IFERROR(INDEX(EXCEPCIONES_FECHA!$E$2:$E$201,MATCH(1,(EXCEPCIONES_FECHA!$A$2:$A$201=$A932)*(EXCEPCIONES_FECHA!$B$2:$B$201=$B932),0)),IFERROR(INDEX(EXCEPCIONES_FECHA!$E$2:$E$201,MATCH(1,(EXCEPCIONES_FECHA!$A$2:$A$201=$A932)*(EXCEPCIONES_FECHA!$B$2:$B$201=""),0)),IFERROR(INDEX(IF($I932="FIN",HISTORIAL_HORARIOS!$K$2:$K$201,HISTORIAL_HORARIOS!$G$2:$G$201),MATCH(1,(HISTORIAL_HORARIOS!$A$2:$A$201=$B932)*(HISTORIAL_HORARIOS!$C$2:$C$201&lt;=$A932)*(HISTORIAL_HORARIOS!$D$2:$D$201&gt;=$A932),0)),INDEX(IF($I932="FIN",PERSONAL!$K$2:$K$80,PERSONAL!$G$2:$G$80),MATCH($B932,PERSONAL!$A$2:$A$80,0)))))</f>
        <v/>
      </c>
      <c r="O932" s="53">
        <f t="array" ref="O932">IFERROR(INDEX(EXCEPCIONES_FECHA!$F$2:$F$201,MATCH(1,(EXCEPCIONES_FECHA!$A$2:$A$201=$A932)*(EXCEPCIONES_FECHA!$B$2:$B$201=$B932),0)),IFERROR(INDEX(EXCEPCIONES_FECHA!$F$2:$F$201,MATCH(1,(EXCEPCIONES_FECHA!$A$2:$A$201=$A932)*(EXCEPCIONES_FECHA!$B$2:$B$201=""),0)),IFERROR(INDEX(IF($I932="FIN",HISTORIAL_HORARIOS!$L$2:$L$201,HISTORIAL_HORARIOS!$H$2:$H$201),MATCH(1,(HISTORIAL_HORARIOS!$A$2:$A$201=$B932)*(HISTORIAL_HORARIOS!$C$2:$C$201&lt;=$A932)*(HISTORIAL_HORARIOS!$D$2:$D$201&gt;=$A932),0)),INDEX(IF($I932="FIN",PERSONAL!$L$2:$L$80,PERSONAL!$H$2:$H$80),MATCH($B932,PERSONAL!$A$2:$A$80,0)))))</f>
        <v/>
      </c>
    </row>
    <row r="933" ht="15" customHeight="1" s="58">
      <c r="A933" s="40" t="n"/>
      <c r="B933" s="38" t="n"/>
      <c r="C933" s="40" t="n"/>
      <c r="D933" s="40" t="n"/>
      <c r="E933" s="34">
        <f t="array" ref="E933">IF($B933="","",IFERROR(INDEX(PERSONAL!$B$2:$B$80,MATCH($B933,PERSONAL!$A$2:$A$80,0)),"NO EXISTE"))</f>
        <v/>
      </c>
      <c r="F933" s="34">
        <f t="array" ref="F933">IF($B933="","",IFERROR(INDEX(PERSONAL!$C$2:$C$80,MATCH($B933,PERSONAL!$A$2:$A$80,0)),""))</f>
        <v/>
      </c>
      <c r="G933" s="34">
        <f>IF($A933="","",CHOOSE(WEEKDAY($A933,2),"LUNES","MARTES","MIÉRCOLES","JUEVES","VIERNES","SÁBADO","DOMINGO"))</f>
        <v/>
      </c>
      <c r="H933" s="34">
        <f>IF($A933="","",CHOOSE(MONTH($A933),"ENERO","FEBRERO","MARZO","ABRIL","MAYO","JUNIO","JULIO","AGOSTO","SEPTIEMBRE","OCTUBRE","NOVIEMBRE","DICIEMBRE"))</f>
        <v/>
      </c>
      <c r="I933" s="34">
        <f>IF($A933="","",IF(OR($G933="SÁBADO",$G933="DOMINGO"),"FIN","LV"))</f>
        <v/>
      </c>
      <c r="J933" s="34">
        <f>IF(OR($A933="",$B933=""),"",IF($L933&lt;&gt;"",UPPER($L933),IF($C933="","FALTA",IFERROR(IF($C933&gt;=$O933,"ROJO FUERTE",IF($C933&gt;=$N933,"ROJO",IF($C933&gt;=$M933,"AMARILLO","VERDE"))),"REVISAR"))))</f>
        <v/>
      </c>
      <c r="K933" s="36">
        <f>IF(OR($C933="",$D933=""),"",IF($D933&gt;=$C933,($D933-$C933)*24,(1-$C933+$D933)*24))</f>
        <v/>
      </c>
      <c r="L933" s="34" t="n"/>
      <c r="M933" s="53">
        <f t="array" ref="M933">IFERROR(INDEX(EXCEPCIONES_FECHA!$D$2:$D$201,MATCH(1,(EXCEPCIONES_FECHA!$A$2:$A$201=$A933)*(EXCEPCIONES_FECHA!$B$2:$B$201=$B933),0)),IFERROR(INDEX(EXCEPCIONES_FECHA!$D$2:$D$201,MATCH(1,(EXCEPCIONES_FECHA!$A$2:$A$201=$A933)*(EXCEPCIONES_FECHA!$B$2:$B$201=""),0)),IFERROR(INDEX(IF($I933="FIN",HISTORIAL_HORARIOS!$J$2:$J$201,HISTORIAL_HORARIOS!$F$2:$F$201),MATCH(1,(HISTORIAL_HORARIOS!$A$2:$A$201=$B933)*(HISTORIAL_HORARIOS!$C$2:$C$201&lt;=$A933)*(HISTORIAL_HORARIOS!$D$2:$D$201&gt;=$A933),0)),INDEX(IF($I933="FIN",PERSONAL!$J$2:$J$80,PERSONAL!$F$2:$F$80),MATCH($B933,PERSONAL!$A$2:$A$80,0)))))</f>
        <v/>
      </c>
      <c r="N933" s="53">
        <f t="array" ref="N933">IFERROR(INDEX(EXCEPCIONES_FECHA!$E$2:$E$201,MATCH(1,(EXCEPCIONES_FECHA!$A$2:$A$201=$A933)*(EXCEPCIONES_FECHA!$B$2:$B$201=$B933),0)),IFERROR(INDEX(EXCEPCIONES_FECHA!$E$2:$E$201,MATCH(1,(EXCEPCIONES_FECHA!$A$2:$A$201=$A933)*(EXCEPCIONES_FECHA!$B$2:$B$201=""),0)),IFERROR(INDEX(IF($I933="FIN",HISTORIAL_HORARIOS!$K$2:$K$201,HISTORIAL_HORARIOS!$G$2:$G$201),MATCH(1,(HISTORIAL_HORARIOS!$A$2:$A$201=$B933)*(HISTORIAL_HORARIOS!$C$2:$C$201&lt;=$A933)*(HISTORIAL_HORARIOS!$D$2:$D$201&gt;=$A933),0)),INDEX(IF($I933="FIN",PERSONAL!$K$2:$K$80,PERSONAL!$G$2:$G$80),MATCH($B933,PERSONAL!$A$2:$A$80,0)))))</f>
        <v/>
      </c>
      <c r="O933" s="53">
        <f t="array" ref="O933">IFERROR(INDEX(EXCEPCIONES_FECHA!$F$2:$F$201,MATCH(1,(EXCEPCIONES_FECHA!$A$2:$A$201=$A933)*(EXCEPCIONES_FECHA!$B$2:$B$201=$B933),0)),IFERROR(INDEX(EXCEPCIONES_FECHA!$F$2:$F$201,MATCH(1,(EXCEPCIONES_FECHA!$A$2:$A$201=$A933)*(EXCEPCIONES_FECHA!$B$2:$B$201=""),0)),IFERROR(INDEX(IF($I933="FIN",HISTORIAL_HORARIOS!$L$2:$L$201,HISTORIAL_HORARIOS!$H$2:$H$201),MATCH(1,(HISTORIAL_HORARIOS!$A$2:$A$201=$B933)*(HISTORIAL_HORARIOS!$C$2:$C$201&lt;=$A933)*(HISTORIAL_HORARIOS!$D$2:$D$201&gt;=$A933),0)),INDEX(IF($I933="FIN",PERSONAL!$L$2:$L$80,PERSONAL!$H$2:$H$80),MATCH($B933,PERSONAL!$A$2:$A$80,0)))))</f>
        <v/>
      </c>
    </row>
    <row r="934" ht="15" customHeight="1" s="58">
      <c r="A934" s="40" t="n"/>
      <c r="B934" s="38" t="n"/>
      <c r="C934" s="40" t="n"/>
      <c r="D934" s="40" t="n"/>
      <c r="E934" s="34">
        <f t="array" ref="E934">IF($B934="","",IFERROR(INDEX(PERSONAL!$B$2:$B$80,MATCH($B934,PERSONAL!$A$2:$A$80,0)),"NO EXISTE"))</f>
        <v/>
      </c>
      <c r="F934" s="34">
        <f t="array" ref="F934">IF($B934="","",IFERROR(INDEX(PERSONAL!$C$2:$C$80,MATCH($B934,PERSONAL!$A$2:$A$80,0)),""))</f>
        <v/>
      </c>
      <c r="G934" s="34">
        <f>IF($A934="","",CHOOSE(WEEKDAY($A934,2),"LUNES","MARTES","MIÉRCOLES","JUEVES","VIERNES","SÁBADO","DOMINGO"))</f>
        <v/>
      </c>
      <c r="H934" s="34">
        <f>IF($A934="","",CHOOSE(MONTH($A934),"ENERO","FEBRERO","MARZO","ABRIL","MAYO","JUNIO","JULIO","AGOSTO","SEPTIEMBRE","OCTUBRE","NOVIEMBRE","DICIEMBRE"))</f>
        <v/>
      </c>
      <c r="I934" s="34">
        <f>IF($A934="","",IF(OR($G934="SÁBADO",$G934="DOMINGO"),"FIN","LV"))</f>
        <v/>
      </c>
      <c r="J934" s="34">
        <f>IF(OR($A934="",$B934=""),"",IF($L934&lt;&gt;"",UPPER($L934),IF($C934="","FALTA",IFERROR(IF($C934&gt;=$O934,"ROJO FUERTE",IF($C934&gt;=$N934,"ROJO",IF($C934&gt;=$M934,"AMARILLO","VERDE"))),"REVISAR"))))</f>
        <v/>
      </c>
      <c r="K934" s="36">
        <f>IF(OR($C934="",$D934=""),"",IF($D934&gt;=$C934,($D934-$C934)*24,(1-$C934+$D934)*24))</f>
        <v/>
      </c>
      <c r="L934" s="34" t="n"/>
      <c r="M934" s="53">
        <f t="array" ref="M934">IFERROR(INDEX(EXCEPCIONES_FECHA!$D$2:$D$201,MATCH(1,(EXCEPCIONES_FECHA!$A$2:$A$201=$A934)*(EXCEPCIONES_FECHA!$B$2:$B$201=$B934),0)),IFERROR(INDEX(EXCEPCIONES_FECHA!$D$2:$D$201,MATCH(1,(EXCEPCIONES_FECHA!$A$2:$A$201=$A934)*(EXCEPCIONES_FECHA!$B$2:$B$201=""),0)),IFERROR(INDEX(IF($I934="FIN",HISTORIAL_HORARIOS!$J$2:$J$201,HISTORIAL_HORARIOS!$F$2:$F$201),MATCH(1,(HISTORIAL_HORARIOS!$A$2:$A$201=$B934)*(HISTORIAL_HORARIOS!$C$2:$C$201&lt;=$A934)*(HISTORIAL_HORARIOS!$D$2:$D$201&gt;=$A934),0)),INDEX(IF($I934="FIN",PERSONAL!$J$2:$J$80,PERSONAL!$F$2:$F$80),MATCH($B934,PERSONAL!$A$2:$A$80,0)))))</f>
        <v/>
      </c>
      <c r="N934" s="53">
        <f t="array" ref="N934">IFERROR(INDEX(EXCEPCIONES_FECHA!$E$2:$E$201,MATCH(1,(EXCEPCIONES_FECHA!$A$2:$A$201=$A934)*(EXCEPCIONES_FECHA!$B$2:$B$201=$B934),0)),IFERROR(INDEX(EXCEPCIONES_FECHA!$E$2:$E$201,MATCH(1,(EXCEPCIONES_FECHA!$A$2:$A$201=$A934)*(EXCEPCIONES_FECHA!$B$2:$B$201=""),0)),IFERROR(INDEX(IF($I934="FIN",HISTORIAL_HORARIOS!$K$2:$K$201,HISTORIAL_HORARIOS!$G$2:$G$201),MATCH(1,(HISTORIAL_HORARIOS!$A$2:$A$201=$B934)*(HISTORIAL_HORARIOS!$C$2:$C$201&lt;=$A934)*(HISTORIAL_HORARIOS!$D$2:$D$201&gt;=$A934),0)),INDEX(IF($I934="FIN",PERSONAL!$K$2:$K$80,PERSONAL!$G$2:$G$80),MATCH($B934,PERSONAL!$A$2:$A$80,0)))))</f>
        <v/>
      </c>
      <c r="O934" s="53">
        <f t="array" ref="O934">IFERROR(INDEX(EXCEPCIONES_FECHA!$F$2:$F$201,MATCH(1,(EXCEPCIONES_FECHA!$A$2:$A$201=$A934)*(EXCEPCIONES_FECHA!$B$2:$B$201=$B934),0)),IFERROR(INDEX(EXCEPCIONES_FECHA!$F$2:$F$201,MATCH(1,(EXCEPCIONES_FECHA!$A$2:$A$201=$A934)*(EXCEPCIONES_FECHA!$B$2:$B$201=""),0)),IFERROR(INDEX(IF($I934="FIN",HISTORIAL_HORARIOS!$L$2:$L$201,HISTORIAL_HORARIOS!$H$2:$H$201),MATCH(1,(HISTORIAL_HORARIOS!$A$2:$A$201=$B934)*(HISTORIAL_HORARIOS!$C$2:$C$201&lt;=$A934)*(HISTORIAL_HORARIOS!$D$2:$D$201&gt;=$A934),0)),INDEX(IF($I934="FIN",PERSONAL!$L$2:$L$80,PERSONAL!$H$2:$H$80),MATCH($B934,PERSONAL!$A$2:$A$80,0)))))</f>
        <v/>
      </c>
    </row>
    <row r="935" ht="15" customHeight="1" s="58">
      <c r="A935" s="40" t="n"/>
      <c r="B935" s="38" t="n"/>
      <c r="C935" s="40" t="n"/>
      <c r="D935" s="40" t="n"/>
      <c r="E935" s="34">
        <f t="array" ref="E935">IF($B935="","",IFERROR(INDEX(PERSONAL!$B$2:$B$80,MATCH($B935,PERSONAL!$A$2:$A$80,0)),"NO EXISTE"))</f>
        <v/>
      </c>
      <c r="F935" s="34">
        <f t="array" ref="F935">IF($B935="","",IFERROR(INDEX(PERSONAL!$C$2:$C$80,MATCH($B935,PERSONAL!$A$2:$A$80,0)),""))</f>
        <v/>
      </c>
      <c r="G935" s="34">
        <f>IF($A935="","",CHOOSE(WEEKDAY($A935,2),"LUNES","MARTES","MIÉRCOLES","JUEVES","VIERNES","SÁBADO","DOMINGO"))</f>
        <v/>
      </c>
      <c r="H935" s="34">
        <f>IF($A935="","",CHOOSE(MONTH($A935),"ENERO","FEBRERO","MARZO","ABRIL","MAYO","JUNIO","JULIO","AGOSTO","SEPTIEMBRE","OCTUBRE","NOVIEMBRE","DICIEMBRE"))</f>
        <v/>
      </c>
      <c r="I935" s="34">
        <f>IF($A935="","",IF(OR($G935="SÁBADO",$G935="DOMINGO"),"FIN","LV"))</f>
        <v/>
      </c>
      <c r="J935" s="34">
        <f>IF(OR($A935="",$B935=""),"",IF($L935&lt;&gt;"",UPPER($L935),IF($C935="","FALTA",IFERROR(IF($C935&gt;=$O935,"ROJO FUERTE",IF($C935&gt;=$N935,"ROJO",IF($C935&gt;=$M935,"AMARILLO","VERDE"))),"REVISAR"))))</f>
        <v/>
      </c>
      <c r="K935" s="36">
        <f>IF(OR($C935="",$D935=""),"",IF($D935&gt;=$C935,($D935-$C935)*24,(1-$C935+$D935)*24))</f>
        <v/>
      </c>
      <c r="L935" s="34" t="n"/>
      <c r="M935" s="53">
        <f t="array" ref="M935">IFERROR(INDEX(EXCEPCIONES_FECHA!$D$2:$D$201,MATCH(1,(EXCEPCIONES_FECHA!$A$2:$A$201=$A935)*(EXCEPCIONES_FECHA!$B$2:$B$201=$B935),0)),IFERROR(INDEX(EXCEPCIONES_FECHA!$D$2:$D$201,MATCH(1,(EXCEPCIONES_FECHA!$A$2:$A$201=$A935)*(EXCEPCIONES_FECHA!$B$2:$B$201=""),0)),IFERROR(INDEX(IF($I935="FIN",HISTORIAL_HORARIOS!$J$2:$J$201,HISTORIAL_HORARIOS!$F$2:$F$201),MATCH(1,(HISTORIAL_HORARIOS!$A$2:$A$201=$B935)*(HISTORIAL_HORARIOS!$C$2:$C$201&lt;=$A935)*(HISTORIAL_HORARIOS!$D$2:$D$201&gt;=$A935),0)),INDEX(IF($I935="FIN",PERSONAL!$J$2:$J$80,PERSONAL!$F$2:$F$80),MATCH($B935,PERSONAL!$A$2:$A$80,0)))))</f>
        <v/>
      </c>
      <c r="N935" s="53">
        <f t="array" ref="N935">IFERROR(INDEX(EXCEPCIONES_FECHA!$E$2:$E$201,MATCH(1,(EXCEPCIONES_FECHA!$A$2:$A$201=$A935)*(EXCEPCIONES_FECHA!$B$2:$B$201=$B935),0)),IFERROR(INDEX(EXCEPCIONES_FECHA!$E$2:$E$201,MATCH(1,(EXCEPCIONES_FECHA!$A$2:$A$201=$A935)*(EXCEPCIONES_FECHA!$B$2:$B$201=""),0)),IFERROR(INDEX(IF($I935="FIN",HISTORIAL_HORARIOS!$K$2:$K$201,HISTORIAL_HORARIOS!$G$2:$G$201),MATCH(1,(HISTORIAL_HORARIOS!$A$2:$A$201=$B935)*(HISTORIAL_HORARIOS!$C$2:$C$201&lt;=$A935)*(HISTORIAL_HORARIOS!$D$2:$D$201&gt;=$A935),0)),INDEX(IF($I935="FIN",PERSONAL!$K$2:$K$80,PERSONAL!$G$2:$G$80),MATCH($B935,PERSONAL!$A$2:$A$80,0)))))</f>
        <v/>
      </c>
      <c r="O935" s="53">
        <f t="array" ref="O935">IFERROR(INDEX(EXCEPCIONES_FECHA!$F$2:$F$201,MATCH(1,(EXCEPCIONES_FECHA!$A$2:$A$201=$A935)*(EXCEPCIONES_FECHA!$B$2:$B$201=$B935),0)),IFERROR(INDEX(EXCEPCIONES_FECHA!$F$2:$F$201,MATCH(1,(EXCEPCIONES_FECHA!$A$2:$A$201=$A935)*(EXCEPCIONES_FECHA!$B$2:$B$201=""),0)),IFERROR(INDEX(IF($I935="FIN",HISTORIAL_HORARIOS!$L$2:$L$201,HISTORIAL_HORARIOS!$H$2:$H$201),MATCH(1,(HISTORIAL_HORARIOS!$A$2:$A$201=$B935)*(HISTORIAL_HORARIOS!$C$2:$C$201&lt;=$A935)*(HISTORIAL_HORARIOS!$D$2:$D$201&gt;=$A935),0)),INDEX(IF($I935="FIN",PERSONAL!$L$2:$L$80,PERSONAL!$H$2:$H$80),MATCH($B935,PERSONAL!$A$2:$A$80,0)))))</f>
        <v/>
      </c>
    </row>
    <row r="936" ht="15" customHeight="1" s="58">
      <c r="A936" s="40" t="n"/>
      <c r="B936" s="38" t="n"/>
      <c r="C936" s="40" t="n"/>
      <c r="D936" s="40" t="n"/>
      <c r="E936" s="34">
        <f t="array" ref="E936">IF($B936="","",IFERROR(INDEX(PERSONAL!$B$2:$B$80,MATCH($B936,PERSONAL!$A$2:$A$80,0)),"NO EXISTE"))</f>
        <v/>
      </c>
      <c r="F936" s="34">
        <f t="array" ref="F936">IF($B936="","",IFERROR(INDEX(PERSONAL!$C$2:$C$80,MATCH($B936,PERSONAL!$A$2:$A$80,0)),""))</f>
        <v/>
      </c>
      <c r="G936" s="34">
        <f>IF($A936="","",CHOOSE(WEEKDAY($A936,2),"LUNES","MARTES","MIÉRCOLES","JUEVES","VIERNES","SÁBADO","DOMINGO"))</f>
        <v/>
      </c>
      <c r="H936" s="34">
        <f>IF($A936="","",CHOOSE(MONTH($A936),"ENERO","FEBRERO","MARZO","ABRIL","MAYO","JUNIO","JULIO","AGOSTO","SEPTIEMBRE","OCTUBRE","NOVIEMBRE","DICIEMBRE"))</f>
        <v/>
      </c>
      <c r="I936" s="34">
        <f>IF($A936="","",IF(OR($G936="SÁBADO",$G936="DOMINGO"),"FIN","LV"))</f>
        <v/>
      </c>
      <c r="J936" s="34">
        <f>IF(OR($A936="",$B936=""),"",IF($L936&lt;&gt;"",UPPER($L936),IF($C936="","FALTA",IFERROR(IF($C936&gt;=$O936,"ROJO FUERTE",IF($C936&gt;=$N936,"ROJO",IF($C936&gt;=$M936,"AMARILLO","VERDE"))),"REVISAR"))))</f>
        <v/>
      </c>
      <c r="K936" s="36">
        <f>IF(OR($C936="",$D936=""),"",IF($D936&gt;=$C936,($D936-$C936)*24,(1-$C936+$D936)*24))</f>
        <v/>
      </c>
      <c r="L936" s="34" t="n"/>
      <c r="M936" s="53">
        <f t="array" ref="M936">IFERROR(INDEX(EXCEPCIONES_FECHA!$D$2:$D$201,MATCH(1,(EXCEPCIONES_FECHA!$A$2:$A$201=$A936)*(EXCEPCIONES_FECHA!$B$2:$B$201=$B936),0)),IFERROR(INDEX(EXCEPCIONES_FECHA!$D$2:$D$201,MATCH(1,(EXCEPCIONES_FECHA!$A$2:$A$201=$A936)*(EXCEPCIONES_FECHA!$B$2:$B$201=""),0)),IFERROR(INDEX(IF($I936="FIN",HISTORIAL_HORARIOS!$J$2:$J$201,HISTORIAL_HORARIOS!$F$2:$F$201),MATCH(1,(HISTORIAL_HORARIOS!$A$2:$A$201=$B936)*(HISTORIAL_HORARIOS!$C$2:$C$201&lt;=$A936)*(HISTORIAL_HORARIOS!$D$2:$D$201&gt;=$A936),0)),INDEX(IF($I936="FIN",PERSONAL!$J$2:$J$80,PERSONAL!$F$2:$F$80),MATCH($B936,PERSONAL!$A$2:$A$80,0)))))</f>
        <v/>
      </c>
      <c r="N936" s="53">
        <f t="array" ref="N936">IFERROR(INDEX(EXCEPCIONES_FECHA!$E$2:$E$201,MATCH(1,(EXCEPCIONES_FECHA!$A$2:$A$201=$A936)*(EXCEPCIONES_FECHA!$B$2:$B$201=$B936),0)),IFERROR(INDEX(EXCEPCIONES_FECHA!$E$2:$E$201,MATCH(1,(EXCEPCIONES_FECHA!$A$2:$A$201=$A936)*(EXCEPCIONES_FECHA!$B$2:$B$201=""),0)),IFERROR(INDEX(IF($I936="FIN",HISTORIAL_HORARIOS!$K$2:$K$201,HISTORIAL_HORARIOS!$G$2:$G$201),MATCH(1,(HISTORIAL_HORARIOS!$A$2:$A$201=$B936)*(HISTORIAL_HORARIOS!$C$2:$C$201&lt;=$A936)*(HISTORIAL_HORARIOS!$D$2:$D$201&gt;=$A936),0)),INDEX(IF($I936="FIN",PERSONAL!$K$2:$K$80,PERSONAL!$G$2:$G$80),MATCH($B936,PERSONAL!$A$2:$A$80,0)))))</f>
        <v/>
      </c>
      <c r="O936" s="53">
        <f t="array" ref="O936">IFERROR(INDEX(EXCEPCIONES_FECHA!$F$2:$F$201,MATCH(1,(EXCEPCIONES_FECHA!$A$2:$A$201=$A936)*(EXCEPCIONES_FECHA!$B$2:$B$201=$B936),0)),IFERROR(INDEX(EXCEPCIONES_FECHA!$F$2:$F$201,MATCH(1,(EXCEPCIONES_FECHA!$A$2:$A$201=$A936)*(EXCEPCIONES_FECHA!$B$2:$B$201=""),0)),IFERROR(INDEX(IF($I936="FIN",HISTORIAL_HORARIOS!$L$2:$L$201,HISTORIAL_HORARIOS!$H$2:$H$201),MATCH(1,(HISTORIAL_HORARIOS!$A$2:$A$201=$B936)*(HISTORIAL_HORARIOS!$C$2:$C$201&lt;=$A936)*(HISTORIAL_HORARIOS!$D$2:$D$201&gt;=$A936),0)),INDEX(IF($I936="FIN",PERSONAL!$L$2:$L$80,PERSONAL!$H$2:$H$80),MATCH($B936,PERSONAL!$A$2:$A$80,0)))))</f>
        <v/>
      </c>
    </row>
    <row r="937" ht="15" customHeight="1" s="58">
      <c r="A937" s="40" t="n"/>
      <c r="B937" s="38" t="n"/>
      <c r="C937" s="40" t="n"/>
      <c r="D937" s="40" t="n"/>
      <c r="E937" s="34">
        <f t="array" ref="E937">IF($B937="","",IFERROR(INDEX(PERSONAL!$B$2:$B$80,MATCH($B937,PERSONAL!$A$2:$A$80,0)),"NO EXISTE"))</f>
        <v/>
      </c>
      <c r="F937" s="34">
        <f t="array" ref="F937">IF($B937="","",IFERROR(INDEX(PERSONAL!$C$2:$C$80,MATCH($B937,PERSONAL!$A$2:$A$80,0)),""))</f>
        <v/>
      </c>
      <c r="G937" s="34">
        <f>IF($A937="","",CHOOSE(WEEKDAY($A937,2),"LUNES","MARTES","MIÉRCOLES","JUEVES","VIERNES","SÁBADO","DOMINGO"))</f>
        <v/>
      </c>
      <c r="H937" s="34">
        <f>IF($A937="","",CHOOSE(MONTH($A937),"ENERO","FEBRERO","MARZO","ABRIL","MAYO","JUNIO","JULIO","AGOSTO","SEPTIEMBRE","OCTUBRE","NOVIEMBRE","DICIEMBRE"))</f>
        <v/>
      </c>
      <c r="I937" s="34">
        <f>IF($A937="","",IF(OR($G937="SÁBADO",$G937="DOMINGO"),"FIN","LV"))</f>
        <v/>
      </c>
      <c r="J937" s="34">
        <f>IF(OR($A937="",$B937=""),"",IF($L937&lt;&gt;"",UPPER($L937),IF($C937="","FALTA",IFERROR(IF($C937&gt;=$O937,"ROJO FUERTE",IF($C937&gt;=$N937,"ROJO",IF($C937&gt;=$M937,"AMARILLO","VERDE"))),"REVISAR"))))</f>
        <v/>
      </c>
      <c r="K937" s="36">
        <f>IF(OR($C937="",$D937=""),"",IF($D937&gt;=$C937,($D937-$C937)*24,(1-$C937+$D937)*24))</f>
        <v/>
      </c>
      <c r="L937" s="34" t="n"/>
      <c r="M937" s="53">
        <f t="array" ref="M937">IFERROR(INDEX(EXCEPCIONES_FECHA!$D$2:$D$201,MATCH(1,(EXCEPCIONES_FECHA!$A$2:$A$201=$A937)*(EXCEPCIONES_FECHA!$B$2:$B$201=$B937),0)),IFERROR(INDEX(EXCEPCIONES_FECHA!$D$2:$D$201,MATCH(1,(EXCEPCIONES_FECHA!$A$2:$A$201=$A937)*(EXCEPCIONES_FECHA!$B$2:$B$201=""),0)),IFERROR(INDEX(IF($I937="FIN",HISTORIAL_HORARIOS!$J$2:$J$201,HISTORIAL_HORARIOS!$F$2:$F$201),MATCH(1,(HISTORIAL_HORARIOS!$A$2:$A$201=$B937)*(HISTORIAL_HORARIOS!$C$2:$C$201&lt;=$A937)*(HISTORIAL_HORARIOS!$D$2:$D$201&gt;=$A937),0)),INDEX(IF($I937="FIN",PERSONAL!$J$2:$J$80,PERSONAL!$F$2:$F$80),MATCH($B937,PERSONAL!$A$2:$A$80,0)))))</f>
        <v/>
      </c>
      <c r="N937" s="53">
        <f t="array" ref="N937">IFERROR(INDEX(EXCEPCIONES_FECHA!$E$2:$E$201,MATCH(1,(EXCEPCIONES_FECHA!$A$2:$A$201=$A937)*(EXCEPCIONES_FECHA!$B$2:$B$201=$B937),0)),IFERROR(INDEX(EXCEPCIONES_FECHA!$E$2:$E$201,MATCH(1,(EXCEPCIONES_FECHA!$A$2:$A$201=$A937)*(EXCEPCIONES_FECHA!$B$2:$B$201=""),0)),IFERROR(INDEX(IF($I937="FIN",HISTORIAL_HORARIOS!$K$2:$K$201,HISTORIAL_HORARIOS!$G$2:$G$201),MATCH(1,(HISTORIAL_HORARIOS!$A$2:$A$201=$B937)*(HISTORIAL_HORARIOS!$C$2:$C$201&lt;=$A937)*(HISTORIAL_HORARIOS!$D$2:$D$201&gt;=$A937),0)),INDEX(IF($I937="FIN",PERSONAL!$K$2:$K$80,PERSONAL!$G$2:$G$80),MATCH($B937,PERSONAL!$A$2:$A$80,0)))))</f>
        <v/>
      </c>
      <c r="O937" s="53">
        <f t="array" ref="O937">IFERROR(INDEX(EXCEPCIONES_FECHA!$F$2:$F$201,MATCH(1,(EXCEPCIONES_FECHA!$A$2:$A$201=$A937)*(EXCEPCIONES_FECHA!$B$2:$B$201=$B937),0)),IFERROR(INDEX(EXCEPCIONES_FECHA!$F$2:$F$201,MATCH(1,(EXCEPCIONES_FECHA!$A$2:$A$201=$A937)*(EXCEPCIONES_FECHA!$B$2:$B$201=""),0)),IFERROR(INDEX(IF($I937="FIN",HISTORIAL_HORARIOS!$L$2:$L$201,HISTORIAL_HORARIOS!$H$2:$H$201),MATCH(1,(HISTORIAL_HORARIOS!$A$2:$A$201=$B937)*(HISTORIAL_HORARIOS!$C$2:$C$201&lt;=$A937)*(HISTORIAL_HORARIOS!$D$2:$D$201&gt;=$A937),0)),INDEX(IF($I937="FIN",PERSONAL!$L$2:$L$80,PERSONAL!$H$2:$H$80),MATCH($B937,PERSONAL!$A$2:$A$80,0)))))</f>
        <v/>
      </c>
    </row>
    <row r="938" ht="15" customHeight="1" s="58">
      <c r="A938" s="40" t="n"/>
      <c r="B938" s="38" t="n"/>
      <c r="C938" s="40" t="n"/>
      <c r="D938" s="40" t="n"/>
      <c r="E938" s="34">
        <f t="array" ref="E938">IF($B938="","",IFERROR(INDEX(PERSONAL!$B$2:$B$80,MATCH($B938,PERSONAL!$A$2:$A$80,0)),"NO EXISTE"))</f>
        <v/>
      </c>
      <c r="F938" s="34">
        <f t="array" ref="F938">IF($B938="","",IFERROR(INDEX(PERSONAL!$C$2:$C$80,MATCH($B938,PERSONAL!$A$2:$A$80,0)),""))</f>
        <v/>
      </c>
      <c r="G938" s="34">
        <f>IF($A938="","",CHOOSE(WEEKDAY($A938,2),"LUNES","MARTES","MIÉRCOLES","JUEVES","VIERNES","SÁBADO","DOMINGO"))</f>
        <v/>
      </c>
      <c r="H938" s="34">
        <f>IF($A938="","",CHOOSE(MONTH($A938),"ENERO","FEBRERO","MARZO","ABRIL","MAYO","JUNIO","JULIO","AGOSTO","SEPTIEMBRE","OCTUBRE","NOVIEMBRE","DICIEMBRE"))</f>
        <v/>
      </c>
      <c r="I938" s="34">
        <f>IF($A938="","",IF(OR($G938="SÁBADO",$G938="DOMINGO"),"FIN","LV"))</f>
        <v/>
      </c>
      <c r="J938" s="34">
        <f>IF(OR($A938="",$B938=""),"",IF($L938&lt;&gt;"",UPPER($L938),IF($C938="","FALTA",IFERROR(IF($C938&gt;=$O938,"ROJO FUERTE",IF($C938&gt;=$N938,"ROJO",IF($C938&gt;=$M938,"AMARILLO","VERDE"))),"REVISAR"))))</f>
        <v/>
      </c>
      <c r="K938" s="36">
        <f>IF(OR($C938="",$D938=""),"",IF($D938&gt;=$C938,($D938-$C938)*24,(1-$C938+$D938)*24))</f>
        <v/>
      </c>
      <c r="L938" s="34" t="n"/>
      <c r="M938" s="53">
        <f t="array" ref="M938">IFERROR(INDEX(EXCEPCIONES_FECHA!$D$2:$D$201,MATCH(1,(EXCEPCIONES_FECHA!$A$2:$A$201=$A938)*(EXCEPCIONES_FECHA!$B$2:$B$201=$B938),0)),IFERROR(INDEX(EXCEPCIONES_FECHA!$D$2:$D$201,MATCH(1,(EXCEPCIONES_FECHA!$A$2:$A$201=$A938)*(EXCEPCIONES_FECHA!$B$2:$B$201=""),0)),IFERROR(INDEX(IF($I938="FIN",HISTORIAL_HORARIOS!$J$2:$J$201,HISTORIAL_HORARIOS!$F$2:$F$201),MATCH(1,(HISTORIAL_HORARIOS!$A$2:$A$201=$B938)*(HISTORIAL_HORARIOS!$C$2:$C$201&lt;=$A938)*(HISTORIAL_HORARIOS!$D$2:$D$201&gt;=$A938),0)),INDEX(IF($I938="FIN",PERSONAL!$J$2:$J$80,PERSONAL!$F$2:$F$80),MATCH($B938,PERSONAL!$A$2:$A$80,0)))))</f>
        <v/>
      </c>
      <c r="N938" s="53">
        <f t="array" ref="N938">IFERROR(INDEX(EXCEPCIONES_FECHA!$E$2:$E$201,MATCH(1,(EXCEPCIONES_FECHA!$A$2:$A$201=$A938)*(EXCEPCIONES_FECHA!$B$2:$B$201=$B938),0)),IFERROR(INDEX(EXCEPCIONES_FECHA!$E$2:$E$201,MATCH(1,(EXCEPCIONES_FECHA!$A$2:$A$201=$A938)*(EXCEPCIONES_FECHA!$B$2:$B$201=""),0)),IFERROR(INDEX(IF($I938="FIN",HISTORIAL_HORARIOS!$K$2:$K$201,HISTORIAL_HORARIOS!$G$2:$G$201),MATCH(1,(HISTORIAL_HORARIOS!$A$2:$A$201=$B938)*(HISTORIAL_HORARIOS!$C$2:$C$201&lt;=$A938)*(HISTORIAL_HORARIOS!$D$2:$D$201&gt;=$A938),0)),INDEX(IF($I938="FIN",PERSONAL!$K$2:$K$80,PERSONAL!$G$2:$G$80),MATCH($B938,PERSONAL!$A$2:$A$80,0)))))</f>
        <v/>
      </c>
      <c r="O938" s="53">
        <f t="array" ref="O938">IFERROR(INDEX(EXCEPCIONES_FECHA!$F$2:$F$201,MATCH(1,(EXCEPCIONES_FECHA!$A$2:$A$201=$A938)*(EXCEPCIONES_FECHA!$B$2:$B$201=$B938),0)),IFERROR(INDEX(EXCEPCIONES_FECHA!$F$2:$F$201,MATCH(1,(EXCEPCIONES_FECHA!$A$2:$A$201=$A938)*(EXCEPCIONES_FECHA!$B$2:$B$201=""),0)),IFERROR(INDEX(IF($I938="FIN",HISTORIAL_HORARIOS!$L$2:$L$201,HISTORIAL_HORARIOS!$H$2:$H$201),MATCH(1,(HISTORIAL_HORARIOS!$A$2:$A$201=$B938)*(HISTORIAL_HORARIOS!$C$2:$C$201&lt;=$A938)*(HISTORIAL_HORARIOS!$D$2:$D$201&gt;=$A938),0)),INDEX(IF($I938="FIN",PERSONAL!$L$2:$L$80,PERSONAL!$H$2:$H$80),MATCH($B938,PERSONAL!$A$2:$A$80,0)))))</f>
        <v/>
      </c>
    </row>
    <row r="939" ht="15" customHeight="1" s="58">
      <c r="A939" s="40" t="n"/>
      <c r="B939" s="38" t="n"/>
      <c r="C939" s="40" t="n"/>
      <c r="D939" s="40" t="n"/>
      <c r="E939" s="34">
        <f t="array" ref="E939">IF($B939="","",IFERROR(INDEX(PERSONAL!$B$2:$B$80,MATCH($B939,PERSONAL!$A$2:$A$80,0)),"NO EXISTE"))</f>
        <v/>
      </c>
      <c r="F939" s="34">
        <f t="array" ref="F939">IF($B939="","",IFERROR(INDEX(PERSONAL!$C$2:$C$80,MATCH($B939,PERSONAL!$A$2:$A$80,0)),""))</f>
        <v/>
      </c>
      <c r="G939" s="34">
        <f>IF($A939="","",CHOOSE(WEEKDAY($A939,2),"LUNES","MARTES","MIÉRCOLES","JUEVES","VIERNES","SÁBADO","DOMINGO"))</f>
        <v/>
      </c>
      <c r="H939" s="34">
        <f>IF($A939="","",CHOOSE(MONTH($A939),"ENERO","FEBRERO","MARZO","ABRIL","MAYO","JUNIO","JULIO","AGOSTO","SEPTIEMBRE","OCTUBRE","NOVIEMBRE","DICIEMBRE"))</f>
        <v/>
      </c>
      <c r="I939" s="34">
        <f>IF($A939="","",IF(OR($G939="SÁBADO",$G939="DOMINGO"),"FIN","LV"))</f>
        <v/>
      </c>
      <c r="J939" s="34">
        <f>IF(OR($A939="",$B939=""),"",IF($L939&lt;&gt;"",UPPER($L939),IF($C939="","FALTA",IFERROR(IF($C939&gt;=$O939,"ROJO FUERTE",IF($C939&gt;=$N939,"ROJO",IF($C939&gt;=$M939,"AMARILLO","VERDE"))),"REVISAR"))))</f>
        <v/>
      </c>
      <c r="K939" s="36">
        <f>IF(OR($C939="",$D939=""),"",IF($D939&gt;=$C939,($D939-$C939)*24,(1-$C939+$D939)*24))</f>
        <v/>
      </c>
      <c r="L939" s="34" t="n"/>
      <c r="M939" s="53">
        <f t="array" ref="M939">IFERROR(INDEX(EXCEPCIONES_FECHA!$D$2:$D$201,MATCH(1,(EXCEPCIONES_FECHA!$A$2:$A$201=$A939)*(EXCEPCIONES_FECHA!$B$2:$B$201=$B939),0)),IFERROR(INDEX(EXCEPCIONES_FECHA!$D$2:$D$201,MATCH(1,(EXCEPCIONES_FECHA!$A$2:$A$201=$A939)*(EXCEPCIONES_FECHA!$B$2:$B$201=""),0)),IFERROR(INDEX(IF($I939="FIN",HISTORIAL_HORARIOS!$J$2:$J$201,HISTORIAL_HORARIOS!$F$2:$F$201),MATCH(1,(HISTORIAL_HORARIOS!$A$2:$A$201=$B939)*(HISTORIAL_HORARIOS!$C$2:$C$201&lt;=$A939)*(HISTORIAL_HORARIOS!$D$2:$D$201&gt;=$A939),0)),INDEX(IF($I939="FIN",PERSONAL!$J$2:$J$80,PERSONAL!$F$2:$F$80),MATCH($B939,PERSONAL!$A$2:$A$80,0)))))</f>
        <v/>
      </c>
      <c r="N939" s="53">
        <f t="array" ref="N939">IFERROR(INDEX(EXCEPCIONES_FECHA!$E$2:$E$201,MATCH(1,(EXCEPCIONES_FECHA!$A$2:$A$201=$A939)*(EXCEPCIONES_FECHA!$B$2:$B$201=$B939),0)),IFERROR(INDEX(EXCEPCIONES_FECHA!$E$2:$E$201,MATCH(1,(EXCEPCIONES_FECHA!$A$2:$A$201=$A939)*(EXCEPCIONES_FECHA!$B$2:$B$201=""),0)),IFERROR(INDEX(IF($I939="FIN",HISTORIAL_HORARIOS!$K$2:$K$201,HISTORIAL_HORARIOS!$G$2:$G$201),MATCH(1,(HISTORIAL_HORARIOS!$A$2:$A$201=$B939)*(HISTORIAL_HORARIOS!$C$2:$C$201&lt;=$A939)*(HISTORIAL_HORARIOS!$D$2:$D$201&gt;=$A939),0)),INDEX(IF($I939="FIN",PERSONAL!$K$2:$K$80,PERSONAL!$G$2:$G$80),MATCH($B939,PERSONAL!$A$2:$A$80,0)))))</f>
        <v/>
      </c>
      <c r="O939" s="53">
        <f t="array" ref="O939">IFERROR(INDEX(EXCEPCIONES_FECHA!$F$2:$F$201,MATCH(1,(EXCEPCIONES_FECHA!$A$2:$A$201=$A939)*(EXCEPCIONES_FECHA!$B$2:$B$201=$B939),0)),IFERROR(INDEX(EXCEPCIONES_FECHA!$F$2:$F$201,MATCH(1,(EXCEPCIONES_FECHA!$A$2:$A$201=$A939)*(EXCEPCIONES_FECHA!$B$2:$B$201=""),0)),IFERROR(INDEX(IF($I939="FIN",HISTORIAL_HORARIOS!$L$2:$L$201,HISTORIAL_HORARIOS!$H$2:$H$201),MATCH(1,(HISTORIAL_HORARIOS!$A$2:$A$201=$B939)*(HISTORIAL_HORARIOS!$C$2:$C$201&lt;=$A939)*(HISTORIAL_HORARIOS!$D$2:$D$201&gt;=$A939),0)),INDEX(IF($I939="FIN",PERSONAL!$L$2:$L$80,PERSONAL!$H$2:$H$80),MATCH($B939,PERSONAL!$A$2:$A$80,0)))))</f>
        <v/>
      </c>
    </row>
    <row r="940" ht="15" customHeight="1" s="58">
      <c r="A940" s="40" t="n"/>
      <c r="B940" s="38" t="n"/>
      <c r="C940" s="40" t="n"/>
      <c r="D940" s="40" t="n"/>
      <c r="E940" s="34">
        <f t="array" ref="E940">IF($B940="","",IFERROR(INDEX(PERSONAL!$B$2:$B$80,MATCH($B940,PERSONAL!$A$2:$A$80,0)),"NO EXISTE"))</f>
        <v/>
      </c>
      <c r="F940" s="34">
        <f t="array" ref="F940">IF($B940="","",IFERROR(INDEX(PERSONAL!$C$2:$C$80,MATCH($B940,PERSONAL!$A$2:$A$80,0)),""))</f>
        <v/>
      </c>
      <c r="G940" s="34">
        <f>IF($A940="","",CHOOSE(WEEKDAY($A940,2),"LUNES","MARTES","MIÉRCOLES","JUEVES","VIERNES","SÁBADO","DOMINGO"))</f>
        <v/>
      </c>
      <c r="H940" s="34">
        <f>IF($A940="","",CHOOSE(MONTH($A940),"ENERO","FEBRERO","MARZO","ABRIL","MAYO","JUNIO","JULIO","AGOSTO","SEPTIEMBRE","OCTUBRE","NOVIEMBRE","DICIEMBRE"))</f>
        <v/>
      </c>
      <c r="I940" s="34">
        <f>IF($A940="","",IF(OR($G940="SÁBADO",$G940="DOMINGO"),"FIN","LV"))</f>
        <v/>
      </c>
      <c r="J940" s="34">
        <f>IF(OR($A940="",$B940=""),"",IF($L940&lt;&gt;"",UPPER($L940),IF($C940="","FALTA",IFERROR(IF($C940&gt;=$O940,"ROJO FUERTE",IF($C940&gt;=$N940,"ROJO",IF($C940&gt;=$M940,"AMARILLO","VERDE"))),"REVISAR"))))</f>
        <v/>
      </c>
      <c r="K940" s="36">
        <f>IF(OR($C940="",$D940=""),"",IF($D940&gt;=$C940,($D940-$C940)*24,(1-$C940+$D940)*24))</f>
        <v/>
      </c>
      <c r="L940" s="34" t="n"/>
      <c r="M940" s="53">
        <f t="array" ref="M940">IFERROR(INDEX(EXCEPCIONES_FECHA!$D$2:$D$201,MATCH(1,(EXCEPCIONES_FECHA!$A$2:$A$201=$A940)*(EXCEPCIONES_FECHA!$B$2:$B$201=$B940),0)),IFERROR(INDEX(EXCEPCIONES_FECHA!$D$2:$D$201,MATCH(1,(EXCEPCIONES_FECHA!$A$2:$A$201=$A940)*(EXCEPCIONES_FECHA!$B$2:$B$201=""),0)),IFERROR(INDEX(IF($I940="FIN",HISTORIAL_HORARIOS!$J$2:$J$201,HISTORIAL_HORARIOS!$F$2:$F$201),MATCH(1,(HISTORIAL_HORARIOS!$A$2:$A$201=$B940)*(HISTORIAL_HORARIOS!$C$2:$C$201&lt;=$A940)*(HISTORIAL_HORARIOS!$D$2:$D$201&gt;=$A940),0)),INDEX(IF($I940="FIN",PERSONAL!$J$2:$J$80,PERSONAL!$F$2:$F$80),MATCH($B940,PERSONAL!$A$2:$A$80,0)))))</f>
        <v/>
      </c>
      <c r="N940" s="53">
        <f t="array" ref="N940">IFERROR(INDEX(EXCEPCIONES_FECHA!$E$2:$E$201,MATCH(1,(EXCEPCIONES_FECHA!$A$2:$A$201=$A940)*(EXCEPCIONES_FECHA!$B$2:$B$201=$B940),0)),IFERROR(INDEX(EXCEPCIONES_FECHA!$E$2:$E$201,MATCH(1,(EXCEPCIONES_FECHA!$A$2:$A$201=$A940)*(EXCEPCIONES_FECHA!$B$2:$B$201=""),0)),IFERROR(INDEX(IF($I940="FIN",HISTORIAL_HORARIOS!$K$2:$K$201,HISTORIAL_HORARIOS!$G$2:$G$201),MATCH(1,(HISTORIAL_HORARIOS!$A$2:$A$201=$B940)*(HISTORIAL_HORARIOS!$C$2:$C$201&lt;=$A940)*(HISTORIAL_HORARIOS!$D$2:$D$201&gt;=$A940),0)),INDEX(IF($I940="FIN",PERSONAL!$K$2:$K$80,PERSONAL!$G$2:$G$80),MATCH($B940,PERSONAL!$A$2:$A$80,0)))))</f>
        <v/>
      </c>
      <c r="O940" s="53">
        <f t="array" ref="O940">IFERROR(INDEX(EXCEPCIONES_FECHA!$F$2:$F$201,MATCH(1,(EXCEPCIONES_FECHA!$A$2:$A$201=$A940)*(EXCEPCIONES_FECHA!$B$2:$B$201=$B940),0)),IFERROR(INDEX(EXCEPCIONES_FECHA!$F$2:$F$201,MATCH(1,(EXCEPCIONES_FECHA!$A$2:$A$201=$A940)*(EXCEPCIONES_FECHA!$B$2:$B$201=""),0)),IFERROR(INDEX(IF($I940="FIN",HISTORIAL_HORARIOS!$L$2:$L$201,HISTORIAL_HORARIOS!$H$2:$H$201),MATCH(1,(HISTORIAL_HORARIOS!$A$2:$A$201=$B940)*(HISTORIAL_HORARIOS!$C$2:$C$201&lt;=$A940)*(HISTORIAL_HORARIOS!$D$2:$D$201&gt;=$A940),0)),INDEX(IF($I940="FIN",PERSONAL!$L$2:$L$80,PERSONAL!$H$2:$H$80),MATCH($B940,PERSONAL!$A$2:$A$80,0)))))</f>
        <v/>
      </c>
    </row>
    <row r="941" ht="15" customHeight="1" s="58">
      <c r="A941" s="40" t="n"/>
      <c r="B941" s="38" t="n"/>
      <c r="C941" s="40" t="n"/>
      <c r="D941" s="40" t="n"/>
      <c r="E941" s="34">
        <f t="array" ref="E941">IF($B941="","",IFERROR(INDEX(PERSONAL!$B$2:$B$80,MATCH($B941,PERSONAL!$A$2:$A$80,0)),"NO EXISTE"))</f>
        <v/>
      </c>
      <c r="F941" s="34">
        <f t="array" ref="F941">IF($B941="","",IFERROR(INDEX(PERSONAL!$C$2:$C$80,MATCH($B941,PERSONAL!$A$2:$A$80,0)),""))</f>
        <v/>
      </c>
      <c r="G941" s="34">
        <f>IF($A941="","",CHOOSE(WEEKDAY($A941,2),"LUNES","MARTES","MIÉRCOLES","JUEVES","VIERNES","SÁBADO","DOMINGO"))</f>
        <v/>
      </c>
      <c r="H941" s="34">
        <f>IF($A941="","",CHOOSE(MONTH($A941),"ENERO","FEBRERO","MARZO","ABRIL","MAYO","JUNIO","JULIO","AGOSTO","SEPTIEMBRE","OCTUBRE","NOVIEMBRE","DICIEMBRE"))</f>
        <v/>
      </c>
      <c r="I941" s="34">
        <f>IF($A941="","",IF(OR($G941="SÁBADO",$G941="DOMINGO"),"FIN","LV"))</f>
        <v/>
      </c>
      <c r="J941" s="34">
        <f>IF(OR($A941="",$B941=""),"",IF($L941&lt;&gt;"",UPPER($L941),IF($C941="","FALTA",IFERROR(IF($C941&gt;=$O941,"ROJO FUERTE",IF($C941&gt;=$N941,"ROJO",IF($C941&gt;=$M941,"AMARILLO","VERDE"))),"REVISAR"))))</f>
        <v/>
      </c>
      <c r="K941" s="36">
        <f>IF(OR($C941="",$D941=""),"",IF($D941&gt;=$C941,($D941-$C941)*24,(1-$C941+$D941)*24))</f>
        <v/>
      </c>
      <c r="L941" s="34" t="n"/>
      <c r="M941" s="53">
        <f t="array" ref="M941">IFERROR(INDEX(EXCEPCIONES_FECHA!$D$2:$D$201,MATCH(1,(EXCEPCIONES_FECHA!$A$2:$A$201=$A941)*(EXCEPCIONES_FECHA!$B$2:$B$201=$B941),0)),IFERROR(INDEX(EXCEPCIONES_FECHA!$D$2:$D$201,MATCH(1,(EXCEPCIONES_FECHA!$A$2:$A$201=$A941)*(EXCEPCIONES_FECHA!$B$2:$B$201=""),0)),IFERROR(INDEX(IF($I941="FIN",HISTORIAL_HORARIOS!$J$2:$J$201,HISTORIAL_HORARIOS!$F$2:$F$201),MATCH(1,(HISTORIAL_HORARIOS!$A$2:$A$201=$B941)*(HISTORIAL_HORARIOS!$C$2:$C$201&lt;=$A941)*(HISTORIAL_HORARIOS!$D$2:$D$201&gt;=$A941),0)),INDEX(IF($I941="FIN",PERSONAL!$J$2:$J$80,PERSONAL!$F$2:$F$80),MATCH($B941,PERSONAL!$A$2:$A$80,0)))))</f>
        <v/>
      </c>
      <c r="N941" s="53">
        <f t="array" ref="N941">IFERROR(INDEX(EXCEPCIONES_FECHA!$E$2:$E$201,MATCH(1,(EXCEPCIONES_FECHA!$A$2:$A$201=$A941)*(EXCEPCIONES_FECHA!$B$2:$B$201=$B941),0)),IFERROR(INDEX(EXCEPCIONES_FECHA!$E$2:$E$201,MATCH(1,(EXCEPCIONES_FECHA!$A$2:$A$201=$A941)*(EXCEPCIONES_FECHA!$B$2:$B$201=""),0)),IFERROR(INDEX(IF($I941="FIN",HISTORIAL_HORARIOS!$K$2:$K$201,HISTORIAL_HORARIOS!$G$2:$G$201),MATCH(1,(HISTORIAL_HORARIOS!$A$2:$A$201=$B941)*(HISTORIAL_HORARIOS!$C$2:$C$201&lt;=$A941)*(HISTORIAL_HORARIOS!$D$2:$D$201&gt;=$A941),0)),INDEX(IF($I941="FIN",PERSONAL!$K$2:$K$80,PERSONAL!$G$2:$G$80),MATCH($B941,PERSONAL!$A$2:$A$80,0)))))</f>
        <v/>
      </c>
      <c r="O941" s="53">
        <f t="array" ref="O941">IFERROR(INDEX(EXCEPCIONES_FECHA!$F$2:$F$201,MATCH(1,(EXCEPCIONES_FECHA!$A$2:$A$201=$A941)*(EXCEPCIONES_FECHA!$B$2:$B$201=$B941),0)),IFERROR(INDEX(EXCEPCIONES_FECHA!$F$2:$F$201,MATCH(1,(EXCEPCIONES_FECHA!$A$2:$A$201=$A941)*(EXCEPCIONES_FECHA!$B$2:$B$201=""),0)),IFERROR(INDEX(IF($I941="FIN",HISTORIAL_HORARIOS!$L$2:$L$201,HISTORIAL_HORARIOS!$H$2:$H$201),MATCH(1,(HISTORIAL_HORARIOS!$A$2:$A$201=$B941)*(HISTORIAL_HORARIOS!$C$2:$C$201&lt;=$A941)*(HISTORIAL_HORARIOS!$D$2:$D$201&gt;=$A941),0)),INDEX(IF($I941="FIN",PERSONAL!$L$2:$L$80,PERSONAL!$H$2:$H$80),MATCH($B941,PERSONAL!$A$2:$A$80,0)))))</f>
        <v/>
      </c>
    </row>
    <row r="942" ht="15" customHeight="1" s="58">
      <c r="A942" s="40" t="n"/>
      <c r="B942" s="38" t="n"/>
      <c r="C942" s="40" t="n"/>
      <c r="D942" s="40" t="n"/>
      <c r="E942" s="34">
        <f t="array" ref="E942">IF($B942="","",IFERROR(INDEX(PERSONAL!$B$2:$B$80,MATCH($B942,PERSONAL!$A$2:$A$80,0)),"NO EXISTE"))</f>
        <v/>
      </c>
      <c r="F942" s="34">
        <f t="array" ref="F942">IF($B942="","",IFERROR(INDEX(PERSONAL!$C$2:$C$80,MATCH($B942,PERSONAL!$A$2:$A$80,0)),""))</f>
        <v/>
      </c>
      <c r="G942" s="34">
        <f>IF($A942="","",CHOOSE(WEEKDAY($A942,2),"LUNES","MARTES","MIÉRCOLES","JUEVES","VIERNES","SÁBADO","DOMINGO"))</f>
        <v/>
      </c>
      <c r="H942" s="34">
        <f>IF($A942="","",CHOOSE(MONTH($A942),"ENERO","FEBRERO","MARZO","ABRIL","MAYO","JUNIO","JULIO","AGOSTO","SEPTIEMBRE","OCTUBRE","NOVIEMBRE","DICIEMBRE"))</f>
        <v/>
      </c>
      <c r="I942" s="34">
        <f>IF($A942="","",IF(OR($G942="SÁBADO",$G942="DOMINGO"),"FIN","LV"))</f>
        <v/>
      </c>
      <c r="J942" s="34">
        <f>IF(OR($A942="",$B942=""),"",IF($L942&lt;&gt;"",UPPER($L942),IF($C942="","FALTA",IFERROR(IF($C942&gt;=$O942,"ROJO FUERTE",IF($C942&gt;=$N942,"ROJO",IF($C942&gt;=$M942,"AMARILLO","VERDE"))),"REVISAR"))))</f>
        <v/>
      </c>
      <c r="K942" s="36">
        <f>IF(OR($C942="",$D942=""),"",IF($D942&gt;=$C942,($D942-$C942)*24,(1-$C942+$D942)*24))</f>
        <v/>
      </c>
      <c r="L942" s="34" t="n"/>
      <c r="M942" s="53">
        <f t="array" ref="M942">IFERROR(INDEX(EXCEPCIONES_FECHA!$D$2:$D$201,MATCH(1,(EXCEPCIONES_FECHA!$A$2:$A$201=$A942)*(EXCEPCIONES_FECHA!$B$2:$B$201=$B942),0)),IFERROR(INDEX(EXCEPCIONES_FECHA!$D$2:$D$201,MATCH(1,(EXCEPCIONES_FECHA!$A$2:$A$201=$A942)*(EXCEPCIONES_FECHA!$B$2:$B$201=""),0)),IFERROR(INDEX(IF($I942="FIN",HISTORIAL_HORARIOS!$J$2:$J$201,HISTORIAL_HORARIOS!$F$2:$F$201),MATCH(1,(HISTORIAL_HORARIOS!$A$2:$A$201=$B942)*(HISTORIAL_HORARIOS!$C$2:$C$201&lt;=$A942)*(HISTORIAL_HORARIOS!$D$2:$D$201&gt;=$A942),0)),INDEX(IF($I942="FIN",PERSONAL!$J$2:$J$80,PERSONAL!$F$2:$F$80),MATCH($B942,PERSONAL!$A$2:$A$80,0)))))</f>
        <v/>
      </c>
      <c r="N942" s="53">
        <f t="array" ref="N942">IFERROR(INDEX(EXCEPCIONES_FECHA!$E$2:$E$201,MATCH(1,(EXCEPCIONES_FECHA!$A$2:$A$201=$A942)*(EXCEPCIONES_FECHA!$B$2:$B$201=$B942),0)),IFERROR(INDEX(EXCEPCIONES_FECHA!$E$2:$E$201,MATCH(1,(EXCEPCIONES_FECHA!$A$2:$A$201=$A942)*(EXCEPCIONES_FECHA!$B$2:$B$201=""),0)),IFERROR(INDEX(IF($I942="FIN",HISTORIAL_HORARIOS!$K$2:$K$201,HISTORIAL_HORARIOS!$G$2:$G$201),MATCH(1,(HISTORIAL_HORARIOS!$A$2:$A$201=$B942)*(HISTORIAL_HORARIOS!$C$2:$C$201&lt;=$A942)*(HISTORIAL_HORARIOS!$D$2:$D$201&gt;=$A942),0)),INDEX(IF($I942="FIN",PERSONAL!$K$2:$K$80,PERSONAL!$G$2:$G$80),MATCH($B942,PERSONAL!$A$2:$A$80,0)))))</f>
        <v/>
      </c>
      <c r="O942" s="53">
        <f t="array" ref="O942">IFERROR(INDEX(EXCEPCIONES_FECHA!$F$2:$F$201,MATCH(1,(EXCEPCIONES_FECHA!$A$2:$A$201=$A942)*(EXCEPCIONES_FECHA!$B$2:$B$201=$B942),0)),IFERROR(INDEX(EXCEPCIONES_FECHA!$F$2:$F$201,MATCH(1,(EXCEPCIONES_FECHA!$A$2:$A$201=$A942)*(EXCEPCIONES_FECHA!$B$2:$B$201=""),0)),IFERROR(INDEX(IF($I942="FIN",HISTORIAL_HORARIOS!$L$2:$L$201,HISTORIAL_HORARIOS!$H$2:$H$201),MATCH(1,(HISTORIAL_HORARIOS!$A$2:$A$201=$B942)*(HISTORIAL_HORARIOS!$C$2:$C$201&lt;=$A942)*(HISTORIAL_HORARIOS!$D$2:$D$201&gt;=$A942),0)),INDEX(IF($I942="FIN",PERSONAL!$L$2:$L$80,PERSONAL!$H$2:$H$80),MATCH($B942,PERSONAL!$A$2:$A$80,0)))))</f>
        <v/>
      </c>
    </row>
    <row r="943" ht="15" customHeight="1" s="58">
      <c r="A943" s="40" t="n"/>
      <c r="B943" s="38" t="n"/>
      <c r="C943" s="40" t="n"/>
      <c r="D943" s="40" t="n"/>
      <c r="E943" s="34">
        <f t="array" ref="E943">IF($B943="","",IFERROR(INDEX(PERSONAL!$B$2:$B$80,MATCH($B943,PERSONAL!$A$2:$A$80,0)),"NO EXISTE"))</f>
        <v/>
      </c>
      <c r="F943" s="34">
        <f t="array" ref="F943">IF($B943="","",IFERROR(INDEX(PERSONAL!$C$2:$C$80,MATCH($B943,PERSONAL!$A$2:$A$80,0)),""))</f>
        <v/>
      </c>
      <c r="G943" s="34">
        <f>IF($A943="","",CHOOSE(WEEKDAY($A943,2),"LUNES","MARTES","MIÉRCOLES","JUEVES","VIERNES","SÁBADO","DOMINGO"))</f>
        <v/>
      </c>
      <c r="H943" s="34">
        <f>IF($A943="","",CHOOSE(MONTH($A943),"ENERO","FEBRERO","MARZO","ABRIL","MAYO","JUNIO","JULIO","AGOSTO","SEPTIEMBRE","OCTUBRE","NOVIEMBRE","DICIEMBRE"))</f>
        <v/>
      </c>
      <c r="I943" s="34">
        <f>IF($A943="","",IF(OR($G943="SÁBADO",$G943="DOMINGO"),"FIN","LV"))</f>
        <v/>
      </c>
      <c r="J943" s="34">
        <f>IF(OR($A943="",$B943=""),"",IF($L943&lt;&gt;"",UPPER($L943),IF($C943="","FALTA",IFERROR(IF($C943&gt;=$O943,"ROJO FUERTE",IF($C943&gt;=$N943,"ROJO",IF($C943&gt;=$M943,"AMARILLO","VERDE"))),"REVISAR"))))</f>
        <v/>
      </c>
      <c r="K943" s="36">
        <f>IF(OR($C943="",$D943=""),"",IF($D943&gt;=$C943,($D943-$C943)*24,(1-$C943+$D943)*24))</f>
        <v/>
      </c>
      <c r="L943" s="34" t="n"/>
      <c r="M943" s="53">
        <f t="array" ref="M943">IFERROR(INDEX(EXCEPCIONES_FECHA!$D$2:$D$201,MATCH(1,(EXCEPCIONES_FECHA!$A$2:$A$201=$A943)*(EXCEPCIONES_FECHA!$B$2:$B$201=$B943),0)),IFERROR(INDEX(EXCEPCIONES_FECHA!$D$2:$D$201,MATCH(1,(EXCEPCIONES_FECHA!$A$2:$A$201=$A943)*(EXCEPCIONES_FECHA!$B$2:$B$201=""),0)),IFERROR(INDEX(IF($I943="FIN",HISTORIAL_HORARIOS!$J$2:$J$201,HISTORIAL_HORARIOS!$F$2:$F$201),MATCH(1,(HISTORIAL_HORARIOS!$A$2:$A$201=$B943)*(HISTORIAL_HORARIOS!$C$2:$C$201&lt;=$A943)*(HISTORIAL_HORARIOS!$D$2:$D$201&gt;=$A943),0)),INDEX(IF($I943="FIN",PERSONAL!$J$2:$J$80,PERSONAL!$F$2:$F$80),MATCH($B943,PERSONAL!$A$2:$A$80,0)))))</f>
        <v/>
      </c>
      <c r="N943" s="53">
        <f t="array" ref="N943">IFERROR(INDEX(EXCEPCIONES_FECHA!$E$2:$E$201,MATCH(1,(EXCEPCIONES_FECHA!$A$2:$A$201=$A943)*(EXCEPCIONES_FECHA!$B$2:$B$201=$B943),0)),IFERROR(INDEX(EXCEPCIONES_FECHA!$E$2:$E$201,MATCH(1,(EXCEPCIONES_FECHA!$A$2:$A$201=$A943)*(EXCEPCIONES_FECHA!$B$2:$B$201=""),0)),IFERROR(INDEX(IF($I943="FIN",HISTORIAL_HORARIOS!$K$2:$K$201,HISTORIAL_HORARIOS!$G$2:$G$201),MATCH(1,(HISTORIAL_HORARIOS!$A$2:$A$201=$B943)*(HISTORIAL_HORARIOS!$C$2:$C$201&lt;=$A943)*(HISTORIAL_HORARIOS!$D$2:$D$201&gt;=$A943),0)),INDEX(IF($I943="FIN",PERSONAL!$K$2:$K$80,PERSONAL!$G$2:$G$80),MATCH($B943,PERSONAL!$A$2:$A$80,0)))))</f>
        <v/>
      </c>
      <c r="O943" s="53">
        <f t="array" ref="O943">IFERROR(INDEX(EXCEPCIONES_FECHA!$F$2:$F$201,MATCH(1,(EXCEPCIONES_FECHA!$A$2:$A$201=$A943)*(EXCEPCIONES_FECHA!$B$2:$B$201=$B943),0)),IFERROR(INDEX(EXCEPCIONES_FECHA!$F$2:$F$201,MATCH(1,(EXCEPCIONES_FECHA!$A$2:$A$201=$A943)*(EXCEPCIONES_FECHA!$B$2:$B$201=""),0)),IFERROR(INDEX(IF($I943="FIN",HISTORIAL_HORARIOS!$L$2:$L$201,HISTORIAL_HORARIOS!$H$2:$H$201),MATCH(1,(HISTORIAL_HORARIOS!$A$2:$A$201=$B943)*(HISTORIAL_HORARIOS!$C$2:$C$201&lt;=$A943)*(HISTORIAL_HORARIOS!$D$2:$D$201&gt;=$A943),0)),INDEX(IF($I943="FIN",PERSONAL!$L$2:$L$80,PERSONAL!$H$2:$H$80),MATCH($B943,PERSONAL!$A$2:$A$80,0)))))</f>
        <v/>
      </c>
    </row>
    <row r="944" ht="15" customHeight="1" s="58">
      <c r="A944" s="40" t="n"/>
      <c r="B944" s="38" t="n"/>
      <c r="C944" s="40" t="n"/>
      <c r="D944" s="40" t="n"/>
      <c r="E944" s="34">
        <f t="array" ref="E944">IF($B944="","",IFERROR(INDEX(PERSONAL!$B$2:$B$80,MATCH($B944,PERSONAL!$A$2:$A$80,0)),"NO EXISTE"))</f>
        <v/>
      </c>
      <c r="F944" s="34">
        <f t="array" ref="F944">IF($B944="","",IFERROR(INDEX(PERSONAL!$C$2:$C$80,MATCH($B944,PERSONAL!$A$2:$A$80,0)),""))</f>
        <v/>
      </c>
      <c r="G944" s="34">
        <f>IF($A944="","",CHOOSE(WEEKDAY($A944,2),"LUNES","MARTES","MIÉRCOLES","JUEVES","VIERNES","SÁBADO","DOMINGO"))</f>
        <v/>
      </c>
      <c r="H944" s="34">
        <f>IF($A944="","",CHOOSE(MONTH($A944),"ENERO","FEBRERO","MARZO","ABRIL","MAYO","JUNIO","JULIO","AGOSTO","SEPTIEMBRE","OCTUBRE","NOVIEMBRE","DICIEMBRE"))</f>
        <v/>
      </c>
      <c r="I944" s="34">
        <f>IF($A944="","",IF(OR($G944="SÁBADO",$G944="DOMINGO"),"FIN","LV"))</f>
        <v/>
      </c>
      <c r="J944" s="34">
        <f>IF(OR($A944="",$B944=""),"",IF($L944&lt;&gt;"",UPPER($L944),IF($C944="","FALTA",IFERROR(IF($C944&gt;=$O944,"ROJO FUERTE",IF($C944&gt;=$N944,"ROJO",IF($C944&gt;=$M944,"AMARILLO","VERDE"))),"REVISAR"))))</f>
        <v/>
      </c>
      <c r="K944" s="36">
        <f>IF(OR($C944="",$D944=""),"",IF($D944&gt;=$C944,($D944-$C944)*24,(1-$C944+$D944)*24))</f>
        <v/>
      </c>
      <c r="L944" s="34" t="n"/>
      <c r="M944" s="53">
        <f t="array" ref="M944">IFERROR(INDEX(EXCEPCIONES_FECHA!$D$2:$D$201,MATCH(1,(EXCEPCIONES_FECHA!$A$2:$A$201=$A944)*(EXCEPCIONES_FECHA!$B$2:$B$201=$B944),0)),IFERROR(INDEX(EXCEPCIONES_FECHA!$D$2:$D$201,MATCH(1,(EXCEPCIONES_FECHA!$A$2:$A$201=$A944)*(EXCEPCIONES_FECHA!$B$2:$B$201=""),0)),IFERROR(INDEX(IF($I944="FIN",HISTORIAL_HORARIOS!$J$2:$J$201,HISTORIAL_HORARIOS!$F$2:$F$201),MATCH(1,(HISTORIAL_HORARIOS!$A$2:$A$201=$B944)*(HISTORIAL_HORARIOS!$C$2:$C$201&lt;=$A944)*(HISTORIAL_HORARIOS!$D$2:$D$201&gt;=$A944),0)),INDEX(IF($I944="FIN",PERSONAL!$J$2:$J$80,PERSONAL!$F$2:$F$80),MATCH($B944,PERSONAL!$A$2:$A$80,0)))))</f>
        <v/>
      </c>
      <c r="N944" s="53">
        <f t="array" ref="N944">IFERROR(INDEX(EXCEPCIONES_FECHA!$E$2:$E$201,MATCH(1,(EXCEPCIONES_FECHA!$A$2:$A$201=$A944)*(EXCEPCIONES_FECHA!$B$2:$B$201=$B944),0)),IFERROR(INDEX(EXCEPCIONES_FECHA!$E$2:$E$201,MATCH(1,(EXCEPCIONES_FECHA!$A$2:$A$201=$A944)*(EXCEPCIONES_FECHA!$B$2:$B$201=""),0)),IFERROR(INDEX(IF($I944="FIN",HISTORIAL_HORARIOS!$K$2:$K$201,HISTORIAL_HORARIOS!$G$2:$G$201),MATCH(1,(HISTORIAL_HORARIOS!$A$2:$A$201=$B944)*(HISTORIAL_HORARIOS!$C$2:$C$201&lt;=$A944)*(HISTORIAL_HORARIOS!$D$2:$D$201&gt;=$A944),0)),INDEX(IF($I944="FIN",PERSONAL!$K$2:$K$80,PERSONAL!$G$2:$G$80),MATCH($B944,PERSONAL!$A$2:$A$80,0)))))</f>
        <v/>
      </c>
      <c r="O944" s="53">
        <f t="array" ref="O944">IFERROR(INDEX(EXCEPCIONES_FECHA!$F$2:$F$201,MATCH(1,(EXCEPCIONES_FECHA!$A$2:$A$201=$A944)*(EXCEPCIONES_FECHA!$B$2:$B$201=$B944),0)),IFERROR(INDEX(EXCEPCIONES_FECHA!$F$2:$F$201,MATCH(1,(EXCEPCIONES_FECHA!$A$2:$A$201=$A944)*(EXCEPCIONES_FECHA!$B$2:$B$201=""),0)),IFERROR(INDEX(IF($I944="FIN",HISTORIAL_HORARIOS!$L$2:$L$201,HISTORIAL_HORARIOS!$H$2:$H$201),MATCH(1,(HISTORIAL_HORARIOS!$A$2:$A$201=$B944)*(HISTORIAL_HORARIOS!$C$2:$C$201&lt;=$A944)*(HISTORIAL_HORARIOS!$D$2:$D$201&gt;=$A944),0)),INDEX(IF($I944="FIN",PERSONAL!$L$2:$L$80,PERSONAL!$H$2:$H$80),MATCH($B944,PERSONAL!$A$2:$A$80,0)))))</f>
        <v/>
      </c>
    </row>
    <row r="945" ht="15" customHeight="1" s="58">
      <c r="A945" s="40" t="n"/>
      <c r="B945" s="38" t="n"/>
      <c r="C945" s="40" t="n"/>
      <c r="D945" s="40" t="n"/>
      <c r="E945" s="34">
        <f t="array" ref="E945">IF($B945="","",IFERROR(INDEX(PERSONAL!$B$2:$B$80,MATCH($B945,PERSONAL!$A$2:$A$80,0)),"NO EXISTE"))</f>
        <v/>
      </c>
      <c r="F945" s="34">
        <f t="array" ref="F945">IF($B945="","",IFERROR(INDEX(PERSONAL!$C$2:$C$80,MATCH($B945,PERSONAL!$A$2:$A$80,0)),""))</f>
        <v/>
      </c>
      <c r="G945" s="34">
        <f>IF($A945="","",CHOOSE(WEEKDAY($A945,2),"LUNES","MARTES","MIÉRCOLES","JUEVES","VIERNES","SÁBADO","DOMINGO"))</f>
        <v/>
      </c>
      <c r="H945" s="34">
        <f>IF($A945="","",CHOOSE(MONTH($A945),"ENERO","FEBRERO","MARZO","ABRIL","MAYO","JUNIO","JULIO","AGOSTO","SEPTIEMBRE","OCTUBRE","NOVIEMBRE","DICIEMBRE"))</f>
        <v/>
      </c>
      <c r="I945" s="34">
        <f>IF($A945="","",IF(OR($G945="SÁBADO",$G945="DOMINGO"),"FIN","LV"))</f>
        <v/>
      </c>
      <c r="J945" s="34">
        <f>IF(OR($A945="",$B945=""),"",IF($L945&lt;&gt;"",UPPER($L945),IF($C945="","FALTA",IFERROR(IF($C945&gt;=$O945,"ROJO FUERTE",IF($C945&gt;=$N945,"ROJO",IF($C945&gt;=$M945,"AMARILLO","VERDE"))),"REVISAR"))))</f>
        <v/>
      </c>
      <c r="K945" s="36">
        <f>IF(OR($C945="",$D945=""),"",IF($D945&gt;=$C945,($D945-$C945)*24,(1-$C945+$D945)*24))</f>
        <v/>
      </c>
      <c r="L945" s="34" t="n"/>
      <c r="M945" s="53">
        <f t="array" ref="M945">IFERROR(INDEX(EXCEPCIONES_FECHA!$D$2:$D$201,MATCH(1,(EXCEPCIONES_FECHA!$A$2:$A$201=$A945)*(EXCEPCIONES_FECHA!$B$2:$B$201=$B945),0)),IFERROR(INDEX(EXCEPCIONES_FECHA!$D$2:$D$201,MATCH(1,(EXCEPCIONES_FECHA!$A$2:$A$201=$A945)*(EXCEPCIONES_FECHA!$B$2:$B$201=""),0)),IFERROR(INDEX(IF($I945="FIN",HISTORIAL_HORARIOS!$J$2:$J$201,HISTORIAL_HORARIOS!$F$2:$F$201),MATCH(1,(HISTORIAL_HORARIOS!$A$2:$A$201=$B945)*(HISTORIAL_HORARIOS!$C$2:$C$201&lt;=$A945)*(HISTORIAL_HORARIOS!$D$2:$D$201&gt;=$A945),0)),INDEX(IF($I945="FIN",PERSONAL!$J$2:$J$80,PERSONAL!$F$2:$F$80),MATCH($B945,PERSONAL!$A$2:$A$80,0)))))</f>
        <v/>
      </c>
      <c r="N945" s="53">
        <f t="array" ref="N945">IFERROR(INDEX(EXCEPCIONES_FECHA!$E$2:$E$201,MATCH(1,(EXCEPCIONES_FECHA!$A$2:$A$201=$A945)*(EXCEPCIONES_FECHA!$B$2:$B$201=$B945),0)),IFERROR(INDEX(EXCEPCIONES_FECHA!$E$2:$E$201,MATCH(1,(EXCEPCIONES_FECHA!$A$2:$A$201=$A945)*(EXCEPCIONES_FECHA!$B$2:$B$201=""),0)),IFERROR(INDEX(IF($I945="FIN",HISTORIAL_HORARIOS!$K$2:$K$201,HISTORIAL_HORARIOS!$G$2:$G$201),MATCH(1,(HISTORIAL_HORARIOS!$A$2:$A$201=$B945)*(HISTORIAL_HORARIOS!$C$2:$C$201&lt;=$A945)*(HISTORIAL_HORARIOS!$D$2:$D$201&gt;=$A945),0)),INDEX(IF($I945="FIN",PERSONAL!$K$2:$K$80,PERSONAL!$G$2:$G$80),MATCH($B945,PERSONAL!$A$2:$A$80,0)))))</f>
        <v/>
      </c>
      <c r="O945" s="53">
        <f t="array" ref="O945">IFERROR(INDEX(EXCEPCIONES_FECHA!$F$2:$F$201,MATCH(1,(EXCEPCIONES_FECHA!$A$2:$A$201=$A945)*(EXCEPCIONES_FECHA!$B$2:$B$201=$B945),0)),IFERROR(INDEX(EXCEPCIONES_FECHA!$F$2:$F$201,MATCH(1,(EXCEPCIONES_FECHA!$A$2:$A$201=$A945)*(EXCEPCIONES_FECHA!$B$2:$B$201=""),0)),IFERROR(INDEX(IF($I945="FIN",HISTORIAL_HORARIOS!$L$2:$L$201,HISTORIAL_HORARIOS!$H$2:$H$201),MATCH(1,(HISTORIAL_HORARIOS!$A$2:$A$201=$B945)*(HISTORIAL_HORARIOS!$C$2:$C$201&lt;=$A945)*(HISTORIAL_HORARIOS!$D$2:$D$201&gt;=$A945),0)),INDEX(IF($I945="FIN",PERSONAL!$L$2:$L$80,PERSONAL!$H$2:$H$80),MATCH($B945,PERSONAL!$A$2:$A$80,0)))))</f>
        <v/>
      </c>
    </row>
    <row r="946" ht="15" customHeight="1" s="58">
      <c r="A946" s="40" t="n"/>
      <c r="B946" s="38" t="n"/>
      <c r="C946" s="40" t="n"/>
      <c r="D946" s="40" t="n"/>
      <c r="E946" s="34">
        <f t="array" ref="E946">IF($B946="","",IFERROR(INDEX(PERSONAL!$B$2:$B$80,MATCH($B946,PERSONAL!$A$2:$A$80,0)),"NO EXISTE"))</f>
        <v/>
      </c>
      <c r="F946" s="34">
        <f t="array" ref="F946">IF($B946="","",IFERROR(INDEX(PERSONAL!$C$2:$C$80,MATCH($B946,PERSONAL!$A$2:$A$80,0)),""))</f>
        <v/>
      </c>
      <c r="G946" s="34">
        <f>IF($A946="","",CHOOSE(WEEKDAY($A946,2),"LUNES","MARTES","MIÉRCOLES","JUEVES","VIERNES","SÁBADO","DOMINGO"))</f>
        <v/>
      </c>
      <c r="H946" s="34">
        <f>IF($A946="","",CHOOSE(MONTH($A946),"ENERO","FEBRERO","MARZO","ABRIL","MAYO","JUNIO","JULIO","AGOSTO","SEPTIEMBRE","OCTUBRE","NOVIEMBRE","DICIEMBRE"))</f>
        <v/>
      </c>
      <c r="I946" s="34">
        <f>IF($A946="","",IF(OR($G946="SÁBADO",$G946="DOMINGO"),"FIN","LV"))</f>
        <v/>
      </c>
      <c r="J946" s="34">
        <f>IF(OR($A946="",$B946=""),"",IF($L946&lt;&gt;"",UPPER($L946),IF($C946="","FALTA",IFERROR(IF($C946&gt;=$O946,"ROJO FUERTE",IF($C946&gt;=$N946,"ROJO",IF($C946&gt;=$M946,"AMARILLO","VERDE"))),"REVISAR"))))</f>
        <v/>
      </c>
      <c r="K946" s="36">
        <f>IF(OR($C946="",$D946=""),"",IF($D946&gt;=$C946,($D946-$C946)*24,(1-$C946+$D946)*24))</f>
        <v/>
      </c>
      <c r="L946" s="34" t="n"/>
      <c r="M946" s="53">
        <f t="array" ref="M946">IFERROR(INDEX(EXCEPCIONES_FECHA!$D$2:$D$201,MATCH(1,(EXCEPCIONES_FECHA!$A$2:$A$201=$A946)*(EXCEPCIONES_FECHA!$B$2:$B$201=$B946),0)),IFERROR(INDEX(EXCEPCIONES_FECHA!$D$2:$D$201,MATCH(1,(EXCEPCIONES_FECHA!$A$2:$A$201=$A946)*(EXCEPCIONES_FECHA!$B$2:$B$201=""),0)),IFERROR(INDEX(IF($I946="FIN",HISTORIAL_HORARIOS!$J$2:$J$201,HISTORIAL_HORARIOS!$F$2:$F$201),MATCH(1,(HISTORIAL_HORARIOS!$A$2:$A$201=$B946)*(HISTORIAL_HORARIOS!$C$2:$C$201&lt;=$A946)*(HISTORIAL_HORARIOS!$D$2:$D$201&gt;=$A946),0)),INDEX(IF($I946="FIN",PERSONAL!$J$2:$J$80,PERSONAL!$F$2:$F$80),MATCH($B946,PERSONAL!$A$2:$A$80,0)))))</f>
        <v/>
      </c>
      <c r="N946" s="53">
        <f t="array" ref="N946">IFERROR(INDEX(EXCEPCIONES_FECHA!$E$2:$E$201,MATCH(1,(EXCEPCIONES_FECHA!$A$2:$A$201=$A946)*(EXCEPCIONES_FECHA!$B$2:$B$201=$B946),0)),IFERROR(INDEX(EXCEPCIONES_FECHA!$E$2:$E$201,MATCH(1,(EXCEPCIONES_FECHA!$A$2:$A$201=$A946)*(EXCEPCIONES_FECHA!$B$2:$B$201=""),0)),IFERROR(INDEX(IF($I946="FIN",HISTORIAL_HORARIOS!$K$2:$K$201,HISTORIAL_HORARIOS!$G$2:$G$201),MATCH(1,(HISTORIAL_HORARIOS!$A$2:$A$201=$B946)*(HISTORIAL_HORARIOS!$C$2:$C$201&lt;=$A946)*(HISTORIAL_HORARIOS!$D$2:$D$201&gt;=$A946),0)),INDEX(IF($I946="FIN",PERSONAL!$K$2:$K$80,PERSONAL!$G$2:$G$80),MATCH($B946,PERSONAL!$A$2:$A$80,0)))))</f>
        <v/>
      </c>
      <c r="O946" s="53">
        <f t="array" ref="O946">IFERROR(INDEX(EXCEPCIONES_FECHA!$F$2:$F$201,MATCH(1,(EXCEPCIONES_FECHA!$A$2:$A$201=$A946)*(EXCEPCIONES_FECHA!$B$2:$B$201=$B946),0)),IFERROR(INDEX(EXCEPCIONES_FECHA!$F$2:$F$201,MATCH(1,(EXCEPCIONES_FECHA!$A$2:$A$201=$A946)*(EXCEPCIONES_FECHA!$B$2:$B$201=""),0)),IFERROR(INDEX(IF($I946="FIN",HISTORIAL_HORARIOS!$L$2:$L$201,HISTORIAL_HORARIOS!$H$2:$H$201),MATCH(1,(HISTORIAL_HORARIOS!$A$2:$A$201=$B946)*(HISTORIAL_HORARIOS!$C$2:$C$201&lt;=$A946)*(HISTORIAL_HORARIOS!$D$2:$D$201&gt;=$A946),0)),INDEX(IF($I946="FIN",PERSONAL!$L$2:$L$80,PERSONAL!$H$2:$H$80),MATCH($B946,PERSONAL!$A$2:$A$80,0)))))</f>
        <v/>
      </c>
    </row>
    <row r="947" ht="15" customHeight="1" s="58">
      <c r="A947" s="40" t="n"/>
      <c r="B947" s="38" t="n"/>
      <c r="C947" s="40" t="n"/>
      <c r="D947" s="40" t="n"/>
      <c r="E947" s="34">
        <f t="array" ref="E947">IF($B947="","",IFERROR(INDEX(PERSONAL!$B$2:$B$80,MATCH($B947,PERSONAL!$A$2:$A$80,0)),"NO EXISTE"))</f>
        <v/>
      </c>
      <c r="F947" s="34">
        <f t="array" ref="F947">IF($B947="","",IFERROR(INDEX(PERSONAL!$C$2:$C$80,MATCH($B947,PERSONAL!$A$2:$A$80,0)),""))</f>
        <v/>
      </c>
      <c r="G947" s="34">
        <f>IF($A947="","",CHOOSE(WEEKDAY($A947,2),"LUNES","MARTES","MIÉRCOLES","JUEVES","VIERNES","SÁBADO","DOMINGO"))</f>
        <v/>
      </c>
      <c r="H947" s="34">
        <f>IF($A947="","",CHOOSE(MONTH($A947),"ENERO","FEBRERO","MARZO","ABRIL","MAYO","JUNIO","JULIO","AGOSTO","SEPTIEMBRE","OCTUBRE","NOVIEMBRE","DICIEMBRE"))</f>
        <v/>
      </c>
      <c r="I947" s="34">
        <f>IF($A947="","",IF(OR($G947="SÁBADO",$G947="DOMINGO"),"FIN","LV"))</f>
        <v/>
      </c>
      <c r="J947" s="34">
        <f>IF(OR($A947="",$B947=""),"",IF($L947&lt;&gt;"",UPPER($L947),IF($C947="","FALTA",IFERROR(IF($C947&gt;=$O947,"ROJO FUERTE",IF($C947&gt;=$N947,"ROJO",IF($C947&gt;=$M947,"AMARILLO","VERDE"))),"REVISAR"))))</f>
        <v/>
      </c>
      <c r="K947" s="36">
        <f>IF(OR($C947="",$D947=""),"",IF($D947&gt;=$C947,($D947-$C947)*24,(1-$C947+$D947)*24))</f>
        <v/>
      </c>
      <c r="L947" s="34" t="n"/>
      <c r="M947" s="53">
        <f t="array" ref="M947">IFERROR(INDEX(EXCEPCIONES_FECHA!$D$2:$D$201,MATCH(1,(EXCEPCIONES_FECHA!$A$2:$A$201=$A947)*(EXCEPCIONES_FECHA!$B$2:$B$201=$B947),0)),IFERROR(INDEX(EXCEPCIONES_FECHA!$D$2:$D$201,MATCH(1,(EXCEPCIONES_FECHA!$A$2:$A$201=$A947)*(EXCEPCIONES_FECHA!$B$2:$B$201=""),0)),IFERROR(INDEX(IF($I947="FIN",HISTORIAL_HORARIOS!$J$2:$J$201,HISTORIAL_HORARIOS!$F$2:$F$201),MATCH(1,(HISTORIAL_HORARIOS!$A$2:$A$201=$B947)*(HISTORIAL_HORARIOS!$C$2:$C$201&lt;=$A947)*(HISTORIAL_HORARIOS!$D$2:$D$201&gt;=$A947),0)),INDEX(IF($I947="FIN",PERSONAL!$J$2:$J$80,PERSONAL!$F$2:$F$80),MATCH($B947,PERSONAL!$A$2:$A$80,0)))))</f>
        <v/>
      </c>
      <c r="N947" s="53">
        <f t="array" ref="N947">IFERROR(INDEX(EXCEPCIONES_FECHA!$E$2:$E$201,MATCH(1,(EXCEPCIONES_FECHA!$A$2:$A$201=$A947)*(EXCEPCIONES_FECHA!$B$2:$B$201=$B947),0)),IFERROR(INDEX(EXCEPCIONES_FECHA!$E$2:$E$201,MATCH(1,(EXCEPCIONES_FECHA!$A$2:$A$201=$A947)*(EXCEPCIONES_FECHA!$B$2:$B$201=""),0)),IFERROR(INDEX(IF($I947="FIN",HISTORIAL_HORARIOS!$K$2:$K$201,HISTORIAL_HORARIOS!$G$2:$G$201),MATCH(1,(HISTORIAL_HORARIOS!$A$2:$A$201=$B947)*(HISTORIAL_HORARIOS!$C$2:$C$201&lt;=$A947)*(HISTORIAL_HORARIOS!$D$2:$D$201&gt;=$A947),0)),INDEX(IF($I947="FIN",PERSONAL!$K$2:$K$80,PERSONAL!$G$2:$G$80),MATCH($B947,PERSONAL!$A$2:$A$80,0)))))</f>
        <v/>
      </c>
      <c r="O947" s="53">
        <f t="array" ref="O947">IFERROR(INDEX(EXCEPCIONES_FECHA!$F$2:$F$201,MATCH(1,(EXCEPCIONES_FECHA!$A$2:$A$201=$A947)*(EXCEPCIONES_FECHA!$B$2:$B$201=$B947),0)),IFERROR(INDEX(EXCEPCIONES_FECHA!$F$2:$F$201,MATCH(1,(EXCEPCIONES_FECHA!$A$2:$A$201=$A947)*(EXCEPCIONES_FECHA!$B$2:$B$201=""),0)),IFERROR(INDEX(IF($I947="FIN",HISTORIAL_HORARIOS!$L$2:$L$201,HISTORIAL_HORARIOS!$H$2:$H$201),MATCH(1,(HISTORIAL_HORARIOS!$A$2:$A$201=$B947)*(HISTORIAL_HORARIOS!$C$2:$C$201&lt;=$A947)*(HISTORIAL_HORARIOS!$D$2:$D$201&gt;=$A947),0)),INDEX(IF($I947="FIN",PERSONAL!$L$2:$L$80,PERSONAL!$H$2:$H$80),MATCH($B947,PERSONAL!$A$2:$A$80,0)))))</f>
        <v/>
      </c>
    </row>
    <row r="948" ht="15" customHeight="1" s="58">
      <c r="A948" s="40" t="n"/>
      <c r="B948" s="38" t="n"/>
      <c r="C948" s="40" t="n"/>
      <c r="D948" s="40" t="n"/>
      <c r="E948" s="34">
        <f t="array" ref="E948">IF($B948="","",IFERROR(INDEX(PERSONAL!$B$2:$B$80,MATCH($B948,PERSONAL!$A$2:$A$80,0)),"NO EXISTE"))</f>
        <v/>
      </c>
      <c r="F948" s="34">
        <f t="array" ref="F948">IF($B948="","",IFERROR(INDEX(PERSONAL!$C$2:$C$80,MATCH($B948,PERSONAL!$A$2:$A$80,0)),""))</f>
        <v/>
      </c>
      <c r="G948" s="34">
        <f>IF($A948="","",CHOOSE(WEEKDAY($A948,2),"LUNES","MARTES","MIÉRCOLES","JUEVES","VIERNES","SÁBADO","DOMINGO"))</f>
        <v/>
      </c>
      <c r="H948" s="34">
        <f>IF($A948="","",CHOOSE(MONTH($A948),"ENERO","FEBRERO","MARZO","ABRIL","MAYO","JUNIO","JULIO","AGOSTO","SEPTIEMBRE","OCTUBRE","NOVIEMBRE","DICIEMBRE"))</f>
        <v/>
      </c>
      <c r="I948" s="34">
        <f>IF($A948="","",IF(OR($G948="SÁBADO",$G948="DOMINGO"),"FIN","LV"))</f>
        <v/>
      </c>
      <c r="J948" s="34">
        <f>IF(OR($A948="",$B948=""),"",IF($L948&lt;&gt;"",UPPER($L948),IF($C948="","FALTA",IFERROR(IF($C948&gt;=$O948,"ROJO FUERTE",IF($C948&gt;=$N948,"ROJO",IF($C948&gt;=$M948,"AMARILLO","VERDE"))),"REVISAR"))))</f>
        <v/>
      </c>
      <c r="K948" s="36">
        <f>IF(OR($C948="",$D948=""),"",IF($D948&gt;=$C948,($D948-$C948)*24,(1-$C948+$D948)*24))</f>
        <v/>
      </c>
      <c r="L948" s="34" t="n"/>
      <c r="M948" s="53">
        <f t="array" ref="M948">IFERROR(INDEX(EXCEPCIONES_FECHA!$D$2:$D$201,MATCH(1,(EXCEPCIONES_FECHA!$A$2:$A$201=$A948)*(EXCEPCIONES_FECHA!$B$2:$B$201=$B948),0)),IFERROR(INDEX(EXCEPCIONES_FECHA!$D$2:$D$201,MATCH(1,(EXCEPCIONES_FECHA!$A$2:$A$201=$A948)*(EXCEPCIONES_FECHA!$B$2:$B$201=""),0)),IFERROR(INDEX(IF($I948="FIN",HISTORIAL_HORARIOS!$J$2:$J$201,HISTORIAL_HORARIOS!$F$2:$F$201),MATCH(1,(HISTORIAL_HORARIOS!$A$2:$A$201=$B948)*(HISTORIAL_HORARIOS!$C$2:$C$201&lt;=$A948)*(HISTORIAL_HORARIOS!$D$2:$D$201&gt;=$A948),0)),INDEX(IF($I948="FIN",PERSONAL!$J$2:$J$80,PERSONAL!$F$2:$F$80),MATCH($B948,PERSONAL!$A$2:$A$80,0)))))</f>
        <v/>
      </c>
      <c r="N948" s="53">
        <f t="array" ref="N948">IFERROR(INDEX(EXCEPCIONES_FECHA!$E$2:$E$201,MATCH(1,(EXCEPCIONES_FECHA!$A$2:$A$201=$A948)*(EXCEPCIONES_FECHA!$B$2:$B$201=$B948),0)),IFERROR(INDEX(EXCEPCIONES_FECHA!$E$2:$E$201,MATCH(1,(EXCEPCIONES_FECHA!$A$2:$A$201=$A948)*(EXCEPCIONES_FECHA!$B$2:$B$201=""),0)),IFERROR(INDEX(IF($I948="FIN",HISTORIAL_HORARIOS!$K$2:$K$201,HISTORIAL_HORARIOS!$G$2:$G$201),MATCH(1,(HISTORIAL_HORARIOS!$A$2:$A$201=$B948)*(HISTORIAL_HORARIOS!$C$2:$C$201&lt;=$A948)*(HISTORIAL_HORARIOS!$D$2:$D$201&gt;=$A948),0)),INDEX(IF($I948="FIN",PERSONAL!$K$2:$K$80,PERSONAL!$G$2:$G$80),MATCH($B948,PERSONAL!$A$2:$A$80,0)))))</f>
        <v/>
      </c>
      <c r="O948" s="53">
        <f t="array" ref="O948">IFERROR(INDEX(EXCEPCIONES_FECHA!$F$2:$F$201,MATCH(1,(EXCEPCIONES_FECHA!$A$2:$A$201=$A948)*(EXCEPCIONES_FECHA!$B$2:$B$201=$B948),0)),IFERROR(INDEX(EXCEPCIONES_FECHA!$F$2:$F$201,MATCH(1,(EXCEPCIONES_FECHA!$A$2:$A$201=$A948)*(EXCEPCIONES_FECHA!$B$2:$B$201=""),0)),IFERROR(INDEX(IF($I948="FIN",HISTORIAL_HORARIOS!$L$2:$L$201,HISTORIAL_HORARIOS!$H$2:$H$201),MATCH(1,(HISTORIAL_HORARIOS!$A$2:$A$201=$B948)*(HISTORIAL_HORARIOS!$C$2:$C$201&lt;=$A948)*(HISTORIAL_HORARIOS!$D$2:$D$201&gt;=$A948),0)),INDEX(IF($I948="FIN",PERSONAL!$L$2:$L$80,PERSONAL!$H$2:$H$80),MATCH($B948,PERSONAL!$A$2:$A$80,0)))))</f>
        <v/>
      </c>
    </row>
    <row r="949" ht="15" customHeight="1" s="58">
      <c r="A949" s="40" t="n"/>
      <c r="B949" s="38" t="n"/>
      <c r="C949" s="40" t="n"/>
      <c r="D949" s="40" t="n"/>
      <c r="E949" s="34">
        <f t="array" ref="E949">IF($B949="","",IFERROR(INDEX(PERSONAL!$B$2:$B$80,MATCH($B949,PERSONAL!$A$2:$A$80,0)),"NO EXISTE"))</f>
        <v/>
      </c>
      <c r="F949" s="34">
        <f t="array" ref="F949">IF($B949="","",IFERROR(INDEX(PERSONAL!$C$2:$C$80,MATCH($B949,PERSONAL!$A$2:$A$80,0)),""))</f>
        <v/>
      </c>
      <c r="G949" s="34">
        <f>IF($A949="","",CHOOSE(WEEKDAY($A949,2),"LUNES","MARTES","MIÉRCOLES","JUEVES","VIERNES","SÁBADO","DOMINGO"))</f>
        <v/>
      </c>
      <c r="H949" s="34">
        <f>IF($A949="","",CHOOSE(MONTH($A949),"ENERO","FEBRERO","MARZO","ABRIL","MAYO","JUNIO","JULIO","AGOSTO","SEPTIEMBRE","OCTUBRE","NOVIEMBRE","DICIEMBRE"))</f>
        <v/>
      </c>
      <c r="I949" s="34">
        <f>IF($A949="","",IF(OR($G949="SÁBADO",$G949="DOMINGO"),"FIN","LV"))</f>
        <v/>
      </c>
      <c r="J949" s="34">
        <f>IF(OR($A949="",$B949=""),"",IF($L949&lt;&gt;"",UPPER($L949),IF($C949="","FALTA",IFERROR(IF($C949&gt;=$O949,"ROJO FUERTE",IF($C949&gt;=$N949,"ROJO",IF($C949&gt;=$M949,"AMARILLO","VERDE"))),"REVISAR"))))</f>
        <v/>
      </c>
      <c r="K949" s="36">
        <f>IF(OR($C949="",$D949=""),"",IF($D949&gt;=$C949,($D949-$C949)*24,(1-$C949+$D949)*24))</f>
        <v/>
      </c>
      <c r="L949" s="34" t="n"/>
      <c r="M949" s="53">
        <f t="array" ref="M949">IFERROR(INDEX(EXCEPCIONES_FECHA!$D$2:$D$201,MATCH(1,(EXCEPCIONES_FECHA!$A$2:$A$201=$A949)*(EXCEPCIONES_FECHA!$B$2:$B$201=$B949),0)),IFERROR(INDEX(EXCEPCIONES_FECHA!$D$2:$D$201,MATCH(1,(EXCEPCIONES_FECHA!$A$2:$A$201=$A949)*(EXCEPCIONES_FECHA!$B$2:$B$201=""),0)),IFERROR(INDEX(IF($I949="FIN",HISTORIAL_HORARIOS!$J$2:$J$201,HISTORIAL_HORARIOS!$F$2:$F$201),MATCH(1,(HISTORIAL_HORARIOS!$A$2:$A$201=$B949)*(HISTORIAL_HORARIOS!$C$2:$C$201&lt;=$A949)*(HISTORIAL_HORARIOS!$D$2:$D$201&gt;=$A949),0)),INDEX(IF($I949="FIN",PERSONAL!$J$2:$J$80,PERSONAL!$F$2:$F$80),MATCH($B949,PERSONAL!$A$2:$A$80,0)))))</f>
        <v/>
      </c>
      <c r="N949" s="53">
        <f t="array" ref="N949">IFERROR(INDEX(EXCEPCIONES_FECHA!$E$2:$E$201,MATCH(1,(EXCEPCIONES_FECHA!$A$2:$A$201=$A949)*(EXCEPCIONES_FECHA!$B$2:$B$201=$B949),0)),IFERROR(INDEX(EXCEPCIONES_FECHA!$E$2:$E$201,MATCH(1,(EXCEPCIONES_FECHA!$A$2:$A$201=$A949)*(EXCEPCIONES_FECHA!$B$2:$B$201=""),0)),IFERROR(INDEX(IF($I949="FIN",HISTORIAL_HORARIOS!$K$2:$K$201,HISTORIAL_HORARIOS!$G$2:$G$201),MATCH(1,(HISTORIAL_HORARIOS!$A$2:$A$201=$B949)*(HISTORIAL_HORARIOS!$C$2:$C$201&lt;=$A949)*(HISTORIAL_HORARIOS!$D$2:$D$201&gt;=$A949),0)),INDEX(IF($I949="FIN",PERSONAL!$K$2:$K$80,PERSONAL!$G$2:$G$80),MATCH($B949,PERSONAL!$A$2:$A$80,0)))))</f>
        <v/>
      </c>
      <c r="O949" s="53">
        <f t="array" ref="O949">IFERROR(INDEX(EXCEPCIONES_FECHA!$F$2:$F$201,MATCH(1,(EXCEPCIONES_FECHA!$A$2:$A$201=$A949)*(EXCEPCIONES_FECHA!$B$2:$B$201=$B949),0)),IFERROR(INDEX(EXCEPCIONES_FECHA!$F$2:$F$201,MATCH(1,(EXCEPCIONES_FECHA!$A$2:$A$201=$A949)*(EXCEPCIONES_FECHA!$B$2:$B$201=""),0)),IFERROR(INDEX(IF($I949="FIN",HISTORIAL_HORARIOS!$L$2:$L$201,HISTORIAL_HORARIOS!$H$2:$H$201),MATCH(1,(HISTORIAL_HORARIOS!$A$2:$A$201=$B949)*(HISTORIAL_HORARIOS!$C$2:$C$201&lt;=$A949)*(HISTORIAL_HORARIOS!$D$2:$D$201&gt;=$A949),0)),INDEX(IF($I949="FIN",PERSONAL!$L$2:$L$80,PERSONAL!$H$2:$H$80),MATCH($B949,PERSONAL!$A$2:$A$80,0)))))</f>
        <v/>
      </c>
    </row>
    <row r="950" ht="15" customHeight="1" s="58">
      <c r="A950" s="40" t="n"/>
      <c r="B950" s="38" t="n"/>
      <c r="C950" s="40" t="n"/>
      <c r="D950" s="40" t="n"/>
      <c r="E950" s="34">
        <f t="array" ref="E950">IF($B950="","",IFERROR(INDEX(PERSONAL!$B$2:$B$80,MATCH($B950,PERSONAL!$A$2:$A$80,0)),"NO EXISTE"))</f>
        <v/>
      </c>
      <c r="F950" s="34">
        <f t="array" ref="F950">IF($B950="","",IFERROR(INDEX(PERSONAL!$C$2:$C$80,MATCH($B950,PERSONAL!$A$2:$A$80,0)),""))</f>
        <v/>
      </c>
      <c r="G950" s="34">
        <f>IF($A950="","",CHOOSE(WEEKDAY($A950,2),"LUNES","MARTES","MIÉRCOLES","JUEVES","VIERNES","SÁBADO","DOMINGO"))</f>
        <v/>
      </c>
      <c r="H950" s="34">
        <f>IF($A950="","",CHOOSE(MONTH($A950),"ENERO","FEBRERO","MARZO","ABRIL","MAYO","JUNIO","JULIO","AGOSTO","SEPTIEMBRE","OCTUBRE","NOVIEMBRE","DICIEMBRE"))</f>
        <v/>
      </c>
      <c r="I950" s="34">
        <f>IF($A950="","",IF(OR($G950="SÁBADO",$G950="DOMINGO"),"FIN","LV"))</f>
        <v/>
      </c>
      <c r="J950" s="34">
        <f>IF(OR($A950="",$B950=""),"",IF($L950&lt;&gt;"",UPPER($L950),IF($C950="","FALTA",IFERROR(IF($C950&gt;=$O950,"ROJO FUERTE",IF($C950&gt;=$N950,"ROJO",IF($C950&gt;=$M950,"AMARILLO","VERDE"))),"REVISAR"))))</f>
        <v/>
      </c>
      <c r="K950" s="36">
        <f>IF(OR($C950="",$D950=""),"",IF($D950&gt;=$C950,($D950-$C950)*24,(1-$C950+$D950)*24))</f>
        <v/>
      </c>
      <c r="L950" s="34" t="n"/>
      <c r="M950" s="53">
        <f t="array" ref="M950">IFERROR(INDEX(EXCEPCIONES_FECHA!$D$2:$D$201,MATCH(1,(EXCEPCIONES_FECHA!$A$2:$A$201=$A950)*(EXCEPCIONES_FECHA!$B$2:$B$201=$B950),0)),IFERROR(INDEX(EXCEPCIONES_FECHA!$D$2:$D$201,MATCH(1,(EXCEPCIONES_FECHA!$A$2:$A$201=$A950)*(EXCEPCIONES_FECHA!$B$2:$B$201=""),0)),IFERROR(INDEX(IF($I950="FIN",HISTORIAL_HORARIOS!$J$2:$J$201,HISTORIAL_HORARIOS!$F$2:$F$201),MATCH(1,(HISTORIAL_HORARIOS!$A$2:$A$201=$B950)*(HISTORIAL_HORARIOS!$C$2:$C$201&lt;=$A950)*(HISTORIAL_HORARIOS!$D$2:$D$201&gt;=$A950),0)),INDEX(IF($I950="FIN",PERSONAL!$J$2:$J$80,PERSONAL!$F$2:$F$80),MATCH($B950,PERSONAL!$A$2:$A$80,0)))))</f>
        <v/>
      </c>
      <c r="N950" s="53">
        <f t="array" ref="N950">IFERROR(INDEX(EXCEPCIONES_FECHA!$E$2:$E$201,MATCH(1,(EXCEPCIONES_FECHA!$A$2:$A$201=$A950)*(EXCEPCIONES_FECHA!$B$2:$B$201=$B950),0)),IFERROR(INDEX(EXCEPCIONES_FECHA!$E$2:$E$201,MATCH(1,(EXCEPCIONES_FECHA!$A$2:$A$201=$A950)*(EXCEPCIONES_FECHA!$B$2:$B$201=""),0)),IFERROR(INDEX(IF($I950="FIN",HISTORIAL_HORARIOS!$K$2:$K$201,HISTORIAL_HORARIOS!$G$2:$G$201),MATCH(1,(HISTORIAL_HORARIOS!$A$2:$A$201=$B950)*(HISTORIAL_HORARIOS!$C$2:$C$201&lt;=$A950)*(HISTORIAL_HORARIOS!$D$2:$D$201&gt;=$A950),0)),INDEX(IF($I950="FIN",PERSONAL!$K$2:$K$80,PERSONAL!$G$2:$G$80),MATCH($B950,PERSONAL!$A$2:$A$80,0)))))</f>
        <v/>
      </c>
      <c r="O950" s="53">
        <f t="array" ref="O950">IFERROR(INDEX(EXCEPCIONES_FECHA!$F$2:$F$201,MATCH(1,(EXCEPCIONES_FECHA!$A$2:$A$201=$A950)*(EXCEPCIONES_FECHA!$B$2:$B$201=$B950),0)),IFERROR(INDEX(EXCEPCIONES_FECHA!$F$2:$F$201,MATCH(1,(EXCEPCIONES_FECHA!$A$2:$A$201=$A950)*(EXCEPCIONES_FECHA!$B$2:$B$201=""),0)),IFERROR(INDEX(IF($I950="FIN",HISTORIAL_HORARIOS!$L$2:$L$201,HISTORIAL_HORARIOS!$H$2:$H$201),MATCH(1,(HISTORIAL_HORARIOS!$A$2:$A$201=$B950)*(HISTORIAL_HORARIOS!$C$2:$C$201&lt;=$A950)*(HISTORIAL_HORARIOS!$D$2:$D$201&gt;=$A950),0)),INDEX(IF($I950="FIN",PERSONAL!$L$2:$L$80,PERSONAL!$H$2:$H$80),MATCH($B950,PERSONAL!$A$2:$A$80,0)))))</f>
        <v/>
      </c>
    </row>
    <row r="951" ht="15" customHeight="1" s="58">
      <c r="A951" s="40" t="n"/>
      <c r="B951" s="38" t="n"/>
      <c r="C951" s="40" t="n"/>
      <c r="D951" s="40" t="n"/>
      <c r="E951" s="34">
        <f t="array" ref="E951">IF($B951="","",IFERROR(INDEX(PERSONAL!$B$2:$B$80,MATCH($B951,PERSONAL!$A$2:$A$80,0)),"NO EXISTE"))</f>
        <v/>
      </c>
      <c r="F951" s="34">
        <f t="array" ref="F951">IF($B951="","",IFERROR(INDEX(PERSONAL!$C$2:$C$80,MATCH($B951,PERSONAL!$A$2:$A$80,0)),""))</f>
        <v/>
      </c>
      <c r="G951" s="34">
        <f>IF($A951="","",CHOOSE(WEEKDAY($A951,2),"LUNES","MARTES","MIÉRCOLES","JUEVES","VIERNES","SÁBADO","DOMINGO"))</f>
        <v/>
      </c>
      <c r="H951" s="34">
        <f>IF($A951="","",CHOOSE(MONTH($A951),"ENERO","FEBRERO","MARZO","ABRIL","MAYO","JUNIO","JULIO","AGOSTO","SEPTIEMBRE","OCTUBRE","NOVIEMBRE","DICIEMBRE"))</f>
        <v/>
      </c>
      <c r="I951" s="34">
        <f>IF($A951="","",IF(OR($G951="SÁBADO",$G951="DOMINGO"),"FIN","LV"))</f>
        <v/>
      </c>
      <c r="J951" s="34">
        <f>IF(OR($A951="",$B951=""),"",IF($L951&lt;&gt;"",UPPER($L951),IF($C951="","FALTA",IFERROR(IF($C951&gt;=$O951,"ROJO FUERTE",IF($C951&gt;=$N951,"ROJO",IF($C951&gt;=$M951,"AMARILLO","VERDE"))),"REVISAR"))))</f>
        <v/>
      </c>
      <c r="K951" s="36">
        <f>IF(OR($C951="",$D951=""),"",IF($D951&gt;=$C951,($D951-$C951)*24,(1-$C951+$D951)*24))</f>
        <v/>
      </c>
      <c r="L951" s="34" t="n"/>
      <c r="M951" s="53">
        <f t="array" ref="M951">IFERROR(INDEX(EXCEPCIONES_FECHA!$D$2:$D$201,MATCH(1,(EXCEPCIONES_FECHA!$A$2:$A$201=$A951)*(EXCEPCIONES_FECHA!$B$2:$B$201=$B951),0)),IFERROR(INDEX(EXCEPCIONES_FECHA!$D$2:$D$201,MATCH(1,(EXCEPCIONES_FECHA!$A$2:$A$201=$A951)*(EXCEPCIONES_FECHA!$B$2:$B$201=""),0)),IFERROR(INDEX(IF($I951="FIN",HISTORIAL_HORARIOS!$J$2:$J$201,HISTORIAL_HORARIOS!$F$2:$F$201),MATCH(1,(HISTORIAL_HORARIOS!$A$2:$A$201=$B951)*(HISTORIAL_HORARIOS!$C$2:$C$201&lt;=$A951)*(HISTORIAL_HORARIOS!$D$2:$D$201&gt;=$A951),0)),INDEX(IF($I951="FIN",PERSONAL!$J$2:$J$80,PERSONAL!$F$2:$F$80),MATCH($B951,PERSONAL!$A$2:$A$80,0)))))</f>
        <v/>
      </c>
      <c r="N951" s="53">
        <f t="array" ref="N951">IFERROR(INDEX(EXCEPCIONES_FECHA!$E$2:$E$201,MATCH(1,(EXCEPCIONES_FECHA!$A$2:$A$201=$A951)*(EXCEPCIONES_FECHA!$B$2:$B$201=$B951),0)),IFERROR(INDEX(EXCEPCIONES_FECHA!$E$2:$E$201,MATCH(1,(EXCEPCIONES_FECHA!$A$2:$A$201=$A951)*(EXCEPCIONES_FECHA!$B$2:$B$201=""),0)),IFERROR(INDEX(IF($I951="FIN",HISTORIAL_HORARIOS!$K$2:$K$201,HISTORIAL_HORARIOS!$G$2:$G$201),MATCH(1,(HISTORIAL_HORARIOS!$A$2:$A$201=$B951)*(HISTORIAL_HORARIOS!$C$2:$C$201&lt;=$A951)*(HISTORIAL_HORARIOS!$D$2:$D$201&gt;=$A951),0)),INDEX(IF($I951="FIN",PERSONAL!$K$2:$K$80,PERSONAL!$G$2:$G$80),MATCH($B951,PERSONAL!$A$2:$A$80,0)))))</f>
        <v/>
      </c>
      <c r="O951" s="53">
        <f t="array" ref="O951">IFERROR(INDEX(EXCEPCIONES_FECHA!$F$2:$F$201,MATCH(1,(EXCEPCIONES_FECHA!$A$2:$A$201=$A951)*(EXCEPCIONES_FECHA!$B$2:$B$201=$B951),0)),IFERROR(INDEX(EXCEPCIONES_FECHA!$F$2:$F$201,MATCH(1,(EXCEPCIONES_FECHA!$A$2:$A$201=$A951)*(EXCEPCIONES_FECHA!$B$2:$B$201=""),0)),IFERROR(INDEX(IF($I951="FIN",HISTORIAL_HORARIOS!$L$2:$L$201,HISTORIAL_HORARIOS!$H$2:$H$201),MATCH(1,(HISTORIAL_HORARIOS!$A$2:$A$201=$B951)*(HISTORIAL_HORARIOS!$C$2:$C$201&lt;=$A951)*(HISTORIAL_HORARIOS!$D$2:$D$201&gt;=$A951),0)),INDEX(IF($I951="FIN",PERSONAL!$L$2:$L$80,PERSONAL!$H$2:$H$80),MATCH($B951,PERSONAL!$A$2:$A$80,0)))))</f>
        <v/>
      </c>
    </row>
    <row r="952" ht="15" customHeight="1" s="58">
      <c r="A952" s="40" t="n"/>
      <c r="B952" s="38" t="n"/>
      <c r="C952" s="40" t="n"/>
      <c r="D952" s="40" t="n"/>
      <c r="E952" s="34">
        <f t="array" ref="E952">IF($B952="","",IFERROR(INDEX(PERSONAL!$B$2:$B$80,MATCH($B952,PERSONAL!$A$2:$A$80,0)),"NO EXISTE"))</f>
        <v/>
      </c>
      <c r="F952" s="34">
        <f t="array" ref="F952">IF($B952="","",IFERROR(INDEX(PERSONAL!$C$2:$C$80,MATCH($B952,PERSONAL!$A$2:$A$80,0)),""))</f>
        <v/>
      </c>
      <c r="G952" s="34">
        <f>IF($A952="","",CHOOSE(WEEKDAY($A952,2),"LUNES","MARTES","MIÉRCOLES","JUEVES","VIERNES","SÁBADO","DOMINGO"))</f>
        <v/>
      </c>
      <c r="H952" s="34">
        <f>IF($A952="","",CHOOSE(MONTH($A952),"ENERO","FEBRERO","MARZO","ABRIL","MAYO","JUNIO","JULIO","AGOSTO","SEPTIEMBRE","OCTUBRE","NOVIEMBRE","DICIEMBRE"))</f>
        <v/>
      </c>
      <c r="I952" s="34">
        <f>IF($A952="","",IF(OR($G952="SÁBADO",$G952="DOMINGO"),"FIN","LV"))</f>
        <v/>
      </c>
      <c r="J952" s="34">
        <f>IF(OR($A952="",$B952=""),"",IF($L952&lt;&gt;"",UPPER($L952),IF($C952="","FALTA",IFERROR(IF($C952&gt;=$O952,"ROJO FUERTE",IF($C952&gt;=$N952,"ROJO",IF($C952&gt;=$M952,"AMARILLO","VERDE"))),"REVISAR"))))</f>
        <v/>
      </c>
      <c r="K952" s="36">
        <f>IF(OR($C952="",$D952=""),"",IF($D952&gt;=$C952,($D952-$C952)*24,(1-$C952+$D952)*24))</f>
        <v/>
      </c>
      <c r="L952" s="34" t="n"/>
      <c r="M952" s="53">
        <f t="array" ref="M952">IFERROR(INDEX(EXCEPCIONES_FECHA!$D$2:$D$201,MATCH(1,(EXCEPCIONES_FECHA!$A$2:$A$201=$A952)*(EXCEPCIONES_FECHA!$B$2:$B$201=$B952),0)),IFERROR(INDEX(EXCEPCIONES_FECHA!$D$2:$D$201,MATCH(1,(EXCEPCIONES_FECHA!$A$2:$A$201=$A952)*(EXCEPCIONES_FECHA!$B$2:$B$201=""),0)),IFERROR(INDEX(IF($I952="FIN",HISTORIAL_HORARIOS!$J$2:$J$201,HISTORIAL_HORARIOS!$F$2:$F$201),MATCH(1,(HISTORIAL_HORARIOS!$A$2:$A$201=$B952)*(HISTORIAL_HORARIOS!$C$2:$C$201&lt;=$A952)*(HISTORIAL_HORARIOS!$D$2:$D$201&gt;=$A952),0)),INDEX(IF($I952="FIN",PERSONAL!$J$2:$J$80,PERSONAL!$F$2:$F$80),MATCH($B952,PERSONAL!$A$2:$A$80,0)))))</f>
        <v/>
      </c>
      <c r="N952" s="53">
        <f t="array" ref="N952">IFERROR(INDEX(EXCEPCIONES_FECHA!$E$2:$E$201,MATCH(1,(EXCEPCIONES_FECHA!$A$2:$A$201=$A952)*(EXCEPCIONES_FECHA!$B$2:$B$201=$B952),0)),IFERROR(INDEX(EXCEPCIONES_FECHA!$E$2:$E$201,MATCH(1,(EXCEPCIONES_FECHA!$A$2:$A$201=$A952)*(EXCEPCIONES_FECHA!$B$2:$B$201=""),0)),IFERROR(INDEX(IF($I952="FIN",HISTORIAL_HORARIOS!$K$2:$K$201,HISTORIAL_HORARIOS!$G$2:$G$201),MATCH(1,(HISTORIAL_HORARIOS!$A$2:$A$201=$B952)*(HISTORIAL_HORARIOS!$C$2:$C$201&lt;=$A952)*(HISTORIAL_HORARIOS!$D$2:$D$201&gt;=$A952),0)),INDEX(IF($I952="FIN",PERSONAL!$K$2:$K$80,PERSONAL!$G$2:$G$80),MATCH($B952,PERSONAL!$A$2:$A$80,0)))))</f>
        <v/>
      </c>
      <c r="O952" s="53">
        <f t="array" ref="O952">IFERROR(INDEX(EXCEPCIONES_FECHA!$F$2:$F$201,MATCH(1,(EXCEPCIONES_FECHA!$A$2:$A$201=$A952)*(EXCEPCIONES_FECHA!$B$2:$B$201=$B952),0)),IFERROR(INDEX(EXCEPCIONES_FECHA!$F$2:$F$201,MATCH(1,(EXCEPCIONES_FECHA!$A$2:$A$201=$A952)*(EXCEPCIONES_FECHA!$B$2:$B$201=""),0)),IFERROR(INDEX(IF($I952="FIN",HISTORIAL_HORARIOS!$L$2:$L$201,HISTORIAL_HORARIOS!$H$2:$H$201),MATCH(1,(HISTORIAL_HORARIOS!$A$2:$A$201=$B952)*(HISTORIAL_HORARIOS!$C$2:$C$201&lt;=$A952)*(HISTORIAL_HORARIOS!$D$2:$D$201&gt;=$A952),0)),INDEX(IF($I952="FIN",PERSONAL!$L$2:$L$80,PERSONAL!$H$2:$H$80),MATCH($B952,PERSONAL!$A$2:$A$80,0)))))</f>
        <v/>
      </c>
    </row>
    <row r="953" ht="15" customHeight="1" s="58">
      <c r="A953" s="40" t="n"/>
      <c r="B953" s="38" t="n"/>
      <c r="C953" s="40" t="n"/>
      <c r="D953" s="40" t="n"/>
      <c r="E953" s="34">
        <f t="array" ref="E953">IF($B953="","",IFERROR(INDEX(PERSONAL!$B$2:$B$80,MATCH($B953,PERSONAL!$A$2:$A$80,0)),"NO EXISTE"))</f>
        <v/>
      </c>
      <c r="F953" s="34">
        <f t="array" ref="F953">IF($B953="","",IFERROR(INDEX(PERSONAL!$C$2:$C$80,MATCH($B953,PERSONAL!$A$2:$A$80,0)),""))</f>
        <v/>
      </c>
      <c r="G953" s="34">
        <f>IF($A953="","",CHOOSE(WEEKDAY($A953,2),"LUNES","MARTES","MIÉRCOLES","JUEVES","VIERNES","SÁBADO","DOMINGO"))</f>
        <v/>
      </c>
      <c r="H953" s="34">
        <f>IF($A953="","",CHOOSE(MONTH($A953),"ENERO","FEBRERO","MARZO","ABRIL","MAYO","JUNIO","JULIO","AGOSTO","SEPTIEMBRE","OCTUBRE","NOVIEMBRE","DICIEMBRE"))</f>
        <v/>
      </c>
      <c r="I953" s="34">
        <f>IF($A953="","",IF(OR($G953="SÁBADO",$G953="DOMINGO"),"FIN","LV"))</f>
        <v/>
      </c>
      <c r="J953" s="34">
        <f>IF(OR($A953="",$B953=""),"",IF($L953&lt;&gt;"",UPPER($L953),IF($C953="","FALTA",IFERROR(IF($C953&gt;=$O953,"ROJO FUERTE",IF($C953&gt;=$N953,"ROJO",IF($C953&gt;=$M953,"AMARILLO","VERDE"))),"REVISAR"))))</f>
        <v/>
      </c>
      <c r="K953" s="36">
        <f>IF(OR($C953="",$D953=""),"",IF($D953&gt;=$C953,($D953-$C953)*24,(1-$C953+$D953)*24))</f>
        <v/>
      </c>
      <c r="L953" s="34" t="n"/>
      <c r="M953" s="53">
        <f t="array" ref="M953">IFERROR(INDEX(EXCEPCIONES_FECHA!$D$2:$D$201,MATCH(1,(EXCEPCIONES_FECHA!$A$2:$A$201=$A953)*(EXCEPCIONES_FECHA!$B$2:$B$201=$B953),0)),IFERROR(INDEX(EXCEPCIONES_FECHA!$D$2:$D$201,MATCH(1,(EXCEPCIONES_FECHA!$A$2:$A$201=$A953)*(EXCEPCIONES_FECHA!$B$2:$B$201=""),0)),IFERROR(INDEX(IF($I953="FIN",HISTORIAL_HORARIOS!$J$2:$J$201,HISTORIAL_HORARIOS!$F$2:$F$201),MATCH(1,(HISTORIAL_HORARIOS!$A$2:$A$201=$B953)*(HISTORIAL_HORARIOS!$C$2:$C$201&lt;=$A953)*(HISTORIAL_HORARIOS!$D$2:$D$201&gt;=$A953),0)),INDEX(IF($I953="FIN",PERSONAL!$J$2:$J$80,PERSONAL!$F$2:$F$80),MATCH($B953,PERSONAL!$A$2:$A$80,0)))))</f>
        <v/>
      </c>
      <c r="N953" s="53">
        <f t="array" ref="N953">IFERROR(INDEX(EXCEPCIONES_FECHA!$E$2:$E$201,MATCH(1,(EXCEPCIONES_FECHA!$A$2:$A$201=$A953)*(EXCEPCIONES_FECHA!$B$2:$B$201=$B953),0)),IFERROR(INDEX(EXCEPCIONES_FECHA!$E$2:$E$201,MATCH(1,(EXCEPCIONES_FECHA!$A$2:$A$201=$A953)*(EXCEPCIONES_FECHA!$B$2:$B$201=""),0)),IFERROR(INDEX(IF($I953="FIN",HISTORIAL_HORARIOS!$K$2:$K$201,HISTORIAL_HORARIOS!$G$2:$G$201),MATCH(1,(HISTORIAL_HORARIOS!$A$2:$A$201=$B953)*(HISTORIAL_HORARIOS!$C$2:$C$201&lt;=$A953)*(HISTORIAL_HORARIOS!$D$2:$D$201&gt;=$A953),0)),INDEX(IF($I953="FIN",PERSONAL!$K$2:$K$80,PERSONAL!$G$2:$G$80),MATCH($B953,PERSONAL!$A$2:$A$80,0)))))</f>
        <v/>
      </c>
      <c r="O953" s="53">
        <f t="array" ref="O953">IFERROR(INDEX(EXCEPCIONES_FECHA!$F$2:$F$201,MATCH(1,(EXCEPCIONES_FECHA!$A$2:$A$201=$A953)*(EXCEPCIONES_FECHA!$B$2:$B$201=$B953),0)),IFERROR(INDEX(EXCEPCIONES_FECHA!$F$2:$F$201,MATCH(1,(EXCEPCIONES_FECHA!$A$2:$A$201=$A953)*(EXCEPCIONES_FECHA!$B$2:$B$201=""),0)),IFERROR(INDEX(IF($I953="FIN",HISTORIAL_HORARIOS!$L$2:$L$201,HISTORIAL_HORARIOS!$H$2:$H$201),MATCH(1,(HISTORIAL_HORARIOS!$A$2:$A$201=$B953)*(HISTORIAL_HORARIOS!$C$2:$C$201&lt;=$A953)*(HISTORIAL_HORARIOS!$D$2:$D$201&gt;=$A953),0)),INDEX(IF($I953="FIN",PERSONAL!$L$2:$L$80,PERSONAL!$H$2:$H$80),MATCH($B953,PERSONAL!$A$2:$A$80,0)))))</f>
        <v/>
      </c>
    </row>
    <row r="954" ht="15" customHeight="1" s="58">
      <c r="A954" s="40" t="n"/>
      <c r="B954" s="38" t="n"/>
      <c r="C954" s="40" t="n"/>
      <c r="D954" s="40" t="n"/>
      <c r="E954" s="34">
        <f t="array" ref="E954">IF($B954="","",IFERROR(INDEX(PERSONAL!$B$2:$B$80,MATCH($B954,PERSONAL!$A$2:$A$80,0)),"NO EXISTE"))</f>
        <v/>
      </c>
      <c r="F954" s="34">
        <f t="array" ref="F954">IF($B954="","",IFERROR(INDEX(PERSONAL!$C$2:$C$80,MATCH($B954,PERSONAL!$A$2:$A$80,0)),""))</f>
        <v/>
      </c>
      <c r="G954" s="34">
        <f>IF($A954="","",CHOOSE(WEEKDAY($A954,2),"LUNES","MARTES","MIÉRCOLES","JUEVES","VIERNES","SÁBADO","DOMINGO"))</f>
        <v/>
      </c>
      <c r="H954" s="34">
        <f>IF($A954="","",CHOOSE(MONTH($A954),"ENERO","FEBRERO","MARZO","ABRIL","MAYO","JUNIO","JULIO","AGOSTO","SEPTIEMBRE","OCTUBRE","NOVIEMBRE","DICIEMBRE"))</f>
        <v/>
      </c>
      <c r="I954" s="34">
        <f>IF($A954="","",IF(OR($G954="SÁBADO",$G954="DOMINGO"),"FIN","LV"))</f>
        <v/>
      </c>
      <c r="J954" s="34">
        <f>IF(OR($A954="",$B954=""),"",IF($L954&lt;&gt;"",UPPER($L954),IF($C954="","FALTA",IFERROR(IF($C954&gt;=$O954,"ROJO FUERTE",IF($C954&gt;=$N954,"ROJO",IF($C954&gt;=$M954,"AMARILLO","VERDE"))),"REVISAR"))))</f>
        <v/>
      </c>
      <c r="K954" s="36">
        <f>IF(OR($C954="",$D954=""),"",IF($D954&gt;=$C954,($D954-$C954)*24,(1-$C954+$D954)*24))</f>
        <v/>
      </c>
      <c r="L954" s="34" t="n"/>
      <c r="M954" s="53">
        <f t="array" ref="M954">IFERROR(INDEX(EXCEPCIONES_FECHA!$D$2:$D$201,MATCH(1,(EXCEPCIONES_FECHA!$A$2:$A$201=$A954)*(EXCEPCIONES_FECHA!$B$2:$B$201=$B954),0)),IFERROR(INDEX(EXCEPCIONES_FECHA!$D$2:$D$201,MATCH(1,(EXCEPCIONES_FECHA!$A$2:$A$201=$A954)*(EXCEPCIONES_FECHA!$B$2:$B$201=""),0)),IFERROR(INDEX(IF($I954="FIN",HISTORIAL_HORARIOS!$J$2:$J$201,HISTORIAL_HORARIOS!$F$2:$F$201),MATCH(1,(HISTORIAL_HORARIOS!$A$2:$A$201=$B954)*(HISTORIAL_HORARIOS!$C$2:$C$201&lt;=$A954)*(HISTORIAL_HORARIOS!$D$2:$D$201&gt;=$A954),0)),INDEX(IF($I954="FIN",PERSONAL!$J$2:$J$80,PERSONAL!$F$2:$F$80),MATCH($B954,PERSONAL!$A$2:$A$80,0)))))</f>
        <v/>
      </c>
      <c r="N954" s="53">
        <f t="array" ref="N954">IFERROR(INDEX(EXCEPCIONES_FECHA!$E$2:$E$201,MATCH(1,(EXCEPCIONES_FECHA!$A$2:$A$201=$A954)*(EXCEPCIONES_FECHA!$B$2:$B$201=$B954),0)),IFERROR(INDEX(EXCEPCIONES_FECHA!$E$2:$E$201,MATCH(1,(EXCEPCIONES_FECHA!$A$2:$A$201=$A954)*(EXCEPCIONES_FECHA!$B$2:$B$201=""),0)),IFERROR(INDEX(IF($I954="FIN",HISTORIAL_HORARIOS!$K$2:$K$201,HISTORIAL_HORARIOS!$G$2:$G$201),MATCH(1,(HISTORIAL_HORARIOS!$A$2:$A$201=$B954)*(HISTORIAL_HORARIOS!$C$2:$C$201&lt;=$A954)*(HISTORIAL_HORARIOS!$D$2:$D$201&gt;=$A954),0)),INDEX(IF($I954="FIN",PERSONAL!$K$2:$K$80,PERSONAL!$G$2:$G$80),MATCH($B954,PERSONAL!$A$2:$A$80,0)))))</f>
        <v/>
      </c>
      <c r="O954" s="53">
        <f t="array" ref="O954">IFERROR(INDEX(EXCEPCIONES_FECHA!$F$2:$F$201,MATCH(1,(EXCEPCIONES_FECHA!$A$2:$A$201=$A954)*(EXCEPCIONES_FECHA!$B$2:$B$201=$B954),0)),IFERROR(INDEX(EXCEPCIONES_FECHA!$F$2:$F$201,MATCH(1,(EXCEPCIONES_FECHA!$A$2:$A$201=$A954)*(EXCEPCIONES_FECHA!$B$2:$B$201=""),0)),IFERROR(INDEX(IF($I954="FIN",HISTORIAL_HORARIOS!$L$2:$L$201,HISTORIAL_HORARIOS!$H$2:$H$201),MATCH(1,(HISTORIAL_HORARIOS!$A$2:$A$201=$B954)*(HISTORIAL_HORARIOS!$C$2:$C$201&lt;=$A954)*(HISTORIAL_HORARIOS!$D$2:$D$201&gt;=$A954),0)),INDEX(IF($I954="FIN",PERSONAL!$L$2:$L$80,PERSONAL!$H$2:$H$80),MATCH($B954,PERSONAL!$A$2:$A$80,0)))))</f>
        <v/>
      </c>
    </row>
    <row r="955" ht="15" customHeight="1" s="58">
      <c r="A955" s="40" t="n"/>
      <c r="B955" s="38" t="n"/>
      <c r="C955" s="40" t="n"/>
      <c r="D955" s="40" t="n"/>
      <c r="E955" s="34">
        <f t="array" ref="E955">IF($B955="","",IFERROR(INDEX(PERSONAL!$B$2:$B$80,MATCH($B955,PERSONAL!$A$2:$A$80,0)),"NO EXISTE"))</f>
        <v/>
      </c>
      <c r="F955" s="34">
        <f t="array" ref="F955">IF($B955="","",IFERROR(INDEX(PERSONAL!$C$2:$C$80,MATCH($B955,PERSONAL!$A$2:$A$80,0)),""))</f>
        <v/>
      </c>
      <c r="G955" s="34">
        <f>IF($A955="","",CHOOSE(WEEKDAY($A955,2),"LUNES","MARTES","MIÉRCOLES","JUEVES","VIERNES","SÁBADO","DOMINGO"))</f>
        <v/>
      </c>
      <c r="H955" s="34">
        <f>IF($A955="","",CHOOSE(MONTH($A955),"ENERO","FEBRERO","MARZO","ABRIL","MAYO","JUNIO","JULIO","AGOSTO","SEPTIEMBRE","OCTUBRE","NOVIEMBRE","DICIEMBRE"))</f>
        <v/>
      </c>
      <c r="I955" s="34">
        <f>IF($A955="","",IF(OR($G955="SÁBADO",$G955="DOMINGO"),"FIN","LV"))</f>
        <v/>
      </c>
      <c r="J955" s="34">
        <f>IF(OR($A955="",$B955=""),"",IF($L955&lt;&gt;"",UPPER($L955),IF($C955="","FALTA",IFERROR(IF($C955&gt;=$O955,"ROJO FUERTE",IF($C955&gt;=$N955,"ROJO",IF($C955&gt;=$M955,"AMARILLO","VERDE"))),"REVISAR"))))</f>
        <v/>
      </c>
      <c r="K955" s="36">
        <f>IF(OR($C955="",$D955=""),"",IF($D955&gt;=$C955,($D955-$C955)*24,(1-$C955+$D955)*24))</f>
        <v/>
      </c>
      <c r="L955" s="34" t="n"/>
      <c r="M955" s="53">
        <f t="array" ref="M955">IFERROR(INDEX(EXCEPCIONES_FECHA!$D$2:$D$201,MATCH(1,(EXCEPCIONES_FECHA!$A$2:$A$201=$A955)*(EXCEPCIONES_FECHA!$B$2:$B$201=$B955),0)),IFERROR(INDEX(EXCEPCIONES_FECHA!$D$2:$D$201,MATCH(1,(EXCEPCIONES_FECHA!$A$2:$A$201=$A955)*(EXCEPCIONES_FECHA!$B$2:$B$201=""),0)),IFERROR(INDEX(IF($I955="FIN",HISTORIAL_HORARIOS!$J$2:$J$201,HISTORIAL_HORARIOS!$F$2:$F$201),MATCH(1,(HISTORIAL_HORARIOS!$A$2:$A$201=$B955)*(HISTORIAL_HORARIOS!$C$2:$C$201&lt;=$A955)*(HISTORIAL_HORARIOS!$D$2:$D$201&gt;=$A955),0)),INDEX(IF($I955="FIN",PERSONAL!$J$2:$J$80,PERSONAL!$F$2:$F$80),MATCH($B955,PERSONAL!$A$2:$A$80,0)))))</f>
        <v/>
      </c>
      <c r="N955" s="53">
        <f t="array" ref="N955">IFERROR(INDEX(EXCEPCIONES_FECHA!$E$2:$E$201,MATCH(1,(EXCEPCIONES_FECHA!$A$2:$A$201=$A955)*(EXCEPCIONES_FECHA!$B$2:$B$201=$B955),0)),IFERROR(INDEX(EXCEPCIONES_FECHA!$E$2:$E$201,MATCH(1,(EXCEPCIONES_FECHA!$A$2:$A$201=$A955)*(EXCEPCIONES_FECHA!$B$2:$B$201=""),0)),IFERROR(INDEX(IF($I955="FIN",HISTORIAL_HORARIOS!$K$2:$K$201,HISTORIAL_HORARIOS!$G$2:$G$201),MATCH(1,(HISTORIAL_HORARIOS!$A$2:$A$201=$B955)*(HISTORIAL_HORARIOS!$C$2:$C$201&lt;=$A955)*(HISTORIAL_HORARIOS!$D$2:$D$201&gt;=$A955),0)),INDEX(IF($I955="FIN",PERSONAL!$K$2:$K$80,PERSONAL!$G$2:$G$80),MATCH($B955,PERSONAL!$A$2:$A$80,0)))))</f>
        <v/>
      </c>
      <c r="O955" s="53">
        <f t="array" ref="O955">IFERROR(INDEX(EXCEPCIONES_FECHA!$F$2:$F$201,MATCH(1,(EXCEPCIONES_FECHA!$A$2:$A$201=$A955)*(EXCEPCIONES_FECHA!$B$2:$B$201=$B955),0)),IFERROR(INDEX(EXCEPCIONES_FECHA!$F$2:$F$201,MATCH(1,(EXCEPCIONES_FECHA!$A$2:$A$201=$A955)*(EXCEPCIONES_FECHA!$B$2:$B$201=""),0)),IFERROR(INDEX(IF($I955="FIN",HISTORIAL_HORARIOS!$L$2:$L$201,HISTORIAL_HORARIOS!$H$2:$H$201),MATCH(1,(HISTORIAL_HORARIOS!$A$2:$A$201=$B955)*(HISTORIAL_HORARIOS!$C$2:$C$201&lt;=$A955)*(HISTORIAL_HORARIOS!$D$2:$D$201&gt;=$A955),0)),INDEX(IF($I955="FIN",PERSONAL!$L$2:$L$80,PERSONAL!$H$2:$H$80),MATCH($B955,PERSONAL!$A$2:$A$80,0)))))</f>
        <v/>
      </c>
    </row>
    <row r="956" ht="15" customHeight="1" s="58">
      <c r="A956" s="40" t="n"/>
      <c r="B956" s="38" t="n"/>
      <c r="C956" s="40" t="n"/>
      <c r="D956" s="40" t="n"/>
      <c r="E956" s="34">
        <f t="array" ref="E956">IF($B956="","",IFERROR(INDEX(PERSONAL!$B$2:$B$80,MATCH($B956,PERSONAL!$A$2:$A$80,0)),"NO EXISTE"))</f>
        <v/>
      </c>
      <c r="F956" s="34">
        <f t="array" ref="F956">IF($B956="","",IFERROR(INDEX(PERSONAL!$C$2:$C$80,MATCH($B956,PERSONAL!$A$2:$A$80,0)),""))</f>
        <v/>
      </c>
      <c r="G956" s="34">
        <f>IF($A956="","",CHOOSE(WEEKDAY($A956,2),"LUNES","MARTES","MIÉRCOLES","JUEVES","VIERNES","SÁBADO","DOMINGO"))</f>
        <v/>
      </c>
      <c r="H956" s="34">
        <f>IF($A956="","",CHOOSE(MONTH($A956),"ENERO","FEBRERO","MARZO","ABRIL","MAYO","JUNIO","JULIO","AGOSTO","SEPTIEMBRE","OCTUBRE","NOVIEMBRE","DICIEMBRE"))</f>
        <v/>
      </c>
      <c r="I956" s="34">
        <f>IF($A956="","",IF(OR($G956="SÁBADO",$G956="DOMINGO"),"FIN","LV"))</f>
        <v/>
      </c>
      <c r="J956" s="34">
        <f>IF(OR($A956="",$B956=""),"",IF($L956&lt;&gt;"",UPPER($L956),IF($C956="","FALTA",IFERROR(IF($C956&gt;=$O956,"ROJO FUERTE",IF($C956&gt;=$N956,"ROJO",IF($C956&gt;=$M956,"AMARILLO","VERDE"))),"REVISAR"))))</f>
        <v/>
      </c>
      <c r="K956" s="36">
        <f>IF(OR($C956="",$D956=""),"",IF($D956&gt;=$C956,($D956-$C956)*24,(1-$C956+$D956)*24))</f>
        <v/>
      </c>
      <c r="L956" s="34" t="n"/>
      <c r="M956" s="53">
        <f t="array" ref="M956">IFERROR(INDEX(EXCEPCIONES_FECHA!$D$2:$D$201,MATCH(1,(EXCEPCIONES_FECHA!$A$2:$A$201=$A956)*(EXCEPCIONES_FECHA!$B$2:$B$201=$B956),0)),IFERROR(INDEX(EXCEPCIONES_FECHA!$D$2:$D$201,MATCH(1,(EXCEPCIONES_FECHA!$A$2:$A$201=$A956)*(EXCEPCIONES_FECHA!$B$2:$B$201=""),0)),IFERROR(INDEX(IF($I956="FIN",HISTORIAL_HORARIOS!$J$2:$J$201,HISTORIAL_HORARIOS!$F$2:$F$201),MATCH(1,(HISTORIAL_HORARIOS!$A$2:$A$201=$B956)*(HISTORIAL_HORARIOS!$C$2:$C$201&lt;=$A956)*(HISTORIAL_HORARIOS!$D$2:$D$201&gt;=$A956),0)),INDEX(IF($I956="FIN",PERSONAL!$J$2:$J$80,PERSONAL!$F$2:$F$80),MATCH($B956,PERSONAL!$A$2:$A$80,0)))))</f>
        <v/>
      </c>
      <c r="N956" s="53">
        <f t="array" ref="N956">IFERROR(INDEX(EXCEPCIONES_FECHA!$E$2:$E$201,MATCH(1,(EXCEPCIONES_FECHA!$A$2:$A$201=$A956)*(EXCEPCIONES_FECHA!$B$2:$B$201=$B956),0)),IFERROR(INDEX(EXCEPCIONES_FECHA!$E$2:$E$201,MATCH(1,(EXCEPCIONES_FECHA!$A$2:$A$201=$A956)*(EXCEPCIONES_FECHA!$B$2:$B$201=""),0)),IFERROR(INDEX(IF($I956="FIN",HISTORIAL_HORARIOS!$K$2:$K$201,HISTORIAL_HORARIOS!$G$2:$G$201),MATCH(1,(HISTORIAL_HORARIOS!$A$2:$A$201=$B956)*(HISTORIAL_HORARIOS!$C$2:$C$201&lt;=$A956)*(HISTORIAL_HORARIOS!$D$2:$D$201&gt;=$A956),0)),INDEX(IF($I956="FIN",PERSONAL!$K$2:$K$80,PERSONAL!$G$2:$G$80),MATCH($B956,PERSONAL!$A$2:$A$80,0)))))</f>
        <v/>
      </c>
      <c r="O956" s="53">
        <f t="array" ref="O956">IFERROR(INDEX(EXCEPCIONES_FECHA!$F$2:$F$201,MATCH(1,(EXCEPCIONES_FECHA!$A$2:$A$201=$A956)*(EXCEPCIONES_FECHA!$B$2:$B$201=$B956),0)),IFERROR(INDEX(EXCEPCIONES_FECHA!$F$2:$F$201,MATCH(1,(EXCEPCIONES_FECHA!$A$2:$A$201=$A956)*(EXCEPCIONES_FECHA!$B$2:$B$201=""),0)),IFERROR(INDEX(IF($I956="FIN",HISTORIAL_HORARIOS!$L$2:$L$201,HISTORIAL_HORARIOS!$H$2:$H$201),MATCH(1,(HISTORIAL_HORARIOS!$A$2:$A$201=$B956)*(HISTORIAL_HORARIOS!$C$2:$C$201&lt;=$A956)*(HISTORIAL_HORARIOS!$D$2:$D$201&gt;=$A956),0)),INDEX(IF($I956="FIN",PERSONAL!$L$2:$L$80,PERSONAL!$H$2:$H$80),MATCH($B956,PERSONAL!$A$2:$A$80,0)))))</f>
        <v/>
      </c>
    </row>
    <row r="957" ht="15" customHeight="1" s="58">
      <c r="A957" s="40" t="n"/>
      <c r="B957" s="38" t="n"/>
      <c r="C957" s="40" t="n"/>
      <c r="D957" s="40" t="n"/>
      <c r="E957" s="34">
        <f t="array" ref="E957">IF($B957="","",IFERROR(INDEX(PERSONAL!$B$2:$B$80,MATCH($B957,PERSONAL!$A$2:$A$80,0)),"NO EXISTE"))</f>
        <v/>
      </c>
      <c r="F957" s="34">
        <f t="array" ref="F957">IF($B957="","",IFERROR(INDEX(PERSONAL!$C$2:$C$80,MATCH($B957,PERSONAL!$A$2:$A$80,0)),""))</f>
        <v/>
      </c>
      <c r="G957" s="34">
        <f>IF($A957="","",CHOOSE(WEEKDAY($A957,2),"LUNES","MARTES","MIÉRCOLES","JUEVES","VIERNES","SÁBADO","DOMINGO"))</f>
        <v/>
      </c>
      <c r="H957" s="34">
        <f>IF($A957="","",CHOOSE(MONTH($A957),"ENERO","FEBRERO","MARZO","ABRIL","MAYO","JUNIO","JULIO","AGOSTO","SEPTIEMBRE","OCTUBRE","NOVIEMBRE","DICIEMBRE"))</f>
        <v/>
      </c>
      <c r="I957" s="34">
        <f>IF($A957="","",IF(OR($G957="SÁBADO",$G957="DOMINGO"),"FIN","LV"))</f>
        <v/>
      </c>
      <c r="J957" s="34">
        <f>IF(OR($A957="",$B957=""),"",IF($L957&lt;&gt;"",UPPER($L957),IF($C957="","FALTA",IFERROR(IF($C957&gt;=$O957,"ROJO FUERTE",IF($C957&gt;=$N957,"ROJO",IF($C957&gt;=$M957,"AMARILLO","VERDE"))),"REVISAR"))))</f>
        <v/>
      </c>
      <c r="K957" s="36">
        <f>IF(OR($C957="",$D957=""),"",IF($D957&gt;=$C957,($D957-$C957)*24,(1-$C957+$D957)*24))</f>
        <v/>
      </c>
      <c r="L957" s="34" t="n"/>
      <c r="M957" s="53">
        <f t="array" ref="M957">IFERROR(INDEX(EXCEPCIONES_FECHA!$D$2:$D$201,MATCH(1,(EXCEPCIONES_FECHA!$A$2:$A$201=$A957)*(EXCEPCIONES_FECHA!$B$2:$B$201=$B957),0)),IFERROR(INDEX(EXCEPCIONES_FECHA!$D$2:$D$201,MATCH(1,(EXCEPCIONES_FECHA!$A$2:$A$201=$A957)*(EXCEPCIONES_FECHA!$B$2:$B$201=""),0)),IFERROR(INDEX(IF($I957="FIN",HISTORIAL_HORARIOS!$J$2:$J$201,HISTORIAL_HORARIOS!$F$2:$F$201),MATCH(1,(HISTORIAL_HORARIOS!$A$2:$A$201=$B957)*(HISTORIAL_HORARIOS!$C$2:$C$201&lt;=$A957)*(HISTORIAL_HORARIOS!$D$2:$D$201&gt;=$A957),0)),INDEX(IF($I957="FIN",PERSONAL!$J$2:$J$80,PERSONAL!$F$2:$F$80),MATCH($B957,PERSONAL!$A$2:$A$80,0)))))</f>
        <v/>
      </c>
      <c r="N957" s="53">
        <f t="array" ref="N957">IFERROR(INDEX(EXCEPCIONES_FECHA!$E$2:$E$201,MATCH(1,(EXCEPCIONES_FECHA!$A$2:$A$201=$A957)*(EXCEPCIONES_FECHA!$B$2:$B$201=$B957),0)),IFERROR(INDEX(EXCEPCIONES_FECHA!$E$2:$E$201,MATCH(1,(EXCEPCIONES_FECHA!$A$2:$A$201=$A957)*(EXCEPCIONES_FECHA!$B$2:$B$201=""),0)),IFERROR(INDEX(IF($I957="FIN",HISTORIAL_HORARIOS!$K$2:$K$201,HISTORIAL_HORARIOS!$G$2:$G$201),MATCH(1,(HISTORIAL_HORARIOS!$A$2:$A$201=$B957)*(HISTORIAL_HORARIOS!$C$2:$C$201&lt;=$A957)*(HISTORIAL_HORARIOS!$D$2:$D$201&gt;=$A957),0)),INDEX(IF($I957="FIN",PERSONAL!$K$2:$K$80,PERSONAL!$G$2:$G$80),MATCH($B957,PERSONAL!$A$2:$A$80,0)))))</f>
        <v/>
      </c>
      <c r="O957" s="53">
        <f t="array" ref="O957">IFERROR(INDEX(EXCEPCIONES_FECHA!$F$2:$F$201,MATCH(1,(EXCEPCIONES_FECHA!$A$2:$A$201=$A957)*(EXCEPCIONES_FECHA!$B$2:$B$201=$B957),0)),IFERROR(INDEX(EXCEPCIONES_FECHA!$F$2:$F$201,MATCH(1,(EXCEPCIONES_FECHA!$A$2:$A$201=$A957)*(EXCEPCIONES_FECHA!$B$2:$B$201=""),0)),IFERROR(INDEX(IF($I957="FIN",HISTORIAL_HORARIOS!$L$2:$L$201,HISTORIAL_HORARIOS!$H$2:$H$201),MATCH(1,(HISTORIAL_HORARIOS!$A$2:$A$201=$B957)*(HISTORIAL_HORARIOS!$C$2:$C$201&lt;=$A957)*(HISTORIAL_HORARIOS!$D$2:$D$201&gt;=$A957),0)),INDEX(IF($I957="FIN",PERSONAL!$L$2:$L$80,PERSONAL!$H$2:$H$80),MATCH($B957,PERSONAL!$A$2:$A$80,0)))))</f>
        <v/>
      </c>
    </row>
    <row r="958" ht="15" customHeight="1" s="58">
      <c r="A958" s="40" t="n"/>
      <c r="B958" s="38" t="n"/>
      <c r="C958" s="40" t="n"/>
      <c r="D958" s="40" t="n"/>
      <c r="E958" s="34">
        <f t="array" ref="E958">IF($B958="","",IFERROR(INDEX(PERSONAL!$B$2:$B$80,MATCH($B958,PERSONAL!$A$2:$A$80,0)),"NO EXISTE"))</f>
        <v/>
      </c>
      <c r="F958" s="34">
        <f t="array" ref="F958">IF($B958="","",IFERROR(INDEX(PERSONAL!$C$2:$C$80,MATCH($B958,PERSONAL!$A$2:$A$80,0)),""))</f>
        <v/>
      </c>
      <c r="G958" s="34">
        <f>IF($A958="","",CHOOSE(WEEKDAY($A958,2),"LUNES","MARTES","MIÉRCOLES","JUEVES","VIERNES","SÁBADO","DOMINGO"))</f>
        <v/>
      </c>
      <c r="H958" s="34">
        <f>IF($A958="","",CHOOSE(MONTH($A958),"ENERO","FEBRERO","MARZO","ABRIL","MAYO","JUNIO","JULIO","AGOSTO","SEPTIEMBRE","OCTUBRE","NOVIEMBRE","DICIEMBRE"))</f>
        <v/>
      </c>
      <c r="I958" s="34">
        <f>IF($A958="","",IF(OR($G958="SÁBADO",$G958="DOMINGO"),"FIN","LV"))</f>
        <v/>
      </c>
      <c r="J958" s="34">
        <f>IF(OR($A958="",$B958=""),"",IF($L958&lt;&gt;"",UPPER($L958),IF($C958="","FALTA",IFERROR(IF($C958&gt;=$O958,"ROJO FUERTE",IF($C958&gt;=$N958,"ROJO",IF($C958&gt;=$M958,"AMARILLO","VERDE"))),"REVISAR"))))</f>
        <v/>
      </c>
      <c r="K958" s="36">
        <f>IF(OR($C958="",$D958=""),"",IF($D958&gt;=$C958,($D958-$C958)*24,(1-$C958+$D958)*24))</f>
        <v/>
      </c>
      <c r="L958" s="34" t="n"/>
      <c r="M958" s="53">
        <f t="array" ref="M958">IFERROR(INDEX(EXCEPCIONES_FECHA!$D$2:$D$201,MATCH(1,(EXCEPCIONES_FECHA!$A$2:$A$201=$A958)*(EXCEPCIONES_FECHA!$B$2:$B$201=$B958),0)),IFERROR(INDEX(EXCEPCIONES_FECHA!$D$2:$D$201,MATCH(1,(EXCEPCIONES_FECHA!$A$2:$A$201=$A958)*(EXCEPCIONES_FECHA!$B$2:$B$201=""),0)),IFERROR(INDEX(IF($I958="FIN",HISTORIAL_HORARIOS!$J$2:$J$201,HISTORIAL_HORARIOS!$F$2:$F$201),MATCH(1,(HISTORIAL_HORARIOS!$A$2:$A$201=$B958)*(HISTORIAL_HORARIOS!$C$2:$C$201&lt;=$A958)*(HISTORIAL_HORARIOS!$D$2:$D$201&gt;=$A958),0)),INDEX(IF($I958="FIN",PERSONAL!$J$2:$J$80,PERSONAL!$F$2:$F$80),MATCH($B958,PERSONAL!$A$2:$A$80,0)))))</f>
        <v/>
      </c>
      <c r="N958" s="53">
        <f t="array" ref="N958">IFERROR(INDEX(EXCEPCIONES_FECHA!$E$2:$E$201,MATCH(1,(EXCEPCIONES_FECHA!$A$2:$A$201=$A958)*(EXCEPCIONES_FECHA!$B$2:$B$201=$B958),0)),IFERROR(INDEX(EXCEPCIONES_FECHA!$E$2:$E$201,MATCH(1,(EXCEPCIONES_FECHA!$A$2:$A$201=$A958)*(EXCEPCIONES_FECHA!$B$2:$B$201=""),0)),IFERROR(INDEX(IF($I958="FIN",HISTORIAL_HORARIOS!$K$2:$K$201,HISTORIAL_HORARIOS!$G$2:$G$201),MATCH(1,(HISTORIAL_HORARIOS!$A$2:$A$201=$B958)*(HISTORIAL_HORARIOS!$C$2:$C$201&lt;=$A958)*(HISTORIAL_HORARIOS!$D$2:$D$201&gt;=$A958),0)),INDEX(IF($I958="FIN",PERSONAL!$K$2:$K$80,PERSONAL!$G$2:$G$80),MATCH($B958,PERSONAL!$A$2:$A$80,0)))))</f>
        <v/>
      </c>
      <c r="O958" s="53">
        <f t="array" ref="O958">IFERROR(INDEX(EXCEPCIONES_FECHA!$F$2:$F$201,MATCH(1,(EXCEPCIONES_FECHA!$A$2:$A$201=$A958)*(EXCEPCIONES_FECHA!$B$2:$B$201=$B958),0)),IFERROR(INDEX(EXCEPCIONES_FECHA!$F$2:$F$201,MATCH(1,(EXCEPCIONES_FECHA!$A$2:$A$201=$A958)*(EXCEPCIONES_FECHA!$B$2:$B$201=""),0)),IFERROR(INDEX(IF($I958="FIN",HISTORIAL_HORARIOS!$L$2:$L$201,HISTORIAL_HORARIOS!$H$2:$H$201),MATCH(1,(HISTORIAL_HORARIOS!$A$2:$A$201=$B958)*(HISTORIAL_HORARIOS!$C$2:$C$201&lt;=$A958)*(HISTORIAL_HORARIOS!$D$2:$D$201&gt;=$A958),0)),INDEX(IF($I958="FIN",PERSONAL!$L$2:$L$80,PERSONAL!$H$2:$H$80),MATCH($B958,PERSONAL!$A$2:$A$80,0)))))</f>
        <v/>
      </c>
    </row>
    <row r="959" ht="15" customHeight="1" s="58">
      <c r="A959" s="40" t="n"/>
      <c r="B959" s="38" t="n"/>
      <c r="C959" s="40" t="n"/>
      <c r="D959" s="40" t="n"/>
      <c r="E959" s="34">
        <f t="array" ref="E959">IF($B959="","",IFERROR(INDEX(PERSONAL!$B$2:$B$80,MATCH($B959,PERSONAL!$A$2:$A$80,0)),"NO EXISTE"))</f>
        <v/>
      </c>
      <c r="F959" s="34">
        <f t="array" ref="F959">IF($B959="","",IFERROR(INDEX(PERSONAL!$C$2:$C$80,MATCH($B959,PERSONAL!$A$2:$A$80,0)),""))</f>
        <v/>
      </c>
      <c r="G959" s="34">
        <f>IF($A959="","",CHOOSE(WEEKDAY($A959,2),"LUNES","MARTES","MIÉRCOLES","JUEVES","VIERNES","SÁBADO","DOMINGO"))</f>
        <v/>
      </c>
      <c r="H959" s="34">
        <f>IF($A959="","",CHOOSE(MONTH($A959),"ENERO","FEBRERO","MARZO","ABRIL","MAYO","JUNIO","JULIO","AGOSTO","SEPTIEMBRE","OCTUBRE","NOVIEMBRE","DICIEMBRE"))</f>
        <v/>
      </c>
      <c r="I959" s="34">
        <f>IF($A959="","",IF(OR($G959="SÁBADO",$G959="DOMINGO"),"FIN","LV"))</f>
        <v/>
      </c>
      <c r="J959" s="34">
        <f>IF(OR($A959="",$B959=""),"",IF($L959&lt;&gt;"",UPPER($L959),IF($C959="","FALTA",IFERROR(IF($C959&gt;=$O959,"ROJO FUERTE",IF($C959&gt;=$N959,"ROJO",IF($C959&gt;=$M959,"AMARILLO","VERDE"))),"REVISAR"))))</f>
        <v/>
      </c>
      <c r="K959" s="36">
        <f>IF(OR($C959="",$D959=""),"",IF($D959&gt;=$C959,($D959-$C959)*24,(1-$C959+$D959)*24))</f>
        <v/>
      </c>
      <c r="L959" s="34" t="n"/>
      <c r="M959" s="53">
        <f t="array" ref="M959">IFERROR(INDEX(EXCEPCIONES_FECHA!$D$2:$D$201,MATCH(1,(EXCEPCIONES_FECHA!$A$2:$A$201=$A959)*(EXCEPCIONES_FECHA!$B$2:$B$201=$B959),0)),IFERROR(INDEX(EXCEPCIONES_FECHA!$D$2:$D$201,MATCH(1,(EXCEPCIONES_FECHA!$A$2:$A$201=$A959)*(EXCEPCIONES_FECHA!$B$2:$B$201=""),0)),IFERROR(INDEX(IF($I959="FIN",HISTORIAL_HORARIOS!$J$2:$J$201,HISTORIAL_HORARIOS!$F$2:$F$201),MATCH(1,(HISTORIAL_HORARIOS!$A$2:$A$201=$B959)*(HISTORIAL_HORARIOS!$C$2:$C$201&lt;=$A959)*(HISTORIAL_HORARIOS!$D$2:$D$201&gt;=$A959),0)),INDEX(IF($I959="FIN",PERSONAL!$J$2:$J$80,PERSONAL!$F$2:$F$80),MATCH($B959,PERSONAL!$A$2:$A$80,0)))))</f>
        <v/>
      </c>
      <c r="N959" s="53">
        <f t="array" ref="N959">IFERROR(INDEX(EXCEPCIONES_FECHA!$E$2:$E$201,MATCH(1,(EXCEPCIONES_FECHA!$A$2:$A$201=$A959)*(EXCEPCIONES_FECHA!$B$2:$B$201=$B959),0)),IFERROR(INDEX(EXCEPCIONES_FECHA!$E$2:$E$201,MATCH(1,(EXCEPCIONES_FECHA!$A$2:$A$201=$A959)*(EXCEPCIONES_FECHA!$B$2:$B$201=""),0)),IFERROR(INDEX(IF($I959="FIN",HISTORIAL_HORARIOS!$K$2:$K$201,HISTORIAL_HORARIOS!$G$2:$G$201),MATCH(1,(HISTORIAL_HORARIOS!$A$2:$A$201=$B959)*(HISTORIAL_HORARIOS!$C$2:$C$201&lt;=$A959)*(HISTORIAL_HORARIOS!$D$2:$D$201&gt;=$A959),0)),INDEX(IF($I959="FIN",PERSONAL!$K$2:$K$80,PERSONAL!$G$2:$G$80),MATCH($B959,PERSONAL!$A$2:$A$80,0)))))</f>
        <v/>
      </c>
      <c r="O959" s="53">
        <f t="array" ref="O959">IFERROR(INDEX(EXCEPCIONES_FECHA!$F$2:$F$201,MATCH(1,(EXCEPCIONES_FECHA!$A$2:$A$201=$A959)*(EXCEPCIONES_FECHA!$B$2:$B$201=$B959),0)),IFERROR(INDEX(EXCEPCIONES_FECHA!$F$2:$F$201,MATCH(1,(EXCEPCIONES_FECHA!$A$2:$A$201=$A959)*(EXCEPCIONES_FECHA!$B$2:$B$201=""),0)),IFERROR(INDEX(IF($I959="FIN",HISTORIAL_HORARIOS!$L$2:$L$201,HISTORIAL_HORARIOS!$H$2:$H$201),MATCH(1,(HISTORIAL_HORARIOS!$A$2:$A$201=$B959)*(HISTORIAL_HORARIOS!$C$2:$C$201&lt;=$A959)*(HISTORIAL_HORARIOS!$D$2:$D$201&gt;=$A959),0)),INDEX(IF($I959="FIN",PERSONAL!$L$2:$L$80,PERSONAL!$H$2:$H$80),MATCH($B959,PERSONAL!$A$2:$A$80,0)))))</f>
        <v/>
      </c>
    </row>
    <row r="960" ht="15" customHeight="1" s="58">
      <c r="A960" s="40" t="n"/>
      <c r="B960" s="38" t="n"/>
      <c r="C960" s="40" t="n"/>
      <c r="D960" s="40" t="n"/>
      <c r="E960" s="34">
        <f t="array" ref="E960">IF($B960="","",IFERROR(INDEX(PERSONAL!$B$2:$B$80,MATCH($B960,PERSONAL!$A$2:$A$80,0)),"NO EXISTE"))</f>
        <v/>
      </c>
      <c r="F960" s="34">
        <f t="array" ref="F960">IF($B960="","",IFERROR(INDEX(PERSONAL!$C$2:$C$80,MATCH($B960,PERSONAL!$A$2:$A$80,0)),""))</f>
        <v/>
      </c>
      <c r="G960" s="34">
        <f>IF($A960="","",CHOOSE(WEEKDAY($A960,2),"LUNES","MARTES","MIÉRCOLES","JUEVES","VIERNES","SÁBADO","DOMINGO"))</f>
        <v/>
      </c>
      <c r="H960" s="34">
        <f>IF($A960="","",CHOOSE(MONTH($A960),"ENERO","FEBRERO","MARZO","ABRIL","MAYO","JUNIO","JULIO","AGOSTO","SEPTIEMBRE","OCTUBRE","NOVIEMBRE","DICIEMBRE"))</f>
        <v/>
      </c>
      <c r="I960" s="34">
        <f>IF($A960="","",IF(OR($G960="SÁBADO",$G960="DOMINGO"),"FIN","LV"))</f>
        <v/>
      </c>
      <c r="J960" s="34">
        <f>IF(OR($A960="",$B960=""),"",IF($L960&lt;&gt;"",UPPER($L960),IF($C960="","FALTA",IFERROR(IF($C960&gt;=$O960,"ROJO FUERTE",IF($C960&gt;=$N960,"ROJO",IF($C960&gt;=$M960,"AMARILLO","VERDE"))),"REVISAR"))))</f>
        <v/>
      </c>
      <c r="K960" s="36">
        <f>IF(OR($C960="",$D960=""),"",IF($D960&gt;=$C960,($D960-$C960)*24,(1-$C960+$D960)*24))</f>
        <v/>
      </c>
      <c r="L960" s="34" t="n"/>
      <c r="M960" s="53">
        <f t="array" ref="M960">IFERROR(INDEX(EXCEPCIONES_FECHA!$D$2:$D$201,MATCH(1,(EXCEPCIONES_FECHA!$A$2:$A$201=$A960)*(EXCEPCIONES_FECHA!$B$2:$B$201=$B960),0)),IFERROR(INDEX(EXCEPCIONES_FECHA!$D$2:$D$201,MATCH(1,(EXCEPCIONES_FECHA!$A$2:$A$201=$A960)*(EXCEPCIONES_FECHA!$B$2:$B$201=""),0)),IFERROR(INDEX(IF($I960="FIN",HISTORIAL_HORARIOS!$J$2:$J$201,HISTORIAL_HORARIOS!$F$2:$F$201),MATCH(1,(HISTORIAL_HORARIOS!$A$2:$A$201=$B960)*(HISTORIAL_HORARIOS!$C$2:$C$201&lt;=$A960)*(HISTORIAL_HORARIOS!$D$2:$D$201&gt;=$A960),0)),INDEX(IF($I960="FIN",PERSONAL!$J$2:$J$80,PERSONAL!$F$2:$F$80),MATCH($B960,PERSONAL!$A$2:$A$80,0)))))</f>
        <v/>
      </c>
      <c r="N960" s="53">
        <f t="array" ref="N960">IFERROR(INDEX(EXCEPCIONES_FECHA!$E$2:$E$201,MATCH(1,(EXCEPCIONES_FECHA!$A$2:$A$201=$A960)*(EXCEPCIONES_FECHA!$B$2:$B$201=$B960),0)),IFERROR(INDEX(EXCEPCIONES_FECHA!$E$2:$E$201,MATCH(1,(EXCEPCIONES_FECHA!$A$2:$A$201=$A960)*(EXCEPCIONES_FECHA!$B$2:$B$201=""),0)),IFERROR(INDEX(IF($I960="FIN",HISTORIAL_HORARIOS!$K$2:$K$201,HISTORIAL_HORARIOS!$G$2:$G$201),MATCH(1,(HISTORIAL_HORARIOS!$A$2:$A$201=$B960)*(HISTORIAL_HORARIOS!$C$2:$C$201&lt;=$A960)*(HISTORIAL_HORARIOS!$D$2:$D$201&gt;=$A960),0)),INDEX(IF($I960="FIN",PERSONAL!$K$2:$K$80,PERSONAL!$G$2:$G$80),MATCH($B960,PERSONAL!$A$2:$A$80,0)))))</f>
        <v/>
      </c>
      <c r="O960" s="53">
        <f t="array" ref="O960">IFERROR(INDEX(EXCEPCIONES_FECHA!$F$2:$F$201,MATCH(1,(EXCEPCIONES_FECHA!$A$2:$A$201=$A960)*(EXCEPCIONES_FECHA!$B$2:$B$201=$B960),0)),IFERROR(INDEX(EXCEPCIONES_FECHA!$F$2:$F$201,MATCH(1,(EXCEPCIONES_FECHA!$A$2:$A$201=$A960)*(EXCEPCIONES_FECHA!$B$2:$B$201=""),0)),IFERROR(INDEX(IF($I960="FIN",HISTORIAL_HORARIOS!$L$2:$L$201,HISTORIAL_HORARIOS!$H$2:$H$201),MATCH(1,(HISTORIAL_HORARIOS!$A$2:$A$201=$B960)*(HISTORIAL_HORARIOS!$C$2:$C$201&lt;=$A960)*(HISTORIAL_HORARIOS!$D$2:$D$201&gt;=$A960),0)),INDEX(IF($I960="FIN",PERSONAL!$L$2:$L$80,PERSONAL!$H$2:$H$80),MATCH($B960,PERSONAL!$A$2:$A$80,0)))))</f>
        <v/>
      </c>
    </row>
    <row r="961" ht="15" customHeight="1" s="58">
      <c r="A961" s="40" t="n"/>
      <c r="B961" s="38" t="n"/>
      <c r="C961" s="40" t="n"/>
      <c r="D961" s="40" t="n"/>
      <c r="E961" s="34">
        <f t="array" ref="E961">IF($B961="","",IFERROR(INDEX(PERSONAL!$B$2:$B$80,MATCH($B961,PERSONAL!$A$2:$A$80,0)),"NO EXISTE"))</f>
        <v/>
      </c>
      <c r="F961" s="34">
        <f t="array" ref="F961">IF($B961="","",IFERROR(INDEX(PERSONAL!$C$2:$C$80,MATCH($B961,PERSONAL!$A$2:$A$80,0)),""))</f>
        <v/>
      </c>
      <c r="G961" s="34">
        <f>IF($A961="","",CHOOSE(WEEKDAY($A961,2),"LUNES","MARTES","MIÉRCOLES","JUEVES","VIERNES","SÁBADO","DOMINGO"))</f>
        <v/>
      </c>
      <c r="H961" s="34">
        <f>IF($A961="","",CHOOSE(MONTH($A961),"ENERO","FEBRERO","MARZO","ABRIL","MAYO","JUNIO","JULIO","AGOSTO","SEPTIEMBRE","OCTUBRE","NOVIEMBRE","DICIEMBRE"))</f>
        <v/>
      </c>
      <c r="I961" s="34">
        <f>IF($A961="","",IF(OR($G961="SÁBADO",$G961="DOMINGO"),"FIN","LV"))</f>
        <v/>
      </c>
      <c r="J961" s="34">
        <f>IF(OR($A961="",$B961=""),"",IF($L961&lt;&gt;"",UPPER($L961),IF($C961="","FALTA",IFERROR(IF($C961&gt;=$O961,"ROJO FUERTE",IF($C961&gt;=$N961,"ROJO",IF($C961&gt;=$M961,"AMARILLO","VERDE"))),"REVISAR"))))</f>
        <v/>
      </c>
      <c r="K961" s="36">
        <f>IF(OR($C961="",$D961=""),"",IF($D961&gt;=$C961,($D961-$C961)*24,(1-$C961+$D961)*24))</f>
        <v/>
      </c>
      <c r="L961" s="34" t="n"/>
      <c r="M961" s="53">
        <f t="array" ref="M961">IFERROR(INDEX(EXCEPCIONES_FECHA!$D$2:$D$201,MATCH(1,(EXCEPCIONES_FECHA!$A$2:$A$201=$A961)*(EXCEPCIONES_FECHA!$B$2:$B$201=$B961),0)),IFERROR(INDEX(EXCEPCIONES_FECHA!$D$2:$D$201,MATCH(1,(EXCEPCIONES_FECHA!$A$2:$A$201=$A961)*(EXCEPCIONES_FECHA!$B$2:$B$201=""),0)),IFERROR(INDEX(IF($I961="FIN",HISTORIAL_HORARIOS!$J$2:$J$201,HISTORIAL_HORARIOS!$F$2:$F$201),MATCH(1,(HISTORIAL_HORARIOS!$A$2:$A$201=$B961)*(HISTORIAL_HORARIOS!$C$2:$C$201&lt;=$A961)*(HISTORIAL_HORARIOS!$D$2:$D$201&gt;=$A961),0)),INDEX(IF($I961="FIN",PERSONAL!$J$2:$J$80,PERSONAL!$F$2:$F$80),MATCH($B961,PERSONAL!$A$2:$A$80,0)))))</f>
        <v/>
      </c>
      <c r="N961" s="53">
        <f t="array" ref="N961">IFERROR(INDEX(EXCEPCIONES_FECHA!$E$2:$E$201,MATCH(1,(EXCEPCIONES_FECHA!$A$2:$A$201=$A961)*(EXCEPCIONES_FECHA!$B$2:$B$201=$B961),0)),IFERROR(INDEX(EXCEPCIONES_FECHA!$E$2:$E$201,MATCH(1,(EXCEPCIONES_FECHA!$A$2:$A$201=$A961)*(EXCEPCIONES_FECHA!$B$2:$B$201=""),0)),IFERROR(INDEX(IF($I961="FIN",HISTORIAL_HORARIOS!$K$2:$K$201,HISTORIAL_HORARIOS!$G$2:$G$201),MATCH(1,(HISTORIAL_HORARIOS!$A$2:$A$201=$B961)*(HISTORIAL_HORARIOS!$C$2:$C$201&lt;=$A961)*(HISTORIAL_HORARIOS!$D$2:$D$201&gt;=$A961),0)),INDEX(IF($I961="FIN",PERSONAL!$K$2:$K$80,PERSONAL!$G$2:$G$80),MATCH($B961,PERSONAL!$A$2:$A$80,0)))))</f>
        <v/>
      </c>
      <c r="O961" s="53">
        <f t="array" ref="O961">IFERROR(INDEX(EXCEPCIONES_FECHA!$F$2:$F$201,MATCH(1,(EXCEPCIONES_FECHA!$A$2:$A$201=$A961)*(EXCEPCIONES_FECHA!$B$2:$B$201=$B961),0)),IFERROR(INDEX(EXCEPCIONES_FECHA!$F$2:$F$201,MATCH(1,(EXCEPCIONES_FECHA!$A$2:$A$201=$A961)*(EXCEPCIONES_FECHA!$B$2:$B$201=""),0)),IFERROR(INDEX(IF($I961="FIN",HISTORIAL_HORARIOS!$L$2:$L$201,HISTORIAL_HORARIOS!$H$2:$H$201),MATCH(1,(HISTORIAL_HORARIOS!$A$2:$A$201=$B961)*(HISTORIAL_HORARIOS!$C$2:$C$201&lt;=$A961)*(HISTORIAL_HORARIOS!$D$2:$D$201&gt;=$A961),0)),INDEX(IF($I961="FIN",PERSONAL!$L$2:$L$80,PERSONAL!$H$2:$H$80),MATCH($B961,PERSONAL!$A$2:$A$80,0)))))</f>
        <v/>
      </c>
    </row>
    <row r="962" ht="15" customHeight="1" s="58">
      <c r="A962" s="40" t="n"/>
      <c r="B962" s="38" t="n"/>
      <c r="C962" s="40" t="n"/>
      <c r="D962" s="40" t="n"/>
      <c r="E962" s="34">
        <f t="array" ref="E962">IF($B962="","",IFERROR(INDEX(PERSONAL!$B$2:$B$80,MATCH($B962,PERSONAL!$A$2:$A$80,0)),"NO EXISTE"))</f>
        <v/>
      </c>
      <c r="F962" s="34">
        <f t="array" ref="F962">IF($B962="","",IFERROR(INDEX(PERSONAL!$C$2:$C$80,MATCH($B962,PERSONAL!$A$2:$A$80,0)),""))</f>
        <v/>
      </c>
      <c r="G962" s="34">
        <f>IF($A962="","",CHOOSE(WEEKDAY($A962,2),"LUNES","MARTES","MIÉRCOLES","JUEVES","VIERNES","SÁBADO","DOMINGO"))</f>
        <v/>
      </c>
      <c r="H962" s="34">
        <f>IF($A962="","",CHOOSE(MONTH($A962),"ENERO","FEBRERO","MARZO","ABRIL","MAYO","JUNIO","JULIO","AGOSTO","SEPTIEMBRE","OCTUBRE","NOVIEMBRE","DICIEMBRE"))</f>
        <v/>
      </c>
      <c r="I962" s="34">
        <f>IF($A962="","",IF(OR($G962="SÁBADO",$G962="DOMINGO"),"FIN","LV"))</f>
        <v/>
      </c>
      <c r="J962" s="34">
        <f>IF(OR($A962="",$B962=""),"",IF($L962&lt;&gt;"",UPPER($L962),IF($C962="","FALTA",IFERROR(IF($C962&gt;=$O962,"ROJO FUERTE",IF($C962&gt;=$N962,"ROJO",IF($C962&gt;=$M962,"AMARILLO","VERDE"))),"REVISAR"))))</f>
        <v/>
      </c>
      <c r="K962" s="36">
        <f>IF(OR($C962="",$D962=""),"",IF($D962&gt;=$C962,($D962-$C962)*24,(1-$C962+$D962)*24))</f>
        <v/>
      </c>
      <c r="L962" s="34" t="n"/>
      <c r="M962" s="53">
        <f t="array" ref="M962">IFERROR(INDEX(EXCEPCIONES_FECHA!$D$2:$D$201,MATCH(1,(EXCEPCIONES_FECHA!$A$2:$A$201=$A962)*(EXCEPCIONES_FECHA!$B$2:$B$201=$B962),0)),IFERROR(INDEX(EXCEPCIONES_FECHA!$D$2:$D$201,MATCH(1,(EXCEPCIONES_FECHA!$A$2:$A$201=$A962)*(EXCEPCIONES_FECHA!$B$2:$B$201=""),0)),IFERROR(INDEX(IF($I962="FIN",HISTORIAL_HORARIOS!$J$2:$J$201,HISTORIAL_HORARIOS!$F$2:$F$201),MATCH(1,(HISTORIAL_HORARIOS!$A$2:$A$201=$B962)*(HISTORIAL_HORARIOS!$C$2:$C$201&lt;=$A962)*(HISTORIAL_HORARIOS!$D$2:$D$201&gt;=$A962),0)),INDEX(IF($I962="FIN",PERSONAL!$J$2:$J$80,PERSONAL!$F$2:$F$80),MATCH($B962,PERSONAL!$A$2:$A$80,0)))))</f>
        <v/>
      </c>
      <c r="N962" s="53">
        <f t="array" ref="N962">IFERROR(INDEX(EXCEPCIONES_FECHA!$E$2:$E$201,MATCH(1,(EXCEPCIONES_FECHA!$A$2:$A$201=$A962)*(EXCEPCIONES_FECHA!$B$2:$B$201=$B962),0)),IFERROR(INDEX(EXCEPCIONES_FECHA!$E$2:$E$201,MATCH(1,(EXCEPCIONES_FECHA!$A$2:$A$201=$A962)*(EXCEPCIONES_FECHA!$B$2:$B$201=""),0)),IFERROR(INDEX(IF($I962="FIN",HISTORIAL_HORARIOS!$K$2:$K$201,HISTORIAL_HORARIOS!$G$2:$G$201),MATCH(1,(HISTORIAL_HORARIOS!$A$2:$A$201=$B962)*(HISTORIAL_HORARIOS!$C$2:$C$201&lt;=$A962)*(HISTORIAL_HORARIOS!$D$2:$D$201&gt;=$A962),0)),INDEX(IF($I962="FIN",PERSONAL!$K$2:$K$80,PERSONAL!$G$2:$G$80),MATCH($B962,PERSONAL!$A$2:$A$80,0)))))</f>
        <v/>
      </c>
      <c r="O962" s="53">
        <f t="array" ref="O962">IFERROR(INDEX(EXCEPCIONES_FECHA!$F$2:$F$201,MATCH(1,(EXCEPCIONES_FECHA!$A$2:$A$201=$A962)*(EXCEPCIONES_FECHA!$B$2:$B$201=$B962),0)),IFERROR(INDEX(EXCEPCIONES_FECHA!$F$2:$F$201,MATCH(1,(EXCEPCIONES_FECHA!$A$2:$A$201=$A962)*(EXCEPCIONES_FECHA!$B$2:$B$201=""),0)),IFERROR(INDEX(IF($I962="FIN",HISTORIAL_HORARIOS!$L$2:$L$201,HISTORIAL_HORARIOS!$H$2:$H$201),MATCH(1,(HISTORIAL_HORARIOS!$A$2:$A$201=$B962)*(HISTORIAL_HORARIOS!$C$2:$C$201&lt;=$A962)*(HISTORIAL_HORARIOS!$D$2:$D$201&gt;=$A962),0)),INDEX(IF($I962="FIN",PERSONAL!$L$2:$L$80,PERSONAL!$H$2:$H$80),MATCH($B962,PERSONAL!$A$2:$A$80,0)))))</f>
        <v/>
      </c>
    </row>
    <row r="963" ht="15" customHeight="1" s="58">
      <c r="A963" s="40" t="n"/>
      <c r="B963" s="38" t="n"/>
      <c r="C963" s="40" t="n"/>
      <c r="D963" s="40" t="n"/>
      <c r="E963" s="34">
        <f t="array" ref="E963">IF($B963="","",IFERROR(INDEX(PERSONAL!$B$2:$B$80,MATCH($B963,PERSONAL!$A$2:$A$80,0)),"NO EXISTE"))</f>
        <v/>
      </c>
      <c r="F963" s="34">
        <f t="array" ref="F963">IF($B963="","",IFERROR(INDEX(PERSONAL!$C$2:$C$80,MATCH($B963,PERSONAL!$A$2:$A$80,0)),""))</f>
        <v/>
      </c>
      <c r="G963" s="34">
        <f>IF($A963="","",CHOOSE(WEEKDAY($A963,2),"LUNES","MARTES","MIÉRCOLES","JUEVES","VIERNES","SÁBADO","DOMINGO"))</f>
        <v/>
      </c>
      <c r="H963" s="34">
        <f>IF($A963="","",CHOOSE(MONTH($A963),"ENERO","FEBRERO","MARZO","ABRIL","MAYO","JUNIO","JULIO","AGOSTO","SEPTIEMBRE","OCTUBRE","NOVIEMBRE","DICIEMBRE"))</f>
        <v/>
      </c>
      <c r="I963" s="34">
        <f>IF($A963="","",IF(OR($G963="SÁBADO",$G963="DOMINGO"),"FIN","LV"))</f>
        <v/>
      </c>
      <c r="J963" s="34">
        <f>IF(OR($A963="",$B963=""),"",IF($L963&lt;&gt;"",UPPER($L963),IF($C963="","FALTA",IFERROR(IF($C963&gt;=$O963,"ROJO FUERTE",IF($C963&gt;=$N963,"ROJO",IF($C963&gt;=$M963,"AMARILLO","VERDE"))),"REVISAR"))))</f>
        <v/>
      </c>
      <c r="K963" s="36">
        <f>IF(OR($C963="",$D963=""),"",IF($D963&gt;=$C963,($D963-$C963)*24,(1-$C963+$D963)*24))</f>
        <v/>
      </c>
      <c r="L963" s="34" t="n"/>
      <c r="M963" s="53">
        <f t="array" ref="M963">IFERROR(INDEX(EXCEPCIONES_FECHA!$D$2:$D$201,MATCH(1,(EXCEPCIONES_FECHA!$A$2:$A$201=$A963)*(EXCEPCIONES_FECHA!$B$2:$B$201=$B963),0)),IFERROR(INDEX(EXCEPCIONES_FECHA!$D$2:$D$201,MATCH(1,(EXCEPCIONES_FECHA!$A$2:$A$201=$A963)*(EXCEPCIONES_FECHA!$B$2:$B$201=""),0)),IFERROR(INDEX(IF($I963="FIN",HISTORIAL_HORARIOS!$J$2:$J$201,HISTORIAL_HORARIOS!$F$2:$F$201),MATCH(1,(HISTORIAL_HORARIOS!$A$2:$A$201=$B963)*(HISTORIAL_HORARIOS!$C$2:$C$201&lt;=$A963)*(HISTORIAL_HORARIOS!$D$2:$D$201&gt;=$A963),0)),INDEX(IF($I963="FIN",PERSONAL!$J$2:$J$80,PERSONAL!$F$2:$F$80),MATCH($B963,PERSONAL!$A$2:$A$80,0)))))</f>
        <v/>
      </c>
      <c r="N963" s="53">
        <f t="array" ref="N963">IFERROR(INDEX(EXCEPCIONES_FECHA!$E$2:$E$201,MATCH(1,(EXCEPCIONES_FECHA!$A$2:$A$201=$A963)*(EXCEPCIONES_FECHA!$B$2:$B$201=$B963),0)),IFERROR(INDEX(EXCEPCIONES_FECHA!$E$2:$E$201,MATCH(1,(EXCEPCIONES_FECHA!$A$2:$A$201=$A963)*(EXCEPCIONES_FECHA!$B$2:$B$201=""),0)),IFERROR(INDEX(IF($I963="FIN",HISTORIAL_HORARIOS!$K$2:$K$201,HISTORIAL_HORARIOS!$G$2:$G$201),MATCH(1,(HISTORIAL_HORARIOS!$A$2:$A$201=$B963)*(HISTORIAL_HORARIOS!$C$2:$C$201&lt;=$A963)*(HISTORIAL_HORARIOS!$D$2:$D$201&gt;=$A963),0)),INDEX(IF($I963="FIN",PERSONAL!$K$2:$K$80,PERSONAL!$G$2:$G$80),MATCH($B963,PERSONAL!$A$2:$A$80,0)))))</f>
        <v/>
      </c>
      <c r="O963" s="53">
        <f t="array" ref="O963">IFERROR(INDEX(EXCEPCIONES_FECHA!$F$2:$F$201,MATCH(1,(EXCEPCIONES_FECHA!$A$2:$A$201=$A963)*(EXCEPCIONES_FECHA!$B$2:$B$201=$B963),0)),IFERROR(INDEX(EXCEPCIONES_FECHA!$F$2:$F$201,MATCH(1,(EXCEPCIONES_FECHA!$A$2:$A$201=$A963)*(EXCEPCIONES_FECHA!$B$2:$B$201=""),0)),IFERROR(INDEX(IF($I963="FIN",HISTORIAL_HORARIOS!$L$2:$L$201,HISTORIAL_HORARIOS!$H$2:$H$201),MATCH(1,(HISTORIAL_HORARIOS!$A$2:$A$201=$B963)*(HISTORIAL_HORARIOS!$C$2:$C$201&lt;=$A963)*(HISTORIAL_HORARIOS!$D$2:$D$201&gt;=$A963),0)),INDEX(IF($I963="FIN",PERSONAL!$L$2:$L$80,PERSONAL!$H$2:$H$80),MATCH($B963,PERSONAL!$A$2:$A$80,0)))))</f>
        <v/>
      </c>
    </row>
    <row r="964" ht="15" customHeight="1" s="58">
      <c r="A964" s="40" t="n"/>
      <c r="B964" s="38" t="n"/>
      <c r="C964" s="40" t="n"/>
      <c r="D964" s="40" t="n"/>
      <c r="E964" s="34">
        <f t="array" ref="E964">IF($B964="","",IFERROR(INDEX(PERSONAL!$B$2:$B$80,MATCH($B964,PERSONAL!$A$2:$A$80,0)),"NO EXISTE"))</f>
        <v/>
      </c>
      <c r="F964" s="34">
        <f t="array" ref="F964">IF($B964="","",IFERROR(INDEX(PERSONAL!$C$2:$C$80,MATCH($B964,PERSONAL!$A$2:$A$80,0)),""))</f>
        <v/>
      </c>
      <c r="G964" s="34">
        <f>IF($A964="","",CHOOSE(WEEKDAY($A964,2),"LUNES","MARTES","MIÉRCOLES","JUEVES","VIERNES","SÁBADO","DOMINGO"))</f>
        <v/>
      </c>
      <c r="H964" s="34">
        <f>IF($A964="","",CHOOSE(MONTH($A964),"ENERO","FEBRERO","MARZO","ABRIL","MAYO","JUNIO","JULIO","AGOSTO","SEPTIEMBRE","OCTUBRE","NOVIEMBRE","DICIEMBRE"))</f>
        <v/>
      </c>
      <c r="I964" s="34">
        <f>IF($A964="","",IF(OR($G964="SÁBADO",$G964="DOMINGO"),"FIN","LV"))</f>
        <v/>
      </c>
      <c r="J964" s="34">
        <f>IF(OR($A964="",$B964=""),"",IF($L964&lt;&gt;"",UPPER($L964),IF($C964="","FALTA",IFERROR(IF($C964&gt;=$O964,"ROJO FUERTE",IF($C964&gt;=$N964,"ROJO",IF($C964&gt;=$M964,"AMARILLO","VERDE"))),"REVISAR"))))</f>
        <v/>
      </c>
      <c r="K964" s="36">
        <f>IF(OR($C964="",$D964=""),"",IF($D964&gt;=$C964,($D964-$C964)*24,(1-$C964+$D964)*24))</f>
        <v/>
      </c>
      <c r="L964" s="34" t="n"/>
      <c r="M964" s="53">
        <f t="array" ref="M964">IFERROR(INDEX(EXCEPCIONES_FECHA!$D$2:$D$201,MATCH(1,(EXCEPCIONES_FECHA!$A$2:$A$201=$A964)*(EXCEPCIONES_FECHA!$B$2:$B$201=$B964),0)),IFERROR(INDEX(EXCEPCIONES_FECHA!$D$2:$D$201,MATCH(1,(EXCEPCIONES_FECHA!$A$2:$A$201=$A964)*(EXCEPCIONES_FECHA!$B$2:$B$201=""),0)),IFERROR(INDEX(IF($I964="FIN",HISTORIAL_HORARIOS!$J$2:$J$201,HISTORIAL_HORARIOS!$F$2:$F$201),MATCH(1,(HISTORIAL_HORARIOS!$A$2:$A$201=$B964)*(HISTORIAL_HORARIOS!$C$2:$C$201&lt;=$A964)*(HISTORIAL_HORARIOS!$D$2:$D$201&gt;=$A964),0)),INDEX(IF($I964="FIN",PERSONAL!$J$2:$J$80,PERSONAL!$F$2:$F$80),MATCH($B964,PERSONAL!$A$2:$A$80,0)))))</f>
        <v/>
      </c>
      <c r="N964" s="53">
        <f t="array" ref="N964">IFERROR(INDEX(EXCEPCIONES_FECHA!$E$2:$E$201,MATCH(1,(EXCEPCIONES_FECHA!$A$2:$A$201=$A964)*(EXCEPCIONES_FECHA!$B$2:$B$201=$B964),0)),IFERROR(INDEX(EXCEPCIONES_FECHA!$E$2:$E$201,MATCH(1,(EXCEPCIONES_FECHA!$A$2:$A$201=$A964)*(EXCEPCIONES_FECHA!$B$2:$B$201=""),0)),IFERROR(INDEX(IF($I964="FIN",HISTORIAL_HORARIOS!$K$2:$K$201,HISTORIAL_HORARIOS!$G$2:$G$201),MATCH(1,(HISTORIAL_HORARIOS!$A$2:$A$201=$B964)*(HISTORIAL_HORARIOS!$C$2:$C$201&lt;=$A964)*(HISTORIAL_HORARIOS!$D$2:$D$201&gt;=$A964),0)),INDEX(IF($I964="FIN",PERSONAL!$K$2:$K$80,PERSONAL!$G$2:$G$80),MATCH($B964,PERSONAL!$A$2:$A$80,0)))))</f>
        <v/>
      </c>
      <c r="O964" s="53">
        <f t="array" ref="O964">IFERROR(INDEX(EXCEPCIONES_FECHA!$F$2:$F$201,MATCH(1,(EXCEPCIONES_FECHA!$A$2:$A$201=$A964)*(EXCEPCIONES_FECHA!$B$2:$B$201=$B964),0)),IFERROR(INDEX(EXCEPCIONES_FECHA!$F$2:$F$201,MATCH(1,(EXCEPCIONES_FECHA!$A$2:$A$201=$A964)*(EXCEPCIONES_FECHA!$B$2:$B$201=""),0)),IFERROR(INDEX(IF($I964="FIN",HISTORIAL_HORARIOS!$L$2:$L$201,HISTORIAL_HORARIOS!$H$2:$H$201),MATCH(1,(HISTORIAL_HORARIOS!$A$2:$A$201=$B964)*(HISTORIAL_HORARIOS!$C$2:$C$201&lt;=$A964)*(HISTORIAL_HORARIOS!$D$2:$D$201&gt;=$A964),0)),INDEX(IF($I964="FIN",PERSONAL!$L$2:$L$80,PERSONAL!$H$2:$H$80),MATCH($B964,PERSONAL!$A$2:$A$80,0)))))</f>
        <v/>
      </c>
    </row>
    <row r="965" ht="15" customHeight="1" s="58">
      <c r="A965" s="40" t="n"/>
      <c r="B965" s="38" t="n"/>
      <c r="C965" s="40" t="n"/>
      <c r="D965" s="40" t="n"/>
      <c r="E965" s="34">
        <f t="array" ref="E965">IF($B965="","",IFERROR(INDEX(PERSONAL!$B$2:$B$80,MATCH($B965,PERSONAL!$A$2:$A$80,0)),"NO EXISTE"))</f>
        <v/>
      </c>
      <c r="F965" s="34">
        <f t="array" ref="F965">IF($B965="","",IFERROR(INDEX(PERSONAL!$C$2:$C$80,MATCH($B965,PERSONAL!$A$2:$A$80,0)),""))</f>
        <v/>
      </c>
      <c r="G965" s="34">
        <f>IF($A965="","",CHOOSE(WEEKDAY($A965,2),"LUNES","MARTES","MIÉRCOLES","JUEVES","VIERNES","SÁBADO","DOMINGO"))</f>
        <v/>
      </c>
      <c r="H965" s="34">
        <f>IF($A965="","",CHOOSE(MONTH($A965),"ENERO","FEBRERO","MARZO","ABRIL","MAYO","JUNIO","JULIO","AGOSTO","SEPTIEMBRE","OCTUBRE","NOVIEMBRE","DICIEMBRE"))</f>
        <v/>
      </c>
      <c r="I965" s="34">
        <f>IF($A965="","",IF(OR($G965="SÁBADO",$G965="DOMINGO"),"FIN","LV"))</f>
        <v/>
      </c>
      <c r="J965" s="34">
        <f>IF(OR($A965="",$B965=""),"",IF($L965&lt;&gt;"",UPPER($L965),IF($C965="","FALTA",IFERROR(IF($C965&gt;=$O965,"ROJO FUERTE",IF($C965&gt;=$N965,"ROJO",IF($C965&gt;=$M965,"AMARILLO","VERDE"))),"REVISAR"))))</f>
        <v/>
      </c>
      <c r="K965" s="36">
        <f>IF(OR($C965="",$D965=""),"",IF($D965&gt;=$C965,($D965-$C965)*24,(1-$C965+$D965)*24))</f>
        <v/>
      </c>
      <c r="L965" s="34" t="n"/>
      <c r="M965" s="53">
        <f t="array" ref="M965">IFERROR(INDEX(EXCEPCIONES_FECHA!$D$2:$D$201,MATCH(1,(EXCEPCIONES_FECHA!$A$2:$A$201=$A965)*(EXCEPCIONES_FECHA!$B$2:$B$201=$B965),0)),IFERROR(INDEX(EXCEPCIONES_FECHA!$D$2:$D$201,MATCH(1,(EXCEPCIONES_FECHA!$A$2:$A$201=$A965)*(EXCEPCIONES_FECHA!$B$2:$B$201=""),0)),IFERROR(INDEX(IF($I965="FIN",HISTORIAL_HORARIOS!$J$2:$J$201,HISTORIAL_HORARIOS!$F$2:$F$201),MATCH(1,(HISTORIAL_HORARIOS!$A$2:$A$201=$B965)*(HISTORIAL_HORARIOS!$C$2:$C$201&lt;=$A965)*(HISTORIAL_HORARIOS!$D$2:$D$201&gt;=$A965),0)),INDEX(IF($I965="FIN",PERSONAL!$J$2:$J$80,PERSONAL!$F$2:$F$80),MATCH($B965,PERSONAL!$A$2:$A$80,0)))))</f>
        <v/>
      </c>
      <c r="N965" s="53">
        <f t="array" ref="N965">IFERROR(INDEX(EXCEPCIONES_FECHA!$E$2:$E$201,MATCH(1,(EXCEPCIONES_FECHA!$A$2:$A$201=$A965)*(EXCEPCIONES_FECHA!$B$2:$B$201=$B965),0)),IFERROR(INDEX(EXCEPCIONES_FECHA!$E$2:$E$201,MATCH(1,(EXCEPCIONES_FECHA!$A$2:$A$201=$A965)*(EXCEPCIONES_FECHA!$B$2:$B$201=""),0)),IFERROR(INDEX(IF($I965="FIN",HISTORIAL_HORARIOS!$K$2:$K$201,HISTORIAL_HORARIOS!$G$2:$G$201),MATCH(1,(HISTORIAL_HORARIOS!$A$2:$A$201=$B965)*(HISTORIAL_HORARIOS!$C$2:$C$201&lt;=$A965)*(HISTORIAL_HORARIOS!$D$2:$D$201&gt;=$A965),0)),INDEX(IF($I965="FIN",PERSONAL!$K$2:$K$80,PERSONAL!$G$2:$G$80),MATCH($B965,PERSONAL!$A$2:$A$80,0)))))</f>
        <v/>
      </c>
      <c r="O965" s="53">
        <f t="array" ref="O965">IFERROR(INDEX(EXCEPCIONES_FECHA!$F$2:$F$201,MATCH(1,(EXCEPCIONES_FECHA!$A$2:$A$201=$A965)*(EXCEPCIONES_FECHA!$B$2:$B$201=$B965),0)),IFERROR(INDEX(EXCEPCIONES_FECHA!$F$2:$F$201,MATCH(1,(EXCEPCIONES_FECHA!$A$2:$A$201=$A965)*(EXCEPCIONES_FECHA!$B$2:$B$201=""),0)),IFERROR(INDEX(IF($I965="FIN",HISTORIAL_HORARIOS!$L$2:$L$201,HISTORIAL_HORARIOS!$H$2:$H$201),MATCH(1,(HISTORIAL_HORARIOS!$A$2:$A$201=$B965)*(HISTORIAL_HORARIOS!$C$2:$C$201&lt;=$A965)*(HISTORIAL_HORARIOS!$D$2:$D$201&gt;=$A965),0)),INDEX(IF($I965="FIN",PERSONAL!$L$2:$L$80,PERSONAL!$H$2:$H$80),MATCH($B965,PERSONAL!$A$2:$A$80,0)))))</f>
        <v/>
      </c>
    </row>
    <row r="966" ht="15" customHeight="1" s="58">
      <c r="A966" s="40" t="n"/>
      <c r="B966" s="38" t="n"/>
      <c r="C966" s="40" t="n"/>
      <c r="D966" s="40" t="n"/>
      <c r="E966" s="34">
        <f t="array" ref="E966">IF($B966="","",IFERROR(INDEX(PERSONAL!$B$2:$B$80,MATCH($B966,PERSONAL!$A$2:$A$80,0)),"NO EXISTE"))</f>
        <v/>
      </c>
      <c r="F966" s="34">
        <f t="array" ref="F966">IF($B966="","",IFERROR(INDEX(PERSONAL!$C$2:$C$80,MATCH($B966,PERSONAL!$A$2:$A$80,0)),""))</f>
        <v/>
      </c>
      <c r="G966" s="34">
        <f>IF($A966="","",CHOOSE(WEEKDAY($A966,2),"LUNES","MARTES","MIÉRCOLES","JUEVES","VIERNES","SÁBADO","DOMINGO"))</f>
        <v/>
      </c>
      <c r="H966" s="34">
        <f>IF($A966="","",CHOOSE(MONTH($A966),"ENERO","FEBRERO","MARZO","ABRIL","MAYO","JUNIO","JULIO","AGOSTO","SEPTIEMBRE","OCTUBRE","NOVIEMBRE","DICIEMBRE"))</f>
        <v/>
      </c>
      <c r="I966" s="34">
        <f>IF($A966="","",IF(OR($G966="SÁBADO",$G966="DOMINGO"),"FIN","LV"))</f>
        <v/>
      </c>
      <c r="J966" s="34">
        <f>IF(OR($A966="",$B966=""),"",IF($L966&lt;&gt;"",UPPER($L966),IF($C966="","FALTA",IFERROR(IF($C966&gt;=$O966,"ROJO FUERTE",IF($C966&gt;=$N966,"ROJO",IF($C966&gt;=$M966,"AMARILLO","VERDE"))),"REVISAR"))))</f>
        <v/>
      </c>
      <c r="K966" s="36">
        <f>IF(OR($C966="",$D966=""),"",IF($D966&gt;=$C966,($D966-$C966)*24,(1-$C966+$D966)*24))</f>
        <v/>
      </c>
      <c r="L966" s="34" t="n"/>
      <c r="M966" s="53">
        <f t="array" ref="M966">IFERROR(INDEX(EXCEPCIONES_FECHA!$D$2:$D$201,MATCH(1,(EXCEPCIONES_FECHA!$A$2:$A$201=$A966)*(EXCEPCIONES_FECHA!$B$2:$B$201=$B966),0)),IFERROR(INDEX(EXCEPCIONES_FECHA!$D$2:$D$201,MATCH(1,(EXCEPCIONES_FECHA!$A$2:$A$201=$A966)*(EXCEPCIONES_FECHA!$B$2:$B$201=""),0)),IFERROR(INDEX(IF($I966="FIN",HISTORIAL_HORARIOS!$J$2:$J$201,HISTORIAL_HORARIOS!$F$2:$F$201),MATCH(1,(HISTORIAL_HORARIOS!$A$2:$A$201=$B966)*(HISTORIAL_HORARIOS!$C$2:$C$201&lt;=$A966)*(HISTORIAL_HORARIOS!$D$2:$D$201&gt;=$A966),0)),INDEX(IF($I966="FIN",PERSONAL!$J$2:$J$80,PERSONAL!$F$2:$F$80),MATCH($B966,PERSONAL!$A$2:$A$80,0)))))</f>
        <v/>
      </c>
      <c r="N966" s="53">
        <f t="array" ref="N966">IFERROR(INDEX(EXCEPCIONES_FECHA!$E$2:$E$201,MATCH(1,(EXCEPCIONES_FECHA!$A$2:$A$201=$A966)*(EXCEPCIONES_FECHA!$B$2:$B$201=$B966),0)),IFERROR(INDEX(EXCEPCIONES_FECHA!$E$2:$E$201,MATCH(1,(EXCEPCIONES_FECHA!$A$2:$A$201=$A966)*(EXCEPCIONES_FECHA!$B$2:$B$201=""),0)),IFERROR(INDEX(IF($I966="FIN",HISTORIAL_HORARIOS!$K$2:$K$201,HISTORIAL_HORARIOS!$G$2:$G$201),MATCH(1,(HISTORIAL_HORARIOS!$A$2:$A$201=$B966)*(HISTORIAL_HORARIOS!$C$2:$C$201&lt;=$A966)*(HISTORIAL_HORARIOS!$D$2:$D$201&gt;=$A966),0)),INDEX(IF($I966="FIN",PERSONAL!$K$2:$K$80,PERSONAL!$G$2:$G$80),MATCH($B966,PERSONAL!$A$2:$A$80,0)))))</f>
        <v/>
      </c>
      <c r="O966" s="53">
        <f t="array" ref="O966">IFERROR(INDEX(EXCEPCIONES_FECHA!$F$2:$F$201,MATCH(1,(EXCEPCIONES_FECHA!$A$2:$A$201=$A966)*(EXCEPCIONES_FECHA!$B$2:$B$201=$B966),0)),IFERROR(INDEX(EXCEPCIONES_FECHA!$F$2:$F$201,MATCH(1,(EXCEPCIONES_FECHA!$A$2:$A$201=$A966)*(EXCEPCIONES_FECHA!$B$2:$B$201=""),0)),IFERROR(INDEX(IF($I966="FIN",HISTORIAL_HORARIOS!$L$2:$L$201,HISTORIAL_HORARIOS!$H$2:$H$201),MATCH(1,(HISTORIAL_HORARIOS!$A$2:$A$201=$B966)*(HISTORIAL_HORARIOS!$C$2:$C$201&lt;=$A966)*(HISTORIAL_HORARIOS!$D$2:$D$201&gt;=$A966),0)),INDEX(IF($I966="FIN",PERSONAL!$L$2:$L$80,PERSONAL!$H$2:$H$80),MATCH($B966,PERSONAL!$A$2:$A$80,0)))))</f>
        <v/>
      </c>
    </row>
    <row r="967" ht="15" customHeight="1" s="58">
      <c r="A967" s="40" t="n"/>
      <c r="B967" s="38" t="n"/>
      <c r="C967" s="40" t="n"/>
      <c r="D967" s="40" t="n"/>
      <c r="E967" s="34">
        <f t="array" ref="E967">IF($B967="","",IFERROR(INDEX(PERSONAL!$B$2:$B$80,MATCH($B967,PERSONAL!$A$2:$A$80,0)),"NO EXISTE"))</f>
        <v/>
      </c>
      <c r="F967" s="34">
        <f t="array" ref="F967">IF($B967="","",IFERROR(INDEX(PERSONAL!$C$2:$C$80,MATCH($B967,PERSONAL!$A$2:$A$80,0)),""))</f>
        <v/>
      </c>
      <c r="G967" s="34">
        <f>IF($A967="","",CHOOSE(WEEKDAY($A967,2),"LUNES","MARTES","MIÉRCOLES","JUEVES","VIERNES","SÁBADO","DOMINGO"))</f>
        <v/>
      </c>
      <c r="H967" s="34">
        <f>IF($A967="","",CHOOSE(MONTH($A967),"ENERO","FEBRERO","MARZO","ABRIL","MAYO","JUNIO","JULIO","AGOSTO","SEPTIEMBRE","OCTUBRE","NOVIEMBRE","DICIEMBRE"))</f>
        <v/>
      </c>
      <c r="I967" s="34">
        <f>IF($A967="","",IF(OR($G967="SÁBADO",$G967="DOMINGO"),"FIN","LV"))</f>
        <v/>
      </c>
      <c r="J967" s="34">
        <f>IF(OR($A967="",$B967=""),"",IF($L967&lt;&gt;"",UPPER($L967),IF($C967="","FALTA",IFERROR(IF($C967&gt;=$O967,"ROJO FUERTE",IF($C967&gt;=$N967,"ROJO",IF($C967&gt;=$M967,"AMARILLO","VERDE"))),"REVISAR"))))</f>
        <v/>
      </c>
      <c r="K967" s="36">
        <f>IF(OR($C967="",$D967=""),"",IF($D967&gt;=$C967,($D967-$C967)*24,(1-$C967+$D967)*24))</f>
        <v/>
      </c>
      <c r="L967" s="34" t="n"/>
      <c r="M967" s="53">
        <f t="array" ref="M967">IFERROR(INDEX(EXCEPCIONES_FECHA!$D$2:$D$201,MATCH(1,(EXCEPCIONES_FECHA!$A$2:$A$201=$A967)*(EXCEPCIONES_FECHA!$B$2:$B$201=$B967),0)),IFERROR(INDEX(EXCEPCIONES_FECHA!$D$2:$D$201,MATCH(1,(EXCEPCIONES_FECHA!$A$2:$A$201=$A967)*(EXCEPCIONES_FECHA!$B$2:$B$201=""),0)),IFERROR(INDEX(IF($I967="FIN",HISTORIAL_HORARIOS!$J$2:$J$201,HISTORIAL_HORARIOS!$F$2:$F$201),MATCH(1,(HISTORIAL_HORARIOS!$A$2:$A$201=$B967)*(HISTORIAL_HORARIOS!$C$2:$C$201&lt;=$A967)*(HISTORIAL_HORARIOS!$D$2:$D$201&gt;=$A967),0)),INDEX(IF($I967="FIN",PERSONAL!$J$2:$J$80,PERSONAL!$F$2:$F$80),MATCH($B967,PERSONAL!$A$2:$A$80,0)))))</f>
        <v/>
      </c>
      <c r="N967" s="53">
        <f t="array" ref="N967">IFERROR(INDEX(EXCEPCIONES_FECHA!$E$2:$E$201,MATCH(1,(EXCEPCIONES_FECHA!$A$2:$A$201=$A967)*(EXCEPCIONES_FECHA!$B$2:$B$201=$B967),0)),IFERROR(INDEX(EXCEPCIONES_FECHA!$E$2:$E$201,MATCH(1,(EXCEPCIONES_FECHA!$A$2:$A$201=$A967)*(EXCEPCIONES_FECHA!$B$2:$B$201=""),0)),IFERROR(INDEX(IF($I967="FIN",HISTORIAL_HORARIOS!$K$2:$K$201,HISTORIAL_HORARIOS!$G$2:$G$201),MATCH(1,(HISTORIAL_HORARIOS!$A$2:$A$201=$B967)*(HISTORIAL_HORARIOS!$C$2:$C$201&lt;=$A967)*(HISTORIAL_HORARIOS!$D$2:$D$201&gt;=$A967),0)),INDEX(IF($I967="FIN",PERSONAL!$K$2:$K$80,PERSONAL!$G$2:$G$80),MATCH($B967,PERSONAL!$A$2:$A$80,0)))))</f>
        <v/>
      </c>
      <c r="O967" s="53">
        <f t="array" ref="O967">IFERROR(INDEX(EXCEPCIONES_FECHA!$F$2:$F$201,MATCH(1,(EXCEPCIONES_FECHA!$A$2:$A$201=$A967)*(EXCEPCIONES_FECHA!$B$2:$B$201=$B967),0)),IFERROR(INDEX(EXCEPCIONES_FECHA!$F$2:$F$201,MATCH(1,(EXCEPCIONES_FECHA!$A$2:$A$201=$A967)*(EXCEPCIONES_FECHA!$B$2:$B$201=""),0)),IFERROR(INDEX(IF($I967="FIN",HISTORIAL_HORARIOS!$L$2:$L$201,HISTORIAL_HORARIOS!$H$2:$H$201),MATCH(1,(HISTORIAL_HORARIOS!$A$2:$A$201=$B967)*(HISTORIAL_HORARIOS!$C$2:$C$201&lt;=$A967)*(HISTORIAL_HORARIOS!$D$2:$D$201&gt;=$A967),0)),INDEX(IF($I967="FIN",PERSONAL!$L$2:$L$80,PERSONAL!$H$2:$H$80),MATCH($B967,PERSONAL!$A$2:$A$80,0)))))</f>
        <v/>
      </c>
    </row>
    <row r="968" ht="15" customHeight="1" s="58">
      <c r="A968" s="40" t="n"/>
      <c r="B968" s="38" t="n"/>
      <c r="C968" s="40" t="n"/>
      <c r="D968" s="40" t="n"/>
      <c r="E968" s="34">
        <f t="array" ref="E968">IF($B968="","",IFERROR(INDEX(PERSONAL!$B$2:$B$80,MATCH($B968,PERSONAL!$A$2:$A$80,0)),"NO EXISTE"))</f>
        <v/>
      </c>
      <c r="F968" s="34">
        <f t="array" ref="F968">IF($B968="","",IFERROR(INDEX(PERSONAL!$C$2:$C$80,MATCH($B968,PERSONAL!$A$2:$A$80,0)),""))</f>
        <v/>
      </c>
      <c r="G968" s="34">
        <f>IF($A968="","",CHOOSE(WEEKDAY($A968,2),"LUNES","MARTES","MIÉRCOLES","JUEVES","VIERNES","SÁBADO","DOMINGO"))</f>
        <v/>
      </c>
      <c r="H968" s="34">
        <f>IF($A968="","",CHOOSE(MONTH($A968),"ENERO","FEBRERO","MARZO","ABRIL","MAYO","JUNIO","JULIO","AGOSTO","SEPTIEMBRE","OCTUBRE","NOVIEMBRE","DICIEMBRE"))</f>
        <v/>
      </c>
      <c r="I968" s="34">
        <f>IF($A968="","",IF(OR($G968="SÁBADO",$G968="DOMINGO"),"FIN","LV"))</f>
        <v/>
      </c>
      <c r="J968" s="34">
        <f>IF(OR($A968="",$B968=""),"",IF($L968&lt;&gt;"",UPPER($L968),IF($C968="","FALTA",IFERROR(IF($C968&gt;=$O968,"ROJO FUERTE",IF($C968&gt;=$N968,"ROJO",IF($C968&gt;=$M968,"AMARILLO","VERDE"))),"REVISAR"))))</f>
        <v/>
      </c>
      <c r="K968" s="36">
        <f>IF(OR($C968="",$D968=""),"",IF($D968&gt;=$C968,($D968-$C968)*24,(1-$C968+$D968)*24))</f>
        <v/>
      </c>
      <c r="L968" s="34" t="n"/>
      <c r="M968" s="53">
        <f t="array" ref="M968">IFERROR(INDEX(EXCEPCIONES_FECHA!$D$2:$D$201,MATCH(1,(EXCEPCIONES_FECHA!$A$2:$A$201=$A968)*(EXCEPCIONES_FECHA!$B$2:$B$201=$B968),0)),IFERROR(INDEX(EXCEPCIONES_FECHA!$D$2:$D$201,MATCH(1,(EXCEPCIONES_FECHA!$A$2:$A$201=$A968)*(EXCEPCIONES_FECHA!$B$2:$B$201=""),0)),IFERROR(INDEX(IF($I968="FIN",HISTORIAL_HORARIOS!$J$2:$J$201,HISTORIAL_HORARIOS!$F$2:$F$201),MATCH(1,(HISTORIAL_HORARIOS!$A$2:$A$201=$B968)*(HISTORIAL_HORARIOS!$C$2:$C$201&lt;=$A968)*(HISTORIAL_HORARIOS!$D$2:$D$201&gt;=$A968),0)),INDEX(IF($I968="FIN",PERSONAL!$J$2:$J$80,PERSONAL!$F$2:$F$80),MATCH($B968,PERSONAL!$A$2:$A$80,0)))))</f>
        <v/>
      </c>
      <c r="N968" s="53">
        <f t="array" ref="N968">IFERROR(INDEX(EXCEPCIONES_FECHA!$E$2:$E$201,MATCH(1,(EXCEPCIONES_FECHA!$A$2:$A$201=$A968)*(EXCEPCIONES_FECHA!$B$2:$B$201=$B968),0)),IFERROR(INDEX(EXCEPCIONES_FECHA!$E$2:$E$201,MATCH(1,(EXCEPCIONES_FECHA!$A$2:$A$201=$A968)*(EXCEPCIONES_FECHA!$B$2:$B$201=""),0)),IFERROR(INDEX(IF($I968="FIN",HISTORIAL_HORARIOS!$K$2:$K$201,HISTORIAL_HORARIOS!$G$2:$G$201),MATCH(1,(HISTORIAL_HORARIOS!$A$2:$A$201=$B968)*(HISTORIAL_HORARIOS!$C$2:$C$201&lt;=$A968)*(HISTORIAL_HORARIOS!$D$2:$D$201&gt;=$A968),0)),INDEX(IF($I968="FIN",PERSONAL!$K$2:$K$80,PERSONAL!$G$2:$G$80),MATCH($B968,PERSONAL!$A$2:$A$80,0)))))</f>
        <v/>
      </c>
      <c r="O968" s="53">
        <f t="array" ref="O968">IFERROR(INDEX(EXCEPCIONES_FECHA!$F$2:$F$201,MATCH(1,(EXCEPCIONES_FECHA!$A$2:$A$201=$A968)*(EXCEPCIONES_FECHA!$B$2:$B$201=$B968),0)),IFERROR(INDEX(EXCEPCIONES_FECHA!$F$2:$F$201,MATCH(1,(EXCEPCIONES_FECHA!$A$2:$A$201=$A968)*(EXCEPCIONES_FECHA!$B$2:$B$201=""),0)),IFERROR(INDEX(IF($I968="FIN",HISTORIAL_HORARIOS!$L$2:$L$201,HISTORIAL_HORARIOS!$H$2:$H$201),MATCH(1,(HISTORIAL_HORARIOS!$A$2:$A$201=$B968)*(HISTORIAL_HORARIOS!$C$2:$C$201&lt;=$A968)*(HISTORIAL_HORARIOS!$D$2:$D$201&gt;=$A968),0)),INDEX(IF($I968="FIN",PERSONAL!$L$2:$L$80,PERSONAL!$H$2:$H$80),MATCH($B968,PERSONAL!$A$2:$A$80,0)))))</f>
        <v/>
      </c>
    </row>
    <row r="969" ht="15" customHeight="1" s="58">
      <c r="A969" s="40" t="n"/>
      <c r="B969" s="38" t="n"/>
      <c r="C969" s="40" t="n"/>
      <c r="D969" s="40" t="n"/>
      <c r="E969" s="34">
        <f t="array" ref="E969">IF($B969="","",IFERROR(INDEX(PERSONAL!$B$2:$B$80,MATCH($B969,PERSONAL!$A$2:$A$80,0)),"NO EXISTE"))</f>
        <v/>
      </c>
      <c r="F969" s="34">
        <f t="array" ref="F969">IF($B969="","",IFERROR(INDEX(PERSONAL!$C$2:$C$80,MATCH($B969,PERSONAL!$A$2:$A$80,0)),""))</f>
        <v/>
      </c>
      <c r="G969" s="34">
        <f>IF($A969="","",CHOOSE(WEEKDAY($A969,2),"LUNES","MARTES","MIÉRCOLES","JUEVES","VIERNES","SÁBADO","DOMINGO"))</f>
        <v/>
      </c>
      <c r="H969" s="34">
        <f>IF($A969="","",CHOOSE(MONTH($A969),"ENERO","FEBRERO","MARZO","ABRIL","MAYO","JUNIO","JULIO","AGOSTO","SEPTIEMBRE","OCTUBRE","NOVIEMBRE","DICIEMBRE"))</f>
        <v/>
      </c>
      <c r="I969" s="34">
        <f>IF($A969="","",IF(OR($G969="SÁBADO",$G969="DOMINGO"),"FIN","LV"))</f>
        <v/>
      </c>
      <c r="J969" s="34">
        <f>IF(OR($A969="",$B969=""),"",IF($L969&lt;&gt;"",UPPER($L969),IF($C969="","FALTA",IFERROR(IF($C969&gt;=$O969,"ROJO FUERTE",IF($C969&gt;=$N969,"ROJO",IF($C969&gt;=$M969,"AMARILLO","VERDE"))),"REVISAR"))))</f>
        <v/>
      </c>
      <c r="K969" s="36">
        <f>IF(OR($C969="",$D969=""),"",IF($D969&gt;=$C969,($D969-$C969)*24,(1-$C969+$D969)*24))</f>
        <v/>
      </c>
      <c r="L969" s="34" t="n"/>
      <c r="M969" s="53">
        <f t="array" ref="M969">IFERROR(INDEX(EXCEPCIONES_FECHA!$D$2:$D$201,MATCH(1,(EXCEPCIONES_FECHA!$A$2:$A$201=$A969)*(EXCEPCIONES_FECHA!$B$2:$B$201=$B969),0)),IFERROR(INDEX(EXCEPCIONES_FECHA!$D$2:$D$201,MATCH(1,(EXCEPCIONES_FECHA!$A$2:$A$201=$A969)*(EXCEPCIONES_FECHA!$B$2:$B$201=""),0)),IFERROR(INDEX(IF($I969="FIN",HISTORIAL_HORARIOS!$J$2:$J$201,HISTORIAL_HORARIOS!$F$2:$F$201),MATCH(1,(HISTORIAL_HORARIOS!$A$2:$A$201=$B969)*(HISTORIAL_HORARIOS!$C$2:$C$201&lt;=$A969)*(HISTORIAL_HORARIOS!$D$2:$D$201&gt;=$A969),0)),INDEX(IF($I969="FIN",PERSONAL!$J$2:$J$80,PERSONAL!$F$2:$F$80),MATCH($B969,PERSONAL!$A$2:$A$80,0)))))</f>
        <v/>
      </c>
      <c r="N969" s="53">
        <f t="array" ref="N969">IFERROR(INDEX(EXCEPCIONES_FECHA!$E$2:$E$201,MATCH(1,(EXCEPCIONES_FECHA!$A$2:$A$201=$A969)*(EXCEPCIONES_FECHA!$B$2:$B$201=$B969),0)),IFERROR(INDEX(EXCEPCIONES_FECHA!$E$2:$E$201,MATCH(1,(EXCEPCIONES_FECHA!$A$2:$A$201=$A969)*(EXCEPCIONES_FECHA!$B$2:$B$201=""),0)),IFERROR(INDEX(IF($I969="FIN",HISTORIAL_HORARIOS!$K$2:$K$201,HISTORIAL_HORARIOS!$G$2:$G$201),MATCH(1,(HISTORIAL_HORARIOS!$A$2:$A$201=$B969)*(HISTORIAL_HORARIOS!$C$2:$C$201&lt;=$A969)*(HISTORIAL_HORARIOS!$D$2:$D$201&gt;=$A969),0)),INDEX(IF($I969="FIN",PERSONAL!$K$2:$K$80,PERSONAL!$G$2:$G$80),MATCH($B969,PERSONAL!$A$2:$A$80,0)))))</f>
        <v/>
      </c>
      <c r="O969" s="53">
        <f t="array" ref="O969">IFERROR(INDEX(EXCEPCIONES_FECHA!$F$2:$F$201,MATCH(1,(EXCEPCIONES_FECHA!$A$2:$A$201=$A969)*(EXCEPCIONES_FECHA!$B$2:$B$201=$B969),0)),IFERROR(INDEX(EXCEPCIONES_FECHA!$F$2:$F$201,MATCH(1,(EXCEPCIONES_FECHA!$A$2:$A$201=$A969)*(EXCEPCIONES_FECHA!$B$2:$B$201=""),0)),IFERROR(INDEX(IF($I969="FIN",HISTORIAL_HORARIOS!$L$2:$L$201,HISTORIAL_HORARIOS!$H$2:$H$201),MATCH(1,(HISTORIAL_HORARIOS!$A$2:$A$201=$B969)*(HISTORIAL_HORARIOS!$C$2:$C$201&lt;=$A969)*(HISTORIAL_HORARIOS!$D$2:$D$201&gt;=$A969),0)),INDEX(IF($I969="FIN",PERSONAL!$L$2:$L$80,PERSONAL!$H$2:$H$80),MATCH($B969,PERSONAL!$A$2:$A$80,0)))))</f>
        <v/>
      </c>
    </row>
    <row r="970" ht="15" customHeight="1" s="58">
      <c r="A970" s="40" t="n"/>
      <c r="B970" s="38" t="n"/>
      <c r="C970" s="40" t="n"/>
      <c r="D970" s="40" t="n"/>
      <c r="E970" s="34">
        <f t="array" ref="E970">IF($B970="","",IFERROR(INDEX(PERSONAL!$B$2:$B$80,MATCH($B970,PERSONAL!$A$2:$A$80,0)),"NO EXISTE"))</f>
        <v/>
      </c>
      <c r="F970" s="34">
        <f t="array" ref="F970">IF($B970="","",IFERROR(INDEX(PERSONAL!$C$2:$C$80,MATCH($B970,PERSONAL!$A$2:$A$80,0)),""))</f>
        <v/>
      </c>
      <c r="G970" s="34">
        <f>IF($A970="","",CHOOSE(WEEKDAY($A970,2),"LUNES","MARTES","MIÉRCOLES","JUEVES","VIERNES","SÁBADO","DOMINGO"))</f>
        <v/>
      </c>
      <c r="H970" s="34">
        <f>IF($A970="","",CHOOSE(MONTH($A970),"ENERO","FEBRERO","MARZO","ABRIL","MAYO","JUNIO","JULIO","AGOSTO","SEPTIEMBRE","OCTUBRE","NOVIEMBRE","DICIEMBRE"))</f>
        <v/>
      </c>
      <c r="I970" s="34">
        <f>IF($A970="","",IF(OR($G970="SÁBADO",$G970="DOMINGO"),"FIN","LV"))</f>
        <v/>
      </c>
      <c r="J970" s="34">
        <f>IF(OR($A970="",$B970=""),"",IF($L970&lt;&gt;"",UPPER($L970),IF($C970="","FALTA",IFERROR(IF($C970&gt;=$O970,"ROJO FUERTE",IF($C970&gt;=$N970,"ROJO",IF($C970&gt;=$M970,"AMARILLO","VERDE"))),"REVISAR"))))</f>
        <v/>
      </c>
      <c r="K970" s="36">
        <f>IF(OR($C970="",$D970=""),"",IF($D970&gt;=$C970,($D970-$C970)*24,(1-$C970+$D970)*24))</f>
        <v/>
      </c>
      <c r="L970" s="34" t="n"/>
      <c r="M970" s="53">
        <f t="array" ref="M970">IFERROR(INDEX(EXCEPCIONES_FECHA!$D$2:$D$201,MATCH(1,(EXCEPCIONES_FECHA!$A$2:$A$201=$A970)*(EXCEPCIONES_FECHA!$B$2:$B$201=$B970),0)),IFERROR(INDEX(EXCEPCIONES_FECHA!$D$2:$D$201,MATCH(1,(EXCEPCIONES_FECHA!$A$2:$A$201=$A970)*(EXCEPCIONES_FECHA!$B$2:$B$201=""),0)),IFERROR(INDEX(IF($I970="FIN",HISTORIAL_HORARIOS!$J$2:$J$201,HISTORIAL_HORARIOS!$F$2:$F$201),MATCH(1,(HISTORIAL_HORARIOS!$A$2:$A$201=$B970)*(HISTORIAL_HORARIOS!$C$2:$C$201&lt;=$A970)*(HISTORIAL_HORARIOS!$D$2:$D$201&gt;=$A970),0)),INDEX(IF($I970="FIN",PERSONAL!$J$2:$J$80,PERSONAL!$F$2:$F$80),MATCH($B970,PERSONAL!$A$2:$A$80,0)))))</f>
        <v/>
      </c>
      <c r="N970" s="53">
        <f t="array" ref="N970">IFERROR(INDEX(EXCEPCIONES_FECHA!$E$2:$E$201,MATCH(1,(EXCEPCIONES_FECHA!$A$2:$A$201=$A970)*(EXCEPCIONES_FECHA!$B$2:$B$201=$B970),0)),IFERROR(INDEX(EXCEPCIONES_FECHA!$E$2:$E$201,MATCH(1,(EXCEPCIONES_FECHA!$A$2:$A$201=$A970)*(EXCEPCIONES_FECHA!$B$2:$B$201=""),0)),IFERROR(INDEX(IF($I970="FIN",HISTORIAL_HORARIOS!$K$2:$K$201,HISTORIAL_HORARIOS!$G$2:$G$201),MATCH(1,(HISTORIAL_HORARIOS!$A$2:$A$201=$B970)*(HISTORIAL_HORARIOS!$C$2:$C$201&lt;=$A970)*(HISTORIAL_HORARIOS!$D$2:$D$201&gt;=$A970),0)),INDEX(IF($I970="FIN",PERSONAL!$K$2:$K$80,PERSONAL!$G$2:$G$80),MATCH($B970,PERSONAL!$A$2:$A$80,0)))))</f>
        <v/>
      </c>
      <c r="O970" s="53">
        <f t="array" ref="O970">IFERROR(INDEX(EXCEPCIONES_FECHA!$F$2:$F$201,MATCH(1,(EXCEPCIONES_FECHA!$A$2:$A$201=$A970)*(EXCEPCIONES_FECHA!$B$2:$B$201=$B970),0)),IFERROR(INDEX(EXCEPCIONES_FECHA!$F$2:$F$201,MATCH(1,(EXCEPCIONES_FECHA!$A$2:$A$201=$A970)*(EXCEPCIONES_FECHA!$B$2:$B$201=""),0)),IFERROR(INDEX(IF($I970="FIN",HISTORIAL_HORARIOS!$L$2:$L$201,HISTORIAL_HORARIOS!$H$2:$H$201),MATCH(1,(HISTORIAL_HORARIOS!$A$2:$A$201=$B970)*(HISTORIAL_HORARIOS!$C$2:$C$201&lt;=$A970)*(HISTORIAL_HORARIOS!$D$2:$D$201&gt;=$A970),0)),INDEX(IF($I970="FIN",PERSONAL!$L$2:$L$80,PERSONAL!$H$2:$H$80),MATCH($B970,PERSONAL!$A$2:$A$80,0)))))</f>
        <v/>
      </c>
    </row>
    <row r="971" ht="15" customHeight="1" s="58">
      <c r="A971" s="40" t="n"/>
      <c r="B971" s="38" t="n"/>
      <c r="C971" s="40" t="n"/>
      <c r="D971" s="40" t="n"/>
      <c r="E971" s="34">
        <f t="array" ref="E971">IF($B971="","",IFERROR(INDEX(PERSONAL!$B$2:$B$80,MATCH($B971,PERSONAL!$A$2:$A$80,0)),"NO EXISTE"))</f>
        <v/>
      </c>
      <c r="F971" s="34">
        <f t="array" ref="F971">IF($B971="","",IFERROR(INDEX(PERSONAL!$C$2:$C$80,MATCH($B971,PERSONAL!$A$2:$A$80,0)),""))</f>
        <v/>
      </c>
      <c r="G971" s="34">
        <f>IF($A971="","",CHOOSE(WEEKDAY($A971,2),"LUNES","MARTES","MIÉRCOLES","JUEVES","VIERNES","SÁBADO","DOMINGO"))</f>
        <v/>
      </c>
      <c r="H971" s="34">
        <f>IF($A971="","",CHOOSE(MONTH($A971),"ENERO","FEBRERO","MARZO","ABRIL","MAYO","JUNIO","JULIO","AGOSTO","SEPTIEMBRE","OCTUBRE","NOVIEMBRE","DICIEMBRE"))</f>
        <v/>
      </c>
      <c r="I971" s="34">
        <f>IF($A971="","",IF(OR($G971="SÁBADO",$G971="DOMINGO"),"FIN","LV"))</f>
        <v/>
      </c>
      <c r="J971" s="34">
        <f>IF(OR($A971="",$B971=""),"",IF($L971&lt;&gt;"",UPPER($L971),IF($C971="","FALTA",IFERROR(IF($C971&gt;=$O971,"ROJO FUERTE",IF($C971&gt;=$N971,"ROJO",IF($C971&gt;=$M971,"AMARILLO","VERDE"))),"REVISAR"))))</f>
        <v/>
      </c>
      <c r="K971" s="36">
        <f>IF(OR($C971="",$D971=""),"",IF($D971&gt;=$C971,($D971-$C971)*24,(1-$C971+$D971)*24))</f>
        <v/>
      </c>
      <c r="L971" s="34" t="n"/>
      <c r="M971" s="53">
        <f t="array" ref="M971">IFERROR(INDEX(EXCEPCIONES_FECHA!$D$2:$D$201,MATCH(1,(EXCEPCIONES_FECHA!$A$2:$A$201=$A971)*(EXCEPCIONES_FECHA!$B$2:$B$201=$B971),0)),IFERROR(INDEX(EXCEPCIONES_FECHA!$D$2:$D$201,MATCH(1,(EXCEPCIONES_FECHA!$A$2:$A$201=$A971)*(EXCEPCIONES_FECHA!$B$2:$B$201=""),0)),IFERROR(INDEX(IF($I971="FIN",HISTORIAL_HORARIOS!$J$2:$J$201,HISTORIAL_HORARIOS!$F$2:$F$201),MATCH(1,(HISTORIAL_HORARIOS!$A$2:$A$201=$B971)*(HISTORIAL_HORARIOS!$C$2:$C$201&lt;=$A971)*(HISTORIAL_HORARIOS!$D$2:$D$201&gt;=$A971),0)),INDEX(IF($I971="FIN",PERSONAL!$J$2:$J$80,PERSONAL!$F$2:$F$80),MATCH($B971,PERSONAL!$A$2:$A$80,0)))))</f>
        <v/>
      </c>
      <c r="N971" s="53">
        <f t="array" ref="N971">IFERROR(INDEX(EXCEPCIONES_FECHA!$E$2:$E$201,MATCH(1,(EXCEPCIONES_FECHA!$A$2:$A$201=$A971)*(EXCEPCIONES_FECHA!$B$2:$B$201=$B971),0)),IFERROR(INDEX(EXCEPCIONES_FECHA!$E$2:$E$201,MATCH(1,(EXCEPCIONES_FECHA!$A$2:$A$201=$A971)*(EXCEPCIONES_FECHA!$B$2:$B$201=""),0)),IFERROR(INDEX(IF($I971="FIN",HISTORIAL_HORARIOS!$K$2:$K$201,HISTORIAL_HORARIOS!$G$2:$G$201),MATCH(1,(HISTORIAL_HORARIOS!$A$2:$A$201=$B971)*(HISTORIAL_HORARIOS!$C$2:$C$201&lt;=$A971)*(HISTORIAL_HORARIOS!$D$2:$D$201&gt;=$A971),0)),INDEX(IF($I971="FIN",PERSONAL!$K$2:$K$80,PERSONAL!$G$2:$G$80),MATCH($B971,PERSONAL!$A$2:$A$80,0)))))</f>
        <v/>
      </c>
      <c r="O971" s="53">
        <f t="array" ref="O971">IFERROR(INDEX(EXCEPCIONES_FECHA!$F$2:$F$201,MATCH(1,(EXCEPCIONES_FECHA!$A$2:$A$201=$A971)*(EXCEPCIONES_FECHA!$B$2:$B$201=$B971),0)),IFERROR(INDEX(EXCEPCIONES_FECHA!$F$2:$F$201,MATCH(1,(EXCEPCIONES_FECHA!$A$2:$A$201=$A971)*(EXCEPCIONES_FECHA!$B$2:$B$201=""),0)),IFERROR(INDEX(IF($I971="FIN",HISTORIAL_HORARIOS!$L$2:$L$201,HISTORIAL_HORARIOS!$H$2:$H$201),MATCH(1,(HISTORIAL_HORARIOS!$A$2:$A$201=$B971)*(HISTORIAL_HORARIOS!$C$2:$C$201&lt;=$A971)*(HISTORIAL_HORARIOS!$D$2:$D$201&gt;=$A971),0)),INDEX(IF($I971="FIN",PERSONAL!$L$2:$L$80,PERSONAL!$H$2:$H$80),MATCH($B971,PERSONAL!$A$2:$A$80,0)))))</f>
        <v/>
      </c>
    </row>
    <row r="972" ht="15" customHeight="1" s="58">
      <c r="A972" s="40" t="n"/>
      <c r="B972" s="38" t="n"/>
      <c r="C972" s="40" t="n"/>
      <c r="D972" s="40" t="n"/>
      <c r="E972" s="34">
        <f t="array" ref="E972">IF($B972="","",IFERROR(INDEX(PERSONAL!$B$2:$B$80,MATCH($B972,PERSONAL!$A$2:$A$80,0)),"NO EXISTE"))</f>
        <v/>
      </c>
      <c r="F972" s="34">
        <f t="array" ref="F972">IF($B972="","",IFERROR(INDEX(PERSONAL!$C$2:$C$80,MATCH($B972,PERSONAL!$A$2:$A$80,0)),""))</f>
        <v/>
      </c>
      <c r="G972" s="34">
        <f>IF($A972="","",CHOOSE(WEEKDAY($A972,2),"LUNES","MARTES","MIÉRCOLES","JUEVES","VIERNES","SÁBADO","DOMINGO"))</f>
        <v/>
      </c>
      <c r="H972" s="34">
        <f>IF($A972="","",CHOOSE(MONTH($A972),"ENERO","FEBRERO","MARZO","ABRIL","MAYO","JUNIO","JULIO","AGOSTO","SEPTIEMBRE","OCTUBRE","NOVIEMBRE","DICIEMBRE"))</f>
        <v/>
      </c>
      <c r="I972" s="34">
        <f>IF($A972="","",IF(OR($G972="SÁBADO",$G972="DOMINGO"),"FIN","LV"))</f>
        <v/>
      </c>
      <c r="J972" s="34">
        <f>IF(OR($A972="",$B972=""),"",IF($L972&lt;&gt;"",UPPER($L972),IF($C972="","FALTA",IFERROR(IF($C972&gt;=$O972,"ROJO FUERTE",IF($C972&gt;=$N972,"ROJO",IF($C972&gt;=$M972,"AMARILLO","VERDE"))),"REVISAR"))))</f>
        <v/>
      </c>
      <c r="K972" s="36">
        <f>IF(OR($C972="",$D972=""),"",IF($D972&gt;=$C972,($D972-$C972)*24,(1-$C972+$D972)*24))</f>
        <v/>
      </c>
      <c r="L972" s="34" t="n"/>
      <c r="M972" s="53">
        <f t="array" ref="M972">IFERROR(INDEX(EXCEPCIONES_FECHA!$D$2:$D$201,MATCH(1,(EXCEPCIONES_FECHA!$A$2:$A$201=$A972)*(EXCEPCIONES_FECHA!$B$2:$B$201=$B972),0)),IFERROR(INDEX(EXCEPCIONES_FECHA!$D$2:$D$201,MATCH(1,(EXCEPCIONES_FECHA!$A$2:$A$201=$A972)*(EXCEPCIONES_FECHA!$B$2:$B$201=""),0)),IFERROR(INDEX(IF($I972="FIN",HISTORIAL_HORARIOS!$J$2:$J$201,HISTORIAL_HORARIOS!$F$2:$F$201),MATCH(1,(HISTORIAL_HORARIOS!$A$2:$A$201=$B972)*(HISTORIAL_HORARIOS!$C$2:$C$201&lt;=$A972)*(HISTORIAL_HORARIOS!$D$2:$D$201&gt;=$A972),0)),INDEX(IF($I972="FIN",PERSONAL!$J$2:$J$80,PERSONAL!$F$2:$F$80),MATCH($B972,PERSONAL!$A$2:$A$80,0)))))</f>
        <v/>
      </c>
      <c r="N972" s="53">
        <f t="array" ref="N972">IFERROR(INDEX(EXCEPCIONES_FECHA!$E$2:$E$201,MATCH(1,(EXCEPCIONES_FECHA!$A$2:$A$201=$A972)*(EXCEPCIONES_FECHA!$B$2:$B$201=$B972),0)),IFERROR(INDEX(EXCEPCIONES_FECHA!$E$2:$E$201,MATCH(1,(EXCEPCIONES_FECHA!$A$2:$A$201=$A972)*(EXCEPCIONES_FECHA!$B$2:$B$201=""),0)),IFERROR(INDEX(IF($I972="FIN",HISTORIAL_HORARIOS!$K$2:$K$201,HISTORIAL_HORARIOS!$G$2:$G$201),MATCH(1,(HISTORIAL_HORARIOS!$A$2:$A$201=$B972)*(HISTORIAL_HORARIOS!$C$2:$C$201&lt;=$A972)*(HISTORIAL_HORARIOS!$D$2:$D$201&gt;=$A972),0)),INDEX(IF($I972="FIN",PERSONAL!$K$2:$K$80,PERSONAL!$G$2:$G$80),MATCH($B972,PERSONAL!$A$2:$A$80,0)))))</f>
        <v/>
      </c>
      <c r="O972" s="53">
        <f t="array" ref="O972">IFERROR(INDEX(EXCEPCIONES_FECHA!$F$2:$F$201,MATCH(1,(EXCEPCIONES_FECHA!$A$2:$A$201=$A972)*(EXCEPCIONES_FECHA!$B$2:$B$201=$B972),0)),IFERROR(INDEX(EXCEPCIONES_FECHA!$F$2:$F$201,MATCH(1,(EXCEPCIONES_FECHA!$A$2:$A$201=$A972)*(EXCEPCIONES_FECHA!$B$2:$B$201=""),0)),IFERROR(INDEX(IF($I972="FIN",HISTORIAL_HORARIOS!$L$2:$L$201,HISTORIAL_HORARIOS!$H$2:$H$201),MATCH(1,(HISTORIAL_HORARIOS!$A$2:$A$201=$B972)*(HISTORIAL_HORARIOS!$C$2:$C$201&lt;=$A972)*(HISTORIAL_HORARIOS!$D$2:$D$201&gt;=$A972),0)),INDEX(IF($I972="FIN",PERSONAL!$L$2:$L$80,PERSONAL!$H$2:$H$80),MATCH($B972,PERSONAL!$A$2:$A$80,0)))))</f>
        <v/>
      </c>
    </row>
    <row r="973" ht="15" customHeight="1" s="58">
      <c r="A973" s="40" t="n"/>
      <c r="B973" s="38" t="n"/>
      <c r="C973" s="40" t="n"/>
      <c r="D973" s="40" t="n"/>
      <c r="E973" s="34">
        <f t="array" ref="E973">IF($B973="","",IFERROR(INDEX(PERSONAL!$B$2:$B$80,MATCH($B973,PERSONAL!$A$2:$A$80,0)),"NO EXISTE"))</f>
        <v/>
      </c>
      <c r="F973" s="34">
        <f t="array" ref="F973">IF($B973="","",IFERROR(INDEX(PERSONAL!$C$2:$C$80,MATCH($B973,PERSONAL!$A$2:$A$80,0)),""))</f>
        <v/>
      </c>
      <c r="G973" s="34">
        <f>IF($A973="","",CHOOSE(WEEKDAY($A973,2),"LUNES","MARTES","MIÉRCOLES","JUEVES","VIERNES","SÁBADO","DOMINGO"))</f>
        <v/>
      </c>
      <c r="H973" s="34">
        <f>IF($A973="","",CHOOSE(MONTH($A973),"ENERO","FEBRERO","MARZO","ABRIL","MAYO","JUNIO","JULIO","AGOSTO","SEPTIEMBRE","OCTUBRE","NOVIEMBRE","DICIEMBRE"))</f>
        <v/>
      </c>
      <c r="I973" s="34">
        <f>IF($A973="","",IF(OR($G973="SÁBADO",$G973="DOMINGO"),"FIN","LV"))</f>
        <v/>
      </c>
      <c r="J973" s="34">
        <f>IF(OR($A973="",$B973=""),"",IF($L973&lt;&gt;"",UPPER($L973),IF($C973="","FALTA",IFERROR(IF($C973&gt;=$O973,"ROJO FUERTE",IF($C973&gt;=$N973,"ROJO",IF($C973&gt;=$M973,"AMARILLO","VERDE"))),"REVISAR"))))</f>
        <v/>
      </c>
      <c r="K973" s="36">
        <f>IF(OR($C973="",$D973=""),"",IF($D973&gt;=$C973,($D973-$C973)*24,(1-$C973+$D973)*24))</f>
        <v/>
      </c>
      <c r="L973" s="34" t="n"/>
      <c r="M973" s="53">
        <f t="array" ref="M973">IFERROR(INDEX(EXCEPCIONES_FECHA!$D$2:$D$201,MATCH(1,(EXCEPCIONES_FECHA!$A$2:$A$201=$A973)*(EXCEPCIONES_FECHA!$B$2:$B$201=$B973),0)),IFERROR(INDEX(EXCEPCIONES_FECHA!$D$2:$D$201,MATCH(1,(EXCEPCIONES_FECHA!$A$2:$A$201=$A973)*(EXCEPCIONES_FECHA!$B$2:$B$201=""),0)),IFERROR(INDEX(IF($I973="FIN",HISTORIAL_HORARIOS!$J$2:$J$201,HISTORIAL_HORARIOS!$F$2:$F$201),MATCH(1,(HISTORIAL_HORARIOS!$A$2:$A$201=$B973)*(HISTORIAL_HORARIOS!$C$2:$C$201&lt;=$A973)*(HISTORIAL_HORARIOS!$D$2:$D$201&gt;=$A973),0)),INDEX(IF($I973="FIN",PERSONAL!$J$2:$J$80,PERSONAL!$F$2:$F$80),MATCH($B973,PERSONAL!$A$2:$A$80,0)))))</f>
        <v/>
      </c>
      <c r="N973" s="53">
        <f t="array" ref="N973">IFERROR(INDEX(EXCEPCIONES_FECHA!$E$2:$E$201,MATCH(1,(EXCEPCIONES_FECHA!$A$2:$A$201=$A973)*(EXCEPCIONES_FECHA!$B$2:$B$201=$B973),0)),IFERROR(INDEX(EXCEPCIONES_FECHA!$E$2:$E$201,MATCH(1,(EXCEPCIONES_FECHA!$A$2:$A$201=$A973)*(EXCEPCIONES_FECHA!$B$2:$B$201=""),0)),IFERROR(INDEX(IF($I973="FIN",HISTORIAL_HORARIOS!$K$2:$K$201,HISTORIAL_HORARIOS!$G$2:$G$201),MATCH(1,(HISTORIAL_HORARIOS!$A$2:$A$201=$B973)*(HISTORIAL_HORARIOS!$C$2:$C$201&lt;=$A973)*(HISTORIAL_HORARIOS!$D$2:$D$201&gt;=$A973),0)),INDEX(IF($I973="FIN",PERSONAL!$K$2:$K$80,PERSONAL!$G$2:$G$80),MATCH($B973,PERSONAL!$A$2:$A$80,0)))))</f>
        <v/>
      </c>
      <c r="O973" s="53">
        <f t="array" ref="O973">IFERROR(INDEX(EXCEPCIONES_FECHA!$F$2:$F$201,MATCH(1,(EXCEPCIONES_FECHA!$A$2:$A$201=$A973)*(EXCEPCIONES_FECHA!$B$2:$B$201=$B973),0)),IFERROR(INDEX(EXCEPCIONES_FECHA!$F$2:$F$201,MATCH(1,(EXCEPCIONES_FECHA!$A$2:$A$201=$A973)*(EXCEPCIONES_FECHA!$B$2:$B$201=""),0)),IFERROR(INDEX(IF($I973="FIN",HISTORIAL_HORARIOS!$L$2:$L$201,HISTORIAL_HORARIOS!$H$2:$H$201),MATCH(1,(HISTORIAL_HORARIOS!$A$2:$A$201=$B973)*(HISTORIAL_HORARIOS!$C$2:$C$201&lt;=$A973)*(HISTORIAL_HORARIOS!$D$2:$D$201&gt;=$A973),0)),INDEX(IF($I973="FIN",PERSONAL!$L$2:$L$80,PERSONAL!$H$2:$H$80),MATCH($B973,PERSONAL!$A$2:$A$80,0)))))</f>
        <v/>
      </c>
    </row>
    <row r="974" ht="15" customHeight="1" s="58">
      <c r="A974" s="40" t="n"/>
      <c r="B974" s="38" t="n"/>
      <c r="C974" s="40" t="n"/>
      <c r="D974" s="40" t="n"/>
      <c r="E974" s="34">
        <f t="array" ref="E974">IF($B974="","",IFERROR(INDEX(PERSONAL!$B$2:$B$80,MATCH($B974,PERSONAL!$A$2:$A$80,0)),"NO EXISTE"))</f>
        <v/>
      </c>
      <c r="F974" s="34">
        <f t="array" ref="F974">IF($B974="","",IFERROR(INDEX(PERSONAL!$C$2:$C$80,MATCH($B974,PERSONAL!$A$2:$A$80,0)),""))</f>
        <v/>
      </c>
      <c r="G974" s="34">
        <f>IF($A974="","",CHOOSE(WEEKDAY($A974,2),"LUNES","MARTES","MIÉRCOLES","JUEVES","VIERNES","SÁBADO","DOMINGO"))</f>
        <v/>
      </c>
      <c r="H974" s="34">
        <f>IF($A974="","",CHOOSE(MONTH($A974),"ENERO","FEBRERO","MARZO","ABRIL","MAYO","JUNIO","JULIO","AGOSTO","SEPTIEMBRE","OCTUBRE","NOVIEMBRE","DICIEMBRE"))</f>
        <v/>
      </c>
      <c r="I974" s="34">
        <f>IF($A974="","",IF(OR($G974="SÁBADO",$G974="DOMINGO"),"FIN","LV"))</f>
        <v/>
      </c>
      <c r="J974" s="34">
        <f>IF(OR($A974="",$B974=""),"",IF($L974&lt;&gt;"",UPPER($L974),IF($C974="","FALTA",IFERROR(IF($C974&gt;=$O974,"ROJO FUERTE",IF($C974&gt;=$N974,"ROJO",IF($C974&gt;=$M974,"AMARILLO","VERDE"))),"REVISAR"))))</f>
        <v/>
      </c>
      <c r="K974" s="36">
        <f>IF(OR($C974="",$D974=""),"",IF($D974&gt;=$C974,($D974-$C974)*24,(1-$C974+$D974)*24))</f>
        <v/>
      </c>
      <c r="L974" s="34" t="n"/>
      <c r="M974" s="53">
        <f t="array" ref="M974">IFERROR(INDEX(EXCEPCIONES_FECHA!$D$2:$D$201,MATCH(1,(EXCEPCIONES_FECHA!$A$2:$A$201=$A974)*(EXCEPCIONES_FECHA!$B$2:$B$201=$B974),0)),IFERROR(INDEX(EXCEPCIONES_FECHA!$D$2:$D$201,MATCH(1,(EXCEPCIONES_FECHA!$A$2:$A$201=$A974)*(EXCEPCIONES_FECHA!$B$2:$B$201=""),0)),IFERROR(INDEX(IF($I974="FIN",HISTORIAL_HORARIOS!$J$2:$J$201,HISTORIAL_HORARIOS!$F$2:$F$201),MATCH(1,(HISTORIAL_HORARIOS!$A$2:$A$201=$B974)*(HISTORIAL_HORARIOS!$C$2:$C$201&lt;=$A974)*(HISTORIAL_HORARIOS!$D$2:$D$201&gt;=$A974),0)),INDEX(IF($I974="FIN",PERSONAL!$J$2:$J$80,PERSONAL!$F$2:$F$80),MATCH($B974,PERSONAL!$A$2:$A$80,0)))))</f>
        <v/>
      </c>
      <c r="N974" s="53">
        <f t="array" ref="N974">IFERROR(INDEX(EXCEPCIONES_FECHA!$E$2:$E$201,MATCH(1,(EXCEPCIONES_FECHA!$A$2:$A$201=$A974)*(EXCEPCIONES_FECHA!$B$2:$B$201=$B974),0)),IFERROR(INDEX(EXCEPCIONES_FECHA!$E$2:$E$201,MATCH(1,(EXCEPCIONES_FECHA!$A$2:$A$201=$A974)*(EXCEPCIONES_FECHA!$B$2:$B$201=""),0)),IFERROR(INDEX(IF($I974="FIN",HISTORIAL_HORARIOS!$K$2:$K$201,HISTORIAL_HORARIOS!$G$2:$G$201),MATCH(1,(HISTORIAL_HORARIOS!$A$2:$A$201=$B974)*(HISTORIAL_HORARIOS!$C$2:$C$201&lt;=$A974)*(HISTORIAL_HORARIOS!$D$2:$D$201&gt;=$A974),0)),INDEX(IF($I974="FIN",PERSONAL!$K$2:$K$80,PERSONAL!$G$2:$G$80),MATCH($B974,PERSONAL!$A$2:$A$80,0)))))</f>
        <v/>
      </c>
      <c r="O974" s="53">
        <f t="array" ref="O974">IFERROR(INDEX(EXCEPCIONES_FECHA!$F$2:$F$201,MATCH(1,(EXCEPCIONES_FECHA!$A$2:$A$201=$A974)*(EXCEPCIONES_FECHA!$B$2:$B$201=$B974),0)),IFERROR(INDEX(EXCEPCIONES_FECHA!$F$2:$F$201,MATCH(1,(EXCEPCIONES_FECHA!$A$2:$A$201=$A974)*(EXCEPCIONES_FECHA!$B$2:$B$201=""),0)),IFERROR(INDEX(IF($I974="FIN",HISTORIAL_HORARIOS!$L$2:$L$201,HISTORIAL_HORARIOS!$H$2:$H$201),MATCH(1,(HISTORIAL_HORARIOS!$A$2:$A$201=$B974)*(HISTORIAL_HORARIOS!$C$2:$C$201&lt;=$A974)*(HISTORIAL_HORARIOS!$D$2:$D$201&gt;=$A974),0)),INDEX(IF($I974="FIN",PERSONAL!$L$2:$L$80,PERSONAL!$H$2:$H$80),MATCH($B974,PERSONAL!$A$2:$A$80,0)))))</f>
        <v/>
      </c>
    </row>
    <row r="975" ht="15" customHeight="1" s="58">
      <c r="A975" s="40" t="n"/>
      <c r="B975" s="38" t="n"/>
      <c r="C975" s="40" t="n"/>
      <c r="D975" s="40" t="n"/>
      <c r="E975" s="34">
        <f t="array" ref="E975">IF($B975="","",IFERROR(INDEX(PERSONAL!$B$2:$B$80,MATCH($B975,PERSONAL!$A$2:$A$80,0)),"NO EXISTE"))</f>
        <v/>
      </c>
      <c r="F975" s="34">
        <f t="array" ref="F975">IF($B975="","",IFERROR(INDEX(PERSONAL!$C$2:$C$80,MATCH($B975,PERSONAL!$A$2:$A$80,0)),""))</f>
        <v/>
      </c>
      <c r="G975" s="34">
        <f>IF($A975="","",CHOOSE(WEEKDAY($A975,2),"LUNES","MARTES","MIÉRCOLES","JUEVES","VIERNES","SÁBADO","DOMINGO"))</f>
        <v/>
      </c>
      <c r="H975" s="34">
        <f>IF($A975="","",CHOOSE(MONTH($A975),"ENERO","FEBRERO","MARZO","ABRIL","MAYO","JUNIO","JULIO","AGOSTO","SEPTIEMBRE","OCTUBRE","NOVIEMBRE","DICIEMBRE"))</f>
        <v/>
      </c>
      <c r="I975" s="34">
        <f>IF($A975="","",IF(OR($G975="SÁBADO",$G975="DOMINGO"),"FIN","LV"))</f>
        <v/>
      </c>
      <c r="J975" s="34">
        <f>IF(OR($A975="",$B975=""),"",IF($L975&lt;&gt;"",UPPER($L975),IF($C975="","FALTA",IFERROR(IF($C975&gt;=$O975,"ROJO FUERTE",IF($C975&gt;=$N975,"ROJO",IF($C975&gt;=$M975,"AMARILLO","VERDE"))),"REVISAR"))))</f>
        <v/>
      </c>
      <c r="K975" s="36">
        <f>IF(OR($C975="",$D975=""),"",IF($D975&gt;=$C975,($D975-$C975)*24,(1-$C975+$D975)*24))</f>
        <v/>
      </c>
      <c r="L975" s="34" t="n"/>
      <c r="M975" s="53">
        <f t="array" ref="M975">IFERROR(INDEX(EXCEPCIONES_FECHA!$D$2:$D$201,MATCH(1,(EXCEPCIONES_FECHA!$A$2:$A$201=$A975)*(EXCEPCIONES_FECHA!$B$2:$B$201=$B975),0)),IFERROR(INDEX(EXCEPCIONES_FECHA!$D$2:$D$201,MATCH(1,(EXCEPCIONES_FECHA!$A$2:$A$201=$A975)*(EXCEPCIONES_FECHA!$B$2:$B$201=""),0)),IFERROR(INDEX(IF($I975="FIN",HISTORIAL_HORARIOS!$J$2:$J$201,HISTORIAL_HORARIOS!$F$2:$F$201),MATCH(1,(HISTORIAL_HORARIOS!$A$2:$A$201=$B975)*(HISTORIAL_HORARIOS!$C$2:$C$201&lt;=$A975)*(HISTORIAL_HORARIOS!$D$2:$D$201&gt;=$A975),0)),INDEX(IF($I975="FIN",PERSONAL!$J$2:$J$80,PERSONAL!$F$2:$F$80),MATCH($B975,PERSONAL!$A$2:$A$80,0)))))</f>
        <v/>
      </c>
      <c r="N975" s="53">
        <f t="array" ref="N975">IFERROR(INDEX(EXCEPCIONES_FECHA!$E$2:$E$201,MATCH(1,(EXCEPCIONES_FECHA!$A$2:$A$201=$A975)*(EXCEPCIONES_FECHA!$B$2:$B$201=$B975),0)),IFERROR(INDEX(EXCEPCIONES_FECHA!$E$2:$E$201,MATCH(1,(EXCEPCIONES_FECHA!$A$2:$A$201=$A975)*(EXCEPCIONES_FECHA!$B$2:$B$201=""),0)),IFERROR(INDEX(IF($I975="FIN",HISTORIAL_HORARIOS!$K$2:$K$201,HISTORIAL_HORARIOS!$G$2:$G$201),MATCH(1,(HISTORIAL_HORARIOS!$A$2:$A$201=$B975)*(HISTORIAL_HORARIOS!$C$2:$C$201&lt;=$A975)*(HISTORIAL_HORARIOS!$D$2:$D$201&gt;=$A975),0)),INDEX(IF($I975="FIN",PERSONAL!$K$2:$K$80,PERSONAL!$G$2:$G$80),MATCH($B975,PERSONAL!$A$2:$A$80,0)))))</f>
        <v/>
      </c>
      <c r="O975" s="53">
        <f t="array" ref="O975">IFERROR(INDEX(EXCEPCIONES_FECHA!$F$2:$F$201,MATCH(1,(EXCEPCIONES_FECHA!$A$2:$A$201=$A975)*(EXCEPCIONES_FECHA!$B$2:$B$201=$B975),0)),IFERROR(INDEX(EXCEPCIONES_FECHA!$F$2:$F$201,MATCH(1,(EXCEPCIONES_FECHA!$A$2:$A$201=$A975)*(EXCEPCIONES_FECHA!$B$2:$B$201=""),0)),IFERROR(INDEX(IF($I975="FIN",HISTORIAL_HORARIOS!$L$2:$L$201,HISTORIAL_HORARIOS!$H$2:$H$201),MATCH(1,(HISTORIAL_HORARIOS!$A$2:$A$201=$B975)*(HISTORIAL_HORARIOS!$C$2:$C$201&lt;=$A975)*(HISTORIAL_HORARIOS!$D$2:$D$201&gt;=$A975),0)),INDEX(IF($I975="FIN",PERSONAL!$L$2:$L$80,PERSONAL!$H$2:$H$80),MATCH($B975,PERSONAL!$A$2:$A$80,0)))))</f>
        <v/>
      </c>
    </row>
    <row r="976" ht="15" customHeight="1" s="58">
      <c r="A976" s="40" t="n"/>
      <c r="B976" s="38" t="n"/>
      <c r="C976" s="40" t="n"/>
      <c r="D976" s="40" t="n"/>
      <c r="E976" s="34">
        <f t="array" ref="E976">IF($B976="","",IFERROR(INDEX(PERSONAL!$B$2:$B$80,MATCH($B976,PERSONAL!$A$2:$A$80,0)),"NO EXISTE"))</f>
        <v/>
      </c>
      <c r="F976" s="34">
        <f t="array" ref="F976">IF($B976="","",IFERROR(INDEX(PERSONAL!$C$2:$C$80,MATCH($B976,PERSONAL!$A$2:$A$80,0)),""))</f>
        <v/>
      </c>
      <c r="G976" s="34">
        <f>IF($A976="","",CHOOSE(WEEKDAY($A976,2),"LUNES","MARTES","MIÉRCOLES","JUEVES","VIERNES","SÁBADO","DOMINGO"))</f>
        <v/>
      </c>
      <c r="H976" s="34">
        <f>IF($A976="","",CHOOSE(MONTH($A976),"ENERO","FEBRERO","MARZO","ABRIL","MAYO","JUNIO","JULIO","AGOSTO","SEPTIEMBRE","OCTUBRE","NOVIEMBRE","DICIEMBRE"))</f>
        <v/>
      </c>
      <c r="I976" s="34">
        <f>IF($A976="","",IF(OR($G976="SÁBADO",$G976="DOMINGO"),"FIN","LV"))</f>
        <v/>
      </c>
      <c r="J976" s="34">
        <f>IF(OR($A976="",$B976=""),"",IF($L976&lt;&gt;"",UPPER($L976),IF($C976="","FALTA",IFERROR(IF($C976&gt;=$O976,"ROJO FUERTE",IF($C976&gt;=$N976,"ROJO",IF($C976&gt;=$M976,"AMARILLO","VERDE"))),"REVISAR"))))</f>
        <v/>
      </c>
      <c r="K976" s="36">
        <f>IF(OR($C976="",$D976=""),"",IF($D976&gt;=$C976,($D976-$C976)*24,(1-$C976+$D976)*24))</f>
        <v/>
      </c>
      <c r="L976" s="34" t="n"/>
      <c r="M976" s="53">
        <f t="array" ref="M976">IFERROR(INDEX(EXCEPCIONES_FECHA!$D$2:$D$201,MATCH(1,(EXCEPCIONES_FECHA!$A$2:$A$201=$A976)*(EXCEPCIONES_FECHA!$B$2:$B$201=$B976),0)),IFERROR(INDEX(EXCEPCIONES_FECHA!$D$2:$D$201,MATCH(1,(EXCEPCIONES_FECHA!$A$2:$A$201=$A976)*(EXCEPCIONES_FECHA!$B$2:$B$201=""),0)),IFERROR(INDEX(IF($I976="FIN",HISTORIAL_HORARIOS!$J$2:$J$201,HISTORIAL_HORARIOS!$F$2:$F$201),MATCH(1,(HISTORIAL_HORARIOS!$A$2:$A$201=$B976)*(HISTORIAL_HORARIOS!$C$2:$C$201&lt;=$A976)*(HISTORIAL_HORARIOS!$D$2:$D$201&gt;=$A976),0)),INDEX(IF($I976="FIN",PERSONAL!$J$2:$J$80,PERSONAL!$F$2:$F$80),MATCH($B976,PERSONAL!$A$2:$A$80,0)))))</f>
        <v/>
      </c>
      <c r="N976" s="53">
        <f t="array" ref="N976">IFERROR(INDEX(EXCEPCIONES_FECHA!$E$2:$E$201,MATCH(1,(EXCEPCIONES_FECHA!$A$2:$A$201=$A976)*(EXCEPCIONES_FECHA!$B$2:$B$201=$B976),0)),IFERROR(INDEX(EXCEPCIONES_FECHA!$E$2:$E$201,MATCH(1,(EXCEPCIONES_FECHA!$A$2:$A$201=$A976)*(EXCEPCIONES_FECHA!$B$2:$B$201=""),0)),IFERROR(INDEX(IF($I976="FIN",HISTORIAL_HORARIOS!$K$2:$K$201,HISTORIAL_HORARIOS!$G$2:$G$201),MATCH(1,(HISTORIAL_HORARIOS!$A$2:$A$201=$B976)*(HISTORIAL_HORARIOS!$C$2:$C$201&lt;=$A976)*(HISTORIAL_HORARIOS!$D$2:$D$201&gt;=$A976),0)),INDEX(IF($I976="FIN",PERSONAL!$K$2:$K$80,PERSONAL!$G$2:$G$80),MATCH($B976,PERSONAL!$A$2:$A$80,0)))))</f>
        <v/>
      </c>
      <c r="O976" s="53">
        <f t="array" ref="O976">IFERROR(INDEX(EXCEPCIONES_FECHA!$F$2:$F$201,MATCH(1,(EXCEPCIONES_FECHA!$A$2:$A$201=$A976)*(EXCEPCIONES_FECHA!$B$2:$B$201=$B976),0)),IFERROR(INDEX(EXCEPCIONES_FECHA!$F$2:$F$201,MATCH(1,(EXCEPCIONES_FECHA!$A$2:$A$201=$A976)*(EXCEPCIONES_FECHA!$B$2:$B$201=""),0)),IFERROR(INDEX(IF($I976="FIN",HISTORIAL_HORARIOS!$L$2:$L$201,HISTORIAL_HORARIOS!$H$2:$H$201),MATCH(1,(HISTORIAL_HORARIOS!$A$2:$A$201=$B976)*(HISTORIAL_HORARIOS!$C$2:$C$201&lt;=$A976)*(HISTORIAL_HORARIOS!$D$2:$D$201&gt;=$A976),0)),INDEX(IF($I976="FIN",PERSONAL!$L$2:$L$80,PERSONAL!$H$2:$H$80),MATCH($B976,PERSONAL!$A$2:$A$80,0)))))</f>
        <v/>
      </c>
    </row>
    <row r="977" ht="15" customHeight="1" s="58">
      <c r="A977" s="40" t="n"/>
      <c r="B977" s="38" t="n"/>
      <c r="C977" s="40" t="n"/>
      <c r="D977" s="40" t="n"/>
      <c r="E977" s="34">
        <f t="array" ref="E977">IF($B977="","",IFERROR(INDEX(PERSONAL!$B$2:$B$80,MATCH($B977,PERSONAL!$A$2:$A$80,0)),"NO EXISTE"))</f>
        <v/>
      </c>
      <c r="F977" s="34">
        <f t="array" ref="F977">IF($B977="","",IFERROR(INDEX(PERSONAL!$C$2:$C$80,MATCH($B977,PERSONAL!$A$2:$A$80,0)),""))</f>
        <v/>
      </c>
      <c r="G977" s="34">
        <f>IF($A977="","",CHOOSE(WEEKDAY($A977,2),"LUNES","MARTES","MIÉRCOLES","JUEVES","VIERNES","SÁBADO","DOMINGO"))</f>
        <v/>
      </c>
      <c r="H977" s="34">
        <f>IF($A977="","",CHOOSE(MONTH($A977),"ENERO","FEBRERO","MARZO","ABRIL","MAYO","JUNIO","JULIO","AGOSTO","SEPTIEMBRE","OCTUBRE","NOVIEMBRE","DICIEMBRE"))</f>
        <v/>
      </c>
      <c r="I977" s="34">
        <f>IF($A977="","",IF(OR($G977="SÁBADO",$G977="DOMINGO"),"FIN","LV"))</f>
        <v/>
      </c>
      <c r="J977" s="34">
        <f>IF(OR($A977="",$B977=""),"",IF($L977&lt;&gt;"",UPPER($L977),IF($C977="","FALTA",IFERROR(IF($C977&gt;=$O977,"ROJO FUERTE",IF($C977&gt;=$N977,"ROJO",IF($C977&gt;=$M977,"AMARILLO","VERDE"))),"REVISAR"))))</f>
        <v/>
      </c>
      <c r="K977" s="36">
        <f>IF(OR($C977="",$D977=""),"",IF($D977&gt;=$C977,($D977-$C977)*24,(1-$C977+$D977)*24))</f>
        <v/>
      </c>
      <c r="L977" s="34" t="n"/>
      <c r="M977" s="53">
        <f t="array" ref="M977">IFERROR(INDEX(EXCEPCIONES_FECHA!$D$2:$D$201,MATCH(1,(EXCEPCIONES_FECHA!$A$2:$A$201=$A977)*(EXCEPCIONES_FECHA!$B$2:$B$201=$B977),0)),IFERROR(INDEX(EXCEPCIONES_FECHA!$D$2:$D$201,MATCH(1,(EXCEPCIONES_FECHA!$A$2:$A$201=$A977)*(EXCEPCIONES_FECHA!$B$2:$B$201=""),0)),IFERROR(INDEX(IF($I977="FIN",HISTORIAL_HORARIOS!$J$2:$J$201,HISTORIAL_HORARIOS!$F$2:$F$201),MATCH(1,(HISTORIAL_HORARIOS!$A$2:$A$201=$B977)*(HISTORIAL_HORARIOS!$C$2:$C$201&lt;=$A977)*(HISTORIAL_HORARIOS!$D$2:$D$201&gt;=$A977),0)),INDEX(IF($I977="FIN",PERSONAL!$J$2:$J$80,PERSONAL!$F$2:$F$80),MATCH($B977,PERSONAL!$A$2:$A$80,0)))))</f>
        <v/>
      </c>
      <c r="N977" s="53">
        <f t="array" ref="N977">IFERROR(INDEX(EXCEPCIONES_FECHA!$E$2:$E$201,MATCH(1,(EXCEPCIONES_FECHA!$A$2:$A$201=$A977)*(EXCEPCIONES_FECHA!$B$2:$B$201=$B977),0)),IFERROR(INDEX(EXCEPCIONES_FECHA!$E$2:$E$201,MATCH(1,(EXCEPCIONES_FECHA!$A$2:$A$201=$A977)*(EXCEPCIONES_FECHA!$B$2:$B$201=""),0)),IFERROR(INDEX(IF($I977="FIN",HISTORIAL_HORARIOS!$K$2:$K$201,HISTORIAL_HORARIOS!$G$2:$G$201),MATCH(1,(HISTORIAL_HORARIOS!$A$2:$A$201=$B977)*(HISTORIAL_HORARIOS!$C$2:$C$201&lt;=$A977)*(HISTORIAL_HORARIOS!$D$2:$D$201&gt;=$A977),0)),INDEX(IF($I977="FIN",PERSONAL!$K$2:$K$80,PERSONAL!$G$2:$G$80),MATCH($B977,PERSONAL!$A$2:$A$80,0)))))</f>
        <v/>
      </c>
      <c r="O977" s="53">
        <f t="array" ref="O977">IFERROR(INDEX(EXCEPCIONES_FECHA!$F$2:$F$201,MATCH(1,(EXCEPCIONES_FECHA!$A$2:$A$201=$A977)*(EXCEPCIONES_FECHA!$B$2:$B$201=$B977),0)),IFERROR(INDEX(EXCEPCIONES_FECHA!$F$2:$F$201,MATCH(1,(EXCEPCIONES_FECHA!$A$2:$A$201=$A977)*(EXCEPCIONES_FECHA!$B$2:$B$201=""),0)),IFERROR(INDEX(IF($I977="FIN",HISTORIAL_HORARIOS!$L$2:$L$201,HISTORIAL_HORARIOS!$H$2:$H$201),MATCH(1,(HISTORIAL_HORARIOS!$A$2:$A$201=$B977)*(HISTORIAL_HORARIOS!$C$2:$C$201&lt;=$A977)*(HISTORIAL_HORARIOS!$D$2:$D$201&gt;=$A977),0)),INDEX(IF($I977="FIN",PERSONAL!$L$2:$L$80,PERSONAL!$H$2:$H$80),MATCH($B977,PERSONAL!$A$2:$A$80,0)))))</f>
        <v/>
      </c>
    </row>
    <row r="978" ht="15" customHeight="1" s="58">
      <c r="A978" s="40" t="n"/>
      <c r="B978" s="38" t="n"/>
      <c r="C978" s="40" t="n"/>
      <c r="D978" s="40" t="n"/>
      <c r="E978" s="34">
        <f t="array" ref="E978">IF($B978="","",IFERROR(INDEX(PERSONAL!$B$2:$B$80,MATCH($B978,PERSONAL!$A$2:$A$80,0)),"NO EXISTE"))</f>
        <v/>
      </c>
      <c r="F978" s="34">
        <f t="array" ref="F978">IF($B978="","",IFERROR(INDEX(PERSONAL!$C$2:$C$80,MATCH($B978,PERSONAL!$A$2:$A$80,0)),""))</f>
        <v/>
      </c>
      <c r="G978" s="34">
        <f>IF($A978="","",CHOOSE(WEEKDAY($A978,2),"LUNES","MARTES","MIÉRCOLES","JUEVES","VIERNES","SÁBADO","DOMINGO"))</f>
        <v/>
      </c>
      <c r="H978" s="34">
        <f>IF($A978="","",CHOOSE(MONTH($A978),"ENERO","FEBRERO","MARZO","ABRIL","MAYO","JUNIO","JULIO","AGOSTO","SEPTIEMBRE","OCTUBRE","NOVIEMBRE","DICIEMBRE"))</f>
        <v/>
      </c>
      <c r="I978" s="34">
        <f>IF($A978="","",IF(OR($G978="SÁBADO",$G978="DOMINGO"),"FIN","LV"))</f>
        <v/>
      </c>
      <c r="J978" s="34">
        <f>IF(OR($A978="",$B978=""),"",IF($L978&lt;&gt;"",UPPER($L978),IF($C978="","FALTA",IFERROR(IF($C978&gt;=$O978,"ROJO FUERTE",IF($C978&gt;=$N978,"ROJO",IF($C978&gt;=$M978,"AMARILLO","VERDE"))),"REVISAR"))))</f>
        <v/>
      </c>
      <c r="K978" s="36">
        <f>IF(OR($C978="",$D978=""),"",IF($D978&gt;=$C978,($D978-$C978)*24,(1-$C978+$D978)*24))</f>
        <v/>
      </c>
      <c r="L978" s="34" t="n"/>
      <c r="M978" s="53">
        <f t="array" ref="M978">IFERROR(INDEX(EXCEPCIONES_FECHA!$D$2:$D$201,MATCH(1,(EXCEPCIONES_FECHA!$A$2:$A$201=$A978)*(EXCEPCIONES_FECHA!$B$2:$B$201=$B978),0)),IFERROR(INDEX(EXCEPCIONES_FECHA!$D$2:$D$201,MATCH(1,(EXCEPCIONES_FECHA!$A$2:$A$201=$A978)*(EXCEPCIONES_FECHA!$B$2:$B$201=""),0)),IFERROR(INDEX(IF($I978="FIN",HISTORIAL_HORARIOS!$J$2:$J$201,HISTORIAL_HORARIOS!$F$2:$F$201),MATCH(1,(HISTORIAL_HORARIOS!$A$2:$A$201=$B978)*(HISTORIAL_HORARIOS!$C$2:$C$201&lt;=$A978)*(HISTORIAL_HORARIOS!$D$2:$D$201&gt;=$A978),0)),INDEX(IF($I978="FIN",PERSONAL!$J$2:$J$80,PERSONAL!$F$2:$F$80),MATCH($B978,PERSONAL!$A$2:$A$80,0)))))</f>
        <v/>
      </c>
      <c r="N978" s="53">
        <f t="array" ref="N978">IFERROR(INDEX(EXCEPCIONES_FECHA!$E$2:$E$201,MATCH(1,(EXCEPCIONES_FECHA!$A$2:$A$201=$A978)*(EXCEPCIONES_FECHA!$B$2:$B$201=$B978),0)),IFERROR(INDEX(EXCEPCIONES_FECHA!$E$2:$E$201,MATCH(1,(EXCEPCIONES_FECHA!$A$2:$A$201=$A978)*(EXCEPCIONES_FECHA!$B$2:$B$201=""),0)),IFERROR(INDEX(IF($I978="FIN",HISTORIAL_HORARIOS!$K$2:$K$201,HISTORIAL_HORARIOS!$G$2:$G$201),MATCH(1,(HISTORIAL_HORARIOS!$A$2:$A$201=$B978)*(HISTORIAL_HORARIOS!$C$2:$C$201&lt;=$A978)*(HISTORIAL_HORARIOS!$D$2:$D$201&gt;=$A978),0)),INDEX(IF($I978="FIN",PERSONAL!$K$2:$K$80,PERSONAL!$G$2:$G$80),MATCH($B978,PERSONAL!$A$2:$A$80,0)))))</f>
        <v/>
      </c>
      <c r="O978" s="53">
        <f t="array" ref="O978">IFERROR(INDEX(EXCEPCIONES_FECHA!$F$2:$F$201,MATCH(1,(EXCEPCIONES_FECHA!$A$2:$A$201=$A978)*(EXCEPCIONES_FECHA!$B$2:$B$201=$B978),0)),IFERROR(INDEX(EXCEPCIONES_FECHA!$F$2:$F$201,MATCH(1,(EXCEPCIONES_FECHA!$A$2:$A$201=$A978)*(EXCEPCIONES_FECHA!$B$2:$B$201=""),0)),IFERROR(INDEX(IF($I978="FIN",HISTORIAL_HORARIOS!$L$2:$L$201,HISTORIAL_HORARIOS!$H$2:$H$201),MATCH(1,(HISTORIAL_HORARIOS!$A$2:$A$201=$B978)*(HISTORIAL_HORARIOS!$C$2:$C$201&lt;=$A978)*(HISTORIAL_HORARIOS!$D$2:$D$201&gt;=$A978),0)),INDEX(IF($I978="FIN",PERSONAL!$L$2:$L$80,PERSONAL!$H$2:$H$80),MATCH($B978,PERSONAL!$A$2:$A$80,0)))))</f>
        <v/>
      </c>
    </row>
    <row r="979" ht="15" customHeight="1" s="58">
      <c r="A979" s="40" t="n"/>
      <c r="B979" s="38" t="n"/>
      <c r="C979" s="40" t="n"/>
      <c r="D979" s="40" t="n"/>
      <c r="E979" s="34">
        <f t="array" ref="E979">IF($B979="","",IFERROR(INDEX(PERSONAL!$B$2:$B$80,MATCH($B979,PERSONAL!$A$2:$A$80,0)),"NO EXISTE"))</f>
        <v/>
      </c>
      <c r="F979" s="34">
        <f t="array" ref="F979">IF($B979="","",IFERROR(INDEX(PERSONAL!$C$2:$C$80,MATCH($B979,PERSONAL!$A$2:$A$80,0)),""))</f>
        <v/>
      </c>
      <c r="G979" s="34">
        <f>IF($A979="","",CHOOSE(WEEKDAY($A979,2),"LUNES","MARTES","MIÉRCOLES","JUEVES","VIERNES","SÁBADO","DOMINGO"))</f>
        <v/>
      </c>
      <c r="H979" s="34">
        <f>IF($A979="","",CHOOSE(MONTH($A979),"ENERO","FEBRERO","MARZO","ABRIL","MAYO","JUNIO","JULIO","AGOSTO","SEPTIEMBRE","OCTUBRE","NOVIEMBRE","DICIEMBRE"))</f>
        <v/>
      </c>
      <c r="I979" s="34">
        <f>IF($A979="","",IF(OR($G979="SÁBADO",$G979="DOMINGO"),"FIN","LV"))</f>
        <v/>
      </c>
      <c r="J979" s="34">
        <f>IF(OR($A979="",$B979=""),"",IF($L979&lt;&gt;"",UPPER($L979),IF($C979="","FALTA",IFERROR(IF($C979&gt;=$O979,"ROJO FUERTE",IF($C979&gt;=$N979,"ROJO",IF($C979&gt;=$M979,"AMARILLO","VERDE"))),"REVISAR"))))</f>
        <v/>
      </c>
      <c r="K979" s="36">
        <f>IF(OR($C979="",$D979=""),"",IF($D979&gt;=$C979,($D979-$C979)*24,(1-$C979+$D979)*24))</f>
        <v/>
      </c>
      <c r="L979" s="34" t="n"/>
      <c r="M979" s="53">
        <f t="array" ref="M979">IFERROR(INDEX(EXCEPCIONES_FECHA!$D$2:$D$201,MATCH(1,(EXCEPCIONES_FECHA!$A$2:$A$201=$A979)*(EXCEPCIONES_FECHA!$B$2:$B$201=$B979),0)),IFERROR(INDEX(EXCEPCIONES_FECHA!$D$2:$D$201,MATCH(1,(EXCEPCIONES_FECHA!$A$2:$A$201=$A979)*(EXCEPCIONES_FECHA!$B$2:$B$201=""),0)),IFERROR(INDEX(IF($I979="FIN",HISTORIAL_HORARIOS!$J$2:$J$201,HISTORIAL_HORARIOS!$F$2:$F$201),MATCH(1,(HISTORIAL_HORARIOS!$A$2:$A$201=$B979)*(HISTORIAL_HORARIOS!$C$2:$C$201&lt;=$A979)*(HISTORIAL_HORARIOS!$D$2:$D$201&gt;=$A979),0)),INDEX(IF($I979="FIN",PERSONAL!$J$2:$J$80,PERSONAL!$F$2:$F$80),MATCH($B979,PERSONAL!$A$2:$A$80,0)))))</f>
        <v/>
      </c>
      <c r="N979" s="53">
        <f t="array" ref="N979">IFERROR(INDEX(EXCEPCIONES_FECHA!$E$2:$E$201,MATCH(1,(EXCEPCIONES_FECHA!$A$2:$A$201=$A979)*(EXCEPCIONES_FECHA!$B$2:$B$201=$B979),0)),IFERROR(INDEX(EXCEPCIONES_FECHA!$E$2:$E$201,MATCH(1,(EXCEPCIONES_FECHA!$A$2:$A$201=$A979)*(EXCEPCIONES_FECHA!$B$2:$B$201=""),0)),IFERROR(INDEX(IF($I979="FIN",HISTORIAL_HORARIOS!$K$2:$K$201,HISTORIAL_HORARIOS!$G$2:$G$201),MATCH(1,(HISTORIAL_HORARIOS!$A$2:$A$201=$B979)*(HISTORIAL_HORARIOS!$C$2:$C$201&lt;=$A979)*(HISTORIAL_HORARIOS!$D$2:$D$201&gt;=$A979),0)),INDEX(IF($I979="FIN",PERSONAL!$K$2:$K$80,PERSONAL!$G$2:$G$80),MATCH($B979,PERSONAL!$A$2:$A$80,0)))))</f>
        <v/>
      </c>
      <c r="O979" s="53">
        <f t="array" ref="O979">IFERROR(INDEX(EXCEPCIONES_FECHA!$F$2:$F$201,MATCH(1,(EXCEPCIONES_FECHA!$A$2:$A$201=$A979)*(EXCEPCIONES_FECHA!$B$2:$B$201=$B979),0)),IFERROR(INDEX(EXCEPCIONES_FECHA!$F$2:$F$201,MATCH(1,(EXCEPCIONES_FECHA!$A$2:$A$201=$A979)*(EXCEPCIONES_FECHA!$B$2:$B$201=""),0)),IFERROR(INDEX(IF($I979="FIN",HISTORIAL_HORARIOS!$L$2:$L$201,HISTORIAL_HORARIOS!$H$2:$H$201),MATCH(1,(HISTORIAL_HORARIOS!$A$2:$A$201=$B979)*(HISTORIAL_HORARIOS!$C$2:$C$201&lt;=$A979)*(HISTORIAL_HORARIOS!$D$2:$D$201&gt;=$A979),0)),INDEX(IF($I979="FIN",PERSONAL!$L$2:$L$80,PERSONAL!$H$2:$H$80),MATCH($B979,PERSONAL!$A$2:$A$80,0)))))</f>
        <v/>
      </c>
    </row>
    <row r="980" ht="15" customHeight="1" s="58">
      <c r="A980" s="40" t="n"/>
      <c r="B980" s="38" t="n"/>
      <c r="C980" s="40" t="n"/>
      <c r="D980" s="40" t="n"/>
      <c r="E980" s="34">
        <f t="array" ref="E980">IF($B980="","",IFERROR(INDEX(PERSONAL!$B$2:$B$80,MATCH($B980,PERSONAL!$A$2:$A$80,0)),"NO EXISTE"))</f>
        <v/>
      </c>
      <c r="F980" s="34">
        <f t="array" ref="F980">IF($B980="","",IFERROR(INDEX(PERSONAL!$C$2:$C$80,MATCH($B980,PERSONAL!$A$2:$A$80,0)),""))</f>
        <v/>
      </c>
      <c r="G980" s="34">
        <f>IF($A980="","",CHOOSE(WEEKDAY($A980,2),"LUNES","MARTES","MIÉRCOLES","JUEVES","VIERNES","SÁBADO","DOMINGO"))</f>
        <v/>
      </c>
      <c r="H980" s="34">
        <f>IF($A980="","",CHOOSE(MONTH($A980),"ENERO","FEBRERO","MARZO","ABRIL","MAYO","JUNIO","JULIO","AGOSTO","SEPTIEMBRE","OCTUBRE","NOVIEMBRE","DICIEMBRE"))</f>
        <v/>
      </c>
      <c r="I980" s="34">
        <f>IF($A980="","",IF(OR($G980="SÁBADO",$G980="DOMINGO"),"FIN","LV"))</f>
        <v/>
      </c>
      <c r="J980" s="34">
        <f>IF(OR($A980="",$B980=""),"",IF($L980&lt;&gt;"",UPPER($L980),IF($C980="","FALTA",IFERROR(IF($C980&gt;=$O980,"ROJO FUERTE",IF($C980&gt;=$N980,"ROJO",IF($C980&gt;=$M980,"AMARILLO","VERDE"))),"REVISAR"))))</f>
        <v/>
      </c>
      <c r="K980" s="36">
        <f>IF(OR($C980="",$D980=""),"",IF($D980&gt;=$C980,($D980-$C980)*24,(1-$C980+$D980)*24))</f>
        <v/>
      </c>
      <c r="L980" s="34" t="n"/>
      <c r="M980" s="53">
        <f t="array" ref="M980">IFERROR(INDEX(EXCEPCIONES_FECHA!$D$2:$D$201,MATCH(1,(EXCEPCIONES_FECHA!$A$2:$A$201=$A980)*(EXCEPCIONES_FECHA!$B$2:$B$201=$B980),0)),IFERROR(INDEX(EXCEPCIONES_FECHA!$D$2:$D$201,MATCH(1,(EXCEPCIONES_FECHA!$A$2:$A$201=$A980)*(EXCEPCIONES_FECHA!$B$2:$B$201=""),0)),IFERROR(INDEX(IF($I980="FIN",HISTORIAL_HORARIOS!$J$2:$J$201,HISTORIAL_HORARIOS!$F$2:$F$201),MATCH(1,(HISTORIAL_HORARIOS!$A$2:$A$201=$B980)*(HISTORIAL_HORARIOS!$C$2:$C$201&lt;=$A980)*(HISTORIAL_HORARIOS!$D$2:$D$201&gt;=$A980),0)),INDEX(IF($I980="FIN",PERSONAL!$J$2:$J$80,PERSONAL!$F$2:$F$80),MATCH($B980,PERSONAL!$A$2:$A$80,0)))))</f>
        <v/>
      </c>
      <c r="N980" s="53">
        <f t="array" ref="N980">IFERROR(INDEX(EXCEPCIONES_FECHA!$E$2:$E$201,MATCH(1,(EXCEPCIONES_FECHA!$A$2:$A$201=$A980)*(EXCEPCIONES_FECHA!$B$2:$B$201=$B980),0)),IFERROR(INDEX(EXCEPCIONES_FECHA!$E$2:$E$201,MATCH(1,(EXCEPCIONES_FECHA!$A$2:$A$201=$A980)*(EXCEPCIONES_FECHA!$B$2:$B$201=""),0)),IFERROR(INDEX(IF($I980="FIN",HISTORIAL_HORARIOS!$K$2:$K$201,HISTORIAL_HORARIOS!$G$2:$G$201),MATCH(1,(HISTORIAL_HORARIOS!$A$2:$A$201=$B980)*(HISTORIAL_HORARIOS!$C$2:$C$201&lt;=$A980)*(HISTORIAL_HORARIOS!$D$2:$D$201&gt;=$A980),0)),INDEX(IF($I980="FIN",PERSONAL!$K$2:$K$80,PERSONAL!$G$2:$G$80),MATCH($B980,PERSONAL!$A$2:$A$80,0)))))</f>
        <v/>
      </c>
      <c r="O980" s="53">
        <f t="array" ref="O980">IFERROR(INDEX(EXCEPCIONES_FECHA!$F$2:$F$201,MATCH(1,(EXCEPCIONES_FECHA!$A$2:$A$201=$A980)*(EXCEPCIONES_FECHA!$B$2:$B$201=$B980),0)),IFERROR(INDEX(EXCEPCIONES_FECHA!$F$2:$F$201,MATCH(1,(EXCEPCIONES_FECHA!$A$2:$A$201=$A980)*(EXCEPCIONES_FECHA!$B$2:$B$201=""),0)),IFERROR(INDEX(IF($I980="FIN",HISTORIAL_HORARIOS!$L$2:$L$201,HISTORIAL_HORARIOS!$H$2:$H$201),MATCH(1,(HISTORIAL_HORARIOS!$A$2:$A$201=$B980)*(HISTORIAL_HORARIOS!$C$2:$C$201&lt;=$A980)*(HISTORIAL_HORARIOS!$D$2:$D$201&gt;=$A980),0)),INDEX(IF($I980="FIN",PERSONAL!$L$2:$L$80,PERSONAL!$H$2:$H$80),MATCH($B980,PERSONAL!$A$2:$A$80,0)))))</f>
        <v/>
      </c>
    </row>
    <row r="981" ht="15" customHeight="1" s="58">
      <c r="A981" s="40" t="n"/>
      <c r="B981" s="38" t="n"/>
      <c r="C981" s="40" t="n"/>
      <c r="D981" s="40" t="n"/>
      <c r="E981" s="34">
        <f t="array" ref="E981">IF($B981="","",IFERROR(INDEX(PERSONAL!$B$2:$B$80,MATCH($B981,PERSONAL!$A$2:$A$80,0)),"NO EXISTE"))</f>
        <v/>
      </c>
      <c r="F981" s="34">
        <f t="array" ref="F981">IF($B981="","",IFERROR(INDEX(PERSONAL!$C$2:$C$80,MATCH($B981,PERSONAL!$A$2:$A$80,0)),""))</f>
        <v/>
      </c>
      <c r="G981" s="34">
        <f>IF($A981="","",CHOOSE(WEEKDAY($A981,2),"LUNES","MARTES","MIÉRCOLES","JUEVES","VIERNES","SÁBADO","DOMINGO"))</f>
        <v/>
      </c>
      <c r="H981" s="34">
        <f>IF($A981="","",CHOOSE(MONTH($A981),"ENERO","FEBRERO","MARZO","ABRIL","MAYO","JUNIO","JULIO","AGOSTO","SEPTIEMBRE","OCTUBRE","NOVIEMBRE","DICIEMBRE"))</f>
        <v/>
      </c>
      <c r="I981" s="34">
        <f>IF($A981="","",IF(OR($G981="SÁBADO",$G981="DOMINGO"),"FIN","LV"))</f>
        <v/>
      </c>
      <c r="J981" s="34">
        <f>IF(OR($A981="",$B981=""),"",IF($L981&lt;&gt;"",UPPER($L981),IF($C981="","FALTA",IFERROR(IF($C981&gt;=$O981,"ROJO FUERTE",IF($C981&gt;=$N981,"ROJO",IF($C981&gt;=$M981,"AMARILLO","VERDE"))),"REVISAR"))))</f>
        <v/>
      </c>
      <c r="K981" s="36">
        <f>IF(OR($C981="",$D981=""),"",IF($D981&gt;=$C981,($D981-$C981)*24,(1-$C981+$D981)*24))</f>
        <v/>
      </c>
      <c r="L981" s="34" t="n"/>
      <c r="M981" s="53">
        <f t="array" ref="M981">IFERROR(INDEX(EXCEPCIONES_FECHA!$D$2:$D$201,MATCH(1,(EXCEPCIONES_FECHA!$A$2:$A$201=$A981)*(EXCEPCIONES_FECHA!$B$2:$B$201=$B981),0)),IFERROR(INDEX(EXCEPCIONES_FECHA!$D$2:$D$201,MATCH(1,(EXCEPCIONES_FECHA!$A$2:$A$201=$A981)*(EXCEPCIONES_FECHA!$B$2:$B$201=""),0)),IFERROR(INDEX(IF($I981="FIN",HISTORIAL_HORARIOS!$J$2:$J$201,HISTORIAL_HORARIOS!$F$2:$F$201),MATCH(1,(HISTORIAL_HORARIOS!$A$2:$A$201=$B981)*(HISTORIAL_HORARIOS!$C$2:$C$201&lt;=$A981)*(HISTORIAL_HORARIOS!$D$2:$D$201&gt;=$A981),0)),INDEX(IF($I981="FIN",PERSONAL!$J$2:$J$80,PERSONAL!$F$2:$F$80),MATCH($B981,PERSONAL!$A$2:$A$80,0)))))</f>
        <v/>
      </c>
      <c r="N981" s="53">
        <f t="array" ref="N981">IFERROR(INDEX(EXCEPCIONES_FECHA!$E$2:$E$201,MATCH(1,(EXCEPCIONES_FECHA!$A$2:$A$201=$A981)*(EXCEPCIONES_FECHA!$B$2:$B$201=$B981),0)),IFERROR(INDEX(EXCEPCIONES_FECHA!$E$2:$E$201,MATCH(1,(EXCEPCIONES_FECHA!$A$2:$A$201=$A981)*(EXCEPCIONES_FECHA!$B$2:$B$201=""),0)),IFERROR(INDEX(IF($I981="FIN",HISTORIAL_HORARIOS!$K$2:$K$201,HISTORIAL_HORARIOS!$G$2:$G$201),MATCH(1,(HISTORIAL_HORARIOS!$A$2:$A$201=$B981)*(HISTORIAL_HORARIOS!$C$2:$C$201&lt;=$A981)*(HISTORIAL_HORARIOS!$D$2:$D$201&gt;=$A981),0)),INDEX(IF($I981="FIN",PERSONAL!$K$2:$K$80,PERSONAL!$G$2:$G$80),MATCH($B981,PERSONAL!$A$2:$A$80,0)))))</f>
        <v/>
      </c>
      <c r="O981" s="53">
        <f t="array" ref="O981">IFERROR(INDEX(EXCEPCIONES_FECHA!$F$2:$F$201,MATCH(1,(EXCEPCIONES_FECHA!$A$2:$A$201=$A981)*(EXCEPCIONES_FECHA!$B$2:$B$201=$B981),0)),IFERROR(INDEX(EXCEPCIONES_FECHA!$F$2:$F$201,MATCH(1,(EXCEPCIONES_FECHA!$A$2:$A$201=$A981)*(EXCEPCIONES_FECHA!$B$2:$B$201=""),0)),IFERROR(INDEX(IF($I981="FIN",HISTORIAL_HORARIOS!$L$2:$L$201,HISTORIAL_HORARIOS!$H$2:$H$201),MATCH(1,(HISTORIAL_HORARIOS!$A$2:$A$201=$B981)*(HISTORIAL_HORARIOS!$C$2:$C$201&lt;=$A981)*(HISTORIAL_HORARIOS!$D$2:$D$201&gt;=$A981),0)),INDEX(IF($I981="FIN",PERSONAL!$L$2:$L$80,PERSONAL!$H$2:$H$80),MATCH($B981,PERSONAL!$A$2:$A$80,0)))))</f>
        <v/>
      </c>
    </row>
    <row r="982" ht="15" customHeight="1" s="58">
      <c r="A982" s="40" t="n"/>
      <c r="B982" s="38" t="n"/>
      <c r="C982" s="40" t="n"/>
      <c r="D982" s="40" t="n"/>
      <c r="E982" s="34">
        <f t="array" ref="E982">IF($B982="","",IFERROR(INDEX(PERSONAL!$B$2:$B$80,MATCH($B982,PERSONAL!$A$2:$A$80,0)),"NO EXISTE"))</f>
        <v/>
      </c>
      <c r="F982" s="34">
        <f t="array" ref="F982">IF($B982="","",IFERROR(INDEX(PERSONAL!$C$2:$C$80,MATCH($B982,PERSONAL!$A$2:$A$80,0)),""))</f>
        <v/>
      </c>
      <c r="G982" s="34">
        <f>IF($A982="","",CHOOSE(WEEKDAY($A982,2),"LUNES","MARTES","MIÉRCOLES","JUEVES","VIERNES","SÁBADO","DOMINGO"))</f>
        <v/>
      </c>
      <c r="H982" s="34">
        <f>IF($A982="","",CHOOSE(MONTH($A982),"ENERO","FEBRERO","MARZO","ABRIL","MAYO","JUNIO","JULIO","AGOSTO","SEPTIEMBRE","OCTUBRE","NOVIEMBRE","DICIEMBRE"))</f>
        <v/>
      </c>
      <c r="I982" s="34">
        <f>IF($A982="","",IF(OR($G982="SÁBADO",$G982="DOMINGO"),"FIN","LV"))</f>
        <v/>
      </c>
      <c r="J982" s="34">
        <f>IF(OR($A982="",$B982=""),"",IF($L982&lt;&gt;"",UPPER($L982),IF($C982="","FALTA",IFERROR(IF($C982&gt;=$O982,"ROJO FUERTE",IF($C982&gt;=$N982,"ROJO",IF($C982&gt;=$M982,"AMARILLO","VERDE"))),"REVISAR"))))</f>
        <v/>
      </c>
      <c r="K982" s="36">
        <f>IF(OR($C982="",$D982=""),"",IF($D982&gt;=$C982,($D982-$C982)*24,(1-$C982+$D982)*24))</f>
        <v/>
      </c>
      <c r="L982" s="34" t="n"/>
      <c r="M982" s="53">
        <f t="array" ref="M982">IFERROR(INDEX(EXCEPCIONES_FECHA!$D$2:$D$201,MATCH(1,(EXCEPCIONES_FECHA!$A$2:$A$201=$A982)*(EXCEPCIONES_FECHA!$B$2:$B$201=$B982),0)),IFERROR(INDEX(EXCEPCIONES_FECHA!$D$2:$D$201,MATCH(1,(EXCEPCIONES_FECHA!$A$2:$A$201=$A982)*(EXCEPCIONES_FECHA!$B$2:$B$201=""),0)),IFERROR(INDEX(IF($I982="FIN",HISTORIAL_HORARIOS!$J$2:$J$201,HISTORIAL_HORARIOS!$F$2:$F$201),MATCH(1,(HISTORIAL_HORARIOS!$A$2:$A$201=$B982)*(HISTORIAL_HORARIOS!$C$2:$C$201&lt;=$A982)*(HISTORIAL_HORARIOS!$D$2:$D$201&gt;=$A982),0)),INDEX(IF($I982="FIN",PERSONAL!$J$2:$J$80,PERSONAL!$F$2:$F$80),MATCH($B982,PERSONAL!$A$2:$A$80,0)))))</f>
        <v/>
      </c>
      <c r="N982" s="53">
        <f t="array" ref="N982">IFERROR(INDEX(EXCEPCIONES_FECHA!$E$2:$E$201,MATCH(1,(EXCEPCIONES_FECHA!$A$2:$A$201=$A982)*(EXCEPCIONES_FECHA!$B$2:$B$201=$B982),0)),IFERROR(INDEX(EXCEPCIONES_FECHA!$E$2:$E$201,MATCH(1,(EXCEPCIONES_FECHA!$A$2:$A$201=$A982)*(EXCEPCIONES_FECHA!$B$2:$B$201=""),0)),IFERROR(INDEX(IF($I982="FIN",HISTORIAL_HORARIOS!$K$2:$K$201,HISTORIAL_HORARIOS!$G$2:$G$201),MATCH(1,(HISTORIAL_HORARIOS!$A$2:$A$201=$B982)*(HISTORIAL_HORARIOS!$C$2:$C$201&lt;=$A982)*(HISTORIAL_HORARIOS!$D$2:$D$201&gt;=$A982),0)),INDEX(IF($I982="FIN",PERSONAL!$K$2:$K$80,PERSONAL!$G$2:$G$80),MATCH($B982,PERSONAL!$A$2:$A$80,0)))))</f>
        <v/>
      </c>
      <c r="O982" s="53">
        <f t="array" ref="O982">IFERROR(INDEX(EXCEPCIONES_FECHA!$F$2:$F$201,MATCH(1,(EXCEPCIONES_FECHA!$A$2:$A$201=$A982)*(EXCEPCIONES_FECHA!$B$2:$B$201=$B982),0)),IFERROR(INDEX(EXCEPCIONES_FECHA!$F$2:$F$201,MATCH(1,(EXCEPCIONES_FECHA!$A$2:$A$201=$A982)*(EXCEPCIONES_FECHA!$B$2:$B$201=""),0)),IFERROR(INDEX(IF($I982="FIN",HISTORIAL_HORARIOS!$L$2:$L$201,HISTORIAL_HORARIOS!$H$2:$H$201),MATCH(1,(HISTORIAL_HORARIOS!$A$2:$A$201=$B982)*(HISTORIAL_HORARIOS!$C$2:$C$201&lt;=$A982)*(HISTORIAL_HORARIOS!$D$2:$D$201&gt;=$A982),0)),INDEX(IF($I982="FIN",PERSONAL!$L$2:$L$80,PERSONAL!$H$2:$H$80),MATCH($B982,PERSONAL!$A$2:$A$80,0)))))</f>
        <v/>
      </c>
    </row>
    <row r="983" ht="15" customHeight="1" s="58">
      <c r="A983" s="40" t="n"/>
      <c r="B983" s="38" t="n"/>
      <c r="C983" s="40" t="n"/>
      <c r="D983" s="40" t="n"/>
      <c r="E983" s="34">
        <f t="array" ref="E983">IF($B983="","",IFERROR(INDEX(PERSONAL!$B$2:$B$80,MATCH($B983,PERSONAL!$A$2:$A$80,0)),"NO EXISTE"))</f>
        <v/>
      </c>
      <c r="F983" s="34">
        <f t="array" ref="F983">IF($B983="","",IFERROR(INDEX(PERSONAL!$C$2:$C$80,MATCH($B983,PERSONAL!$A$2:$A$80,0)),""))</f>
        <v/>
      </c>
      <c r="G983" s="34">
        <f>IF($A983="","",CHOOSE(WEEKDAY($A983,2),"LUNES","MARTES","MIÉRCOLES","JUEVES","VIERNES","SÁBADO","DOMINGO"))</f>
        <v/>
      </c>
      <c r="H983" s="34">
        <f>IF($A983="","",CHOOSE(MONTH($A983),"ENERO","FEBRERO","MARZO","ABRIL","MAYO","JUNIO","JULIO","AGOSTO","SEPTIEMBRE","OCTUBRE","NOVIEMBRE","DICIEMBRE"))</f>
        <v/>
      </c>
      <c r="I983" s="34">
        <f>IF($A983="","",IF(OR($G983="SÁBADO",$G983="DOMINGO"),"FIN","LV"))</f>
        <v/>
      </c>
      <c r="J983" s="34">
        <f>IF(OR($A983="",$B983=""),"",IF($L983&lt;&gt;"",UPPER($L983),IF($C983="","FALTA",IFERROR(IF($C983&gt;=$O983,"ROJO FUERTE",IF($C983&gt;=$N983,"ROJO",IF($C983&gt;=$M983,"AMARILLO","VERDE"))),"REVISAR"))))</f>
        <v/>
      </c>
      <c r="K983" s="36">
        <f>IF(OR($C983="",$D983=""),"",IF($D983&gt;=$C983,($D983-$C983)*24,(1-$C983+$D983)*24))</f>
        <v/>
      </c>
      <c r="L983" s="34" t="n"/>
      <c r="M983" s="53">
        <f t="array" ref="M983">IFERROR(INDEX(EXCEPCIONES_FECHA!$D$2:$D$201,MATCH(1,(EXCEPCIONES_FECHA!$A$2:$A$201=$A983)*(EXCEPCIONES_FECHA!$B$2:$B$201=$B983),0)),IFERROR(INDEX(EXCEPCIONES_FECHA!$D$2:$D$201,MATCH(1,(EXCEPCIONES_FECHA!$A$2:$A$201=$A983)*(EXCEPCIONES_FECHA!$B$2:$B$201=""),0)),IFERROR(INDEX(IF($I983="FIN",HISTORIAL_HORARIOS!$J$2:$J$201,HISTORIAL_HORARIOS!$F$2:$F$201),MATCH(1,(HISTORIAL_HORARIOS!$A$2:$A$201=$B983)*(HISTORIAL_HORARIOS!$C$2:$C$201&lt;=$A983)*(HISTORIAL_HORARIOS!$D$2:$D$201&gt;=$A983),0)),INDEX(IF($I983="FIN",PERSONAL!$J$2:$J$80,PERSONAL!$F$2:$F$80),MATCH($B983,PERSONAL!$A$2:$A$80,0)))))</f>
        <v/>
      </c>
      <c r="N983" s="53">
        <f t="array" ref="N983">IFERROR(INDEX(EXCEPCIONES_FECHA!$E$2:$E$201,MATCH(1,(EXCEPCIONES_FECHA!$A$2:$A$201=$A983)*(EXCEPCIONES_FECHA!$B$2:$B$201=$B983),0)),IFERROR(INDEX(EXCEPCIONES_FECHA!$E$2:$E$201,MATCH(1,(EXCEPCIONES_FECHA!$A$2:$A$201=$A983)*(EXCEPCIONES_FECHA!$B$2:$B$201=""),0)),IFERROR(INDEX(IF($I983="FIN",HISTORIAL_HORARIOS!$K$2:$K$201,HISTORIAL_HORARIOS!$G$2:$G$201),MATCH(1,(HISTORIAL_HORARIOS!$A$2:$A$201=$B983)*(HISTORIAL_HORARIOS!$C$2:$C$201&lt;=$A983)*(HISTORIAL_HORARIOS!$D$2:$D$201&gt;=$A983),0)),INDEX(IF($I983="FIN",PERSONAL!$K$2:$K$80,PERSONAL!$G$2:$G$80),MATCH($B983,PERSONAL!$A$2:$A$80,0)))))</f>
        <v/>
      </c>
      <c r="O983" s="53">
        <f t="array" ref="O983">IFERROR(INDEX(EXCEPCIONES_FECHA!$F$2:$F$201,MATCH(1,(EXCEPCIONES_FECHA!$A$2:$A$201=$A983)*(EXCEPCIONES_FECHA!$B$2:$B$201=$B983),0)),IFERROR(INDEX(EXCEPCIONES_FECHA!$F$2:$F$201,MATCH(1,(EXCEPCIONES_FECHA!$A$2:$A$201=$A983)*(EXCEPCIONES_FECHA!$B$2:$B$201=""),0)),IFERROR(INDEX(IF($I983="FIN",HISTORIAL_HORARIOS!$L$2:$L$201,HISTORIAL_HORARIOS!$H$2:$H$201),MATCH(1,(HISTORIAL_HORARIOS!$A$2:$A$201=$B983)*(HISTORIAL_HORARIOS!$C$2:$C$201&lt;=$A983)*(HISTORIAL_HORARIOS!$D$2:$D$201&gt;=$A983),0)),INDEX(IF($I983="FIN",PERSONAL!$L$2:$L$80,PERSONAL!$H$2:$H$80),MATCH($B983,PERSONAL!$A$2:$A$80,0)))))</f>
        <v/>
      </c>
    </row>
    <row r="984" ht="15" customHeight="1" s="58">
      <c r="A984" s="40" t="n"/>
      <c r="B984" s="38" t="n"/>
      <c r="C984" s="40" t="n"/>
      <c r="D984" s="40" t="n"/>
      <c r="E984" s="34">
        <f t="array" ref="E984">IF($B984="","",IFERROR(INDEX(PERSONAL!$B$2:$B$80,MATCH($B984,PERSONAL!$A$2:$A$80,0)),"NO EXISTE"))</f>
        <v/>
      </c>
      <c r="F984" s="34">
        <f t="array" ref="F984">IF($B984="","",IFERROR(INDEX(PERSONAL!$C$2:$C$80,MATCH($B984,PERSONAL!$A$2:$A$80,0)),""))</f>
        <v/>
      </c>
      <c r="G984" s="34">
        <f>IF($A984="","",CHOOSE(WEEKDAY($A984,2),"LUNES","MARTES","MIÉRCOLES","JUEVES","VIERNES","SÁBADO","DOMINGO"))</f>
        <v/>
      </c>
      <c r="H984" s="34">
        <f>IF($A984="","",CHOOSE(MONTH($A984),"ENERO","FEBRERO","MARZO","ABRIL","MAYO","JUNIO","JULIO","AGOSTO","SEPTIEMBRE","OCTUBRE","NOVIEMBRE","DICIEMBRE"))</f>
        <v/>
      </c>
      <c r="I984" s="34">
        <f>IF($A984="","",IF(OR($G984="SÁBADO",$G984="DOMINGO"),"FIN","LV"))</f>
        <v/>
      </c>
      <c r="J984" s="34">
        <f>IF(OR($A984="",$B984=""),"",IF($L984&lt;&gt;"",UPPER($L984),IF($C984="","FALTA",IFERROR(IF($C984&gt;=$O984,"ROJO FUERTE",IF($C984&gt;=$N984,"ROJO",IF($C984&gt;=$M984,"AMARILLO","VERDE"))),"REVISAR"))))</f>
        <v/>
      </c>
      <c r="K984" s="36">
        <f>IF(OR($C984="",$D984=""),"",IF($D984&gt;=$C984,($D984-$C984)*24,(1-$C984+$D984)*24))</f>
        <v/>
      </c>
      <c r="L984" s="34" t="n"/>
      <c r="M984" s="53">
        <f t="array" ref="M984">IFERROR(INDEX(EXCEPCIONES_FECHA!$D$2:$D$201,MATCH(1,(EXCEPCIONES_FECHA!$A$2:$A$201=$A984)*(EXCEPCIONES_FECHA!$B$2:$B$201=$B984),0)),IFERROR(INDEX(EXCEPCIONES_FECHA!$D$2:$D$201,MATCH(1,(EXCEPCIONES_FECHA!$A$2:$A$201=$A984)*(EXCEPCIONES_FECHA!$B$2:$B$201=""),0)),IFERROR(INDEX(IF($I984="FIN",HISTORIAL_HORARIOS!$J$2:$J$201,HISTORIAL_HORARIOS!$F$2:$F$201),MATCH(1,(HISTORIAL_HORARIOS!$A$2:$A$201=$B984)*(HISTORIAL_HORARIOS!$C$2:$C$201&lt;=$A984)*(HISTORIAL_HORARIOS!$D$2:$D$201&gt;=$A984),0)),INDEX(IF($I984="FIN",PERSONAL!$J$2:$J$80,PERSONAL!$F$2:$F$80),MATCH($B984,PERSONAL!$A$2:$A$80,0)))))</f>
        <v/>
      </c>
      <c r="N984" s="53">
        <f t="array" ref="N984">IFERROR(INDEX(EXCEPCIONES_FECHA!$E$2:$E$201,MATCH(1,(EXCEPCIONES_FECHA!$A$2:$A$201=$A984)*(EXCEPCIONES_FECHA!$B$2:$B$201=$B984),0)),IFERROR(INDEX(EXCEPCIONES_FECHA!$E$2:$E$201,MATCH(1,(EXCEPCIONES_FECHA!$A$2:$A$201=$A984)*(EXCEPCIONES_FECHA!$B$2:$B$201=""),0)),IFERROR(INDEX(IF($I984="FIN",HISTORIAL_HORARIOS!$K$2:$K$201,HISTORIAL_HORARIOS!$G$2:$G$201),MATCH(1,(HISTORIAL_HORARIOS!$A$2:$A$201=$B984)*(HISTORIAL_HORARIOS!$C$2:$C$201&lt;=$A984)*(HISTORIAL_HORARIOS!$D$2:$D$201&gt;=$A984),0)),INDEX(IF($I984="FIN",PERSONAL!$K$2:$K$80,PERSONAL!$G$2:$G$80),MATCH($B984,PERSONAL!$A$2:$A$80,0)))))</f>
        <v/>
      </c>
      <c r="O984" s="53">
        <f t="array" ref="O984">IFERROR(INDEX(EXCEPCIONES_FECHA!$F$2:$F$201,MATCH(1,(EXCEPCIONES_FECHA!$A$2:$A$201=$A984)*(EXCEPCIONES_FECHA!$B$2:$B$201=$B984),0)),IFERROR(INDEX(EXCEPCIONES_FECHA!$F$2:$F$201,MATCH(1,(EXCEPCIONES_FECHA!$A$2:$A$201=$A984)*(EXCEPCIONES_FECHA!$B$2:$B$201=""),0)),IFERROR(INDEX(IF($I984="FIN",HISTORIAL_HORARIOS!$L$2:$L$201,HISTORIAL_HORARIOS!$H$2:$H$201),MATCH(1,(HISTORIAL_HORARIOS!$A$2:$A$201=$B984)*(HISTORIAL_HORARIOS!$C$2:$C$201&lt;=$A984)*(HISTORIAL_HORARIOS!$D$2:$D$201&gt;=$A984),0)),INDEX(IF($I984="FIN",PERSONAL!$L$2:$L$80,PERSONAL!$H$2:$H$80),MATCH($B984,PERSONAL!$A$2:$A$80,0)))))</f>
        <v/>
      </c>
    </row>
    <row r="985" ht="15" customHeight="1" s="58">
      <c r="A985" s="40" t="n"/>
      <c r="B985" s="38" t="n"/>
      <c r="C985" s="40" t="n"/>
      <c r="D985" s="40" t="n"/>
      <c r="E985" s="34">
        <f t="array" ref="E985">IF($B985="","",IFERROR(INDEX(PERSONAL!$B$2:$B$80,MATCH($B985,PERSONAL!$A$2:$A$80,0)),"NO EXISTE"))</f>
        <v/>
      </c>
      <c r="F985" s="34">
        <f t="array" ref="F985">IF($B985="","",IFERROR(INDEX(PERSONAL!$C$2:$C$80,MATCH($B985,PERSONAL!$A$2:$A$80,0)),""))</f>
        <v/>
      </c>
      <c r="G985" s="34">
        <f>IF($A985="","",CHOOSE(WEEKDAY($A985,2),"LUNES","MARTES","MIÉRCOLES","JUEVES","VIERNES","SÁBADO","DOMINGO"))</f>
        <v/>
      </c>
      <c r="H985" s="34">
        <f>IF($A985="","",CHOOSE(MONTH($A985),"ENERO","FEBRERO","MARZO","ABRIL","MAYO","JUNIO","JULIO","AGOSTO","SEPTIEMBRE","OCTUBRE","NOVIEMBRE","DICIEMBRE"))</f>
        <v/>
      </c>
      <c r="I985" s="34">
        <f>IF($A985="","",IF(OR($G985="SÁBADO",$G985="DOMINGO"),"FIN","LV"))</f>
        <v/>
      </c>
      <c r="J985" s="34">
        <f>IF(OR($A985="",$B985=""),"",IF($L985&lt;&gt;"",UPPER($L985),IF($C985="","FALTA",IFERROR(IF($C985&gt;=$O985,"ROJO FUERTE",IF($C985&gt;=$N985,"ROJO",IF($C985&gt;=$M985,"AMARILLO","VERDE"))),"REVISAR"))))</f>
        <v/>
      </c>
      <c r="K985" s="36">
        <f>IF(OR($C985="",$D985=""),"",IF($D985&gt;=$C985,($D985-$C985)*24,(1-$C985+$D985)*24))</f>
        <v/>
      </c>
      <c r="L985" s="34" t="n"/>
      <c r="M985" s="53">
        <f t="array" ref="M985">IFERROR(INDEX(EXCEPCIONES_FECHA!$D$2:$D$201,MATCH(1,(EXCEPCIONES_FECHA!$A$2:$A$201=$A985)*(EXCEPCIONES_FECHA!$B$2:$B$201=$B985),0)),IFERROR(INDEX(EXCEPCIONES_FECHA!$D$2:$D$201,MATCH(1,(EXCEPCIONES_FECHA!$A$2:$A$201=$A985)*(EXCEPCIONES_FECHA!$B$2:$B$201=""),0)),IFERROR(INDEX(IF($I985="FIN",HISTORIAL_HORARIOS!$J$2:$J$201,HISTORIAL_HORARIOS!$F$2:$F$201),MATCH(1,(HISTORIAL_HORARIOS!$A$2:$A$201=$B985)*(HISTORIAL_HORARIOS!$C$2:$C$201&lt;=$A985)*(HISTORIAL_HORARIOS!$D$2:$D$201&gt;=$A985),0)),INDEX(IF($I985="FIN",PERSONAL!$J$2:$J$80,PERSONAL!$F$2:$F$80),MATCH($B985,PERSONAL!$A$2:$A$80,0)))))</f>
        <v/>
      </c>
      <c r="N985" s="53">
        <f t="array" ref="N985">IFERROR(INDEX(EXCEPCIONES_FECHA!$E$2:$E$201,MATCH(1,(EXCEPCIONES_FECHA!$A$2:$A$201=$A985)*(EXCEPCIONES_FECHA!$B$2:$B$201=$B985),0)),IFERROR(INDEX(EXCEPCIONES_FECHA!$E$2:$E$201,MATCH(1,(EXCEPCIONES_FECHA!$A$2:$A$201=$A985)*(EXCEPCIONES_FECHA!$B$2:$B$201=""),0)),IFERROR(INDEX(IF($I985="FIN",HISTORIAL_HORARIOS!$K$2:$K$201,HISTORIAL_HORARIOS!$G$2:$G$201),MATCH(1,(HISTORIAL_HORARIOS!$A$2:$A$201=$B985)*(HISTORIAL_HORARIOS!$C$2:$C$201&lt;=$A985)*(HISTORIAL_HORARIOS!$D$2:$D$201&gt;=$A985),0)),INDEX(IF($I985="FIN",PERSONAL!$K$2:$K$80,PERSONAL!$G$2:$G$80),MATCH($B985,PERSONAL!$A$2:$A$80,0)))))</f>
        <v/>
      </c>
      <c r="O985" s="53">
        <f t="array" ref="O985">IFERROR(INDEX(EXCEPCIONES_FECHA!$F$2:$F$201,MATCH(1,(EXCEPCIONES_FECHA!$A$2:$A$201=$A985)*(EXCEPCIONES_FECHA!$B$2:$B$201=$B985),0)),IFERROR(INDEX(EXCEPCIONES_FECHA!$F$2:$F$201,MATCH(1,(EXCEPCIONES_FECHA!$A$2:$A$201=$A985)*(EXCEPCIONES_FECHA!$B$2:$B$201=""),0)),IFERROR(INDEX(IF($I985="FIN",HISTORIAL_HORARIOS!$L$2:$L$201,HISTORIAL_HORARIOS!$H$2:$H$201),MATCH(1,(HISTORIAL_HORARIOS!$A$2:$A$201=$B985)*(HISTORIAL_HORARIOS!$C$2:$C$201&lt;=$A985)*(HISTORIAL_HORARIOS!$D$2:$D$201&gt;=$A985),0)),INDEX(IF($I985="FIN",PERSONAL!$L$2:$L$80,PERSONAL!$H$2:$H$80),MATCH($B985,PERSONAL!$A$2:$A$80,0)))))</f>
        <v/>
      </c>
    </row>
    <row r="986" ht="15" customHeight="1" s="58">
      <c r="A986" s="40" t="n"/>
      <c r="B986" s="38" t="n"/>
      <c r="C986" s="40" t="n"/>
      <c r="D986" s="40" t="n"/>
      <c r="E986" s="34">
        <f t="array" ref="E986">IF($B986="","",IFERROR(INDEX(PERSONAL!$B$2:$B$80,MATCH($B986,PERSONAL!$A$2:$A$80,0)),"NO EXISTE"))</f>
        <v/>
      </c>
      <c r="F986" s="34">
        <f t="array" ref="F986">IF($B986="","",IFERROR(INDEX(PERSONAL!$C$2:$C$80,MATCH($B986,PERSONAL!$A$2:$A$80,0)),""))</f>
        <v/>
      </c>
      <c r="G986" s="34">
        <f>IF($A986="","",CHOOSE(WEEKDAY($A986,2),"LUNES","MARTES","MIÉRCOLES","JUEVES","VIERNES","SÁBADO","DOMINGO"))</f>
        <v/>
      </c>
      <c r="H986" s="34">
        <f>IF($A986="","",CHOOSE(MONTH($A986),"ENERO","FEBRERO","MARZO","ABRIL","MAYO","JUNIO","JULIO","AGOSTO","SEPTIEMBRE","OCTUBRE","NOVIEMBRE","DICIEMBRE"))</f>
        <v/>
      </c>
      <c r="I986" s="34">
        <f>IF($A986="","",IF(OR($G986="SÁBADO",$G986="DOMINGO"),"FIN","LV"))</f>
        <v/>
      </c>
      <c r="J986" s="34">
        <f>IF(OR($A986="",$B986=""),"",IF($L986&lt;&gt;"",UPPER($L986),IF($C986="","FALTA",IFERROR(IF($C986&gt;=$O986,"ROJO FUERTE",IF($C986&gt;=$N986,"ROJO",IF($C986&gt;=$M986,"AMARILLO","VERDE"))),"REVISAR"))))</f>
        <v/>
      </c>
      <c r="K986" s="36">
        <f>IF(OR($C986="",$D986=""),"",IF($D986&gt;=$C986,($D986-$C986)*24,(1-$C986+$D986)*24))</f>
        <v/>
      </c>
      <c r="L986" s="34" t="n"/>
      <c r="M986" s="53">
        <f t="array" ref="M986">IFERROR(INDEX(EXCEPCIONES_FECHA!$D$2:$D$201,MATCH(1,(EXCEPCIONES_FECHA!$A$2:$A$201=$A986)*(EXCEPCIONES_FECHA!$B$2:$B$201=$B986),0)),IFERROR(INDEX(EXCEPCIONES_FECHA!$D$2:$D$201,MATCH(1,(EXCEPCIONES_FECHA!$A$2:$A$201=$A986)*(EXCEPCIONES_FECHA!$B$2:$B$201=""),0)),IFERROR(INDEX(IF($I986="FIN",HISTORIAL_HORARIOS!$J$2:$J$201,HISTORIAL_HORARIOS!$F$2:$F$201),MATCH(1,(HISTORIAL_HORARIOS!$A$2:$A$201=$B986)*(HISTORIAL_HORARIOS!$C$2:$C$201&lt;=$A986)*(HISTORIAL_HORARIOS!$D$2:$D$201&gt;=$A986),0)),INDEX(IF($I986="FIN",PERSONAL!$J$2:$J$80,PERSONAL!$F$2:$F$80),MATCH($B986,PERSONAL!$A$2:$A$80,0)))))</f>
        <v/>
      </c>
      <c r="N986" s="53">
        <f t="array" ref="N986">IFERROR(INDEX(EXCEPCIONES_FECHA!$E$2:$E$201,MATCH(1,(EXCEPCIONES_FECHA!$A$2:$A$201=$A986)*(EXCEPCIONES_FECHA!$B$2:$B$201=$B986),0)),IFERROR(INDEX(EXCEPCIONES_FECHA!$E$2:$E$201,MATCH(1,(EXCEPCIONES_FECHA!$A$2:$A$201=$A986)*(EXCEPCIONES_FECHA!$B$2:$B$201=""),0)),IFERROR(INDEX(IF($I986="FIN",HISTORIAL_HORARIOS!$K$2:$K$201,HISTORIAL_HORARIOS!$G$2:$G$201),MATCH(1,(HISTORIAL_HORARIOS!$A$2:$A$201=$B986)*(HISTORIAL_HORARIOS!$C$2:$C$201&lt;=$A986)*(HISTORIAL_HORARIOS!$D$2:$D$201&gt;=$A986),0)),INDEX(IF($I986="FIN",PERSONAL!$K$2:$K$80,PERSONAL!$G$2:$G$80),MATCH($B986,PERSONAL!$A$2:$A$80,0)))))</f>
        <v/>
      </c>
      <c r="O986" s="53">
        <f t="array" ref="O986">IFERROR(INDEX(EXCEPCIONES_FECHA!$F$2:$F$201,MATCH(1,(EXCEPCIONES_FECHA!$A$2:$A$201=$A986)*(EXCEPCIONES_FECHA!$B$2:$B$201=$B986),0)),IFERROR(INDEX(EXCEPCIONES_FECHA!$F$2:$F$201,MATCH(1,(EXCEPCIONES_FECHA!$A$2:$A$201=$A986)*(EXCEPCIONES_FECHA!$B$2:$B$201=""),0)),IFERROR(INDEX(IF($I986="FIN",HISTORIAL_HORARIOS!$L$2:$L$201,HISTORIAL_HORARIOS!$H$2:$H$201),MATCH(1,(HISTORIAL_HORARIOS!$A$2:$A$201=$B986)*(HISTORIAL_HORARIOS!$C$2:$C$201&lt;=$A986)*(HISTORIAL_HORARIOS!$D$2:$D$201&gt;=$A986),0)),INDEX(IF($I986="FIN",PERSONAL!$L$2:$L$80,PERSONAL!$H$2:$H$80),MATCH($B986,PERSONAL!$A$2:$A$80,0)))))</f>
        <v/>
      </c>
    </row>
    <row r="987" ht="15" customHeight="1" s="58">
      <c r="A987" s="40" t="n"/>
      <c r="B987" s="38" t="n"/>
      <c r="C987" s="40" t="n"/>
      <c r="D987" s="40" t="n"/>
      <c r="E987" s="34">
        <f t="array" ref="E987">IF($B987="","",IFERROR(INDEX(PERSONAL!$B$2:$B$80,MATCH($B987,PERSONAL!$A$2:$A$80,0)),"NO EXISTE"))</f>
        <v/>
      </c>
      <c r="F987" s="34">
        <f t="array" ref="F987">IF($B987="","",IFERROR(INDEX(PERSONAL!$C$2:$C$80,MATCH($B987,PERSONAL!$A$2:$A$80,0)),""))</f>
        <v/>
      </c>
      <c r="G987" s="34">
        <f>IF($A987="","",CHOOSE(WEEKDAY($A987,2),"LUNES","MARTES","MIÉRCOLES","JUEVES","VIERNES","SÁBADO","DOMINGO"))</f>
        <v/>
      </c>
      <c r="H987" s="34">
        <f>IF($A987="","",CHOOSE(MONTH($A987),"ENERO","FEBRERO","MARZO","ABRIL","MAYO","JUNIO","JULIO","AGOSTO","SEPTIEMBRE","OCTUBRE","NOVIEMBRE","DICIEMBRE"))</f>
        <v/>
      </c>
      <c r="I987" s="34">
        <f>IF($A987="","",IF(OR($G987="SÁBADO",$G987="DOMINGO"),"FIN","LV"))</f>
        <v/>
      </c>
      <c r="J987" s="34">
        <f>IF(OR($A987="",$B987=""),"",IF($L987&lt;&gt;"",UPPER($L987),IF($C987="","FALTA",IFERROR(IF($C987&gt;=$O987,"ROJO FUERTE",IF($C987&gt;=$N987,"ROJO",IF($C987&gt;=$M987,"AMARILLO","VERDE"))),"REVISAR"))))</f>
        <v/>
      </c>
      <c r="K987" s="36">
        <f>IF(OR($C987="",$D987=""),"",IF($D987&gt;=$C987,($D987-$C987)*24,(1-$C987+$D987)*24))</f>
        <v/>
      </c>
      <c r="L987" s="34" t="n"/>
      <c r="M987" s="53">
        <f t="array" ref="M987">IFERROR(INDEX(EXCEPCIONES_FECHA!$D$2:$D$201,MATCH(1,(EXCEPCIONES_FECHA!$A$2:$A$201=$A987)*(EXCEPCIONES_FECHA!$B$2:$B$201=$B987),0)),IFERROR(INDEX(EXCEPCIONES_FECHA!$D$2:$D$201,MATCH(1,(EXCEPCIONES_FECHA!$A$2:$A$201=$A987)*(EXCEPCIONES_FECHA!$B$2:$B$201=""),0)),IFERROR(INDEX(IF($I987="FIN",HISTORIAL_HORARIOS!$J$2:$J$201,HISTORIAL_HORARIOS!$F$2:$F$201),MATCH(1,(HISTORIAL_HORARIOS!$A$2:$A$201=$B987)*(HISTORIAL_HORARIOS!$C$2:$C$201&lt;=$A987)*(HISTORIAL_HORARIOS!$D$2:$D$201&gt;=$A987),0)),INDEX(IF($I987="FIN",PERSONAL!$J$2:$J$80,PERSONAL!$F$2:$F$80),MATCH($B987,PERSONAL!$A$2:$A$80,0)))))</f>
        <v/>
      </c>
      <c r="N987" s="53">
        <f t="array" ref="N987">IFERROR(INDEX(EXCEPCIONES_FECHA!$E$2:$E$201,MATCH(1,(EXCEPCIONES_FECHA!$A$2:$A$201=$A987)*(EXCEPCIONES_FECHA!$B$2:$B$201=$B987),0)),IFERROR(INDEX(EXCEPCIONES_FECHA!$E$2:$E$201,MATCH(1,(EXCEPCIONES_FECHA!$A$2:$A$201=$A987)*(EXCEPCIONES_FECHA!$B$2:$B$201=""),0)),IFERROR(INDEX(IF($I987="FIN",HISTORIAL_HORARIOS!$K$2:$K$201,HISTORIAL_HORARIOS!$G$2:$G$201),MATCH(1,(HISTORIAL_HORARIOS!$A$2:$A$201=$B987)*(HISTORIAL_HORARIOS!$C$2:$C$201&lt;=$A987)*(HISTORIAL_HORARIOS!$D$2:$D$201&gt;=$A987),0)),INDEX(IF($I987="FIN",PERSONAL!$K$2:$K$80,PERSONAL!$G$2:$G$80),MATCH($B987,PERSONAL!$A$2:$A$80,0)))))</f>
        <v/>
      </c>
      <c r="O987" s="53">
        <f t="array" ref="O987">IFERROR(INDEX(EXCEPCIONES_FECHA!$F$2:$F$201,MATCH(1,(EXCEPCIONES_FECHA!$A$2:$A$201=$A987)*(EXCEPCIONES_FECHA!$B$2:$B$201=$B987),0)),IFERROR(INDEX(EXCEPCIONES_FECHA!$F$2:$F$201,MATCH(1,(EXCEPCIONES_FECHA!$A$2:$A$201=$A987)*(EXCEPCIONES_FECHA!$B$2:$B$201=""),0)),IFERROR(INDEX(IF($I987="FIN",HISTORIAL_HORARIOS!$L$2:$L$201,HISTORIAL_HORARIOS!$H$2:$H$201),MATCH(1,(HISTORIAL_HORARIOS!$A$2:$A$201=$B987)*(HISTORIAL_HORARIOS!$C$2:$C$201&lt;=$A987)*(HISTORIAL_HORARIOS!$D$2:$D$201&gt;=$A987),0)),INDEX(IF($I987="FIN",PERSONAL!$L$2:$L$80,PERSONAL!$H$2:$H$80),MATCH($B987,PERSONAL!$A$2:$A$80,0)))))</f>
        <v/>
      </c>
    </row>
    <row r="988" ht="15" customHeight="1" s="58">
      <c r="A988" s="40" t="n"/>
      <c r="B988" s="38" t="n"/>
      <c r="C988" s="40" t="n"/>
      <c r="D988" s="40" t="n"/>
      <c r="E988" s="34">
        <f t="array" ref="E988">IF($B988="","",IFERROR(INDEX(PERSONAL!$B$2:$B$80,MATCH($B988,PERSONAL!$A$2:$A$80,0)),"NO EXISTE"))</f>
        <v/>
      </c>
      <c r="F988" s="34">
        <f t="array" ref="F988">IF($B988="","",IFERROR(INDEX(PERSONAL!$C$2:$C$80,MATCH($B988,PERSONAL!$A$2:$A$80,0)),""))</f>
        <v/>
      </c>
      <c r="G988" s="34">
        <f>IF($A988="","",CHOOSE(WEEKDAY($A988,2),"LUNES","MARTES","MIÉRCOLES","JUEVES","VIERNES","SÁBADO","DOMINGO"))</f>
        <v/>
      </c>
      <c r="H988" s="34">
        <f>IF($A988="","",CHOOSE(MONTH($A988),"ENERO","FEBRERO","MARZO","ABRIL","MAYO","JUNIO","JULIO","AGOSTO","SEPTIEMBRE","OCTUBRE","NOVIEMBRE","DICIEMBRE"))</f>
        <v/>
      </c>
      <c r="I988" s="34">
        <f>IF($A988="","",IF(OR($G988="SÁBADO",$G988="DOMINGO"),"FIN","LV"))</f>
        <v/>
      </c>
      <c r="J988" s="34">
        <f>IF(OR($A988="",$B988=""),"",IF($L988&lt;&gt;"",UPPER($L988),IF($C988="","FALTA",IFERROR(IF($C988&gt;=$O988,"ROJO FUERTE",IF($C988&gt;=$N988,"ROJO",IF($C988&gt;=$M988,"AMARILLO","VERDE"))),"REVISAR"))))</f>
        <v/>
      </c>
      <c r="K988" s="36">
        <f>IF(OR($C988="",$D988=""),"",IF($D988&gt;=$C988,($D988-$C988)*24,(1-$C988+$D988)*24))</f>
        <v/>
      </c>
      <c r="L988" s="34" t="n"/>
      <c r="M988" s="53">
        <f t="array" ref="M988">IFERROR(INDEX(EXCEPCIONES_FECHA!$D$2:$D$201,MATCH(1,(EXCEPCIONES_FECHA!$A$2:$A$201=$A988)*(EXCEPCIONES_FECHA!$B$2:$B$201=$B988),0)),IFERROR(INDEX(EXCEPCIONES_FECHA!$D$2:$D$201,MATCH(1,(EXCEPCIONES_FECHA!$A$2:$A$201=$A988)*(EXCEPCIONES_FECHA!$B$2:$B$201=""),0)),IFERROR(INDEX(IF($I988="FIN",HISTORIAL_HORARIOS!$J$2:$J$201,HISTORIAL_HORARIOS!$F$2:$F$201),MATCH(1,(HISTORIAL_HORARIOS!$A$2:$A$201=$B988)*(HISTORIAL_HORARIOS!$C$2:$C$201&lt;=$A988)*(HISTORIAL_HORARIOS!$D$2:$D$201&gt;=$A988),0)),INDEX(IF($I988="FIN",PERSONAL!$J$2:$J$80,PERSONAL!$F$2:$F$80),MATCH($B988,PERSONAL!$A$2:$A$80,0)))))</f>
        <v/>
      </c>
      <c r="N988" s="53">
        <f t="array" ref="N988">IFERROR(INDEX(EXCEPCIONES_FECHA!$E$2:$E$201,MATCH(1,(EXCEPCIONES_FECHA!$A$2:$A$201=$A988)*(EXCEPCIONES_FECHA!$B$2:$B$201=$B988),0)),IFERROR(INDEX(EXCEPCIONES_FECHA!$E$2:$E$201,MATCH(1,(EXCEPCIONES_FECHA!$A$2:$A$201=$A988)*(EXCEPCIONES_FECHA!$B$2:$B$201=""),0)),IFERROR(INDEX(IF($I988="FIN",HISTORIAL_HORARIOS!$K$2:$K$201,HISTORIAL_HORARIOS!$G$2:$G$201),MATCH(1,(HISTORIAL_HORARIOS!$A$2:$A$201=$B988)*(HISTORIAL_HORARIOS!$C$2:$C$201&lt;=$A988)*(HISTORIAL_HORARIOS!$D$2:$D$201&gt;=$A988),0)),INDEX(IF($I988="FIN",PERSONAL!$K$2:$K$80,PERSONAL!$G$2:$G$80),MATCH($B988,PERSONAL!$A$2:$A$80,0)))))</f>
        <v/>
      </c>
      <c r="O988" s="53">
        <f t="array" ref="O988">IFERROR(INDEX(EXCEPCIONES_FECHA!$F$2:$F$201,MATCH(1,(EXCEPCIONES_FECHA!$A$2:$A$201=$A988)*(EXCEPCIONES_FECHA!$B$2:$B$201=$B988),0)),IFERROR(INDEX(EXCEPCIONES_FECHA!$F$2:$F$201,MATCH(1,(EXCEPCIONES_FECHA!$A$2:$A$201=$A988)*(EXCEPCIONES_FECHA!$B$2:$B$201=""),0)),IFERROR(INDEX(IF($I988="FIN",HISTORIAL_HORARIOS!$L$2:$L$201,HISTORIAL_HORARIOS!$H$2:$H$201),MATCH(1,(HISTORIAL_HORARIOS!$A$2:$A$201=$B988)*(HISTORIAL_HORARIOS!$C$2:$C$201&lt;=$A988)*(HISTORIAL_HORARIOS!$D$2:$D$201&gt;=$A988),0)),INDEX(IF($I988="FIN",PERSONAL!$L$2:$L$80,PERSONAL!$H$2:$H$80),MATCH($B988,PERSONAL!$A$2:$A$80,0)))))</f>
        <v/>
      </c>
    </row>
    <row r="989" ht="15" customHeight="1" s="58">
      <c r="A989" s="40" t="n"/>
      <c r="B989" s="38" t="n"/>
      <c r="C989" s="40" t="n"/>
      <c r="D989" s="40" t="n"/>
      <c r="E989" s="34">
        <f t="array" ref="E989">IF($B989="","",IFERROR(INDEX(PERSONAL!$B$2:$B$80,MATCH($B989,PERSONAL!$A$2:$A$80,0)),"NO EXISTE"))</f>
        <v/>
      </c>
      <c r="F989" s="34">
        <f t="array" ref="F989">IF($B989="","",IFERROR(INDEX(PERSONAL!$C$2:$C$80,MATCH($B989,PERSONAL!$A$2:$A$80,0)),""))</f>
        <v/>
      </c>
      <c r="G989" s="34">
        <f>IF($A989="","",CHOOSE(WEEKDAY($A989,2),"LUNES","MARTES","MIÉRCOLES","JUEVES","VIERNES","SÁBADO","DOMINGO"))</f>
        <v/>
      </c>
      <c r="H989" s="34">
        <f>IF($A989="","",CHOOSE(MONTH($A989),"ENERO","FEBRERO","MARZO","ABRIL","MAYO","JUNIO","JULIO","AGOSTO","SEPTIEMBRE","OCTUBRE","NOVIEMBRE","DICIEMBRE"))</f>
        <v/>
      </c>
      <c r="I989" s="34">
        <f>IF($A989="","",IF(OR($G989="SÁBADO",$G989="DOMINGO"),"FIN","LV"))</f>
        <v/>
      </c>
      <c r="J989" s="34">
        <f>IF(OR($A989="",$B989=""),"",IF($L989&lt;&gt;"",UPPER($L989),IF($C989="","FALTA",IFERROR(IF($C989&gt;=$O989,"ROJO FUERTE",IF($C989&gt;=$N989,"ROJO",IF($C989&gt;=$M989,"AMARILLO","VERDE"))),"REVISAR"))))</f>
        <v/>
      </c>
      <c r="K989" s="36">
        <f>IF(OR($C989="",$D989=""),"",IF($D989&gt;=$C989,($D989-$C989)*24,(1-$C989+$D989)*24))</f>
        <v/>
      </c>
      <c r="L989" s="34" t="n"/>
      <c r="M989" s="53">
        <f t="array" ref="M989">IFERROR(INDEX(EXCEPCIONES_FECHA!$D$2:$D$201,MATCH(1,(EXCEPCIONES_FECHA!$A$2:$A$201=$A989)*(EXCEPCIONES_FECHA!$B$2:$B$201=$B989),0)),IFERROR(INDEX(EXCEPCIONES_FECHA!$D$2:$D$201,MATCH(1,(EXCEPCIONES_FECHA!$A$2:$A$201=$A989)*(EXCEPCIONES_FECHA!$B$2:$B$201=""),0)),IFERROR(INDEX(IF($I989="FIN",HISTORIAL_HORARIOS!$J$2:$J$201,HISTORIAL_HORARIOS!$F$2:$F$201),MATCH(1,(HISTORIAL_HORARIOS!$A$2:$A$201=$B989)*(HISTORIAL_HORARIOS!$C$2:$C$201&lt;=$A989)*(HISTORIAL_HORARIOS!$D$2:$D$201&gt;=$A989),0)),INDEX(IF($I989="FIN",PERSONAL!$J$2:$J$80,PERSONAL!$F$2:$F$80),MATCH($B989,PERSONAL!$A$2:$A$80,0)))))</f>
        <v/>
      </c>
      <c r="N989" s="53">
        <f t="array" ref="N989">IFERROR(INDEX(EXCEPCIONES_FECHA!$E$2:$E$201,MATCH(1,(EXCEPCIONES_FECHA!$A$2:$A$201=$A989)*(EXCEPCIONES_FECHA!$B$2:$B$201=$B989),0)),IFERROR(INDEX(EXCEPCIONES_FECHA!$E$2:$E$201,MATCH(1,(EXCEPCIONES_FECHA!$A$2:$A$201=$A989)*(EXCEPCIONES_FECHA!$B$2:$B$201=""),0)),IFERROR(INDEX(IF($I989="FIN",HISTORIAL_HORARIOS!$K$2:$K$201,HISTORIAL_HORARIOS!$G$2:$G$201),MATCH(1,(HISTORIAL_HORARIOS!$A$2:$A$201=$B989)*(HISTORIAL_HORARIOS!$C$2:$C$201&lt;=$A989)*(HISTORIAL_HORARIOS!$D$2:$D$201&gt;=$A989),0)),INDEX(IF($I989="FIN",PERSONAL!$K$2:$K$80,PERSONAL!$G$2:$G$80),MATCH($B989,PERSONAL!$A$2:$A$80,0)))))</f>
        <v/>
      </c>
      <c r="O989" s="53">
        <f t="array" ref="O989">IFERROR(INDEX(EXCEPCIONES_FECHA!$F$2:$F$201,MATCH(1,(EXCEPCIONES_FECHA!$A$2:$A$201=$A989)*(EXCEPCIONES_FECHA!$B$2:$B$201=$B989),0)),IFERROR(INDEX(EXCEPCIONES_FECHA!$F$2:$F$201,MATCH(1,(EXCEPCIONES_FECHA!$A$2:$A$201=$A989)*(EXCEPCIONES_FECHA!$B$2:$B$201=""),0)),IFERROR(INDEX(IF($I989="FIN",HISTORIAL_HORARIOS!$L$2:$L$201,HISTORIAL_HORARIOS!$H$2:$H$201),MATCH(1,(HISTORIAL_HORARIOS!$A$2:$A$201=$B989)*(HISTORIAL_HORARIOS!$C$2:$C$201&lt;=$A989)*(HISTORIAL_HORARIOS!$D$2:$D$201&gt;=$A989),0)),INDEX(IF($I989="FIN",PERSONAL!$L$2:$L$80,PERSONAL!$H$2:$H$80),MATCH($B989,PERSONAL!$A$2:$A$80,0)))))</f>
        <v/>
      </c>
    </row>
    <row r="990" ht="15" customHeight="1" s="58">
      <c r="A990" s="40" t="n"/>
      <c r="B990" s="38" t="n"/>
      <c r="C990" s="40" t="n"/>
      <c r="D990" s="40" t="n"/>
      <c r="E990" s="34">
        <f t="array" ref="E990">IF($B990="","",IFERROR(INDEX(PERSONAL!$B$2:$B$80,MATCH($B990,PERSONAL!$A$2:$A$80,0)),"NO EXISTE"))</f>
        <v/>
      </c>
      <c r="F990" s="34">
        <f t="array" ref="F990">IF($B990="","",IFERROR(INDEX(PERSONAL!$C$2:$C$80,MATCH($B990,PERSONAL!$A$2:$A$80,0)),""))</f>
        <v/>
      </c>
      <c r="G990" s="34">
        <f>IF($A990="","",CHOOSE(WEEKDAY($A990,2),"LUNES","MARTES","MIÉRCOLES","JUEVES","VIERNES","SÁBADO","DOMINGO"))</f>
        <v/>
      </c>
      <c r="H990" s="34">
        <f>IF($A990="","",CHOOSE(MONTH($A990),"ENERO","FEBRERO","MARZO","ABRIL","MAYO","JUNIO","JULIO","AGOSTO","SEPTIEMBRE","OCTUBRE","NOVIEMBRE","DICIEMBRE"))</f>
        <v/>
      </c>
      <c r="I990" s="34">
        <f>IF($A990="","",IF(OR($G990="SÁBADO",$G990="DOMINGO"),"FIN","LV"))</f>
        <v/>
      </c>
      <c r="J990" s="34">
        <f>IF(OR($A990="",$B990=""),"",IF($L990&lt;&gt;"",UPPER($L990),IF($C990="","FALTA",IFERROR(IF($C990&gt;=$O990,"ROJO FUERTE",IF($C990&gt;=$N990,"ROJO",IF($C990&gt;=$M990,"AMARILLO","VERDE"))),"REVISAR"))))</f>
        <v/>
      </c>
      <c r="K990" s="36">
        <f>IF(OR($C990="",$D990=""),"",IF($D990&gt;=$C990,($D990-$C990)*24,(1-$C990+$D990)*24))</f>
        <v/>
      </c>
      <c r="L990" s="34" t="n"/>
      <c r="M990" s="53">
        <f t="array" ref="M990">IFERROR(INDEX(EXCEPCIONES_FECHA!$D$2:$D$201,MATCH(1,(EXCEPCIONES_FECHA!$A$2:$A$201=$A990)*(EXCEPCIONES_FECHA!$B$2:$B$201=$B990),0)),IFERROR(INDEX(EXCEPCIONES_FECHA!$D$2:$D$201,MATCH(1,(EXCEPCIONES_FECHA!$A$2:$A$201=$A990)*(EXCEPCIONES_FECHA!$B$2:$B$201=""),0)),IFERROR(INDEX(IF($I990="FIN",HISTORIAL_HORARIOS!$J$2:$J$201,HISTORIAL_HORARIOS!$F$2:$F$201),MATCH(1,(HISTORIAL_HORARIOS!$A$2:$A$201=$B990)*(HISTORIAL_HORARIOS!$C$2:$C$201&lt;=$A990)*(HISTORIAL_HORARIOS!$D$2:$D$201&gt;=$A990),0)),INDEX(IF($I990="FIN",PERSONAL!$J$2:$J$80,PERSONAL!$F$2:$F$80),MATCH($B990,PERSONAL!$A$2:$A$80,0)))))</f>
        <v/>
      </c>
      <c r="N990" s="53">
        <f t="array" ref="N990">IFERROR(INDEX(EXCEPCIONES_FECHA!$E$2:$E$201,MATCH(1,(EXCEPCIONES_FECHA!$A$2:$A$201=$A990)*(EXCEPCIONES_FECHA!$B$2:$B$201=$B990),0)),IFERROR(INDEX(EXCEPCIONES_FECHA!$E$2:$E$201,MATCH(1,(EXCEPCIONES_FECHA!$A$2:$A$201=$A990)*(EXCEPCIONES_FECHA!$B$2:$B$201=""),0)),IFERROR(INDEX(IF($I990="FIN",HISTORIAL_HORARIOS!$K$2:$K$201,HISTORIAL_HORARIOS!$G$2:$G$201),MATCH(1,(HISTORIAL_HORARIOS!$A$2:$A$201=$B990)*(HISTORIAL_HORARIOS!$C$2:$C$201&lt;=$A990)*(HISTORIAL_HORARIOS!$D$2:$D$201&gt;=$A990),0)),INDEX(IF($I990="FIN",PERSONAL!$K$2:$K$80,PERSONAL!$G$2:$G$80),MATCH($B990,PERSONAL!$A$2:$A$80,0)))))</f>
        <v/>
      </c>
      <c r="O990" s="53">
        <f t="array" ref="O990">IFERROR(INDEX(EXCEPCIONES_FECHA!$F$2:$F$201,MATCH(1,(EXCEPCIONES_FECHA!$A$2:$A$201=$A990)*(EXCEPCIONES_FECHA!$B$2:$B$201=$B990),0)),IFERROR(INDEX(EXCEPCIONES_FECHA!$F$2:$F$201,MATCH(1,(EXCEPCIONES_FECHA!$A$2:$A$201=$A990)*(EXCEPCIONES_FECHA!$B$2:$B$201=""),0)),IFERROR(INDEX(IF($I990="FIN",HISTORIAL_HORARIOS!$L$2:$L$201,HISTORIAL_HORARIOS!$H$2:$H$201),MATCH(1,(HISTORIAL_HORARIOS!$A$2:$A$201=$B990)*(HISTORIAL_HORARIOS!$C$2:$C$201&lt;=$A990)*(HISTORIAL_HORARIOS!$D$2:$D$201&gt;=$A990),0)),INDEX(IF($I990="FIN",PERSONAL!$L$2:$L$80,PERSONAL!$H$2:$H$80),MATCH($B990,PERSONAL!$A$2:$A$80,0)))))</f>
        <v/>
      </c>
    </row>
    <row r="991" ht="15" customHeight="1" s="58">
      <c r="A991" s="40" t="n"/>
      <c r="B991" s="38" t="n"/>
      <c r="C991" s="40" t="n"/>
      <c r="D991" s="40" t="n"/>
      <c r="E991" s="34">
        <f t="array" ref="E991">IF($B991="","",IFERROR(INDEX(PERSONAL!$B$2:$B$80,MATCH($B991,PERSONAL!$A$2:$A$80,0)),"NO EXISTE"))</f>
        <v/>
      </c>
      <c r="F991" s="34">
        <f t="array" ref="F991">IF($B991="","",IFERROR(INDEX(PERSONAL!$C$2:$C$80,MATCH($B991,PERSONAL!$A$2:$A$80,0)),""))</f>
        <v/>
      </c>
      <c r="G991" s="34">
        <f>IF($A991="","",CHOOSE(WEEKDAY($A991,2),"LUNES","MARTES","MIÉRCOLES","JUEVES","VIERNES","SÁBADO","DOMINGO"))</f>
        <v/>
      </c>
      <c r="H991" s="34">
        <f>IF($A991="","",CHOOSE(MONTH($A991),"ENERO","FEBRERO","MARZO","ABRIL","MAYO","JUNIO","JULIO","AGOSTO","SEPTIEMBRE","OCTUBRE","NOVIEMBRE","DICIEMBRE"))</f>
        <v/>
      </c>
      <c r="I991" s="34">
        <f>IF($A991="","",IF(OR($G991="SÁBADO",$G991="DOMINGO"),"FIN","LV"))</f>
        <v/>
      </c>
      <c r="J991" s="34">
        <f>IF(OR($A991="",$B991=""),"",IF($L991&lt;&gt;"",UPPER($L991),IF($C991="","FALTA",IFERROR(IF($C991&gt;=$O991,"ROJO FUERTE",IF($C991&gt;=$N991,"ROJO",IF($C991&gt;=$M991,"AMARILLO","VERDE"))),"REVISAR"))))</f>
        <v/>
      </c>
      <c r="K991" s="36">
        <f>IF(OR($C991="",$D991=""),"",IF($D991&gt;=$C991,($D991-$C991)*24,(1-$C991+$D991)*24))</f>
        <v/>
      </c>
      <c r="L991" s="34" t="n"/>
      <c r="M991" s="53">
        <f t="array" ref="M991">IFERROR(INDEX(EXCEPCIONES_FECHA!$D$2:$D$201,MATCH(1,(EXCEPCIONES_FECHA!$A$2:$A$201=$A991)*(EXCEPCIONES_FECHA!$B$2:$B$201=$B991),0)),IFERROR(INDEX(EXCEPCIONES_FECHA!$D$2:$D$201,MATCH(1,(EXCEPCIONES_FECHA!$A$2:$A$201=$A991)*(EXCEPCIONES_FECHA!$B$2:$B$201=""),0)),IFERROR(INDEX(IF($I991="FIN",HISTORIAL_HORARIOS!$J$2:$J$201,HISTORIAL_HORARIOS!$F$2:$F$201),MATCH(1,(HISTORIAL_HORARIOS!$A$2:$A$201=$B991)*(HISTORIAL_HORARIOS!$C$2:$C$201&lt;=$A991)*(HISTORIAL_HORARIOS!$D$2:$D$201&gt;=$A991),0)),INDEX(IF($I991="FIN",PERSONAL!$J$2:$J$80,PERSONAL!$F$2:$F$80),MATCH($B991,PERSONAL!$A$2:$A$80,0)))))</f>
        <v/>
      </c>
      <c r="N991" s="53">
        <f t="array" ref="N991">IFERROR(INDEX(EXCEPCIONES_FECHA!$E$2:$E$201,MATCH(1,(EXCEPCIONES_FECHA!$A$2:$A$201=$A991)*(EXCEPCIONES_FECHA!$B$2:$B$201=$B991),0)),IFERROR(INDEX(EXCEPCIONES_FECHA!$E$2:$E$201,MATCH(1,(EXCEPCIONES_FECHA!$A$2:$A$201=$A991)*(EXCEPCIONES_FECHA!$B$2:$B$201=""),0)),IFERROR(INDEX(IF($I991="FIN",HISTORIAL_HORARIOS!$K$2:$K$201,HISTORIAL_HORARIOS!$G$2:$G$201),MATCH(1,(HISTORIAL_HORARIOS!$A$2:$A$201=$B991)*(HISTORIAL_HORARIOS!$C$2:$C$201&lt;=$A991)*(HISTORIAL_HORARIOS!$D$2:$D$201&gt;=$A991),0)),INDEX(IF($I991="FIN",PERSONAL!$K$2:$K$80,PERSONAL!$G$2:$G$80),MATCH($B991,PERSONAL!$A$2:$A$80,0)))))</f>
        <v/>
      </c>
      <c r="O991" s="53">
        <f t="array" ref="O991">IFERROR(INDEX(EXCEPCIONES_FECHA!$F$2:$F$201,MATCH(1,(EXCEPCIONES_FECHA!$A$2:$A$201=$A991)*(EXCEPCIONES_FECHA!$B$2:$B$201=$B991),0)),IFERROR(INDEX(EXCEPCIONES_FECHA!$F$2:$F$201,MATCH(1,(EXCEPCIONES_FECHA!$A$2:$A$201=$A991)*(EXCEPCIONES_FECHA!$B$2:$B$201=""),0)),IFERROR(INDEX(IF($I991="FIN",HISTORIAL_HORARIOS!$L$2:$L$201,HISTORIAL_HORARIOS!$H$2:$H$201),MATCH(1,(HISTORIAL_HORARIOS!$A$2:$A$201=$B991)*(HISTORIAL_HORARIOS!$C$2:$C$201&lt;=$A991)*(HISTORIAL_HORARIOS!$D$2:$D$201&gt;=$A991),0)),INDEX(IF($I991="FIN",PERSONAL!$L$2:$L$80,PERSONAL!$H$2:$H$80),MATCH($B991,PERSONAL!$A$2:$A$80,0)))))</f>
        <v/>
      </c>
    </row>
    <row r="992" ht="15" customHeight="1" s="58">
      <c r="A992" s="40" t="n"/>
      <c r="B992" s="38" t="n"/>
      <c r="C992" s="40" t="n"/>
      <c r="D992" s="40" t="n"/>
      <c r="E992" s="34">
        <f t="array" ref="E992">IF($B992="","",IFERROR(INDEX(PERSONAL!$B$2:$B$80,MATCH($B992,PERSONAL!$A$2:$A$80,0)),"NO EXISTE"))</f>
        <v/>
      </c>
      <c r="F992" s="34">
        <f t="array" ref="F992">IF($B992="","",IFERROR(INDEX(PERSONAL!$C$2:$C$80,MATCH($B992,PERSONAL!$A$2:$A$80,0)),""))</f>
        <v/>
      </c>
      <c r="G992" s="34">
        <f>IF($A992="","",CHOOSE(WEEKDAY($A992,2),"LUNES","MARTES","MIÉRCOLES","JUEVES","VIERNES","SÁBADO","DOMINGO"))</f>
        <v/>
      </c>
      <c r="H992" s="34">
        <f>IF($A992="","",CHOOSE(MONTH($A992),"ENERO","FEBRERO","MARZO","ABRIL","MAYO","JUNIO","JULIO","AGOSTO","SEPTIEMBRE","OCTUBRE","NOVIEMBRE","DICIEMBRE"))</f>
        <v/>
      </c>
      <c r="I992" s="34">
        <f>IF($A992="","",IF(OR($G992="SÁBADO",$G992="DOMINGO"),"FIN","LV"))</f>
        <v/>
      </c>
      <c r="J992" s="34">
        <f>IF(OR($A992="",$B992=""),"",IF($L992&lt;&gt;"",UPPER($L992),IF($C992="","FALTA",IFERROR(IF($C992&gt;=$O992,"ROJO FUERTE",IF($C992&gt;=$N992,"ROJO",IF($C992&gt;=$M992,"AMARILLO","VERDE"))),"REVISAR"))))</f>
        <v/>
      </c>
      <c r="K992" s="36">
        <f>IF(OR($C992="",$D992=""),"",IF($D992&gt;=$C992,($D992-$C992)*24,(1-$C992+$D992)*24))</f>
        <v/>
      </c>
      <c r="L992" s="34" t="n"/>
      <c r="M992" s="53">
        <f t="array" ref="M992">IFERROR(INDEX(EXCEPCIONES_FECHA!$D$2:$D$201,MATCH(1,(EXCEPCIONES_FECHA!$A$2:$A$201=$A992)*(EXCEPCIONES_FECHA!$B$2:$B$201=$B992),0)),IFERROR(INDEX(EXCEPCIONES_FECHA!$D$2:$D$201,MATCH(1,(EXCEPCIONES_FECHA!$A$2:$A$201=$A992)*(EXCEPCIONES_FECHA!$B$2:$B$201=""),0)),IFERROR(INDEX(IF($I992="FIN",HISTORIAL_HORARIOS!$J$2:$J$201,HISTORIAL_HORARIOS!$F$2:$F$201),MATCH(1,(HISTORIAL_HORARIOS!$A$2:$A$201=$B992)*(HISTORIAL_HORARIOS!$C$2:$C$201&lt;=$A992)*(HISTORIAL_HORARIOS!$D$2:$D$201&gt;=$A992),0)),INDEX(IF($I992="FIN",PERSONAL!$J$2:$J$80,PERSONAL!$F$2:$F$80),MATCH($B992,PERSONAL!$A$2:$A$80,0)))))</f>
        <v/>
      </c>
      <c r="N992" s="53">
        <f t="array" ref="N992">IFERROR(INDEX(EXCEPCIONES_FECHA!$E$2:$E$201,MATCH(1,(EXCEPCIONES_FECHA!$A$2:$A$201=$A992)*(EXCEPCIONES_FECHA!$B$2:$B$201=$B992),0)),IFERROR(INDEX(EXCEPCIONES_FECHA!$E$2:$E$201,MATCH(1,(EXCEPCIONES_FECHA!$A$2:$A$201=$A992)*(EXCEPCIONES_FECHA!$B$2:$B$201=""),0)),IFERROR(INDEX(IF($I992="FIN",HISTORIAL_HORARIOS!$K$2:$K$201,HISTORIAL_HORARIOS!$G$2:$G$201),MATCH(1,(HISTORIAL_HORARIOS!$A$2:$A$201=$B992)*(HISTORIAL_HORARIOS!$C$2:$C$201&lt;=$A992)*(HISTORIAL_HORARIOS!$D$2:$D$201&gt;=$A992),0)),INDEX(IF($I992="FIN",PERSONAL!$K$2:$K$80,PERSONAL!$G$2:$G$80),MATCH($B992,PERSONAL!$A$2:$A$80,0)))))</f>
        <v/>
      </c>
      <c r="O992" s="53">
        <f t="array" ref="O992">IFERROR(INDEX(EXCEPCIONES_FECHA!$F$2:$F$201,MATCH(1,(EXCEPCIONES_FECHA!$A$2:$A$201=$A992)*(EXCEPCIONES_FECHA!$B$2:$B$201=$B992),0)),IFERROR(INDEX(EXCEPCIONES_FECHA!$F$2:$F$201,MATCH(1,(EXCEPCIONES_FECHA!$A$2:$A$201=$A992)*(EXCEPCIONES_FECHA!$B$2:$B$201=""),0)),IFERROR(INDEX(IF($I992="FIN",HISTORIAL_HORARIOS!$L$2:$L$201,HISTORIAL_HORARIOS!$H$2:$H$201),MATCH(1,(HISTORIAL_HORARIOS!$A$2:$A$201=$B992)*(HISTORIAL_HORARIOS!$C$2:$C$201&lt;=$A992)*(HISTORIAL_HORARIOS!$D$2:$D$201&gt;=$A992),0)),INDEX(IF($I992="FIN",PERSONAL!$L$2:$L$80,PERSONAL!$H$2:$H$80),MATCH($B992,PERSONAL!$A$2:$A$80,0)))))</f>
        <v/>
      </c>
    </row>
    <row r="993" ht="15" customHeight="1" s="58">
      <c r="A993" s="40" t="n"/>
      <c r="B993" s="38" t="n"/>
      <c r="C993" s="40" t="n"/>
      <c r="D993" s="40" t="n"/>
      <c r="E993" s="34">
        <f t="array" ref="E993">IF($B993="","",IFERROR(INDEX(PERSONAL!$B$2:$B$80,MATCH($B993,PERSONAL!$A$2:$A$80,0)),"NO EXISTE"))</f>
        <v/>
      </c>
      <c r="F993" s="34">
        <f t="array" ref="F993">IF($B993="","",IFERROR(INDEX(PERSONAL!$C$2:$C$80,MATCH($B993,PERSONAL!$A$2:$A$80,0)),""))</f>
        <v/>
      </c>
      <c r="G993" s="34">
        <f>IF($A993="","",CHOOSE(WEEKDAY($A993,2),"LUNES","MARTES","MIÉRCOLES","JUEVES","VIERNES","SÁBADO","DOMINGO"))</f>
        <v/>
      </c>
      <c r="H993" s="34">
        <f>IF($A993="","",CHOOSE(MONTH($A993),"ENERO","FEBRERO","MARZO","ABRIL","MAYO","JUNIO","JULIO","AGOSTO","SEPTIEMBRE","OCTUBRE","NOVIEMBRE","DICIEMBRE"))</f>
        <v/>
      </c>
      <c r="I993" s="34">
        <f>IF($A993="","",IF(OR($G993="SÁBADO",$G993="DOMINGO"),"FIN","LV"))</f>
        <v/>
      </c>
      <c r="J993" s="34">
        <f>IF(OR($A993="",$B993=""),"",IF($L993&lt;&gt;"",UPPER($L993),IF($C993="","FALTA",IFERROR(IF($C993&gt;=$O993,"ROJO FUERTE",IF($C993&gt;=$N993,"ROJO",IF($C993&gt;=$M993,"AMARILLO","VERDE"))),"REVISAR"))))</f>
        <v/>
      </c>
      <c r="K993" s="36">
        <f>IF(OR($C993="",$D993=""),"",IF($D993&gt;=$C993,($D993-$C993)*24,(1-$C993+$D993)*24))</f>
        <v/>
      </c>
      <c r="L993" s="34" t="n"/>
      <c r="M993" s="53">
        <f t="array" ref="M993">IFERROR(INDEX(EXCEPCIONES_FECHA!$D$2:$D$201,MATCH(1,(EXCEPCIONES_FECHA!$A$2:$A$201=$A993)*(EXCEPCIONES_FECHA!$B$2:$B$201=$B993),0)),IFERROR(INDEX(EXCEPCIONES_FECHA!$D$2:$D$201,MATCH(1,(EXCEPCIONES_FECHA!$A$2:$A$201=$A993)*(EXCEPCIONES_FECHA!$B$2:$B$201=""),0)),IFERROR(INDEX(IF($I993="FIN",HISTORIAL_HORARIOS!$J$2:$J$201,HISTORIAL_HORARIOS!$F$2:$F$201),MATCH(1,(HISTORIAL_HORARIOS!$A$2:$A$201=$B993)*(HISTORIAL_HORARIOS!$C$2:$C$201&lt;=$A993)*(HISTORIAL_HORARIOS!$D$2:$D$201&gt;=$A993),0)),INDEX(IF($I993="FIN",PERSONAL!$J$2:$J$80,PERSONAL!$F$2:$F$80),MATCH($B993,PERSONAL!$A$2:$A$80,0)))))</f>
        <v/>
      </c>
      <c r="N993" s="53">
        <f t="array" ref="N993">IFERROR(INDEX(EXCEPCIONES_FECHA!$E$2:$E$201,MATCH(1,(EXCEPCIONES_FECHA!$A$2:$A$201=$A993)*(EXCEPCIONES_FECHA!$B$2:$B$201=$B993),0)),IFERROR(INDEX(EXCEPCIONES_FECHA!$E$2:$E$201,MATCH(1,(EXCEPCIONES_FECHA!$A$2:$A$201=$A993)*(EXCEPCIONES_FECHA!$B$2:$B$201=""),0)),IFERROR(INDEX(IF($I993="FIN",HISTORIAL_HORARIOS!$K$2:$K$201,HISTORIAL_HORARIOS!$G$2:$G$201),MATCH(1,(HISTORIAL_HORARIOS!$A$2:$A$201=$B993)*(HISTORIAL_HORARIOS!$C$2:$C$201&lt;=$A993)*(HISTORIAL_HORARIOS!$D$2:$D$201&gt;=$A993),0)),INDEX(IF($I993="FIN",PERSONAL!$K$2:$K$80,PERSONAL!$G$2:$G$80),MATCH($B993,PERSONAL!$A$2:$A$80,0)))))</f>
        <v/>
      </c>
      <c r="O993" s="53">
        <f t="array" ref="O993">IFERROR(INDEX(EXCEPCIONES_FECHA!$F$2:$F$201,MATCH(1,(EXCEPCIONES_FECHA!$A$2:$A$201=$A993)*(EXCEPCIONES_FECHA!$B$2:$B$201=$B993),0)),IFERROR(INDEX(EXCEPCIONES_FECHA!$F$2:$F$201,MATCH(1,(EXCEPCIONES_FECHA!$A$2:$A$201=$A993)*(EXCEPCIONES_FECHA!$B$2:$B$201=""),0)),IFERROR(INDEX(IF($I993="FIN",HISTORIAL_HORARIOS!$L$2:$L$201,HISTORIAL_HORARIOS!$H$2:$H$201),MATCH(1,(HISTORIAL_HORARIOS!$A$2:$A$201=$B993)*(HISTORIAL_HORARIOS!$C$2:$C$201&lt;=$A993)*(HISTORIAL_HORARIOS!$D$2:$D$201&gt;=$A993),0)),INDEX(IF($I993="FIN",PERSONAL!$L$2:$L$80,PERSONAL!$H$2:$H$80),MATCH($B993,PERSONAL!$A$2:$A$80,0)))))</f>
        <v/>
      </c>
    </row>
    <row r="994" ht="15" customHeight="1" s="58">
      <c r="A994" s="40" t="n"/>
      <c r="B994" s="38" t="n"/>
      <c r="C994" s="40" t="n"/>
      <c r="D994" s="40" t="n"/>
      <c r="E994" s="34">
        <f t="array" ref="E994">IF($B994="","",IFERROR(INDEX(PERSONAL!$B$2:$B$80,MATCH($B994,PERSONAL!$A$2:$A$80,0)),"NO EXISTE"))</f>
        <v/>
      </c>
      <c r="F994" s="34">
        <f t="array" ref="F994">IF($B994="","",IFERROR(INDEX(PERSONAL!$C$2:$C$80,MATCH($B994,PERSONAL!$A$2:$A$80,0)),""))</f>
        <v/>
      </c>
      <c r="G994" s="34">
        <f>IF($A994="","",CHOOSE(WEEKDAY($A994,2),"LUNES","MARTES","MIÉRCOLES","JUEVES","VIERNES","SÁBADO","DOMINGO"))</f>
        <v/>
      </c>
      <c r="H994" s="34">
        <f>IF($A994="","",CHOOSE(MONTH($A994),"ENERO","FEBRERO","MARZO","ABRIL","MAYO","JUNIO","JULIO","AGOSTO","SEPTIEMBRE","OCTUBRE","NOVIEMBRE","DICIEMBRE"))</f>
        <v/>
      </c>
      <c r="I994" s="34">
        <f>IF($A994="","",IF(OR($G994="SÁBADO",$G994="DOMINGO"),"FIN","LV"))</f>
        <v/>
      </c>
      <c r="J994" s="34">
        <f>IF(OR($A994="",$B994=""),"",IF($L994&lt;&gt;"",UPPER($L994),IF($C994="","FALTA",IFERROR(IF($C994&gt;=$O994,"ROJO FUERTE",IF($C994&gt;=$N994,"ROJO",IF($C994&gt;=$M994,"AMARILLO","VERDE"))),"REVISAR"))))</f>
        <v/>
      </c>
      <c r="K994" s="36">
        <f>IF(OR($C994="",$D994=""),"",IF($D994&gt;=$C994,($D994-$C994)*24,(1-$C994+$D994)*24))</f>
        <v/>
      </c>
      <c r="L994" s="34" t="n"/>
      <c r="M994" s="53">
        <f t="array" ref="M994">IFERROR(INDEX(EXCEPCIONES_FECHA!$D$2:$D$201,MATCH(1,(EXCEPCIONES_FECHA!$A$2:$A$201=$A994)*(EXCEPCIONES_FECHA!$B$2:$B$201=$B994),0)),IFERROR(INDEX(EXCEPCIONES_FECHA!$D$2:$D$201,MATCH(1,(EXCEPCIONES_FECHA!$A$2:$A$201=$A994)*(EXCEPCIONES_FECHA!$B$2:$B$201=""),0)),IFERROR(INDEX(IF($I994="FIN",HISTORIAL_HORARIOS!$J$2:$J$201,HISTORIAL_HORARIOS!$F$2:$F$201),MATCH(1,(HISTORIAL_HORARIOS!$A$2:$A$201=$B994)*(HISTORIAL_HORARIOS!$C$2:$C$201&lt;=$A994)*(HISTORIAL_HORARIOS!$D$2:$D$201&gt;=$A994),0)),INDEX(IF($I994="FIN",PERSONAL!$J$2:$J$80,PERSONAL!$F$2:$F$80),MATCH($B994,PERSONAL!$A$2:$A$80,0)))))</f>
        <v/>
      </c>
      <c r="N994" s="53">
        <f t="array" ref="N994">IFERROR(INDEX(EXCEPCIONES_FECHA!$E$2:$E$201,MATCH(1,(EXCEPCIONES_FECHA!$A$2:$A$201=$A994)*(EXCEPCIONES_FECHA!$B$2:$B$201=$B994),0)),IFERROR(INDEX(EXCEPCIONES_FECHA!$E$2:$E$201,MATCH(1,(EXCEPCIONES_FECHA!$A$2:$A$201=$A994)*(EXCEPCIONES_FECHA!$B$2:$B$201=""),0)),IFERROR(INDEX(IF($I994="FIN",HISTORIAL_HORARIOS!$K$2:$K$201,HISTORIAL_HORARIOS!$G$2:$G$201),MATCH(1,(HISTORIAL_HORARIOS!$A$2:$A$201=$B994)*(HISTORIAL_HORARIOS!$C$2:$C$201&lt;=$A994)*(HISTORIAL_HORARIOS!$D$2:$D$201&gt;=$A994),0)),INDEX(IF($I994="FIN",PERSONAL!$K$2:$K$80,PERSONAL!$G$2:$G$80),MATCH($B994,PERSONAL!$A$2:$A$80,0)))))</f>
        <v/>
      </c>
      <c r="O994" s="53">
        <f t="array" ref="O994">IFERROR(INDEX(EXCEPCIONES_FECHA!$F$2:$F$201,MATCH(1,(EXCEPCIONES_FECHA!$A$2:$A$201=$A994)*(EXCEPCIONES_FECHA!$B$2:$B$201=$B994),0)),IFERROR(INDEX(EXCEPCIONES_FECHA!$F$2:$F$201,MATCH(1,(EXCEPCIONES_FECHA!$A$2:$A$201=$A994)*(EXCEPCIONES_FECHA!$B$2:$B$201=""),0)),IFERROR(INDEX(IF($I994="FIN",HISTORIAL_HORARIOS!$L$2:$L$201,HISTORIAL_HORARIOS!$H$2:$H$201),MATCH(1,(HISTORIAL_HORARIOS!$A$2:$A$201=$B994)*(HISTORIAL_HORARIOS!$C$2:$C$201&lt;=$A994)*(HISTORIAL_HORARIOS!$D$2:$D$201&gt;=$A994),0)),INDEX(IF($I994="FIN",PERSONAL!$L$2:$L$80,PERSONAL!$H$2:$H$80),MATCH($B994,PERSONAL!$A$2:$A$80,0)))))</f>
        <v/>
      </c>
    </row>
    <row r="995" ht="15" customHeight="1" s="58">
      <c r="A995" s="40" t="n"/>
      <c r="B995" s="38" t="n"/>
      <c r="C995" s="40" t="n"/>
      <c r="D995" s="40" t="n"/>
      <c r="E995" s="34">
        <f t="array" ref="E995">IF($B995="","",IFERROR(INDEX(PERSONAL!$B$2:$B$80,MATCH($B995,PERSONAL!$A$2:$A$80,0)),"NO EXISTE"))</f>
        <v/>
      </c>
      <c r="F995" s="34">
        <f t="array" ref="F995">IF($B995="","",IFERROR(INDEX(PERSONAL!$C$2:$C$80,MATCH($B995,PERSONAL!$A$2:$A$80,0)),""))</f>
        <v/>
      </c>
      <c r="G995" s="34">
        <f>IF($A995="","",CHOOSE(WEEKDAY($A995,2),"LUNES","MARTES","MIÉRCOLES","JUEVES","VIERNES","SÁBADO","DOMINGO"))</f>
        <v/>
      </c>
      <c r="H995" s="34">
        <f>IF($A995="","",CHOOSE(MONTH($A995),"ENERO","FEBRERO","MARZO","ABRIL","MAYO","JUNIO","JULIO","AGOSTO","SEPTIEMBRE","OCTUBRE","NOVIEMBRE","DICIEMBRE"))</f>
        <v/>
      </c>
      <c r="I995" s="34">
        <f>IF($A995="","",IF(OR($G995="SÁBADO",$G995="DOMINGO"),"FIN","LV"))</f>
        <v/>
      </c>
      <c r="J995" s="34">
        <f>IF(OR($A995="",$B995=""),"",IF($L995&lt;&gt;"",UPPER($L995),IF($C995="","FALTA",IFERROR(IF($C995&gt;=$O995,"ROJO FUERTE",IF($C995&gt;=$N995,"ROJO",IF($C995&gt;=$M995,"AMARILLO","VERDE"))),"REVISAR"))))</f>
        <v/>
      </c>
      <c r="K995" s="36">
        <f>IF(OR($C995="",$D995=""),"",IF($D995&gt;=$C995,($D995-$C995)*24,(1-$C995+$D995)*24))</f>
        <v/>
      </c>
      <c r="L995" s="34" t="n"/>
      <c r="M995" s="53">
        <f t="array" ref="M995">IFERROR(INDEX(EXCEPCIONES_FECHA!$D$2:$D$201,MATCH(1,(EXCEPCIONES_FECHA!$A$2:$A$201=$A995)*(EXCEPCIONES_FECHA!$B$2:$B$201=$B995),0)),IFERROR(INDEX(EXCEPCIONES_FECHA!$D$2:$D$201,MATCH(1,(EXCEPCIONES_FECHA!$A$2:$A$201=$A995)*(EXCEPCIONES_FECHA!$B$2:$B$201=""),0)),IFERROR(INDEX(IF($I995="FIN",HISTORIAL_HORARIOS!$J$2:$J$201,HISTORIAL_HORARIOS!$F$2:$F$201),MATCH(1,(HISTORIAL_HORARIOS!$A$2:$A$201=$B995)*(HISTORIAL_HORARIOS!$C$2:$C$201&lt;=$A995)*(HISTORIAL_HORARIOS!$D$2:$D$201&gt;=$A995),0)),INDEX(IF($I995="FIN",PERSONAL!$J$2:$J$80,PERSONAL!$F$2:$F$80),MATCH($B995,PERSONAL!$A$2:$A$80,0)))))</f>
        <v/>
      </c>
      <c r="N995" s="53">
        <f t="array" ref="N995">IFERROR(INDEX(EXCEPCIONES_FECHA!$E$2:$E$201,MATCH(1,(EXCEPCIONES_FECHA!$A$2:$A$201=$A995)*(EXCEPCIONES_FECHA!$B$2:$B$201=$B995),0)),IFERROR(INDEX(EXCEPCIONES_FECHA!$E$2:$E$201,MATCH(1,(EXCEPCIONES_FECHA!$A$2:$A$201=$A995)*(EXCEPCIONES_FECHA!$B$2:$B$201=""),0)),IFERROR(INDEX(IF($I995="FIN",HISTORIAL_HORARIOS!$K$2:$K$201,HISTORIAL_HORARIOS!$G$2:$G$201),MATCH(1,(HISTORIAL_HORARIOS!$A$2:$A$201=$B995)*(HISTORIAL_HORARIOS!$C$2:$C$201&lt;=$A995)*(HISTORIAL_HORARIOS!$D$2:$D$201&gt;=$A995),0)),INDEX(IF($I995="FIN",PERSONAL!$K$2:$K$80,PERSONAL!$G$2:$G$80),MATCH($B995,PERSONAL!$A$2:$A$80,0)))))</f>
        <v/>
      </c>
      <c r="O995" s="53">
        <f t="array" ref="O995">IFERROR(INDEX(EXCEPCIONES_FECHA!$F$2:$F$201,MATCH(1,(EXCEPCIONES_FECHA!$A$2:$A$201=$A995)*(EXCEPCIONES_FECHA!$B$2:$B$201=$B995),0)),IFERROR(INDEX(EXCEPCIONES_FECHA!$F$2:$F$201,MATCH(1,(EXCEPCIONES_FECHA!$A$2:$A$201=$A995)*(EXCEPCIONES_FECHA!$B$2:$B$201=""),0)),IFERROR(INDEX(IF($I995="FIN",HISTORIAL_HORARIOS!$L$2:$L$201,HISTORIAL_HORARIOS!$H$2:$H$201),MATCH(1,(HISTORIAL_HORARIOS!$A$2:$A$201=$B995)*(HISTORIAL_HORARIOS!$C$2:$C$201&lt;=$A995)*(HISTORIAL_HORARIOS!$D$2:$D$201&gt;=$A995),0)),INDEX(IF($I995="FIN",PERSONAL!$L$2:$L$80,PERSONAL!$H$2:$H$80),MATCH($B995,PERSONAL!$A$2:$A$80,0)))))</f>
        <v/>
      </c>
    </row>
    <row r="996" ht="15" customHeight="1" s="58">
      <c r="A996" s="40" t="n"/>
      <c r="B996" s="38" t="n"/>
      <c r="C996" s="40" t="n"/>
      <c r="D996" s="40" t="n"/>
      <c r="E996" s="34">
        <f t="array" ref="E996">IF($B996="","",IFERROR(INDEX(PERSONAL!$B$2:$B$80,MATCH($B996,PERSONAL!$A$2:$A$80,0)),"NO EXISTE"))</f>
        <v/>
      </c>
      <c r="F996" s="34">
        <f t="array" ref="F996">IF($B996="","",IFERROR(INDEX(PERSONAL!$C$2:$C$80,MATCH($B996,PERSONAL!$A$2:$A$80,0)),""))</f>
        <v/>
      </c>
      <c r="G996" s="34">
        <f>IF($A996="","",CHOOSE(WEEKDAY($A996,2),"LUNES","MARTES","MIÉRCOLES","JUEVES","VIERNES","SÁBADO","DOMINGO"))</f>
        <v/>
      </c>
      <c r="H996" s="34">
        <f>IF($A996="","",CHOOSE(MONTH($A996),"ENERO","FEBRERO","MARZO","ABRIL","MAYO","JUNIO","JULIO","AGOSTO","SEPTIEMBRE","OCTUBRE","NOVIEMBRE","DICIEMBRE"))</f>
        <v/>
      </c>
      <c r="I996" s="34">
        <f>IF($A996="","",IF(OR($G996="SÁBADO",$G996="DOMINGO"),"FIN","LV"))</f>
        <v/>
      </c>
      <c r="J996" s="34">
        <f>IF(OR($A996="",$B996=""),"",IF($L996&lt;&gt;"",UPPER($L996),IF($C996="","FALTA",IFERROR(IF($C996&gt;=$O996,"ROJO FUERTE",IF($C996&gt;=$N996,"ROJO",IF($C996&gt;=$M996,"AMARILLO","VERDE"))),"REVISAR"))))</f>
        <v/>
      </c>
      <c r="K996" s="36">
        <f>IF(OR($C996="",$D996=""),"",IF($D996&gt;=$C996,($D996-$C996)*24,(1-$C996+$D996)*24))</f>
        <v/>
      </c>
      <c r="L996" s="34" t="n"/>
      <c r="M996" s="53">
        <f t="array" ref="M996">IFERROR(INDEX(EXCEPCIONES_FECHA!$D$2:$D$201,MATCH(1,(EXCEPCIONES_FECHA!$A$2:$A$201=$A996)*(EXCEPCIONES_FECHA!$B$2:$B$201=$B996),0)),IFERROR(INDEX(EXCEPCIONES_FECHA!$D$2:$D$201,MATCH(1,(EXCEPCIONES_FECHA!$A$2:$A$201=$A996)*(EXCEPCIONES_FECHA!$B$2:$B$201=""),0)),IFERROR(INDEX(IF($I996="FIN",HISTORIAL_HORARIOS!$J$2:$J$201,HISTORIAL_HORARIOS!$F$2:$F$201),MATCH(1,(HISTORIAL_HORARIOS!$A$2:$A$201=$B996)*(HISTORIAL_HORARIOS!$C$2:$C$201&lt;=$A996)*(HISTORIAL_HORARIOS!$D$2:$D$201&gt;=$A996),0)),INDEX(IF($I996="FIN",PERSONAL!$J$2:$J$80,PERSONAL!$F$2:$F$80),MATCH($B996,PERSONAL!$A$2:$A$80,0)))))</f>
        <v/>
      </c>
      <c r="N996" s="53">
        <f t="array" ref="N996">IFERROR(INDEX(EXCEPCIONES_FECHA!$E$2:$E$201,MATCH(1,(EXCEPCIONES_FECHA!$A$2:$A$201=$A996)*(EXCEPCIONES_FECHA!$B$2:$B$201=$B996),0)),IFERROR(INDEX(EXCEPCIONES_FECHA!$E$2:$E$201,MATCH(1,(EXCEPCIONES_FECHA!$A$2:$A$201=$A996)*(EXCEPCIONES_FECHA!$B$2:$B$201=""),0)),IFERROR(INDEX(IF($I996="FIN",HISTORIAL_HORARIOS!$K$2:$K$201,HISTORIAL_HORARIOS!$G$2:$G$201),MATCH(1,(HISTORIAL_HORARIOS!$A$2:$A$201=$B996)*(HISTORIAL_HORARIOS!$C$2:$C$201&lt;=$A996)*(HISTORIAL_HORARIOS!$D$2:$D$201&gt;=$A996),0)),INDEX(IF($I996="FIN",PERSONAL!$K$2:$K$80,PERSONAL!$G$2:$G$80),MATCH($B996,PERSONAL!$A$2:$A$80,0)))))</f>
        <v/>
      </c>
      <c r="O996" s="53">
        <f t="array" ref="O996">IFERROR(INDEX(EXCEPCIONES_FECHA!$F$2:$F$201,MATCH(1,(EXCEPCIONES_FECHA!$A$2:$A$201=$A996)*(EXCEPCIONES_FECHA!$B$2:$B$201=$B996),0)),IFERROR(INDEX(EXCEPCIONES_FECHA!$F$2:$F$201,MATCH(1,(EXCEPCIONES_FECHA!$A$2:$A$201=$A996)*(EXCEPCIONES_FECHA!$B$2:$B$201=""),0)),IFERROR(INDEX(IF($I996="FIN",HISTORIAL_HORARIOS!$L$2:$L$201,HISTORIAL_HORARIOS!$H$2:$H$201),MATCH(1,(HISTORIAL_HORARIOS!$A$2:$A$201=$B996)*(HISTORIAL_HORARIOS!$C$2:$C$201&lt;=$A996)*(HISTORIAL_HORARIOS!$D$2:$D$201&gt;=$A996),0)),INDEX(IF($I996="FIN",PERSONAL!$L$2:$L$80,PERSONAL!$H$2:$H$80),MATCH($B996,PERSONAL!$A$2:$A$80,0)))))</f>
        <v/>
      </c>
    </row>
    <row r="997" ht="15" customHeight="1" s="58">
      <c r="A997" s="40" t="n"/>
      <c r="B997" s="38" t="n"/>
      <c r="C997" s="40" t="n"/>
      <c r="D997" s="40" t="n"/>
      <c r="E997" s="34">
        <f t="array" ref="E997">IF($B997="","",IFERROR(INDEX(PERSONAL!$B$2:$B$80,MATCH($B997,PERSONAL!$A$2:$A$80,0)),"NO EXISTE"))</f>
        <v/>
      </c>
      <c r="F997" s="34">
        <f t="array" ref="F997">IF($B997="","",IFERROR(INDEX(PERSONAL!$C$2:$C$80,MATCH($B997,PERSONAL!$A$2:$A$80,0)),""))</f>
        <v/>
      </c>
      <c r="G997" s="34">
        <f>IF($A997="","",CHOOSE(WEEKDAY($A997,2),"LUNES","MARTES","MIÉRCOLES","JUEVES","VIERNES","SÁBADO","DOMINGO"))</f>
        <v/>
      </c>
      <c r="H997" s="34">
        <f>IF($A997="","",CHOOSE(MONTH($A997),"ENERO","FEBRERO","MARZO","ABRIL","MAYO","JUNIO","JULIO","AGOSTO","SEPTIEMBRE","OCTUBRE","NOVIEMBRE","DICIEMBRE"))</f>
        <v/>
      </c>
      <c r="I997" s="34">
        <f>IF($A997="","",IF(OR($G997="SÁBADO",$G997="DOMINGO"),"FIN","LV"))</f>
        <v/>
      </c>
      <c r="J997" s="34">
        <f>IF(OR($A997="",$B997=""),"",IF($L997&lt;&gt;"",UPPER($L997),IF($C997="","FALTA",IFERROR(IF($C997&gt;=$O997,"ROJO FUERTE",IF($C997&gt;=$N997,"ROJO",IF($C997&gt;=$M997,"AMARILLO","VERDE"))),"REVISAR"))))</f>
        <v/>
      </c>
      <c r="K997" s="36">
        <f>IF(OR($C997="",$D997=""),"",IF($D997&gt;=$C997,($D997-$C997)*24,(1-$C997+$D997)*24))</f>
        <v/>
      </c>
      <c r="L997" s="34" t="n"/>
      <c r="M997" s="53">
        <f t="array" ref="M997">IFERROR(INDEX(EXCEPCIONES_FECHA!$D$2:$D$201,MATCH(1,(EXCEPCIONES_FECHA!$A$2:$A$201=$A997)*(EXCEPCIONES_FECHA!$B$2:$B$201=$B997),0)),IFERROR(INDEX(EXCEPCIONES_FECHA!$D$2:$D$201,MATCH(1,(EXCEPCIONES_FECHA!$A$2:$A$201=$A997)*(EXCEPCIONES_FECHA!$B$2:$B$201=""),0)),IFERROR(INDEX(IF($I997="FIN",HISTORIAL_HORARIOS!$J$2:$J$201,HISTORIAL_HORARIOS!$F$2:$F$201),MATCH(1,(HISTORIAL_HORARIOS!$A$2:$A$201=$B997)*(HISTORIAL_HORARIOS!$C$2:$C$201&lt;=$A997)*(HISTORIAL_HORARIOS!$D$2:$D$201&gt;=$A997),0)),INDEX(IF($I997="FIN",PERSONAL!$J$2:$J$80,PERSONAL!$F$2:$F$80),MATCH($B997,PERSONAL!$A$2:$A$80,0)))))</f>
        <v/>
      </c>
      <c r="N997" s="53">
        <f t="array" ref="N997">IFERROR(INDEX(EXCEPCIONES_FECHA!$E$2:$E$201,MATCH(1,(EXCEPCIONES_FECHA!$A$2:$A$201=$A997)*(EXCEPCIONES_FECHA!$B$2:$B$201=$B997),0)),IFERROR(INDEX(EXCEPCIONES_FECHA!$E$2:$E$201,MATCH(1,(EXCEPCIONES_FECHA!$A$2:$A$201=$A997)*(EXCEPCIONES_FECHA!$B$2:$B$201=""),0)),IFERROR(INDEX(IF($I997="FIN",HISTORIAL_HORARIOS!$K$2:$K$201,HISTORIAL_HORARIOS!$G$2:$G$201),MATCH(1,(HISTORIAL_HORARIOS!$A$2:$A$201=$B997)*(HISTORIAL_HORARIOS!$C$2:$C$201&lt;=$A997)*(HISTORIAL_HORARIOS!$D$2:$D$201&gt;=$A997),0)),INDEX(IF($I997="FIN",PERSONAL!$K$2:$K$80,PERSONAL!$G$2:$G$80),MATCH($B997,PERSONAL!$A$2:$A$80,0)))))</f>
        <v/>
      </c>
      <c r="O997" s="53">
        <f t="array" ref="O997">IFERROR(INDEX(EXCEPCIONES_FECHA!$F$2:$F$201,MATCH(1,(EXCEPCIONES_FECHA!$A$2:$A$201=$A997)*(EXCEPCIONES_FECHA!$B$2:$B$201=$B997),0)),IFERROR(INDEX(EXCEPCIONES_FECHA!$F$2:$F$201,MATCH(1,(EXCEPCIONES_FECHA!$A$2:$A$201=$A997)*(EXCEPCIONES_FECHA!$B$2:$B$201=""),0)),IFERROR(INDEX(IF($I997="FIN",HISTORIAL_HORARIOS!$L$2:$L$201,HISTORIAL_HORARIOS!$H$2:$H$201),MATCH(1,(HISTORIAL_HORARIOS!$A$2:$A$201=$B997)*(HISTORIAL_HORARIOS!$C$2:$C$201&lt;=$A997)*(HISTORIAL_HORARIOS!$D$2:$D$201&gt;=$A997),0)),INDEX(IF($I997="FIN",PERSONAL!$L$2:$L$80,PERSONAL!$H$2:$H$80),MATCH($B997,PERSONAL!$A$2:$A$80,0)))))</f>
        <v/>
      </c>
    </row>
    <row r="998" ht="15" customHeight="1" s="58">
      <c r="A998" s="40" t="n"/>
      <c r="B998" s="38" t="n"/>
      <c r="C998" s="40" t="n"/>
      <c r="D998" s="40" t="n"/>
      <c r="E998" s="34">
        <f t="array" ref="E998">IF($B998="","",IFERROR(INDEX(PERSONAL!$B$2:$B$80,MATCH($B998,PERSONAL!$A$2:$A$80,0)),"NO EXISTE"))</f>
        <v/>
      </c>
      <c r="F998" s="34">
        <f t="array" ref="F998">IF($B998="","",IFERROR(INDEX(PERSONAL!$C$2:$C$80,MATCH($B998,PERSONAL!$A$2:$A$80,0)),""))</f>
        <v/>
      </c>
      <c r="G998" s="34">
        <f>IF($A998="","",CHOOSE(WEEKDAY($A998,2),"LUNES","MARTES","MIÉRCOLES","JUEVES","VIERNES","SÁBADO","DOMINGO"))</f>
        <v/>
      </c>
      <c r="H998" s="34">
        <f>IF($A998="","",CHOOSE(MONTH($A998),"ENERO","FEBRERO","MARZO","ABRIL","MAYO","JUNIO","JULIO","AGOSTO","SEPTIEMBRE","OCTUBRE","NOVIEMBRE","DICIEMBRE"))</f>
        <v/>
      </c>
      <c r="I998" s="34">
        <f>IF($A998="","",IF(OR($G998="SÁBADO",$G998="DOMINGO"),"FIN","LV"))</f>
        <v/>
      </c>
      <c r="J998" s="34">
        <f>IF(OR($A998="",$B998=""),"",IF($L998&lt;&gt;"",UPPER($L998),IF($C998="","FALTA",IFERROR(IF($C998&gt;=$O998,"ROJO FUERTE",IF($C998&gt;=$N998,"ROJO",IF($C998&gt;=$M998,"AMARILLO","VERDE"))),"REVISAR"))))</f>
        <v/>
      </c>
      <c r="K998" s="36">
        <f>IF(OR($C998="",$D998=""),"",IF($D998&gt;=$C998,($D998-$C998)*24,(1-$C998+$D998)*24))</f>
        <v/>
      </c>
      <c r="L998" s="34" t="n"/>
      <c r="M998" s="53">
        <f t="array" ref="M998">IFERROR(INDEX(EXCEPCIONES_FECHA!$D$2:$D$201,MATCH(1,(EXCEPCIONES_FECHA!$A$2:$A$201=$A998)*(EXCEPCIONES_FECHA!$B$2:$B$201=$B998),0)),IFERROR(INDEX(EXCEPCIONES_FECHA!$D$2:$D$201,MATCH(1,(EXCEPCIONES_FECHA!$A$2:$A$201=$A998)*(EXCEPCIONES_FECHA!$B$2:$B$201=""),0)),IFERROR(INDEX(IF($I998="FIN",HISTORIAL_HORARIOS!$J$2:$J$201,HISTORIAL_HORARIOS!$F$2:$F$201),MATCH(1,(HISTORIAL_HORARIOS!$A$2:$A$201=$B998)*(HISTORIAL_HORARIOS!$C$2:$C$201&lt;=$A998)*(HISTORIAL_HORARIOS!$D$2:$D$201&gt;=$A998),0)),INDEX(IF($I998="FIN",PERSONAL!$J$2:$J$80,PERSONAL!$F$2:$F$80),MATCH($B998,PERSONAL!$A$2:$A$80,0)))))</f>
        <v/>
      </c>
      <c r="N998" s="53">
        <f t="array" ref="N998">IFERROR(INDEX(EXCEPCIONES_FECHA!$E$2:$E$201,MATCH(1,(EXCEPCIONES_FECHA!$A$2:$A$201=$A998)*(EXCEPCIONES_FECHA!$B$2:$B$201=$B998),0)),IFERROR(INDEX(EXCEPCIONES_FECHA!$E$2:$E$201,MATCH(1,(EXCEPCIONES_FECHA!$A$2:$A$201=$A998)*(EXCEPCIONES_FECHA!$B$2:$B$201=""),0)),IFERROR(INDEX(IF($I998="FIN",HISTORIAL_HORARIOS!$K$2:$K$201,HISTORIAL_HORARIOS!$G$2:$G$201),MATCH(1,(HISTORIAL_HORARIOS!$A$2:$A$201=$B998)*(HISTORIAL_HORARIOS!$C$2:$C$201&lt;=$A998)*(HISTORIAL_HORARIOS!$D$2:$D$201&gt;=$A998),0)),INDEX(IF($I998="FIN",PERSONAL!$K$2:$K$80,PERSONAL!$G$2:$G$80),MATCH($B998,PERSONAL!$A$2:$A$80,0)))))</f>
        <v/>
      </c>
      <c r="O998" s="53">
        <f t="array" ref="O998">IFERROR(INDEX(EXCEPCIONES_FECHA!$F$2:$F$201,MATCH(1,(EXCEPCIONES_FECHA!$A$2:$A$201=$A998)*(EXCEPCIONES_FECHA!$B$2:$B$201=$B998),0)),IFERROR(INDEX(EXCEPCIONES_FECHA!$F$2:$F$201,MATCH(1,(EXCEPCIONES_FECHA!$A$2:$A$201=$A998)*(EXCEPCIONES_FECHA!$B$2:$B$201=""),0)),IFERROR(INDEX(IF($I998="FIN",HISTORIAL_HORARIOS!$L$2:$L$201,HISTORIAL_HORARIOS!$H$2:$H$201),MATCH(1,(HISTORIAL_HORARIOS!$A$2:$A$201=$B998)*(HISTORIAL_HORARIOS!$C$2:$C$201&lt;=$A998)*(HISTORIAL_HORARIOS!$D$2:$D$201&gt;=$A998),0)),INDEX(IF($I998="FIN",PERSONAL!$L$2:$L$80,PERSONAL!$H$2:$H$80),MATCH($B998,PERSONAL!$A$2:$A$80,0)))))</f>
        <v/>
      </c>
    </row>
    <row r="999" ht="15" customHeight="1" s="58">
      <c r="A999" s="40" t="n"/>
      <c r="B999" s="38" t="n"/>
      <c r="C999" s="40" t="n"/>
      <c r="D999" s="40" t="n"/>
      <c r="E999" s="34">
        <f t="array" ref="E999">IF($B999="","",IFERROR(INDEX(PERSONAL!$B$2:$B$80,MATCH($B999,PERSONAL!$A$2:$A$80,0)),"NO EXISTE"))</f>
        <v/>
      </c>
      <c r="F999" s="34">
        <f t="array" ref="F999">IF($B999="","",IFERROR(INDEX(PERSONAL!$C$2:$C$80,MATCH($B999,PERSONAL!$A$2:$A$80,0)),""))</f>
        <v/>
      </c>
      <c r="G999" s="34">
        <f>IF($A999="","",CHOOSE(WEEKDAY($A999,2),"LUNES","MARTES","MIÉRCOLES","JUEVES","VIERNES","SÁBADO","DOMINGO"))</f>
        <v/>
      </c>
      <c r="H999" s="34">
        <f>IF($A999="","",CHOOSE(MONTH($A999),"ENERO","FEBRERO","MARZO","ABRIL","MAYO","JUNIO","JULIO","AGOSTO","SEPTIEMBRE","OCTUBRE","NOVIEMBRE","DICIEMBRE"))</f>
        <v/>
      </c>
      <c r="I999" s="34">
        <f>IF($A999="","",IF(OR($G999="SÁBADO",$G999="DOMINGO"),"FIN","LV"))</f>
        <v/>
      </c>
      <c r="J999" s="34">
        <f>IF(OR($A999="",$B999=""),"",IF($L999&lt;&gt;"",UPPER($L999),IF($C999="","FALTA",IFERROR(IF($C999&gt;=$O999,"ROJO FUERTE",IF($C999&gt;=$N999,"ROJO",IF($C999&gt;=$M999,"AMARILLO","VERDE"))),"REVISAR"))))</f>
        <v/>
      </c>
      <c r="K999" s="36">
        <f>IF(OR($C999="",$D999=""),"",IF($D999&gt;=$C999,($D999-$C999)*24,(1-$C999+$D999)*24))</f>
        <v/>
      </c>
      <c r="L999" s="34" t="n"/>
      <c r="M999" s="53">
        <f t="array" ref="M999">IFERROR(INDEX(EXCEPCIONES_FECHA!$D$2:$D$201,MATCH(1,(EXCEPCIONES_FECHA!$A$2:$A$201=$A999)*(EXCEPCIONES_FECHA!$B$2:$B$201=$B999),0)),IFERROR(INDEX(EXCEPCIONES_FECHA!$D$2:$D$201,MATCH(1,(EXCEPCIONES_FECHA!$A$2:$A$201=$A999)*(EXCEPCIONES_FECHA!$B$2:$B$201=""),0)),IFERROR(INDEX(IF($I999="FIN",HISTORIAL_HORARIOS!$J$2:$J$201,HISTORIAL_HORARIOS!$F$2:$F$201),MATCH(1,(HISTORIAL_HORARIOS!$A$2:$A$201=$B999)*(HISTORIAL_HORARIOS!$C$2:$C$201&lt;=$A999)*(HISTORIAL_HORARIOS!$D$2:$D$201&gt;=$A999),0)),INDEX(IF($I999="FIN",PERSONAL!$J$2:$J$80,PERSONAL!$F$2:$F$80),MATCH($B999,PERSONAL!$A$2:$A$80,0)))))</f>
        <v/>
      </c>
      <c r="N999" s="53">
        <f t="array" ref="N999">IFERROR(INDEX(EXCEPCIONES_FECHA!$E$2:$E$201,MATCH(1,(EXCEPCIONES_FECHA!$A$2:$A$201=$A999)*(EXCEPCIONES_FECHA!$B$2:$B$201=$B999),0)),IFERROR(INDEX(EXCEPCIONES_FECHA!$E$2:$E$201,MATCH(1,(EXCEPCIONES_FECHA!$A$2:$A$201=$A999)*(EXCEPCIONES_FECHA!$B$2:$B$201=""),0)),IFERROR(INDEX(IF($I999="FIN",HISTORIAL_HORARIOS!$K$2:$K$201,HISTORIAL_HORARIOS!$G$2:$G$201),MATCH(1,(HISTORIAL_HORARIOS!$A$2:$A$201=$B999)*(HISTORIAL_HORARIOS!$C$2:$C$201&lt;=$A999)*(HISTORIAL_HORARIOS!$D$2:$D$201&gt;=$A999),0)),INDEX(IF($I999="FIN",PERSONAL!$K$2:$K$80,PERSONAL!$G$2:$G$80),MATCH($B999,PERSONAL!$A$2:$A$80,0)))))</f>
        <v/>
      </c>
      <c r="O999" s="53">
        <f t="array" ref="O999">IFERROR(INDEX(EXCEPCIONES_FECHA!$F$2:$F$201,MATCH(1,(EXCEPCIONES_FECHA!$A$2:$A$201=$A999)*(EXCEPCIONES_FECHA!$B$2:$B$201=$B999),0)),IFERROR(INDEX(EXCEPCIONES_FECHA!$F$2:$F$201,MATCH(1,(EXCEPCIONES_FECHA!$A$2:$A$201=$A999)*(EXCEPCIONES_FECHA!$B$2:$B$201=""),0)),IFERROR(INDEX(IF($I999="FIN",HISTORIAL_HORARIOS!$L$2:$L$201,HISTORIAL_HORARIOS!$H$2:$H$201),MATCH(1,(HISTORIAL_HORARIOS!$A$2:$A$201=$B999)*(HISTORIAL_HORARIOS!$C$2:$C$201&lt;=$A999)*(HISTORIAL_HORARIOS!$D$2:$D$201&gt;=$A999),0)),INDEX(IF($I999="FIN",PERSONAL!$L$2:$L$80,PERSONAL!$H$2:$H$80),MATCH($B999,PERSONAL!$A$2:$A$80,0)))))</f>
        <v/>
      </c>
    </row>
    <row r="1000" ht="15" customHeight="1" s="58">
      <c r="A1000" s="40" t="inlineStr">
        <is>
          <t>Demo publico: datos ficticios anonimizados para portafolio.</t>
        </is>
      </c>
      <c r="B1000" s="38" t="n"/>
      <c r="C1000" s="40" t="n"/>
      <c r="D1000" s="40" t="n"/>
      <c r="E1000" s="34">
        <f t="array" ref="E1000">IF($B1000="","",IFERROR(INDEX(PERSONAL!$B$2:$B$80,MATCH($B1000,PERSONAL!$A$2:$A$80,0)),"NO EXISTE"))</f>
        <v/>
      </c>
      <c r="F1000" s="34">
        <f t="array" ref="F1000">IF($B1000="","",IFERROR(INDEX(PERSONAL!$C$2:$C$80,MATCH($B1000,PERSONAL!$A$2:$A$80,0)),""))</f>
        <v/>
      </c>
      <c r="G1000" s="34">
        <f>IF($A1000="","",CHOOSE(WEEKDAY($A1000,2),"LUNES","MARTES","MIÉRCOLES","JUEVES","VIERNES","SÁBADO","DOMINGO"))</f>
        <v/>
      </c>
      <c r="H1000" s="34">
        <f>IF($A1000="","",CHOOSE(MONTH($A1000),"ENERO","FEBRERO","MARZO","ABRIL","MAYO","JUNIO","JULIO","AGOSTO","SEPTIEMBRE","OCTUBRE","NOVIEMBRE","DICIEMBRE"))</f>
        <v/>
      </c>
      <c r="I1000" s="34">
        <f>IF($A1000="","",IF(OR($G1000="SÁBADO",$G1000="DOMINGO"),"FIN","LV"))</f>
        <v/>
      </c>
      <c r="J1000" s="34">
        <f>IF(OR($A1000="",$B1000=""),"",IF($L1000&lt;&gt;"",UPPER($L1000),IF($C1000="","FALTA",IFERROR(IF($C1000&gt;=$O1000,"ROJO FUERTE",IF($C1000&gt;=$N1000,"ROJO",IF($C1000&gt;=$M1000,"AMARILLO","VERDE"))),"REVISAR"))))</f>
        <v/>
      </c>
      <c r="K1000" s="36">
        <f>IF(OR($C1000="",$D1000=""),"",IF($D1000&gt;=$C1000,($D1000-$C1000)*24,(1-$C1000+$D1000)*24))</f>
        <v/>
      </c>
      <c r="L1000" s="34" t="n"/>
      <c r="M1000" s="53">
        <f t="array" ref="M1000">IFERROR(INDEX(EXCEPCIONES_FECHA!$D$2:$D$201,MATCH(1,(EXCEPCIONES_FECHA!$A$2:$A$201=$A1000)*(EXCEPCIONES_FECHA!$B$2:$B$201=$B1000),0)),IFERROR(INDEX(EXCEPCIONES_FECHA!$D$2:$D$201,MATCH(1,(EXCEPCIONES_FECHA!$A$2:$A$201=$A1000)*(EXCEPCIONES_FECHA!$B$2:$B$201=""),0)),IFERROR(INDEX(IF($I1000="FIN",HISTORIAL_HORARIOS!$J$2:$J$201,HISTORIAL_HORARIOS!$F$2:$F$201),MATCH(1,(HISTORIAL_HORARIOS!$A$2:$A$201=$B1000)*(HISTORIAL_HORARIOS!$C$2:$C$201&lt;=$A1000)*(HISTORIAL_HORARIOS!$D$2:$D$201&gt;=$A1000),0)),INDEX(IF($I1000="FIN",PERSONAL!$J$2:$J$80,PERSONAL!$F$2:$F$80),MATCH($B1000,PERSONAL!$A$2:$A$80,0)))))</f>
        <v/>
      </c>
      <c r="N1000" s="53">
        <f t="array" ref="N1000">IFERROR(INDEX(EXCEPCIONES_FECHA!$E$2:$E$201,MATCH(1,(EXCEPCIONES_FECHA!$A$2:$A$201=$A1000)*(EXCEPCIONES_FECHA!$B$2:$B$201=$B1000),0)),IFERROR(INDEX(EXCEPCIONES_FECHA!$E$2:$E$201,MATCH(1,(EXCEPCIONES_FECHA!$A$2:$A$201=$A1000)*(EXCEPCIONES_FECHA!$B$2:$B$201=""),0)),IFERROR(INDEX(IF($I1000="FIN",HISTORIAL_HORARIOS!$K$2:$K$201,HISTORIAL_HORARIOS!$G$2:$G$201),MATCH(1,(HISTORIAL_HORARIOS!$A$2:$A$201=$B1000)*(HISTORIAL_HORARIOS!$C$2:$C$201&lt;=$A1000)*(HISTORIAL_HORARIOS!$D$2:$D$201&gt;=$A1000),0)),INDEX(IF($I1000="FIN",PERSONAL!$K$2:$K$80,PERSONAL!$G$2:$G$80),MATCH($B1000,PERSONAL!$A$2:$A$80,0)))))</f>
        <v/>
      </c>
      <c r="O1000" s="53">
        <f t="array" ref="O1000">IFERROR(INDEX(EXCEPCIONES_FECHA!$F$2:$F$201,MATCH(1,(EXCEPCIONES_FECHA!$A$2:$A$201=$A1000)*(EXCEPCIONES_FECHA!$B$2:$B$201=$B1000),0)),IFERROR(INDEX(EXCEPCIONES_FECHA!$F$2:$F$201,MATCH(1,(EXCEPCIONES_FECHA!$A$2:$A$201=$A1000)*(EXCEPCIONES_FECHA!$B$2:$B$201=""),0)),IFERROR(INDEX(IF($I1000="FIN",HISTORIAL_HORARIOS!$L$2:$L$201,HISTORIAL_HORARIOS!$H$2:$H$201),MATCH(1,(HISTORIAL_HORARIOS!$A$2:$A$201=$B1000)*(HISTORIAL_HORARIOS!$C$2:$C$201&lt;=$A1000)*(HISTORIAL_HORARIOS!$D$2:$D$201&gt;=$A1000),0)),INDEX(IF($I1000="FIN",PERSONAL!$L$2:$L$80,PERSONAL!$H$2:$H$80),MATCH($B1000,PERSONAL!$A$2:$A$80,0)))))</f>
        <v/>
      </c>
    </row>
    <row r="1001" ht="15" customHeight="1" s="58">
      <c r="A1001" s="40" t="n"/>
      <c r="B1001" s="38" t="n"/>
      <c r="C1001" s="40" t="n"/>
      <c r="D1001" s="40" t="n"/>
      <c r="E1001" s="34">
        <f t="array" ref="E1001">IF($B1001="","",IFERROR(INDEX(PERSONAL!$B$2:$B$80,MATCH($B1001,PERSONAL!$A$2:$A$80,0)),"NO EXISTE"))</f>
        <v/>
      </c>
      <c r="F1001" s="34">
        <f t="array" ref="F1001">IF($B1001="","",IFERROR(INDEX(PERSONAL!$C$2:$C$80,MATCH($B1001,PERSONAL!$A$2:$A$80,0)),""))</f>
        <v/>
      </c>
      <c r="G1001" s="34">
        <f>IF($A1001="","",CHOOSE(WEEKDAY($A1001,2),"LUNES","MARTES","MIÉRCOLES","JUEVES","VIERNES","SÁBADO","DOMINGO"))</f>
        <v/>
      </c>
      <c r="H1001" s="34">
        <f>IF($A1001="","",CHOOSE(MONTH($A1001),"ENERO","FEBRERO","MARZO","ABRIL","MAYO","JUNIO","JULIO","AGOSTO","SEPTIEMBRE","OCTUBRE","NOVIEMBRE","DICIEMBRE"))</f>
        <v/>
      </c>
      <c r="I1001" s="34">
        <f>IF($A1001="","",IF(OR($G1001="SÁBADO",$G1001="DOMINGO"),"FIN","LV"))</f>
        <v/>
      </c>
      <c r="J1001" s="34">
        <f>IF(OR($A1001="",$B1001=""),"",IF($L1001&lt;&gt;"",UPPER($L1001),IF($C1001="","FALTA",IFERROR(IF($C1001&gt;=$O1001,"ROJO FUERTE",IF($C1001&gt;=$N1001,"ROJO",IF($C1001&gt;=$M1001,"AMARILLO","VERDE"))),"REVISAR"))))</f>
        <v/>
      </c>
      <c r="K1001" s="36">
        <f>IF(OR($C1001="",$D1001=""),"",IF($D1001&gt;=$C1001,($D1001-$C1001)*24,(1-$C1001+$D1001)*24))</f>
        <v/>
      </c>
      <c r="L1001" s="34" t="n"/>
      <c r="M1001" s="53">
        <f t="array" ref="M1001">IFERROR(INDEX(EXCEPCIONES_FECHA!$D$2:$D$201,MATCH(1,(EXCEPCIONES_FECHA!$A$2:$A$201=$A1001)*(EXCEPCIONES_FECHA!$B$2:$B$201=$B1001),0)),IFERROR(INDEX(EXCEPCIONES_FECHA!$D$2:$D$201,MATCH(1,(EXCEPCIONES_FECHA!$A$2:$A$201=$A1001)*(EXCEPCIONES_FECHA!$B$2:$B$201=""),0)),IFERROR(INDEX(IF($I1001="FIN",HISTORIAL_HORARIOS!$J$2:$J$201,HISTORIAL_HORARIOS!$F$2:$F$201),MATCH(1,(HISTORIAL_HORARIOS!$A$2:$A$201=$B1001)*(HISTORIAL_HORARIOS!$C$2:$C$201&lt;=$A1001)*(HISTORIAL_HORARIOS!$D$2:$D$201&gt;=$A1001),0)),INDEX(IF($I1001="FIN",PERSONAL!$J$2:$J$80,PERSONAL!$F$2:$F$80),MATCH($B1001,PERSONAL!$A$2:$A$80,0)))))</f>
        <v/>
      </c>
      <c r="N1001" s="53">
        <f t="array" ref="N1001">IFERROR(INDEX(EXCEPCIONES_FECHA!$E$2:$E$201,MATCH(1,(EXCEPCIONES_FECHA!$A$2:$A$201=$A1001)*(EXCEPCIONES_FECHA!$B$2:$B$201=$B1001),0)),IFERROR(INDEX(EXCEPCIONES_FECHA!$E$2:$E$201,MATCH(1,(EXCEPCIONES_FECHA!$A$2:$A$201=$A1001)*(EXCEPCIONES_FECHA!$B$2:$B$201=""),0)),IFERROR(INDEX(IF($I1001="FIN",HISTORIAL_HORARIOS!$K$2:$K$201,HISTORIAL_HORARIOS!$G$2:$G$201),MATCH(1,(HISTORIAL_HORARIOS!$A$2:$A$201=$B1001)*(HISTORIAL_HORARIOS!$C$2:$C$201&lt;=$A1001)*(HISTORIAL_HORARIOS!$D$2:$D$201&gt;=$A1001),0)),INDEX(IF($I1001="FIN",PERSONAL!$K$2:$K$80,PERSONAL!$G$2:$G$80),MATCH($B1001,PERSONAL!$A$2:$A$80,0)))))</f>
        <v/>
      </c>
      <c r="O1001" s="53">
        <f t="array" ref="O1001">IFERROR(INDEX(EXCEPCIONES_FECHA!$F$2:$F$201,MATCH(1,(EXCEPCIONES_FECHA!$A$2:$A$201=$A1001)*(EXCEPCIONES_FECHA!$B$2:$B$201=$B1001),0)),IFERROR(INDEX(EXCEPCIONES_FECHA!$F$2:$F$201,MATCH(1,(EXCEPCIONES_FECHA!$A$2:$A$201=$A1001)*(EXCEPCIONES_FECHA!$B$2:$B$201=""),0)),IFERROR(INDEX(IF($I1001="FIN",HISTORIAL_HORARIOS!$L$2:$L$201,HISTORIAL_HORARIOS!$H$2:$H$201),MATCH(1,(HISTORIAL_HORARIOS!$A$2:$A$201=$B1001)*(HISTORIAL_HORARIOS!$C$2:$C$201&lt;=$A1001)*(HISTORIAL_HORARIOS!$D$2:$D$201&gt;=$A1001),0)),INDEX(IF($I1001="FIN",PERSONAL!$L$2:$L$80,PERSONAL!$H$2:$H$80),MATCH($B1001,PERSONAL!$A$2:$A$80,0)))))</f>
        <v/>
      </c>
    </row>
    <row r="1002" ht="15" customHeight="1" s="58">
      <c r="A1002" s="40" t="n"/>
      <c r="B1002" s="38" t="n"/>
      <c r="C1002" s="40" t="n"/>
      <c r="D1002" s="40" t="n"/>
      <c r="E1002" s="34">
        <f t="array" ref="E1002">IF($B1002="","",IFERROR(INDEX(PERSONAL!$B$2:$B$80,MATCH($B1002,PERSONAL!$A$2:$A$80,0)),"NO EXISTE"))</f>
        <v/>
      </c>
      <c r="F1002" s="34">
        <f t="array" ref="F1002">IF($B1002="","",IFERROR(INDEX(PERSONAL!$C$2:$C$80,MATCH($B1002,PERSONAL!$A$2:$A$80,0)),""))</f>
        <v/>
      </c>
      <c r="G1002" s="34">
        <f>IF($A1002="","",CHOOSE(WEEKDAY($A1002,2),"LUNES","MARTES","MIÉRCOLES","JUEVES","VIERNES","SÁBADO","DOMINGO"))</f>
        <v/>
      </c>
      <c r="H1002" s="34">
        <f>IF($A1002="","",CHOOSE(MONTH($A1002),"ENERO","FEBRERO","MARZO","ABRIL","MAYO","JUNIO","JULIO","AGOSTO","SEPTIEMBRE","OCTUBRE","NOVIEMBRE","DICIEMBRE"))</f>
        <v/>
      </c>
      <c r="I1002" s="34">
        <f>IF($A1002="","",IF(OR($G1002="SÁBADO",$G1002="DOMINGO"),"FIN","LV"))</f>
        <v/>
      </c>
      <c r="J1002" s="34">
        <f>IF(OR($A1002="",$B1002=""),"",IF($L1002&lt;&gt;"",UPPER($L1002),IF($C1002="","FALTA",IFERROR(IF($C1002&gt;=$O1002,"ROJO FUERTE",IF($C1002&gt;=$N1002,"ROJO",IF($C1002&gt;=$M1002,"AMARILLO","VERDE"))),"REVISAR"))))</f>
        <v/>
      </c>
      <c r="K1002" s="36">
        <f>IF(OR($C1002="",$D1002=""),"",IF($D1002&gt;=$C1002,($D1002-$C1002)*24,(1-$C1002+$D1002)*24))</f>
        <v/>
      </c>
      <c r="L1002" s="34" t="n"/>
      <c r="M1002" s="53">
        <f t="array" ref="M1002">IFERROR(INDEX(EXCEPCIONES_FECHA!$D$2:$D$201,MATCH(1,(EXCEPCIONES_FECHA!$A$2:$A$201=$A1002)*(EXCEPCIONES_FECHA!$B$2:$B$201=$B1002),0)),IFERROR(INDEX(EXCEPCIONES_FECHA!$D$2:$D$201,MATCH(1,(EXCEPCIONES_FECHA!$A$2:$A$201=$A1002)*(EXCEPCIONES_FECHA!$B$2:$B$201=""),0)),IFERROR(INDEX(IF($I1002="FIN",HISTORIAL_HORARIOS!$J$2:$J$201,HISTORIAL_HORARIOS!$F$2:$F$201),MATCH(1,(HISTORIAL_HORARIOS!$A$2:$A$201=$B1002)*(HISTORIAL_HORARIOS!$C$2:$C$201&lt;=$A1002)*(HISTORIAL_HORARIOS!$D$2:$D$201&gt;=$A1002),0)),INDEX(IF($I1002="FIN",PERSONAL!$J$2:$J$80,PERSONAL!$F$2:$F$80),MATCH($B1002,PERSONAL!$A$2:$A$80,0)))))</f>
        <v/>
      </c>
      <c r="N1002" s="53">
        <f t="array" ref="N1002">IFERROR(INDEX(EXCEPCIONES_FECHA!$E$2:$E$201,MATCH(1,(EXCEPCIONES_FECHA!$A$2:$A$201=$A1002)*(EXCEPCIONES_FECHA!$B$2:$B$201=$B1002),0)),IFERROR(INDEX(EXCEPCIONES_FECHA!$E$2:$E$201,MATCH(1,(EXCEPCIONES_FECHA!$A$2:$A$201=$A1002)*(EXCEPCIONES_FECHA!$B$2:$B$201=""),0)),IFERROR(INDEX(IF($I1002="FIN",HISTORIAL_HORARIOS!$K$2:$K$201,HISTORIAL_HORARIOS!$G$2:$G$201),MATCH(1,(HISTORIAL_HORARIOS!$A$2:$A$201=$B1002)*(HISTORIAL_HORARIOS!$C$2:$C$201&lt;=$A1002)*(HISTORIAL_HORARIOS!$D$2:$D$201&gt;=$A1002),0)),INDEX(IF($I1002="FIN",PERSONAL!$K$2:$K$80,PERSONAL!$G$2:$G$80),MATCH($B1002,PERSONAL!$A$2:$A$80,0)))))</f>
        <v/>
      </c>
      <c r="O1002" s="53">
        <f t="array" ref="O1002">IFERROR(INDEX(EXCEPCIONES_FECHA!$F$2:$F$201,MATCH(1,(EXCEPCIONES_FECHA!$A$2:$A$201=$A1002)*(EXCEPCIONES_FECHA!$B$2:$B$201=$B1002),0)),IFERROR(INDEX(EXCEPCIONES_FECHA!$F$2:$F$201,MATCH(1,(EXCEPCIONES_FECHA!$A$2:$A$201=$A1002)*(EXCEPCIONES_FECHA!$B$2:$B$201=""),0)),IFERROR(INDEX(IF($I1002="FIN",HISTORIAL_HORARIOS!$L$2:$L$201,HISTORIAL_HORARIOS!$H$2:$H$201),MATCH(1,(HISTORIAL_HORARIOS!$A$2:$A$201=$B1002)*(HISTORIAL_HORARIOS!$C$2:$C$201&lt;=$A1002)*(HISTORIAL_HORARIOS!$D$2:$D$201&gt;=$A1002),0)),INDEX(IF($I1002="FIN",PERSONAL!$L$2:$L$80,PERSONAL!$H$2:$H$80),MATCH($B1002,PERSONAL!$A$2:$A$80,0)))))</f>
        <v/>
      </c>
    </row>
    <row r="1003" ht="15" customHeight="1" s="58">
      <c r="A1003" s="40" t="n"/>
      <c r="B1003" s="38" t="n"/>
      <c r="C1003" s="40" t="n"/>
      <c r="D1003" s="40" t="n"/>
      <c r="E1003" s="34">
        <f t="array" ref="E1003">IF($B1003="","",IFERROR(INDEX(PERSONAL!$B$2:$B$80,MATCH($B1003,PERSONAL!$A$2:$A$80,0)),"NO EXISTE"))</f>
        <v/>
      </c>
      <c r="F1003" s="34">
        <f t="array" ref="F1003">IF($B1003="","",IFERROR(INDEX(PERSONAL!$C$2:$C$80,MATCH($B1003,PERSONAL!$A$2:$A$80,0)),""))</f>
        <v/>
      </c>
      <c r="G1003" s="34">
        <f>IF($A1003="","",CHOOSE(WEEKDAY($A1003,2),"LUNES","MARTES","MIÉRCOLES","JUEVES","VIERNES","SÁBADO","DOMINGO"))</f>
        <v/>
      </c>
      <c r="H1003" s="34">
        <f>IF($A1003="","",CHOOSE(MONTH($A1003),"ENERO","FEBRERO","MARZO","ABRIL","MAYO","JUNIO","JULIO","AGOSTO","SEPTIEMBRE","OCTUBRE","NOVIEMBRE","DICIEMBRE"))</f>
        <v/>
      </c>
      <c r="I1003" s="34">
        <f>IF($A1003="","",IF(OR($G1003="SÁBADO",$G1003="DOMINGO"),"FIN","LV"))</f>
        <v/>
      </c>
      <c r="J1003" s="34">
        <f>IF(OR($A1003="",$B1003=""),"",IF($L1003&lt;&gt;"",UPPER($L1003),IF($C1003="","FALTA",IFERROR(IF($C1003&gt;=$O1003,"ROJO FUERTE",IF($C1003&gt;=$N1003,"ROJO",IF($C1003&gt;=$M1003,"AMARILLO","VERDE"))),"REVISAR"))))</f>
        <v/>
      </c>
      <c r="K1003" s="36">
        <f>IF(OR($C1003="",$D1003=""),"",IF($D1003&gt;=$C1003,($D1003-$C1003)*24,(1-$C1003+$D1003)*24))</f>
        <v/>
      </c>
      <c r="L1003" s="34" t="n"/>
      <c r="M1003" s="53">
        <f t="array" ref="M1003">IFERROR(INDEX(EXCEPCIONES_FECHA!$D$2:$D$201,MATCH(1,(EXCEPCIONES_FECHA!$A$2:$A$201=$A1003)*(EXCEPCIONES_FECHA!$B$2:$B$201=$B1003),0)),IFERROR(INDEX(EXCEPCIONES_FECHA!$D$2:$D$201,MATCH(1,(EXCEPCIONES_FECHA!$A$2:$A$201=$A1003)*(EXCEPCIONES_FECHA!$B$2:$B$201=""),0)),IFERROR(INDEX(IF($I1003="FIN",HISTORIAL_HORARIOS!$J$2:$J$201,HISTORIAL_HORARIOS!$F$2:$F$201),MATCH(1,(HISTORIAL_HORARIOS!$A$2:$A$201=$B1003)*(HISTORIAL_HORARIOS!$C$2:$C$201&lt;=$A1003)*(HISTORIAL_HORARIOS!$D$2:$D$201&gt;=$A1003),0)),INDEX(IF($I1003="FIN",PERSONAL!$J$2:$J$80,PERSONAL!$F$2:$F$80),MATCH($B1003,PERSONAL!$A$2:$A$80,0)))))</f>
        <v/>
      </c>
      <c r="N1003" s="53">
        <f t="array" ref="N1003">IFERROR(INDEX(EXCEPCIONES_FECHA!$E$2:$E$201,MATCH(1,(EXCEPCIONES_FECHA!$A$2:$A$201=$A1003)*(EXCEPCIONES_FECHA!$B$2:$B$201=$B1003),0)),IFERROR(INDEX(EXCEPCIONES_FECHA!$E$2:$E$201,MATCH(1,(EXCEPCIONES_FECHA!$A$2:$A$201=$A1003)*(EXCEPCIONES_FECHA!$B$2:$B$201=""),0)),IFERROR(INDEX(IF($I1003="FIN",HISTORIAL_HORARIOS!$K$2:$K$201,HISTORIAL_HORARIOS!$G$2:$G$201),MATCH(1,(HISTORIAL_HORARIOS!$A$2:$A$201=$B1003)*(HISTORIAL_HORARIOS!$C$2:$C$201&lt;=$A1003)*(HISTORIAL_HORARIOS!$D$2:$D$201&gt;=$A1003),0)),INDEX(IF($I1003="FIN",PERSONAL!$K$2:$K$80,PERSONAL!$G$2:$G$80),MATCH($B1003,PERSONAL!$A$2:$A$80,0)))))</f>
        <v/>
      </c>
      <c r="O1003" s="53">
        <f t="array" ref="O1003">IFERROR(INDEX(EXCEPCIONES_FECHA!$F$2:$F$201,MATCH(1,(EXCEPCIONES_FECHA!$A$2:$A$201=$A1003)*(EXCEPCIONES_FECHA!$B$2:$B$201=$B1003),0)),IFERROR(INDEX(EXCEPCIONES_FECHA!$F$2:$F$201,MATCH(1,(EXCEPCIONES_FECHA!$A$2:$A$201=$A1003)*(EXCEPCIONES_FECHA!$B$2:$B$201=""),0)),IFERROR(INDEX(IF($I1003="FIN",HISTORIAL_HORARIOS!$L$2:$L$201,HISTORIAL_HORARIOS!$H$2:$H$201),MATCH(1,(HISTORIAL_HORARIOS!$A$2:$A$201=$B1003)*(HISTORIAL_HORARIOS!$C$2:$C$201&lt;=$A1003)*(HISTORIAL_HORARIOS!$D$2:$D$201&gt;=$A1003),0)),INDEX(IF($I1003="FIN",PERSONAL!$L$2:$L$80,PERSONAL!$H$2:$H$80),MATCH($B1003,PERSONAL!$A$2:$A$80,0)))))</f>
        <v/>
      </c>
    </row>
    <row r="1004" ht="15" customHeight="1" s="58">
      <c r="A1004" s="40" t="n"/>
      <c r="B1004" s="38" t="n"/>
      <c r="C1004" s="40" t="n"/>
      <c r="D1004" s="40" t="n"/>
      <c r="E1004" s="34">
        <f t="array" ref="E1004">IF($B1004="","",IFERROR(INDEX(PERSONAL!$B$2:$B$80,MATCH($B1004,PERSONAL!$A$2:$A$80,0)),"NO EXISTE"))</f>
        <v/>
      </c>
      <c r="F1004" s="34">
        <f t="array" ref="F1004">IF($B1004="","",IFERROR(INDEX(PERSONAL!$C$2:$C$80,MATCH($B1004,PERSONAL!$A$2:$A$80,0)),""))</f>
        <v/>
      </c>
      <c r="G1004" s="34">
        <f>IF($A1004="","",CHOOSE(WEEKDAY($A1004,2),"LUNES","MARTES","MIÉRCOLES","JUEVES","VIERNES","SÁBADO","DOMINGO"))</f>
        <v/>
      </c>
      <c r="H1004" s="34">
        <f>IF($A1004="","",CHOOSE(MONTH($A1004),"ENERO","FEBRERO","MARZO","ABRIL","MAYO","JUNIO","JULIO","AGOSTO","SEPTIEMBRE","OCTUBRE","NOVIEMBRE","DICIEMBRE"))</f>
        <v/>
      </c>
      <c r="I1004" s="34">
        <f>IF($A1004="","",IF(OR($G1004="SÁBADO",$G1004="DOMINGO"),"FIN","LV"))</f>
        <v/>
      </c>
      <c r="J1004" s="34">
        <f>IF(OR($A1004="",$B1004=""),"",IF($L1004&lt;&gt;"",UPPER($L1004),IF($C1004="","FALTA",IFERROR(IF($C1004&gt;=$O1004,"ROJO FUERTE",IF($C1004&gt;=$N1004,"ROJO",IF($C1004&gt;=$M1004,"AMARILLO","VERDE"))),"REVISAR"))))</f>
        <v/>
      </c>
      <c r="K1004" s="36">
        <f>IF(OR($C1004="",$D1004=""),"",IF($D1004&gt;=$C1004,($D1004-$C1004)*24,(1-$C1004+$D1004)*24))</f>
        <v/>
      </c>
      <c r="L1004" s="34" t="n"/>
      <c r="M1004" s="53">
        <f t="array" ref="M1004">IFERROR(INDEX(EXCEPCIONES_FECHA!$D$2:$D$201,MATCH(1,(EXCEPCIONES_FECHA!$A$2:$A$201=$A1004)*(EXCEPCIONES_FECHA!$B$2:$B$201=$B1004),0)),IFERROR(INDEX(EXCEPCIONES_FECHA!$D$2:$D$201,MATCH(1,(EXCEPCIONES_FECHA!$A$2:$A$201=$A1004)*(EXCEPCIONES_FECHA!$B$2:$B$201=""),0)),IFERROR(INDEX(IF($I1004="FIN",HISTORIAL_HORARIOS!$J$2:$J$201,HISTORIAL_HORARIOS!$F$2:$F$201),MATCH(1,(HISTORIAL_HORARIOS!$A$2:$A$201=$B1004)*(HISTORIAL_HORARIOS!$C$2:$C$201&lt;=$A1004)*(HISTORIAL_HORARIOS!$D$2:$D$201&gt;=$A1004),0)),INDEX(IF($I1004="FIN",PERSONAL!$J$2:$J$80,PERSONAL!$F$2:$F$80),MATCH($B1004,PERSONAL!$A$2:$A$80,0)))))</f>
        <v/>
      </c>
      <c r="N1004" s="53">
        <f t="array" ref="N1004">IFERROR(INDEX(EXCEPCIONES_FECHA!$E$2:$E$201,MATCH(1,(EXCEPCIONES_FECHA!$A$2:$A$201=$A1004)*(EXCEPCIONES_FECHA!$B$2:$B$201=$B1004),0)),IFERROR(INDEX(EXCEPCIONES_FECHA!$E$2:$E$201,MATCH(1,(EXCEPCIONES_FECHA!$A$2:$A$201=$A1004)*(EXCEPCIONES_FECHA!$B$2:$B$201=""),0)),IFERROR(INDEX(IF($I1004="FIN",HISTORIAL_HORARIOS!$K$2:$K$201,HISTORIAL_HORARIOS!$G$2:$G$201),MATCH(1,(HISTORIAL_HORARIOS!$A$2:$A$201=$B1004)*(HISTORIAL_HORARIOS!$C$2:$C$201&lt;=$A1004)*(HISTORIAL_HORARIOS!$D$2:$D$201&gt;=$A1004),0)),INDEX(IF($I1004="FIN",PERSONAL!$K$2:$K$80,PERSONAL!$G$2:$G$80),MATCH($B1004,PERSONAL!$A$2:$A$80,0)))))</f>
        <v/>
      </c>
      <c r="O1004" s="53">
        <f t="array" ref="O1004">IFERROR(INDEX(EXCEPCIONES_FECHA!$F$2:$F$201,MATCH(1,(EXCEPCIONES_FECHA!$A$2:$A$201=$A1004)*(EXCEPCIONES_FECHA!$B$2:$B$201=$B1004),0)),IFERROR(INDEX(EXCEPCIONES_FECHA!$F$2:$F$201,MATCH(1,(EXCEPCIONES_FECHA!$A$2:$A$201=$A1004)*(EXCEPCIONES_FECHA!$B$2:$B$201=""),0)),IFERROR(INDEX(IF($I1004="FIN",HISTORIAL_HORARIOS!$L$2:$L$201,HISTORIAL_HORARIOS!$H$2:$H$201),MATCH(1,(HISTORIAL_HORARIOS!$A$2:$A$201=$B1004)*(HISTORIAL_HORARIOS!$C$2:$C$201&lt;=$A1004)*(HISTORIAL_HORARIOS!$D$2:$D$201&gt;=$A1004),0)),INDEX(IF($I1004="FIN",PERSONAL!$L$2:$L$80,PERSONAL!$H$2:$H$80),MATCH($B1004,PERSONAL!$A$2:$A$80,0)))))</f>
        <v/>
      </c>
    </row>
    <row r="1005" ht="15" customHeight="1" s="58">
      <c r="A1005" s="40" t="n"/>
      <c r="B1005" s="38" t="n"/>
      <c r="C1005" s="40" t="n"/>
      <c r="D1005" s="40" t="n"/>
      <c r="E1005" s="34">
        <f t="array" ref="E1005">IF($B1005="","",IFERROR(INDEX(PERSONAL!$B$2:$B$80,MATCH($B1005,PERSONAL!$A$2:$A$80,0)),"NO EXISTE"))</f>
        <v/>
      </c>
      <c r="F1005" s="34">
        <f t="array" ref="F1005">IF($B1005="","",IFERROR(INDEX(PERSONAL!$C$2:$C$80,MATCH($B1005,PERSONAL!$A$2:$A$80,0)),""))</f>
        <v/>
      </c>
      <c r="G1005" s="34">
        <f>IF($A1005="","",CHOOSE(WEEKDAY($A1005,2),"LUNES","MARTES","MIÉRCOLES","JUEVES","VIERNES","SÁBADO","DOMINGO"))</f>
        <v/>
      </c>
      <c r="H1005" s="34">
        <f>IF($A1005="","",CHOOSE(MONTH($A1005),"ENERO","FEBRERO","MARZO","ABRIL","MAYO","JUNIO","JULIO","AGOSTO","SEPTIEMBRE","OCTUBRE","NOVIEMBRE","DICIEMBRE"))</f>
        <v/>
      </c>
      <c r="I1005" s="34">
        <f>IF($A1005="","",IF(OR($G1005="SÁBADO",$G1005="DOMINGO"),"FIN","LV"))</f>
        <v/>
      </c>
      <c r="J1005" s="34">
        <f>IF(OR($A1005="",$B1005=""),"",IF($L1005&lt;&gt;"",UPPER($L1005),IF($C1005="","FALTA",IFERROR(IF($C1005&gt;=$O1005,"ROJO FUERTE",IF($C1005&gt;=$N1005,"ROJO",IF($C1005&gt;=$M1005,"AMARILLO","VERDE"))),"REVISAR"))))</f>
        <v/>
      </c>
      <c r="K1005" s="36">
        <f>IF(OR($C1005="",$D1005=""),"",IF($D1005&gt;=$C1005,($D1005-$C1005)*24,(1-$C1005+$D1005)*24))</f>
        <v/>
      </c>
      <c r="L1005" s="34" t="n"/>
      <c r="M1005" s="53">
        <f t="array" ref="M1005">IFERROR(INDEX(EXCEPCIONES_FECHA!$D$2:$D$201,MATCH(1,(EXCEPCIONES_FECHA!$A$2:$A$201=$A1005)*(EXCEPCIONES_FECHA!$B$2:$B$201=$B1005),0)),IFERROR(INDEX(EXCEPCIONES_FECHA!$D$2:$D$201,MATCH(1,(EXCEPCIONES_FECHA!$A$2:$A$201=$A1005)*(EXCEPCIONES_FECHA!$B$2:$B$201=""),0)),IFERROR(INDEX(IF($I1005="FIN",HISTORIAL_HORARIOS!$J$2:$J$201,HISTORIAL_HORARIOS!$F$2:$F$201),MATCH(1,(HISTORIAL_HORARIOS!$A$2:$A$201=$B1005)*(HISTORIAL_HORARIOS!$C$2:$C$201&lt;=$A1005)*(HISTORIAL_HORARIOS!$D$2:$D$201&gt;=$A1005),0)),INDEX(IF($I1005="FIN",PERSONAL!$J$2:$J$80,PERSONAL!$F$2:$F$80),MATCH($B1005,PERSONAL!$A$2:$A$80,0)))))</f>
        <v/>
      </c>
      <c r="N1005" s="53">
        <f t="array" ref="N1005">IFERROR(INDEX(EXCEPCIONES_FECHA!$E$2:$E$201,MATCH(1,(EXCEPCIONES_FECHA!$A$2:$A$201=$A1005)*(EXCEPCIONES_FECHA!$B$2:$B$201=$B1005),0)),IFERROR(INDEX(EXCEPCIONES_FECHA!$E$2:$E$201,MATCH(1,(EXCEPCIONES_FECHA!$A$2:$A$201=$A1005)*(EXCEPCIONES_FECHA!$B$2:$B$201=""),0)),IFERROR(INDEX(IF($I1005="FIN",HISTORIAL_HORARIOS!$K$2:$K$201,HISTORIAL_HORARIOS!$G$2:$G$201),MATCH(1,(HISTORIAL_HORARIOS!$A$2:$A$201=$B1005)*(HISTORIAL_HORARIOS!$C$2:$C$201&lt;=$A1005)*(HISTORIAL_HORARIOS!$D$2:$D$201&gt;=$A1005),0)),INDEX(IF($I1005="FIN",PERSONAL!$K$2:$K$80,PERSONAL!$G$2:$G$80),MATCH($B1005,PERSONAL!$A$2:$A$80,0)))))</f>
        <v/>
      </c>
      <c r="O1005" s="53">
        <f t="array" ref="O1005">IFERROR(INDEX(EXCEPCIONES_FECHA!$F$2:$F$201,MATCH(1,(EXCEPCIONES_FECHA!$A$2:$A$201=$A1005)*(EXCEPCIONES_FECHA!$B$2:$B$201=$B1005),0)),IFERROR(INDEX(EXCEPCIONES_FECHA!$F$2:$F$201,MATCH(1,(EXCEPCIONES_FECHA!$A$2:$A$201=$A1005)*(EXCEPCIONES_FECHA!$B$2:$B$201=""),0)),IFERROR(INDEX(IF($I1005="FIN",HISTORIAL_HORARIOS!$L$2:$L$201,HISTORIAL_HORARIOS!$H$2:$H$201),MATCH(1,(HISTORIAL_HORARIOS!$A$2:$A$201=$B1005)*(HISTORIAL_HORARIOS!$C$2:$C$201&lt;=$A1005)*(HISTORIAL_HORARIOS!$D$2:$D$201&gt;=$A1005),0)),INDEX(IF($I1005="FIN",PERSONAL!$L$2:$L$80,PERSONAL!$H$2:$H$80),MATCH($B1005,PERSONAL!$A$2:$A$80,0)))))</f>
        <v/>
      </c>
    </row>
    <row r="1006" ht="15" customHeight="1" s="58">
      <c r="A1006" s="40" t="n"/>
      <c r="B1006" s="38" t="n"/>
      <c r="C1006" s="40" t="n"/>
      <c r="D1006" s="40" t="n"/>
      <c r="E1006" s="34">
        <f t="array" ref="E1006">IF($B1006="","",IFERROR(INDEX(PERSONAL!$B$2:$B$80,MATCH($B1006,PERSONAL!$A$2:$A$80,0)),"NO EXISTE"))</f>
        <v/>
      </c>
      <c r="F1006" s="34">
        <f t="array" ref="F1006">IF($B1006="","",IFERROR(INDEX(PERSONAL!$C$2:$C$80,MATCH($B1006,PERSONAL!$A$2:$A$80,0)),""))</f>
        <v/>
      </c>
      <c r="G1006" s="34">
        <f>IF($A1006="","",CHOOSE(WEEKDAY($A1006,2),"LUNES","MARTES","MIÉRCOLES","JUEVES","VIERNES","SÁBADO","DOMINGO"))</f>
        <v/>
      </c>
      <c r="H1006" s="34">
        <f>IF($A1006="","",CHOOSE(MONTH($A1006),"ENERO","FEBRERO","MARZO","ABRIL","MAYO","JUNIO","JULIO","AGOSTO","SEPTIEMBRE","OCTUBRE","NOVIEMBRE","DICIEMBRE"))</f>
        <v/>
      </c>
      <c r="I1006" s="34">
        <f>IF($A1006="","",IF(OR($G1006="SÁBADO",$G1006="DOMINGO"),"FIN","LV"))</f>
        <v/>
      </c>
      <c r="J1006" s="34">
        <f>IF(OR($A1006="",$B1006=""),"",IF($L1006&lt;&gt;"",UPPER($L1006),IF($C1006="","FALTA",IFERROR(IF($C1006&gt;=$O1006,"ROJO FUERTE",IF($C1006&gt;=$N1006,"ROJO",IF($C1006&gt;=$M1006,"AMARILLO","VERDE"))),"REVISAR"))))</f>
        <v/>
      </c>
      <c r="K1006" s="36">
        <f>IF(OR($C1006="",$D1006=""),"",IF($D1006&gt;=$C1006,($D1006-$C1006)*24,(1-$C1006+$D1006)*24))</f>
        <v/>
      </c>
      <c r="L1006" s="34" t="n"/>
      <c r="M1006" s="53">
        <f t="array" ref="M1006">IFERROR(INDEX(EXCEPCIONES_FECHA!$D$2:$D$201,MATCH(1,(EXCEPCIONES_FECHA!$A$2:$A$201=$A1006)*(EXCEPCIONES_FECHA!$B$2:$B$201=$B1006),0)),IFERROR(INDEX(EXCEPCIONES_FECHA!$D$2:$D$201,MATCH(1,(EXCEPCIONES_FECHA!$A$2:$A$201=$A1006)*(EXCEPCIONES_FECHA!$B$2:$B$201=""),0)),IFERROR(INDEX(IF($I1006="FIN",HISTORIAL_HORARIOS!$J$2:$J$201,HISTORIAL_HORARIOS!$F$2:$F$201),MATCH(1,(HISTORIAL_HORARIOS!$A$2:$A$201=$B1006)*(HISTORIAL_HORARIOS!$C$2:$C$201&lt;=$A1006)*(HISTORIAL_HORARIOS!$D$2:$D$201&gt;=$A1006),0)),INDEX(IF($I1006="FIN",PERSONAL!$J$2:$J$80,PERSONAL!$F$2:$F$80),MATCH($B1006,PERSONAL!$A$2:$A$80,0)))))</f>
        <v/>
      </c>
      <c r="N1006" s="53">
        <f t="array" ref="N1006">IFERROR(INDEX(EXCEPCIONES_FECHA!$E$2:$E$201,MATCH(1,(EXCEPCIONES_FECHA!$A$2:$A$201=$A1006)*(EXCEPCIONES_FECHA!$B$2:$B$201=$B1006),0)),IFERROR(INDEX(EXCEPCIONES_FECHA!$E$2:$E$201,MATCH(1,(EXCEPCIONES_FECHA!$A$2:$A$201=$A1006)*(EXCEPCIONES_FECHA!$B$2:$B$201=""),0)),IFERROR(INDEX(IF($I1006="FIN",HISTORIAL_HORARIOS!$K$2:$K$201,HISTORIAL_HORARIOS!$G$2:$G$201),MATCH(1,(HISTORIAL_HORARIOS!$A$2:$A$201=$B1006)*(HISTORIAL_HORARIOS!$C$2:$C$201&lt;=$A1006)*(HISTORIAL_HORARIOS!$D$2:$D$201&gt;=$A1006),0)),INDEX(IF($I1006="FIN",PERSONAL!$K$2:$K$80,PERSONAL!$G$2:$G$80),MATCH($B1006,PERSONAL!$A$2:$A$80,0)))))</f>
        <v/>
      </c>
      <c r="O1006" s="53">
        <f t="array" ref="O1006">IFERROR(INDEX(EXCEPCIONES_FECHA!$F$2:$F$201,MATCH(1,(EXCEPCIONES_FECHA!$A$2:$A$201=$A1006)*(EXCEPCIONES_FECHA!$B$2:$B$201=$B1006),0)),IFERROR(INDEX(EXCEPCIONES_FECHA!$F$2:$F$201,MATCH(1,(EXCEPCIONES_FECHA!$A$2:$A$201=$A1006)*(EXCEPCIONES_FECHA!$B$2:$B$201=""),0)),IFERROR(INDEX(IF($I1006="FIN",HISTORIAL_HORARIOS!$L$2:$L$201,HISTORIAL_HORARIOS!$H$2:$H$201),MATCH(1,(HISTORIAL_HORARIOS!$A$2:$A$201=$B1006)*(HISTORIAL_HORARIOS!$C$2:$C$201&lt;=$A1006)*(HISTORIAL_HORARIOS!$D$2:$D$201&gt;=$A1006),0)),INDEX(IF($I1006="FIN",PERSONAL!$L$2:$L$80,PERSONAL!$H$2:$H$80),MATCH($B1006,PERSONAL!$A$2:$A$80,0)))))</f>
        <v/>
      </c>
    </row>
    <row r="1007" ht="15" customHeight="1" s="58">
      <c r="A1007" s="40" t="n"/>
      <c r="B1007" s="38" t="n"/>
      <c r="C1007" s="40" t="n"/>
      <c r="D1007" s="40" t="n"/>
      <c r="E1007" s="34">
        <f t="array" ref="E1007">IF($B1007="","",IFERROR(INDEX(PERSONAL!$B$2:$B$80,MATCH($B1007,PERSONAL!$A$2:$A$80,0)),"NO EXISTE"))</f>
        <v/>
      </c>
      <c r="F1007" s="34">
        <f t="array" ref="F1007">IF($B1007="","",IFERROR(INDEX(PERSONAL!$C$2:$C$80,MATCH($B1007,PERSONAL!$A$2:$A$80,0)),""))</f>
        <v/>
      </c>
      <c r="G1007" s="34">
        <f>IF($A1007="","",CHOOSE(WEEKDAY($A1007,2),"LUNES","MARTES","MIÉRCOLES","JUEVES","VIERNES","SÁBADO","DOMINGO"))</f>
        <v/>
      </c>
      <c r="H1007" s="34">
        <f>IF($A1007="","",CHOOSE(MONTH($A1007),"ENERO","FEBRERO","MARZO","ABRIL","MAYO","JUNIO","JULIO","AGOSTO","SEPTIEMBRE","OCTUBRE","NOVIEMBRE","DICIEMBRE"))</f>
        <v/>
      </c>
      <c r="I1007" s="34">
        <f>IF($A1007="","",IF(OR($G1007="SÁBADO",$G1007="DOMINGO"),"FIN","LV"))</f>
        <v/>
      </c>
      <c r="J1007" s="34">
        <f>IF(OR($A1007="",$B1007=""),"",IF($L1007&lt;&gt;"",UPPER($L1007),IF($C1007="","FALTA",IFERROR(IF($C1007&gt;=$O1007,"ROJO FUERTE",IF($C1007&gt;=$N1007,"ROJO",IF($C1007&gt;=$M1007,"AMARILLO","VERDE"))),"REVISAR"))))</f>
        <v/>
      </c>
      <c r="K1007" s="36">
        <f>IF(OR($C1007="",$D1007=""),"",IF($D1007&gt;=$C1007,($D1007-$C1007)*24,(1-$C1007+$D1007)*24))</f>
        <v/>
      </c>
      <c r="L1007" s="34" t="n"/>
      <c r="M1007" s="53">
        <f t="array" ref="M1007">IFERROR(INDEX(EXCEPCIONES_FECHA!$D$2:$D$201,MATCH(1,(EXCEPCIONES_FECHA!$A$2:$A$201=$A1007)*(EXCEPCIONES_FECHA!$B$2:$B$201=$B1007),0)),IFERROR(INDEX(EXCEPCIONES_FECHA!$D$2:$D$201,MATCH(1,(EXCEPCIONES_FECHA!$A$2:$A$201=$A1007)*(EXCEPCIONES_FECHA!$B$2:$B$201=""),0)),IFERROR(INDEX(IF($I1007="FIN",HISTORIAL_HORARIOS!$J$2:$J$201,HISTORIAL_HORARIOS!$F$2:$F$201),MATCH(1,(HISTORIAL_HORARIOS!$A$2:$A$201=$B1007)*(HISTORIAL_HORARIOS!$C$2:$C$201&lt;=$A1007)*(HISTORIAL_HORARIOS!$D$2:$D$201&gt;=$A1007),0)),INDEX(IF($I1007="FIN",PERSONAL!$J$2:$J$80,PERSONAL!$F$2:$F$80),MATCH($B1007,PERSONAL!$A$2:$A$80,0)))))</f>
        <v/>
      </c>
      <c r="N1007" s="53">
        <f t="array" ref="N1007">IFERROR(INDEX(EXCEPCIONES_FECHA!$E$2:$E$201,MATCH(1,(EXCEPCIONES_FECHA!$A$2:$A$201=$A1007)*(EXCEPCIONES_FECHA!$B$2:$B$201=$B1007),0)),IFERROR(INDEX(EXCEPCIONES_FECHA!$E$2:$E$201,MATCH(1,(EXCEPCIONES_FECHA!$A$2:$A$201=$A1007)*(EXCEPCIONES_FECHA!$B$2:$B$201=""),0)),IFERROR(INDEX(IF($I1007="FIN",HISTORIAL_HORARIOS!$K$2:$K$201,HISTORIAL_HORARIOS!$G$2:$G$201),MATCH(1,(HISTORIAL_HORARIOS!$A$2:$A$201=$B1007)*(HISTORIAL_HORARIOS!$C$2:$C$201&lt;=$A1007)*(HISTORIAL_HORARIOS!$D$2:$D$201&gt;=$A1007),0)),INDEX(IF($I1007="FIN",PERSONAL!$K$2:$K$80,PERSONAL!$G$2:$G$80),MATCH($B1007,PERSONAL!$A$2:$A$80,0)))))</f>
        <v/>
      </c>
      <c r="O1007" s="53">
        <f t="array" ref="O1007">IFERROR(INDEX(EXCEPCIONES_FECHA!$F$2:$F$201,MATCH(1,(EXCEPCIONES_FECHA!$A$2:$A$201=$A1007)*(EXCEPCIONES_FECHA!$B$2:$B$201=$B1007),0)),IFERROR(INDEX(EXCEPCIONES_FECHA!$F$2:$F$201,MATCH(1,(EXCEPCIONES_FECHA!$A$2:$A$201=$A1007)*(EXCEPCIONES_FECHA!$B$2:$B$201=""),0)),IFERROR(INDEX(IF($I1007="FIN",HISTORIAL_HORARIOS!$L$2:$L$201,HISTORIAL_HORARIOS!$H$2:$H$201),MATCH(1,(HISTORIAL_HORARIOS!$A$2:$A$201=$B1007)*(HISTORIAL_HORARIOS!$C$2:$C$201&lt;=$A1007)*(HISTORIAL_HORARIOS!$D$2:$D$201&gt;=$A1007),0)),INDEX(IF($I1007="FIN",PERSONAL!$L$2:$L$80,PERSONAL!$H$2:$H$80),MATCH($B1007,PERSONAL!$A$2:$A$80,0)))))</f>
        <v/>
      </c>
    </row>
    <row r="1008" ht="15" customHeight="1" s="58">
      <c r="A1008" s="40" t="n"/>
      <c r="B1008" s="38" t="n"/>
      <c r="C1008" s="40" t="n"/>
      <c r="D1008" s="40" t="n"/>
      <c r="E1008" s="34">
        <f t="array" ref="E1008">IF($B1008="","",IFERROR(INDEX(PERSONAL!$B$2:$B$80,MATCH($B1008,PERSONAL!$A$2:$A$80,0)),"NO EXISTE"))</f>
        <v/>
      </c>
      <c r="F1008" s="34">
        <f t="array" ref="F1008">IF($B1008="","",IFERROR(INDEX(PERSONAL!$C$2:$C$80,MATCH($B1008,PERSONAL!$A$2:$A$80,0)),""))</f>
        <v/>
      </c>
      <c r="G1008" s="34">
        <f>IF($A1008="","",CHOOSE(WEEKDAY($A1008,2),"LUNES","MARTES","MIÉRCOLES","JUEVES","VIERNES","SÁBADO","DOMINGO"))</f>
        <v/>
      </c>
      <c r="H1008" s="34">
        <f>IF($A1008="","",CHOOSE(MONTH($A1008),"ENERO","FEBRERO","MARZO","ABRIL","MAYO","JUNIO","JULIO","AGOSTO","SEPTIEMBRE","OCTUBRE","NOVIEMBRE","DICIEMBRE"))</f>
        <v/>
      </c>
      <c r="I1008" s="34">
        <f>IF($A1008="","",IF(OR($G1008="SÁBADO",$G1008="DOMINGO"),"FIN","LV"))</f>
        <v/>
      </c>
      <c r="J1008" s="34">
        <f>IF(OR($A1008="",$B1008=""),"",IF($L1008&lt;&gt;"",UPPER($L1008),IF($C1008="","FALTA",IFERROR(IF($C1008&gt;=$O1008,"ROJO FUERTE",IF($C1008&gt;=$N1008,"ROJO",IF($C1008&gt;=$M1008,"AMARILLO","VERDE"))),"REVISAR"))))</f>
        <v/>
      </c>
      <c r="K1008" s="36">
        <f>IF(OR($C1008="",$D1008=""),"",IF($D1008&gt;=$C1008,($D1008-$C1008)*24,(1-$C1008+$D1008)*24))</f>
        <v/>
      </c>
      <c r="L1008" s="34" t="n"/>
      <c r="M1008" s="53">
        <f t="array" ref="M1008">IFERROR(INDEX(EXCEPCIONES_FECHA!$D$2:$D$201,MATCH(1,(EXCEPCIONES_FECHA!$A$2:$A$201=$A1008)*(EXCEPCIONES_FECHA!$B$2:$B$201=$B1008),0)),IFERROR(INDEX(EXCEPCIONES_FECHA!$D$2:$D$201,MATCH(1,(EXCEPCIONES_FECHA!$A$2:$A$201=$A1008)*(EXCEPCIONES_FECHA!$B$2:$B$201=""),0)),IFERROR(INDEX(IF($I1008="FIN",HISTORIAL_HORARIOS!$J$2:$J$201,HISTORIAL_HORARIOS!$F$2:$F$201),MATCH(1,(HISTORIAL_HORARIOS!$A$2:$A$201=$B1008)*(HISTORIAL_HORARIOS!$C$2:$C$201&lt;=$A1008)*(HISTORIAL_HORARIOS!$D$2:$D$201&gt;=$A1008),0)),INDEX(IF($I1008="FIN",PERSONAL!$J$2:$J$80,PERSONAL!$F$2:$F$80),MATCH($B1008,PERSONAL!$A$2:$A$80,0)))))</f>
        <v/>
      </c>
      <c r="N1008" s="53">
        <f t="array" ref="N1008">IFERROR(INDEX(EXCEPCIONES_FECHA!$E$2:$E$201,MATCH(1,(EXCEPCIONES_FECHA!$A$2:$A$201=$A1008)*(EXCEPCIONES_FECHA!$B$2:$B$201=$B1008),0)),IFERROR(INDEX(EXCEPCIONES_FECHA!$E$2:$E$201,MATCH(1,(EXCEPCIONES_FECHA!$A$2:$A$201=$A1008)*(EXCEPCIONES_FECHA!$B$2:$B$201=""),0)),IFERROR(INDEX(IF($I1008="FIN",HISTORIAL_HORARIOS!$K$2:$K$201,HISTORIAL_HORARIOS!$G$2:$G$201),MATCH(1,(HISTORIAL_HORARIOS!$A$2:$A$201=$B1008)*(HISTORIAL_HORARIOS!$C$2:$C$201&lt;=$A1008)*(HISTORIAL_HORARIOS!$D$2:$D$201&gt;=$A1008),0)),INDEX(IF($I1008="FIN",PERSONAL!$K$2:$K$80,PERSONAL!$G$2:$G$80),MATCH($B1008,PERSONAL!$A$2:$A$80,0)))))</f>
        <v/>
      </c>
      <c r="O1008" s="53">
        <f t="array" ref="O1008">IFERROR(INDEX(EXCEPCIONES_FECHA!$F$2:$F$201,MATCH(1,(EXCEPCIONES_FECHA!$A$2:$A$201=$A1008)*(EXCEPCIONES_FECHA!$B$2:$B$201=$B1008),0)),IFERROR(INDEX(EXCEPCIONES_FECHA!$F$2:$F$201,MATCH(1,(EXCEPCIONES_FECHA!$A$2:$A$201=$A1008)*(EXCEPCIONES_FECHA!$B$2:$B$201=""),0)),IFERROR(INDEX(IF($I1008="FIN",HISTORIAL_HORARIOS!$L$2:$L$201,HISTORIAL_HORARIOS!$H$2:$H$201),MATCH(1,(HISTORIAL_HORARIOS!$A$2:$A$201=$B1008)*(HISTORIAL_HORARIOS!$C$2:$C$201&lt;=$A1008)*(HISTORIAL_HORARIOS!$D$2:$D$201&gt;=$A1008),0)),INDEX(IF($I1008="FIN",PERSONAL!$L$2:$L$80,PERSONAL!$H$2:$H$80),MATCH($B1008,PERSONAL!$A$2:$A$80,0)))))</f>
        <v/>
      </c>
    </row>
    <row r="1009" ht="15" customHeight="1" s="58">
      <c r="A1009" s="40" t="n"/>
      <c r="B1009" s="38" t="n"/>
      <c r="C1009" s="40" t="n"/>
      <c r="D1009" s="40" t="n"/>
      <c r="E1009" s="34">
        <f t="array" ref="E1009">IF($B1009="","",IFERROR(INDEX(PERSONAL!$B$2:$B$80,MATCH($B1009,PERSONAL!$A$2:$A$80,0)),"NO EXISTE"))</f>
        <v/>
      </c>
      <c r="F1009" s="34">
        <f t="array" ref="F1009">IF($B1009="","",IFERROR(INDEX(PERSONAL!$C$2:$C$80,MATCH($B1009,PERSONAL!$A$2:$A$80,0)),""))</f>
        <v/>
      </c>
      <c r="G1009" s="34">
        <f>IF($A1009="","",CHOOSE(WEEKDAY($A1009,2),"LUNES","MARTES","MIÉRCOLES","JUEVES","VIERNES","SÁBADO","DOMINGO"))</f>
        <v/>
      </c>
      <c r="H1009" s="34">
        <f>IF($A1009="","",CHOOSE(MONTH($A1009),"ENERO","FEBRERO","MARZO","ABRIL","MAYO","JUNIO","JULIO","AGOSTO","SEPTIEMBRE","OCTUBRE","NOVIEMBRE","DICIEMBRE"))</f>
        <v/>
      </c>
      <c r="I1009" s="34">
        <f>IF($A1009="","",IF(OR($G1009="SÁBADO",$G1009="DOMINGO"),"FIN","LV"))</f>
        <v/>
      </c>
      <c r="J1009" s="34">
        <f>IF(OR($A1009="",$B1009=""),"",IF($L1009&lt;&gt;"",UPPER($L1009),IF($C1009="","FALTA",IFERROR(IF($C1009&gt;=$O1009,"ROJO FUERTE",IF($C1009&gt;=$N1009,"ROJO",IF($C1009&gt;=$M1009,"AMARILLO","VERDE"))),"REVISAR"))))</f>
        <v/>
      </c>
      <c r="K1009" s="36">
        <f>IF(OR($C1009="",$D1009=""),"",IF($D1009&gt;=$C1009,($D1009-$C1009)*24,(1-$C1009+$D1009)*24))</f>
        <v/>
      </c>
      <c r="L1009" s="34" t="n"/>
      <c r="M1009" s="53">
        <f t="array" ref="M1009">IFERROR(INDEX(EXCEPCIONES_FECHA!$D$2:$D$201,MATCH(1,(EXCEPCIONES_FECHA!$A$2:$A$201=$A1009)*(EXCEPCIONES_FECHA!$B$2:$B$201=$B1009),0)),IFERROR(INDEX(EXCEPCIONES_FECHA!$D$2:$D$201,MATCH(1,(EXCEPCIONES_FECHA!$A$2:$A$201=$A1009)*(EXCEPCIONES_FECHA!$B$2:$B$201=""),0)),IFERROR(INDEX(IF($I1009="FIN",HISTORIAL_HORARIOS!$J$2:$J$201,HISTORIAL_HORARIOS!$F$2:$F$201),MATCH(1,(HISTORIAL_HORARIOS!$A$2:$A$201=$B1009)*(HISTORIAL_HORARIOS!$C$2:$C$201&lt;=$A1009)*(HISTORIAL_HORARIOS!$D$2:$D$201&gt;=$A1009),0)),INDEX(IF($I1009="FIN",PERSONAL!$J$2:$J$80,PERSONAL!$F$2:$F$80),MATCH($B1009,PERSONAL!$A$2:$A$80,0)))))</f>
        <v/>
      </c>
      <c r="N1009" s="53">
        <f t="array" ref="N1009">IFERROR(INDEX(EXCEPCIONES_FECHA!$E$2:$E$201,MATCH(1,(EXCEPCIONES_FECHA!$A$2:$A$201=$A1009)*(EXCEPCIONES_FECHA!$B$2:$B$201=$B1009),0)),IFERROR(INDEX(EXCEPCIONES_FECHA!$E$2:$E$201,MATCH(1,(EXCEPCIONES_FECHA!$A$2:$A$201=$A1009)*(EXCEPCIONES_FECHA!$B$2:$B$201=""),0)),IFERROR(INDEX(IF($I1009="FIN",HISTORIAL_HORARIOS!$K$2:$K$201,HISTORIAL_HORARIOS!$G$2:$G$201),MATCH(1,(HISTORIAL_HORARIOS!$A$2:$A$201=$B1009)*(HISTORIAL_HORARIOS!$C$2:$C$201&lt;=$A1009)*(HISTORIAL_HORARIOS!$D$2:$D$201&gt;=$A1009),0)),INDEX(IF($I1009="FIN",PERSONAL!$K$2:$K$80,PERSONAL!$G$2:$G$80),MATCH($B1009,PERSONAL!$A$2:$A$80,0)))))</f>
        <v/>
      </c>
      <c r="O1009" s="53">
        <f t="array" ref="O1009">IFERROR(INDEX(EXCEPCIONES_FECHA!$F$2:$F$201,MATCH(1,(EXCEPCIONES_FECHA!$A$2:$A$201=$A1009)*(EXCEPCIONES_FECHA!$B$2:$B$201=$B1009),0)),IFERROR(INDEX(EXCEPCIONES_FECHA!$F$2:$F$201,MATCH(1,(EXCEPCIONES_FECHA!$A$2:$A$201=$A1009)*(EXCEPCIONES_FECHA!$B$2:$B$201=""),0)),IFERROR(INDEX(IF($I1009="FIN",HISTORIAL_HORARIOS!$L$2:$L$201,HISTORIAL_HORARIOS!$H$2:$H$201),MATCH(1,(HISTORIAL_HORARIOS!$A$2:$A$201=$B1009)*(HISTORIAL_HORARIOS!$C$2:$C$201&lt;=$A1009)*(HISTORIAL_HORARIOS!$D$2:$D$201&gt;=$A1009),0)),INDEX(IF($I1009="FIN",PERSONAL!$L$2:$L$80,PERSONAL!$H$2:$H$80),MATCH($B1009,PERSONAL!$A$2:$A$80,0)))))</f>
        <v/>
      </c>
    </row>
    <row r="1010" ht="15" customHeight="1" s="58">
      <c r="A1010" s="40" t="n"/>
      <c r="B1010" s="38" t="n"/>
      <c r="C1010" s="40" t="n"/>
      <c r="D1010" s="40" t="n"/>
      <c r="E1010" s="34">
        <f t="array" ref="E1010">IF($B1010="","",IFERROR(INDEX(PERSONAL!$B$2:$B$80,MATCH($B1010,PERSONAL!$A$2:$A$80,0)),"NO EXISTE"))</f>
        <v/>
      </c>
      <c r="F1010" s="34">
        <f t="array" ref="F1010">IF($B1010="","",IFERROR(INDEX(PERSONAL!$C$2:$C$80,MATCH($B1010,PERSONAL!$A$2:$A$80,0)),""))</f>
        <v/>
      </c>
      <c r="G1010" s="34">
        <f>IF($A1010="","",CHOOSE(WEEKDAY($A1010,2),"LUNES","MARTES","MIÉRCOLES","JUEVES","VIERNES","SÁBADO","DOMINGO"))</f>
        <v/>
      </c>
      <c r="H1010" s="34">
        <f>IF($A1010="","",CHOOSE(MONTH($A1010),"ENERO","FEBRERO","MARZO","ABRIL","MAYO","JUNIO","JULIO","AGOSTO","SEPTIEMBRE","OCTUBRE","NOVIEMBRE","DICIEMBRE"))</f>
        <v/>
      </c>
      <c r="I1010" s="34">
        <f>IF($A1010="","",IF(OR($G1010="SÁBADO",$G1010="DOMINGO"),"FIN","LV"))</f>
        <v/>
      </c>
      <c r="J1010" s="34">
        <f>IF(OR($A1010="",$B1010=""),"",IF($L1010&lt;&gt;"",UPPER($L1010),IF($C1010="","FALTA",IFERROR(IF($C1010&gt;=$O1010,"ROJO FUERTE",IF($C1010&gt;=$N1010,"ROJO",IF($C1010&gt;=$M1010,"AMARILLO","VERDE"))),"REVISAR"))))</f>
        <v/>
      </c>
      <c r="K1010" s="36">
        <f>IF(OR($C1010="",$D1010=""),"",IF($D1010&gt;=$C1010,($D1010-$C1010)*24,(1-$C1010+$D1010)*24))</f>
        <v/>
      </c>
      <c r="L1010" s="34" t="n"/>
      <c r="M1010" s="53">
        <f t="array" ref="M1010">IFERROR(INDEX(EXCEPCIONES_FECHA!$D$2:$D$201,MATCH(1,(EXCEPCIONES_FECHA!$A$2:$A$201=$A1010)*(EXCEPCIONES_FECHA!$B$2:$B$201=$B1010),0)),IFERROR(INDEX(EXCEPCIONES_FECHA!$D$2:$D$201,MATCH(1,(EXCEPCIONES_FECHA!$A$2:$A$201=$A1010)*(EXCEPCIONES_FECHA!$B$2:$B$201=""),0)),IFERROR(INDEX(IF($I1010="FIN",HISTORIAL_HORARIOS!$J$2:$J$201,HISTORIAL_HORARIOS!$F$2:$F$201),MATCH(1,(HISTORIAL_HORARIOS!$A$2:$A$201=$B1010)*(HISTORIAL_HORARIOS!$C$2:$C$201&lt;=$A1010)*(HISTORIAL_HORARIOS!$D$2:$D$201&gt;=$A1010),0)),INDEX(IF($I1010="FIN",PERSONAL!$J$2:$J$80,PERSONAL!$F$2:$F$80),MATCH($B1010,PERSONAL!$A$2:$A$80,0)))))</f>
        <v/>
      </c>
      <c r="N1010" s="53">
        <f t="array" ref="N1010">IFERROR(INDEX(EXCEPCIONES_FECHA!$E$2:$E$201,MATCH(1,(EXCEPCIONES_FECHA!$A$2:$A$201=$A1010)*(EXCEPCIONES_FECHA!$B$2:$B$201=$B1010),0)),IFERROR(INDEX(EXCEPCIONES_FECHA!$E$2:$E$201,MATCH(1,(EXCEPCIONES_FECHA!$A$2:$A$201=$A1010)*(EXCEPCIONES_FECHA!$B$2:$B$201=""),0)),IFERROR(INDEX(IF($I1010="FIN",HISTORIAL_HORARIOS!$K$2:$K$201,HISTORIAL_HORARIOS!$G$2:$G$201),MATCH(1,(HISTORIAL_HORARIOS!$A$2:$A$201=$B1010)*(HISTORIAL_HORARIOS!$C$2:$C$201&lt;=$A1010)*(HISTORIAL_HORARIOS!$D$2:$D$201&gt;=$A1010),0)),INDEX(IF($I1010="FIN",PERSONAL!$K$2:$K$80,PERSONAL!$G$2:$G$80),MATCH($B1010,PERSONAL!$A$2:$A$80,0)))))</f>
        <v/>
      </c>
      <c r="O1010" s="53">
        <f t="array" ref="O1010">IFERROR(INDEX(EXCEPCIONES_FECHA!$F$2:$F$201,MATCH(1,(EXCEPCIONES_FECHA!$A$2:$A$201=$A1010)*(EXCEPCIONES_FECHA!$B$2:$B$201=$B1010),0)),IFERROR(INDEX(EXCEPCIONES_FECHA!$F$2:$F$201,MATCH(1,(EXCEPCIONES_FECHA!$A$2:$A$201=$A1010)*(EXCEPCIONES_FECHA!$B$2:$B$201=""),0)),IFERROR(INDEX(IF($I1010="FIN",HISTORIAL_HORARIOS!$L$2:$L$201,HISTORIAL_HORARIOS!$H$2:$H$201),MATCH(1,(HISTORIAL_HORARIOS!$A$2:$A$201=$B1010)*(HISTORIAL_HORARIOS!$C$2:$C$201&lt;=$A1010)*(HISTORIAL_HORARIOS!$D$2:$D$201&gt;=$A1010),0)),INDEX(IF($I1010="FIN",PERSONAL!$L$2:$L$80,PERSONAL!$H$2:$H$80),MATCH($B1010,PERSONAL!$A$2:$A$80,0)))))</f>
        <v/>
      </c>
    </row>
    <row r="1011" ht="15" customHeight="1" s="58">
      <c r="A1011" s="40" t="n"/>
      <c r="B1011" s="38" t="n"/>
      <c r="C1011" s="40" t="n"/>
      <c r="D1011" s="40" t="n"/>
      <c r="E1011" s="34">
        <f t="array" ref="E1011">IF($B1011="","",IFERROR(INDEX(PERSONAL!$B$2:$B$80,MATCH($B1011,PERSONAL!$A$2:$A$80,0)),"NO EXISTE"))</f>
        <v/>
      </c>
      <c r="F1011" s="34">
        <f t="array" ref="F1011">IF($B1011="","",IFERROR(INDEX(PERSONAL!$C$2:$C$80,MATCH($B1011,PERSONAL!$A$2:$A$80,0)),""))</f>
        <v/>
      </c>
      <c r="G1011" s="34">
        <f>IF($A1011="","",CHOOSE(WEEKDAY($A1011,2),"LUNES","MARTES","MIÉRCOLES","JUEVES","VIERNES","SÁBADO","DOMINGO"))</f>
        <v/>
      </c>
      <c r="H1011" s="34">
        <f>IF($A1011="","",CHOOSE(MONTH($A1011),"ENERO","FEBRERO","MARZO","ABRIL","MAYO","JUNIO","JULIO","AGOSTO","SEPTIEMBRE","OCTUBRE","NOVIEMBRE","DICIEMBRE"))</f>
        <v/>
      </c>
      <c r="I1011" s="34">
        <f>IF($A1011="","",IF(OR($G1011="SÁBADO",$G1011="DOMINGO"),"FIN","LV"))</f>
        <v/>
      </c>
      <c r="J1011" s="34">
        <f>IF(OR($A1011="",$B1011=""),"",IF($L1011&lt;&gt;"",UPPER($L1011),IF($C1011="","FALTA",IFERROR(IF($C1011&gt;=$O1011,"ROJO FUERTE",IF($C1011&gt;=$N1011,"ROJO",IF($C1011&gt;=$M1011,"AMARILLO","VERDE"))),"REVISAR"))))</f>
        <v/>
      </c>
      <c r="K1011" s="36">
        <f>IF(OR($C1011="",$D1011=""),"",IF($D1011&gt;=$C1011,($D1011-$C1011)*24,(1-$C1011+$D1011)*24))</f>
        <v/>
      </c>
      <c r="L1011" s="34" t="n"/>
      <c r="M1011" s="53">
        <f t="array" ref="M1011">IFERROR(INDEX(EXCEPCIONES_FECHA!$D$2:$D$201,MATCH(1,(EXCEPCIONES_FECHA!$A$2:$A$201=$A1011)*(EXCEPCIONES_FECHA!$B$2:$B$201=$B1011),0)),IFERROR(INDEX(EXCEPCIONES_FECHA!$D$2:$D$201,MATCH(1,(EXCEPCIONES_FECHA!$A$2:$A$201=$A1011)*(EXCEPCIONES_FECHA!$B$2:$B$201=""),0)),IFERROR(INDEX(IF($I1011="FIN",HISTORIAL_HORARIOS!$J$2:$J$201,HISTORIAL_HORARIOS!$F$2:$F$201),MATCH(1,(HISTORIAL_HORARIOS!$A$2:$A$201=$B1011)*(HISTORIAL_HORARIOS!$C$2:$C$201&lt;=$A1011)*(HISTORIAL_HORARIOS!$D$2:$D$201&gt;=$A1011),0)),INDEX(IF($I1011="FIN",PERSONAL!$J$2:$J$80,PERSONAL!$F$2:$F$80),MATCH($B1011,PERSONAL!$A$2:$A$80,0)))))</f>
        <v/>
      </c>
      <c r="N1011" s="53">
        <f t="array" ref="N1011">IFERROR(INDEX(EXCEPCIONES_FECHA!$E$2:$E$201,MATCH(1,(EXCEPCIONES_FECHA!$A$2:$A$201=$A1011)*(EXCEPCIONES_FECHA!$B$2:$B$201=$B1011),0)),IFERROR(INDEX(EXCEPCIONES_FECHA!$E$2:$E$201,MATCH(1,(EXCEPCIONES_FECHA!$A$2:$A$201=$A1011)*(EXCEPCIONES_FECHA!$B$2:$B$201=""),0)),IFERROR(INDEX(IF($I1011="FIN",HISTORIAL_HORARIOS!$K$2:$K$201,HISTORIAL_HORARIOS!$G$2:$G$201),MATCH(1,(HISTORIAL_HORARIOS!$A$2:$A$201=$B1011)*(HISTORIAL_HORARIOS!$C$2:$C$201&lt;=$A1011)*(HISTORIAL_HORARIOS!$D$2:$D$201&gt;=$A1011),0)),INDEX(IF($I1011="FIN",PERSONAL!$K$2:$K$80,PERSONAL!$G$2:$G$80),MATCH($B1011,PERSONAL!$A$2:$A$80,0)))))</f>
        <v/>
      </c>
      <c r="O1011" s="53">
        <f t="array" ref="O1011">IFERROR(INDEX(EXCEPCIONES_FECHA!$F$2:$F$201,MATCH(1,(EXCEPCIONES_FECHA!$A$2:$A$201=$A1011)*(EXCEPCIONES_FECHA!$B$2:$B$201=$B1011),0)),IFERROR(INDEX(EXCEPCIONES_FECHA!$F$2:$F$201,MATCH(1,(EXCEPCIONES_FECHA!$A$2:$A$201=$A1011)*(EXCEPCIONES_FECHA!$B$2:$B$201=""),0)),IFERROR(INDEX(IF($I1011="FIN",HISTORIAL_HORARIOS!$L$2:$L$201,HISTORIAL_HORARIOS!$H$2:$H$201),MATCH(1,(HISTORIAL_HORARIOS!$A$2:$A$201=$B1011)*(HISTORIAL_HORARIOS!$C$2:$C$201&lt;=$A1011)*(HISTORIAL_HORARIOS!$D$2:$D$201&gt;=$A1011),0)),INDEX(IF($I1011="FIN",PERSONAL!$L$2:$L$80,PERSONAL!$H$2:$H$80),MATCH($B1011,PERSONAL!$A$2:$A$80,0)))))</f>
        <v/>
      </c>
    </row>
    <row r="1012" ht="15" customHeight="1" s="58">
      <c r="A1012" s="40" t="n"/>
      <c r="B1012" s="38" t="n"/>
      <c r="C1012" s="40" t="n"/>
      <c r="D1012" s="40" t="n"/>
      <c r="E1012" s="34">
        <f t="array" ref="E1012">IF($B1012="","",IFERROR(INDEX(PERSONAL!$B$2:$B$80,MATCH($B1012,PERSONAL!$A$2:$A$80,0)),"NO EXISTE"))</f>
        <v/>
      </c>
      <c r="F1012" s="34">
        <f t="array" ref="F1012">IF($B1012="","",IFERROR(INDEX(PERSONAL!$C$2:$C$80,MATCH($B1012,PERSONAL!$A$2:$A$80,0)),""))</f>
        <v/>
      </c>
      <c r="G1012" s="34">
        <f>IF($A1012="","",CHOOSE(WEEKDAY($A1012,2),"LUNES","MARTES","MIÉRCOLES","JUEVES","VIERNES","SÁBADO","DOMINGO"))</f>
        <v/>
      </c>
      <c r="H1012" s="34">
        <f>IF($A1012="","",CHOOSE(MONTH($A1012),"ENERO","FEBRERO","MARZO","ABRIL","MAYO","JUNIO","JULIO","AGOSTO","SEPTIEMBRE","OCTUBRE","NOVIEMBRE","DICIEMBRE"))</f>
        <v/>
      </c>
      <c r="I1012" s="34">
        <f>IF($A1012="","",IF(OR($G1012="SÁBADO",$G1012="DOMINGO"),"FIN","LV"))</f>
        <v/>
      </c>
      <c r="J1012" s="34">
        <f>IF(OR($A1012="",$B1012=""),"",IF($L1012&lt;&gt;"",UPPER($L1012),IF($C1012="","FALTA",IFERROR(IF($C1012&gt;=$O1012,"ROJO FUERTE",IF($C1012&gt;=$N1012,"ROJO",IF($C1012&gt;=$M1012,"AMARILLO","VERDE"))),"REVISAR"))))</f>
        <v/>
      </c>
      <c r="K1012" s="36">
        <f>IF(OR($C1012="",$D1012=""),"",IF($D1012&gt;=$C1012,($D1012-$C1012)*24,(1-$C1012+$D1012)*24))</f>
        <v/>
      </c>
      <c r="L1012" s="34" t="n"/>
      <c r="M1012" s="53">
        <f t="array" ref="M1012">IFERROR(INDEX(EXCEPCIONES_FECHA!$D$2:$D$201,MATCH(1,(EXCEPCIONES_FECHA!$A$2:$A$201=$A1012)*(EXCEPCIONES_FECHA!$B$2:$B$201=$B1012),0)),IFERROR(INDEX(EXCEPCIONES_FECHA!$D$2:$D$201,MATCH(1,(EXCEPCIONES_FECHA!$A$2:$A$201=$A1012)*(EXCEPCIONES_FECHA!$B$2:$B$201=""),0)),IFERROR(INDEX(IF($I1012="FIN",HISTORIAL_HORARIOS!$J$2:$J$201,HISTORIAL_HORARIOS!$F$2:$F$201),MATCH(1,(HISTORIAL_HORARIOS!$A$2:$A$201=$B1012)*(HISTORIAL_HORARIOS!$C$2:$C$201&lt;=$A1012)*(HISTORIAL_HORARIOS!$D$2:$D$201&gt;=$A1012),0)),INDEX(IF($I1012="FIN",PERSONAL!$J$2:$J$80,PERSONAL!$F$2:$F$80),MATCH($B1012,PERSONAL!$A$2:$A$80,0)))))</f>
        <v/>
      </c>
      <c r="N1012" s="53">
        <f t="array" ref="N1012">IFERROR(INDEX(EXCEPCIONES_FECHA!$E$2:$E$201,MATCH(1,(EXCEPCIONES_FECHA!$A$2:$A$201=$A1012)*(EXCEPCIONES_FECHA!$B$2:$B$201=$B1012),0)),IFERROR(INDEX(EXCEPCIONES_FECHA!$E$2:$E$201,MATCH(1,(EXCEPCIONES_FECHA!$A$2:$A$201=$A1012)*(EXCEPCIONES_FECHA!$B$2:$B$201=""),0)),IFERROR(INDEX(IF($I1012="FIN",HISTORIAL_HORARIOS!$K$2:$K$201,HISTORIAL_HORARIOS!$G$2:$G$201),MATCH(1,(HISTORIAL_HORARIOS!$A$2:$A$201=$B1012)*(HISTORIAL_HORARIOS!$C$2:$C$201&lt;=$A1012)*(HISTORIAL_HORARIOS!$D$2:$D$201&gt;=$A1012),0)),INDEX(IF($I1012="FIN",PERSONAL!$K$2:$K$80,PERSONAL!$G$2:$G$80),MATCH($B1012,PERSONAL!$A$2:$A$80,0)))))</f>
        <v/>
      </c>
      <c r="O1012" s="53">
        <f t="array" ref="O1012">IFERROR(INDEX(EXCEPCIONES_FECHA!$F$2:$F$201,MATCH(1,(EXCEPCIONES_FECHA!$A$2:$A$201=$A1012)*(EXCEPCIONES_FECHA!$B$2:$B$201=$B1012),0)),IFERROR(INDEX(EXCEPCIONES_FECHA!$F$2:$F$201,MATCH(1,(EXCEPCIONES_FECHA!$A$2:$A$201=$A1012)*(EXCEPCIONES_FECHA!$B$2:$B$201=""),0)),IFERROR(INDEX(IF($I1012="FIN",HISTORIAL_HORARIOS!$L$2:$L$201,HISTORIAL_HORARIOS!$H$2:$H$201),MATCH(1,(HISTORIAL_HORARIOS!$A$2:$A$201=$B1012)*(HISTORIAL_HORARIOS!$C$2:$C$201&lt;=$A1012)*(HISTORIAL_HORARIOS!$D$2:$D$201&gt;=$A1012),0)),INDEX(IF($I1012="FIN",PERSONAL!$L$2:$L$80,PERSONAL!$H$2:$H$80),MATCH($B1012,PERSONAL!$A$2:$A$80,0)))))</f>
        <v/>
      </c>
    </row>
    <row r="1013" ht="15" customHeight="1" s="58">
      <c r="A1013" s="40" t="n"/>
      <c r="B1013" s="38" t="n"/>
      <c r="C1013" s="40" t="n"/>
      <c r="D1013" s="40" t="n"/>
      <c r="E1013" s="34">
        <f t="array" ref="E1013">IF($B1013="","",IFERROR(INDEX(PERSONAL!$B$2:$B$80,MATCH($B1013,PERSONAL!$A$2:$A$80,0)),"NO EXISTE"))</f>
        <v/>
      </c>
      <c r="F1013" s="34">
        <f t="array" ref="F1013">IF($B1013="","",IFERROR(INDEX(PERSONAL!$C$2:$C$80,MATCH($B1013,PERSONAL!$A$2:$A$80,0)),""))</f>
        <v/>
      </c>
      <c r="G1013" s="34">
        <f>IF($A1013="","",CHOOSE(WEEKDAY($A1013,2),"LUNES","MARTES","MIÉRCOLES","JUEVES","VIERNES","SÁBADO","DOMINGO"))</f>
        <v/>
      </c>
      <c r="H1013" s="34">
        <f>IF($A1013="","",CHOOSE(MONTH($A1013),"ENERO","FEBRERO","MARZO","ABRIL","MAYO","JUNIO","JULIO","AGOSTO","SEPTIEMBRE","OCTUBRE","NOVIEMBRE","DICIEMBRE"))</f>
        <v/>
      </c>
      <c r="I1013" s="34">
        <f>IF($A1013="","",IF(OR($G1013="SÁBADO",$G1013="DOMINGO"),"FIN","LV"))</f>
        <v/>
      </c>
      <c r="J1013" s="34">
        <f>IF(OR($A1013="",$B1013=""),"",IF($L1013&lt;&gt;"",UPPER($L1013),IF($C1013="","FALTA",IFERROR(IF($C1013&gt;=$O1013,"ROJO FUERTE",IF($C1013&gt;=$N1013,"ROJO",IF($C1013&gt;=$M1013,"AMARILLO","VERDE"))),"REVISAR"))))</f>
        <v/>
      </c>
      <c r="K1013" s="36">
        <f>IF(OR($C1013="",$D1013=""),"",IF($D1013&gt;=$C1013,($D1013-$C1013)*24,(1-$C1013+$D1013)*24))</f>
        <v/>
      </c>
      <c r="L1013" s="34" t="n"/>
      <c r="M1013" s="53">
        <f t="array" ref="M1013">IFERROR(INDEX(EXCEPCIONES_FECHA!$D$2:$D$201,MATCH(1,(EXCEPCIONES_FECHA!$A$2:$A$201=$A1013)*(EXCEPCIONES_FECHA!$B$2:$B$201=$B1013),0)),IFERROR(INDEX(EXCEPCIONES_FECHA!$D$2:$D$201,MATCH(1,(EXCEPCIONES_FECHA!$A$2:$A$201=$A1013)*(EXCEPCIONES_FECHA!$B$2:$B$201=""),0)),IFERROR(INDEX(IF($I1013="FIN",HISTORIAL_HORARIOS!$J$2:$J$201,HISTORIAL_HORARIOS!$F$2:$F$201),MATCH(1,(HISTORIAL_HORARIOS!$A$2:$A$201=$B1013)*(HISTORIAL_HORARIOS!$C$2:$C$201&lt;=$A1013)*(HISTORIAL_HORARIOS!$D$2:$D$201&gt;=$A1013),0)),INDEX(IF($I1013="FIN",PERSONAL!$J$2:$J$80,PERSONAL!$F$2:$F$80),MATCH($B1013,PERSONAL!$A$2:$A$80,0)))))</f>
        <v/>
      </c>
      <c r="N1013" s="53">
        <f t="array" ref="N1013">IFERROR(INDEX(EXCEPCIONES_FECHA!$E$2:$E$201,MATCH(1,(EXCEPCIONES_FECHA!$A$2:$A$201=$A1013)*(EXCEPCIONES_FECHA!$B$2:$B$201=$B1013),0)),IFERROR(INDEX(EXCEPCIONES_FECHA!$E$2:$E$201,MATCH(1,(EXCEPCIONES_FECHA!$A$2:$A$201=$A1013)*(EXCEPCIONES_FECHA!$B$2:$B$201=""),0)),IFERROR(INDEX(IF($I1013="FIN",HISTORIAL_HORARIOS!$K$2:$K$201,HISTORIAL_HORARIOS!$G$2:$G$201),MATCH(1,(HISTORIAL_HORARIOS!$A$2:$A$201=$B1013)*(HISTORIAL_HORARIOS!$C$2:$C$201&lt;=$A1013)*(HISTORIAL_HORARIOS!$D$2:$D$201&gt;=$A1013),0)),INDEX(IF($I1013="FIN",PERSONAL!$K$2:$K$80,PERSONAL!$G$2:$G$80),MATCH($B1013,PERSONAL!$A$2:$A$80,0)))))</f>
        <v/>
      </c>
      <c r="O1013" s="53">
        <f t="array" ref="O1013">IFERROR(INDEX(EXCEPCIONES_FECHA!$F$2:$F$201,MATCH(1,(EXCEPCIONES_FECHA!$A$2:$A$201=$A1013)*(EXCEPCIONES_FECHA!$B$2:$B$201=$B1013),0)),IFERROR(INDEX(EXCEPCIONES_FECHA!$F$2:$F$201,MATCH(1,(EXCEPCIONES_FECHA!$A$2:$A$201=$A1013)*(EXCEPCIONES_FECHA!$B$2:$B$201=""),0)),IFERROR(INDEX(IF($I1013="FIN",HISTORIAL_HORARIOS!$L$2:$L$201,HISTORIAL_HORARIOS!$H$2:$H$201),MATCH(1,(HISTORIAL_HORARIOS!$A$2:$A$201=$B1013)*(HISTORIAL_HORARIOS!$C$2:$C$201&lt;=$A1013)*(HISTORIAL_HORARIOS!$D$2:$D$201&gt;=$A1013),0)),INDEX(IF($I1013="FIN",PERSONAL!$L$2:$L$80,PERSONAL!$H$2:$H$80),MATCH($B1013,PERSONAL!$A$2:$A$80,0)))))</f>
        <v/>
      </c>
    </row>
    <row r="1014" ht="15" customHeight="1" s="58">
      <c r="A1014" s="40" t="n"/>
      <c r="B1014" s="38" t="n"/>
      <c r="C1014" s="40" t="n"/>
      <c r="D1014" s="40" t="n"/>
      <c r="E1014" s="34">
        <f t="array" ref="E1014">IF($B1014="","",IFERROR(INDEX(PERSONAL!$B$2:$B$80,MATCH($B1014,PERSONAL!$A$2:$A$80,0)),"NO EXISTE"))</f>
        <v/>
      </c>
      <c r="F1014" s="34">
        <f t="array" ref="F1014">IF($B1014="","",IFERROR(INDEX(PERSONAL!$C$2:$C$80,MATCH($B1014,PERSONAL!$A$2:$A$80,0)),""))</f>
        <v/>
      </c>
      <c r="G1014" s="34">
        <f>IF($A1014="","",CHOOSE(WEEKDAY($A1014,2),"LUNES","MARTES","MIÉRCOLES","JUEVES","VIERNES","SÁBADO","DOMINGO"))</f>
        <v/>
      </c>
      <c r="H1014" s="34">
        <f>IF($A1014="","",CHOOSE(MONTH($A1014),"ENERO","FEBRERO","MARZO","ABRIL","MAYO","JUNIO","JULIO","AGOSTO","SEPTIEMBRE","OCTUBRE","NOVIEMBRE","DICIEMBRE"))</f>
        <v/>
      </c>
      <c r="I1014" s="34">
        <f>IF($A1014="","",IF(OR($G1014="SÁBADO",$G1014="DOMINGO"),"FIN","LV"))</f>
        <v/>
      </c>
      <c r="J1014" s="34">
        <f>IF(OR($A1014="",$B1014=""),"",IF($L1014&lt;&gt;"",UPPER($L1014),IF($C1014="","FALTA",IFERROR(IF($C1014&gt;=$O1014,"ROJO FUERTE",IF($C1014&gt;=$N1014,"ROJO",IF($C1014&gt;=$M1014,"AMARILLO","VERDE"))),"REVISAR"))))</f>
        <v/>
      </c>
      <c r="K1014" s="36">
        <f>IF(OR($C1014="",$D1014=""),"",IF($D1014&gt;=$C1014,($D1014-$C1014)*24,(1-$C1014+$D1014)*24))</f>
        <v/>
      </c>
      <c r="L1014" s="34" t="n"/>
      <c r="M1014" s="53">
        <f t="array" ref="M1014">IFERROR(INDEX(EXCEPCIONES_FECHA!$D$2:$D$201,MATCH(1,(EXCEPCIONES_FECHA!$A$2:$A$201=$A1014)*(EXCEPCIONES_FECHA!$B$2:$B$201=$B1014),0)),IFERROR(INDEX(EXCEPCIONES_FECHA!$D$2:$D$201,MATCH(1,(EXCEPCIONES_FECHA!$A$2:$A$201=$A1014)*(EXCEPCIONES_FECHA!$B$2:$B$201=""),0)),IFERROR(INDEX(IF($I1014="FIN",HISTORIAL_HORARIOS!$J$2:$J$201,HISTORIAL_HORARIOS!$F$2:$F$201),MATCH(1,(HISTORIAL_HORARIOS!$A$2:$A$201=$B1014)*(HISTORIAL_HORARIOS!$C$2:$C$201&lt;=$A1014)*(HISTORIAL_HORARIOS!$D$2:$D$201&gt;=$A1014),0)),INDEX(IF($I1014="FIN",PERSONAL!$J$2:$J$80,PERSONAL!$F$2:$F$80),MATCH($B1014,PERSONAL!$A$2:$A$80,0)))))</f>
        <v/>
      </c>
      <c r="N1014" s="53">
        <f t="array" ref="N1014">IFERROR(INDEX(EXCEPCIONES_FECHA!$E$2:$E$201,MATCH(1,(EXCEPCIONES_FECHA!$A$2:$A$201=$A1014)*(EXCEPCIONES_FECHA!$B$2:$B$201=$B1014),0)),IFERROR(INDEX(EXCEPCIONES_FECHA!$E$2:$E$201,MATCH(1,(EXCEPCIONES_FECHA!$A$2:$A$201=$A1014)*(EXCEPCIONES_FECHA!$B$2:$B$201=""),0)),IFERROR(INDEX(IF($I1014="FIN",HISTORIAL_HORARIOS!$K$2:$K$201,HISTORIAL_HORARIOS!$G$2:$G$201),MATCH(1,(HISTORIAL_HORARIOS!$A$2:$A$201=$B1014)*(HISTORIAL_HORARIOS!$C$2:$C$201&lt;=$A1014)*(HISTORIAL_HORARIOS!$D$2:$D$201&gt;=$A1014),0)),INDEX(IF($I1014="FIN",PERSONAL!$K$2:$K$80,PERSONAL!$G$2:$G$80),MATCH($B1014,PERSONAL!$A$2:$A$80,0)))))</f>
        <v/>
      </c>
      <c r="O1014" s="53">
        <f t="array" ref="O1014">IFERROR(INDEX(EXCEPCIONES_FECHA!$F$2:$F$201,MATCH(1,(EXCEPCIONES_FECHA!$A$2:$A$201=$A1014)*(EXCEPCIONES_FECHA!$B$2:$B$201=$B1014),0)),IFERROR(INDEX(EXCEPCIONES_FECHA!$F$2:$F$201,MATCH(1,(EXCEPCIONES_FECHA!$A$2:$A$201=$A1014)*(EXCEPCIONES_FECHA!$B$2:$B$201=""),0)),IFERROR(INDEX(IF($I1014="FIN",HISTORIAL_HORARIOS!$L$2:$L$201,HISTORIAL_HORARIOS!$H$2:$H$201),MATCH(1,(HISTORIAL_HORARIOS!$A$2:$A$201=$B1014)*(HISTORIAL_HORARIOS!$C$2:$C$201&lt;=$A1014)*(HISTORIAL_HORARIOS!$D$2:$D$201&gt;=$A1014),0)),INDEX(IF($I1014="FIN",PERSONAL!$L$2:$L$80,PERSONAL!$H$2:$H$80),MATCH($B1014,PERSONAL!$A$2:$A$80,0)))))</f>
        <v/>
      </c>
    </row>
    <row r="1015" ht="15" customHeight="1" s="58">
      <c r="A1015" s="40" t="n"/>
      <c r="B1015" s="38" t="n"/>
      <c r="C1015" s="40" t="n"/>
      <c r="D1015" s="40" t="n"/>
      <c r="E1015" s="34">
        <f t="array" ref="E1015">IF($B1015="","",IFERROR(INDEX(PERSONAL!$B$2:$B$80,MATCH($B1015,PERSONAL!$A$2:$A$80,0)),"NO EXISTE"))</f>
        <v/>
      </c>
      <c r="F1015" s="34">
        <f t="array" ref="F1015">IF($B1015="","",IFERROR(INDEX(PERSONAL!$C$2:$C$80,MATCH($B1015,PERSONAL!$A$2:$A$80,0)),""))</f>
        <v/>
      </c>
      <c r="G1015" s="34">
        <f>IF($A1015="","",CHOOSE(WEEKDAY($A1015,2),"LUNES","MARTES","MIÉRCOLES","JUEVES","VIERNES","SÁBADO","DOMINGO"))</f>
        <v/>
      </c>
      <c r="H1015" s="34">
        <f>IF($A1015="","",CHOOSE(MONTH($A1015),"ENERO","FEBRERO","MARZO","ABRIL","MAYO","JUNIO","JULIO","AGOSTO","SEPTIEMBRE","OCTUBRE","NOVIEMBRE","DICIEMBRE"))</f>
        <v/>
      </c>
      <c r="I1015" s="34">
        <f>IF($A1015="","",IF(OR($G1015="SÁBADO",$G1015="DOMINGO"),"FIN","LV"))</f>
        <v/>
      </c>
      <c r="J1015" s="34">
        <f>IF(OR($A1015="",$B1015=""),"",IF($L1015&lt;&gt;"",UPPER($L1015),IF($C1015="","FALTA",IFERROR(IF($C1015&gt;=$O1015,"ROJO FUERTE",IF($C1015&gt;=$N1015,"ROJO",IF($C1015&gt;=$M1015,"AMARILLO","VERDE"))),"REVISAR"))))</f>
        <v/>
      </c>
      <c r="K1015" s="36">
        <f>IF(OR($C1015="",$D1015=""),"",IF($D1015&gt;=$C1015,($D1015-$C1015)*24,(1-$C1015+$D1015)*24))</f>
        <v/>
      </c>
      <c r="L1015" s="34" t="n"/>
      <c r="M1015" s="53">
        <f t="array" ref="M1015">IFERROR(INDEX(EXCEPCIONES_FECHA!$D$2:$D$201,MATCH(1,(EXCEPCIONES_FECHA!$A$2:$A$201=$A1015)*(EXCEPCIONES_FECHA!$B$2:$B$201=$B1015),0)),IFERROR(INDEX(EXCEPCIONES_FECHA!$D$2:$D$201,MATCH(1,(EXCEPCIONES_FECHA!$A$2:$A$201=$A1015)*(EXCEPCIONES_FECHA!$B$2:$B$201=""),0)),IFERROR(INDEX(IF($I1015="FIN",HISTORIAL_HORARIOS!$J$2:$J$201,HISTORIAL_HORARIOS!$F$2:$F$201),MATCH(1,(HISTORIAL_HORARIOS!$A$2:$A$201=$B1015)*(HISTORIAL_HORARIOS!$C$2:$C$201&lt;=$A1015)*(HISTORIAL_HORARIOS!$D$2:$D$201&gt;=$A1015),0)),INDEX(IF($I1015="FIN",PERSONAL!$J$2:$J$80,PERSONAL!$F$2:$F$80),MATCH($B1015,PERSONAL!$A$2:$A$80,0)))))</f>
        <v/>
      </c>
      <c r="N1015" s="53">
        <f t="array" ref="N1015">IFERROR(INDEX(EXCEPCIONES_FECHA!$E$2:$E$201,MATCH(1,(EXCEPCIONES_FECHA!$A$2:$A$201=$A1015)*(EXCEPCIONES_FECHA!$B$2:$B$201=$B1015),0)),IFERROR(INDEX(EXCEPCIONES_FECHA!$E$2:$E$201,MATCH(1,(EXCEPCIONES_FECHA!$A$2:$A$201=$A1015)*(EXCEPCIONES_FECHA!$B$2:$B$201=""),0)),IFERROR(INDEX(IF($I1015="FIN",HISTORIAL_HORARIOS!$K$2:$K$201,HISTORIAL_HORARIOS!$G$2:$G$201),MATCH(1,(HISTORIAL_HORARIOS!$A$2:$A$201=$B1015)*(HISTORIAL_HORARIOS!$C$2:$C$201&lt;=$A1015)*(HISTORIAL_HORARIOS!$D$2:$D$201&gt;=$A1015),0)),INDEX(IF($I1015="FIN",PERSONAL!$K$2:$K$80,PERSONAL!$G$2:$G$80),MATCH($B1015,PERSONAL!$A$2:$A$80,0)))))</f>
        <v/>
      </c>
      <c r="O1015" s="53">
        <f t="array" ref="O1015">IFERROR(INDEX(EXCEPCIONES_FECHA!$F$2:$F$201,MATCH(1,(EXCEPCIONES_FECHA!$A$2:$A$201=$A1015)*(EXCEPCIONES_FECHA!$B$2:$B$201=$B1015),0)),IFERROR(INDEX(EXCEPCIONES_FECHA!$F$2:$F$201,MATCH(1,(EXCEPCIONES_FECHA!$A$2:$A$201=$A1015)*(EXCEPCIONES_FECHA!$B$2:$B$201=""),0)),IFERROR(INDEX(IF($I1015="FIN",HISTORIAL_HORARIOS!$L$2:$L$201,HISTORIAL_HORARIOS!$H$2:$H$201),MATCH(1,(HISTORIAL_HORARIOS!$A$2:$A$201=$B1015)*(HISTORIAL_HORARIOS!$C$2:$C$201&lt;=$A1015)*(HISTORIAL_HORARIOS!$D$2:$D$201&gt;=$A1015),0)),INDEX(IF($I1015="FIN",PERSONAL!$L$2:$L$80,PERSONAL!$H$2:$H$80),MATCH($B1015,PERSONAL!$A$2:$A$80,0)))))</f>
        <v/>
      </c>
    </row>
    <row r="1016" ht="15" customHeight="1" s="58">
      <c r="A1016" s="40" t="n"/>
      <c r="B1016" s="38" t="n"/>
      <c r="C1016" s="40" t="n"/>
      <c r="D1016" s="40" t="n"/>
      <c r="E1016" s="34">
        <f t="array" ref="E1016">IF($B1016="","",IFERROR(INDEX(PERSONAL!$B$2:$B$80,MATCH($B1016,PERSONAL!$A$2:$A$80,0)),"NO EXISTE"))</f>
        <v/>
      </c>
      <c r="F1016" s="34">
        <f t="array" ref="F1016">IF($B1016="","",IFERROR(INDEX(PERSONAL!$C$2:$C$80,MATCH($B1016,PERSONAL!$A$2:$A$80,0)),""))</f>
        <v/>
      </c>
      <c r="G1016" s="34">
        <f>IF($A1016="","",CHOOSE(WEEKDAY($A1016,2),"LUNES","MARTES","MIÉRCOLES","JUEVES","VIERNES","SÁBADO","DOMINGO"))</f>
        <v/>
      </c>
      <c r="H1016" s="34">
        <f>IF($A1016="","",CHOOSE(MONTH($A1016),"ENERO","FEBRERO","MARZO","ABRIL","MAYO","JUNIO","JULIO","AGOSTO","SEPTIEMBRE","OCTUBRE","NOVIEMBRE","DICIEMBRE"))</f>
        <v/>
      </c>
      <c r="I1016" s="34">
        <f>IF($A1016="","",IF(OR($G1016="SÁBADO",$G1016="DOMINGO"),"FIN","LV"))</f>
        <v/>
      </c>
      <c r="J1016" s="34">
        <f>IF(OR($A1016="",$B1016=""),"",IF($L1016&lt;&gt;"",UPPER($L1016),IF($C1016="","FALTA",IFERROR(IF($C1016&gt;=$O1016,"ROJO FUERTE",IF($C1016&gt;=$N1016,"ROJO",IF($C1016&gt;=$M1016,"AMARILLO","VERDE"))),"REVISAR"))))</f>
        <v/>
      </c>
      <c r="K1016" s="36">
        <f>IF(OR($C1016="",$D1016=""),"",IF($D1016&gt;=$C1016,($D1016-$C1016)*24,(1-$C1016+$D1016)*24))</f>
        <v/>
      </c>
      <c r="L1016" s="34" t="n"/>
      <c r="M1016" s="53">
        <f t="array" ref="M1016">IFERROR(INDEX(EXCEPCIONES_FECHA!$D$2:$D$201,MATCH(1,(EXCEPCIONES_FECHA!$A$2:$A$201=$A1016)*(EXCEPCIONES_FECHA!$B$2:$B$201=$B1016),0)),IFERROR(INDEX(EXCEPCIONES_FECHA!$D$2:$D$201,MATCH(1,(EXCEPCIONES_FECHA!$A$2:$A$201=$A1016)*(EXCEPCIONES_FECHA!$B$2:$B$201=""),0)),IFERROR(INDEX(IF($I1016="FIN",HISTORIAL_HORARIOS!$J$2:$J$201,HISTORIAL_HORARIOS!$F$2:$F$201),MATCH(1,(HISTORIAL_HORARIOS!$A$2:$A$201=$B1016)*(HISTORIAL_HORARIOS!$C$2:$C$201&lt;=$A1016)*(HISTORIAL_HORARIOS!$D$2:$D$201&gt;=$A1016),0)),INDEX(IF($I1016="FIN",PERSONAL!$J$2:$J$80,PERSONAL!$F$2:$F$80),MATCH($B1016,PERSONAL!$A$2:$A$80,0)))))</f>
        <v/>
      </c>
      <c r="N1016" s="53">
        <f t="array" ref="N1016">IFERROR(INDEX(EXCEPCIONES_FECHA!$E$2:$E$201,MATCH(1,(EXCEPCIONES_FECHA!$A$2:$A$201=$A1016)*(EXCEPCIONES_FECHA!$B$2:$B$201=$B1016),0)),IFERROR(INDEX(EXCEPCIONES_FECHA!$E$2:$E$201,MATCH(1,(EXCEPCIONES_FECHA!$A$2:$A$201=$A1016)*(EXCEPCIONES_FECHA!$B$2:$B$201=""),0)),IFERROR(INDEX(IF($I1016="FIN",HISTORIAL_HORARIOS!$K$2:$K$201,HISTORIAL_HORARIOS!$G$2:$G$201),MATCH(1,(HISTORIAL_HORARIOS!$A$2:$A$201=$B1016)*(HISTORIAL_HORARIOS!$C$2:$C$201&lt;=$A1016)*(HISTORIAL_HORARIOS!$D$2:$D$201&gt;=$A1016),0)),INDEX(IF($I1016="FIN",PERSONAL!$K$2:$K$80,PERSONAL!$G$2:$G$80),MATCH($B1016,PERSONAL!$A$2:$A$80,0)))))</f>
        <v/>
      </c>
      <c r="O1016" s="53">
        <f t="array" ref="O1016">IFERROR(INDEX(EXCEPCIONES_FECHA!$F$2:$F$201,MATCH(1,(EXCEPCIONES_FECHA!$A$2:$A$201=$A1016)*(EXCEPCIONES_FECHA!$B$2:$B$201=$B1016),0)),IFERROR(INDEX(EXCEPCIONES_FECHA!$F$2:$F$201,MATCH(1,(EXCEPCIONES_FECHA!$A$2:$A$201=$A1016)*(EXCEPCIONES_FECHA!$B$2:$B$201=""),0)),IFERROR(INDEX(IF($I1016="FIN",HISTORIAL_HORARIOS!$L$2:$L$201,HISTORIAL_HORARIOS!$H$2:$H$201),MATCH(1,(HISTORIAL_HORARIOS!$A$2:$A$201=$B1016)*(HISTORIAL_HORARIOS!$C$2:$C$201&lt;=$A1016)*(HISTORIAL_HORARIOS!$D$2:$D$201&gt;=$A1016),0)),INDEX(IF($I1016="FIN",PERSONAL!$L$2:$L$80,PERSONAL!$H$2:$H$80),MATCH($B1016,PERSONAL!$A$2:$A$80,0)))))</f>
        <v/>
      </c>
    </row>
    <row r="1017" ht="15" customHeight="1" s="58">
      <c r="A1017" s="40" t="n"/>
      <c r="B1017" s="38" t="n"/>
      <c r="C1017" s="40" t="n"/>
      <c r="D1017" s="40" t="n"/>
      <c r="E1017" s="34">
        <f t="array" ref="E1017">IF($B1017="","",IFERROR(INDEX(PERSONAL!$B$2:$B$80,MATCH($B1017,PERSONAL!$A$2:$A$80,0)),"NO EXISTE"))</f>
        <v/>
      </c>
      <c r="F1017" s="34">
        <f t="array" ref="F1017">IF($B1017="","",IFERROR(INDEX(PERSONAL!$C$2:$C$80,MATCH($B1017,PERSONAL!$A$2:$A$80,0)),""))</f>
        <v/>
      </c>
      <c r="G1017" s="34">
        <f>IF($A1017="","",CHOOSE(WEEKDAY($A1017,2),"LUNES","MARTES","MIÉRCOLES","JUEVES","VIERNES","SÁBADO","DOMINGO"))</f>
        <v/>
      </c>
      <c r="H1017" s="34">
        <f>IF($A1017="","",CHOOSE(MONTH($A1017),"ENERO","FEBRERO","MARZO","ABRIL","MAYO","JUNIO","JULIO","AGOSTO","SEPTIEMBRE","OCTUBRE","NOVIEMBRE","DICIEMBRE"))</f>
        <v/>
      </c>
      <c r="I1017" s="34">
        <f>IF($A1017="","",IF(OR($G1017="SÁBADO",$G1017="DOMINGO"),"FIN","LV"))</f>
        <v/>
      </c>
      <c r="J1017" s="34">
        <f>IF(OR($A1017="",$B1017=""),"",IF($L1017&lt;&gt;"",UPPER($L1017),IF($C1017="","FALTA",IFERROR(IF($C1017&gt;=$O1017,"ROJO FUERTE",IF($C1017&gt;=$N1017,"ROJO",IF($C1017&gt;=$M1017,"AMARILLO","VERDE"))),"REVISAR"))))</f>
        <v/>
      </c>
      <c r="K1017" s="36">
        <f>IF(OR($C1017="",$D1017=""),"",IF($D1017&gt;=$C1017,($D1017-$C1017)*24,(1-$C1017+$D1017)*24))</f>
        <v/>
      </c>
      <c r="L1017" s="34" t="n"/>
      <c r="M1017" s="53">
        <f t="array" ref="M1017">IFERROR(INDEX(EXCEPCIONES_FECHA!$D$2:$D$201,MATCH(1,(EXCEPCIONES_FECHA!$A$2:$A$201=$A1017)*(EXCEPCIONES_FECHA!$B$2:$B$201=$B1017),0)),IFERROR(INDEX(EXCEPCIONES_FECHA!$D$2:$D$201,MATCH(1,(EXCEPCIONES_FECHA!$A$2:$A$201=$A1017)*(EXCEPCIONES_FECHA!$B$2:$B$201=""),0)),IFERROR(INDEX(IF($I1017="FIN",HISTORIAL_HORARIOS!$J$2:$J$201,HISTORIAL_HORARIOS!$F$2:$F$201),MATCH(1,(HISTORIAL_HORARIOS!$A$2:$A$201=$B1017)*(HISTORIAL_HORARIOS!$C$2:$C$201&lt;=$A1017)*(HISTORIAL_HORARIOS!$D$2:$D$201&gt;=$A1017),0)),INDEX(IF($I1017="FIN",PERSONAL!$J$2:$J$80,PERSONAL!$F$2:$F$80),MATCH($B1017,PERSONAL!$A$2:$A$80,0)))))</f>
        <v/>
      </c>
      <c r="N1017" s="53">
        <f t="array" ref="N1017">IFERROR(INDEX(EXCEPCIONES_FECHA!$E$2:$E$201,MATCH(1,(EXCEPCIONES_FECHA!$A$2:$A$201=$A1017)*(EXCEPCIONES_FECHA!$B$2:$B$201=$B1017),0)),IFERROR(INDEX(EXCEPCIONES_FECHA!$E$2:$E$201,MATCH(1,(EXCEPCIONES_FECHA!$A$2:$A$201=$A1017)*(EXCEPCIONES_FECHA!$B$2:$B$201=""),0)),IFERROR(INDEX(IF($I1017="FIN",HISTORIAL_HORARIOS!$K$2:$K$201,HISTORIAL_HORARIOS!$G$2:$G$201),MATCH(1,(HISTORIAL_HORARIOS!$A$2:$A$201=$B1017)*(HISTORIAL_HORARIOS!$C$2:$C$201&lt;=$A1017)*(HISTORIAL_HORARIOS!$D$2:$D$201&gt;=$A1017),0)),INDEX(IF($I1017="FIN",PERSONAL!$K$2:$K$80,PERSONAL!$G$2:$G$80),MATCH($B1017,PERSONAL!$A$2:$A$80,0)))))</f>
        <v/>
      </c>
      <c r="O1017" s="53">
        <f t="array" ref="O1017">IFERROR(INDEX(EXCEPCIONES_FECHA!$F$2:$F$201,MATCH(1,(EXCEPCIONES_FECHA!$A$2:$A$201=$A1017)*(EXCEPCIONES_FECHA!$B$2:$B$201=$B1017),0)),IFERROR(INDEX(EXCEPCIONES_FECHA!$F$2:$F$201,MATCH(1,(EXCEPCIONES_FECHA!$A$2:$A$201=$A1017)*(EXCEPCIONES_FECHA!$B$2:$B$201=""),0)),IFERROR(INDEX(IF($I1017="FIN",HISTORIAL_HORARIOS!$L$2:$L$201,HISTORIAL_HORARIOS!$H$2:$H$201),MATCH(1,(HISTORIAL_HORARIOS!$A$2:$A$201=$B1017)*(HISTORIAL_HORARIOS!$C$2:$C$201&lt;=$A1017)*(HISTORIAL_HORARIOS!$D$2:$D$201&gt;=$A1017),0)),INDEX(IF($I1017="FIN",PERSONAL!$L$2:$L$80,PERSONAL!$H$2:$H$80),MATCH($B1017,PERSONAL!$A$2:$A$80,0)))))</f>
        <v/>
      </c>
    </row>
    <row r="1018" ht="15" customHeight="1" s="58">
      <c r="A1018" s="40" t="n"/>
      <c r="B1018" s="38" t="n"/>
      <c r="C1018" s="40" t="n"/>
      <c r="D1018" s="40" t="n"/>
      <c r="E1018" s="34">
        <f t="array" ref="E1018">IF($B1018="","",IFERROR(INDEX(PERSONAL!$B$2:$B$80,MATCH($B1018,PERSONAL!$A$2:$A$80,0)),"NO EXISTE"))</f>
        <v/>
      </c>
      <c r="F1018" s="34">
        <f t="array" ref="F1018">IF($B1018="","",IFERROR(INDEX(PERSONAL!$C$2:$C$80,MATCH($B1018,PERSONAL!$A$2:$A$80,0)),""))</f>
        <v/>
      </c>
      <c r="G1018" s="34">
        <f>IF($A1018="","",CHOOSE(WEEKDAY($A1018,2),"LUNES","MARTES","MIÉRCOLES","JUEVES","VIERNES","SÁBADO","DOMINGO"))</f>
        <v/>
      </c>
      <c r="H1018" s="34">
        <f>IF($A1018="","",CHOOSE(MONTH($A1018),"ENERO","FEBRERO","MARZO","ABRIL","MAYO","JUNIO","JULIO","AGOSTO","SEPTIEMBRE","OCTUBRE","NOVIEMBRE","DICIEMBRE"))</f>
        <v/>
      </c>
      <c r="I1018" s="34">
        <f>IF($A1018="","",IF(OR($G1018="SÁBADO",$G1018="DOMINGO"),"FIN","LV"))</f>
        <v/>
      </c>
      <c r="J1018" s="34">
        <f>IF(OR($A1018="",$B1018=""),"",IF($L1018&lt;&gt;"",UPPER($L1018),IF($C1018="","FALTA",IFERROR(IF($C1018&gt;=$O1018,"ROJO FUERTE",IF($C1018&gt;=$N1018,"ROJO",IF($C1018&gt;=$M1018,"AMARILLO","VERDE"))),"REVISAR"))))</f>
        <v/>
      </c>
      <c r="K1018" s="36">
        <f>IF(OR($C1018="",$D1018=""),"",IF($D1018&gt;=$C1018,($D1018-$C1018)*24,(1-$C1018+$D1018)*24))</f>
        <v/>
      </c>
      <c r="L1018" s="34" t="n"/>
      <c r="M1018" s="53">
        <f t="array" ref="M1018">IFERROR(INDEX(EXCEPCIONES_FECHA!$D$2:$D$201,MATCH(1,(EXCEPCIONES_FECHA!$A$2:$A$201=$A1018)*(EXCEPCIONES_FECHA!$B$2:$B$201=$B1018),0)),IFERROR(INDEX(EXCEPCIONES_FECHA!$D$2:$D$201,MATCH(1,(EXCEPCIONES_FECHA!$A$2:$A$201=$A1018)*(EXCEPCIONES_FECHA!$B$2:$B$201=""),0)),IFERROR(INDEX(IF($I1018="FIN",HISTORIAL_HORARIOS!$J$2:$J$201,HISTORIAL_HORARIOS!$F$2:$F$201),MATCH(1,(HISTORIAL_HORARIOS!$A$2:$A$201=$B1018)*(HISTORIAL_HORARIOS!$C$2:$C$201&lt;=$A1018)*(HISTORIAL_HORARIOS!$D$2:$D$201&gt;=$A1018),0)),INDEX(IF($I1018="FIN",PERSONAL!$J$2:$J$80,PERSONAL!$F$2:$F$80),MATCH($B1018,PERSONAL!$A$2:$A$80,0)))))</f>
        <v/>
      </c>
      <c r="N1018" s="53">
        <f t="array" ref="N1018">IFERROR(INDEX(EXCEPCIONES_FECHA!$E$2:$E$201,MATCH(1,(EXCEPCIONES_FECHA!$A$2:$A$201=$A1018)*(EXCEPCIONES_FECHA!$B$2:$B$201=$B1018),0)),IFERROR(INDEX(EXCEPCIONES_FECHA!$E$2:$E$201,MATCH(1,(EXCEPCIONES_FECHA!$A$2:$A$201=$A1018)*(EXCEPCIONES_FECHA!$B$2:$B$201=""),0)),IFERROR(INDEX(IF($I1018="FIN",HISTORIAL_HORARIOS!$K$2:$K$201,HISTORIAL_HORARIOS!$G$2:$G$201),MATCH(1,(HISTORIAL_HORARIOS!$A$2:$A$201=$B1018)*(HISTORIAL_HORARIOS!$C$2:$C$201&lt;=$A1018)*(HISTORIAL_HORARIOS!$D$2:$D$201&gt;=$A1018),0)),INDEX(IF($I1018="FIN",PERSONAL!$K$2:$K$80,PERSONAL!$G$2:$G$80),MATCH($B1018,PERSONAL!$A$2:$A$80,0)))))</f>
        <v/>
      </c>
      <c r="O1018" s="53">
        <f t="array" ref="O1018">IFERROR(INDEX(EXCEPCIONES_FECHA!$F$2:$F$201,MATCH(1,(EXCEPCIONES_FECHA!$A$2:$A$201=$A1018)*(EXCEPCIONES_FECHA!$B$2:$B$201=$B1018),0)),IFERROR(INDEX(EXCEPCIONES_FECHA!$F$2:$F$201,MATCH(1,(EXCEPCIONES_FECHA!$A$2:$A$201=$A1018)*(EXCEPCIONES_FECHA!$B$2:$B$201=""),0)),IFERROR(INDEX(IF($I1018="FIN",HISTORIAL_HORARIOS!$L$2:$L$201,HISTORIAL_HORARIOS!$H$2:$H$201),MATCH(1,(HISTORIAL_HORARIOS!$A$2:$A$201=$B1018)*(HISTORIAL_HORARIOS!$C$2:$C$201&lt;=$A1018)*(HISTORIAL_HORARIOS!$D$2:$D$201&gt;=$A1018),0)),INDEX(IF($I1018="FIN",PERSONAL!$L$2:$L$80,PERSONAL!$H$2:$H$80),MATCH($B1018,PERSONAL!$A$2:$A$80,0)))))</f>
        <v/>
      </c>
    </row>
    <row r="1019" ht="15" customHeight="1" s="58">
      <c r="A1019" s="40" t="n"/>
      <c r="B1019" s="38" t="n"/>
      <c r="C1019" s="40" t="n"/>
      <c r="D1019" s="40" t="n"/>
      <c r="E1019" s="34">
        <f t="array" ref="E1019">IF($B1019="","",IFERROR(INDEX(PERSONAL!$B$2:$B$80,MATCH($B1019,PERSONAL!$A$2:$A$80,0)),"NO EXISTE"))</f>
        <v/>
      </c>
      <c r="F1019" s="34">
        <f t="array" ref="F1019">IF($B1019="","",IFERROR(INDEX(PERSONAL!$C$2:$C$80,MATCH($B1019,PERSONAL!$A$2:$A$80,0)),""))</f>
        <v/>
      </c>
      <c r="G1019" s="34">
        <f>IF($A1019="","",CHOOSE(WEEKDAY($A1019,2),"LUNES","MARTES","MIÉRCOLES","JUEVES","VIERNES","SÁBADO","DOMINGO"))</f>
        <v/>
      </c>
      <c r="H1019" s="34">
        <f>IF($A1019="","",CHOOSE(MONTH($A1019),"ENERO","FEBRERO","MARZO","ABRIL","MAYO","JUNIO","JULIO","AGOSTO","SEPTIEMBRE","OCTUBRE","NOVIEMBRE","DICIEMBRE"))</f>
        <v/>
      </c>
      <c r="I1019" s="34">
        <f>IF($A1019="","",IF(OR($G1019="SÁBADO",$G1019="DOMINGO"),"FIN","LV"))</f>
        <v/>
      </c>
      <c r="J1019" s="34">
        <f>IF(OR($A1019="",$B1019=""),"",IF($L1019&lt;&gt;"",UPPER($L1019),IF($C1019="","FALTA",IFERROR(IF($C1019&gt;=$O1019,"ROJO FUERTE",IF($C1019&gt;=$N1019,"ROJO",IF($C1019&gt;=$M1019,"AMARILLO","VERDE"))),"REVISAR"))))</f>
        <v/>
      </c>
      <c r="K1019" s="36">
        <f>IF(OR($C1019="",$D1019=""),"",IF($D1019&gt;=$C1019,($D1019-$C1019)*24,(1-$C1019+$D1019)*24))</f>
        <v/>
      </c>
      <c r="L1019" s="34" t="n"/>
      <c r="M1019" s="53">
        <f t="array" ref="M1019">IFERROR(INDEX(EXCEPCIONES_FECHA!$D$2:$D$201,MATCH(1,(EXCEPCIONES_FECHA!$A$2:$A$201=$A1019)*(EXCEPCIONES_FECHA!$B$2:$B$201=$B1019),0)),IFERROR(INDEX(EXCEPCIONES_FECHA!$D$2:$D$201,MATCH(1,(EXCEPCIONES_FECHA!$A$2:$A$201=$A1019)*(EXCEPCIONES_FECHA!$B$2:$B$201=""),0)),IFERROR(INDEX(IF($I1019="FIN",HISTORIAL_HORARIOS!$J$2:$J$201,HISTORIAL_HORARIOS!$F$2:$F$201),MATCH(1,(HISTORIAL_HORARIOS!$A$2:$A$201=$B1019)*(HISTORIAL_HORARIOS!$C$2:$C$201&lt;=$A1019)*(HISTORIAL_HORARIOS!$D$2:$D$201&gt;=$A1019),0)),INDEX(IF($I1019="FIN",PERSONAL!$J$2:$J$80,PERSONAL!$F$2:$F$80),MATCH($B1019,PERSONAL!$A$2:$A$80,0)))))</f>
        <v/>
      </c>
      <c r="N1019" s="53">
        <f t="array" ref="N1019">IFERROR(INDEX(EXCEPCIONES_FECHA!$E$2:$E$201,MATCH(1,(EXCEPCIONES_FECHA!$A$2:$A$201=$A1019)*(EXCEPCIONES_FECHA!$B$2:$B$201=$B1019),0)),IFERROR(INDEX(EXCEPCIONES_FECHA!$E$2:$E$201,MATCH(1,(EXCEPCIONES_FECHA!$A$2:$A$201=$A1019)*(EXCEPCIONES_FECHA!$B$2:$B$201=""),0)),IFERROR(INDEX(IF($I1019="FIN",HISTORIAL_HORARIOS!$K$2:$K$201,HISTORIAL_HORARIOS!$G$2:$G$201),MATCH(1,(HISTORIAL_HORARIOS!$A$2:$A$201=$B1019)*(HISTORIAL_HORARIOS!$C$2:$C$201&lt;=$A1019)*(HISTORIAL_HORARIOS!$D$2:$D$201&gt;=$A1019),0)),INDEX(IF($I1019="FIN",PERSONAL!$K$2:$K$80,PERSONAL!$G$2:$G$80),MATCH($B1019,PERSONAL!$A$2:$A$80,0)))))</f>
        <v/>
      </c>
      <c r="O1019" s="53">
        <f t="array" ref="O1019">IFERROR(INDEX(EXCEPCIONES_FECHA!$F$2:$F$201,MATCH(1,(EXCEPCIONES_FECHA!$A$2:$A$201=$A1019)*(EXCEPCIONES_FECHA!$B$2:$B$201=$B1019),0)),IFERROR(INDEX(EXCEPCIONES_FECHA!$F$2:$F$201,MATCH(1,(EXCEPCIONES_FECHA!$A$2:$A$201=$A1019)*(EXCEPCIONES_FECHA!$B$2:$B$201=""),0)),IFERROR(INDEX(IF($I1019="FIN",HISTORIAL_HORARIOS!$L$2:$L$201,HISTORIAL_HORARIOS!$H$2:$H$201),MATCH(1,(HISTORIAL_HORARIOS!$A$2:$A$201=$B1019)*(HISTORIAL_HORARIOS!$C$2:$C$201&lt;=$A1019)*(HISTORIAL_HORARIOS!$D$2:$D$201&gt;=$A1019),0)),INDEX(IF($I1019="FIN",PERSONAL!$L$2:$L$80,PERSONAL!$H$2:$H$80),MATCH($B1019,PERSONAL!$A$2:$A$80,0)))))</f>
        <v/>
      </c>
    </row>
    <row r="1020" ht="15" customHeight="1" s="58">
      <c r="A1020" s="40" t="n"/>
      <c r="B1020" s="38" t="n"/>
      <c r="C1020" s="40" t="n"/>
      <c r="D1020" s="40" t="n"/>
      <c r="E1020" s="34">
        <f t="array" ref="E1020">IF($B1020="","",IFERROR(INDEX(PERSONAL!$B$2:$B$80,MATCH($B1020,PERSONAL!$A$2:$A$80,0)),"NO EXISTE"))</f>
        <v/>
      </c>
      <c r="F1020" s="34">
        <f t="array" ref="F1020">IF($B1020="","",IFERROR(INDEX(PERSONAL!$C$2:$C$80,MATCH($B1020,PERSONAL!$A$2:$A$80,0)),""))</f>
        <v/>
      </c>
      <c r="G1020" s="34">
        <f>IF($A1020="","",CHOOSE(WEEKDAY($A1020,2),"LUNES","MARTES","MIÉRCOLES","JUEVES","VIERNES","SÁBADO","DOMINGO"))</f>
        <v/>
      </c>
      <c r="H1020" s="34">
        <f>IF($A1020="","",CHOOSE(MONTH($A1020),"ENERO","FEBRERO","MARZO","ABRIL","MAYO","JUNIO","JULIO","AGOSTO","SEPTIEMBRE","OCTUBRE","NOVIEMBRE","DICIEMBRE"))</f>
        <v/>
      </c>
      <c r="I1020" s="34">
        <f>IF($A1020="","",IF(OR($G1020="SÁBADO",$G1020="DOMINGO"),"FIN","LV"))</f>
        <v/>
      </c>
      <c r="J1020" s="34">
        <f>IF(OR($A1020="",$B1020=""),"",IF($L1020&lt;&gt;"",UPPER($L1020),IF($C1020="","FALTA",IFERROR(IF($C1020&gt;=$O1020,"ROJO FUERTE",IF($C1020&gt;=$N1020,"ROJO",IF($C1020&gt;=$M1020,"AMARILLO","VERDE"))),"REVISAR"))))</f>
        <v/>
      </c>
      <c r="K1020" s="36">
        <f>IF(OR($C1020="",$D1020=""),"",IF($D1020&gt;=$C1020,($D1020-$C1020)*24,(1-$C1020+$D1020)*24))</f>
        <v/>
      </c>
      <c r="L1020" s="34" t="n"/>
      <c r="M1020" s="53">
        <f t="array" ref="M1020">IFERROR(INDEX(EXCEPCIONES_FECHA!$D$2:$D$201,MATCH(1,(EXCEPCIONES_FECHA!$A$2:$A$201=$A1020)*(EXCEPCIONES_FECHA!$B$2:$B$201=$B1020),0)),IFERROR(INDEX(EXCEPCIONES_FECHA!$D$2:$D$201,MATCH(1,(EXCEPCIONES_FECHA!$A$2:$A$201=$A1020)*(EXCEPCIONES_FECHA!$B$2:$B$201=""),0)),IFERROR(INDEX(IF($I1020="FIN",HISTORIAL_HORARIOS!$J$2:$J$201,HISTORIAL_HORARIOS!$F$2:$F$201),MATCH(1,(HISTORIAL_HORARIOS!$A$2:$A$201=$B1020)*(HISTORIAL_HORARIOS!$C$2:$C$201&lt;=$A1020)*(HISTORIAL_HORARIOS!$D$2:$D$201&gt;=$A1020),0)),INDEX(IF($I1020="FIN",PERSONAL!$J$2:$J$80,PERSONAL!$F$2:$F$80),MATCH($B1020,PERSONAL!$A$2:$A$80,0)))))</f>
        <v/>
      </c>
      <c r="N1020" s="53">
        <f t="array" ref="N1020">IFERROR(INDEX(EXCEPCIONES_FECHA!$E$2:$E$201,MATCH(1,(EXCEPCIONES_FECHA!$A$2:$A$201=$A1020)*(EXCEPCIONES_FECHA!$B$2:$B$201=$B1020),0)),IFERROR(INDEX(EXCEPCIONES_FECHA!$E$2:$E$201,MATCH(1,(EXCEPCIONES_FECHA!$A$2:$A$201=$A1020)*(EXCEPCIONES_FECHA!$B$2:$B$201=""),0)),IFERROR(INDEX(IF($I1020="FIN",HISTORIAL_HORARIOS!$K$2:$K$201,HISTORIAL_HORARIOS!$G$2:$G$201),MATCH(1,(HISTORIAL_HORARIOS!$A$2:$A$201=$B1020)*(HISTORIAL_HORARIOS!$C$2:$C$201&lt;=$A1020)*(HISTORIAL_HORARIOS!$D$2:$D$201&gt;=$A1020),0)),INDEX(IF($I1020="FIN",PERSONAL!$K$2:$K$80,PERSONAL!$G$2:$G$80),MATCH($B1020,PERSONAL!$A$2:$A$80,0)))))</f>
        <v/>
      </c>
      <c r="O1020" s="53">
        <f t="array" ref="O1020">IFERROR(INDEX(EXCEPCIONES_FECHA!$F$2:$F$201,MATCH(1,(EXCEPCIONES_FECHA!$A$2:$A$201=$A1020)*(EXCEPCIONES_FECHA!$B$2:$B$201=$B1020),0)),IFERROR(INDEX(EXCEPCIONES_FECHA!$F$2:$F$201,MATCH(1,(EXCEPCIONES_FECHA!$A$2:$A$201=$A1020)*(EXCEPCIONES_FECHA!$B$2:$B$201=""),0)),IFERROR(INDEX(IF($I1020="FIN",HISTORIAL_HORARIOS!$L$2:$L$201,HISTORIAL_HORARIOS!$H$2:$H$201),MATCH(1,(HISTORIAL_HORARIOS!$A$2:$A$201=$B1020)*(HISTORIAL_HORARIOS!$C$2:$C$201&lt;=$A1020)*(HISTORIAL_HORARIOS!$D$2:$D$201&gt;=$A1020),0)),INDEX(IF($I1020="FIN",PERSONAL!$L$2:$L$80,PERSONAL!$H$2:$H$80),MATCH($B1020,PERSONAL!$A$2:$A$80,0)))))</f>
        <v/>
      </c>
    </row>
    <row r="1021" ht="15" customHeight="1" s="58">
      <c r="A1021" s="40" t="n"/>
      <c r="B1021" s="38" t="n"/>
      <c r="C1021" s="40" t="n"/>
      <c r="D1021" s="40" t="n"/>
      <c r="E1021" s="34">
        <f t="array" ref="E1021">IF($B1021="","",IFERROR(INDEX(PERSONAL!$B$2:$B$80,MATCH($B1021,PERSONAL!$A$2:$A$80,0)),"NO EXISTE"))</f>
        <v/>
      </c>
      <c r="F1021" s="34">
        <f t="array" ref="F1021">IF($B1021="","",IFERROR(INDEX(PERSONAL!$C$2:$C$80,MATCH($B1021,PERSONAL!$A$2:$A$80,0)),""))</f>
        <v/>
      </c>
      <c r="G1021" s="34">
        <f>IF($A1021="","",CHOOSE(WEEKDAY($A1021,2),"LUNES","MARTES","MIÉRCOLES","JUEVES","VIERNES","SÁBADO","DOMINGO"))</f>
        <v/>
      </c>
      <c r="H1021" s="34">
        <f>IF($A1021="","",CHOOSE(MONTH($A1021),"ENERO","FEBRERO","MARZO","ABRIL","MAYO","JUNIO","JULIO","AGOSTO","SEPTIEMBRE","OCTUBRE","NOVIEMBRE","DICIEMBRE"))</f>
        <v/>
      </c>
      <c r="I1021" s="34">
        <f>IF($A1021="","",IF(OR($G1021="SÁBADO",$G1021="DOMINGO"),"FIN","LV"))</f>
        <v/>
      </c>
      <c r="J1021" s="34">
        <f>IF(OR($A1021="",$B1021=""),"",IF($L1021&lt;&gt;"",UPPER($L1021),IF($C1021="","FALTA",IFERROR(IF($C1021&gt;=$O1021,"ROJO FUERTE",IF($C1021&gt;=$N1021,"ROJO",IF($C1021&gt;=$M1021,"AMARILLO","VERDE"))),"REVISAR"))))</f>
        <v/>
      </c>
      <c r="K1021" s="36">
        <f>IF(OR($C1021="",$D1021=""),"",IF($D1021&gt;=$C1021,($D1021-$C1021)*24,(1-$C1021+$D1021)*24))</f>
        <v/>
      </c>
      <c r="L1021" s="34" t="n"/>
      <c r="M1021" s="53">
        <f t="array" ref="M1021">IFERROR(INDEX(EXCEPCIONES_FECHA!$D$2:$D$201,MATCH(1,(EXCEPCIONES_FECHA!$A$2:$A$201=$A1021)*(EXCEPCIONES_FECHA!$B$2:$B$201=$B1021),0)),IFERROR(INDEX(EXCEPCIONES_FECHA!$D$2:$D$201,MATCH(1,(EXCEPCIONES_FECHA!$A$2:$A$201=$A1021)*(EXCEPCIONES_FECHA!$B$2:$B$201=""),0)),IFERROR(INDEX(IF($I1021="FIN",HISTORIAL_HORARIOS!$J$2:$J$201,HISTORIAL_HORARIOS!$F$2:$F$201),MATCH(1,(HISTORIAL_HORARIOS!$A$2:$A$201=$B1021)*(HISTORIAL_HORARIOS!$C$2:$C$201&lt;=$A1021)*(HISTORIAL_HORARIOS!$D$2:$D$201&gt;=$A1021),0)),INDEX(IF($I1021="FIN",PERSONAL!$J$2:$J$80,PERSONAL!$F$2:$F$80),MATCH($B1021,PERSONAL!$A$2:$A$80,0)))))</f>
        <v/>
      </c>
      <c r="N1021" s="53">
        <f t="array" ref="N1021">IFERROR(INDEX(EXCEPCIONES_FECHA!$E$2:$E$201,MATCH(1,(EXCEPCIONES_FECHA!$A$2:$A$201=$A1021)*(EXCEPCIONES_FECHA!$B$2:$B$201=$B1021),0)),IFERROR(INDEX(EXCEPCIONES_FECHA!$E$2:$E$201,MATCH(1,(EXCEPCIONES_FECHA!$A$2:$A$201=$A1021)*(EXCEPCIONES_FECHA!$B$2:$B$201=""),0)),IFERROR(INDEX(IF($I1021="FIN",HISTORIAL_HORARIOS!$K$2:$K$201,HISTORIAL_HORARIOS!$G$2:$G$201),MATCH(1,(HISTORIAL_HORARIOS!$A$2:$A$201=$B1021)*(HISTORIAL_HORARIOS!$C$2:$C$201&lt;=$A1021)*(HISTORIAL_HORARIOS!$D$2:$D$201&gt;=$A1021),0)),INDEX(IF($I1021="FIN",PERSONAL!$K$2:$K$80,PERSONAL!$G$2:$G$80),MATCH($B1021,PERSONAL!$A$2:$A$80,0)))))</f>
        <v/>
      </c>
      <c r="O1021" s="53">
        <f t="array" ref="O1021">IFERROR(INDEX(EXCEPCIONES_FECHA!$F$2:$F$201,MATCH(1,(EXCEPCIONES_FECHA!$A$2:$A$201=$A1021)*(EXCEPCIONES_FECHA!$B$2:$B$201=$B1021),0)),IFERROR(INDEX(EXCEPCIONES_FECHA!$F$2:$F$201,MATCH(1,(EXCEPCIONES_FECHA!$A$2:$A$201=$A1021)*(EXCEPCIONES_FECHA!$B$2:$B$201=""),0)),IFERROR(INDEX(IF($I1021="FIN",HISTORIAL_HORARIOS!$L$2:$L$201,HISTORIAL_HORARIOS!$H$2:$H$201),MATCH(1,(HISTORIAL_HORARIOS!$A$2:$A$201=$B1021)*(HISTORIAL_HORARIOS!$C$2:$C$201&lt;=$A1021)*(HISTORIAL_HORARIOS!$D$2:$D$201&gt;=$A1021),0)),INDEX(IF($I1021="FIN",PERSONAL!$L$2:$L$80,PERSONAL!$H$2:$H$80),MATCH($B1021,PERSONAL!$A$2:$A$80,0)))))</f>
        <v/>
      </c>
    </row>
    <row r="1022" ht="15" customHeight="1" s="58">
      <c r="A1022" s="40" t="n"/>
      <c r="B1022" s="38" t="n"/>
      <c r="C1022" s="40" t="n"/>
      <c r="D1022" s="40" t="n"/>
      <c r="E1022" s="34">
        <f t="array" ref="E1022">IF($B1022="","",IFERROR(INDEX(PERSONAL!$B$2:$B$80,MATCH($B1022,PERSONAL!$A$2:$A$80,0)),"NO EXISTE"))</f>
        <v/>
      </c>
      <c r="F1022" s="34">
        <f t="array" ref="F1022">IF($B1022="","",IFERROR(INDEX(PERSONAL!$C$2:$C$80,MATCH($B1022,PERSONAL!$A$2:$A$80,0)),""))</f>
        <v/>
      </c>
      <c r="G1022" s="34">
        <f>IF($A1022="","",CHOOSE(WEEKDAY($A1022,2),"LUNES","MARTES","MIÉRCOLES","JUEVES","VIERNES","SÁBADO","DOMINGO"))</f>
        <v/>
      </c>
      <c r="H1022" s="34">
        <f>IF($A1022="","",CHOOSE(MONTH($A1022),"ENERO","FEBRERO","MARZO","ABRIL","MAYO","JUNIO","JULIO","AGOSTO","SEPTIEMBRE","OCTUBRE","NOVIEMBRE","DICIEMBRE"))</f>
        <v/>
      </c>
      <c r="I1022" s="34">
        <f>IF($A1022="","",IF(OR($G1022="SÁBADO",$G1022="DOMINGO"),"FIN","LV"))</f>
        <v/>
      </c>
      <c r="J1022" s="34">
        <f>IF(OR($A1022="",$B1022=""),"",IF($L1022&lt;&gt;"",UPPER($L1022),IF($C1022="","FALTA",IFERROR(IF($C1022&gt;=$O1022,"ROJO FUERTE",IF($C1022&gt;=$N1022,"ROJO",IF($C1022&gt;=$M1022,"AMARILLO","VERDE"))),"REVISAR"))))</f>
        <v/>
      </c>
      <c r="K1022" s="36">
        <f>IF(OR($C1022="",$D1022=""),"",IF($D1022&gt;=$C1022,($D1022-$C1022)*24,(1-$C1022+$D1022)*24))</f>
        <v/>
      </c>
      <c r="L1022" s="34" t="n"/>
      <c r="M1022" s="53">
        <f t="array" ref="M1022">IFERROR(INDEX(EXCEPCIONES_FECHA!$D$2:$D$201,MATCH(1,(EXCEPCIONES_FECHA!$A$2:$A$201=$A1022)*(EXCEPCIONES_FECHA!$B$2:$B$201=$B1022),0)),IFERROR(INDEX(EXCEPCIONES_FECHA!$D$2:$D$201,MATCH(1,(EXCEPCIONES_FECHA!$A$2:$A$201=$A1022)*(EXCEPCIONES_FECHA!$B$2:$B$201=""),0)),IFERROR(INDEX(IF($I1022="FIN",HISTORIAL_HORARIOS!$J$2:$J$201,HISTORIAL_HORARIOS!$F$2:$F$201),MATCH(1,(HISTORIAL_HORARIOS!$A$2:$A$201=$B1022)*(HISTORIAL_HORARIOS!$C$2:$C$201&lt;=$A1022)*(HISTORIAL_HORARIOS!$D$2:$D$201&gt;=$A1022),0)),INDEX(IF($I1022="FIN",PERSONAL!$J$2:$J$80,PERSONAL!$F$2:$F$80),MATCH($B1022,PERSONAL!$A$2:$A$80,0)))))</f>
        <v/>
      </c>
      <c r="N1022" s="53">
        <f t="array" ref="N1022">IFERROR(INDEX(EXCEPCIONES_FECHA!$E$2:$E$201,MATCH(1,(EXCEPCIONES_FECHA!$A$2:$A$201=$A1022)*(EXCEPCIONES_FECHA!$B$2:$B$201=$B1022),0)),IFERROR(INDEX(EXCEPCIONES_FECHA!$E$2:$E$201,MATCH(1,(EXCEPCIONES_FECHA!$A$2:$A$201=$A1022)*(EXCEPCIONES_FECHA!$B$2:$B$201=""),0)),IFERROR(INDEX(IF($I1022="FIN",HISTORIAL_HORARIOS!$K$2:$K$201,HISTORIAL_HORARIOS!$G$2:$G$201),MATCH(1,(HISTORIAL_HORARIOS!$A$2:$A$201=$B1022)*(HISTORIAL_HORARIOS!$C$2:$C$201&lt;=$A1022)*(HISTORIAL_HORARIOS!$D$2:$D$201&gt;=$A1022),0)),INDEX(IF($I1022="FIN",PERSONAL!$K$2:$K$80,PERSONAL!$G$2:$G$80),MATCH($B1022,PERSONAL!$A$2:$A$80,0)))))</f>
        <v/>
      </c>
      <c r="O1022" s="53">
        <f t="array" ref="O1022">IFERROR(INDEX(EXCEPCIONES_FECHA!$F$2:$F$201,MATCH(1,(EXCEPCIONES_FECHA!$A$2:$A$201=$A1022)*(EXCEPCIONES_FECHA!$B$2:$B$201=$B1022),0)),IFERROR(INDEX(EXCEPCIONES_FECHA!$F$2:$F$201,MATCH(1,(EXCEPCIONES_FECHA!$A$2:$A$201=$A1022)*(EXCEPCIONES_FECHA!$B$2:$B$201=""),0)),IFERROR(INDEX(IF($I1022="FIN",HISTORIAL_HORARIOS!$L$2:$L$201,HISTORIAL_HORARIOS!$H$2:$H$201),MATCH(1,(HISTORIAL_HORARIOS!$A$2:$A$201=$B1022)*(HISTORIAL_HORARIOS!$C$2:$C$201&lt;=$A1022)*(HISTORIAL_HORARIOS!$D$2:$D$201&gt;=$A1022),0)),INDEX(IF($I1022="FIN",PERSONAL!$L$2:$L$80,PERSONAL!$H$2:$H$80),MATCH($B1022,PERSONAL!$A$2:$A$80,0)))))</f>
        <v/>
      </c>
    </row>
    <row r="1023" ht="15" customHeight="1" s="58">
      <c r="A1023" s="40" t="n"/>
      <c r="B1023" s="38" t="n"/>
      <c r="C1023" s="40" t="n"/>
      <c r="D1023" s="40" t="n"/>
      <c r="E1023" s="34">
        <f t="array" ref="E1023">IF($B1023="","",IFERROR(INDEX(PERSONAL!$B$2:$B$80,MATCH($B1023,PERSONAL!$A$2:$A$80,0)),"NO EXISTE"))</f>
        <v/>
      </c>
      <c r="F1023" s="34">
        <f t="array" ref="F1023">IF($B1023="","",IFERROR(INDEX(PERSONAL!$C$2:$C$80,MATCH($B1023,PERSONAL!$A$2:$A$80,0)),""))</f>
        <v/>
      </c>
      <c r="G1023" s="34">
        <f>IF($A1023="","",CHOOSE(WEEKDAY($A1023,2),"LUNES","MARTES","MIÉRCOLES","JUEVES","VIERNES","SÁBADO","DOMINGO"))</f>
        <v/>
      </c>
      <c r="H1023" s="34">
        <f>IF($A1023="","",CHOOSE(MONTH($A1023),"ENERO","FEBRERO","MARZO","ABRIL","MAYO","JUNIO","JULIO","AGOSTO","SEPTIEMBRE","OCTUBRE","NOVIEMBRE","DICIEMBRE"))</f>
        <v/>
      </c>
      <c r="I1023" s="34">
        <f>IF($A1023="","",IF(OR($G1023="SÁBADO",$G1023="DOMINGO"),"FIN","LV"))</f>
        <v/>
      </c>
      <c r="J1023" s="34">
        <f>IF(OR($A1023="",$B1023=""),"",IF($L1023&lt;&gt;"",UPPER($L1023),IF($C1023="","FALTA",IFERROR(IF($C1023&gt;=$O1023,"ROJO FUERTE",IF($C1023&gt;=$N1023,"ROJO",IF($C1023&gt;=$M1023,"AMARILLO","VERDE"))),"REVISAR"))))</f>
        <v/>
      </c>
      <c r="K1023" s="36">
        <f>IF(OR($C1023="",$D1023=""),"",IF($D1023&gt;=$C1023,($D1023-$C1023)*24,(1-$C1023+$D1023)*24))</f>
        <v/>
      </c>
      <c r="L1023" s="34" t="n"/>
      <c r="M1023" s="53">
        <f t="array" ref="M1023">IFERROR(INDEX(EXCEPCIONES_FECHA!$D$2:$D$201,MATCH(1,(EXCEPCIONES_FECHA!$A$2:$A$201=$A1023)*(EXCEPCIONES_FECHA!$B$2:$B$201=$B1023),0)),IFERROR(INDEX(EXCEPCIONES_FECHA!$D$2:$D$201,MATCH(1,(EXCEPCIONES_FECHA!$A$2:$A$201=$A1023)*(EXCEPCIONES_FECHA!$B$2:$B$201=""),0)),IFERROR(INDEX(IF($I1023="FIN",HISTORIAL_HORARIOS!$J$2:$J$201,HISTORIAL_HORARIOS!$F$2:$F$201),MATCH(1,(HISTORIAL_HORARIOS!$A$2:$A$201=$B1023)*(HISTORIAL_HORARIOS!$C$2:$C$201&lt;=$A1023)*(HISTORIAL_HORARIOS!$D$2:$D$201&gt;=$A1023),0)),INDEX(IF($I1023="FIN",PERSONAL!$J$2:$J$80,PERSONAL!$F$2:$F$80),MATCH($B1023,PERSONAL!$A$2:$A$80,0)))))</f>
        <v/>
      </c>
      <c r="N1023" s="53">
        <f t="array" ref="N1023">IFERROR(INDEX(EXCEPCIONES_FECHA!$E$2:$E$201,MATCH(1,(EXCEPCIONES_FECHA!$A$2:$A$201=$A1023)*(EXCEPCIONES_FECHA!$B$2:$B$201=$B1023),0)),IFERROR(INDEX(EXCEPCIONES_FECHA!$E$2:$E$201,MATCH(1,(EXCEPCIONES_FECHA!$A$2:$A$201=$A1023)*(EXCEPCIONES_FECHA!$B$2:$B$201=""),0)),IFERROR(INDEX(IF($I1023="FIN",HISTORIAL_HORARIOS!$K$2:$K$201,HISTORIAL_HORARIOS!$G$2:$G$201),MATCH(1,(HISTORIAL_HORARIOS!$A$2:$A$201=$B1023)*(HISTORIAL_HORARIOS!$C$2:$C$201&lt;=$A1023)*(HISTORIAL_HORARIOS!$D$2:$D$201&gt;=$A1023),0)),INDEX(IF($I1023="FIN",PERSONAL!$K$2:$K$80,PERSONAL!$G$2:$G$80),MATCH($B1023,PERSONAL!$A$2:$A$80,0)))))</f>
        <v/>
      </c>
      <c r="O1023" s="53">
        <f t="array" ref="O1023">IFERROR(INDEX(EXCEPCIONES_FECHA!$F$2:$F$201,MATCH(1,(EXCEPCIONES_FECHA!$A$2:$A$201=$A1023)*(EXCEPCIONES_FECHA!$B$2:$B$201=$B1023),0)),IFERROR(INDEX(EXCEPCIONES_FECHA!$F$2:$F$201,MATCH(1,(EXCEPCIONES_FECHA!$A$2:$A$201=$A1023)*(EXCEPCIONES_FECHA!$B$2:$B$201=""),0)),IFERROR(INDEX(IF($I1023="FIN",HISTORIAL_HORARIOS!$L$2:$L$201,HISTORIAL_HORARIOS!$H$2:$H$201),MATCH(1,(HISTORIAL_HORARIOS!$A$2:$A$201=$B1023)*(HISTORIAL_HORARIOS!$C$2:$C$201&lt;=$A1023)*(HISTORIAL_HORARIOS!$D$2:$D$201&gt;=$A1023),0)),INDEX(IF($I1023="FIN",PERSONAL!$L$2:$L$80,PERSONAL!$H$2:$H$80),MATCH($B1023,PERSONAL!$A$2:$A$80,0)))))</f>
        <v/>
      </c>
    </row>
    <row r="1024" ht="15" customHeight="1" s="58">
      <c r="A1024" s="40" t="n"/>
      <c r="B1024" s="38" t="n"/>
      <c r="C1024" s="40" t="n"/>
      <c r="D1024" s="40" t="n"/>
      <c r="E1024" s="34">
        <f t="array" ref="E1024">IF($B1024="","",IFERROR(INDEX(PERSONAL!$B$2:$B$80,MATCH($B1024,PERSONAL!$A$2:$A$80,0)),"NO EXISTE"))</f>
        <v/>
      </c>
      <c r="F1024" s="34">
        <f t="array" ref="F1024">IF($B1024="","",IFERROR(INDEX(PERSONAL!$C$2:$C$80,MATCH($B1024,PERSONAL!$A$2:$A$80,0)),""))</f>
        <v/>
      </c>
      <c r="G1024" s="34">
        <f>IF($A1024="","",CHOOSE(WEEKDAY($A1024,2),"LUNES","MARTES","MIÉRCOLES","JUEVES","VIERNES","SÁBADO","DOMINGO"))</f>
        <v/>
      </c>
      <c r="H1024" s="34">
        <f>IF($A1024="","",CHOOSE(MONTH($A1024),"ENERO","FEBRERO","MARZO","ABRIL","MAYO","JUNIO","JULIO","AGOSTO","SEPTIEMBRE","OCTUBRE","NOVIEMBRE","DICIEMBRE"))</f>
        <v/>
      </c>
      <c r="I1024" s="34">
        <f>IF($A1024="","",IF(OR($G1024="SÁBADO",$G1024="DOMINGO"),"FIN","LV"))</f>
        <v/>
      </c>
      <c r="J1024" s="34">
        <f>IF(OR($A1024="",$B1024=""),"",IF($L1024&lt;&gt;"",UPPER($L1024),IF($C1024="","FALTA",IFERROR(IF($C1024&gt;=$O1024,"ROJO FUERTE",IF($C1024&gt;=$N1024,"ROJO",IF($C1024&gt;=$M1024,"AMARILLO","VERDE"))),"REVISAR"))))</f>
        <v/>
      </c>
      <c r="K1024" s="36">
        <f>IF(OR($C1024="",$D1024=""),"",IF($D1024&gt;=$C1024,($D1024-$C1024)*24,(1-$C1024+$D1024)*24))</f>
        <v/>
      </c>
      <c r="L1024" s="34" t="n"/>
      <c r="M1024" s="53">
        <f t="array" ref="M1024">IFERROR(INDEX(EXCEPCIONES_FECHA!$D$2:$D$201,MATCH(1,(EXCEPCIONES_FECHA!$A$2:$A$201=$A1024)*(EXCEPCIONES_FECHA!$B$2:$B$201=$B1024),0)),IFERROR(INDEX(EXCEPCIONES_FECHA!$D$2:$D$201,MATCH(1,(EXCEPCIONES_FECHA!$A$2:$A$201=$A1024)*(EXCEPCIONES_FECHA!$B$2:$B$201=""),0)),IFERROR(INDEX(IF($I1024="FIN",HISTORIAL_HORARIOS!$J$2:$J$201,HISTORIAL_HORARIOS!$F$2:$F$201),MATCH(1,(HISTORIAL_HORARIOS!$A$2:$A$201=$B1024)*(HISTORIAL_HORARIOS!$C$2:$C$201&lt;=$A1024)*(HISTORIAL_HORARIOS!$D$2:$D$201&gt;=$A1024),0)),INDEX(IF($I1024="FIN",PERSONAL!$J$2:$J$80,PERSONAL!$F$2:$F$80),MATCH($B1024,PERSONAL!$A$2:$A$80,0)))))</f>
        <v/>
      </c>
      <c r="N1024" s="53">
        <f t="array" ref="N1024">IFERROR(INDEX(EXCEPCIONES_FECHA!$E$2:$E$201,MATCH(1,(EXCEPCIONES_FECHA!$A$2:$A$201=$A1024)*(EXCEPCIONES_FECHA!$B$2:$B$201=$B1024),0)),IFERROR(INDEX(EXCEPCIONES_FECHA!$E$2:$E$201,MATCH(1,(EXCEPCIONES_FECHA!$A$2:$A$201=$A1024)*(EXCEPCIONES_FECHA!$B$2:$B$201=""),0)),IFERROR(INDEX(IF($I1024="FIN",HISTORIAL_HORARIOS!$K$2:$K$201,HISTORIAL_HORARIOS!$G$2:$G$201),MATCH(1,(HISTORIAL_HORARIOS!$A$2:$A$201=$B1024)*(HISTORIAL_HORARIOS!$C$2:$C$201&lt;=$A1024)*(HISTORIAL_HORARIOS!$D$2:$D$201&gt;=$A1024),0)),INDEX(IF($I1024="FIN",PERSONAL!$K$2:$K$80,PERSONAL!$G$2:$G$80),MATCH($B1024,PERSONAL!$A$2:$A$80,0)))))</f>
        <v/>
      </c>
      <c r="O1024" s="53">
        <f t="array" ref="O1024">IFERROR(INDEX(EXCEPCIONES_FECHA!$F$2:$F$201,MATCH(1,(EXCEPCIONES_FECHA!$A$2:$A$201=$A1024)*(EXCEPCIONES_FECHA!$B$2:$B$201=$B1024),0)),IFERROR(INDEX(EXCEPCIONES_FECHA!$F$2:$F$201,MATCH(1,(EXCEPCIONES_FECHA!$A$2:$A$201=$A1024)*(EXCEPCIONES_FECHA!$B$2:$B$201=""),0)),IFERROR(INDEX(IF($I1024="FIN",HISTORIAL_HORARIOS!$L$2:$L$201,HISTORIAL_HORARIOS!$H$2:$H$201),MATCH(1,(HISTORIAL_HORARIOS!$A$2:$A$201=$B1024)*(HISTORIAL_HORARIOS!$C$2:$C$201&lt;=$A1024)*(HISTORIAL_HORARIOS!$D$2:$D$201&gt;=$A1024),0)),INDEX(IF($I1024="FIN",PERSONAL!$L$2:$L$80,PERSONAL!$H$2:$H$80),MATCH($B1024,PERSONAL!$A$2:$A$80,0)))))</f>
        <v/>
      </c>
    </row>
    <row r="1025" ht="15" customHeight="1" s="58">
      <c r="A1025" s="40" t="n"/>
      <c r="B1025" s="38" t="n"/>
      <c r="C1025" s="40" t="n"/>
      <c r="D1025" s="40" t="n"/>
      <c r="E1025" s="34">
        <f t="array" ref="E1025">IF($B1025="","",IFERROR(INDEX(PERSONAL!$B$2:$B$80,MATCH($B1025,PERSONAL!$A$2:$A$80,0)),"NO EXISTE"))</f>
        <v/>
      </c>
      <c r="F1025" s="34">
        <f t="array" ref="F1025">IF($B1025="","",IFERROR(INDEX(PERSONAL!$C$2:$C$80,MATCH($B1025,PERSONAL!$A$2:$A$80,0)),""))</f>
        <v/>
      </c>
      <c r="G1025" s="34">
        <f>IF($A1025="","",CHOOSE(WEEKDAY($A1025,2),"LUNES","MARTES","MIÉRCOLES","JUEVES","VIERNES","SÁBADO","DOMINGO"))</f>
        <v/>
      </c>
      <c r="H1025" s="34">
        <f>IF($A1025="","",CHOOSE(MONTH($A1025),"ENERO","FEBRERO","MARZO","ABRIL","MAYO","JUNIO","JULIO","AGOSTO","SEPTIEMBRE","OCTUBRE","NOVIEMBRE","DICIEMBRE"))</f>
        <v/>
      </c>
      <c r="I1025" s="34">
        <f>IF($A1025="","",IF(OR($G1025="SÁBADO",$G1025="DOMINGO"),"FIN","LV"))</f>
        <v/>
      </c>
      <c r="J1025" s="34">
        <f>IF(OR($A1025="",$B1025=""),"",IF($L1025&lt;&gt;"",UPPER($L1025),IF($C1025="","FALTA",IFERROR(IF($C1025&gt;=$O1025,"ROJO FUERTE",IF($C1025&gt;=$N1025,"ROJO",IF($C1025&gt;=$M1025,"AMARILLO","VERDE"))),"REVISAR"))))</f>
        <v/>
      </c>
      <c r="K1025" s="36">
        <f>IF(OR($C1025="",$D1025=""),"",IF($D1025&gt;=$C1025,($D1025-$C1025)*24,(1-$C1025+$D1025)*24))</f>
        <v/>
      </c>
      <c r="L1025" s="34" t="n"/>
      <c r="M1025" s="53">
        <f t="array" ref="M1025">IFERROR(INDEX(EXCEPCIONES_FECHA!$D$2:$D$201,MATCH(1,(EXCEPCIONES_FECHA!$A$2:$A$201=$A1025)*(EXCEPCIONES_FECHA!$B$2:$B$201=$B1025),0)),IFERROR(INDEX(EXCEPCIONES_FECHA!$D$2:$D$201,MATCH(1,(EXCEPCIONES_FECHA!$A$2:$A$201=$A1025)*(EXCEPCIONES_FECHA!$B$2:$B$201=""),0)),IFERROR(INDEX(IF($I1025="FIN",HISTORIAL_HORARIOS!$J$2:$J$201,HISTORIAL_HORARIOS!$F$2:$F$201),MATCH(1,(HISTORIAL_HORARIOS!$A$2:$A$201=$B1025)*(HISTORIAL_HORARIOS!$C$2:$C$201&lt;=$A1025)*(HISTORIAL_HORARIOS!$D$2:$D$201&gt;=$A1025),0)),INDEX(IF($I1025="FIN",PERSONAL!$J$2:$J$80,PERSONAL!$F$2:$F$80),MATCH($B1025,PERSONAL!$A$2:$A$80,0)))))</f>
        <v/>
      </c>
      <c r="N1025" s="53">
        <f t="array" ref="N1025">IFERROR(INDEX(EXCEPCIONES_FECHA!$E$2:$E$201,MATCH(1,(EXCEPCIONES_FECHA!$A$2:$A$201=$A1025)*(EXCEPCIONES_FECHA!$B$2:$B$201=$B1025),0)),IFERROR(INDEX(EXCEPCIONES_FECHA!$E$2:$E$201,MATCH(1,(EXCEPCIONES_FECHA!$A$2:$A$201=$A1025)*(EXCEPCIONES_FECHA!$B$2:$B$201=""),0)),IFERROR(INDEX(IF($I1025="FIN",HISTORIAL_HORARIOS!$K$2:$K$201,HISTORIAL_HORARIOS!$G$2:$G$201),MATCH(1,(HISTORIAL_HORARIOS!$A$2:$A$201=$B1025)*(HISTORIAL_HORARIOS!$C$2:$C$201&lt;=$A1025)*(HISTORIAL_HORARIOS!$D$2:$D$201&gt;=$A1025),0)),INDEX(IF($I1025="FIN",PERSONAL!$K$2:$K$80,PERSONAL!$G$2:$G$80),MATCH($B1025,PERSONAL!$A$2:$A$80,0)))))</f>
        <v/>
      </c>
      <c r="O1025" s="53">
        <f t="array" ref="O1025">IFERROR(INDEX(EXCEPCIONES_FECHA!$F$2:$F$201,MATCH(1,(EXCEPCIONES_FECHA!$A$2:$A$201=$A1025)*(EXCEPCIONES_FECHA!$B$2:$B$201=$B1025),0)),IFERROR(INDEX(EXCEPCIONES_FECHA!$F$2:$F$201,MATCH(1,(EXCEPCIONES_FECHA!$A$2:$A$201=$A1025)*(EXCEPCIONES_FECHA!$B$2:$B$201=""),0)),IFERROR(INDEX(IF($I1025="FIN",HISTORIAL_HORARIOS!$L$2:$L$201,HISTORIAL_HORARIOS!$H$2:$H$201),MATCH(1,(HISTORIAL_HORARIOS!$A$2:$A$201=$B1025)*(HISTORIAL_HORARIOS!$C$2:$C$201&lt;=$A1025)*(HISTORIAL_HORARIOS!$D$2:$D$201&gt;=$A1025),0)),INDEX(IF($I1025="FIN",PERSONAL!$L$2:$L$80,PERSONAL!$H$2:$H$80),MATCH($B1025,PERSONAL!$A$2:$A$80,0)))))</f>
        <v/>
      </c>
    </row>
    <row r="1026" ht="15" customHeight="1" s="58">
      <c r="A1026" s="40" t="n"/>
      <c r="B1026" s="38" t="n"/>
      <c r="C1026" s="40" t="n"/>
      <c r="D1026" s="40" t="n"/>
      <c r="E1026" s="34">
        <f t="array" ref="E1026">IF($B1026="","",IFERROR(INDEX(PERSONAL!$B$2:$B$80,MATCH($B1026,PERSONAL!$A$2:$A$80,0)),"NO EXISTE"))</f>
        <v/>
      </c>
      <c r="F1026" s="34">
        <f t="array" ref="F1026">IF($B1026="","",IFERROR(INDEX(PERSONAL!$C$2:$C$80,MATCH($B1026,PERSONAL!$A$2:$A$80,0)),""))</f>
        <v/>
      </c>
      <c r="G1026" s="34">
        <f>IF($A1026="","",CHOOSE(WEEKDAY($A1026,2),"LUNES","MARTES","MIÉRCOLES","JUEVES","VIERNES","SÁBADO","DOMINGO"))</f>
        <v/>
      </c>
      <c r="H1026" s="34">
        <f>IF($A1026="","",CHOOSE(MONTH($A1026),"ENERO","FEBRERO","MARZO","ABRIL","MAYO","JUNIO","JULIO","AGOSTO","SEPTIEMBRE","OCTUBRE","NOVIEMBRE","DICIEMBRE"))</f>
        <v/>
      </c>
      <c r="I1026" s="34">
        <f>IF($A1026="","",IF(OR($G1026="SÁBADO",$G1026="DOMINGO"),"FIN","LV"))</f>
        <v/>
      </c>
      <c r="J1026" s="34">
        <f>IF(OR($A1026="",$B1026=""),"",IF($L1026&lt;&gt;"",UPPER($L1026),IF($C1026="","FALTA",IFERROR(IF($C1026&gt;=$O1026,"ROJO FUERTE",IF($C1026&gt;=$N1026,"ROJO",IF($C1026&gt;=$M1026,"AMARILLO","VERDE"))),"REVISAR"))))</f>
        <v/>
      </c>
      <c r="K1026" s="36">
        <f>IF(OR($C1026="",$D1026=""),"",IF($D1026&gt;=$C1026,($D1026-$C1026)*24,(1-$C1026+$D1026)*24))</f>
        <v/>
      </c>
      <c r="L1026" s="34" t="n"/>
      <c r="M1026" s="53">
        <f t="array" ref="M1026">IFERROR(INDEX(EXCEPCIONES_FECHA!$D$2:$D$201,MATCH(1,(EXCEPCIONES_FECHA!$A$2:$A$201=$A1026)*(EXCEPCIONES_FECHA!$B$2:$B$201=$B1026),0)),IFERROR(INDEX(EXCEPCIONES_FECHA!$D$2:$D$201,MATCH(1,(EXCEPCIONES_FECHA!$A$2:$A$201=$A1026)*(EXCEPCIONES_FECHA!$B$2:$B$201=""),0)),IFERROR(INDEX(IF($I1026="FIN",HISTORIAL_HORARIOS!$J$2:$J$201,HISTORIAL_HORARIOS!$F$2:$F$201),MATCH(1,(HISTORIAL_HORARIOS!$A$2:$A$201=$B1026)*(HISTORIAL_HORARIOS!$C$2:$C$201&lt;=$A1026)*(HISTORIAL_HORARIOS!$D$2:$D$201&gt;=$A1026),0)),INDEX(IF($I1026="FIN",PERSONAL!$J$2:$J$80,PERSONAL!$F$2:$F$80),MATCH($B1026,PERSONAL!$A$2:$A$80,0)))))</f>
        <v/>
      </c>
      <c r="N1026" s="53">
        <f t="array" ref="N1026">IFERROR(INDEX(EXCEPCIONES_FECHA!$E$2:$E$201,MATCH(1,(EXCEPCIONES_FECHA!$A$2:$A$201=$A1026)*(EXCEPCIONES_FECHA!$B$2:$B$201=$B1026),0)),IFERROR(INDEX(EXCEPCIONES_FECHA!$E$2:$E$201,MATCH(1,(EXCEPCIONES_FECHA!$A$2:$A$201=$A1026)*(EXCEPCIONES_FECHA!$B$2:$B$201=""),0)),IFERROR(INDEX(IF($I1026="FIN",HISTORIAL_HORARIOS!$K$2:$K$201,HISTORIAL_HORARIOS!$G$2:$G$201),MATCH(1,(HISTORIAL_HORARIOS!$A$2:$A$201=$B1026)*(HISTORIAL_HORARIOS!$C$2:$C$201&lt;=$A1026)*(HISTORIAL_HORARIOS!$D$2:$D$201&gt;=$A1026),0)),INDEX(IF($I1026="FIN",PERSONAL!$K$2:$K$80,PERSONAL!$G$2:$G$80),MATCH($B1026,PERSONAL!$A$2:$A$80,0)))))</f>
        <v/>
      </c>
      <c r="O1026" s="53">
        <f t="array" ref="O1026">IFERROR(INDEX(EXCEPCIONES_FECHA!$F$2:$F$201,MATCH(1,(EXCEPCIONES_FECHA!$A$2:$A$201=$A1026)*(EXCEPCIONES_FECHA!$B$2:$B$201=$B1026),0)),IFERROR(INDEX(EXCEPCIONES_FECHA!$F$2:$F$201,MATCH(1,(EXCEPCIONES_FECHA!$A$2:$A$201=$A1026)*(EXCEPCIONES_FECHA!$B$2:$B$201=""),0)),IFERROR(INDEX(IF($I1026="FIN",HISTORIAL_HORARIOS!$L$2:$L$201,HISTORIAL_HORARIOS!$H$2:$H$201),MATCH(1,(HISTORIAL_HORARIOS!$A$2:$A$201=$B1026)*(HISTORIAL_HORARIOS!$C$2:$C$201&lt;=$A1026)*(HISTORIAL_HORARIOS!$D$2:$D$201&gt;=$A1026),0)),INDEX(IF($I1026="FIN",PERSONAL!$L$2:$L$80,PERSONAL!$H$2:$H$80),MATCH($B1026,PERSONAL!$A$2:$A$80,0)))))</f>
        <v/>
      </c>
    </row>
    <row r="1027" ht="15" customHeight="1" s="58">
      <c r="A1027" s="40" t="n"/>
      <c r="B1027" s="38" t="n"/>
      <c r="C1027" s="40" t="n"/>
      <c r="D1027" s="40" t="n"/>
      <c r="E1027" s="34">
        <f t="array" ref="E1027">IF($B1027="","",IFERROR(INDEX(PERSONAL!$B$2:$B$80,MATCH($B1027,PERSONAL!$A$2:$A$80,0)),"NO EXISTE"))</f>
        <v/>
      </c>
      <c r="F1027" s="34">
        <f t="array" ref="F1027">IF($B1027="","",IFERROR(INDEX(PERSONAL!$C$2:$C$80,MATCH($B1027,PERSONAL!$A$2:$A$80,0)),""))</f>
        <v/>
      </c>
      <c r="G1027" s="34">
        <f>IF($A1027="","",CHOOSE(WEEKDAY($A1027,2),"LUNES","MARTES","MIÉRCOLES","JUEVES","VIERNES","SÁBADO","DOMINGO"))</f>
        <v/>
      </c>
      <c r="H1027" s="34">
        <f>IF($A1027="","",CHOOSE(MONTH($A1027),"ENERO","FEBRERO","MARZO","ABRIL","MAYO","JUNIO","JULIO","AGOSTO","SEPTIEMBRE","OCTUBRE","NOVIEMBRE","DICIEMBRE"))</f>
        <v/>
      </c>
      <c r="I1027" s="34">
        <f>IF($A1027="","",IF(OR($G1027="SÁBADO",$G1027="DOMINGO"),"FIN","LV"))</f>
        <v/>
      </c>
      <c r="J1027" s="34">
        <f>IF(OR($A1027="",$B1027=""),"",IF($L1027&lt;&gt;"",UPPER($L1027),IF($C1027="","FALTA",IFERROR(IF($C1027&gt;=$O1027,"ROJO FUERTE",IF($C1027&gt;=$N1027,"ROJO",IF($C1027&gt;=$M1027,"AMARILLO","VERDE"))),"REVISAR"))))</f>
        <v/>
      </c>
      <c r="K1027" s="36">
        <f>IF(OR($C1027="",$D1027=""),"",IF($D1027&gt;=$C1027,($D1027-$C1027)*24,(1-$C1027+$D1027)*24))</f>
        <v/>
      </c>
      <c r="L1027" s="34" t="n"/>
      <c r="M1027" s="53">
        <f t="array" ref="M1027">IFERROR(INDEX(EXCEPCIONES_FECHA!$D$2:$D$201,MATCH(1,(EXCEPCIONES_FECHA!$A$2:$A$201=$A1027)*(EXCEPCIONES_FECHA!$B$2:$B$201=$B1027),0)),IFERROR(INDEX(EXCEPCIONES_FECHA!$D$2:$D$201,MATCH(1,(EXCEPCIONES_FECHA!$A$2:$A$201=$A1027)*(EXCEPCIONES_FECHA!$B$2:$B$201=""),0)),IFERROR(INDEX(IF($I1027="FIN",HISTORIAL_HORARIOS!$J$2:$J$201,HISTORIAL_HORARIOS!$F$2:$F$201),MATCH(1,(HISTORIAL_HORARIOS!$A$2:$A$201=$B1027)*(HISTORIAL_HORARIOS!$C$2:$C$201&lt;=$A1027)*(HISTORIAL_HORARIOS!$D$2:$D$201&gt;=$A1027),0)),INDEX(IF($I1027="FIN",PERSONAL!$J$2:$J$80,PERSONAL!$F$2:$F$80),MATCH($B1027,PERSONAL!$A$2:$A$80,0)))))</f>
        <v/>
      </c>
      <c r="N1027" s="53">
        <f t="array" ref="N1027">IFERROR(INDEX(EXCEPCIONES_FECHA!$E$2:$E$201,MATCH(1,(EXCEPCIONES_FECHA!$A$2:$A$201=$A1027)*(EXCEPCIONES_FECHA!$B$2:$B$201=$B1027),0)),IFERROR(INDEX(EXCEPCIONES_FECHA!$E$2:$E$201,MATCH(1,(EXCEPCIONES_FECHA!$A$2:$A$201=$A1027)*(EXCEPCIONES_FECHA!$B$2:$B$201=""),0)),IFERROR(INDEX(IF($I1027="FIN",HISTORIAL_HORARIOS!$K$2:$K$201,HISTORIAL_HORARIOS!$G$2:$G$201),MATCH(1,(HISTORIAL_HORARIOS!$A$2:$A$201=$B1027)*(HISTORIAL_HORARIOS!$C$2:$C$201&lt;=$A1027)*(HISTORIAL_HORARIOS!$D$2:$D$201&gt;=$A1027),0)),INDEX(IF($I1027="FIN",PERSONAL!$K$2:$K$80,PERSONAL!$G$2:$G$80),MATCH($B1027,PERSONAL!$A$2:$A$80,0)))))</f>
        <v/>
      </c>
      <c r="O1027" s="53">
        <f t="array" ref="O1027">IFERROR(INDEX(EXCEPCIONES_FECHA!$F$2:$F$201,MATCH(1,(EXCEPCIONES_FECHA!$A$2:$A$201=$A1027)*(EXCEPCIONES_FECHA!$B$2:$B$201=$B1027),0)),IFERROR(INDEX(EXCEPCIONES_FECHA!$F$2:$F$201,MATCH(1,(EXCEPCIONES_FECHA!$A$2:$A$201=$A1027)*(EXCEPCIONES_FECHA!$B$2:$B$201=""),0)),IFERROR(INDEX(IF($I1027="FIN",HISTORIAL_HORARIOS!$L$2:$L$201,HISTORIAL_HORARIOS!$H$2:$H$201),MATCH(1,(HISTORIAL_HORARIOS!$A$2:$A$201=$B1027)*(HISTORIAL_HORARIOS!$C$2:$C$201&lt;=$A1027)*(HISTORIAL_HORARIOS!$D$2:$D$201&gt;=$A1027),0)),INDEX(IF($I1027="FIN",PERSONAL!$L$2:$L$80,PERSONAL!$H$2:$H$80),MATCH($B1027,PERSONAL!$A$2:$A$80,0)))))</f>
        <v/>
      </c>
    </row>
    <row r="1028" ht="15" customHeight="1" s="58">
      <c r="A1028" s="40" t="n"/>
      <c r="B1028" s="38" t="n"/>
      <c r="C1028" s="40" t="n"/>
      <c r="D1028" s="40" t="n"/>
      <c r="E1028" s="34">
        <f t="array" ref="E1028">IF($B1028="","",IFERROR(INDEX(PERSONAL!$B$2:$B$80,MATCH($B1028,PERSONAL!$A$2:$A$80,0)),"NO EXISTE"))</f>
        <v/>
      </c>
      <c r="F1028" s="34">
        <f t="array" ref="F1028">IF($B1028="","",IFERROR(INDEX(PERSONAL!$C$2:$C$80,MATCH($B1028,PERSONAL!$A$2:$A$80,0)),""))</f>
        <v/>
      </c>
      <c r="G1028" s="34">
        <f>IF($A1028="","",CHOOSE(WEEKDAY($A1028,2),"LUNES","MARTES","MIÉRCOLES","JUEVES","VIERNES","SÁBADO","DOMINGO"))</f>
        <v/>
      </c>
      <c r="H1028" s="34">
        <f>IF($A1028="","",CHOOSE(MONTH($A1028),"ENERO","FEBRERO","MARZO","ABRIL","MAYO","JUNIO","JULIO","AGOSTO","SEPTIEMBRE","OCTUBRE","NOVIEMBRE","DICIEMBRE"))</f>
        <v/>
      </c>
      <c r="I1028" s="34">
        <f>IF($A1028="","",IF(OR($G1028="SÁBADO",$G1028="DOMINGO"),"FIN","LV"))</f>
        <v/>
      </c>
      <c r="J1028" s="34">
        <f>IF(OR($A1028="",$B1028=""),"",IF($L1028&lt;&gt;"",UPPER($L1028),IF($C1028="","FALTA",IFERROR(IF($C1028&gt;=$O1028,"ROJO FUERTE",IF($C1028&gt;=$N1028,"ROJO",IF($C1028&gt;=$M1028,"AMARILLO","VERDE"))),"REVISAR"))))</f>
        <v/>
      </c>
      <c r="K1028" s="36">
        <f>IF(OR($C1028="",$D1028=""),"",IF($D1028&gt;=$C1028,($D1028-$C1028)*24,(1-$C1028+$D1028)*24))</f>
        <v/>
      </c>
      <c r="L1028" s="34" t="n"/>
      <c r="M1028" s="53">
        <f t="array" ref="M1028">IFERROR(INDEX(EXCEPCIONES_FECHA!$D$2:$D$201,MATCH(1,(EXCEPCIONES_FECHA!$A$2:$A$201=$A1028)*(EXCEPCIONES_FECHA!$B$2:$B$201=$B1028),0)),IFERROR(INDEX(EXCEPCIONES_FECHA!$D$2:$D$201,MATCH(1,(EXCEPCIONES_FECHA!$A$2:$A$201=$A1028)*(EXCEPCIONES_FECHA!$B$2:$B$201=""),0)),IFERROR(INDEX(IF($I1028="FIN",HISTORIAL_HORARIOS!$J$2:$J$201,HISTORIAL_HORARIOS!$F$2:$F$201),MATCH(1,(HISTORIAL_HORARIOS!$A$2:$A$201=$B1028)*(HISTORIAL_HORARIOS!$C$2:$C$201&lt;=$A1028)*(HISTORIAL_HORARIOS!$D$2:$D$201&gt;=$A1028),0)),INDEX(IF($I1028="FIN",PERSONAL!$J$2:$J$80,PERSONAL!$F$2:$F$80),MATCH($B1028,PERSONAL!$A$2:$A$80,0)))))</f>
        <v/>
      </c>
      <c r="N1028" s="53">
        <f t="array" ref="N1028">IFERROR(INDEX(EXCEPCIONES_FECHA!$E$2:$E$201,MATCH(1,(EXCEPCIONES_FECHA!$A$2:$A$201=$A1028)*(EXCEPCIONES_FECHA!$B$2:$B$201=$B1028),0)),IFERROR(INDEX(EXCEPCIONES_FECHA!$E$2:$E$201,MATCH(1,(EXCEPCIONES_FECHA!$A$2:$A$201=$A1028)*(EXCEPCIONES_FECHA!$B$2:$B$201=""),0)),IFERROR(INDEX(IF($I1028="FIN",HISTORIAL_HORARIOS!$K$2:$K$201,HISTORIAL_HORARIOS!$G$2:$G$201),MATCH(1,(HISTORIAL_HORARIOS!$A$2:$A$201=$B1028)*(HISTORIAL_HORARIOS!$C$2:$C$201&lt;=$A1028)*(HISTORIAL_HORARIOS!$D$2:$D$201&gt;=$A1028),0)),INDEX(IF($I1028="FIN",PERSONAL!$K$2:$K$80,PERSONAL!$G$2:$G$80),MATCH($B1028,PERSONAL!$A$2:$A$80,0)))))</f>
        <v/>
      </c>
      <c r="O1028" s="53">
        <f t="array" ref="O1028">IFERROR(INDEX(EXCEPCIONES_FECHA!$F$2:$F$201,MATCH(1,(EXCEPCIONES_FECHA!$A$2:$A$201=$A1028)*(EXCEPCIONES_FECHA!$B$2:$B$201=$B1028),0)),IFERROR(INDEX(EXCEPCIONES_FECHA!$F$2:$F$201,MATCH(1,(EXCEPCIONES_FECHA!$A$2:$A$201=$A1028)*(EXCEPCIONES_FECHA!$B$2:$B$201=""),0)),IFERROR(INDEX(IF($I1028="FIN",HISTORIAL_HORARIOS!$L$2:$L$201,HISTORIAL_HORARIOS!$H$2:$H$201),MATCH(1,(HISTORIAL_HORARIOS!$A$2:$A$201=$B1028)*(HISTORIAL_HORARIOS!$C$2:$C$201&lt;=$A1028)*(HISTORIAL_HORARIOS!$D$2:$D$201&gt;=$A1028),0)),INDEX(IF($I1028="FIN",PERSONAL!$L$2:$L$80,PERSONAL!$H$2:$H$80),MATCH($B1028,PERSONAL!$A$2:$A$80,0)))))</f>
        <v/>
      </c>
    </row>
    <row r="1029" ht="15" customHeight="1" s="58">
      <c r="A1029" s="40" t="n"/>
      <c r="B1029" s="38" t="n"/>
      <c r="C1029" s="40" t="n"/>
      <c r="D1029" s="40" t="n"/>
      <c r="E1029" s="34">
        <f t="array" ref="E1029">IF($B1029="","",IFERROR(INDEX(PERSONAL!$B$2:$B$80,MATCH($B1029,PERSONAL!$A$2:$A$80,0)),"NO EXISTE"))</f>
        <v/>
      </c>
      <c r="F1029" s="34">
        <f t="array" ref="F1029">IF($B1029="","",IFERROR(INDEX(PERSONAL!$C$2:$C$80,MATCH($B1029,PERSONAL!$A$2:$A$80,0)),""))</f>
        <v/>
      </c>
      <c r="G1029" s="34">
        <f>IF($A1029="","",CHOOSE(WEEKDAY($A1029,2),"LUNES","MARTES","MIÉRCOLES","JUEVES","VIERNES","SÁBADO","DOMINGO"))</f>
        <v/>
      </c>
      <c r="H1029" s="34">
        <f>IF($A1029="","",CHOOSE(MONTH($A1029),"ENERO","FEBRERO","MARZO","ABRIL","MAYO","JUNIO","JULIO","AGOSTO","SEPTIEMBRE","OCTUBRE","NOVIEMBRE","DICIEMBRE"))</f>
        <v/>
      </c>
      <c r="I1029" s="34">
        <f>IF($A1029="","",IF(OR($G1029="SÁBADO",$G1029="DOMINGO"),"FIN","LV"))</f>
        <v/>
      </c>
      <c r="J1029" s="34">
        <f>IF(OR($A1029="",$B1029=""),"",IF($L1029&lt;&gt;"",UPPER($L1029),IF($C1029="","FALTA",IFERROR(IF($C1029&gt;=$O1029,"ROJO FUERTE",IF($C1029&gt;=$N1029,"ROJO",IF($C1029&gt;=$M1029,"AMARILLO","VERDE"))),"REVISAR"))))</f>
        <v/>
      </c>
      <c r="K1029" s="36">
        <f>IF(OR($C1029="",$D1029=""),"",IF($D1029&gt;=$C1029,($D1029-$C1029)*24,(1-$C1029+$D1029)*24))</f>
        <v/>
      </c>
      <c r="L1029" s="34" t="n"/>
      <c r="M1029" s="53">
        <f t="array" ref="M1029">IFERROR(INDEX(EXCEPCIONES_FECHA!$D$2:$D$201,MATCH(1,(EXCEPCIONES_FECHA!$A$2:$A$201=$A1029)*(EXCEPCIONES_FECHA!$B$2:$B$201=$B1029),0)),IFERROR(INDEX(EXCEPCIONES_FECHA!$D$2:$D$201,MATCH(1,(EXCEPCIONES_FECHA!$A$2:$A$201=$A1029)*(EXCEPCIONES_FECHA!$B$2:$B$201=""),0)),IFERROR(INDEX(IF($I1029="FIN",HISTORIAL_HORARIOS!$J$2:$J$201,HISTORIAL_HORARIOS!$F$2:$F$201),MATCH(1,(HISTORIAL_HORARIOS!$A$2:$A$201=$B1029)*(HISTORIAL_HORARIOS!$C$2:$C$201&lt;=$A1029)*(HISTORIAL_HORARIOS!$D$2:$D$201&gt;=$A1029),0)),INDEX(IF($I1029="FIN",PERSONAL!$J$2:$J$80,PERSONAL!$F$2:$F$80),MATCH($B1029,PERSONAL!$A$2:$A$80,0)))))</f>
        <v/>
      </c>
      <c r="N1029" s="53">
        <f t="array" ref="N1029">IFERROR(INDEX(EXCEPCIONES_FECHA!$E$2:$E$201,MATCH(1,(EXCEPCIONES_FECHA!$A$2:$A$201=$A1029)*(EXCEPCIONES_FECHA!$B$2:$B$201=$B1029),0)),IFERROR(INDEX(EXCEPCIONES_FECHA!$E$2:$E$201,MATCH(1,(EXCEPCIONES_FECHA!$A$2:$A$201=$A1029)*(EXCEPCIONES_FECHA!$B$2:$B$201=""),0)),IFERROR(INDEX(IF($I1029="FIN",HISTORIAL_HORARIOS!$K$2:$K$201,HISTORIAL_HORARIOS!$G$2:$G$201),MATCH(1,(HISTORIAL_HORARIOS!$A$2:$A$201=$B1029)*(HISTORIAL_HORARIOS!$C$2:$C$201&lt;=$A1029)*(HISTORIAL_HORARIOS!$D$2:$D$201&gt;=$A1029),0)),INDEX(IF($I1029="FIN",PERSONAL!$K$2:$K$80,PERSONAL!$G$2:$G$80),MATCH($B1029,PERSONAL!$A$2:$A$80,0)))))</f>
        <v/>
      </c>
      <c r="O1029" s="53">
        <f t="array" ref="O1029">IFERROR(INDEX(EXCEPCIONES_FECHA!$F$2:$F$201,MATCH(1,(EXCEPCIONES_FECHA!$A$2:$A$201=$A1029)*(EXCEPCIONES_FECHA!$B$2:$B$201=$B1029),0)),IFERROR(INDEX(EXCEPCIONES_FECHA!$F$2:$F$201,MATCH(1,(EXCEPCIONES_FECHA!$A$2:$A$201=$A1029)*(EXCEPCIONES_FECHA!$B$2:$B$201=""),0)),IFERROR(INDEX(IF($I1029="FIN",HISTORIAL_HORARIOS!$L$2:$L$201,HISTORIAL_HORARIOS!$H$2:$H$201),MATCH(1,(HISTORIAL_HORARIOS!$A$2:$A$201=$B1029)*(HISTORIAL_HORARIOS!$C$2:$C$201&lt;=$A1029)*(HISTORIAL_HORARIOS!$D$2:$D$201&gt;=$A1029),0)),INDEX(IF($I1029="FIN",PERSONAL!$L$2:$L$80,PERSONAL!$H$2:$H$80),MATCH($B1029,PERSONAL!$A$2:$A$80,0)))))</f>
        <v/>
      </c>
    </row>
    <row r="1030" ht="15" customHeight="1" s="58">
      <c r="A1030" s="40" t="n"/>
      <c r="B1030" s="38" t="n"/>
      <c r="C1030" s="40" t="n"/>
      <c r="D1030" s="40" t="n"/>
      <c r="E1030" s="34">
        <f t="array" ref="E1030">IF($B1030="","",IFERROR(INDEX(PERSONAL!$B$2:$B$80,MATCH($B1030,PERSONAL!$A$2:$A$80,0)),"NO EXISTE"))</f>
        <v/>
      </c>
      <c r="F1030" s="34">
        <f t="array" ref="F1030">IF($B1030="","",IFERROR(INDEX(PERSONAL!$C$2:$C$80,MATCH($B1030,PERSONAL!$A$2:$A$80,0)),""))</f>
        <v/>
      </c>
      <c r="G1030" s="34">
        <f>IF($A1030="","",CHOOSE(WEEKDAY($A1030,2),"LUNES","MARTES","MIÉRCOLES","JUEVES","VIERNES","SÁBADO","DOMINGO"))</f>
        <v/>
      </c>
      <c r="H1030" s="34">
        <f>IF($A1030="","",CHOOSE(MONTH($A1030),"ENERO","FEBRERO","MARZO","ABRIL","MAYO","JUNIO","JULIO","AGOSTO","SEPTIEMBRE","OCTUBRE","NOVIEMBRE","DICIEMBRE"))</f>
        <v/>
      </c>
      <c r="I1030" s="34">
        <f>IF($A1030="","",IF(OR($G1030="SÁBADO",$G1030="DOMINGO"),"FIN","LV"))</f>
        <v/>
      </c>
      <c r="J1030" s="34">
        <f>IF(OR($A1030="",$B1030=""),"",IF($L1030&lt;&gt;"",UPPER($L1030),IF($C1030="","FALTA",IFERROR(IF($C1030&gt;=$O1030,"ROJO FUERTE",IF($C1030&gt;=$N1030,"ROJO",IF($C1030&gt;=$M1030,"AMARILLO","VERDE"))),"REVISAR"))))</f>
        <v/>
      </c>
      <c r="K1030" s="36">
        <f>IF(OR($C1030="",$D1030=""),"",IF($D1030&gt;=$C1030,($D1030-$C1030)*24,(1-$C1030+$D1030)*24))</f>
        <v/>
      </c>
      <c r="L1030" s="34" t="n"/>
      <c r="M1030" s="53">
        <f t="array" ref="M1030">IFERROR(INDEX(EXCEPCIONES_FECHA!$D$2:$D$201,MATCH(1,(EXCEPCIONES_FECHA!$A$2:$A$201=$A1030)*(EXCEPCIONES_FECHA!$B$2:$B$201=$B1030),0)),IFERROR(INDEX(EXCEPCIONES_FECHA!$D$2:$D$201,MATCH(1,(EXCEPCIONES_FECHA!$A$2:$A$201=$A1030)*(EXCEPCIONES_FECHA!$B$2:$B$201=""),0)),IFERROR(INDEX(IF($I1030="FIN",HISTORIAL_HORARIOS!$J$2:$J$201,HISTORIAL_HORARIOS!$F$2:$F$201),MATCH(1,(HISTORIAL_HORARIOS!$A$2:$A$201=$B1030)*(HISTORIAL_HORARIOS!$C$2:$C$201&lt;=$A1030)*(HISTORIAL_HORARIOS!$D$2:$D$201&gt;=$A1030),0)),INDEX(IF($I1030="FIN",PERSONAL!$J$2:$J$80,PERSONAL!$F$2:$F$80),MATCH($B1030,PERSONAL!$A$2:$A$80,0)))))</f>
        <v/>
      </c>
      <c r="N1030" s="53">
        <f t="array" ref="N1030">IFERROR(INDEX(EXCEPCIONES_FECHA!$E$2:$E$201,MATCH(1,(EXCEPCIONES_FECHA!$A$2:$A$201=$A1030)*(EXCEPCIONES_FECHA!$B$2:$B$201=$B1030),0)),IFERROR(INDEX(EXCEPCIONES_FECHA!$E$2:$E$201,MATCH(1,(EXCEPCIONES_FECHA!$A$2:$A$201=$A1030)*(EXCEPCIONES_FECHA!$B$2:$B$201=""),0)),IFERROR(INDEX(IF($I1030="FIN",HISTORIAL_HORARIOS!$K$2:$K$201,HISTORIAL_HORARIOS!$G$2:$G$201),MATCH(1,(HISTORIAL_HORARIOS!$A$2:$A$201=$B1030)*(HISTORIAL_HORARIOS!$C$2:$C$201&lt;=$A1030)*(HISTORIAL_HORARIOS!$D$2:$D$201&gt;=$A1030),0)),INDEX(IF($I1030="FIN",PERSONAL!$K$2:$K$80,PERSONAL!$G$2:$G$80),MATCH($B1030,PERSONAL!$A$2:$A$80,0)))))</f>
        <v/>
      </c>
      <c r="O1030" s="53">
        <f t="array" ref="O1030">IFERROR(INDEX(EXCEPCIONES_FECHA!$F$2:$F$201,MATCH(1,(EXCEPCIONES_FECHA!$A$2:$A$201=$A1030)*(EXCEPCIONES_FECHA!$B$2:$B$201=$B1030),0)),IFERROR(INDEX(EXCEPCIONES_FECHA!$F$2:$F$201,MATCH(1,(EXCEPCIONES_FECHA!$A$2:$A$201=$A1030)*(EXCEPCIONES_FECHA!$B$2:$B$201=""),0)),IFERROR(INDEX(IF($I1030="FIN",HISTORIAL_HORARIOS!$L$2:$L$201,HISTORIAL_HORARIOS!$H$2:$H$201),MATCH(1,(HISTORIAL_HORARIOS!$A$2:$A$201=$B1030)*(HISTORIAL_HORARIOS!$C$2:$C$201&lt;=$A1030)*(HISTORIAL_HORARIOS!$D$2:$D$201&gt;=$A1030),0)),INDEX(IF($I1030="FIN",PERSONAL!$L$2:$L$80,PERSONAL!$H$2:$H$80),MATCH($B1030,PERSONAL!$A$2:$A$80,0)))))</f>
        <v/>
      </c>
    </row>
    <row r="1031" ht="15" customHeight="1" s="58">
      <c r="A1031" s="40" t="n"/>
      <c r="B1031" s="38" t="n"/>
      <c r="C1031" s="40" t="n"/>
      <c r="D1031" s="40" t="n"/>
      <c r="E1031" s="34">
        <f t="array" ref="E1031">IF($B1031="","",IFERROR(INDEX(PERSONAL!$B$2:$B$80,MATCH($B1031,PERSONAL!$A$2:$A$80,0)),"NO EXISTE"))</f>
        <v/>
      </c>
      <c r="F1031" s="34">
        <f t="array" ref="F1031">IF($B1031="","",IFERROR(INDEX(PERSONAL!$C$2:$C$80,MATCH($B1031,PERSONAL!$A$2:$A$80,0)),""))</f>
        <v/>
      </c>
      <c r="G1031" s="34">
        <f>IF($A1031="","",CHOOSE(WEEKDAY($A1031,2),"LUNES","MARTES","MIÉRCOLES","JUEVES","VIERNES","SÁBADO","DOMINGO"))</f>
        <v/>
      </c>
      <c r="H1031" s="34">
        <f>IF($A1031="","",CHOOSE(MONTH($A1031),"ENERO","FEBRERO","MARZO","ABRIL","MAYO","JUNIO","JULIO","AGOSTO","SEPTIEMBRE","OCTUBRE","NOVIEMBRE","DICIEMBRE"))</f>
        <v/>
      </c>
      <c r="I1031" s="34">
        <f>IF($A1031="","",IF(OR($G1031="SÁBADO",$G1031="DOMINGO"),"FIN","LV"))</f>
        <v/>
      </c>
      <c r="J1031" s="34">
        <f>IF(OR($A1031="",$B1031=""),"",IF($L1031&lt;&gt;"",UPPER($L1031),IF($C1031="","FALTA",IFERROR(IF($C1031&gt;=$O1031,"ROJO FUERTE",IF($C1031&gt;=$N1031,"ROJO",IF($C1031&gt;=$M1031,"AMARILLO","VERDE"))),"REVISAR"))))</f>
        <v/>
      </c>
      <c r="K1031" s="36">
        <f>IF(OR($C1031="",$D1031=""),"",IF($D1031&gt;=$C1031,($D1031-$C1031)*24,(1-$C1031+$D1031)*24))</f>
        <v/>
      </c>
      <c r="L1031" s="34" t="n"/>
      <c r="M1031" s="53">
        <f t="array" ref="M1031">IFERROR(INDEX(EXCEPCIONES_FECHA!$D$2:$D$201,MATCH(1,(EXCEPCIONES_FECHA!$A$2:$A$201=$A1031)*(EXCEPCIONES_FECHA!$B$2:$B$201=$B1031),0)),IFERROR(INDEX(EXCEPCIONES_FECHA!$D$2:$D$201,MATCH(1,(EXCEPCIONES_FECHA!$A$2:$A$201=$A1031)*(EXCEPCIONES_FECHA!$B$2:$B$201=""),0)),IFERROR(INDEX(IF($I1031="FIN",HISTORIAL_HORARIOS!$J$2:$J$201,HISTORIAL_HORARIOS!$F$2:$F$201),MATCH(1,(HISTORIAL_HORARIOS!$A$2:$A$201=$B1031)*(HISTORIAL_HORARIOS!$C$2:$C$201&lt;=$A1031)*(HISTORIAL_HORARIOS!$D$2:$D$201&gt;=$A1031),0)),INDEX(IF($I1031="FIN",PERSONAL!$J$2:$J$80,PERSONAL!$F$2:$F$80),MATCH($B1031,PERSONAL!$A$2:$A$80,0)))))</f>
        <v/>
      </c>
      <c r="N1031" s="53">
        <f t="array" ref="N1031">IFERROR(INDEX(EXCEPCIONES_FECHA!$E$2:$E$201,MATCH(1,(EXCEPCIONES_FECHA!$A$2:$A$201=$A1031)*(EXCEPCIONES_FECHA!$B$2:$B$201=$B1031),0)),IFERROR(INDEX(EXCEPCIONES_FECHA!$E$2:$E$201,MATCH(1,(EXCEPCIONES_FECHA!$A$2:$A$201=$A1031)*(EXCEPCIONES_FECHA!$B$2:$B$201=""),0)),IFERROR(INDEX(IF($I1031="FIN",HISTORIAL_HORARIOS!$K$2:$K$201,HISTORIAL_HORARIOS!$G$2:$G$201),MATCH(1,(HISTORIAL_HORARIOS!$A$2:$A$201=$B1031)*(HISTORIAL_HORARIOS!$C$2:$C$201&lt;=$A1031)*(HISTORIAL_HORARIOS!$D$2:$D$201&gt;=$A1031),0)),INDEX(IF($I1031="FIN",PERSONAL!$K$2:$K$80,PERSONAL!$G$2:$G$80),MATCH($B1031,PERSONAL!$A$2:$A$80,0)))))</f>
        <v/>
      </c>
      <c r="O1031" s="53">
        <f t="array" ref="O1031">IFERROR(INDEX(EXCEPCIONES_FECHA!$F$2:$F$201,MATCH(1,(EXCEPCIONES_FECHA!$A$2:$A$201=$A1031)*(EXCEPCIONES_FECHA!$B$2:$B$201=$B1031),0)),IFERROR(INDEX(EXCEPCIONES_FECHA!$F$2:$F$201,MATCH(1,(EXCEPCIONES_FECHA!$A$2:$A$201=$A1031)*(EXCEPCIONES_FECHA!$B$2:$B$201=""),0)),IFERROR(INDEX(IF($I1031="FIN",HISTORIAL_HORARIOS!$L$2:$L$201,HISTORIAL_HORARIOS!$H$2:$H$201),MATCH(1,(HISTORIAL_HORARIOS!$A$2:$A$201=$B1031)*(HISTORIAL_HORARIOS!$C$2:$C$201&lt;=$A1031)*(HISTORIAL_HORARIOS!$D$2:$D$201&gt;=$A1031),0)),INDEX(IF($I1031="FIN",PERSONAL!$L$2:$L$80,PERSONAL!$H$2:$H$80),MATCH($B1031,PERSONAL!$A$2:$A$80,0)))))</f>
        <v/>
      </c>
    </row>
    <row r="1032" ht="15" customHeight="1" s="58">
      <c r="A1032" s="40" t="n"/>
      <c r="B1032" s="38" t="n"/>
      <c r="C1032" s="40" t="n"/>
      <c r="D1032" s="40" t="n"/>
      <c r="E1032" s="34">
        <f t="array" ref="E1032">IF($B1032="","",IFERROR(INDEX(PERSONAL!$B$2:$B$80,MATCH($B1032,PERSONAL!$A$2:$A$80,0)),"NO EXISTE"))</f>
        <v/>
      </c>
      <c r="F1032" s="34">
        <f t="array" ref="F1032">IF($B1032="","",IFERROR(INDEX(PERSONAL!$C$2:$C$80,MATCH($B1032,PERSONAL!$A$2:$A$80,0)),""))</f>
        <v/>
      </c>
      <c r="G1032" s="34">
        <f>IF($A1032="","",CHOOSE(WEEKDAY($A1032,2),"LUNES","MARTES","MIÉRCOLES","JUEVES","VIERNES","SÁBADO","DOMINGO"))</f>
        <v/>
      </c>
      <c r="H1032" s="34">
        <f>IF($A1032="","",CHOOSE(MONTH($A1032),"ENERO","FEBRERO","MARZO","ABRIL","MAYO","JUNIO","JULIO","AGOSTO","SEPTIEMBRE","OCTUBRE","NOVIEMBRE","DICIEMBRE"))</f>
        <v/>
      </c>
      <c r="I1032" s="34">
        <f>IF($A1032="","",IF(OR($G1032="SÁBADO",$G1032="DOMINGO"),"FIN","LV"))</f>
        <v/>
      </c>
      <c r="J1032" s="34">
        <f>IF(OR($A1032="",$B1032=""),"",IF($L1032&lt;&gt;"",UPPER($L1032),IF($C1032="","FALTA",IFERROR(IF($C1032&gt;=$O1032,"ROJO FUERTE",IF($C1032&gt;=$N1032,"ROJO",IF($C1032&gt;=$M1032,"AMARILLO","VERDE"))),"REVISAR"))))</f>
        <v/>
      </c>
      <c r="K1032" s="36">
        <f>IF(OR($C1032="",$D1032=""),"",IF($D1032&gt;=$C1032,($D1032-$C1032)*24,(1-$C1032+$D1032)*24))</f>
        <v/>
      </c>
      <c r="L1032" s="34" t="n"/>
      <c r="M1032" s="53">
        <f t="array" ref="M1032">IFERROR(INDEX(EXCEPCIONES_FECHA!$D$2:$D$201,MATCH(1,(EXCEPCIONES_FECHA!$A$2:$A$201=$A1032)*(EXCEPCIONES_FECHA!$B$2:$B$201=$B1032),0)),IFERROR(INDEX(EXCEPCIONES_FECHA!$D$2:$D$201,MATCH(1,(EXCEPCIONES_FECHA!$A$2:$A$201=$A1032)*(EXCEPCIONES_FECHA!$B$2:$B$201=""),0)),IFERROR(INDEX(IF($I1032="FIN",HISTORIAL_HORARIOS!$J$2:$J$201,HISTORIAL_HORARIOS!$F$2:$F$201),MATCH(1,(HISTORIAL_HORARIOS!$A$2:$A$201=$B1032)*(HISTORIAL_HORARIOS!$C$2:$C$201&lt;=$A1032)*(HISTORIAL_HORARIOS!$D$2:$D$201&gt;=$A1032),0)),INDEX(IF($I1032="FIN",PERSONAL!$J$2:$J$80,PERSONAL!$F$2:$F$80),MATCH($B1032,PERSONAL!$A$2:$A$80,0)))))</f>
        <v/>
      </c>
      <c r="N1032" s="53">
        <f t="array" ref="N1032">IFERROR(INDEX(EXCEPCIONES_FECHA!$E$2:$E$201,MATCH(1,(EXCEPCIONES_FECHA!$A$2:$A$201=$A1032)*(EXCEPCIONES_FECHA!$B$2:$B$201=$B1032),0)),IFERROR(INDEX(EXCEPCIONES_FECHA!$E$2:$E$201,MATCH(1,(EXCEPCIONES_FECHA!$A$2:$A$201=$A1032)*(EXCEPCIONES_FECHA!$B$2:$B$201=""),0)),IFERROR(INDEX(IF($I1032="FIN",HISTORIAL_HORARIOS!$K$2:$K$201,HISTORIAL_HORARIOS!$G$2:$G$201),MATCH(1,(HISTORIAL_HORARIOS!$A$2:$A$201=$B1032)*(HISTORIAL_HORARIOS!$C$2:$C$201&lt;=$A1032)*(HISTORIAL_HORARIOS!$D$2:$D$201&gt;=$A1032),0)),INDEX(IF($I1032="FIN",PERSONAL!$K$2:$K$80,PERSONAL!$G$2:$G$80),MATCH($B1032,PERSONAL!$A$2:$A$80,0)))))</f>
        <v/>
      </c>
      <c r="O1032" s="53">
        <f t="array" ref="O1032">IFERROR(INDEX(EXCEPCIONES_FECHA!$F$2:$F$201,MATCH(1,(EXCEPCIONES_FECHA!$A$2:$A$201=$A1032)*(EXCEPCIONES_FECHA!$B$2:$B$201=$B1032),0)),IFERROR(INDEX(EXCEPCIONES_FECHA!$F$2:$F$201,MATCH(1,(EXCEPCIONES_FECHA!$A$2:$A$201=$A1032)*(EXCEPCIONES_FECHA!$B$2:$B$201=""),0)),IFERROR(INDEX(IF($I1032="FIN",HISTORIAL_HORARIOS!$L$2:$L$201,HISTORIAL_HORARIOS!$H$2:$H$201),MATCH(1,(HISTORIAL_HORARIOS!$A$2:$A$201=$B1032)*(HISTORIAL_HORARIOS!$C$2:$C$201&lt;=$A1032)*(HISTORIAL_HORARIOS!$D$2:$D$201&gt;=$A1032),0)),INDEX(IF($I1032="FIN",PERSONAL!$L$2:$L$80,PERSONAL!$H$2:$H$80),MATCH($B1032,PERSONAL!$A$2:$A$80,0)))))</f>
        <v/>
      </c>
    </row>
    <row r="1033" ht="15" customHeight="1" s="58">
      <c r="A1033" s="40" t="n"/>
      <c r="B1033" s="38" t="n"/>
      <c r="C1033" s="40" t="n"/>
      <c r="D1033" s="40" t="n"/>
      <c r="E1033" s="34">
        <f t="array" ref="E1033">IF($B1033="","",IFERROR(INDEX(PERSONAL!$B$2:$B$80,MATCH($B1033,PERSONAL!$A$2:$A$80,0)),"NO EXISTE"))</f>
        <v/>
      </c>
      <c r="F1033" s="34">
        <f t="array" ref="F1033">IF($B1033="","",IFERROR(INDEX(PERSONAL!$C$2:$C$80,MATCH($B1033,PERSONAL!$A$2:$A$80,0)),""))</f>
        <v/>
      </c>
      <c r="G1033" s="34">
        <f>IF($A1033="","",CHOOSE(WEEKDAY($A1033,2),"LUNES","MARTES","MIÉRCOLES","JUEVES","VIERNES","SÁBADO","DOMINGO"))</f>
        <v/>
      </c>
      <c r="H1033" s="34">
        <f>IF($A1033="","",CHOOSE(MONTH($A1033),"ENERO","FEBRERO","MARZO","ABRIL","MAYO","JUNIO","JULIO","AGOSTO","SEPTIEMBRE","OCTUBRE","NOVIEMBRE","DICIEMBRE"))</f>
        <v/>
      </c>
      <c r="I1033" s="34">
        <f>IF($A1033="","",IF(OR($G1033="SÁBADO",$G1033="DOMINGO"),"FIN","LV"))</f>
        <v/>
      </c>
      <c r="J1033" s="34">
        <f>IF(OR($A1033="",$B1033=""),"",IF($L1033&lt;&gt;"",UPPER($L1033),IF($C1033="","FALTA",IFERROR(IF($C1033&gt;=$O1033,"ROJO FUERTE",IF($C1033&gt;=$N1033,"ROJO",IF($C1033&gt;=$M1033,"AMARILLO","VERDE"))),"REVISAR"))))</f>
        <v/>
      </c>
      <c r="K1033" s="36">
        <f>IF(OR($C1033="",$D1033=""),"",IF($D1033&gt;=$C1033,($D1033-$C1033)*24,(1-$C1033+$D1033)*24))</f>
        <v/>
      </c>
      <c r="L1033" s="34" t="n"/>
      <c r="M1033" s="53">
        <f t="array" ref="M1033">IFERROR(INDEX(EXCEPCIONES_FECHA!$D$2:$D$201,MATCH(1,(EXCEPCIONES_FECHA!$A$2:$A$201=$A1033)*(EXCEPCIONES_FECHA!$B$2:$B$201=$B1033),0)),IFERROR(INDEX(EXCEPCIONES_FECHA!$D$2:$D$201,MATCH(1,(EXCEPCIONES_FECHA!$A$2:$A$201=$A1033)*(EXCEPCIONES_FECHA!$B$2:$B$201=""),0)),IFERROR(INDEX(IF($I1033="FIN",HISTORIAL_HORARIOS!$J$2:$J$201,HISTORIAL_HORARIOS!$F$2:$F$201),MATCH(1,(HISTORIAL_HORARIOS!$A$2:$A$201=$B1033)*(HISTORIAL_HORARIOS!$C$2:$C$201&lt;=$A1033)*(HISTORIAL_HORARIOS!$D$2:$D$201&gt;=$A1033),0)),INDEX(IF($I1033="FIN",PERSONAL!$J$2:$J$80,PERSONAL!$F$2:$F$80),MATCH($B1033,PERSONAL!$A$2:$A$80,0)))))</f>
        <v/>
      </c>
      <c r="N1033" s="53">
        <f t="array" ref="N1033">IFERROR(INDEX(EXCEPCIONES_FECHA!$E$2:$E$201,MATCH(1,(EXCEPCIONES_FECHA!$A$2:$A$201=$A1033)*(EXCEPCIONES_FECHA!$B$2:$B$201=$B1033),0)),IFERROR(INDEX(EXCEPCIONES_FECHA!$E$2:$E$201,MATCH(1,(EXCEPCIONES_FECHA!$A$2:$A$201=$A1033)*(EXCEPCIONES_FECHA!$B$2:$B$201=""),0)),IFERROR(INDEX(IF($I1033="FIN",HISTORIAL_HORARIOS!$K$2:$K$201,HISTORIAL_HORARIOS!$G$2:$G$201),MATCH(1,(HISTORIAL_HORARIOS!$A$2:$A$201=$B1033)*(HISTORIAL_HORARIOS!$C$2:$C$201&lt;=$A1033)*(HISTORIAL_HORARIOS!$D$2:$D$201&gt;=$A1033),0)),INDEX(IF($I1033="FIN",PERSONAL!$K$2:$K$80,PERSONAL!$G$2:$G$80),MATCH($B1033,PERSONAL!$A$2:$A$80,0)))))</f>
        <v/>
      </c>
      <c r="O1033" s="53">
        <f t="array" ref="O1033">IFERROR(INDEX(EXCEPCIONES_FECHA!$F$2:$F$201,MATCH(1,(EXCEPCIONES_FECHA!$A$2:$A$201=$A1033)*(EXCEPCIONES_FECHA!$B$2:$B$201=$B1033),0)),IFERROR(INDEX(EXCEPCIONES_FECHA!$F$2:$F$201,MATCH(1,(EXCEPCIONES_FECHA!$A$2:$A$201=$A1033)*(EXCEPCIONES_FECHA!$B$2:$B$201=""),0)),IFERROR(INDEX(IF($I1033="FIN",HISTORIAL_HORARIOS!$L$2:$L$201,HISTORIAL_HORARIOS!$H$2:$H$201),MATCH(1,(HISTORIAL_HORARIOS!$A$2:$A$201=$B1033)*(HISTORIAL_HORARIOS!$C$2:$C$201&lt;=$A1033)*(HISTORIAL_HORARIOS!$D$2:$D$201&gt;=$A1033),0)),INDEX(IF($I1033="FIN",PERSONAL!$L$2:$L$80,PERSONAL!$H$2:$H$80),MATCH($B1033,PERSONAL!$A$2:$A$80,0)))))</f>
        <v/>
      </c>
    </row>
    <row r="1034" ht="15" customHeight="1" s="58">
      <c r="A1034" s="40" t="n"/>
      <c r="B1034" s="38" t="n"/>
      <c r="C1034" s="40" t="n"/>
      <c r="D1034" s="40" t="n"/>
      <c r="E1034" s="34">
        <f t="array" ref="E1034">IF($B1034="","",IFERROR(INDEX(PERSONAL!$B$2:$B$80,MATCH($B1034,PERSONAL!$A$2:$A$80,0)),"NO EXISTE"))</f>
        <v/>
      </c>
      <c r="F1034" s="34">
        <f t="array" ref="F1034">IF($B1034="","",IFERROR(INDEX(PERSONAL!$C$2:$C$80,MATCH($B1034,PERSONAL!$A$2:$A$80,0)),""))</f>
        <v/>
      </c>
      <c r="G1034" s="34">
        <f>IF($A1034="","",CHOOSE(WEEKDAY($A1034,2),"LUNES","MARTES","MIÉRCOLES","JUEVES","VIERNES","SÁBADO","DOMINGO"))</f>
        <v/>
      </c>
      <c r="H1034" s="34">
        <f>IF($A1034="","",CHOOSE(MONTH($A1034),"ENERO","FEBRERO","MARZO","ABRIL","MAYO","JUNIO","JULIO","AGOSTO","SEPTIEMBRE","OCTUBRE","NOVIEMBRE","DICIEMBRE"))</f>
        <v/>
      </c>
      <c r="I1034" s="34">
        <f>IF($A1034="","",IF(OR($G1034="SÁBADO",$G1034="DOMINGO"),"FIN","LV"))</f>
        <v/>
      </c>
      <c r="J1034" s="34">
        <f>IF(OR($A1034="",$B1034=""),"",IF($L1034&lt;&gt;"",UPPER($L1034),IF($C1034="","FALTA",IFERROR(IF($C1034&gt;=$O1034,"ROJO FUERTE",IF($C1034&gt;=$N1034,"ROJO",IF($C1034&gt;=$M1034,"AMARILLO","VERDE"))),"REVISAR"))))</f>
        <v/>
      </c>
      <c r="K1034" s="36">
        <f>IF(OR($C1034="",$D1034=""),"",IF($D1034&gt;=$C1034,($D1034-$C1034)*24,(1-$C1034+$D1034)*24))</f>
        <v/>
      </c>
      <c r="L1034" s="34" t="n"/>
      <c r="M1034" s="53">
        <f t="array" ref="M1034">IFERROR(INDEX(EXCEPCIONES_FECHA!$D$2:$D$201,MATCH(1,(EXCEPCIONES_FECHA!$A$2:$A$201=$A1034)*(EXCEPCIONES_FECHA!$B$2:$B$201=$B1034),0)),IFERROR(INDEX(EXCEPCIONES_FECHA!$D$2:$D$201,MATCH(1,(EXCEPCIONES_FECHA!$A$2:$A$201=$A1034)*(EXCEPCIONES_FECHA!$B$2:$B$201=""),0)),IFERROR(INDEX(IF($I1034="FIN",HISTORIAL_HORARIOS!$J$2:$J$201,HISTORIAL_HORARIOS!$F$2:$F$201),MATCH(1,(HISTORIAL_HORARIOS!$A$2:$A$201=$B1034)*(HISTORIAL_HORARIOS!$C$2:$C$201&lt;=$A1034)*(HISTORIAL_HORARIOS!$D$2:$D$201&gt;=$A1034),0)),INDEX(IF($I1034="FIN",PERSONAL!$J$2:$J$80,PERSONAL!$F$2:$F$80),MATCH($B1034,PERSONAL!$A$2:$A$80,0)))))</f>
        <v/>
      </c>
      <c r="N1034" s="53">
        <f t="array" ref="N1034">IFERROR(INDEX(EXCEPCIONES_FECHA!$E$2:$E$201,MATCH(1,(EXCEPCIONES_FECHA!$A$2:$A$201=$A1034)*(EXCEPCIONES_FECHA!$B$2:$B$201=$B1034),0)),IFERROR(INDEX(EXCEPCIONES_FECHA!$E$2:$E$201,MATCH(1,(EXCEPCIONES_FECHA!$A$2:$A$201=$A1034)*(EXCEPCIONES_FECHA!$B$2:$B$201=""),0)),IFERROR(INDEX(IF($I1034="FIN",HISTORIAL_HORARIOS!$K$2:$K$201,HISTORIAL_HORARIOS!$G$2:$G$201),MATCH(1,(HISTORIAL_HORARIOS!$A$2:$A$201=$B1034)*(HISTORIAL_HORARIOS!$C$2:$C$201&lt;=$A1034)*(HISTORIAL_HORARIOS!$D$2:$D$201&gt;=$A1034),0)),INDEX(IF($I1034="FIN",PERSONAL!$K$2:$K$80,PERSONAL!$G$2:$G$80),MATCH($B1034,PERSONAL!$A$2:$A$80,0)))))</f>
        <v/>
      </c>
      <c r="O1034" s="53">
        <f t="array" ref="O1034">IFERROR(INDEX(EXCEPCIONES_FECHA!$F$2:$F$201,MATCH(1,(EXCEPCIONES_FECHA!$A$2:$A$201=$A1034)*(EXCEPCIONES_FECHA!$B$2:$B$201=$B1034),0)),IFERROR(INDEX(EXCEPCIONES_FECHA!$F$2:$F$201,MATCH(1,(EXCEPCIONES_FECHA!$A$2:$A$201=$A1034)*(EXCEPCIONES_FECHA!$B$2:$B$201=""),0)),IFERROR(INDEX(IF($I1034="FIN",HISTORIAL_HORARIOS!$L$2:$L$201,HISTORIAL_HORARIOS!$H$2:$H$201),MATCH(1,(HISTORIAL_HORARIOS!$A$2:$A$201=$B1034)*(HISTORIAL_HORARIOS!$C$2:$C$201&lt;=$A1034)*(HISTORIAL_HORARIOS!$D$2:$D$201&gt;=$A1034),0)),INDEX(IF($I1034="FIN",PERSONAL!$L$2:$L$80,PERSONAL!$H$2:$H$80),MATCH($B1034,PERSONAL!$A$2:$A$80,0)))))</f>
        <v/>
      </c>
    </row>
    <row r="1035" ht="15" customHeight="1" s="58">
      <c r="A1035" s="40" t="n"/>
      <c r="B1035" s="38" t="n"/>
      <c r="C1035" s="40" t="n"/>
      <c r="D1035" s="40" t="n"/>
      <c r="E1035" s="34">
        <f t="array" ref="E1035">IF($B1035="","",IFERROR(INDEX(PERSONAL!$B$2:$B$80,MATCH($B1035,PERSONAL!$A$2:$A$80,0)),"NO EXISTE"))</f>
        <v/>
      </c>
      <c r="F1035" s="34">
        <f t="array" ref="F1035">IF($B1035="","",IFERROR(INDEX(PERSONAL!$C$2:$C$80,MATCH($B1035,PERSONAL!$A$2:$A$80,0)),""))</f>
        <v/>
      </c>
      <c r="G1035" s="34">
        <f>IF($A1035="","",CHOOSE(WEEKDAY($A1035,2),"LUNES","MARTES","MIÉRCOLES","JUEVES","VIERNES","SÁBADO","DOMINGO"))</f>
        <v/>
      </c>
      <c r="H1035" s="34">
        <f>IF($A1035="","",CHOOSE(MONTH($A1035),"ENERO","FEBRERO","MARZO","ABRIL","MAYO","JUNIO","JULIO","AGOSTO","SEPTIEMBRE","OCTUBRE","NOVIEMBRE","DICIEMBRE"))</f>
        <v/>
      </c>
      <c r="I1035" s="34">
        <f>IF($A1035="","",IF(OR($G1035="SÁBADO",$G1035="DOMINGO"),"FIN","LV"))</f>
        <v/>
      </c>
      <c r="J1035" s="34">
        <f>IF(OR($A1035="",$B1035=""),"",IF($L1035&lt;&gt;"",UPPER($L1035),IF($C1035="","FALTA",IFERROR(IF($C1035&gt;=$O1035,"ROJO FUERTE",IF($C1035&gt;=$N1035,"ROJO",IF($C1035&gt;=$M1035,"AMARILLO","VERDE"))),"REVISAR"))))</f>
        <v/>
      </c>
      <c r="K1035" s="36">
        <f>IF(OR($C1035="",$D1035=""),"",IF($D1035&gt;=$C1035,($D1035-$C1035)*24,(1-$C1035+$D1035)*24))</f>
        <v/>
      </c>
      <c r="L1035" s="34" t="n"/>
      <c r="M1035" s="53">
        <f t="array" ref="M1035">IFERROR(INDEX(EXCEPCIONES_FECHA!$D$2:$D$201,MATCH(1,(EXCEPCIONES_FECHA!$A$2:$A$201=$A1035)*(EXCEPCIONES_FECHA!$B$2:$B$201=$B1035),0)),IFERROR(INDEX(EXCEPCIONES_FECHA!$D$2:$D$201,MATCH(1,(EXCEPCIONES_FECHA!$A$2:$A$201=$A1035)*(EXCEPCIONES_FECHA!$B$2:$B$201=""),0)),IFERROR(INDEX(IF($I1035="FIN",HISTORIAL_HORARIOS!$J$2:$J$201,HISTORIAL_HORARIOS!$F$2:$F$201),MATCH(1,(HISTORIAL_HORARIOS!$A$2:$A$201=$B1035)*(HISTORIAL_HORARIOS!$C$2:$C$201&lt;=$A1035)*(HISTORIAL_HORARIOS!$D$2:$D$201&gt;=$A1035),0)),INDEX(IF($I1035="FIN",PERSONAL!$J$2:$J$80,PERSONAL!$F$2:$F$80),MATCH($B1035,PERSONAL!$A$2:$A$80,0)))))</f>
        <v/>
      </c>
      <c r="N1035" s="53">
        <f t="array" ref="N1035">IFERROR(INDEX(EXCEPCIONES_FECHA!$E$2:$E$201,MATCH(1,(EXCEPCIONES_FECHA!$A$2:$A$201=$A1035)*(EXCEPCIONES_FECHA!$B$2:$B$201=$B1035),0)),IFERROR(INDEX(EXCEPCIONES_FECHA!$E$2:$E$201,MATCH(1,(EXCEPCIONES_FECHA!$A$2:$A$201=$A1035)*(EXCEPCIONES_FECHA!$B$2:$B$201=""),0)),IFERROR(INDEX(IF($I1035="FIN",HISTORIAL_HORARIOS!$K$2:$K$201,HISTORIAL_HORARIOS!$G$2:$G$201),MATCH(1,(HISTORIAL_HORARIOS!$A$2:$A$201=$B1035)*(HISTORIAL_HORARIOS!$C$2:$C$201&lt;=$A1035)*(HISTORIAL_HORARIOS!$D$2:$D$201&gt;=$A1035),0)),INDEX(IF($I1035="FIN",PERSONAL!$K$2:$K$80,PERSONAL!$G$2:$G$80),MATCH($B1035,PERSONAL!$A$2:$A$80,0)))))</f>
        <v/>
      </c>
      <c r="O1035" s="53">
        <f t="array" ref="O1035">IFERROR(INDEX(EXCEPCIONES_FECHA!$F$2:$F$201,MATCH(1,(EXCEPCIONES_FECHA!$A$2:$A$201=$A1035)*(EXCEPCIONES_FECHA!$B$2:$B$201=$B1035),0)),IFERROR(INDEX(EXCEPCIONES_FECHA!$F$2:$F$201,MATCH(1,(EXCEPCIONES_FECHA!$A$2:$A$201=$A1035)*(EXCEPCIONES_FECHA!$B$2:$B$201=""),0)),IFERROR(INDEX(IF($I1035="FIN",HISTORIAL_HORARIOS!$L$2:$L$201,HISTORIAL_HORARIOS!$H$2:$H$201),MATCH(1,(HISTORIAL_HORARIOS!$A$2:$A$201=$B1035)*(HISTORIAL_HORARIOS!$C$2:$C$201&lt;=$A1035)*(HISTORIAL_HORARIOS!$D$2:$D$201&gt;=$A1035),0)),INDEX(IF($I1035="FIN",PERSONAL!$L$2:$L$80,PERSONAL!$H$2:$H$80),MATCH($B1035,PERSONAL!$A$2:$A$80,0)))))</f>
        <v/>
      </c>
    </row>
    <row r="1036" ht="15" customHeight="1" s="58">
      <c r="A1036" s="40" t="n"/>
      <c r="B1036" s="38" t="n"/>
      <c r="C1036" s="40" t="n"/>
      <c r="D1036" s="40" t="n"/>
      <c r="E1036" s="34">
        <f t="array" ref="E1036">IF($B1036="","",IFERROR(INDEX(PERSONAL!$B$2:$B$80,MATCH($B1036,PERSONAL!$A$2:$A$80,0)),"NO EXISTE"))</f>
        <v/>
      </c>
      <c r="F1036" s="34">
        <f t="array" ref="F1036">IF($B1036="","",IFERROR(INDEX(PERSONAL!$C$2:$C$80,MATCH($B1036,PERSONAL!$A$2:$A$80,0)),""))</f>
        <v/>
      </c>
      <c r="G1036" s="34">
        <f>IF($A1036="","",CHOOSE(WEEKDAY($A1036,2),"LUNES","MARTES","MIÉRCOLES","JUEVES","VIERNES","SÁBADO","DOMINGO"))</f>
        <v/>
      </c>
      <c r="H1036" s="34">
        <f>IF($A1036="","",CHOOSE(MONTH($A1036),"ENERO","FEBRERO","MARZO","ABRIL","MAYO","JUNIO","JULIO","AGOSTO","SEPTIEMBRE","OCTUBRE","NOVIEMBRE","DICIEMBRE"))</f>
        <v/>
      </c>
      <c r="I1036" s="34">
        <f>IF($A1036="","",IF(OR($G1036="SÁBADO",$G1036="DOMINGO"),"FIN","LV"))</f>
        <v/>
      </c>
      <c r="J1036" s="34">
        <f>IF(OR($A1036="",$B1036=""),"",IF($L1036&lt;&gt;"",UPPER($L1036),IF($C1036="","FALTA",IFERROR(IF($C1036&gt;=$O1036,"ROJO FUERTE",IF($C1036&gt;=$N1036,"ROJO",IF($C1036&gt;=$M1036,"AMARILLO","VERDE"))),"REVISAR"))))</f>
        <v/>
      </c>
      <c r="K1036" s="36">
        <f>IF(OR($C1036="",$D1036=""),"",IF($D1036&gt;=$C1036,($D1036-$C1036)*24,(1-$C1036+$D1036)*24))</f>
        <v/>
      </c>
      <c r="L1036" s="34" t="n"/>
      <c r="M1036" s="53">
        <f t="array" ref="M1036">IFERROR(INDEX(EXCEPCIONES_FECHA!$D$2:$D$201,MATCH(1,(EXCEPCIONES_FECHA!$A$2:$A$201=$A1036)*(EXCEPCIONES_FECHA!$B$2:$B$201=$B1036),0)),IFERROR(INDEX(EXCEPCIONES_FECHA!$D$2:$D$201,MATCH(1,(EXCEPCIONES_FECHA!$A$2:$A$201=$A1036)*(EXCEPCIONES_FECHA!$B$2:$B$201=""),0)),IFERROR(INDEX(IF($I1036="FIN",HISTORIAL_HORARIOS!$J$2:$J$201,HISTORIAL_HORARIOS!$F$2:$F$201),MATCH(1,(HISTORIAL_HORARIOS!$A$2:$A$201=$B1036)*(HISTORIAL_HORARIOS!$C$2:$C$201&lt;=$A1036)*(HISTORIAL_HORARIOS!$D$2:$D$201&gt;=$A1036),0)),INDEX(IF($I1036="FIN",PERSONAL!$J$2:$J$80,PERSONAL!$F$2:$F$80),MATCH($B1036,PERSONAL!$A$2:$A$80,0)))))</f>
        <v/>
      </c>
      <c r="N1036" s="53">
        <f t="array" ref="N1036">IFERROR(INDEX(EXCEPCIONES_FECHA!$E$2:$E$201,MATCH(1,(EXCEPCIONES_FECHA!$A$2:$A$201=$A1036)*(EXCEPCIONES_FECHA!$B$2:$B$201=$B1036),0)),IFERROR(INDEX(EXCEPCIONES_FECHA!$E$2:$E$201,MATCH(1,(EXCEPCIONES_FECHA!$A$2:$A$201=$A1036)*(EXCEPCIONES_FECHA!$B$2:$B$201=""),0)),IFERROR(INDEX(IF($I1036="FIN",HISTORIAL_HORARIOS!$K$2:$K$201,HISTORIAL_HORARIOS!$G$2:$G$201),MATCH(1,(HISTORIAL_HORARIOS!$A$2:$A$201=$B1036)*(HISTORIAL_HORARIOS!$C$2:$C$201&lt;=$A1036)*(HISTORIAL_HORARIOS!$D$2:$D$201&gt;=$A1036),0)),INDEX(IF($I1036="FIN",PERSONAL!$K$2:$K$80,PERSONAL!$G$2:$G$80),MATCH($B1036,PERSONAL!$A$2:$A$80,0)))))</f>
        <v/>
      </c>
      <c r="O1036" s="53">
        <f t="array" ref="O1036">IFERROR(INDEX(EXCEPCIONES_FECHA!$F$2:$F$201,MATCH(1,(EXCEPCIONES_FECHA!$A$2:$A$201=$A1036)*(EXCEPCIONES_FECHA!$B$2:$B$201=$B1036),0)),IFERROR(INDEX(EXCEPCIONES_FECHA!$F$2:$F$201,MATCH(1,(EXCEPCIONES_FECHA!$A$2:$A$201=$A1036)*(EXCEPCIONES_FECHA!$B$2:$B$201=""),0)),IFERROR(INDEX(IF($I1036="FIN",HISTORIAL_HORARIOS!$L$2:$L$201,HISTORIAL_HORARIOS!$H$2:$H$201),MATCH(1,(HISTORIAL_HORARIOS!$A$2:$A$201=$B1036)*(HISTORIAL_HORARIOS!$C$2:$C$201&lt;=$A1036)*(HISTORIAL_HORARIOS!$D$2:$D$201&gt;=$A1036),0)),INDEX(IF($I1036="FIN",PERSONAL!$L$2:$L$80,PERSONAL!$H$2:$H$80),MATCH($B1036,PERSONAL!$A$2:$A$80,0)))))</f>
        <v/>
      </c>
    </row>
    <row r="1037" ht="15" customHeight="1" s="58">
      <c r="A1037" s="40" t="n"/>
      <c r="B1037" s="38" t="n"/>
      <c r="C1037" s="40" t="n"/>
      <c r="D1037" s="40" t="n"/>
      <c r="E1037" s="34">
        <f t="array" ref="E1037">IF($B1037="","",IFERROR(INDEX(PERSONAL!$B$2:$B$80,MATCH($B1037,PERSONAL!$A$2:$A$80,0)),"NO EXISTE"))</f>
        <v/>
      </c>
      <c r="F1037" s="34">
        <f t="array" ref="F1037">IF($B1037="","",IFERROR(INDEX(PERSONAL!$C$2:$C$80,MATCH($B1037,PERSONAL!$A$2:$A$80,0)),""))</f>
        <v/>
      </c>
      <c r="G1037" s="34">
        <f>IF($A1037="","",CHOOSE(WEEKDAY($A1037,2),"LUNES","MARTES","MIÉRCOLES","JUEVES","VIERNES","SÁBADO","DOMINGO"))</f>
        <v/>
      </c>
      <c r="H1037" s="34">
        <f>IF($A1037="","",CHOOSE(MONTH($A1037),"ENERO","FEBRERO","MARZO","ABRIL","MAYO","JUNIO","JULIO","AGOSTO","SEPTIEMBRE","OCTUBRE","NOVIEMBRE","DICIEMBRE"))</f>
        <v/>
      </c>
      <c r="I1037" s="34">
        <f>IF($A1037="","",IF(OR($G1037="SÁBADO",$G1037="DOMINGO"),"FIN","LV"))</f>
        <v/>
      </c>
      <c r="J1037" s="34">
        <f>IF(OR($A1037="",$B1037=""),"",IF($L1037&lt;&gt;"",UPPER($L1037),IF($C1037="","FALTA",IFERROR(IF($C1037&gt;=$O1037,"ROJO FUERTE",IF($C1037&gt;=$N1037,"ROJO",IF($C1037&gt;=$M1037,"AMARILLO","VERDE"))),"REVISAR"))))</f>
        <v/>
      </c>
      <c r="K1037" s="36">
        <f>IF(OR($C1037="",$D1037=""),"",IF($D1037&gt;=$C1037,($D1037-$C1037)*24,(1-$C1037+$D1037)*24))</f>
        <v/>
      </c>
      <c r="L1037" s="34" t="n"/>
      <c r="M1037" s="53">
        <f t="array" ref="M1037">IFERROR(INDEX(EXCEPCIONES_FECHA!$D$2:$D$201,MATCH(1,(EXCEPCIONES_FECHA!$A$2:$A$201=$A1037)*(EXCEPCIONES_FECHA!$B$2:$B$201=$B1037),0)),IFERROR(INDEX(EXCEPCIONES_FECHA!$D$2:$D$201,MATCH(1,(EXCEPCIONES_FECHA!$A$2:$A$201=$A1037)*(EXCEPCIONES_FECHA!$B$2:$B$201=""),0)),IFERROR(INDEX(IF($I1037="FIN",HISTORIAL_HORARIOS!$J$2:$J$201,HISTORIAL_HORARIOS!$F$2:$F$201),MATCH(1,(HISTORIAL_HORARIOS!$A$2:$A$201=$B1037)*(HISTORIAL_HORARIOS!$C$2:$C$201&lt;=$A1037)*(HISTORIAL_HORARIOS!$D$2:$D$201&gt;=$A1037),0)),INDEX(IF($I1037="FIN",PERSONAL!$J$2:$J$80,PERSONAL!$F$2:$F$80),MATCH($B1037,PERSONAL!$A$2:$A$80,0)))))</f>
        <v/>
      </c>
      <c r="N1037" s="53">
        <f t="array" ref="N1037">IFERROR(INDEX(EXCEPCIONES_FECHA!$E$2:$E$201,MATCH(1,(EXCEPCIONES_FECHA!$A$2:$A$201=$A1037)*(EXCEPCIONES_FECHA!$B$2:$B$201=$B1037),0)),IFERROR(INDEX(EXCEPCIONES_FECHA!$E$2:$E$201,MATCH(1,(EXCEPCIONES_FECHA!$A$2:$A$201=$A1037)*(EXCEPCIONES_FECHA!$B$2:$B$201=""),0)),IFERROR(INDEX(IF($I1037="FIN",HISTORIAL_HORARIOS!$K$2:$K$201,HISTORIAL_HORARIOS!$G$2:$G$201),MATCH(1,(HISTORIAL_HORARIOS!$A$2:$A$201=$B1037)*(HISTORIAL_HORARIOS!$C$2:$C$201&lt;=$A1037)*(HISTORIAL_HORARIOS!$D$2:$D$201&gt;=$A1037),0)),INDEX(IF($I1037="FIN",PERSONAL!$K$2:$K$80,PERSONAL!$G$2:$G$80),MATCH($B1037,PERSONAL!$A$2:$A$80,0)))))</f>
        <v/>
      </c>
      <c r="O1037" s="53">
        <f t="array" ref="O1037">IFERROR(INDEX(EXCEPCIONES_FECHA!$F$2:$F$201,MATCH(1,(EXCEPCIONES_FECHA!$A$2:$A$201=$A1037)*(EXCEPCIONES_FECHA!$B$2:$B$201=$B1037),0)),IFERROR(INDEX(EXCEPCIONES_FECHA!$F$2:$F$201,MATCH(1,(EXCEPCIONES_FECHA!$A$2:$A$201=$A1037)*(EXCEPCIONES_FECHA!$B$2:$B$201=""),0)),IFERROR(INDEX(IF($I1037="FIN",HISTORIAL_HORARIOS!$L$2:$L$201,HISTORIAL_HORARIOS!$H$2:$H$201),MATCH(1,(HISTORIAL_HORARIOS!$A$2:$A$201=$B1037)*(HISTORIAL_HORARIOS!$C$2:$C$201&lt;=$A1037)*(HISTORIAL_HORARIOS!$D$2:$D$201&gt;=$A1037),0)),INDEX(IF($I1037="FIN",PERSONAL!$L$2:$L$80,PERSONAL!$H$2:$H$80),MATCH($B1037,PERSONAL!$A$2:$A$80,0)))))</f>
        <v/>
      </c>
    </row>
    <row r="1038" ht="15" customHeight="1" s="58">
      <c r="A1038" s="40" t="n"/>
      <c r="B1038" s="38" t="n"/>
      <c r="C1038" s="40" t="n"/>
      <c r="D1038" s="40" t="n"/>
      <c r="E1038" s="34">
        <f t="array" ref="E1038">IF($B1038="","",IFERROR(INDEX(PERSONAL!$B$2:$B$80,MATCH($B1038,PERSONAL!$A$2:$A$80,0)),"NO EXISTE"))</f>
        <v/>
      </c>
      <c r="F1038" s="34">
        <f t="array" ref="F1038">IF($B1038="","",IFERROR(INDEX(PERSONAL!$C$2:$C$80,MATCH($B1038,PERSONAL!$A$2:$A$80,0)),""))</f>
        <v/>
      </c>
      <c r="G1038" s="34">
        <f>IF($A1038="","",CHOOSE(WEEKDAY($A1038,2),"LUNES","MARTES","MIÉRCOLES","JUEVES","VIERNES","SÁBADO","DOMINGO"))</f>
        <v/>
      </c>
      <c r="H1038" s="34">
        <f>IF($A1038="","",CHOOSE(MONTH($A1038),"ENERO","FEBRERO","MARZO","ABRIL","MAYO","JUNIO","JULIO","AGOSTO","SEPTIEMBRE","OCTUBRE","NOVIEMBRE","DICIEMBRE"))</f>
        <v/>
      </c>
      <c r="I1038" s="34">
        <f>IF($A1038="","",IF(OR($G1038="SÁBADO",$G1038="DOMINGO"),"FIN","LV"))</f>
        <v/>
      </c>
      <c r="J1038" s="34">
        <f>IF(OR($A1038="",$B1038=""),"",IF($L1038&lt;&gt;"",UPPER($L1038),IF($C1038="","FALTA",IFERROR(IF($C1038&gt;=$O1038,"ROJO FUERTE",IF($C1038&gt;=$N1038,"ROJO",IF($C1038&gt;=$M1038,"AMARILLO","VERDE"))),"REVISAR"))))</f>
        <v/>
      </c>
      <c r="K1038" s="36">
        <f>IF(OR($C1038="",$D1038=""),"",IF($D1038&gt;=$C1038,($D1038-$C1038)*24,(1-$C1038+$D1038)*24))</f>
        <v/>
      </c>
      <c r="L1038" s="34" t="n"/>
      <c r="M1038" s="53">
        <f t="array" ref="M1038">IFERROR(INDEX(EXCEPCIONES_FECHA!$D$2:$D$201,MATCH(1,(EXCEPCIONES_FECHA!$A$2:$A$201=$A1038)*(EXCEPCIONES_FECHA!$B$2:$B$201=$B1038),0)),IFERROR(INDEX(EXCEPCIONES_FECHA!$D$2:$D$201,MATCH(1,(EXCEPCIONES_FECHA!$A$2:$A$201=$A1038)*(EXCEPCIONES_FECHA!$B$2:$B$201=""),0)),IFERROR(INDEX(IF($I1038="FIN",HISTORIAL_HORARIOS!$J$2:$J$201,HISTORIAL_HORARIOS!$F$2:$F$201),MATCH(1,(HISTORIAL_HORARIOS!$A$2:$A$201=$B1038)*(HISTORIAL_HORARIOS!$C$2:$C$201&lt;=$A1038)*(HISTORIAL_HORARIOS!$D$2:$D$201&gt;=$A1038),0)),INDEX(IF($I1038="FIN",PERSONAL!$J$2:$J$80,PERSONAL!$F$2:$F$80),MATCH($B1038,PERSONAL!$A$2:$A$80,0)))))</f>
        <v/>
      </c>
      <c r="N1038" s="53">
        <f t="array" ref="N1038">IFERROR(INDEX(EXCEPCIONES_FECHA!$E$2:$E$201,MATCH(1,(EXCEPCIONES_FECHA!$A$2:$A$201=$A1038)*(EXCEPCIONES_FECHA!$B$2:$B$201=$B1038),0)),IFERROR(INDEX(EXCEPCIONES_FECHA!$E$2:$E$201,MATCH(1,(EXCEPCIONES_FECHA!$A$2:$A$201=$A1038)*(EXCEPCIONES_FECHA!$B$2:$B$201=""),0)),IFERROR(INDEX(IF($I1038="FIN",HISTORIAL_HORARIOS!$K$2:$K$201,HISTORIAL_HORARIOS!$G$2:$G$201),MATCH(1,(HISTORIAL_HORARIOS!$A$2:$A$201=$B1038)*(HISTORIAL_HORARIOS!$C$2:$C$201&lt;=$A1038)*(HISTORIAL_HORARIOS!$D$2:$D$201&gt;=$A1038),0)),INDEX(IF($I1038="FIN",PERSONAL!$K$2:$K$80,PERSONAL!$G$2:$G$80),MATCH($B1038,PERSONAL!$A$2:$A$80,0)))))</f>
        <v/>
      </c>
      <c r="O1038" s="53">
        <f t="array" ref="O1038">IFERROR(INDEX(EXCEPCIONES_FECHA!$F$2:$F$201,MATCH(1,(EXCEPCIONES_FECHA!$A$2:$A$201=$A1038)*(EXCEPCIONES_FECHA!$B$2:$B$201=$B1038),0)),IFERROR(INDEX(EXCEPCIONES_FECHA!$F$2:$F$201,MATCH(1,(EXCEPCIONES_FECHA!$A$2:$A$201=$A1038)*(EXCEPCIONES_FECHA!$B$2:$B$201=""),0)),IFERROR(INDEX(IF($I1038="FIN",HISTORIAL_HORARIOS!$L$2:$L$201,HISTORIAL_HORARIOS!$H$2:$H$201),MATCH(1,(HISTORIAL_HORARIOS!$A$2:$A$201=$B1038)*(HISTORIAL_HORARIOS!$C$2:$C$201&lt;=$A1038)*(HISTORIAL_HORARIOS!$D$2:$D$201&gt;=$A1038),0)),INDEX(IF($I1038="FIN",PERSONAL!$L$2:$L$80,PERSONAL!$H$2:$H$80),MATCH($B1038,PERSONAL!$A$2:$A$80,0)))))</f>
        <v/>
      </c>
    </row>
    <row r="1039" ht="15" customHeight="1" s="58">
      <c r="A1039" s="40" t="n"/>
      <c r="B1039" s="38" t="n"/>
      <c r="C1039" s="40" t="n"/>
      <c r="D1039" s="40" t="n"/>
      <c r="E1039" s="34">
        <f t="array" ref="E1039">IF($B1039="","",IFERROR(INDEX(PERSONAL!$B$2:$B$80,MATCH($B1039,PERSONAL!$A$2:$A$80,0)),"NO EXISTE"))</f>
        <v/>
      </c>
      <c r="F1039" s="34">
        <f t="array" ref="F1039">IF($B1039="","",IFERROR(INDEX(PERSONAL!$C$2:$C$80,MATCH($B1039,PERSONAL!$A$2:$A$80,0)),""))</f>
        <v/>
      </c>
      <c r="G1039" s="34">
        <f>IF($A1039="","",CHOOSE(WEEKDAY($A1039,2),"LUNES","MARTES","MIÉRCOLES","JUEVES","VIERNES","SÁBADO","DOMINGO"))</f>
        <v/>
      </c>
      <c r="H1039" s="34">
        <f>IF($A1039="","",CHOOSE(MONTH($A1039),"ENERO","FEBRERO","MARZO","ABRIL","MAYO","JUNIO","JULIO","AGOSTO","SEPTIEMBRE","OCTUBRE","NOVIEMBRE","DICIEMBRE"))</f>
        <v/>
      </c>
      <c r="I1039" s="34">
        <f>IF($A1039="","",IF(OR($G1039="SÁBADO",$G1039="DOMINGO"),"FIN","LV"))</f>
        <v/>
      </c>
      <c r="J1039" s="34">
        <f>IF(OR($A1039="",$B1039=""),"",IF($L1039&lt;&gt;"",UPPER($L1039),IF($C1039="","FALTA",IFERROR(IF($C1039&gt;=$O1039,"ROJO FUERTE",IF($C1039&gt;=$N1039,"ROJO",IF($C1039&gt;=$M1039,"AMARILLO","VERDE"))),"REVISAR"))))</f>
        <v/>
      </c>
      <c r="K1039" s="36">
        <f>IF(OR($C1039="",$D1039=""),"",IF($D1039&gt;=$C1039,($D1039-$C1039)*24,(1-$C1039+$D1039)*24))</f>
        <v/>
      </c>
      <c r="L1039" s="34" t="n"/>
      <c r="M1039" s="53">
        <f t="array" ref="M1039">IFERROR(INDEX(EXCEPCIONES_FECHA!$D$2:$D$201,MATCH(1,(EXCEPCIONES_FECHA!$A$2:$A$201=$A1039)*(EXCEPCIONES_FECHA!$B$2:$B$201=$B1039),0)),IFERROR(INDEX(EXCEPCIONES_FECHA!$D$2:$D$201,MATCH(1,(EXCEPCIONES_FECHA!$A$2:$A$201=$A1039)*(EXCEPCIONES_FECHA!$B$2:$B$201=""),0)),IFERROR(INDEX(IF($I1039="FIN",HISTORIAL_HORARIOS!$J$2:$J$201,HISTORIAL_HORARIOS!$F$2:$F$201),MATCH(1,(HISTORIAL_HORARIOS!$A$2:$A$201=$B1039)*(HISTORIAL_HORARIOS!$C$2:$C$201&lt;=$A1039)*(HISTORIAL_HORARIOS!$D$2:$D$201&gt;=$A1039),0)),INDEX(IF($I1039="FIN",PERSONAL!$J$2:$J$80,PERSONAL!$F$2:$F$80),MATCH($B1039,PERSONAL!$A$2:$A$80,0)))))</f>
        <v/>
      </c>
      <c r="N1039" s="53">
        <f t="array" ref="N1039">IFERROR(INDEX(EXCEPCIONES_FECHA!$E$2:$E$201,MATCH(1,(EXCEPCIONES_FECHA!$A$2:$A$201=$A1039)*(EXCEPCIONES_FECHA!$B$2:$B$201=$B1039),0)),IFERROR(INDEX(EXCEPCIONES_FECHA!$E$2:$E$201,MATCH(1,(EXCEPCIONES_FECHA!$A$2:$A$201=$A1039)*(EXCEPCIONES_FECHA!$B$2:$B$201=""),0)),IFERROR(INDEX(IF($I1039="FIN",HISTORIAL_HORARIOS!$K$2:$K$201,HISTORIAL_HORARIOS!$G$2:$G$201),MATCH(1,(HISTORIAL_HORARIOS!$A$2:$A$201=$B1039)*(HISTORIAL_HORARIOS!$C$2:$C$201&lt;=$A1039)*(HISTORIAL_HORARIOS!$D$2:$D$201&gt;=$A1039),0)),INDEX(IF($I1039="FIN",PERSONAL!$K$2:$K$80,PERSONAL!$G$2:$G$80),MATCH($B1039,PERSONAL!$A$2:$A$80,0)))))</f>
        <v/>
      </c>
      <c r="O1039" s="53">
        <f t="array" ref="O1039">IFERROR(INDEX(EXCEPCIONES_FECHA!$F$2:$F$201,MATCH(1,(EXCEPCIONES_FECHA!$A$2:$A$201=$A1039)*(EXCEPCIONES_FECHA!$B$2:$B$201=$B1039),0)),IFERROR(INDEX(EXCEPCIONES_FECHA!$F$2:$F$201,MATCH(1,(EXCEPCIONES_FECHA!$A$2:$A$201=$A1039)*(EXCEPCIONES_FECHA!$B$2:$B$201=""),0)),IFERROR(INDEX(IF($I1039="FIN",HISTORIAL_HORARIOS!$L$2:$L$201,HISTORIAL_HORARIOS!$H$2:$H$201),MATCH(1,(HISTORIAL_HORARIOS!$A$2:$A$201=$B1039)*(HISTORIAL_HORARIOS!$C$2:$C$201&lt;=$A1039)*(HISTORIAL_HORARIOS!$D$2:$D$201&gt;=$A1039),0)),INDEX(IF($I1039="FIN",PERSONAL!$L$2:$L$80,PERSONAL!$H$2:$H$80),MATCH($B1039,PERSONAL!$A$2:$A$80,0)))))</f>
        <v/>
      </c>
    </row>
    <row r="1040" ht="15" customHeight="1" s="58">
      <c r="A1040" s="40" t="n"/>
      <c r="B1040" s="38" t="n"/>
      <c r="C1040" s="40" t="n"/>
      <c r="D1040" s="40" t="n"/>
      <c r="E1040" s="34">
        <f t="array" ref="E1040">IF($B1040="","",IFERROR(INDEX(PERSONAL!$B$2:$B$80,MATCH($B1040,PERSONAL!$A$2:$A$80,0)),"NO EXISTE"))</f>
        <v/>
      </c>
      <c r="F1040" s="34">
        <f t="array" ref="F1040">IF($B1040="","",IFERROR(INDEX(PERSONAL!$C$2:$C$80,MATCH($B1040,PERSONAL!$A$2:$A$80,0)),""))</f>
        <v/>
      </c>
      <c r="G1040" s="34">
        <f>IF($A1040="","",CHOOSE(WEEKDAY($A1040,2),"LUNES","MARTES","MIÉRCOLES","JUEVES","VIERNES","SÁBADO","DOMINGO"))</f>
        <v/>
      </c>
      <c r="H1040" s="34">
        <f>IF($A1040="","",CHOOSE(MONTH($A1040),"ENERO","FEBRERO","MARZO","ABRIL","MAYO","JUNIO","JULIO","AGOSTO","SEPTIEMBRE","OCTUBRE","NOVIEMBRE","DICIEMBRE"))</f>
        <v/>
      </c>
      <c r="I1040" s="34">
        <f>IF($A1040="","",IF(OR($G1040="SÁBADO",$G1040="DOMINGO"),"FIN","LV"))</f>
        <v/>
      </c>
      <c r="J1040" s="34">
        <f>IF(OR($A1040="",$B1040=""),"",IF($L1040&lt;&gt;"",UPPER($L1040),IF($C1040="","FALTA",IFERROR(IF($C1040&gt;=$O1040,"ROJO FUERTE",IF($C1040&gt;=$N1040,"ROJO",IF($C1040&gt;=$M1040,"AMARILLO","VERDE"))),"REVISAR"))))</f>
        <v/>
      </c>
      <c r="K1040" s="36">
        <f>IF(OR($C1040="",$D1040=""),"",IF($D1040&gt;=$C1040,($D1040-$C1040)*24,(1-$C1040+$D1040)*24))</f>
        <v/>
      </c>
      <c r="L1040" s="34" t="n"/>
      <c r="M1040" s="53">
        <f t="array" ref="M1040">IFERROR(INDEX(EXCEPCIONES_FECHA!$D$2:$D$201,MATCH(1,(EXCEPCIONES_FECHA!$A$2:$A$201=$A1040)*(EXCEPCIONES_FECHA!$B$2:$B$201=$B1040),0)),IFERROR(INDEX(EXCEPCIONES_FECHA!$D$2:$D$201,MATCH(1,(EXCEPCIONES_FECHA!$A$2:$A$201=$A1040)*(EXCEPCIONES_FECHA!$B$2:$B$201=""),0)),IFERROR(INDEX(IF($I1040="FIN",HISTORIAL_HORARIOS!$J$2:$J$201,HISTORIAL_HORARIOS!$F$2:$F$201),MATCH(1,(HISTORIAL_HORARIOS!$A$2:$A$201=$B1040)*(HISTORIAL_HORARIOS!$C$2:$C$201&lt;=$A1040)*(HISTORIAL_HORARIOS!$D$2:$D$201&gt;=$A1040),0)),INDEX(IF($I1040="FIN",PERSONAL!$J$2:$J$80,PERSONAL!$F$2:$F$80),MATCH($B1040,PERSONAL!$A$2:$A$80,0)))))</f>
        <v/>
      </c>
      <c r="N1040" s="53">
        <f t="array" ref="N1040">IFERROR(INDEX(EXCEPCIONES_FECHA!$E$2:$E$201,MATCH(1,(EXCEPCIONES_FECHA!$A$2:$A$201=$A1040)*(EXCEPCIONES_FECHA!$B$2:$B$201=$B1040),0)),IFERROR(INDEX(EXCEPCIONES_FECHA!$E$2:$E$201,MATCH(1,(EXCEPCIONES_FECHA!$A$2:$A$201=$A1040)*(EXCEPCIONES_FECHA!$B$2:$B$201=""),0)),IFERROR(INDEX(IF($I1040="FIN",HISTORIAL_HORARIOS!$K$2:$K$201,HISTORIAL_HORARIOS!$G$2:$G$201),MATCH(1,(HISTORIAL_HORARIOS!$A$2:$A$201=$B1040)*(HISTORIAL_HORARIOS!$C$2:$C$201&lt;=$A1040)*(HISTORIAL_HORARIOS!$D$2:$D$201&gt;=$A1040),0)),INDEX(IF($I1040="FIN",PERSONAL!$K$2:$K$80,PERSONAL!$G$2:$G$80),MATCH($B1040,PERSONAL!$A$2:$A$80,0)))))</f>
        <v/>
      </c>
      <c r="O1040" s="53">
        <f t="array" ref="O1040">IFERROR(INDEX(EXCEPCIONES_FECHA!$F$2:$F$201,MATCH(1,(EXCEPCIONES_FECHA!$A$2:$A$201=$A1040)*(EXCEPCIONES_FECHA!$B$2:$B$201=$B1040),0)),IFERROR(INDEX(EXCEPCIONES_FECHA!$F$2:$F$201,MATCH(1,(EXCEPCIONES_FECHA!$A$2:$A$201=$A1040)*(EXCEPCIONES_FECHA!$B$2:$B$201=""),0)),IFERROR(INDEX(IF($I1040="FIN",HISTORIAL_HORARIOS!$L$2:$L$201,HISTORIAL_HORARIOS!$H$2:$H$201),MATCH(1,(HISTORIAL_HORARIOS!$A$2:$A$201=$B1040)*(HISTORIAL_HORARIOS!$C$2:$C$201&lt;=$A1040)*(HISTORIAL_HORARIOS!$D$2:$D$201&gt;=$A1040),0)),INDEX(IF($I1040="FIN",PERSONAL!$L$2:$L$80,PERSONAL!$H$2:$H$80),MATCH($B1040,PERSONAL!$A$2:$A$80,0)))))</f>
        <v/>
      </c>
    </row>
    <row r="1041" ht="15" customHeight="1" s="58">
      <c r="A1041" s="40" t="n"/>
      <c r="B1041" s="38" t="n"/>
      <c r="C1041" s="40" t="n"/>
      <c r="D1041" s="40" t="n"/>
      <c r="E1041" s="34">
        <f t="array" ref="E1041">IF($B1041="","",IFERROR(INDEX(PERSONAL!$B$2:$B$80,MATCH($B1041,PERSONAL!$A$2:$A$80,0)),"NO EXISTE"))</f>
        <v/>
      </c>
      <c r="F1041" s="34">
        <f t="array" ref="F1041">IF($B1041="","",IFERROR(INDEX(PERSONAL!$C$2:$C$80,MATCH($B1041,PERSONAL!$A$2:$A$80,0)),""))</f>
        <v/>
      </c>
      <c r="G1041" s="34">
        <f>IF($A1041="","",CHOOSE(WEEKDAY($A1041,2),"LUNES","MARTES","MIÉRCOLES","JUEVES","VIERNES","SÁBADO","DOMINGO"))</f>
        <v/>
      </c>
      <c r="H1041" s="34">
        <f>IF($A1041="","",CHOOSE(MONTH($A1041),"ENERO","FEBRERO","MARZO","ABRIL","MAYO","JUNIO","JULIO","AGOSTO","SEPTIEMBRE","OCTUBRE","NOVIEMBRE","DICIEMBRE"))</f>
        <v/>
      </c>
      <c r="I1041" s="34">
        <f>IF($A1041="","",IF(OR($G1041="SÁBADO",$G1041="DOMINGO"),"FIN","LV"))</f>
        <v/>
      </c>
      <c r="J1041" s="34">
        <f>IF(OR($A1041="",$B1041=""),"",IF($L1041&lt;&gt;"",UPPER($L1041),IF($C1041="","FALTA",IFERROR(IF($C1041&gt;=$O1041,"ROJO FUERTE",IF($C1041&gt;=$N1041,"ROJO",IF($C1041&gt;=$M1041,"AMARILLO","VERDE"))),"REVISAR"))))</f>
        <v/>
      </c>
      <c r="K1041" s="36">
        <f>IF(OR($C1041="",$D1041=""),"",IF($D1041&gt;=$C1041,($D1041-$C1041)*24,(1-$C1041+$D1041)*24))</f>
        <v/>
      </c>
      <c r="L1041" s="34" t="n"/>
      <c r="M1041" s="53">
        <f t="array" ref="M1041">IFERROR(INDEX(EXCEPCIONES_FECHA!$D$2:$D$201,MATCH(1,(EXCEPCIONES_FECHA!$A$2:$A$201=$A1041)*(EXCEPCIONES_FECHA!$B$2:$B$201=$B1041),0)),IFERROR(INDEX(EXCEPCIONES_FECHA!$D$2:$D$201,MATCH(1,(EXCEPCIONES_FECHA!$A$2:$A$201=$A1041)*(EXCEPCIONES_FECHA!$B$2:$B$201=""),0)),IFERROR(INDEX(IF($I1041="FIN",HISTORIAL_HORARIOS!$J$2:$J$201,HISTORIAL_HORARIOS!$F$2:$F$201),MATCH(1,(HISTORIAL_HORARIOS!$A$2:$A$201=$B1041)*(HISTORIAL_HORARIOS!$C$2:$C$201&lt;=$A1041)*(HISTORIAL_HORARIOS!$D$2:$D$201&gt;=$A1041),0)),INDEX(IF($I1041="FIN",PERSONAL!$J$2:$J$80,PERSONAL!$F$2:$F$80),MATCH($B1041,PERSONAL!$A$2:$A$80,0)))))</f>
        <v/>
      </c>
      <c r="N1041" s="53">
        <f t="array" ref="N1041">IFERROR(INDEX(EXCEPCIONES_FECHA!$E$2:$E$201,MATCH(1,(EXCEPCIONES_FECHA!$A$2:$A$201=$A1041)*(EXCEPCIONES_FECHA!$B$2:$B$201=$B1041),0)),IFERROR(INDEX(EXCEPCIONES_FECHA!$E$2:$E$201,MATCH(1,(EXCEPCIONES_FECHA!$A$2:$A$201=$A1041)*(EXCEPCIONES_FECHA!$B$2:$B$201=""),0)),IFERROR(INDEX(IF($I1041="FIN",HISTORIAL_HORARIOS!$K$2:$K$201,HISTORIAL_HORARIOS!$G$2:$G$201),MATCH(1,(HISTORIAL_HORARIOS!$A$2:$A$201=$B1041)*(HISTORIAL_HORARIOS!$C$2:$C$201&lt;=$A1041)*(HISTORIAL_HORARIOS!$D$2:$D$201&gt;=$A1041),0)),INDEX(IF($I1041="FIN",PERSONAL!$K$2:$K$80,PERSONAL!$G$2:$G$80),MATCH($B1041,PERSONAL!$A$2:$A$80,0)))))</f>
        <v/>
      </c>
      <c r="O1041" s="53">
        <f t="array" ref="O1041">IFERROR(INDEX(EXCEPCIONES_FECHA!$F$2:$F$201,MATCH(1,(EXCEPCIONES_FECHA!$A$2:$A$201=$A1041)*(EXCEPCIONES_FECHA!$B$2:$B$201=$B1041),0)),IFERROR(INDEX(EXCEPCIONES_FECHA!$F$2:$F$201,MATCH(1,(EXCEPCIONES_FECHA!$A$2:$A$201=$A1041)*(EXCEPCIONES_FECHA!$B$2:$B$201=""),0)),IFERROR(INDEX(IF($I1041="FIN",HISTORIAL_HORARIOS!$L$2:$L$201,HISTORIAL_HORARIOS!$H$2:$H$201),MATCH(1,(HISTORIAL_HORARIOS!$A$2:$A$201=$B1041)*(HISTORIAL_HORARIOS!$C$2:$C$201&lt;=$A1041)*(HISTORIAL_HORARIOS!$D$2:$D$201&gt;=$A1041),0)),INDEX(IF($I1041="FIN",PERSONAL!$L$2:$L$80,PERSONAL!$H$2:$H$80),MATCH($B1041,PERSONAL!$A$2:$A$80,0)))))</f>
        <v/>
      </c>
    </row>
    <row r="1042" ht="15" customHeight="1" s="58">
      <c r="A1042" s="40" t="n"/>
      <c r="B1042" s="38" t="n"/>
      <c r="C1042" s="40" t="n"/>
      <c r="D1042" s="40" t="n"/>
      <c r="E1042" s="34">
        <f t="array" ref="E1042">IF($B1042="","",IFERROR(INDEX(PERSONAL!$B$2:$B$80,MATCH($B1042,PERSONAL!$A$2:$A$80,0)),"NO EXISTE"))</f>
        <v/>
      </c>
      <c r="F1042" s="34">
        <f t="array" ref="F1042">IF($B1042="","",IFERROR(INDEX(PERSONAL!$C$2:$C$80,MATCH($B1042,PERSONAL!$A$2:$A$80,0)),""))</f>
        <v/>
      </c>
      <c r="G1042" s="34">
        <f>IF($A1042="","",CHOOSE(WEEKDAY($A1042,2),"LUNES","MARTES","MIÉRCOLES","JUEVES","VIERNES","SÁBADO","DOMINGO"))</f>
        <v/>
      </c>
      <c r="H1042" s="34">
        <f>IF($A1042="","",CHOOSE(MONTH($A1042),"ENERO","FEBRERO","MARZO","ABRIL","MAYO","JUNIO","JULIO","AGOSTO","SEPTIEMBRE","OCTUBRE","NOVIEMBRE","DICIEMBRE"))</f>
        <v/>
      </c>
      <c r="I1042" s="34">
        <f>IF($A1042="","",IF(OR($G1042="SÁBADO",$G1042="DOMINGO"),"FIN","LV"))</f>
        <v/>
      </c>
      <c r="J1042" s="34">
        <f>IF(OR($A1042="",$B1042=""),"",IF($L1042&lt;&gt;"",UPPER($L1042),IF($C1042="","FALTA",IFERROR(IF($C1042&gt;=$O1042,"ROJO FUERTE",IF($C1042&gt;=$N1042,"ROJO",IF($C1042&gt;=$M1042,"AMARILLO","VERDE"))),"REVISAR"))))</f>
        <v/>
      </c>
      <c r="K1042" s="36">
        <f>IF(OR($C1042="",$D1042=""),"",IF($D1042&gt;=$C1042,($D1042-$C1042)*24,(1-$C1042+$D1042)*24))</f>
        <v/>
      </c>
      <c r="L1042" s="34" t="n"/>
      <c r="M1042" s="53">
        <f t="array" ref="M1042">IFERROR(INDEX(EXCEPCIONES_FECHA!$D$2:$D$201,MATCH(1,(EXCEPCIONES_FECHA!$A$2:$A$201=$A1042)*(EXCEPCIONES_FECHA!$B$2:$B$201=$B1042),0)),IFERROR(INDEX(EXCEPCIONES_FECHA!$D$2:$D$201,MATCH(1,(EXCEPCIONES_FECHA!$A$2:$A$201=$A1042)*(EXCEPCIONES_FECHA!$B$2:$B$201=""),0)),IFERROR(INDEX(IF($I1042="FIN",HISTORIAL_HORARIOS!$J$2:$J$201,HISTORIAL_HORARIOS!$F$2:$F$201),MATCH(1,(HISTORIAL_HORARIOS!$A$2:$A$201=$B1042)*(HISTORIAL_HORARIOS!$C$2:$C$201&lt;=$A1042)*(HISTORIAL_HORARIOS!$D$2:$D$201&gt;=$A1042),0)),INDEX(IF($I1042="FIN",PERSONAL!$J$2:$J$80,PERSONAL!$F$2:$F$80),MATCH($B1042,PERSONAL!$A$2:$A$80,0)))))</f>
        <v/>
      </c>
      <c r="N1042" s="53">
        <f t="array" ref="N1042">IFERROR(INDEX(EXCEPCIONES_FECHA!$E$2:$E$201,MATCH(1,(EXCEPCIONES_FECHA!$A$2:$A$201=$A1042)*(EXCEPCIONES_FECHA!$B$2:$B$201=$B1042),0)),IFERROR(INDEX(EXCEPCIONES_FECHA!$E$2:$E$201,MATCH(1,(EXCEPCIONES_FECHA!$A$2:$A$201=$A1042)*(EXCEPCIONES_FECHA!$B$2:$B$201=""),0)),IFERROR(INDEX(IF($I1042="FIN",HISTORIAL_HORARIOS!$K$2:$K$201,HISTORIAL_HORARIOS!$G$2:$G$201),MATCH(1,(HISTORIAL_HORARIOS!$A$2:$A$201=$B1042)*(HISTORIAL_HORARIOS!$C$2:$C$201&lt;=$A1042)*(HISTORIAL_HORARIOS!$D$2:$D$201&gt;=$A1042),0)),INDEX(IF($I1042="FIN",PERSONAL!$K$2:$K$80,PERSONAL!$G$2:$G$80),MATCH($B1042,PERSONAL!$A$2:$A$80,0)))))</f>
        <v/>
      </c>
      <c r="O1042" s="53">
        <f t="array" ref="O1042">IFERROR(INDEX(EXCEPCIONES_FECHA!$F$2:$F$201,MATCH(1,(EXCEPCIONES_FECHA!$A$2:$A$201=$A1042)*(EXCEPCIONES_FECHA!$B$2:$B$201=$B1042),0)),IFERROR(INDEX(EXCEPCIONES_FECHA!$F$2:$F$201,MATCH(1,(EXCEPCIONES_FECHA!$A$2:$A$201=$A1042)*(EXCEPCIONES_FECHA!$B$2:$B$201=""),0)),IFERROR(INDEX(IF($I1042="FIN",HISTORIAL_HORARIOS!$L$2:$L$201,HISTORIAL_HORARIOS!$H$2:$H$201),MATCH(1,(HISTORIAL_HORARIOS!$A$2:$A$201=$B1042)*(HISTORIAL_HORARIOS!$C$2:$C$201&lt;=$A1042)*(HISTORIAL_HORARIOS!$D$2:$D$201&gt;=$A1042),0)),INDEX(IF($I1042="FIN",PERSONAL!$L$2:$L$80,PERSONAL!$H$2:$H$80),MATCH($B1042,PERSONAL!$A$2:$A$80,0)))))</f>
        <v/>
      </c>
    </row>
    <row r="1043" ht="15" customHeight="1" s="58">
      <c r="A1043" s="40" t="n"/>
      <c r="B1043" s="38" t="n"/>
      <c r="C1043" s="40" t="n"/>
      <c r="D1043" s="40" t="n"/>
      <c r="E1043" s="34">
        <f t="array" ref="E1043">IF($B1043="","",IFERROR(INDEX(PERSONAL!$B$2:$B$80,MATCH($B1043,PERSONAL!$A$2:$A$80,0)),"NO EXISTE"))</f>
        <v/>
      </c>
      <c r="F1043" s="34">
        <f t="array" ref="F1043">IF($B1043="","",IFERROR(INDEX(PERSONAL!$C$2:$C$80,MATCH($B1043,PERSONAL!$A$2:$A$80,0)),""))</f>
        <v/>
      </c>
      <c r="G1043" s="34">
        <f>IF($A1043="","",CHOOSE(WEEKDAY($A1043,2),"LUNES","MARTES","MIÉRCOLES","JUEVES","VIERNES","SÁBADO","DOMINGO"))</f>
        <v/>
      </c>
      <c r="H1043" s="34">
        <f>IF($A1043="","",CHOOSE(MONTH($A1043),"ENERO","FEBRERO","MARZO","ABRIL","MAYO","JUNIO","JULIO","AGOSTO","SEPTIEMBRE","OCTUBRE","NOVIEMBRE","DICIEMBRE"))</f>
        <v/>
      </c>
      <c r="I1043" s="34">
        <f>IF($A1043="","",IF(OR($G1043="SÁBADO",$G1043="DOMINGO"),"FIN","LV"))</f>
        <v/>
      </c>
      <c r="J1043" s="34">
        <f>IF(OR($A1043="",$B1043=""),"",IF($L1043&lt;&gt;"",UPPER($L1043),IF($C1043="","FALTA",IFERROR(IF($C1043&gt;=$O1043,"ROJO FUERTE",IF($C1043&gt;=$N1043,"ROJO",IF($C1043&gt;=$M1043,"AMARILLO","VERDE"))),"REVISAR"))))</f>
        <v/>
      </c>
      <c r="K1043" s="36">
        <f>IF(OR($C1043="",$D1043=""),"",IF($D1043&gt;=$C1043,($D1043-$C1043)*24,(1-$C1043+$D1043)*24))</f>
        <v/>
      </c>
      <c r="L1043" s="34" t="n"/>
      <c r="M1043" s="53">
        <f t="array" ref="M1043">IFERROR(INDEX(EXCEPCIONES_FECHA!$D$2:$D$201,MATCH(1,(EXCEPCIONES_FECHA!$A$2:$A$201=$A1043)*(EXCEPCIONES_FECHA!$B$2:$B$201=$B1043),0)),IFERROR(INDEX(EXCEPCIONES_FECHA!$D$2:$D$201,MATCH(1,(EXCEPCIONES_FECHA!$A$2:$A$201=$A1043)*(EXCEPCIONES_FECHA!$B$2:$B$201=""),0)),IFERROR(INDEX(IF($I1043="FIN",HISTORIAL_HORARIOS!$J$2:$J$201,HISTORIAL_HORARIOS!$F$2:$F$201),MATCH(1,(HISTORIAL_HORARIOS!$A$2:$A$201=$B1043)*(HISTORIAL_HORARIOS!$C$2:$C$201&lt;=$A1043)*(HISTORIAL_HORARIOS!$D$2:$D$201&gt;=$A1043),0)),INDEX(IF($I1043="FIN",PERSONAL!$J$2:$J$80,PERSONAL!$F$2:$F$80),MATCH($B1043,PERSONAL!$A$2:$A$80,0)))))</f>
        <v/>
      </c>
      <c r="N1043" s="53">
        <f t="array" ref="N1043">IFERROR(INDEX(EXCEPCIONES_FECHA!$E$2:$E$201,MATCH(1,(EXCEPCIONES_FECHA!$A$2:$A$201=$A1043)*(EXCEPCIONES_FECHA!$B$2:$B$201=$B1043),0)),IFERROR(INDEX(EXCEPCIONES_FECHA!$E$2:$E$201,MATCH(1,(EXCEPCIONES_FECHA!$A$2:$A$201=$A1043)*(EXCEPCIONES_FECHA!$B$2:$B$201=""),0)),IFERROR(INDEX(IF($I1043="FIN",HISTORIAL_HORARIOS!$K$2:$K$201,HISTORIAL_HORARIOS!$G$2:$G$201),MATCH(1,(HISTORIAL_HORARIOS!$A$2:$A$201=$B1043)*(HISTORIAL_HORARIOS!$C$2:$C$201&lt;=$A1043)*(HISTORIAL_HORARIOS!$D$2:$D$201&gt;=$A1043),0)),INDEX(IF($I1043="FIN",PERSONAL!$K$2:$K$80,PERSONAL!$G$2:$G$80),MATCH($B1043,PERSONAL!$A$2:$A$80,0)))))</f>
        <v/>
      </c>
      <c r="O1043" s="53">
        <f t="array" ref="O1043">IFERROR(INDEX(EXCEPCIONES_FECHA!$F$2:$F$201,MATCH(1,(EXCEPCIONES_FECHA!$A$2:$A$201=$A1043)*(EXCEPCIONES_FECHA!$B$2:$B$201=$B1043),0)),IFERROR(INDEX(EXCEPCIONES_FECHA!$F$2:$F$201,MATCH(1,(EXCEPCIONES_FECHA!$A$2:$A$201=$A1043)*(EXCEPCIONES_FECHA!$B$2:$B$201=""),0)),IFERROR(INDEX(IF($I1043="FIN",HISTORIAL_HORARIOS!$L$2:$L$201,HISTORIAL_HORARIOS!$H$2:$H$201),MATCH(1,(HISTORIAL_HORARIOS!$A$2:$A$201=$B1043)*(HISTORIAL_HORARIOS!$C$2:$C$201&lt;=$A1043)*(HISTORIAL_HORARIOS!$D$2:$D$201&gt;=$A1043),0)),INDEX(IF($I1043="FIN",PERSONAL!$L$2:$L$80,PERSONAL!$H$2:$H$80),MATCH($B1043,PERSONAL!$A$2:$A$80,0)))))</f>
        <v/>
      </c>
    </row>
    <row r="1044" ht="15" customHeight="1" s="58">
      <c r="A1044" s="40" t="n"/>
      <c r="B1044" s="38" t="n"/>
      <c r="C1044" s="40" t="n"/>
      <c r="D1044" s="40" t="n"/>
      <c r="E1044" s="34">
        <f t="array" ref="E1044">IF($B1044="","",IFERROR(INDEX(PERSONAL!$B$2:$B$80,MATCH($B1044,PERSONAL!$A$2:$A$80,0)),"NO EXISTE"))</f>
        <v/>
      </c>
      <c r="F1044" s="34">
        <f t="array" ref="F1044">IF($B1044="","",IFERROR(INDEX(PERSONAL!$C$2:$C$80,MATCH($B1044,PERSONAL!$A$2:$A$80,0)),""))</f>
        <v/>
      </c>
      <c r="G1044" s="34">
        <f>IF($A1044="","",CHOOSE(WEEKDAY($A1044,2),"LUNES","MARTES","MIÉRCOLES","JUEVES","VIERNES","SÁBADO","DOMINGO"))</f>
        <v/>
      </c>
      <c r="H1044" s="34">
        <f>IF($A1044="","",CHOOSE(MONTH($A1044),"ENERO","FEBRERO","MARZO","ABRIL","MAYO","JUNIO","JULIO","AGOSTO","SEPTIEMBRE","OCTUBRE","NOVIEMBRE","DICIEMBRE"))</f>
        <v/>
      </c>
      <c r="I1044" s="34">
        <f>IF($A1044="","",IF(OR($G1044="SÁBADO",$G1044="DOMINGO"),"FIN","LV"))</f>
        <v/>
      </c>
      <c r="J1044" s="34">
        <f>IF(OR($A1044="",$B1044=""),"",IF($L1044&lt;&gt;"",UPPER($L1044),IF($C1044="","FALTA",IFERROR(IF($C1044&gt;=$O1044,"ROJO FUERTE",IF($C1044&gt;=$N1044,"ROJO",IF($C1044&gt;=$M1044,"AMARILLO","VERDE"))),"REVISAR"))))</f>
        <v/>
      </c>
      <c r="K1044" s="36">
        <f>IF(OR($C1044="",$D1044=""),"",IF($D1044&gt;=$C1044,($D1044-$C1044)*24,(1-$C1044+$D1044)*24))</f>
        <v/>
      </c>
      <c r="L1044" s="34" t="n"/>
      <c r="M1044" s="53">
        <f t="array" ref="M1044">IFERROR(INDEX(EXCEPCIONES_FECHA!$D$2:$D$201,MATCH(1,(EXCEPCIONES_FECHA!$A$2:$A$201=$A1044)*(EXCEPCIONES_FECHA!$B$2:$B$201=$B1044),0)),IFERROR(INDEX(EXCEPCIONES_FECHA!$D$2:$D$201,MATCH(1,(EXCEPCIONES_FECHA!$A$2:$A$201=$A1044)*(EXCEPCIONES_FECHA!$B$2:$B$201=""),0)),IFERROR(INDEX(IF($I1044="FIN",HISTORIAL_HORARIOS!$J$2:$J$201,HISTORIAL_HORARIOS!$F$2:$F$201),MATCH(1,(HISTORIAL_HORARIOS!$A$2:$A$201=$B1044)*(HISTORIAL_HORARIOS!$C$2:$C$201&lt;=$A1044)*(HISTORIAL_HORARIOS!$D$2:$D$201&gt;=$A1044),0)),INDEX(IF($I1044="FIN",PERSONAL!$J$2:$J$80,PERSONAL!$F$2:$F$80),MATCH($B1044,PERSONAL!$A$2:$A$80,0)))))</f>
        <v/>
      </c>
      <c r="N1044" s="53">
        <f t="array" ref="N1044">IFERROR(INDEX(EXCEPCIONES_FECHA!$E$2:$E$201,MATCH(1,(EXCEPCIONES_FECHA!$A$2:$A$201=$A1044)*(EXCEPCIONES_FECHA!$B$2:$B$201=$B1044),0)),IFERROR(INDEX(EXCEPCIONES_FECHA!$E$2:$E$201,MATCH(1,(EXCEPCIONES_FECHA!$A$2:$A$201=$A1044)*(EXCEPCIONES_FECHA!$B$2:$B$201=""),0)),IFERROR(INDEX(IF($I1044="FIN",HISTORIAL_HORARIOS!$K$2:$K$201,HISTORIAL_HORARIOS!$G$2:$G$201),MATCH(1,(HISTORIAL_HORARIOS!$A$2:$A$201=$B1044)*(HISTORIAL_HORARIOS!$C$2:$C$201&lt;=$A1044)*(HISTORIAL_HORARIOS!$D$2:$D$201&gt;=$A1044),0)),INDEX(IF($I1044="FIN",PERSONAL!$K$2:$K$80,PERSONAL!$G$2:$G$80),MATCH($B1044,PERSONAL!$A$2:$A$80,0)))))</f>
        <v/>
      </c>
      <c r="O1044" s="53">
        <f t="array" ref="O1044">IFERROR(INDEX(EXCEPCIONES_FECHA!$F$2:$F$201,MATCH(1,(EXCEPCIONES_FECHA!$A$2:$A$201=$A1044)*(EXCEPCIONES_FECHA!$B$2:$B$201=$B1044),0)),IFERROR(INDEX(EXCEPCIONES_FECHA!$F$2:$F$201,MATCH(1,(EXCEPCIONES_FECHA!$A$2:$A$201=$A1044)*(EXCEPCIONES_FECHA!$B$2:$B$201=""),0)),IFERROR(INDEX(IF($I1044="FIN",HISTORIAL_HORARIOS!$L$2:$L$201,HISTORIAL_HORARIOS!$H$2:$H$201),MATCH(1,(HISTORIAL_HORARIOS!$A$2:$A$201=$B1044)*(HISTORIAL_HORARIOS!$C$2:$C$201&lt;=$A1044)*(HISTORIAL_HORARIOS!$D$2:$D$201&gt;=$A1044),0)),INDEX(IF($I1044="FIN",PERSONAL!$L$2:$L$80,PERSONAL!$H$2:$H$80),MATCH($B1044,PERSONAL!$A$2:$A$80,0)))))</f>
        <v/>
      </c>
    </row>
    <row r="1045" ht="15" customHeight="1" s="58">
      <c r="A1045" s="40" t="n"/>
      <c r="B1045" s="38" t="n"/>
      <c r="C1045" s="40" t="n"/>
      <c r="D1045" s="40" t="n"/>
      <c r="E1045" s="34">
        <f t="array" ref="E1045">IF($B1045="","",IFERROR(INDEX(PERSONAL!$B$2:$B$80,MATCH($B1045,PERSONAL!$A$2:$A$80,0)),"NO EXISTE"))</f>
        <v/>
      </c>
      <c r="F1045" s="34">
        <f t="array" ref="F1045">IF($B1045="","",IFERROR(INDEX(PERSONAL!$C$2:$C$80,MATCH($B1045,PERSONAL!$A$2:$A$80,0)),""))</f>
        <v/>
      </c>
      <c r="G1045" s="34">
        <f>IF($A1045="","",CHOOSE(WEEKDAY($A1045,2),"LUNES","MARTES","MIÉRCOLES","JUEVES","VIERNES","SÁBADO","DOMINGO"))</f>
        <v/>
      </c>
      <c r="H1045" s="34">
        <f>IF($A1045="","",CHOOSE(MONTH($A1045),"ENERO","FEBRERO","MARZO","ABRIL","MAYO","JUNIO","JULIO","AGOSTO","SEPTIEMBRE","OCTUBRE","NOVIEMBRE","DICIEMBRE"))</f>
        <v/>
      </c>
      <c r="I1045" s="34">
        <f>IF($A1045="","",IF(OR($G1045="SÁBADO",$G1045="DOMINGO"),"FIN","LV"))</f>
        <v/>
      </c>
      <c r="J1045" s="34">
        <f>IF(OR($A1045="",$B1045=""),"",IF($L1045&lt;&gt;"",UPPER($L1045),IF($C1045="","FALTA",IFERROR(IF($C1045&gt;=$O1045,"ROJO FUERTE",IF($C1045&gt;=$N1045,"ROJO",IF($C1045&gt;=$M1045,"AMARILLO","VERDE"))),"REVISAR"))))</f>
        <v/>
      </c>
      <c r="K1045" s="36">
        <f>IF(OR($C1045="",$D1045=""),"",IF($D1045&gt;=$C1045,($D1045-$C1045)*24,(1-$C1045+$D1045)*24))</f>
        <v/>
      </c>
      <c r="L1045" s="34" t="n"/>
      <c r="M1045" s="53">
        <f t="array" ref="M1045">IFERROR(INDEX(EXCEPCIONES_FECHA!$D$2:$D$201,MATCH(1,(EXCEPCIONES_FECHA!$A$2:$A$201=$A1045)*(EXCEPCIONES_FECHA!$B$2:$B$201=$B1045),0)),IFERROR(INDEX(EXCEPCIONES_FECHA!$D$2:$D$201,MATCH(1,(EXCEPCIONES_FECHA!$A$2:$A$201=$A1045)*(EXCEPCIONES_FECHA!$B$2:$B$201=""),0)),IFERROR(INDEX(IF($I1045="FIN",HISTORIAL_HORARIOS!$J$2:$J$201,HISTORIAL_HORARIOS!$F$2:$F$201),MATCH(1,(HISTORIAL_HORARIOS!$A$2:$A$201=$B1045)*(HISTORIAL_HORARIOS!$C$2:$C$201&lt;=$A1045)*(HISTORIAL_HORARIOS!$D$2:$D$201&gt;=$A1045),0)),INDEX(IF($I1045="FIN",PERSONAL!$J$2:$J$80,PERSONAL!$F$2:$F$80),MATCH($B1045,PERSONAL!$A$2:$A$80,0)))))</f>
        <v/>
      </c>
      <c r="N1045" s="53">
        <f t="array" ref="N1045">IFERROR(INDEX(EXCEPCIONES_FECHA!$E$2:$E$201,MATCH(1,(EXCEPCIONES_FECHA!$A$2:$A$201=$A1045)*(EXCEPCIONES_FECHA!$B$2:$B$201=$B1045),0)),IFERROR(INDEX(EXCEPCIONES_FECHA!$E$2:$E$201,MATCH(1,(EXCEPCIONES_FECHA!$A$2:$A$201=$A1045)*(EXCEPCIONES_FECHA!$B$2:$B$201=""),0)),IFERROR(INDEX(IF($I1045="FIN",HISTORIAL_HORARIOS!$K$2:$K$201,HISTORIAL_HORARIOS!$G$2:$G$201),MATCH(1,(HISTORIAL_HORARIOS!$A$2:$A$201=$B1045)*(HISTORIAL_HORARIOS!$C$2:$C$201&lt;=$A1045)*(HISTORIAL_HORARIOS!$D$2:$D$201&gt;=$A1045),0)),INDEX(IF($I1045="FIN",PERSONAL!$K$2:$K$80,PERSONAL!$G$2:$G$80),MATCH($B1045,PERSONAL!$A$2:$A$80,0)))))</f>
        <v/>
      </c>
      <c r="O1045" s="53">
        <f t="array" ref="O1045">IFERROR(INDEX(EXCEPCIONES_FECHA!$F$2:$F$201,MATCH(1,(EXCEPCIONES_FECHA!$A$2:$A$201=$A1045)*(EXCEPCIONES_FECHA!$B$2:$B$201=$B1045),0)),IFERROR(INDEX(EXCEPCIONES_FECHA!$F$2:$F$201,MATCH(1,(EXCEPCIONES_FECHA!$A$2:$A$201=$A1045)*(EXCEPCIONES_FECHA!$B$2:$B$201=""),0)),IFERROR(INDEX(IF($I1045="FIN",HISTORIAL_HORARIOS!$L$2:$L$201,HISTORIAL_HORARIOS!$H$2:$H$201),MATCH(1,(HISTORIAL_HORARIOS!$A$2:$A$201=$B1045)*(HISTORIAL_HORARIOS!$C$2:$C$201&lt;=$A1045)*(HISTORIAL_HORARIOS!$D$2:$D$201&gt;=$A1045),0)),INDEX(IF($I1045="FIN",PERSONAL!$L$2:$L$80,PERSONAL!$H$2:$H$80),MATCH($B1045,PERSONAL!$A$2:$A$80,0)))))</f>
        <v/>
      </c>
    </row>
    <row r="1046" ht="15" customHeight="1" s="58">
      <c r="A1046" s="40" t="n"/>
      <c r="B1046" s="38" t="n"/>
      <c r="C1046" s="40" t="n"/>
      <c r="D1046" s="40" t="n"/>
      <c r="E1046" s="34">
        <f t="array" ref="E1046">IF($B1046="","",IFERROR(INDEX(PERSONAL!$B$2:$B$80,MATCH($B1046,PERSONAL!$A$2:$A$80,0)),"NO EXISTE"))</f>
        <v/>
      </c>
      <c r="F1046" s="34">
        <f t="array" ref="F1046">IF($B1046="","",IFERROR(INDEX(PERSONAL!$C$2:$C$80,MATCH($B1046,PERSONAL!$A$2:$A$80,0)),""))</f>
        <v/>
      </c>
      <c r="G1046" s="34">
        <f>IF($A1046="","",CHOOSE(WEEKDAY($A1046,2),"LUNES","MARTES","MIÉRCOLES","JUEVES","VIERNES","SÁBADO","DOMINGO"))</f>
        <v/>
      </c>
      <c r="H1046" s="34">
        <f>IF($A1046="","",CHOOSE(MONTH($A1046),"ENERO","FEBRERO","MARZO","ABRIL","MAYO","JUNIO","JULIO","AGOSTO","SEPTIEMBRE","OCTUBRE","NOVIEMBRE","DICIEMBRE"))</f>
        <v/>
      </c>
      <c r="I1046" s="34">
        <f>IF($A1046="","",IF(OR($G1046="SÁBADO",$G1046="DOMINGO"),"FIN","LV"))</f>
        <v/>
      </c>
      <c r="J1046" s="34">
        <f>IF(OR($A1046="",$B1046=""),"",IF($L1046&lt;&gt;"",UPPER($L1046),IF($C1046="","FALTA",IFERROR(IF($C1046&gt;=$O1046,"ROJO FUERTE",IF($C1046&gt;=$N1046,"ROJO",IF($C1046&gt;=$M1046,"AMARILLO","VERDE"))),"REVISAR"))))</f>
        <v/>
      </c>
      <c r="K1046" s="36">
        <f>IF(OR($C1046="",$D1046=""),"",IF($D1046&gt;=$C1046,($D1046-$C1046)*24,(1-$C1046+$D1046)*24))</f>
        <v/>
      </c>
      <c r="L1046" s="34" t="n"/>
      <c r="M1046" s="53">
        <f t="array" ref="M1046">IFERROR(INDEX(EXCEPCIONES_FECHA!$D$2:$D$201,MATCH(1,(EXCEPCIONES_FECHA!$A$2:$A$201=$A1046)*(EXCEPCIONES_FECHA!$B$2:$B$201=$B1046),0)),IFERROR(INDEX(EXCEPCIONES_FECHA!$D$2:$D$201,MATCH(1,(EXCEPCIONES_FECHA!$A$2:$A$201=$A1046)*(EXCEPCIONES_FECHA!$B$2:$B$201=""),0)),IFERROR(INDEX(IF($I1046="FIN",HISTORIAL_HORARIOS!$J$2:$J$201,HISTORIAL_HORARIOS!$F$2:$F$201),MATCH(1,(HISTORIAL_HORARIOS!$A$2:$A$201=$B1046)*(HISTORIAL_HORARIOS!$C$2:$C$201&lt;=$A1046)*(HISTORIAL_HORARIOS!$D$2:$D$201&gt;=$A1046),0)),INDEX(IF($I1046="FIN",PERSONAL!$J$2:$J$80,PERSONAL!$F$2:$F$80),MATCH($B1046,PERSONAL!$A$2:$A$80,0)))))</f>
        <v/>
      </c>
      <c r="N1046" s="53">
        <f t="array" ref="N1046">IFERROR(INDEX(EXCEPCIONES_FECHA!$E$2:$E$201,MATCH(1,(EXCEPCIONES_FECHA!$A$2:$A$201=$A1046)*(EXCEPCIONES_FECHA!$B$2:$B$201=$B1046),0)),IFERROR(INDEX(EXCEPCIONES_FECHA!$E$2:$E$201,MATCH(1,(EXCEPCIONES_FECHA!$A$2:$A$201=$A1046)*(EXCEPCIONES_FECHA!$B$2:$B$201=""),0)),IFERROR(INDEX(IF($I1046="FIN",HISTORIAL_HORARIOS!$K$2:$K$201,HISTORIAL_HORARIOS!$G$2:$G$201),MATCH(1,(HISTORIAL_HORARIOS!$A$2:$A$201=$B1046)*(HISTORIAL_HORARIOS!$C$2:$C$201&lt;=$A1046)*(HISTORIAL_HORARIOS!$D$2:$D$201&gt;=$A1046),0)),INDEX(IF($I1046="FIN",PERSONAL!$K$2:$K$80,PERSONAL!$G$2:$G$80),MATCH($B1046,PERSONAL!$A$2:$A$80,0)))))</f>
        <v/>
      </c>
      <c r="O1046" s="53">
        <f t="array" ref="O1046">IFERROR(INDEX(EXCEPCIONES_FECHA!$F$2:$F$201,MATCH(1,(EXCEPCIONES_FECHA!$A$2:$A$201=$A1046)*(EXCEPCIONES_FECHA!$B$2:$B$201=$B1046),0)),IFERROR(INDEX(EXCEPCIONES_FECHA!$F$2:$F$201,MATCH(1,(EXCEPCIONES_FECHA!$A$2:$A$201=$A1046)*(EXCEPCIONES_FECHA!$B$2:$B$201=""),0)),IFERROR(INDEX(IF($I1046="FIN",HISTORIAL_HORARIOS!$L$2:$L$201,HISTORIAL_HORARIOS!$H$2:$H$201),MATCH(1,(HISTORIAL_HORARIOS!$A$2:$A$201=$B1046)*(HISTORIAL_HORARIOS!$C$2:$C$201&lt;=$A1046)*(HISTORIAL_HORARIOS!$D$2:$D$201&gt;=$A1046),0)),INDEX(IF($I1046="FIN",PERSONAL!$L$2:$L$80,PERSONAL!$H$2:$H$80),MATCH($B1046,PERSONAL!$A$2:$A$80,0)))))</f>
        <v/>
      </c>
    </row>
    <row r="1047" ht="15" customHeight="1" s="58">
      <c r="A1047" s="40" t="n"/>
      <c r="B1047" s="38" t="n"/>
      <c r="C1047" s="40" t="n"/>
      <c r="D1047" s="40" t="n"/>
      <c r="E1047" s="34">
        <f t="array" ref="E1047">IF($B1047="","",IFERROR(INDEX(PERSONAL!$B$2:$B$80,MATCH($B1047,PERSONAL!$A$2:$A$80,0)),"NO EXISTE"))</f>
        <v/>
      </c>
      <c r="F1047" s="34">
        <f t="array" ref="F1047">IF($B1047="","",IFERROR(INDEX(PERSONAL!$C$2:$C$80,MATCH($B1047,PERSONAL!$A$2:$A$80,0)),""))</f>
        <v/>
      </c>
      <c r="G1047" s="34">
        <f>IF($A1047="","",CHOOSE(WEEKDAY($A1047,2),"LUNES","MARTES","MIÉRCOLES","JUEVES","VIERNES","SÁBADO","DOMINGO"))</f>
        <v/>
      </c>
      <c r="H1047" s="34">
        <f>IF($A1047="","",CHOOSE(MONTH($A1047),"ENERO","FEBRERO","MARZO","ABRIL","MAYO","JUNIO","JULIO","AGOSTO","SEPTIEMBRE","OCTUBRE","NOVIEMBRE","DICIEMBRE"))</f>
        <v/>
      </c>
      <c r="I1047" s="34">
        <f>IF($A1047="","",IF(OR($G1047="SÁBADO",$G1047="DOMINGO"),"FIN","LV"))</f>
        <v/>
      </c>
      <c r="J1047" s="34">
        <f>IF(OR($A1047="",$B1047=""),"",IF($L1047&lt;&gt;"",UPPER($L1047),IF($C1047="","FALTA",IFERROR(IF($C1047&gt;=$O1047,"ROJO FUERTE",IF($C1047&gt;=$N1047,"ROJO",IF($C1047&gt;=$M1047,"AMARILLO","VERDE"))),"REVISAR"))))</f>
        <v/>
      </c>
      <c r="K1047" s="36">
        <f>IF(OR($C1047="",$D1047=""),"",IF($D1047&gt;=$C1047,($D1047-$C1047)*24,(1-$C1047+$D1047)*24))</f>
        <v/>
      </c>
      <c r="L1047" s="34" t="n"/>
      <c r="M1047" s="53">
        <f t="array" ref="M1047">IFERROR(INDEX(EXCEPCIONES_FECHA!$D$2:$D$201,MATCH(1,(EXCEPCIONES_FECHA!$A$2:$A$201=$A1047)*(EXCEPCIONES_FECHA!$B$2:$B$201=$B1047),0)),IFERROR(INDEX(EXCEPCIONES_FECHA!$D$2:$D$201,MATCH(1,(EXCEPCIONES_FECHA!$A$2:$A$201=$A1047)*(EXCEPCIONES_FECHA!$B$2:$B$201=""),0)),IFERROR(INDEX(IF($I1047="FIN",HISTORIAL_HORARIOS!$J$2:$J$201,HISTORIAL_HORARIOS!$F$2:$F$201),MATCH(1,(HISTORIAL_HORARIOS!$A$2:$A$201=$B1047)*(HISTORIAL_HORARIOS!$C$2:$C$201&lt;=$A1047)*(HISTORIAL_HORARIOS!$D$2:$D$201&gt;=$A1047),0)),INDEX(IF($I1047="FIN",PERSONAL!$J$2:$J$80,PERSONAL!$F$2:$F$80),MATCH($B1047,PERSONAL!$A$2:$A$80,0)))))</f>
        <v/>
      </c>
      <c r="N1047" s="53">
        <f t="array" ref="N1047">IFERROR(INDEX(EXCEPCIONES_FECHA!$E$2:$E$201,MATCH(1,(EXCEPCIONES_FECHA!$A$2:$A$201=$A1047)*(EXCEPCIONES_FECHA!$B$2:$B$201=$B1047),0)),IFERROR(INDEX(EXCEPCIONES_FECHA!$E$2:$E$201,MATCH(1,(EXCEPCIONES_FECHA!$A$2:$A$201=$A1047)*(EXCEPCIONES_FECHA!$B$2:$B$201=""),0)),IFERROR(INDEX(IF($I1047="FIN",HISTORIAL_HORARIOS!$K$2:$K$201,HISTORIAL_HORARIOS!$G$2:$G$201),MATCH(1,(HISTORIAL_HORARIOS!$A$2:$A$201=$B1047)*(HISTORIAL_HORARIOS!$C$2:$C$201&lt;=$A1047)*(HISTORIAL_HORARIOS!$D$2:$D$201&gt;=$A1047),0)),INDEX(IF($I1047="FIN",PERSONAL!$K$2:$K$80,PERSONAL!$G$2:$G$80),MATCH($B1047,PERSONAL!$A$2:$A$80,0)))))</f>
        <v/>
      </c>
      <c r="O1047" s="53">
        <f t="array" ref="O1047">IFERROR(INDEX(EXCEPCIONES_FECHA!$F$2:$F$201,MATCH(1,(EXCEPCIONES_FECHA!$A$2:$A$201=$A1047)*(EXCEPCIONES_FECHA!$B$2:$B$201=$B1047),0)),IFERROR(INDEX(EXCEPCIONES_FECHA!$F$2:$F$201,MATCH(1,(EXCEPCIONES_FECHA!$A$2:$A$201=$A1047)*(EXCEPCIONES_FECHA!$B$2:$B$201=""),0)),IFERROR(INDEX(IF($I1047="FIN",HISTORIAL_HORARIOS!$L$2:$L$201,HISTORIAL_HORARIOS!$H$2:$H$201),MATCH(1,(HISTORIAL_HORARIOS!$A$2:$A$201=$B1047)*(HISTORIAL_HORARIOS!$C$2:$C$201&lt;=$A1047)*(HISTORIAL_HORARIOS!$D$2:$D$201&gt;=$A1047),0)),INDEX(IF($I1047="FIN",PERSONAL!$L$2:$L$80,PERSONAL!$H$2:$H$80),MATCH($B1047,PERSONAL!$A$2:$A$80,0)))))</f>
        <v/>
      </c>
    </row>
    <row r="1048" ht="15" customHeight="1" s="58">
      <c r="A1048" s="40" t="n"/>
      <c r="B1048" s="38" t="n"/>
      <c r="C1048" s="40" t="n"/>
      <c r="D1048" s="40" t="n"/>
      <c r="E1048" s="34">
        <f t="array" ref="E1048">IF($B1048="","",IFERROR(INDEX(PERSONAL!$B$2:$B$80,MATCH($B1048,PERSONAL!$A$2:$A$80,0)),"NO EXISTE"))</f>
        <v/>
      </c>
      <c r="F1048" s="34">
        <f t="array" ref="F1048">IF($B1048="","",IFERROR(INDEX(PERSONAL!$C$2:$C$80,MATCH($B1048,PERSONAL!$A$2:$A$80,0)),""))</f>
        <v/>
      </c>
      <c r="G1048" s="34">
        <f>IF($A1048="","",CHOOSE(WEEKDAY($A1048,2),"LUNES","MARTES","MIÉRCOLES","JUEVES","VIERNES","SÁBADO","DOMINGO"))</f>
        <v/>
      </c>
      <c r="H1048" s="34">
        <f>IF($A1048="","",CHOOSE(MONTH($A1048),"ENERO","FEBRERO","MARZO","ABRIL","MAYO","JUNIO","JULIO","AGOSTO","SEPTIEMBRE","OCTUBRE","NOVIEMBRE","DICIEMBRE"))</f>
        <v/>
      </c>
      <c r="I1048" s="34">
        <f>IF($A1048="","",IF(OR($G1048="SÁBADO",$G1048="DOMINGO"),"FIN","LV"))</f>
        <v/>
      </c>
      <c r="J1048" s="34">
        <f>IF(OR($A1048="",$B1048=""),"",IF($L1048&lt;&gt;"",UPPER($L1048),IF($C1048="","FALTA",IFERROR(IF($C1048&gt;=$O1048,"ROJO FUERTE",IF($C1048&gt;=$N1048,"ROJO",IF($C1048&gt;=$M1048,"AMARILLO","VERDE"))),"REVISAR"))))</f>
        <v/>
      </c>
      <c r="K1048" s="36">
        <f>IF(OR($C1048="",$D1048=""),"",IF($D1048&gt;=$C1048,($D1048-$C1048)*24,(1-$C1048+$D1048)*24))</f>
        <v/>
      </c>
      <c r="L1048" s="34" t="n"/>
      <c r="M1048" s="53">
        <f t="array" ref="M1048">IFERROR(INDEX(EXCEPCIONES_FECHA!$D$2:$D$201,MATCH(1,(EXCEPCIONES_FECHA!$A$2:$A$201=$A1048)*(EXCEPCIONES_FECHA!$B$2:$B$201=$B1048),0)),IFERROR(INDEX(EXCEPCIONES_FECHA!$D$2:$D$201,MATCH(1,(EXCEPCIONES_FECHA!$A$2:$A$201=$A1048)*(EXCEPCIONES_FECHA!$B$2:$B$201=""),0)),IFERROR(INDEX(IF($I1048="FIN",HISTORIAL_HORARIOS!$J$2:$J$201,HISTORIAL_HORARIOS!$F$2:$F$201),MATCH(1,(HISTORIAL_HORARIOS!$A$2:$A$201=$B1048)*(HISTORIAL_HORARIOS!$C$2:$C$201&lt;=$A1048)*(HISTORIAL_HORARIOS!$D$2:$D$201&gt;=$A1048),0)),INDEX(IF($I1048="FIN",PERSONAL!$J$2:$J$80,PERSONAL!$F$2:$F$80),MATCH($B1048,PERSONAL!$A$2:$A$80,0)))))</f>
        <v/>
      </c>
      <c r="N1048" s="53">
        <f t="array" ref="N1048">IFERROR(INDEX(EXCEPCIONES_FECHA!$E$2:$E$201,MATCH(1,(EXCEPCIONES_FECHA!$A$2:$A$201=$A1048)*(EXCEPCIONES_FECHA!$B$2:$B$201=$B1048),0)),IFERROR(INDEX(EXCEPCIONES_FECHA!$E$2:$E$201,MATCH(1,(EXCEPCIONES_FECHA!$A$2:$A$201=$A1048)*(EXCEPCIONES_FECHA!$B$2:$B$201=""),0)),IFERROR(INDEX(IF($I1048="FIN",HISTORIAL_HORARIOS!$K$2:$K$201,HISTORIAL_HORARIOS!$G$2:$G$201),MATCH(1,(HISTORIAL_HORARIOS!$A$2:$A$201=$B1048)*(HISTORIAL_HORARIOS!$C$2:$C$201&lt;=$A1048)*(HISTORIAL_HORARIOS!$D$2:$D$201&gt;=$A1048),0)),INDEX(IF($I1048="FIN",PERSONAL!$K$2:$K$80,PERSONAL!$G$2:$G$80),MATCH($B1048,PERSONAL!$A$2:$A$80,0)))))</f>
        <v/>
      </c>
      <c r="O1048" s="53">
        <f t="array" ref="O1048">IFERROR(INDEX(EXCEPCIONES_FECHA!$F$2:$F$201,MATCH(1,(EXCEPCIONES_FECHA!$A$2:$A$201=$A1048)*(EXCEPCIONES_FECHA!$B$2:$B$201=$B1048),0)),IFERROR(INDEX(EXCEPCIONES_FECHA!$F$2:$F$201,MATCH(1,(EXCEPCIONES_FECHA!$A$2:$A$201=$A1048)*(EXCEPCIONES_FECHA!$B$2:$B$201=""),0)),IFERROR(INDEX(IF($I1048="FIN",HISTORIAL_HORARIOS!$L$2:$L$201,HISTORIAL_HORARIOS!$H$2:$H$201),MATCH(1,(HISTORIAL_HORARIOS!$A$2:$A$201=$B1048)*(HISTORIAL_HORARIOS!$C$2:$C$201&lt;=$A1048)*(HISTORIAL_HORARIOS!$D$2:$D$201&gt;=$A1048),0)),INDEX(IF($I1048="FIN",PERSONAL!$L$2:$L$80,PERSONAL!$H$2:$H$80),MATCH($B1048,PERSONAL!$A$2:$A$80,0)))))</f>
        <v/>
      </c>
    </row>
    <row r="1049" ht="15" customHeight="1" s="58">
      <c r="A1049" s="40" t="n"/>
      <c r="B1049" s="38" t="n"/>
      <c r="C1049" s="40" t="n"/>
      <c r="D1049" s="40" t="n"/>
      <c r="E1049" s="34">
        <f t="array" ref="E1049">IF($B1049="","",IFERROR(INDEX(PERSONAL!$B$2:$B$80,MATCH($B1049,PERSONAL!$A$2:$A$80,0)),"NO EXISTE"))</f>
        <v/>
      </c>
      <c r="F1049" s="34">
        <f t="array" ref="F1049">IF($B1049="","",IFERROR(INDEX(PERSONAL!$C$2:$C$80,MATCH($B1049,PERSONAL!$A$2:$A$80,0)),""))</f>
        <v/>
      </c>
      <c r="G1049" s="34">
        <f>IF($A1049="","",CHOOSE(WEEKDAY($A1049,2),"LUNES","MARTES","MIÉRCOLES","JUEVES","VIERNES","SÁBADO","DOMINGO"))</f>
        <v/>
      </c>
      <c r="H1049" s="34">
        <f>IF($A1049="","",CHOOSE(MONTH($A1049),"ENERO","FEBRERO","MARZO","ABRIL","MAYO","JUNIO","JULIO","AGOSTO","SEPTIEMBRE","OCTUBRE","NOVIEMBRE","DICIEMBRE"))</f>
        <v/>
      </c>
      <c r="I1049" s="34">
        <f>IF($A1049="","",IF(OR($G1049="SÁBADO",$G1049="DOMINGO"),"FIN","LV"))</f>
        <v/>
      </c>
      <c r="J1049" s="34">
        <f>IF(OR($A1049="",$B1049=""),"",IF($L1049&lt;&gt;"",UPPER($L1049),IF($C1049="","FALTA",IFERROR(IF($C1049&gt;=$O1049,"ROJO FUERTE",IF($C1049&gt;=$N1049,"ROJO",IF($C1049&gt;=$M1049,"AMARILLO","VERDE"))),"REVISAR"))))</f>
        <v/>
      </c>
      <c r="K1049" s="36">
        <f>IF(OR($C1049="",$D1049=""),"",IF($D1049&gt;=$C1049,($D1049-$C1049)*24,(1-$C1049+$D1049)*24))</f>
        <v/>
      </c>
      <c r="L1049" s="34" t="n"/>
      <c r="M1049" s="53">
        <f t="array" ref="M1049">IFERROR(INDEX(EXCEPCIONES_FECHA!$D$2:$D$201,MATCH(1,(EXCEPCIONES_FECHA!$A$2:$A$201=$A1049)*(EXCEPCIONES_FECHA!$B$2:$B$201=$B1049),0)),IFERROR(INDEX(EXCEPCIONES_FECHA!$D$2:$D$201,MATCH(1,(EXCEPCIONES_FECHA!$A$2:$A$201=$A1049)*(EXCEPCIONES_FECHA!$B$2:$B$201=""),0)),IFERROR(INDEX(IF($I1049="FIN",HISTORIAL_HORARIOS!$J$2:$J$201,HISTORIAL_HORARIOS!$F$2:$F$201),MATCH(1,(HISTORIAL_HORARIOS!$A$2:$A$201=$B1049)*(HISTORIAL_HORARIOS!$C$2:$C$201&lt;=$A1049)*(HISTORIAL_HORARIOS!$D$2:$D$201&gt;=$A1049),0)),INDEX(IF($I1049="FIN",PERSONAL!$J$2:$J$80,PERSONAL!$F$2:$F$80),MATCH($B1049,PERSONAL!$A$2:$A$80,0)))))</f>
        <v/>
      </c>
      <c r="N1049" s="53">
        <f t="array" ref="N1049">IFERROR(INDEX(EXCEPCIONES_FECHA!$E$2:$E$201,MATCH(1,(EXCEPCIONES_FECHA!$A$2:$A$201=$A1049)*(EXCEPCIONES_FECHA!$B$2:$B$201=$B1049),0)),IFERROR(INDEX(EXCEPCIONES_FECHA!$E$2:$E$201,MATCH(1,(EXCEPCIONES_FECHA!$A$2:$A$201=$A1049)*(EXCEPCIONES_FECHA!$B$2:$B$201=""),0)),IFERROR(INDEX(IF($I1049="FIN",HISTORIAL_HORARIOS!$K$2:$K$201,HISTORIAL_HORARIOS!$G$2:$G$201),MATCH(1,(HISTORIAL_HORARIOS!$A$2:$A$201=$B1049)*(HISTORIAL_HORARIOS!$C$2:$C$201&lt;=$A1049)*(HISTORIAL_HORARIOS!$D$2:$D$201&gt;=$A1049),0)),INDEX(IF($I1049="FIN",PERSONAL!$K$2:$K$80,PERSONAL!$G$2:$G$80),MATCH($B1049,PERSONAL!$A$2:$A$80,0)))))</f>
        <v/>
      </c>
      <c r="O1049" s="53">
        <f t="array" ref="O1049">IFERROR(INDEX(EXCEPCIONES_FECHA!$F$2:$F$201,MATCH(1,(EXCEPCIONES_FECHA!$A$2:$A$201=$A1049)*(EXCEPCIONES_FECHA!$B$2:$B$201=$B1049),0)),IFERROR(INDEX(EXCEPCIONES_FECHA!$F$2:$F$201,MATCH(1,(EXCEPCIONES_FECHA!$A$2:$A$201=$A1049)*(EXCEPCIONES_FECHA!$B$2:$B$201=""),0)),IFERROR(INDEX(IF($I1049="FIN",HISTORIAL_HORARIOS!$L$2:$L$201,HISTORIAL_HORARIOS!$H$2:$H$201),MATCH(1,(HISTORIAL_HORARIOS!$A$2:$A$201=$B1049)*(HISTORIAL_HORARIOS!$C$2:$C$201&lt;=$A1049)*(HISTORIAL_HORARIOS!$D$2:$D$201&gt;=$A1049),0)),INDEX(IF($I1049="FIN",PERSONAL!$L$2:$L$80,PERSONAL!$H$2:$H$80),MATCH($B1049,PERSONAL!$A$2:$A$80,0)))))</f>
        <v/>
      </c>
    </row>
    <row r="1050" ht="15" customHeight="1" s="58">
      <c r="A1050" s="40" t="n"/>
      <c r="B1050" s="38" t="n"/>
      <c r="C1050" s="40" t="n"/>
      <c r="D1050" s="40" t="n"/>
      <c r="E1050" s="34">
        <f t="array" ref="E1050">IF($B1050="","",IFERROR(INDEX(PERSONAL!$B$2:$B$80,MATCH($B1050,PERSONAL!$A$2:$A$80,0)),"NO EXISTE"))</f>
        <v/>
      </c>
      <c r="F1050" s="34">
        <f t="array" ref="F1050">IF($B1050="","",IFERROR(INDEX(PERSONAL!$C$2:$C$80,MATCH($B1050,PERSONAL!$A$2:$A$80,0)),""))</f>
        <v/>
      </c>
      <c r="G1050" s="34">
        <f>IF($A1050="","",CHOOSE(WEEKDAY($A1050,2),"LUNES","MARTES","MIÉRCOLES","JUEVES","VIERNES","SÁBADO","DOMINGO"))</f>
        <v/>
      </c>
      <c r="H1050" s="34">
        <f>IF($A1050="","",CHOOSE(MONTH($A1050),"ENERO","FEBRERO","MARZO","ABRIL","MAYO","JUNIO","JULIO","AGOSTO","SEPTIEMBRE","OCTUBRE","NOVIEMBRE","DICIEMBRE"))</f>
        <v/>
      </c>
      <c r="I1050" s="34">
        <f>IF($A1050="","",IF(OR($G1050="SÁBADO",$G1050="DOMINGO"),"FIN","LV"))</f>
        <v/>
      </c>
      <c r="J1050" s="34">
        <f>IF(OR($A1050="",$B1050=""),"",IF($L1050&lt;&gt;"",UPPER($L1050),IF($C1050="","FALTA",IFERROR(IF($C1050&gt;=$O1050,"ROJO FUERTE",IF($C1050&gt;=$N1050,"ROJO",IF($C1050&gt;=$M1050,"AMARILLO","VERDE"))),"REVISAR"))))</f>
        <v/>
      </c>
      <c r="K1050" s="36">
        <f>IF(OR($C1050="",$D1050=""),"",IF($D1050&gt;=$C1050,($D1050-$C1050)*24,(1-$C1050+$D1050)*24))</f>
        <v/>
      </c>
      <c r="L1050" s="34" t="n"/>
      <c r="M1050" s="53">
        <f t="array" ref="M1050">IFERROR(INDEX(EXCEPCIONES_FECHA!$D$2:$D$201,MATCH(1,(EXCEPCIONES_FECHA!$A$2:$A$201=$A1050)*(EXCEPCIONES_FECHA!$B$2:$B$201=$B1050),0)),IFERROR(INDEX(EXCEPCIONES_FECHA!$D$2:$D$201,MATCH(1,(EXCEPCIONES_FECHA!$A$2:$A$201=$A1050)*(EXCEPCIONES_FECHA!$B$2:$B$201=""),0)),IFERROR(INDEX(IF($I1050="FIN",HISTORIAL_HORARIOS!$J$2:$J$201,HISTORIAL_HORARIOS!$F$2:$F$201),MATCH(1,(HISTORIAL_HORARIOS!$A$2:$A$201=$B1050)*(HISTORIAL_HORARIOS!$C$2:$C$201&lt;=$A1050)*(HISTORIAL_HORARIOS!$D$2:$D$201&gt;=$A1050),0)),INDEX(IF($I1050="FIN",PERSONAL!$J$2:$J$80,PERSONAL!$F$2:$F$80),MATCH($B1050,PERSONAL!$A$2:$A$80,0)))))</f>
        <v/>
      </c>
      <c r="N1050" s="53">
        <f t="array" ref="N1050">IFERROR(INDEX(EXCEPCIONES_FECHA!$E$2:$E$201,MATCH(1,(EXCEPCIONES_FECHA!$A$2:$A$201=$A1050)*(EXCEPCIONES_FECHA!$B$2:$B$201=$B1050),0)),IFERROR(INDEX(EXCEPCIONES_FECHA!$E$2:$E$201,MATCH(1,(EXCEPCIONES_FECHA!$A$2:$A$201=$A1050)*(EXCEPCIONES_FECHA!$B$2:$B$201=""),0)),IFERROR(INDEX(IF($I1050="FIN",HISTORIAL_HORARIOS!$K$2:$K$201,HISTORIAL_HORARIOS!$G$2:$G$201),MATCH(1,(HISTORIAL_HORARIOS!$A$2:$A$201=$B1050)*(HISTORIAL_HORARIOS!$C$2:$C$201&lt;=$A1050)*(HISTORIAL_HORARIOS!$D$2:$D$201&gt;=$A1050),0)),INDEX(IF($I1050="FIN",PERSONAL!$K$2:$K$80,PERSONAL!$G$2:$G$80),MATCH($B1050,PERSONAL!$A$2:$A$80,0)))))</f>
        <v/>
      </c>
      <c r="O1050" s="53">
        <f t="array" ref="O1050">IFERROR(INDEX(EXCEPCIONES_FECHA!$F$2:$F$201,MATCH(1,(EXCEPCIONES_FECHA!$A$2:$A$201=$A1050)*(EXCEPCIONES_FECHA!$B$2:$B$201=$B1050),0)),IFERROR(INDEX(EXCEPCIONES_FECHA!$F$2:$F$201,MATCH(1,(EXCEPCIONES_FECHA!$A$2:$A$201=$A1050)*(EXCEPCIONES_FECHA!$B$2:$B$201=""),0)),IFERROR(INDEX(IF($I1050="FIN",HISTORIAL_HORARIOS!$L$2:$L$201,HISTORIAL_HORARIOS!$H$2:$H$201),MATCH(1,(HISTORIAL_HORARIOS!$A$2:$A$201=$B1050)*(HISTORIAL_HORARIOS!$C$2:$C$201&lt;=$A1050)*(HISTORIAL_HORARIOS!$D$2:$D$201&gt;=$A1050),0)),INDEX(IF($I1050="FIN",PERSONAL!$L$2:$L$80,PERSONAL!$H$2:$H$80),MATCH($B1050,PERSONAL!$A$2:$A$80,0)))))</f>
        <v/>
      </c>
    </row>
    <row r="1051" ht="15" customHeight="1" s="58">
      <c r="A1051" s="40" t="n"/>
      <c r="B1051" s="38" t="n"/>
      <c r="C1051" s="40" t="n"/>
      <c r="D1051" s="40" t="n"/>
      <c r="E1051" s="34">
        <f t="array" ref="E1051">IF($B1051="","",IFERROR(INDEX(PERSONAL!$B$2:$B$80,MATCH($B1051,PERSONAL!$A$2:$A$80,0)),"NO EXISTE"))</f>
        <v/>
      </c>
      <c r="F1051" s="34">
        <f t="array" ref="F1051">IF($B1051="","",IFERROR(INDEX(PERSONAL!$C$2:$C$80,MATCH($B1051,PERSONAL!$A$2:$A$80,0)),""))</f>
        <v/>
      </c>
      <c r="G1051" s="34">
        <f>IF($A1051="","",CHOOSE(WEEKDAY($A1051,2),"LUNES","MARTES","MIÉRCOLES","JUEVES","VIERNES","SÁBADO","DOMINGO"))</f>
        <v/>
      </c>
      <c r="H1051" s="34">
        <f>IF($A1051="","",CHOOSE(MONTH($A1051),"ENERO","FEBRERO","MARZO","ABRIL","MAYO","JUNIO","JULIO","AGOSTO","SEPTIEMBRE","OCTUBRE","NOVIEMBRE","DICIEMBRE"))</f>
        <v/>
      </c>
      <c r="I1051" s="34">
        <f>IF($A1051="","",IF(OR($G1051="SÁBADO",$G1051="DOMINGO"),"FIN","LV"))</f>
        <v/>
      </c>
      <c r="J1051" s="34">
        <f>IF(OR($A1051="",$B1051=""),"",IF($L1051&lt;&gt;"",UPPER($L1051),IF($C1051="","FALTA",IFERROR(IF($C1051&gt;=$O1051,"ROJO FUERTE",IF($C1051&gt;=$N1051,"ROJO",IF($C1051&gt;=$M1051,"AMARILLO","VERDE"))),"REVISAR"))))</f>
        <v/>
      </c>
      <c r="K1051" s="36">
        <f>IF(OR($C1051="",$D1051=""),"",IF($D1051&gt;=$C1051,($D1051-$C1051)*24,(1-$C1051+$D1051)*24))</f>
        <v/>
      </c>
      <c r="L1051" s="34" t="n"/>
      <c r="M1051" s="53">
        <f t="array" ref="M1051">IFERROR(INDEX(EXCEPCIONES_FECHA!$D$2:$D$201,MATCH(1,(EXCEPCIONES_FECHA!$A$2:$A$201=$A1051)*(EXCEPCIONES_FECHA!$B$2:$B$201=$B1051),0)),IFERROR(INDEX(EXCEPCIONES_FECHA!$D$2:$D$201,MATCH(1,(EXCEPCIONES_FECHA!$A$2:$A$201=$A1051)*(EXCEPCIONES_FECHA!$B$2:$B$201=""),0)),IFERROR(INDEX(IF($I1051="FIN",HISTORIAL_HORARIOS!$J$2:$J$201,HISTORIAL_HORARIOS!$F$2:$F$201),MATCH(1,(HISTORIAL_HORARIOS!$A$2:$A$201=$B1051)*(HISTORIAL_HORARIOS!$C$2:$C$201&lt;=$A1051)*(HISTORIAL_HORARIOS!$D$2:$D$201&gt;=$A1051),0)),INDEX(IF($I1051="FIN",PERSONAL!$J$2:$J$80,PERSONAL!$F$2:$F$80),MATCH($B1051,PERSONAL!$A$2:$A$80,0)))))</f>
        <v/>
      </c>
      <c r="N1051" s="53">
        <f t="array" ref="N1051">IFERROR(INDEX(EXCEPCIONES_FECHA!$E$2:$E$201,MATCH(1,(EXCEPCIONES_FECHA!$A$2:$A$201=$A1051)*(EXCEPCIONES_FECHA!$B$2:$B$201=$B1051),0)),IFERROR(INDEX(EXCEPCIONES_FECHA!$E$2:$E$201,MATCH(1,(EXCEPCIONES_FECHA!$A$2:$A$201=$A1051)*(EXCEPCIONES_FECHA!$B$2:$B$201=""),0)),IFERROR(INDEX(IF($I1051="FIN",HISTORIAL_HORARIOS!$K$2:$K$201,HISTORIAL_HORARIOS!$G$2:$G$201),MATCH(1,(HISTORIAL_HORARIOS!$A$2:$A$201=$B1051)*(HISTORIAL_HORARIOS!$C$2:$C$201&lt;=$A1051)*(HISTORIAL_HORARIOS!$D$2:$D$201&gt;=$A1051),0)),INDEX(IF($I1051="FIN",PERSONAL!$K$2:$K$80,PERSONAL!$G$2:$G$80),MATCH($B1051,PERSONAL!$A$2:$A$80,0)))))</f>
        <v/>
      </c>
      <c r="O1051" s="53">
        <f t="array" ref="O1051">IFERROR(INDEX(EXCEPCIONES_FECHA!$F$2:$F$201,MATCH(1,(EXCEPCIONES_FECHA!$A$2:$A$201=$A1051)*(EXCEPCIONES_FECHA!$B$2:$B$201=$B1051),0)),IFERROR(INDEX(EXCEPCIONES_FECHA!$F$2:$F$201,MATCH(1,(EXCEPCIONES_FECHA!$A$2:$A$201=$A1051)*(EXCEPCIONES_FECHA!$B$2:$B$201=""),0)),IFERROR(INDEX(IF($I1051="FIN",HISTORIAL_HORARIOS!$L$2:$L$201,HISTORIAL_HORARIOS!$H$2:$H$201),MATCH(1,(HISTORIAL_HORARIOS!$A$2:$A$201=$B1051)*(HISTORIAL_HORARIOS!$C$2:$C$201&lt;=$A1051)*(HISTORIAL_HORARIOS!$D$2:$D$201&gt;=$A1051),0)),INDEX(IF($I1051="FIN",PERSONAL!$L$2:$L$80,PERSONAL!$H$2:$H$80),MATCH($B1051,PERSONAL!$A$2:$A$80,0)))))</f>
        <v/>
      </c>
    </row>
    <row r="1052" ht="15" customHeight="1" s="58">
      <c r="A1052" s="40" t="n"/>
      <c r="B1052" s="38" t="n"/>
      <c r="C1052" s="40" t="n"/>
      <c r="D1052" s="40" t="n"/>
      <c r="E1052" s="34">
        <f t="array" ref="E1052">IF($B1052="","",IFERROR(INDEX(PERSONAL!$B$2:$B$80,MATCH($B1052,PERSONAL!$A$2:$A$80,0)),"NO EXISTE"))</f>
        <v/>
      </c>
      <c r="F1052" s="34">
        <f t="array" ref="F1052">IF($B1052="","",IFERROR(INDEX(PERSONAL!$C$2:$C$80,MATCH($B1052,PERSONAL!$A$2:$A$80,0)),""))</f>
        <v/>
      </c>
      <c r="G1052" s="34">
        <f>IF($A1052="","",CHOOSE(WEEKDAY($A1052,2),"LUNES","MARTES","MIÉRCOLES","JUEVES","VIERNES","SÁBADO","DOMINGO"))</f>
        <v/>
      </c>
      <c r="H1052" s="34">
        <f>IF($A1052="","",CHOOSE(MONTH($A1052),"ENERO","FEBRERO","MARZO","ABRIL","MAYO","JUNIO","JULIO","AGOSTO","SEPTIEMBRE","OCTUBRE","NOVIEMBRE","DICIEMBRE"))</f>
        <v/>
      </c>
      <c r="I1052" s="34">
        <f>IF($A1052="","",IF(OR($G1052="SÁBADO",$G1052="DOMINGO"),"FIN","LV"))</f>
        <v/>
      </c>
      <c r="J1052" s="34">
        <f>IF(OR($A1052="",$B1052=""),"",IF($L1052&lt;&gt;"",UPPER($L1052),IF($C1052="","FALTA",IFERROR(IF($C1052&gt;=$O1052,"ROJO FUERTE",IF($C1052&gt;=$N1052,"ROJO",IF($C1052&gt;=$M1052,"AMARILLO","VERDE"))),"REVISAR"))))</f>
        <v/>
      </c>
      <c r="K1052" s="36">
        <f>IF(OR($C1052="",$D1052=""),"",IF($D1052&gt;=$C1052,($D1052-$C1052)*24,(1-$C1052+$D1052)*24))</f>
        <v/>
      </c>
      <c r="L1052" s="34" t="n"/>
      <c r="M1052" s="53">
        <f t="array" ref="M1052">IFERROR(INDEX(EXCEPCIONES_FECHA!$D$2:$D$201,MATCH(1,(EXCEPCIONES_FECHA!$A$2:$A$201=$A1052)*(EXCEPCIONES_FECHA!$B$2:$B$201=$B1052),0)),IFERROR(INDEX(EXCEPCIONES_FECHA!$D$2:$D$201,MATCH(1,(EXCEPCIONES_FECHA!$A$2:$A$201=$A1052)*(EXCEPCIONES_FECHA!$B$2:$B$201=""),0)),IFERROR(INDEX(IF($I1052="FIN",HISTORIAL_HORARIOS!$J$2:$J$201,HISTORIAL_HORARIOS!$F$2:$F$201),MATCH(1,(HISTORIAL_HORARIOS!$A$2:$A$201=$B1052)*(HISTORIAL_HORARIOS!$C$2:$C$201&lt;=$A1052)*(HISTORIAL_HORARIOS!$D$2:$D$201&gt;=$A1052),0)),INDEX(IF($I1052="FIN",PERSONAL!$J$2:$J$80,PERSONAL!$F$2:$F$80),MATCH($B1052,PERSONAL!$A$2:$A$80,0)))))</f>
        <v/>
      </c>
      <c r="N1052" s="53">
        <f t="array" ref="N1052">IFERROR(INDEX(EXCEPCIONES_FECHA!$E$2:$E$201,MATCH(1,(EXCEPCIONES_FECHA!$A$2:$A$201=$A1052)*(EXCEPCIONES_FECHA!$B$2:$B$201=$B1052),0)),IFERROR(INDEX(EXCEPCIONES_FECHA!$E$2:$E$201,MATCH(1,(EXCEPCIONES_FECHA!$A$2:$A$201=$A1052)*(EXCEPCIONES_FECHA!$B$2:$B$201=""),0)),IFERROR(INDEX(IF($I1052="FIN",HISTORIAL_HORARIOS!$K$2:$K$201,HISTORIAL_HORARIOS!$G$2:$G$201),MATCH(1,(HISTORIAL_HORARIOS!$A$2:$A$201=$B1052)*(HISTORIAL_HORARIOS!$C$2:$C$201&lt;=$A1052)*(HISTORIAL_HORARIOS!$D$2:$D$201&gt;=$A1052),0)),INDEX(IF($I1052="FIN",PERSONAL!$K$2:$K$80,PERSONAL!$G$2:$G$80),MATCH($B1052,PERSONAL!$A$2:$A$80,0)))))</f>
        <v/>
      </c>
      <c r="O1052" s="53">
        <f t="array" ref="O1052">IFERROR(INDEX(EXCEPCIONES_FECHA!$F$2:$F$201,MATCH(1,(EXCEPCIONES_FECHA!$A$2:$A$201=$A1052)*(EXCEPCIONES_FECHA!$B$2:$B$201=$B1052),0)),IFERROR(INDEX(EXCEPCIONES_FECHA!$F$2:$F$201,MATCH(1,(EXCEPCIONES_FECHA!$A$2:$A$201=$A1052)*(EXCEPCIONES_FECHA!$B$2:$B$201=""),0)),IFERROR(INDEX(IF($I1052="FIN",HISTORIAL_HORARIOS!$L$2:$L$201,HISTORIAL_HORARIOS!$H$2:$H$201),MATCH(1,(HISTORIAL_HORARIOS!$A$2:$A$201=$B1052)*(HISTORIAL_HORARIOS!$C$2:$C$201&lt;=$A1052)*(HISTORIAL_HORARIOS!$D$2:$D$201&gt;=$A1052),0)),INDEX(IF($I1052="FIN",PERSONAL!$L$2:$L$80,PERSONAL!$H$2:$H$80),MATCH($B1052,PERSONAL!$A$2:$A$80,0)))))</f>
        <v/>
      </c>
    </row>
    <row r="1053" ht="15" customHeight="1" s="58">
      <c r="A1053" s="40" t="n"/>
      <c r="B1053" s="38" t="n"/>
      <c r="C1053" s="40" t="n"/>
      <c r="D1053" s="40" t="n"/>
      <c r="E1053" s="34">
        <f t="array" ref="E1053">IF($B1053="","",IFERROR(INDEX(PERSONAL!$B$2:$B$80,MATCH($B1053,PERSONAL!$A$2:$A$80,0)),"NO EXISTE"))</f>
        <v/>
      </c>
      <c r="F1053" s="34">
        <f t="array" ref="F1053">IF($B1053="","",IFERROR(INDEX(PERSONAL!$C$2:$C$80,MATCH($B1053,PERSONAL!$A$2:$A$80,0)),""))</f>
        <v/>
      </c>
      <c r="G1053" s="34">
        <f>IF($A1053="","",CHOOSE(WEEKDAY($A1053,2),"LUNES","MARTES","MIÉRCOLES","JUEVES","VIERNES","SÁBADO","DOMINGO"))</f>
        <v/>
      </c>
      <c r="H1053" s="34">
        <f>IF($A1053="","",CHOOSE(MONTH($A1053),"ENERO","FEBRERO","MARZO","ABRIL","MAYO","JUNIO","JULIO","AGOSTO","SEPTIEMBRE","OCTUBRE","NOVIEMBRE","DICIEMBRE"))</f>
        <v/>
      </c>
      <c r="I1053" s="34">
        <f>IF($A1053="","",IF(OR($G1053="SÁBADO",$G1053="DOMINGO"),"FIN","LV"))</f>
        <v/>
      </c>
      <c r="J1053" s="34">
        <f>IF(OR($A1053="",$B1053=""),"",IF($L1053&lt;&gt;"",UPPER($L1053),IF($C1053="","FALTA",IFERROR(IF($C1053&gt;=$O1053,"ROJO FUERTE",IF($C1053&gt;=$N1053,"ROJO",IF($C1053&gt;=$M1053,"AMARILLO","VERDE"))),"REVISAR"))))</f>
        <v/>
      </c>
      <c r="K1053" s="36">
        <f>IF(OR($C1053="",$D1053=""),"",IF($D1053&gt;=$C1053,($D1053-$C1053)*24,(1-$C1053+$D1053)*24))</f>
        <v/>
      </c>
      <c r="L1053" s="34" t="n"/>
      <c r="M1053" s="53">
        <f t="array" ref="M1053">IFERROR(INDEX(EXCEPCIONES_FECHA!$D$2:$D$201,MATCH(1,(EXCEPCIONES_FECHA!$A$2:$A$201=$A1053)*(EXCEPCIONES_FECHA!$B$2:$B$201=$B1053),0)),IFERROR(INDEX(EXCEPCIONES_FECHA!$D$2:$D$201,MATCH(1,(EXCEPCIONES_FECHA!$A$2:$A$201=$A1053)*(EXCEPCIONES_FECHA!$B$2:$B$201=""),0)),IFERROR(INDEX(IF($I1053="FIN",HISTORIAL_HORARIOS!$J$2:$J$201,HISTORIAL_HORARIOS!$F$2:$F$201),MATCH(1,(HISTORIAL_HORARIOS!$A$2:$A$201=$B1053)*(HISTORIAL_HORARIOS!$C$2:$C$201&lt;=$A1053)*(HISTORIAL_HORARIOS!$D$2:$D$201&gt;=$A1053),0)),INDEX(IF($I1053="FIN",PERSONAL!$J$2:$J$80,PERSONAL!$F$2:$F$80),MATCH($B1053,PERSONAL!$A$2:$A$80,0)))))</f>
        <v/>
      </c>
      <c r="N1053" s="53">
        <f t="array" ref="N1053">IFERROR(INDEX(EXCEPCIONES_FECHA!$E$2:$E$201,MATCH(1,(EXCEPCIONES_FECHA!$A$2:$A$201=$A1053)*(EXCEPCIONES_FECHA!$B$2:$B$201=$B1053),0)),IFERROR(INDEX(EXCEPCIONES_FECHA!$E$2:$E$201,MATCH(1,(EXCEPCIONES_FECHA!$A$2:$A$201=$A1053)*(EXCEPCIONES_FECHA!$B$2:$B$201=""),0)),IFERROR(INDEX(IF($I1053="FIN",HISTORIAL_HORARIOS!$K$2:$K$201,HISTORIAL_HORARIOS!$G$2:$G$201),MATCH(1,(HISTORIAL_HORARIOS!$A$2:$A$201=$B1053)*(HISTORIAL_HORARIOS!$C$2:$C$201&lt;=$A1053)*(HISTORIAL_HORARIOS!$D$2:$D$201&gt;=$A1053),0)),INDEX(IF($I1053="FIN",PERSONAL!$K$2:$K$80,PERSONAL!$G$2:$G$80),MATCH($B1053,PERSONAL!$A$2:$A$80,0)))))</f>
        <v/>
      </c>
      <c r="O1053" s="53">
        <f t="array" ref="O1053">IFERROR(INDEX(EXCEPCIONES_FECHA!$F$2:$F$201,MATCH(1,(EXCEPCIONES_FECHA!$A$2:$A$201=$A1053)*(EXCEPCIONES_FECHA!$B$2:$B$201=$B1053),0)),IFERROR(INDEX(EXCEPCIONES_FECHA!$F$2:$F$201,MATCH(1,(EXCEPCIONES_FECHA!$A$2:$A$201=$A1053)*(EXCEPCIONES_FECHA!$B$2:$B$201=""),0)),IFERROR(INDEX(IF($I1053="FIN",HISTORIAL_HORARIOS!$L$2:$L$201,HISTORIAL_HORARIOS!$H$2:$H$201),MATCH(1,(HISTORIAL_HORARIOS!$A$2:$A$201=$B1053)*(HISTORIAL_HORARIOS!$C$2:$C$201&lt;=$A1053)*(HISTORIAL_HORARIOS!$D$2:$D$201&gt;=$A1053),0)),INDEX(IF($I1053="FIN",PERSONAL!$L$2:$L$80,PERSONAL!$H$2:$H$80),MATCH($B1053,PERSONAL!$A$2:$A$80,0)))))</f>
        <v/>
      </c>
    </row>
    <row r="1054" ht="15" customHeight="1" s="58">
      <c r="A1054" s="40" t="n"/>
      <c r="B1054" s="38" t="n"/>
      <c r="C1054" s="40" t="n"/>
      <c r="D1054" s="40" t="n"/>
      <c r="E1054" s="34">
        <f t="array" ref="E1054">IF($B1054="","",IFERROR(INDEX(PERSONAL!$B$2:$B$80,MATCH($B1054,PERSONAL!$A$2:$A$80,0)),"NO EXISTE"))</f>
        <v/>
      </c>
      <c r="F1054" s="34">
        <f t="array" ref="F1054">IF($B1054="","",IFERROR(INDEX(PERSONAL!$C$2:$C$80,MATCH($B1054,PERSONAL!$A$2:$A$80,0)),""))</f>
        <v/>
      </c>
      <c r="G1054" s="34">
        <f>IF($A1054="","",CHOOSE(WEEKDAY($A1054,2),"LUNES","MARTES","MIÉRCOLES","JUEVES","VIERNES","SÁBADO","DOMINGO"))</f>
        <v/>
      </c>
      <c r="H1054" s="34">
        <f>IF($A1054="","",CHOOSE(MONTH($A1054),"ENERO","FEBRERO","MARZO","ABRIL","MAYO","JUNIO","JULIO","AGOSTO","SEPTIEMBRE","OCTUBRE","NOVIEMBRE","DICIEMBRE"))</f>
        <v/>
      </c>
      <c r="I1054" s="34">
        <f>IF($A1054="","",IF(OR($G1054="SÁBADO",$G1054="DOMINGO"),"FIN","LV"))</f>
        <v/>
      </c>
      <c r="J1054" s="34">
        <f>IF(OR($A1054="",$B1054=""),"",IF($L1054&lt;&gt;"",UPPER($L1054),IF($C1054="","FALTA",IFERROR(IF($C1054&gt;=$O1054,"ROJO FUERTE",IF($C1054&gt;=$N1054,"ROJO",IF($C1054&gt;=$M1054,"AMARILLO","VERDE"))),"REVISAR"))))</f>
        <v/>
      </c>
      <c r="K1054" s="36">
        <f>IF(OR($C1054="",$D1054=""),"",IF($D1054&gt;=$C1054,($D1054-$C1054)*24,(1-$C1054+$D1054)*24))</f>
        <v/>
      </c>
      <c r="L1054" s="34" t="n"/>
      <c r="M1054" s="53">
        <f t="array" ref="M1054">IFERROR(INDEX(EXCEPCIONES_FECHA!$D$2:$D$201,MATCH(1,(EXCEPCIONES_FECHA!$A$2:$A$201=$A1054)*(EXCEPCIONES_FECHA!$B$2:$B$201=$B1054),0)),IFERROR(INDEX(EXCEPCIONES_FECHA!$D$2:$D$201,MATCH(1,(EXCEPCIONES_FECHA!$A$2:$A$201=$A1054)*(EXCEPCIONES_FECHA!$B$2:$B$201=""),0)),IFERROR(INDEX(IF($I1054="FIN",HISTORIAL_HORARIOS!$J$2:$J$201,HISTORIAL_HORARIOS!$F$2:$F$201),MATCH(1,(HISTORIAL_HORARIOS!$A$2:$A$201=$B1054)*(HISTORIAL_HORARIOS!$C$2:$C$201&lt;=$A1054)*(HISTORIAL_HORARIOS!$D$2:$D$201&gt;=$A1054),0)),INDEX(IF($I1054="FIN",PERSONAL!$J$2:$J$80,PERSONAL!$F$2:$F$80),MATCH($B1054,PERSONAL!$A$2:$A$80,0)))))</f>
        <v/>
      </c>
      <c r="N1054" s="53">
        <f t="array" ref="N1054">IFERROR(INDEX(EXCEPCIONES_FECHA!$E$2:$E$201,MATCH(1,(EXCEPCIONES_FECHA!$A$2:$A$201=$A1054)*(EXCEPCIONES_FECHA!$B$2:$B$201=$B1054),0)),IFERROR(INDEX(EXCEPCIONES_FECHA!$E$2:$E$201,MATCH(1,(EXCEPCIONES_FECHA!$A$2:$A$201=$A1054)*(EXCEPCIONES_FECHA!$B$2:$B$201=""),0)),IFERROR(INDEX(IF($I1054="FIN",HISTORIAL_HORARIOS!$K$2:$K$201,HISTORIAL_HORARIOS!$G$2:$G$201),MATCH(1,(HISTORIAL_HORARIOS!$A$2:$A$201=$B1054)*(HISTORIAL_HORARIOS!$C$2:$C$201&lt;=$A1054)*(HISTORIAL_HORARIOS!$D$2:$D$201&gt;=$A1054),0)),INDEX(IF($I1054="FIN",PERSONAL!$K$2:$K$80,PERSONAL!$G$2:$G$80),MATCH($B1054,PERSONAL!$A$2:$A$80,0)))))</f>
        <v/>
      </c>
      <c r="O1054" s="53">
        <f t="array" ref="O1054">IFERROR(INDEX(EXCEPCIONES_FECHA!$F$2:$F$201,MATCH(1,(EXCEPCIONES_FECHA!$A$2:$A$201=$A1054)*(EXCEPCIONES_FECHA!$B$2:$B$201=$B1054),0)),IFERROR(INDEX(EXCEPCIONES_FECHA!$F$2:$F$201,MATCH(1,(EXCEPCIONES_FECHA!$A$2:$A$201=$A1054)*(EXCEPCIONES_FECHA!$B$2:$B$201=""),0)),IFERROR(INDEX(IF($I1054="FIN",HISTORIAL_HORARIOS!$L$2:$L$201,HISTORIAL_HORARIOS!$H$2:$H$201),MATCH(1,(HISTORIAL_HORARIOS!$A$2:$A$201=$B1054)*(HISTORIAL_HORARIOS!$C$2:$C$201&lt;=$A1054)*(HISTORIAL_HORARIOS!$D$2:$D$201&gt;=$A1054),0)),INDEX(IF($I1054="FIN",PERSONAL!$L$2:$L$80,PERSONAL!$H$2:$H$80),MATCH($B1054,PERSONAL!$A$2:$A$80,0)))))</f>
        <v/>
      </c>
    </row>
    <row r="1055" ht="15" customHeight="1" s="58">
      <c r="A1055" s="40" t="n"/>
      <c r="B1055" s="38" t="n"/>
      <c r="C1055" s="40" t="n"/>
      <c r="D1055" s="40" t="n"/>
      <c r="E1055" s="34">
        <f t="array" ref="E1055">IF($B1055="","",IFERROR(INDEX(PERSONAL!$B$2:$B$80,MATCH($B1055,PERSONAL!$A$2:$A$80,0)),"NO EXISTE"))</f>
        <v/>
      </c>
      <c r="F1055" s="34">
        <f t="array" ref="F1055">IF($B1055="","",IFERROR(INDEX(PERSONAL!$C$2:$C$80,MATCH($B1055,PERSONAL!$A$2:$A$80,0)),""))</f>
        <v/>
      </c>
      <c r="G1055" s="34">
        <f>IF($A1055="","",CHOOSE(WEEKDAY($A1055,2),"LUNES","MARTES","MIÉRCOLES","JUEVES","VIERNES","SÁBADO","DOMINGO"))</f>
        <v/>
      </c>
      <c r="H1055" s="34">
        <f>IF($A1055="","",CHOOSE(MONTH($A1055),"ENERO","FEBRERO","MARZO","ABRIL","MAYO","JUNIO","JULIO","AGOSTO","SEPTIEMBRE","OCTUBRE","NOVIEMBRE","DICIEMBRE"))</f>
        <v/>
      </c>
      <c r="I1055" s="34">
        <f>IF($A1055="","",IF(OR($G1055="SÁBADO",$G1055="DOMINGO"),"FIN","LV"))</f>
        <v/>
      </c>
      <c r="J1055" s="34">
        <f>IF(OR($A1055="",$B1055=""),"",IF($L1055&lt;&gt;"",UPPER($L1055),IF($C1055="","FALTA",IFERROR(IF($C1055&gt;=$O1055,"ROJO FUERTE",IF($C1055&gt;=$N1055,"ROJO",IF($C1055&gt;=$M1055,"AMARILLO","VERDE"))),"REVISAR"))))</f>
        <v/>
      </c>
      <c r="K1055" s="36">
        <f>IF(OR($C1055="",$D1055=""),"",IF($D1055&gt;=$C1055,($D1055-$C1055)*24,(1-$C1055+$D1055)*24))</f>
        <v/>
      </c>
      <c r="L1055" s="34" t="n"/>
      <c r="M1055" s="53">
        <f t="array" ref="M1055">IFERROR(INDEX(EXCEPCIONES_FECHA!$D$2:$D$201,MATCH(1,(EXCEPCIONES_FECHA!$A$2:$A$201=$A1055)*(EXCEPCIONES_FECHA!$B$2:$B$201=$B1055),0)),IFERROR(INDEX(EXCEPCIONES_FECHA!$D$2:$D$201,MATCH(1,(EXCEPCIONES_FECHA!$A$2:$A$201=$A1055)*(EXCEPCIONES_FECHA!$B$2:$B$201=""),0)),IFERROR(INDEX(IF($I1055="FIN",HISTORIAL_HORARIOS!$J$2:$J$201,HISTORIAL_HORARIOS!$F$2:$F$201),MATCH(1,(HISTORIAL_HORARIOS!$A$2:$A$201=$B1055)*(HISTORIAL_HORARIOS!$C$2:$C$201&lt;=$A1055)*(HISTORIAL_HORARIOS!$D$2:$D$201&gt;=$A1055),0)),INDEX(IF($I1055="FIN",PERSONAL!$J$2:$J$80,PERSONAL!$F$2:$F$80),MATCH($B1055,PERSONAL!$A$2:$A$80,0)))))</f>
        <v/>
      </c>
      <c r="N1055" s="53">
        <f t="array" ref="N1055">IFERROR(INDEX(EXCEPCIONES_FECHA!$E$2:$E$201,MATCH(1,(EXCEPCIONES_FECHA!$A$2:$A$201=$A1055)*(EXCEPCIONES_FECHA!$B$2:$B$201=$B1055),0)),IFERROR(INDEX(EXCEPCIONES_FECHA!$E$2:$E$201,MATCH(1,(EXCEPCIONES_FECHA!$A$2:$A$201=$A1055)*(EXCEPCIONES_FECHA!$B$2:$B$201=""),0)),IFERROR(INDEX(IF($I1055="FIN",HISTORIAL_HORARIOS!$K$2:$K$201,HISTORIAL_HORARIOS!$G$2:$G$201),MATCH(1,(HISTORIAL_HORARIOS!$A$2:$A$201=$B1055)*(HISTORIAL_HORARIOS!$C$2:$C$201&lt;=$A1055)*(HISTORIAL_HORARIOS!$D$2:$D$201&gt;=$A1055),0)),INDEX(IF($I1055="FIN",PERSONAL!$K$2:$K$80,PERSONAL!$G$2:$G$80),MATCH($B1055,PERSONAL!$A$2:$A$80,0)))))</f>
        <v/>
      </c>
      <c r="O1055" s="53">
        <f t="array" ref="O1055">IFERROR(INDEX(EXCEPCIONES_FECHA!$F$2:$F$201,MATCH(1,(EXCEPCIONES_FECHA!$A$2:$A$201=$A1055)*(EXCEPCIONES_FECHA!$B$2:$B$201=$B1055),0)),IFERROR(INDEX(EXCEPCIONES_FECHA!$F$2:$F$201,MATCH(1,(EXCEPCIONES_FECHA!$A$2:$A$201=$A1055)*(EXCEPCIONES_FECHA!$B$2:$B$201=""),0)),IFERROR(INDEX(IF($I1055="FIN",HISTORIAL_HORARIOS!$L$2:$L$201,HISTORIAL_HORARIOS!$H$2:$H$201),MATCH(1,(HISTORIAL_HORARIOS!$A$2:$A$201=$B1055)*(HISTORIAL_HORARIOS!$C$2:$C$201&lt;=$A1055)*(HISTORIAL_HORARIOS!$D$2:$D$201&gt;=$A1055),0)),INDEX(IF($I1055="FIN",PERSONAL!$L$2:$L$80,PERSONAL!$H$2:$H$80),MATCH($B1055,PERSONAL!$A$2:$A$80,0)))))</f>
        <v/>
      </c>
    </row>
    <row r="1056" ht="15" customHeight="1" s="58">
      <c r="A1056" s="40" t="n"/>
      <c r="B1056" s="38" t="n"/>
      <c r="C1056" s="40" t="n"/>
      <c r="D1056" s="40" t="n"/>
      <c r="E1056" s="34">
        <f t="array" ref="E1056">IF($B1056="","",IFERROR(INDEX(PERSONAL!$B$2:$B$80,MATCH($B1056,PERSONAL!$A$2:$A$80,0)),"NO EXISTE"))</f>
        <v/>
      </c>
      <c r="F1056" s="34">
        <f t="array" ref="F1056">IF($B1056="","",IFERROR(INDEX(PERSONAL!$C$2:$C$80,MATCH($B1056,PERSONAL!$A$2:$A$80,0)),""))</f>
        <v/>
      </c>
      <c r="G1056" s="34">
        <f>IF($A1056="","",CHOOSE(WEEKDAY($A1056,2),"LUNES","MARTES","MIÉRCOLES","JUEVES","VIERNES","SÁBADO","DOMINGO"))</f>
        <v/>
      </c>
      <c r="H1056" s="34">
        <f>IF($A1056="","",CHOOSE(MONTH($A1056),"ENERO","FEBRERO","MARZO","ABRIL","MAYO","JUNIO","JULIO","AGOSTO","SEPTIEMBRE","OCTUBRE","NOVIEMBRE","DICIEMBRE"))</f>
        <v/>
      </c>
      <c r="I1056" s="34">
        <f>IF($A1056="","",IF(OR($G1056="SÁBADO",$G1056="DOMINGO"),"FIN","LV"))</f>
        <v/>
      </c>
      <c r="J1056" s="34">
        <f>IF(OR($A1056="",$B1056=""),"",IF($L1056&lt;&gt;"",UPPER($L1056),IF($C1056="","FALTA",IFERROR(IF($C1056&gt;=$O1056,"ROJO FUERTE",IF($C1056&gt;=$N1056,"ROJO",IF($C1056&gt;=$M1056,"AMARILLO","VERDE"))),"REVISAR"))))</f>
        <v/>
      </c>
      <c r="K1056" s="36">
        <f>IF(OR($C1056="",$D1056=""),"",IF($D1056&gt;=$C1056,($D1056-$C1056)*24,(1-$C1056+$D1056)*24))</f>
        <v/>
      </c>
      <c r="L1056" s="34" t="n"/>
      <c r="M1056" s="53">
        <f t="array" ref="M1056">IFERROR(INDEX(EXCEPCIONES_FECHA!$D$2:$D$201,MATCH(1,(EXCEPCIONES_FECHA!$A$2:$A$201=$A1056)*(EXCEPCIONES_FECHA!$B$2:$B$201=$B1056),0)),IFERROR(INDEX(EXCEPCIONES_FECHA!$D$2:$D$201,MATCH(1,(EXCEPCIONES_FECHA!$A$2:$A$201=$A1056)*(EXCEPCIONES_FECHA!$B$2:$B$201=""),0)),IFERROR(INDEX(IF($I1056="FIN",HISTORIAL_HORARIOS!$J$2:$J$201,HISTORIAL_HORARIOS!$F$2:$F$201),MATCH(1,(HISTORIAL_HORARIOS!$A$2:$A$201=$B1056)*(HISTORIAL_HORARIOS!$C$2:$C$201&lt;=$A1056)*(HISTORIAL_HORARIOS!$D$2:$D$201&gt;=$A1056),0)),INDEX(IF($I1056="FIN",PERSONAL!$J$2:$J$80,PERSONAL!$F$2:$F$80),MATCH($B1056,PERSONAL!$A$2:$A$80,0)))))</f>
        <v/>
      </c>
      <c r="N1056" s="53">
        <f t="array" ref="N1056">IFERROR(INDEX(EXCEPCIONES_FECHA!$E$2:$E$201,MATCH(1,(EXCEPCIONES_FECHA!$A$2:$A$201=$A1056)*(EXCEPCIONES_FECHA!$B$2:$B$201=$B1056),0)),IFERROR(INDEX(EXCEPCIONES_FECHA!$E$2:$E$201,MATCH(1,(EXCEPCIONES_FECHA!$A$2:$A$201=$A1056)*(EXCEPCIONES_FECHA!$B$2:$B$201=""),0)),IFERROR(INDEX(IF($I1056="FIN",HISTORIAL_HORARIOS!$K$2:$K$201,HISTORIAL_HORARIOS!$G$2:$G$201),MATCH(1,(HISTORIAL_HORARIOS!$A$2:$A$201=$B1056)*(HISTORIAL_HORARIOS!$C$2:$C$201&lt;=$A1056)*(HISTORIAL_HORARIOS!$D$2:$D$201&gt;=$A1056),0)),INDEX(IF($I1056="FIN",PERSONAL!$K$2:$K$80,PERSONAL!$G$2:$G$80),MATCH($B1056,PERSONAL!$A$2:$A$80,0)))))</f>
        <v/>
      </c>
      <c r="O1056" s="53">
        <f t="array" ref="O1056">IFERROR(INDEX(EXCEPCIONES_FECHA!$F$2:$F$201,MATCH(1,(EXCEPCIONES_FECHA!$A$2:$A$201=$A1056)*(EXCEPCIONES_FECHA!$B$2:$B$201=$B1056),0)),IFERROR(INDEX(EXCEPCIONES_FECHA!$F$2:$F$201,MATCH(1,(EXCEPCIONES_FECHA!$A$2:$A$201=$A1056)*(EXCEPCIONES_FECHA!$B$2:$B$201=""),0)),IFERROR(INDEX(IF($I1056="FIN",HISTORIAL_HORARIOS!$L$2:$L$201,HISTORIAL_HORARIOS!$H$2:$H$201),MATCH(1,(HISTORIAL_HORARIOS!$A$2:$A$201=$B1056)*(HISTORIAL_HORARIOS!$C$2:$C$201&lt;=$A1056)*(HISTORIAL_HORARIOS!$D$2:$D$201&gt;=$A1056),0)),INDEX(IF($I1056="FIN",PERSONAL!$L$2:$L$80,PERSONAL!$H$2:$H$80),MATCH($B1056,PERSONAL!$A$2:$A$80,0)))))</f>
        <v/>
      </c>
    </row>
    <row r="1057" ht="15" customHeight="1" s="58">
      <c r="A1057" s="40" t="n"/>
      <c r="B1057" s="38" t="n"/>
      <c r="C1057" s="40" t="n"/>
      <c r="D1057" s="40" t="n"/>
      <c r="E1057" s="34">
        <f t="array" ref="E1057">IF($B1057="","",IFERROR(INDEX(PERSONAL!$B$2:$B$80,MATCH($B1057,PERSONAL!$A$2:$A$80,0)),"NO EXISTE"))</f>
        <v/>
      </c>
      <c r="F1057" s="34">
        <f t="array" ref="F1057">IF($B1057="","",IFERROR(INDEX(PERSONAL!$C$2:$C$80,MATCH($B1057,PERSONAL!$A$2:$A$80,0)),""))</f>
        <v/>
      </c>
      <c r="G1057" s="34">
        <f>IF($A1057="","",CHOOSE(WEEKDAY($A1057,2),"LUNES","MARTES","MIÉRCOLES","JUEVES","VIERNES","SÁBADO","DOMINGO"))</f>
        <v/>
      </c>
      <c r="H1057" s="34">
        <f>IF($A1057="","",CHOOSE(MONTH($A1057),"ENERO","FEBRERO","MARZO","ABRIL","MAYO","JUNIO","JULIO","AGOSTO","SEPTIEMBRE","OCTUBRE","NOVIEMBRE","DICIEMBRE"))</f>
        <v/>
      </c>
      <c r="I1057" s="34">
        <f>IF($A1057="","",IF(OR($G1057="SÁBADO",$G1057="DOMINGO"),"FIN","LV"))</f>
        <v/>
      </c>
      <c r="J1057" s="34">
        <f>IF(OR($A1057="",$B1057=""),"",IF($L1057&lt;&gt;"",UPPER($L1057),IF($C1057="","FALTA",IFERROR(IF($C1057&gt;=$O1057,"ROJO FUERTE",IF($C1057&gt;=$N1057,"ROJO",IF($C1057&gt;=$M1057,"AMARILLO","VERDE"))),"REVISAR"))))</f>
        <v/>
      </c>
      <c r="K1057" s="36">
        <f>IF(OR($C1057="",$D1057=""),"",IF($D1057&gt;=$C1057,($D1057-$C1057)*24,(1-$C1057+$D1057)*24))</f>
        <v/>
      </c>
      <c r="L1057" s="34" t="n"/>
      <c r="M1057" s="53">
        <f t="array" ref="M1057">IFERROR(INDEX(EXCEPCIONES_FECHA!$D$2:$D$201,MATCH(1,(EXCEPCIONES_FECHA!$A$2:$A$201=$A1057)*(EXCEPCIONES_FECHA!$B$2:$B$201=$B1057),0)),IFERROR(INDEX(EXCEPCIONES_FECHA!$D$2:$D$201,MATCH(1,(EXCEPCIONES_FECHA!$A$2:$A$201=$A1057)*(EXCEPCIONES_FECHA!$B$2:$B$201=""),0)),IFERROR(INDEX(IF($I1057="FIN",HISTORIAL_HORARIOS!$J$2:$J$201,HISTORIAL_HORARIOS!$F$2:$F$201),MATCH(1,(HISTORIAL_HORARIOS!$A$2:$A$201=$B1057)*(HISTORIAL_HORARIOS!$C$2:$C$201&lt;=$A1057)*(HISTORIAL_HORARIOS!$D$2:$D$201&gt;=$A1057),0)),INDEX(IF($I1057="FIN",PERSONAL!$J$2:$J$80,PERSONAL!$F$2:$F$80),MATCH($B1057,PERSONAL!$A$2:$A$80,0)))))</f>
        <v/>
      </c>
      <c r="N1057" s="53">
        <f t="array" ref="N1057">IFERROR(INDEX(EXCEPCIONES_FECHA!$E$2:$E$201,MATCH(1,(EXCEPCIONES_FECHA!$A$2:$A$201=$A1057)*(EXCEPCIONES_FECHA!$B$2:$B$201=$B1057),0)),IFERROR(INDEX(EXCEPCIONES_FECHA!$E$2:$E$201,MATCH(1,(EXCEPCIONES_FECHA!$A$2:$A$201=$A1057)*(EXCEPCIONES_FECHA!$B$2:$B$201=""),0)),IFERROR(INDEX(IF($I1057="FIN",HISTORIAL_HORARIOS!$K$2:$K$201,HISTORIAL_HORARIOS!$G$2:$G$201),MATCH(1,(HISTORIAL_HORARIOS!$A$2:$A$201=$B1057)*(HISTORIAL_HORARIOS!$C$2:$C$201&lt;=$A1057)*(HISTORIAL_HORARIOS!$D$2:$D$201&gt;=$A1057),0)),INDEX(IF($I1057="FIN",PERSONAL!$K$2:$K$80,PERSONAL!$G$2:$G$80),MATCH($B1057,PERSONAL!$A$2:$A$80,0)))))</f>
        <v/>
      </c>
      <c r="O1057" s="53">
        <f t="array" ref="O1057">IFERROR(INDEX(EXCEPCIONES_FECHA!$F$2:$F$201,MATCH(1,(EXCEPCIONES_FECHA!$A$2:$A$201=$A1057)*(EXCEPCIONES_FECHA!$B$2:$B$201=$B1057),0)),IFERROR(INDEX(EXCEPCIONES_FECHA!$F$2:$F$201,MATCH(1,(EXCEPCIONES_FECHA!$A$2:$A$201=$A1057)*(EXCEPCIONES_FECHA!$B$2:$B$201=""),0)),IFERROR(INDEX(IF($I1057="FIN",HISTORIAL_HORARIOS!$L$2:$L$201,HISTORIAL_HORARIOS!$H$2:$H$201),MATCH(1,(HISTORIAL_HORARIOS!$A$2:$A$201=$B1057)*(HISTORIAL_HORARIOS!$C$2:$C$201&lt;=$A1057)*(HISTORIAL_HORARIOS!$D$2:$D$201&gt;=$A1057),0)),INDEX(IF($I1057="FIN",PERSONAL!$L$2:$L$80,PERSONAL!$H$2:$H$80),MATCH($B1057,PERSONAL!$A$2:$A$80,0)))))</f>
        <v/>
      </c>
    </row>
    <row r="1058" ht="15" customHeight="1" s="58">
      <c r="A1058" s="40" t="n"/>
      <c r="B1058" s="38" t="n"/>
      <c r="C1058" s="40" t="n"/>
      <c r="D1058" s="40" t="n"/>
      <c r="E1058" s="34">
        <f t="array" ref="E1058">IF($B1058="","",IFERROR(INDEX(PERSONAL!$B$2:$B$80,MATCH($B1058,PERSONAL!$A$2:$A$80,0)),"NO EXISTE"))</f>
        <v/>
      </c>
      <c r="F1058" s="34">
        <f t="array" ref="F1058">IF($B1058="","",IFERROR(INDEX(PERSONAL!$C$2:$C$80,MATCH($B1058,PERSONAL!$A$2:$A$80,0)),""))</f>
        <v/>
      </c>
      <c r="G1058" s="34">
        <f>IF($A1058="","",CHOOSE(WEEKDAY($A1058,2),"LUNES","MARTES","MIÉRCOLES","JUEVES","VIERNES","SÁBADO","DOMINGO"))</f>
        <v/>
      </c>
      <c r="H1058" s="34">
        <f>IF($A1058="","",CHOOSE(MONTH($A1058),"ENERO","FEBRERO","MARZO","ABRIL","MAYO","JUNIO","JULIO","AGOSTO","SEPTIEMBRE","OCTUBRE","NOVIEMBRE","DICIEMBRE"))</f>
        <v/>
      </c>
      <c r="I1058" s="34">
        <f>IF($A1058="","",IF(OR($G1058="SÁBADO",$G1058="DOMINGO"),"FIN","LV"))</f>
        <v/>
      </c>
      <c r="J1058" s="34">
        <f>IF(OR($A1058="",$B1058=""),"",IF($L1058&lt;&gt;"",UPPER($L1058),IF($C1058="","FALTA",IFERROR(IF($C1058&gt;=$O1058,"ROJO FUERTE",IF($C1058&gt;=$N1058,"ROJO",IF($C1058&gt;=$M1058,"AMARILLO","VERDE"))),"REVISAR"))))</f>
        <v/>
      </c>
      <c r="K1058" s="36">
        <f>IF(OR($C1058="",$D1058=""),"",IF($D1058&gt;=$C1058,($D1058-$C1058)*24,(1-$C1058+$D1058)*24))</f>
        <v/>
      </c>
      <c r="L1058" s="34" t="n"/>
      <c r="M1058" s="53">
        <f t="array" ref="M1058">IFERROR(INDEX(EXCEPCIONES_FECHA!$D$2:$D$201,MATCH(1,(EXCEPCIONES_FECHA!$A$2:$A$201=$A1058)*(EXCEPCIONES_FECHA!$B$2:$B$201=$B1058),0)),IFERROR(INDEX(EXCEPCIONES_FECHA!$D$2:$D$201,MATCH(1,(EXCEPCIONES_FECHA!$A$2:$A$201=$A1058)*(EXCEPCIONES_FECHA!$B$2:$B$201=""),0)),IFERROR(INDEX(IF($I1058="FIN",HISTORIAL_HORARIOS!$J$2:$J$201,HISTORIAL_HORARIOS!$F$2:$F$201),MATCH(1,(HISTORIAL_HORARIOS!$A$2:$A$201=$B1058)*(HISTORIAL_HORARIOS!$C$2:$C$201&lt;=$A1058)*(HISTORIAL_HORARIOS!$D$2:$D$201&gt;=$A1058),0)),INDEX(IF($I1058="FIN",PERSONAL!$J$2:$J$80,PERSONAL!$F$2:$F$80),MATCH($B1058,PERSONAL!$A$2:$A$80,0)))))</f>
        <v/>
      </c>
      <c r="N1058" s="53">
        <f t="array" ref="N1058">IFERROR(INDEX(EXCEPCIONES_FECHA!$E$2:$E$201,MATCH(1,(EXCEPCIONES_FECHA!$A$2:$A$201=$A1058)*(EXCEPCIONES_FECHA!$B$2:$B$201=$B1058),0)),IFERROR(INDEX(EXCEPCIONES_FECHA!$E$2:$E$201,MATCH(1,(EXCEPCIONES_FECHA!$A$2:$A$201=$A1058)*(EXCEPCIONES_FECHA!$B$2:$B$201=""),0)),IFERROR(INDEX(IF($I1058="FIN",HISTORIAL_HORARIOS!$K$2:$K$201,HISTORIAL_HORARIOS!$G$2:$G$201),MATCH(1,(HISTORIAL_HORARIOS!$A$2:$A$201=$B1058)*(HISTORIAL_HORARIOS!$C$2:$C$201&lt;=$A1058)*(HISTORIAL_HORARIOS!$D$2:$D$201&gt;=$A1058),0)),INDEX(IF($I1058="FIN",PERSONAL!$K$2:$K$80,PERSONAL!$G$2:$G$80),MATCH($B1058,PERSONAL!$A$2:$A$80,0)))))</f>
        <v/>
      </c>
      <c r="O1058" s="53">
        <f t="array" ref="O1058">IFERROR(INDEX(EXCEPCIONES_FECHA!$F$2:$F$201,MATCH(1,(EXCEPCIONES_FECHA!$A$2:$A$201=$A1058)*(EXCEPCIONES_FECHA!$B$2:$B$201=$B1058),0)),IFERROR(INDEX(EXCEPCIONES_FECHA!$F$2:$F$201,MATCH(1,(EXCEPCIONES_FECHA!$A$2:$A$201=$A1058)*(EXCEPCIONES_FECHA!$B$2:$B$201=""),0)),IFERROR(INDEX(IF($I1058="FIN",HISTORIAL_HORARIOS!$L$2:$L$201,HISTORIAL_HORARIOS!$H$2:$H$201),MATCH(1,(HISTORIAL_HORARIOS!$A$2:$A$201=$B1058)*(HISTORIAL_HORARIOS!$C$2:$C$201&lt;=$A1058)*(HISTORIAL_HORARIOS!$D$2:$D$201&gt;=$A1058),0)),INDEX(IF($I1058="FIN",PERSONAL!$L$2:$L$80,PERSONAL!$H$2:$H$80),MATCH($B1058,PERSONAL!$A$2:$A$80,0)))))</f>
        <v/>
      </c>
    </row>
    <row r="1059" ht="15" customHeight="1" s="58">
      <c r="A1059" s="40" t="n"/>
      <c r="B1059" s="38" t="n"/>
      <c r="C1059" s="40" t="n"/>
      <c r="D1059" s="40" t="n"/>
      <c r="E1059" s="34">
        <f t="array" ref="E1059">IF($B1059="","",IFERROR(INDEX(PERSONAL!$B$2:$B$80,MATCH($B1059,PERSONAL!$A$2:$A$80,0)),"NO EXISTE"))</f>
        <v/>
      </c>
      <c r="F1059" s="34">
        <f t="array" ref="F1059">IF($B1059="","",IFERROR(INDEX(PERSONAL!$C$2:$C$80,MATCH($B1059,PERSONAL!$A$2:$A$80,0)),""))</f>
        <v/>
      </c>
      <c r="G1059" s="34">
        <f>IF($A1059="","",CHOOSE(WEEKDAY($A1059,2),"LUNES","MARTES","MIÉRCOLES","JUEVES","VIERNES","SÁBADO","DOMINGO"))</f>
        <v/>
      </c>
      <c r="H1059" s="34">
        <f>IF($A1059="","",CHOOSE(MONTH($A1059),"ENERO","FEBRERO","MARZO","ABRIL","MAYO","JUNIO","JULIO","AGOSTO","SEPTIEMBRE","OCTUBRE","NOVIEMBRE","DICIEMBRE"))</f>
        <v/>
      </c>
      <c r="I1059" s="34">
        <f>IF($A1059="","",IF(OR($G1059="SÁBADO",$G1059="DOMINGO"),"FIN","LV"))</f>
        <v/>
      </c>
      <c r="J1059" s="34">
        <f>IF(OR($A1059="",$B1059=""),"",IF($L1059&lt;&gt;"",UPPER($L1059),IF($C1059="","FALTA",IFERROR(IF($C1059&gt;=$O1059,"ROJO FUERTE",IF($C1059&gt;=$N1059,"ROJO",IF($C1059&gt;=$M1059,"AMARILLO","VERDE"))),"REVISAR"))))</f>
        <v/>
      </c>
      <c r="K1059" s="36">
        <f>IF(OR($C1059="",$D1059=""),"",IF($D1059&gt;=$C1059,($D1059-$C1059)*24,(1-$C1059+$D1059)*24))</f>
        <v/>
      </c>
      <c r="L1059" s="34" t="n"/>
      <c r="M1059" s="53">
        <f t="array" ref="M1059">IFERROR(INDEX(EXCEPCIONES_FECHA!$D$2:$D$201,MATCH(1,(EXCEPCIONES_FECHA!$A$2:$A$201=$A1059)*(EXCEPCIONES_FECHA!$B$2:$B$201=$B1059),0)),IFERROR(INDEX(EXCEPCIONES_FECHA!$D$2:$D$201,MATCH(1,(EXCEPCIONES_FECHA!$A$2:$A$201=$A1059)*(EXCEPCIONES_FECHA!$B$2:$B$201=""),0)),IFERROR(INDEX(IF($I1059="FIN",HISTORIAL_HORARIOS!$J$2:$J$201,HISTORIAL_HORARIOS!$F$2:$F$201),MATCH(1,(HISTORIAL_HORARIOS!$A$2:$A$201=$B1059)*(HISTORIAL_HORARIOS!$C$2:$C$201&lt;=$A1059)*(HISTORIAL_HORARIOS!$D$2:$D$201&gt;=$A1059),0)),INDEX(IF($I1059="FIN",PERSONAL!$J$2:$J$80,PERSONAL!$F$2:$F$80),MATCH($B1059,PERSONAL!$A$2:$A$80,0)))))</f>
        <v/>
      </c>
      <c r="N1059" s="53">
        <f t="array" ref="N1059">IFERROR(INDEX(EXCEPCIONES_FECHA!$E$2:$E$201,MATCH(1,(EXCEPCIONES_FECHA!$A$2:$A$201=$A1059)*(EXCEPCIONES_FECHA!$B$2:$B$201=$B1059),0)),IFERROR(INDEX(EXCEPCIONES_FECHA!$E$2:$E$201,MATCH(1,(EXCEPCIONES_FECHA!$A$2:$A$201=$A1059)*(EXCEPCIONES_FECHA!$B$2:$B$201=""),0)),IFERROR(INDEX(IF($I1059="FIN",HISTORIAL_HORARIOS!$K$2:$K$201,HISTORIAL_HORARIOS!$G$2:$G$201),MATCH(1,(HISTORIAL_HORARIOS!$A$2:$A$201=$B1059)*(HISTORIAL_HORARIOS!$C$2:$C$201&lt;=$A1059)*(HISTORIAL_HORARIOS!$D$2:$D$201&gt;=$A1059),0)),INDEX(IF($I1059="FIN",PERSONAL!$K$2:$K$80,PERSONAL!$G$2:$G$80),MATCH($B1059,PERSONAL!$A$2:$A$80,0)))))</f>
        <v/>
      </c>
      <c r="O1059" s="53">
        <f t="array" ref="O1059">IFERROR(INDEX(EXCEPCIONES_FECHA!$F$2:$F$201,MATCH(1,(EXCEPCIONES_FECHA!$A$2:$A$201=$A1059)*(EXCEPCIONES_FECHA!$B$2:$B$201=$B1059),0)),IFERROR(INDEX(EXCEPCIONES_FECHA!$F$2:$F$201,MATCH(1,(EXCEPCIONES_FECHA!$A$2:$A$201=$A1059)*(EXCEPCIONES_FECHA!$B$2:$B$201=""),0)),IFERROR(INDEX(IF($I1059="FIN",HISTORIAL_HORARIOS!$L$2:$L$201,HISTORIAL_HORARIOS!$H$2:$H$201),MATCH(1,(HISTORIAL_HORARIOS!$A$2:$A$201=$B1059)*(HISTORIAL_HORARIOS!$C$2:$C$201&lt;=$A1059)*(HISTORIAL_HORARIOS!$D$2:$D$201&gt;=$A1059),0)),INDEX(IF($I1059="FIN",PERSONAL!$L$2:$L$80,PERSONAL!$H$2:$H$80),MATCH($B1059,PERSONAL!$A$2:$A$80,0)))))</f>
        <v/>
      </c>
    </row>
    <row r="1060" ht="15" customHeight="1" s="58">
      <c r="A1060" s="40" t="n"/>
      <c r="B1060" s="38" t="n"/>
      <c r="C1060" s="40" t="n"/>
      <c r="D1060" s="40" t="n"/>
      <c r="E1060" s="34">
        <f t="array" ref="E1060">IF($B1060="","",IFERROR(INDEX(PERSONAL!$B$2:$B$80,MATCH($B1060,PERSONAL!$A$2:$A$80,0)),"NO EXISTE"))</f>
        <v/>
      </c>
      <c r="F1060" s="34">
        <f t="array" ref="F1060">IF($B1060="","",IFERROR(INDEX(PERSONAL!$C$2:$C$80,MATCH($B1060,PERSONAL!$A$2:$A$80,0)),""))</f>
        <v/>
      </c>
      <c r="G1060" s="34">
        <f>IF($A1060="","",CHOOSE(WEEKDAY($A1060,2),"LUNES","MARTES","MIÉRCOLES","JUEVES","VIERNES","SÁBADO","DOMINGO"))</f>
        <v/>
      </c>
      <c r="H1060" s="34">
        <f>IF($A1060="","",CHOOSE(MONTH($A1060),"ENERO","FEBRERO","MARZO","ABRIL","MAYO","JUNIO","JULIO","AGOSTO","SEPTIEMBRE","OCTUBRE","NOVIEMBRE","DICIEMBRE"))</f>
        <v/>
      </c>
      <c r="I1060" s="34">
        <f>IF($A1060="","",IF(OR($G1060="SÁBADO",$G1060="DOMINGO"),"FIN","LV"))</f>
        <v/>
      </c>
      <c r="J1060" s="34">
        <f>IF(OR($A1060="",$B1060=""),"",IF($L1060&lt;&gt;"",UPPER($L1060),IF($C1060="","FALTA",IFERROR(IF($C1060&gt;=$O1060,"ROJO FUERTE",IF($C1060&gt;=$N1060,"ROJO",IF($C1060&gt;=$M1060,"AMARILLO","VERDE"))),"REVISAR"))))</f>
        <v/>
      </c>
      <c r="K1060" s="36">
        <f>IF(OR($C1060="",$D1060=""),"",IF($D1060&gt;=$C1060,($D1060-$C1060)*24,(1-$C1060+$D1060)*24))</f>
        <v/>
      </c>
      <c r="L1060" s="34" t="n"/>
      <c r="M1060" s="53">
        <f t="array" ref="M1060">IFERROR(INDEX(EXCEPCIONES_FECHA!$D$2:$D$201,MATCH(1,(EXCEPCIONES_FECHA!$A$2:$A$201=$A1060)*(EXCEPCIONES_FECHA!$B$2:$B$201=$B1060),0)),IFERROR(INDEX(EXCEPCIONES_FECHA!$D$2:$D$201,MATCH(1,(EXCEPCIONES_FECHA!$A$2:$A$201=$A1060)*(EXCEPCIONES_FECHA!$B$2:$B$201=""),0)),IFERROR(INDEX(IF($I1060="FIN",HISTORIAL_HORARIOS!$J$2:$J$201,HISTORIAL_HORARIOS!$F$2:$F$201),MATCH(1,(HISTORIAL_HORARIOS!$A$2:$A$201=$B1060)*(HISTORIAL_HORARIOS!$C$2:$C$201&lt;=$A1060)*(HISTORIAL_HORARIOS!$D$2:$D$201&gt;=$A1060),0)),INDEX(IF($I1060="FIN",PERSONAL!$J$2:$J$80,PERSONAL!$F$2:$F$80),MATCH($B1060,PERSONAL!$A$2:$A$80,0)))))</f>
        <v/>
      </c>
      <c r="N1060" s="53">
        <f t="array" ref="N1060">IFERROR(INDEX(EXCEPCIONES_FECHA!$E$2:$E$201,MATCH(1,(EXCEPCIONES_FECHA!$A$2:$A$201=$A1060)*(EXCEPCIONES_FECHA!$B$2:$B$201=$B1060),0)),IFERROR(INDEX(EXCEPCIONES_FECHA!$E$2:$E$201,MATCH(1,(EXCEPCIONES_FECHA!$A$2:$A$201=$A1060)*(EXCEPCIONES_FECHA!$B$2:$B$201=""),0)),IFERROR(INDEX(IF($I1060="FIN",HISTORIAL_HORARIOS!$K$2:$K$201,HISTORIAL_HORARIOS!$G$2:$G$201),MATCH(1,(HISTORIAL_HORARIOS!$A$2:$A$201=$B1060)*(HISTORIAL_HORARIOS!$C$2:$C$201&lt;=$A1060)*(HISTORIAL_HORARIOS!$D$2:$D$201&gt;=$A1060),0)),INDEX(IF($I1060="FIN",PERSONAL!$K$2:$K$80,PERSONAL!$G$2:$G$80),MATCH($B1060,PERSONAL!$A$2:$A$80,0)))))</f>
        <v/>
      </c>
      <c r="O1060" s="53">
        <f t="array" ref="O1060">IFERROR(INDEX(EXCEPCIONES_FECHA!$F$2:$F$201,MATCH(1,(EXCEPCIONES_FECHA!$A$2:$A$201=$A1060)*(EXCEPCIONES_FECHA!$B$2:$B$201=$B1060),0)),IFERROR(INDEX(EXCEPCIONES_FECHA!$F$2:$F$201,MATCH(1,(EXCEPCIONES_FECHA!$A$2:$A$201=$A1060)*(EXCEPCIONES_FECHA!$B$2:$B$201=""),0)),IFERROR(INDEX(IF($I1060="FIN",HISTORIAL_HORARIOS!$L$2:$L$201,HISTORIAL_HORARIOS!$H$2:$H$201),MATCH(1,(HISTORIAL_HORARIOS!$A$2:$A$201=$B1060)*(HISTORIAL_HORARIOS!$C$2:$C$201&lt;=$A1060)*(HISTORIAL_HORARIOS!$D$2:$D$201&gt;=$A1060),0)),INDEX(IF($I1060="FIN",PERSONAL!$L$2:$L$80,PERSONAL!$H$2:$H$80),MATCH($B1060,PERSONAL!$A$2:$A$80,0)))))</f>
        <v/>
      </c>
    </row>
    <row r="1061" ht="15" customHeight="1" s="58">
      <c r="A1061" s="40" t="n"/>
      <c r="B1061" s="38" t="n"/>
      <c r="C1061" s="40" t="n"/>
      <c r="D1061" s="40" t="n"/>
      <c r="E1061" s="34">
        <f t="array" ref="E1061">IF($B1061="","",IFERROR(INDEX(PERSONAL!$B$2:$B$80,MATCH($B1061,PERSONAL!$A$2:$A$80,0)),"NO EXISTE"))</f>
        <v/>
      </c>
      <c r="F1061" s="34">
        <f t="array" ref="F1061">IF($B1061="","",IFERROR(INDEX(PERSONAL!$C$2:$C$80,MATCH($B1061,PERSONAL!$A$2:$A$80,0)),""))</f>
        <v/>
      </c>
      <c r="G1061" s="34">
        <f>IF($A1061="","",CHOOSE(WEEKDAY($A1061,2),"LUNES","MARTES","MIÉRCOLES","JUEVES","VIERNES","SÁBADO","DOMINGO"))</f>
        <v/>
      </c>
      <c r="H1061" s="34">
        <f>IF($A1061="","",CHOOSE(MONTH($A1061),"ENERO","FEBRERO","MARZO","ABRIL","MAYO","JUNIO","JULIO","AGOSTO","SEPTIEMBRE","OCTUBRE","NOVIEMBRE","DICIEMBRE"))</f>
        <v/>
      </c>
      <c r="I1061" s="34">
        <f>IF($A1061="","",IF(OR($G1061="SÁBADO",$G1061="DOMINGO"),"FIN","LV"))</f>
        <v/>
      </c>
      <c r="J1061" s="34">
        <f>IF(OR($A1061="",$B1061=""),"",IF($L1061&lt;&gt;"",UPPER($L1061),IF($C1061="","FALTA",IFERROR(IF($C1061&gt;=$O1061,"ROJO FUERTE",IF($C1061&gt;=$N1061,"ROJO",IF($C1061&gt;=$M1061,"AMARILLO","VERDE"))),"REVISAR"))))</f>
        <v/>
      </c>
      <c r="K1061" s="36">
        <f>IF(OR($C1061="",$D1061=""),"",IF($D1061&gt;=$C1061,($D1061-$C1061)*24,(1-$C1061+$D1061)*24))</f>
        <v/>
      </c>
      <c r="L1061" s="34" t="n"/>
      <c r="M1061" s="53">
        <f t="array" ref="M1061">IFERROR(INDEX(EXCEPCIONES_FECHA!$D$2:$D$201,MATCH(1,(EXCEPCIONES_FECHA!$A$2:$A$201=$A1061)*(EXCEPCIONES_FECHA!$B$2:$B$201=$B1061),0)),IFERROR(INDEX(EXCEPCIONES_FECHA!$D$2:$D$201,MATCH(1,(EXCEPCIONES_FECHA!$A$2:$A$201=$A1061)*(EXCEPCIONES_FECHA!$B$2:$B$201=""),0)),IFERROR(INDEX(IF($I1061="FIN",HISTORIAL_HORARIOS!$J$2:$J$201,HISTORIAL_HORARIOS!$F$2:$F$201),MATCH(1,(HISTORIAL_HORARIOS!$A$2:$A$201=$B1061)*(HISTORIAL_HORARIOS!$C$2:$C$201&lt;=$A1061)*(HISTORIAL_HORARIOS!$D$2:$D$201&gt;=$A1061),0)),INDEX(IF($I1061="FIN",PERSONAL!$J$2:$J$80,PERSONAL!$F$2:$F$80),MATCH($B1061,PERSONAL!$A$2:$A$80,0)))))</f>
        <v/>
      </c>
      <c r="N1061" s="53">
        <f t="array" ref="N1061">IFERROR(INDEX(EXCEPCIONES_FECHA!$E$2:$E$201,MATCH(1,(EXCEPCIONES_FECHA!$A$2:$A$201=$A1061)*(EXCEPCIONES_FECHA!$B$2:$B$201=$B1061),0)),IFERROR(INDEX(EXCEPCIONES_FECHA!$E$2:$E$201,MATCH(1,(EXCEPCIONES_FECHA!$A$2:$A$201=$A1061)*(EXCEPCIONES_FECHA!$B$2:$B$201=""),0)),IFERROR(INDEX(IF($I1061="FIN",HISTORIAL_HORARIOS!$K$2:$K$201,HISTORIAL_HORARIOS!$G$2:$G$201),MATCH(1,(HISTORIAL_HORARIOS!$A$2:$A$201=$B1061)*(HISTORIAL_HORARIOS!$C$2:$C$201&lt;=$A1061)*(HISTORIAL_HORARIOS!$D$2:$D$201&gt;=$A1061),0)),INDEX(IF($I1061="FIN",PERSONAL!$K$2:$K$80,PERSONAL!$G$2:$G$80),MATCH($B1061,PERSONAL!$A$2:$A$80,0)))))</f>
        <v/>
      </c>
      <c r="O1061" s="53">
        <f t="array" ref="O1061">IFERROR(INDEX(EXCEPCIONES_FECHA!$F$2:$F$201,MATCH(1,(EXCEPCIONES_FECHA!$A$2:$A$201=$A1061)*(EXCEPCIONES_FECHA!$B$2:$B$201=$B1061),0)),IFERROR(INDEX(EXCEPCIONES_FECHA!$F$2:$F$201,MATCH(1,(EXCEPCIONES_FECHA!$A$2:$A$201=$A1061)*(EXCEPCIONES_FECHA!$B$2:$B$201=""),0)),IFERROR(INDEX(IF($I1061="FIN",HISTORIAL_HORARIOS!$L$2:$L$201,HISTORIAL_HORARIOS!$H$2:$H$201),MATCH(1,(HISTORIAL_HORARIOS!$A$2:$A$201=$B1061)*(HISTORIAL_HORARIOS!$C$2:$C$201&lt;=$A1061)*(HISTORIAL_HORARIOS!$D$2:$D$201&gt;=$A1061),0)),INDEX(IF($I1061="FIN",PERSONAL!$L$2:$L$80,PERSONAL!$H$2:$H$80),MATCH($B1061,PERSONAL!$A$2:$A$80,0)))))</f>
        <v/>
      </c>
    </row>
    <row r="1062" ht="15" customHeight="1" s="58">
      <c r="A1062" s="40" t="n"/>
      <c r="B1062" s="38" t="n"/>
      <c r="C1062" s="40" t="n"/>
      <c r="D1062" s="40" t="n"/>
      <c r="E1062" s="34">
        <f t="array" ref="E1062">IF($B1062="","",IFERROR(INDEX(PERSONAL!$B$2:$B$80,MATCH($B1062,PERSONAL!$A$2:$A$80,0)),"NO EXISTE"))</f>
        <v/>
      </c>
      <c r="F1062" s="34">
        <f t="array" ref="F1062">IF($B1062="","",IFERROR(INDEX(PERSONAL!$C$2:$C$80,MATCH($B1062,PERSONAL!$A$2:$A$80,0)),""))</f>
        <v/>
      </c>
      <c r="G1062" s="34">
        <f>IF($A1062="","",CHOOSE(WEEKDAY($A1062,2),"LUNES","MARTES","MIÉRCOLES","JUEVES","VIERNES","SÁBADO","DOMINGO"))</f>
        <v/>
      </c>
      <c r="H1062" s="34">
        <f>IF($A1062="","",CHOOSE(MONTH($A1062),"ENERO","FEBRERO","MARZO","ABRIL","MAYO","JUNIO","JULIO","AGOSTO","SEPTIEMBRE","OCTUBRE","NOVIEMBRE","DICIEMBRE"))</f>
        <v/>
      </c>
      <c r="I1062" s="34">
        <f>IF($A1062="","",IF(OR($G1062="SÁBADO",$G1062="DOMINGO"),"FIN","LV"))</f>
        <v/>
      </c>
      <c r="J1062" s="34">
        <f>IF(OR($A1062="",$B1062=""),"",IF($L1062&lt;&gt;"",UPPER($L1062),IF($C1062="","FALTA",IFERROR(IF($C1062&gt;=$O1062,"ROJO FUERTE",IF($C1062&gt;=$N1062,"ROJO",IF($C1062&gt;=$M1062,"AMARILLO","VERDE"))),"REVISAR"))))</f>
        <v/>
      </c>
      <c r="K1062" s="36">
        <f>IF(OR($C1062="",$D1062=""),"",IF($D1062&gt;=$C1062,($D1062-$C1062)*24,(1-$C1062+$D1062)*24))</f>
        <v/>
      </c>
      <c r="L1062" s="34" t="n"/>
      <c r="M1062" s="53">
        <f t="array" ref="M1062">IFERROR(INDEX(EXCEPCIONES_FECHA!$D$2:$D$201,MATCH(1,(EXCEPCIONES_FECHA!$A$2:$A$201=$A1062)*(EXCEPCIONES_FECHA!$B$2:$B$201=$B1062),0)),IFERROR(INDEX(EXCEPCIONES_FECHA!$D$2:$D$201,MATCH(1,(EXCEPCIONES_FECHA!$A$2:$A$201=$A1062)*(EXCEPCIONES_FECHA!$B$2:$B$201=""),0)),IFERROR(INDEX(IF($I1062="FIN",HISTORIAL_HORARIOS!$J$2:$J$201,HISTORIAL_HORARIOS!$F$2:$F$201),MATCH(1,(HISTORIAL_HORARIOS!$A$2:$A$201=$B1062)*(HISTORIAL_HORARIOS!$C$2:$C$201&lt;=$A1062)*(HISTORIAL_HORARIOS!$D$2:$D$201&gt;=$A1062),0)),INDEX(IF($I1062="FIN",PERSONAL!$J$2:$J$80,PERSONAL!$F$2:$F$80),MATCH($B1062,PERSONAL!$A$2:$A$80,0)))))</f>
        <v/>
      </c>
      <c r="N1062" s="53">
        <f t="array" ref="N1062">IFERROR(INDEX(EXCEPCIONES_FECHA!$E$2:$E$201,MATCH(1,(EXCEPCIONES_FECHA!$A$2:$A$201=$A1062)*(EXCEPCIONES_FECHA!$B$2:$B$201=$B1062),0)),IFERROR(INDEX(EXCEPCIONES_FECHA!$E$2:$E$201,MATCH(1,(EXCEPCIONES_FECHA!$A$2:$A$201=$A1062)*(EXCEPCIONES_FECHA!$B$2:$B$201=""),0)),IFERROR(INDEX(IF($I1062="FIN",HISTORIAL_HORARIOS!$K$2:$K$201,HISTORIAL_HORARIOS!$G$2:$G$201),MATCH(1,(HISTORIAL_HORARIOS!$A$2:$A$201=$B1062)*(HISTORIAL_HORARIOS!$C$2:$C$201&lt;=$A1062)*(HISTORIAL_HORARIOS!$D$2:$D$201&gt;=$A1062),0)),INDEX(IF($I1062="FIN",PERSONAL!$K$2:$K$80,PERSONAL!$G$2:$G$80),MATCH($B1062,PERSONAL!$A$2:$A$80,0)))))</f>
        <v/>
      </c>
      <c r="O1062" s="53">
        <f t="array" ref="O1062">IFERROR(INDEX(EXCEPCIONES_FECHA!$F$2:$F$201,MATCH(1,(EXCEPCIONES_FECHA!$A$2:$A$201=$A1062)*(EXCEPCIONES_FECHA!$B$2:$B$201=$B1062),0)),IFERROR(INDEX(EXCEPCIONES_FECHA!$F$2:$F$201,MATCH(1,(EXCEPCIONES_FECHA!$A$2:$A$201=$A1062)*(EXCEPCIONES_FECHA!$B$2:$B$201=""),0)),IFERROR(INDEX(IF($I1062="FIN",HISTORIAL_HORARIOS!$L$2:$L$201,HISTORIAL_HORARIOS!$H$2:$H$201),MATCH(1,(HISTORIAL_HORARIOS!$A$2:$A$201=$B1062)*(HISTORIAL_HORARIOS!$C$2:$C$201&lt;=$A1062)*(HISTORIAL_HORARIOS!$D$2:$D$201&gt;=$A1062),0)),INDEX(IF($I1062="FIN",PERSONAL!$L$2:$L$80,PERSONAL!$H$2:$H$80),MATCH($B1062,PERSONAL!$A$2:$A$80,0)))))</f>
        <v/>
      </c>
    </row>
    <row r="1063" ht="15" customHeight="1" s="58">
      <c r="A1063" s="40" t="n"/>
      <c r="B1063" s="38" t="n"/>
      <c r="C1063" s="40" t="n"/>
      <c r="D1063" s="40" t="n"/>
      <c r="E1063" s="34">
        <f t="array" ref="E1063">IF($B1063="","",IFERROR(INDEX(PERSONAL!$B$2:$B$80,MATCH($B1063,PERSONAL!$A$2:$A$80,0)),"NO EXISTE"))</f>
        <v/>
      </c>
      <c r="F1063" s="34">
        <f t="array" ref="F1063">IF($B1063="","",IFERROR(INDEX(PERSONAL!$C$2:$C$80,MATCH($B1063,PERSONAL!$A$2:$A$80,0)),""))</f>
        <v/>
      </c>
      <c r="G1063" s="34">
        <f>IF($A1063="","",CHOOSE(WEEKDAY($A1063,2),"LUNES","MARTES","MIÉRCOLES","JUEVES","VIERNES","SÁBADO","DOMINGO"))</f>
        <v/>
      </c>
      <c r="H1063" s="34">
        <f>IF($A1063="","",CHOOSE(MONTH($A1063),"ENERO","FEBRERO","MARZO","ABRIL","MAYO","JUNIO","JULIO","AGOSTO","SEPTIEMBRE","OCTUBRE","NOVIEMBRE","DICIEMBRE"))</f>
        <v/>
      </c>
      <c r="I1063" s="34">
        <f>IF($A1063="","",IF(OR($G1063="SÁBADO",$G1063="DOMINGO"),"FIN","LV"))</f>
        <v/>
      </c>
      <c r="J1063" s="34">
        <f>IF(OR($A1063="",$B1063=""),"",IF($L1063&lt;&gt;"",UPPER($L1063),IF($C1063="","FALTA",IFERROR(IF($C1063&gt;=$O1063,"ROJO FUERTE",IF($C1063&gt;=$N1063,"ROJO",IF($C1063&gt;=$M1063,"AMARILLO","VERDE"))),"REVISAR"))))</f>
        <v/>
      </c>
      <c r="K1063" s="36">
        <f>IF(OR($C1063="",$D1063=""),"",IF($D1063&gt;=$C1063,($D1063-$C1063)*24,(1-$C1063+$D1063)*24))</f>
        <v/>
      </c>
      <c r="L1063" s="34" t="n"/>
      <c r="M1063" s="53">
        <f t="array" ref="M1063">IFERROR(INDEX(EXCEPCIONES_FECHA!$D$2:$D$201,MATCH(1,(EXCEPCIONES_FECHA!$A$2:$A$201=$A1063)*(EXCEPCIONES_FECHA!$B$2:$B$201=$B1063),0)),IFERROR(INDEX(EXCEPCIONES_FECHA!$D$2:$D$201,MATCH(1,(EXCEPCIONES_FECHA!$A$2:$A$201=$A1063)*(EXCEPCIONES_FECHA!$B$2:$B$201=""),0)),IFERROR(INDEX(IF($I1063="FIN",HISTORIAL_HORARIOS!$J$2:$J$201,HISTORIAL_HORARIOS!$F$2:$F$201),MATCH(1,(HISTORIAL_HORARIOS!$A$2:$A$201=$B1063)*(HISTORIAL_HORARIOS!$C$2:$C$201&lt;=$A1063)*(HISTORIAL_HORARIOS!$D$2:$D$201&gt;=$A1063),0)),INDEX(IF($I1063="FIN",PERSONAL!$J$2:$J$80,PERSONAL!$F$2:$F$80),MATCH($B1063,PERSONAL!$A$2:$A$80,0)))))</f>
        <v/>
      </c>
      <c r="N1063" s="53">
        <f t="array" ref="N1063">IFERROR(INDEX(EXCEPCIONES_FECHA!$E$2:$E$201,MATCH(1,(EXCEPCIONES_FECHA!$A$2:$A$201=$A1063)*(EXCEPCIONES_FECHA!$B$2:$B$201=$B1063),0)),IFERROR(INDEX(EXCEPCIONES_FECHA!$E$2:$E$201,MATCH(1,(EXCEPCIONES_FECHA!$A$2:$A$201=$A1063)*(EXCEPCIONES_FECHA!$B$2:$B$201=""),0)),IFERROR(INDEX(IF($I1063="FIN",HISTORIAL_HORARIOS!$K$2:$K$201,HISTORIAL_HORARIOS!$G$2:$G$201),MATCH(1,(HISTORIAL_HORARIOS!$A$2:$A$201=$B1063)*(HISTORIAL_HORARIOS!$C$2:$C$201&lt;=$A1063)*(HISTORIAL_HORARIOS!$D$2:$D$201&gt;=$A1063),0)),INDEX(IF($I1063="FIN",PERSONAL!$K$2:$K$80,PERSONAL!$G$2:$G$80),MATCH($B1063,PERSONAL!$A$2:$A$80,0)))))</f>
        <v/>
      </c>
      <c r="O1063" s="53">
        <f t="array" ref="O1063">IFERROR(INDEX(EXCEPCIONES_FECHA!$F$2:$F$201,MATCH(1,(EXCEPCIONES_FECHA!$A$2:$A$201=$A1063)*(EXCEPCIONES_FECHA!$B$2:$B$201=$B1063),0)),IFERROR(INDEX(EXCEPCIONES_FECHA!$F$2:$F$201,MATCH(1,(EXCEPCIONES_FECHA!$A$2:$A$201=$A1063)*(EXCEPCIONES_FECHA!$B$2:$B$201=""),0)),IFERROR(INDEX(IF($I1063="FIN",HISTORIAL_HORARIOS!$L$2:$L$201,HISTORIAL_HORARIOS!$H$2:$H$201),MATCH(1,(HISTORIAL_HORARIOS!$A$2:$A$201=$B1063)*(HISTORIAL_HORARIOS!$C$2:$C$201&lt;=$A1063)*(HISTORIAL_HORARIOS!$D$2:$D$201&gt;=$A1063),0)),INDEX(IF($I1063="FIN",PERSONAL!$L$2:$L$80,PERSONAL!$H$2:$H$80),MATCH($B1063,PERSONAL!$A$2:$A$80,0)))))</f>
        <v/>
      </c>
    </row>
    <row r="1064" ht="15" customHeight="1" s="58">
      <c r="A1064" s="40" t="n"/>
      <c r="B1064" s="38" t="n"/>
      <c r="C1064" s="40" t="n"/>
      <c r="D1064" s="40" t="n"/>
      <c r="E1064" s="34">
        <f t="array" ref="E1064">IF($B1064="","",IFERROR(INDEX(PERSONAL!$B$2:$B$80,MATCH($B1064,PERSONAL!$A$2:$A$80,0)),"NO EXISTE"))</f>
        <v/>
      </c>
      <c r="F1064" s="34">
        <f t="array" ref="F1064">IF($B1064="","",IFERROR(INDEX(PERSONAL!$C$2:$C$80,MATCH($B1064,PERSONAL!$A$2:$A$80,0)),""))</f>
        <v/>
      </c>
      <c r="G1064" s="34">
        <f>IF($A1064="","",CHOOSE(WEEKDAY($A1064,2),"LUNES","MARTES","MIÉRCOLES","JUEVES","VIERNES","SÁBADO","DOMINGO"))</f>
        <v/>
      </c>
      <c r="H1064" s="34">
        <f>IF($A1064="","",CHOOSE(MONTH($A1064),"ENERO","FEBRERO","MARZO","ABRIL","MAYO","JUNIO","JULIO","AGOSTO","SEPTIEMBRE","OCTUBRE","NOVIEMBRE","DICIEMBRE"))</f>
        <v/>
      </c>
      <c r="I1064" s="34">
        <f>IF($A1064="","",IF(OR($G1064="SÁBADO",$G1064="DOMINGO"),"FIN","LV"))</f>
        <v/>
      </c>
      <c r="J1064" s="34">
        <f>IF(OR($A1064="",$B1064=""),"",IF($L1064&lt;&gt;"",UPPER($L1064),IF($C1064="","FALTA",IFERROR(IF($C1064&gt;=$O1064,"ROJO FUERTE",IF($C1064&gt;=$N1064,"ROJO",IF($C1064&gt;=$M1064,"AMARILLO","VERDE"))),"REVISAR"))))</f>
        <v/>
      </c>
      <c r="K1064" s="36">
        <f>IF(OR($C1064="",$D1064=""),"",IF($D1064&gt;=$C1064,($D1064-$C1064)*24,(1-$C1064+$D1064)*24))</f>
        <v/>
      </c>
      <c r="L1064" s="34" t="n"/>
      <c r="M1064" s="53">
        <f t="array" ref="M1064">IFERROR(INDEX(EXCEPCIONES_FECHA!$D$2:$D$201,MATCH(1,(EXCEPCIONES_FECHA!$A$2:$A$201=$A1064)*(EXCEPCIONES_FECHA!$B$2:$B$201=$B1064),0)),IFERROR(INDEX(EXCEPCIONES_FECHA!$D$2:$D$201,MATCH(1,(EXCEPCIONES_FECHA!$A$2:$A$201=$A1064)*(EXCEPCIONES_FECHA!$B$2:$B$201=""),0)),IFERROR(INDEX(IF($I1064="FIN",HISTORIAL_HORARIOS!$J$2:$J$201,HISTORIAL_HORARIOS!$F$2:$F$201),MATCH(1,(HISTORIAL_HORARIOS!$A$2:$A$201=$B1064)*(HISTORIAL_HORARIOS!$C$2:$C$201&lt;=$A1064)*(HISTORIAL_HORARIOS!$D$2:$D$201&gt;=$A1064),0)),INDEX(IF($I1064="FIN",PERSONAL!$J$2:$J$80,PERSONAL!$F$2:$F$80),MATCH($B1064,PERSONAL!$A$2:$A$80,0)))))</f>
        <v/>
      </c>
      <c r="N1064" s="53">
        <f t="array" ref="N1064">IFERROR(INDEX(EXCEPCIONES_FECHA!$E$2:$E$201,MATCH(1,(EXCEPCIONES_FECHA!$A$2:$A$201=$A1064)*(EXCEPCIONES_FECHA!$B$2:$B$201=$B1064),0)),IFERROR(INDEX(EXCEPCIONES_FECHA!$E$2:$E$201,MATCH(1,(EXCEPCIONES_FECHA!$A$2:$A$201=$A1064)*(EXCEPCIONES_FECHA!$B$2:$B$201=""),0)),IFERROR(INDEX(IF($I1064="FIN",HISTORIAL_HORARIOS!$K$2:$K$201,HISTORIAL_HORARIOS!$G$2:$G$201),MATCH(1,(HISTORIAL_HORARIOS!$A$2:$A$201=$B1064)*(HISTORIAL_HORARIOS!$C$2:$C$201&lt;=$A1064)*(HISTORIAL_HORARIOS!$D$2:$D$201&gt;=$A1064),0)),INDEX(IF($I1064="FIN",PERSONAL!$K$2:$K$80,PERSONAL!$G$2:$G$80),MATCH($B1064,PERSONAL!$A$2:$A$80,0)))))</f>
        <v/>
      </c>
      <c r="O1064" s="53">
        <f t="array" ref="O1064">IFERROR(INDEX(EXCEPCIONES_FECHA!$F$2:$F$201,MATCH(1,(EXCEPCIONES_FECHA!$A$2:$A$201=$A1064)*(EXCEPCIONES_FECHA!$B$2:$B$201=$B1064),0)),IFERROR(INDEX(EXCEPCIONES_FECHA!$F$2:$F$201,MATCH(1,(EXCEPCIONES_FECHA!$A$2:$A$201=$A1064)*(EXCEPCIONES_FECHA!$B$2:$B$201=""),0)),IFERROR(INDEX(IF($I1064="FIN",HISTORIAL_HORARIOS!$L$2:$L$201,HISTORIAL_HORARIOS!$H$2:$H$201),MATCH(1,(HISTORIAL_HORARIOS!$A$2:$A$201=$B1064)*(HISTORIAL_HORARIOS!$C$2:$C$201&lt;=$A1064)*(HISTORIAL_HORARIOS!$D$2:$D$201&gt;=$A1064),0)),INDEX(IF($I1064="FIN",PERSONAL!$L$2:$L$80,PERSONAL!$H$2:$H$80),MATCH($B1064,PERSONAL!$A$2:$A$80,0)))))</f>
        <v/>
      </c>
    </row>
    <row r="1065" ht="15" customHeight="1" s="58">
      <c r="A1065" s="40" t="n"/>
      <c r="B1065" s="38" t="n"/>
      <c r="C1065" s="40" t="n"/>
      <c r="D1065" s="40" t="n"/>
      <c r="E1065" s="34">
        <f t="array" ref="E1065">IF($B1065="","",IFERROR(INDEX(PERSONAL!$B$2:$B$80,MATCH($B1065,PERSONAL!$A$2:$A$80,0)),"NO EXISTE"))</f>
        <v/>
      </c>
      <c r="F1065" s="34">
        <f t="array" ref="F1065">IF($B1065="","",IFERROR(INDEX(PERSONAL!$C$2:$C$80,MATCH($B1065,PERSONAL!$A$2:$A$80,0)),""))</f>
        <v/>
      </c>
      <c r="G1065" s="34">
        <f>IF($A1065="","",CHOOSE(WEEKDAY($A1065,2),"LUNES","MARTES","MIÉRCOLES","JUEVES","VIERNES","SÁBADO","DOMINGO"))</f>
        <v/>
      </c>
      <c r="H1065" s="34">
        <f>IF($A1065="","",CHOOSE(MONTH($A1065),"ENERO","FEBRERO","MARZO","ABRIL","MAYO","JUNIO","JULIO","AGOSTO","SEPTIEMBRE","OCTUBRE","NOVIEMBRE","DICIEMBRE"))</f>
        <v/>
      </c>
      <c r="I1065" s="34">
        <f>IF($A1065="","",IF(OR($G1065="SÁBADO",$G1065="DOMINGO"),"FIN","LV"))</f>
        <v/>
      </c>
      <c r="J1065" s="34">
        <f>IF(OR($A1065="",$B1065=""),"",IF($L1065&lt;&gt;"",UPPER($L1065),IF($C1065="","FALTA",IFERROR(IF($C1065&gt;=$O1065,"ROJO FUERTE",IF($C1065&gt;=$N1065,"ROJO",IF($C1065&gt;=$M1065,"AMARILLO","VERDE"))),"REVISAR"))))</f>
        <v/>
      </c>
      <c r="K1065" s="36">
        <f>IF(OR($C1065="",$D1065=""),"",IF($D1065&gt;=$C1065,($D1065-$C1065)*24,(1-$C1065+$D1065)*24))</f>
        <v/>
      </c>
      <c r="L1065" s="34" t="n"/>
      <c r="M1065" s="53">
        <f t="array" ref="M1065">IFERROR(INDEX(EXCEPCIONES_FECHA!$D$2:$D$201,MATCH(1,(EXCEPCIONES_FECHA!$A$2:$A$201=$A1065)*(EXCEPCIONES_FECHA!$B$2:$B$201=$B1065),0)),IFERROR(INDEX(EXCEPCIONES_FECHA!$D$2:$D$201,MATCH(1,(EXCEPCIONES_FECHA!$A$2:$A$201=$A1065)*(EXCEPCIONES_FECHA!$B$2:$B$201=""),0)),IFERROR(INDEX(IF($I1065="FIN",HISTORIAL_HORARIOS!$J$2:$J$201,HISTORIAL_HORARIOS!$F$2:$F$201),MATCH(1,(HISTORIAL_HORARIOS!$A$2:$A$201=$B1065)*(HISTORIAL_HORARIOS!$C$2:$C$201&lt;=$A1065)*(HISTORIAL_HORARIOS!$D$2:$D$201&gt;=$A1065),0)),INDEX(IF($I1065="FIN",PERSONAL!$J$2:$J$80,PERSONAL!$F$2:$F$80),MATCH($B1065,PERSONAL!$A$2:$A$80,0)))))</f>
        <v/>
      </c>
      <c r="N1065" s="53">
        <f t="array" ref="N1065">IFERROR(INDEX(EXCEPCIONES_FECHA!$E$2:$E$201,MATCH(1,(EXCEPCIONES_FECHA!$A$2:$A$201=$A1065)*(EXCEPCIONES_FECHA!$B$2:$B$201=$B1065),0)),IFERROR(INDEX(EXCEPCIONES_FECHA!$E$2:$E$201,MATCH(1,(EXCEPCIONES_FECHA!$A$2:$A$201=$A1065)*(EXCEPCIONES_FECHA!$B$2:$B$201=""),0)),IFERROR(INDEX(IF($I1065="FIN",HISTORIAL_HORARIOS!$K$2:$K$201,HISTORIAL_HORARIOS!$G$2:$G$201),MATCH(1,(HISTORIAL_HORARIOS!$A$2:$A$201=$B1065)*(HISTORIAL_HORARIOS!$C$2:$C$201&lt;=$A1065)*(HISTORIAL_HORARIOS!$D$2:$D$201&gt;=$A1065),0)),INDEX(IF($I1065="FIN",PERSONAL!$K$2:$K$80,PERSONAL!$G$2:$G$80),MATCH($B1065,PERSONAL!$A$2:$A$80,0)))))</f>
        <v/>
      </c>
      <c r="O1065" s="53">
        <f t="array" ref="O1065">IFERROR(INDEX(EXCEPCIONES_FECHA!$F$2:$F$201,MATCH(1,(EXCEPCIONES_FECHA!$A$2:$A$201=$A1065)*(EXCEPCIONES_FECHA!$B$2:$B$201=$B1065),0)),IFERROR(INDEX(EXCEPCIONES_FECHA!$F$2:$F$201,MATCH(1,(EXCEPCIONES_FECHA!$A$2:$A$201=$A1065)*(EXCEPCIONES_FECHA!$B$2:$B$201=""),0)),IFERROR(INDEX(IF($I1065="FIN",HISTORIAL_HORARIOS!$L$2:$L$201,HISTORIAL_HORARIOS!$H$2:$H$201),MATCH(1,(HISTORIAL_HORARIOS!$A$2:$A$201=$B1065)*(HISTORIAL_HORARIOS!$C$2:$C$201&lt;=$A1065)*(HISTORIAL_HORARIOS!$D$2:$D$201&gt;=$A1065),0)),INDEX(IF($I1065="FIN",PERSONAL!$L$2:$L$80,PERSONAL!$H$2:$H$80),MATCH($B1065,PERSONAL!$A$2:$A$80,0)))))</f>
        <v/>
      </c>
    </row>
    <row r="1066" ht="15" customHeight="1" s="58">
      <c r="A1066" s="40" t="n"/>
      <c r="B1066" s="38" t="n"/>
      <c r="C1066" s="40" t="n"/>
      <c r="D1066" s="40" t="n"/>
      <c r="E1066" s="34">
        <f t="array" ref="E1066">IF($B1066="","",IFERROR(INDEX(PERSONAL!$B$2:$B$80,MATCH($B1066,PERSONAL!$A$2:$A$80,0)),"NO EXISTE"))</f>
        <v/>
      </c>
      <c r="F1066" s="34">
        <f t="array" ref="F1066">IF($B1066="","",IFERROR(INDEX(PERSONAL!$C$2:$C$80,MATCH($B1066,PERSONAL!$A$2:$A$80,0)),""))</f>
        <v/>
      </c>
      <c r="G1066" s="34">
        <f>IF($A1066="","",CHOOSE(WEEKDAY($A1066,2),"LUNES","MARTES","MIÉRCOLES","JUEVES","VIERNES","SÁBADO","DOMINGO"))</f>
        <v/>
      </c>
      <c r="H1066" s="34">
        <f>IF($A1066="","",CHOOSE(MONTH($A1066),"ENERO","FEBRERO","MARZO","ABRIL","MAYO","JUNIO","JULIO","AGOSTO","SEPTIEMBRE","OCTUBRE","NOVIEMBRE","DICIEMBRE"))</f>
        <v/>
      </c>
      <c r="I1066" s="34">
        <f>IF($A1066="","",IF(OR($G1066="SÁBADO",$G1066="DOMINGO"),"FIN","LV"))</f>
        <v/>
      </c>
      <c r="J1066" s="34">
        <f>IF(OR($A1066="",$B1066=""),"",IF($L1066&lt;&gt;"",UPPER($L1066),IF($C1066="","FALTA",IFERROR(IF($C1066&gt;=$O1066,"ROJO FUERTE",IF($C1066&gt;=$N1066,"ROJO",IF($C1066&gt;=$M1066,"AMARILLO","VERDE"))),"REVISAR"))))</f>
        <v/>
      </c>
      <c r="K1066" s="36">
        <f>IF(OR($C1066="",$D1066=""),"",IF($D1066&gt;=$C1066,($D1066-$C1066)*24,(1-$C1066+$D1066)*24))</f>
        <v/>
      </c>
      <c r="L1066" s="34" t="n"/>
      <c r="M1066" s="53">
        <f t="array" ref="M1066">IFERROR(INDEX(EXCEPCIONES_FECHA!$D$2:$D$201,MATCH(1,(EXCEPCIONES_FECHA!$A$2:$A$201=$A1066)*(EXCEPCIONES_FECHA!$B$2:$B$201=$B1066),0)),IFERROR(INDEX(EXCEPCIONES_FECHA!$D$2:$D$201,MATCH(1,(EXCEPCIONES_FECHA!$A$2:$A$201=$A1066)*(EXCEPCIONES_FECHA!$B$2:$B$201=""),0)),IFERROR(INDEX(IF($I1066="FIN",HISTORIAL_HORARIOS!$J$2:$J$201,HISTORIAL_HORARIOS!$F$2:$F$201),MATCH(1,(HISTORIAL_HORARIOS!$A$2:$A$201=$B1066)*(HISTORIAL_HORARIOS!$C$2:$C$201&lt;=$A1066)*(HISTORIAL_HORARIOS!$D$2:$D$201&gt;=$A1066),0)),INDEX(IF($I1066="FIN",PERSONAL!$J$2:$J$80,PERSONAL!$F$2:$F$80),MATCH($B1066,PERSONAL!$A$2:$A$80,0)))))</f>
        <v/>
      </c>
      <c r="N1066" s="53">
        <f t="array" ref="N1066">IFERROR(INDEX(EXCEPCIONES_FECHA!$E$2:$E$201,MATCH(1,(EXCEPCIONES_FECHA!$A$2:$A$201=$A1066)*(EXCEPCIONES_FECHA!$B$2:$B$201=$B1066),0)),IFERROR(INDEX(EXCEPCIONES_FECHA!$E$2:$E$201,MATCH(1,(EXCEPCIONES_FECHA!$A$2:$A$201=$A1066)*(EXCEPCIONES_FECHA!$B$2:$B$201=""),0)),IFERROR(INDEX(IF($I1066="FIN",HISTORIAL_HORARIOS!$K$2:$K$201,HISTORIAL_HORARIOS!$G$2:$G$201),MATCH(1,(HISTORIAL_HORARIOS!$A$2:$A$201=$B1066)*(HISTORIAL_HORARIOS!$C$2:$C$201&lt;=$A1066)*(HISTORIAL_HORARIOS!$D$2:$D$201&gt;=$A1066),0)),INDEX(IF($I1066="FIN",PERSONAL!$K$2:$K$80,PERSONAL!$G$2:$G$80),MATCH($B1066,PERSONAL!$A$2:$A$80,0)))))</f>
        <v/>
      </c>
      <c r="O1066" s="53">
        <f t="array" ref="O1066">IFERROR(INDEX(EXCEPCIONES_FECHA!$F$2:$F$201,MATCH(1,(EXCEPCIONES_FECHA!$A$2:$A$201=$A1066)*(EXCEPCIONES_FECHA!$B$2:$B$201=$B1066),0)),IFERROR(INDEX(EXCEPCIONES_FECHA!$F$2:$F$201,MATCH(1,(EXCEPCIONES_FECHA!$A$2:$A$201=$A1066)*(EXCEPCIONES_FECHA!$B$2:$B$201=""),0)),IFERROR(INDEX(IF($I1066="FIN",HISTORIAL_HORARIOS!$L$2:$L$201,HISTORIAL_HORARIOS!$H$2:$H$201),MATCH(1,(HISTORIAL_HORARIOS!$A$2:$A$201=$B1066)*(HISTORIAL_HORARIOS!$C$2:$C$201&lt;=$A1066)*(HISTORIAL_HORARIOS!$D$2:$D$201&gt;=$A1066),0)),INDEX(IF($I1066="FIN",PERSONAL!$L$2:$L$80,PERSONAL!$H$2:$H$80),MATCH($B1066,PERSONAL!$A$2:$A$80,0)))))</f>
        <v/>
      </c>
    </row>
    <row r="1067" ht="15" customHeight="1" s="58">
      <c r="A1067" s="40" t="n"/>
      <c r="B1067" s="38" t="n"/>
      <c r="C1067" s="40" t="n"/>
      <c r="D1067" s="40" t="n"/>
      <c r="E1067" s="34">
        <f t="array" ref="E1067">IF($B1067="","",IFERROR(INDEX(PERSONAL!$B$2:$B$80,MATCH($B1067,PERSONAL!$A$2:$A$80,0)),"NO EXISTE"))</f>
        <v/>
      </c>
      <c r="F1067" s="34">
        <f t="array" ref="F1067">IF($B1067="","",IFERROR(INDEX(PERSONAL!$C$2:$C$80,MATCH($B1067,PERSONAL!$A$2:$A$80,0)),""))</f>
        <v/>
      </c>
      <c r="G1067" s="34">
        <f>IF($A1067="","",CHOOSE(WEEKDAY($A1067,2),"LUNES","MARTES","MIÉRCOLES","JUEVES","VIERNES","SÁBADO","DOMINGO"))</f>
        <v/>
      </c>
      <c r="H1067" s="34">
        <f>IF($A1067="","",CHOOSE(MONTH($A1067),"ENERO","FEBRERO","MARZO","ABRIL","MAYO","JUNIO","JULIO","AGOSTO","SEPTIEMBRE","OCTUBRE","NOVIEMBRE","DICIEMBRE"))</f>
        <v/>
      </c>
      <c r="I1067" s="34">
        <f>IF($A1067="","",IF(OR($G1067="SÁBADO",$G1067="DOMINGO"),"FIN","LV"))</f>
        <v/>
      </c>
      <c r="J1067" s="34">
        <f>IF(OR($A1067="",$B1067=""),"",IF($L1067&lt;&gt;"",UPPER($L1067),IF($C1067="","FALTA",IFERROR(IF($C1067&gt;=$O1067,"ROJO FUERTE",IF($C1067&gt;=$N1067,"ROJO",IF($C1067&gt;=$M1067,"AMARILLO","VERDE"))),"REVISAR"))))</f>
        <v/>
      </c>
      <c r="K1067" s="36">
        <f>IF(OR($C1067="",$D1067=""),"",IF($D1067&gt;=$C1067,($D1067-$C1067)*24,(1-$C1067+$D1067)*24))</f>
        <v/>
      </c>
      <c r="L1067" s="34" t="n"/>
      <c r="M1067" s="53">
        <f t="array" ref="M1067">IFERROR(INDEX(EXCEPCIONES_FECHA!$D$2:$D$201,MATCH(1,(EXCEPCIONES_FECHA!$A$2:$A$201=$A1067)*(EXCEPCIONES_FECHA!$B$2:$B$201=$B1067),0)),IFERROR(INDEX(EXCEPCIONES_FECHA!$D$2:$D$201,MATCH(1,(EXCEPCIONES_FECHA!$A$2:$A$201=$A1067)*(EXCEPCIONES_FECHA!$B$2:$B$201=""),0)),IFERROR(INDEX(IF($I1067="FIN",HISTORIAL_HORARIOS!$J$2:$J$201,HISTORIAL_HORARIOS!$F$2:$F$201),MATCH(1,(HISTORIAL_HORARIOS!$A$2:$A$201=$B1067)*(HISTORIAL_HORARIOS!$C$2:$C$201&lt;=$A1067)*(HISTORIAL_HORARIOS!$D$2:$D$201&gt;=$A1067),0)),INDEX(IF($I1067="FIN",PERSONAL!$J$2:$J$80,PERSONAL!$F$2:$F$80),MATCH($B1067,PERSONAL!$A$2:$A$80,0)))))</f>
        <v/>
      </c>
      <c r="N1067" s="53">
        <f t="array" ref="N1067">IFERROR(INDEX(EXCEPCIONES_FECHA!$E$2:$E$201,MATCH(1,(EXCEPCIONES_FECHA!$A$2:$A$201=$A1067)*(EXCEPCIONES_FECHA!$B$2:$B$201=$B1067),0)),IFERROR(INDEX(EXCEPCIONES_FECHA!$E$2:$E$201,MATCH(1,(EXCEPCIONES_FECHA!$A$2:$A$201=$A1067)*(EXCEPCIONES_FECHA!$B$2:$B$201=""),0)),IFERROR(INDEX(IF($I1067="FIN",HISTORIAL_HORARIOS!$K$2:$K$201,HISTORIAL_HORARIOS!$G$2:$G$201),MATCH(1,(HISTORIAL_HORARIOS!$A$2:$A$201=$B1067)*(HISTORIAL_HORARIOS!$C$2:$C$201&lt;=$A1067)*(HISTORIAL_HORARIOS!$D$2:$D$201&gt;=$A1067),0)),INDEX(IF($I1067="FIN",PERSONAL!$K$2:$K$80,PERSONAL!$G$2:$G$80),MATCH($B1067,PERSONAL!$A$2:$A$80,0)))))</f>
        <v/>
      </c>
      <c r="O1067" s="53">
        <f t="array" ref="O1067">IFERROR(INDEX(EXCEPCIONES_FECHA!$F$2:$F$201,MATCH(1,(EXCEPCIONES_FECHA!$A$2:$A$201=$A1067)*(EXCEPCIONES_FECHA!$B$2:$B$201=$B1067),0)),IFERROR(INDEX(EXCEPCIONES_FECHA!$F$2:$F$201,MATCH(1,(EXCEPCIONES_FECHA!$A$2:$A$201=$A1067)*(EXCEPCIONES_FECHA!$B$2:$B$201=""),0)),IFERROR(INDEX(IF($I1067="FIN",HISTORIAL_HORARIOS!$L$2:$L$201,HISTORIAL_HORARIOS!$H$2:$H$201),MATCH(1,(HISTORIAL_HORARIOS!$A$2:$A$201=$B1067)*(HISTORIAL_HORARIOS!$C$2:$C$201&lt;=$A1067)*(HISTORIAL_HORARIOS!$D$2:$D$201&gt;=$A1067),0)),INDEX(IF($I1067="FIN",PERSONAL!$L$2:$L$80,PERSONAL!$H$2:$H$80),MATCH($B1067,PERSONAL!$A$2:$A$80,0)))))</f>
        <v/>
      </c>
    </row>
    <row r="1068" ht="15" customHeight="1" s="58">
      <c r="A1068" s="40" t="n"/>
      <c r="B1068" s="38" t="n"/>
      <c r="C1068" s="40" t="n"/>
      <c r="D1068" s="40" t="n"/>
      <c r="E1068" s="34">
        <f t="array" ref="E1068">IF($B1068="","",IFERROR(INDEX(PERSONAL!$B$2:$B$80,MATCH($B1068,PERSONAL!$A$2:$A$80,0)),"NO EXISTE"))</f>
        <v/>
      </c>
      <c r="F1068" s="34">
        <f t="array" ref="F1068">IF($B1068="","",IFERROR(INDEX(PERSONAL!$C$2:$C$80,MATCH($B1068,PERSONAL!$A$2:$A$80,0)),""))</f>
        <v/>
      </c>
      <c r="G1068" s="34">
        <f>IF($A1068="","",CHOOSE(WEEKDAY($A1068,2),"LUNES","MARTES","MIÉRCOLES","JUEVES","VIERNES","SÁBADO","DOMINGO"))</f>
        <v/>
      </c>
      <c r="H1068" s="34">
        <f>IF($A1068="","",CHOOSE(MONTH($A1068),"ENERO","FEBRERO","MARZO","ABRIL","MAYO","JUNIO","JULIO","AGOSTO","SEPTIEMBRE","OCTUBRE","NOVIEMBRE","DICIEMBRE"))</f>
        <v/>
      </c>
      <c r="I1068" s="34">
        <f>IF($A1068="","",IF(OR($G1068="SÁBADO",$G1068="DOMINGO"),"FIN","LV"))</f>
        <v/>
      </c>
      <c r="J1068" s="34">
        <f>IF(OR($A1068="",$B1068=""),"",IF($L1068&lt;&gt;"",UPPER($L1068),IF($C1068="","FALTA",IFERROR(IF($C1068&gt;=$O1068,"ROJO FUERTE",IF($C1068&gt;=$N1068,"ROJO",IF($C1068&gt;=$M1068,"AMARILLO","VERDE"))),"REVISAR"))))</f>
        <v/>
      </c>
      <c r="K1068" s="36">
        <f>IF(OR($C1068="",$D1068=""),"",IF($D1068&gt;=$C1068,($D1068-$C1068)*24,(1-$C1068+$D1068)*24))</f>
        <v/>
      </c>
      <c r="L1068" s="34" t="n"/>
      <c r="M1068" s="53">
        <f t="array" ref="M1068">IFERROR(INDEX(EXCEPCIONES_FECHA!$D$2:$D$201,MATCH(1,(EXCEPCIONES_FECHA!$A$2:$A$201=$A1068)*(EXCEPCIONES_FECHA!$B$2:$B$201=$B1068),0)),IFERROR(INDEX(EXCEPCIONES_FECHA!$D$2:$D$201,MATCH(1,(EXCEPCIONES_FECHA!$A$2:$A$201=$A1068)*(EXCEPCIONES_FECHA!$B$2:$B$201=""),0)),IFERROR(INDEX(IF($I1068="FIN",HISTORIAL_HORARIOS!$J$2:$J$201,HISTORIAL_HORARIOS!$F$2:$F$201),MATCH(1,(HISTORIAL_HORARIOS!$A$2:$A$201=$B1068)*(HISTORIAL_HORARIOS!$C$2:$C$201&lt;=$A1068)*(HISTORIAL_HORARIOS!$D$2:$D$201&gt;=$A1068),0)),INDEX(IF($I1068="FIN",PERSONAL!$J$2:$J$80,PERSONAL!$F$2:$F$80),MATCH($B1068,PERSONAL!$A$2:$A$80,0)))))</f>
        <v/>
      </c>
      <c r="N1068" s="53">
        <f t="array" ref="N1068">IFERROR(INDEX(EXCEPCIONES_FECHA!$E$2:$E$201,MATCH(1,(EXCEPCIONES_FECHA!$A$2:$A$201=$A1068)*(EXCEPCIONES_FECHA!$B$2:$B$201=$B1068),0)),IFERROR(INDEX(EXCEPCIONES_FECHA!$E$2:$E$201,MATCH(1,(EXCEPCIONES_FECHA!$A$2:$A$201=$A1068)*(EXCEPCIONES_FECHA!$B$2:$B$201=""),0)),IFERROR(INDEX(IF($I1068="FIN",HISTORIAL_HORARIOS!$K$2:$K$201,HISTORIAL_HORARIOS!$G$2:$G$201),MATCH(1,(HISTORIAL_HORARIOS!$A$2:$A$201=$B1068)*(HISTORIAL_HORARIOS!$C$2:$C$201&lt;=$A1068)*(HISTORIAL_HORARIOS!$D$2:$D$201&gt;=$A1068),0)),INDEX(IF($I1068="FIN",PERSONAL!$K$2:$K$80,PERSONAL!$G$2:$G$80),MATCH($B1068,PERSONAL!$A$2:$A$80,0)))))</f>
        <v/>
      </c>
      <c r="O1068" s="53">
        <f t="array" ref="O1068">IFERROR(INDEX(EXCEPCIONES_FECHA!$F$2:$F$201,MATCH(1,(EXCEPCIONES_FECHA!$A$2:$A$201=$A1068)*(EXCEPCIONES_FECHA!$B$2:$B$201=$B1068),0)),IFERROR(INDEX(EXCEPCIONES_FECHA!$F$2:$F$201,MATCH(1,(EXCEPCIONES_FECHA!$A$2:$A$201=$A1068)*(EXCEPCIONES_FECHA!$B$2:$B$201=""),0)),IFERROR(INDEX(IF($I1068="FIN",HISTORIAL_HORARIOS!$L$2:$L$201,HISTORIAL_HORARIOS!$H$2:$H$201),MATCH(1,(HISTORIAL_HORARIOS!$A$2:$A$201=$B1068)*(HISTORIAL_HORARIOS!$C$2:$C$201&lt;=$A1068)*(HISTORIAL_HORARIOS!$D$2:$D$201&gt;=$A1068),0)),INDEX(IF($I1068="FIN",PERSONAL!$L$2:$L$80,PERSONAL!$H$2:$H$80),MATCH($B1068,PERSONAL!$A$2:$A$80,0)))))</f>
        <v/>
      </c>
    </row>
    <row r="1069" ht="15" customHeight="1" s="58">
      <c r="A1069" s="40" t="n"/>
      <c r="B1069" s="38" t="n"/>
      <c r="C1069" s="40" t="n"/>
      <c r="D1069" s="40" t="n"/>
      <c r="E1069" s="34">
        <f t="array" ref="E1069">IF($B1069="","",IFERROR(INDEX(PERSONAL!$B$2:$B$80,MATCH($B1069,PERSONAL!$A$2:$A$80,0)),"NO EXISTE"))</f>
        <v/>
      </c>
      <c r="F1069" s="34">
        <f t="array" ref="F1069">IF($B1069="","",IFERROR(INDEX(PERSONAL!$C$2:$C$80,MATCH($B1069,PERSONAL!$A$2:$A$80,0)),""))</f>
        <v/>
      </c>
      <c r="G1069" s="34">
        <f>IF($A1069="","",CHOOSE(WEEKDAY($A1069,2),"LUNES","MARTES","MIÉRCOLES","JUEVES","VIERNES","SÁBADO","DOMINGO"))</f>
        <v/>
      </c>
      <c r="H1069" s="34">
        <f>IF($A1069="","",CHOOSE(MONTH($A1069),"ENERO","FEBRERO","MARZO","ABRIL","MAYO","JUNIO","JULIO","AGOSTO","SEPTIEMBRE","OCTUBRE","NOVIEMBRE","DICIEMBRE"))</f>
        <v/>
      </c>
      <c r="I1069" s="34">
        <f>IF($A1069="","",IF(OR($G1069="SÁBADO",$G1069="DOMINGO"),"FIN","LV"))</f>
        <v/>
      </c>
      <c r="J1069" s="34">
        <f>IF(OR($A1069="",$B1069=""),"",IF($L1069&lt;&gt;"",UPPER($L1069),IF($C1069="","FALTA",IFERROR(IF($C1069&gt;=$O1069,"ROJO FUERTE",IF($C1069&gt;=$N1069,"ROJO",IF($C1069&gt;=$M1069,"AMARILLO","VERDE"))),"REVISAR"))))</f>
        <v/>
      </c>
      <c r="K1069" s="36">
        <f>IF(OR($C1069="",$D1069=""),"",IF($D1069&gt;=$C1069,($D1069-$C1069)*24,(1-$C1069+$D1069)*24))</f>
        <v/>
      </c>
      <c r="L1069" s="34" t="n"/>
      <c r="M1069" s="53">
        <f t="array" ref="M1069">IFERROR(INDEX(EXCEPCIONES_FECHA!$D$2:$D$201,MATCH(1,(EXCEPCIONES_FECHA!$A$2:$A$201=$A1069)*(EXCEPCIONES_FECHA!$B$2:$B$201=$B1069),0)),IFERROR(INDEX(EXCEPCIONES_FECHA!$D$2:$D$201,MATCH(1,(EXCEPCIONES_FECHA!$A$2:$A$201=$A1069)*(EXCEPCIONES_FECHA!$B$2:$B$201=""),0)),IFERROR(INDEX(IF($I1069="FIN",HISTORIAL_HORARIOS!$J$2:$J$201,HISTORIAL_HORARIOS!$F$2:$F$201),MATCH(1,(HISTORIAL_HORARIOS!$A$2:$A$201=$B1069)*(HISTORIAL_HORARIOS!$C$2:$C$201&lt;=$A1069)*(HISTORIAL_HORARIOS!$D$2:$D$201&gt;=$A1069),0)),INDEX(IF($I1069="FIN",PERSONAL!$J$2:$J$80,PERSONAL!$F$2:$F$80),MATCH($B1069,PERSONAL!$A$2:$A$80,0)))))</f>
        <v/>
      </c>
      <c r="N1069" s="53">
        <f t="array" ref="N1069">IFERROR(INDEX(EXCEPCIONES_FECHA!$E$2:$E$201,MATCH(1,(EXCEPCIONES_FECHA!$A$2:$A$201=$A1069)*(EXCEPCIONES_FECHA!$B$2:$B$201=$B1069),0)),IFERROR(INDEX(EXCEPCIONES_FECHA!$E$2:$E$201,MATCH(1,(EXCEPCIONES_FECHA!$A$2:$A$201=$A1069)*(EXCEPCIONES_FECHA!$B$2:$B$201=""),0)),IFERROR(INDEX(IF($I1069="FIN",HISTORIAL_HORARIOS!$K$2:$K$201,HISTORIAL_HORARIOS!$G$2:$G$201),MATCH(1,(HISTORIAL_HORARIOS!$A$2:$A$201=$B1069)*(HISTORIAL_HORARIOS!$C$2:$C$201&lt;=$A1069)*(HISTORIAL_HORARIOS!$D$2:$D$201&gt;=$A1069),0)),INDEX(IF($I1069="FIN",PERSONAL!$K$2:$K$80,PERSONAL!$G$2:$G$80),MATCH($B1069,PERSONAL!$A$2:$A$80,0)))))</f>
        <v/>
      </c>
      <c r="O1069" s="53">
        <f t="array" ref="O1069">IFERROR(INDEX(EXCEPCIONES_FECHA!$F$2:$F$201,MATCH(1,(EXCEPCIONES_FECHA!$A$2:$A$201=$A1069)*(EXCEPCIONES_FECHA!$B$2:$B$201=$B1069),0)),IFERROR(INDEX(EXCEPCIONES_FECHA!$F$2:$F$201,MATCH(1,(EXCEPCIONES_FECHA!$A$2:$A$201=$A1069)*(EXCEPCIONES_FECHA!$B$2:$B$201=""),0)),IFERROR(INDEX(IF($I1069="FIN",HISTORIAL_HORARIOS!$L$2:$L$201,HISTORIAL_HORARIOS!$H$2:$H$201),MATCH(1,(HISTORIAL_HORARIOS!$A$2:$A$201=$B1069)*(HISTORIAL_HORARIOS!$C$2:$C$201&lt;=$A1069)*(HISTORIAL_HORARIOS!$D$2:$D$201&gt;=$A1069),0)),INDEX(IF($I1069="FIN",PERSONAL!$L$2:$L$80,PERSONAL!$H$2:$H$80),MATCH($B1069,PERSONAL!$A$2:$A$80,0)))))</f>
        <v/>
      </c>
    </row>
    <row r="1070" ht="15" customHeight="1" s="58">
      <c r="A1070" s="40" t="n"/>
      <c r="B1070" s="38" t="n"/>
      <c r="C1070" s="40" t="n"/>
      <c r="D1070" s="40" t="n"/>
      <c r="E1070" s="34">
        <f t="array" ref="E1070">IF($B1070="","",IFERROR(INDEX(PERSONAL!$B$2:$B$80,MATCH($B1070,PERSONAL!$A$2:$A$80,0)),"NO EXISTE"))</f>
        <v/>
      </c>
      <c r="F1070" s="34">
        <f t="array" ref="F1070">IF($B1070="","",IFERROR(INDEX(PERSONAL!$C$2:$C$80,MATCH($B1070,PERSONAL!$A$2:$A$80,0)),""))</f>
        <v/>
      </c>
      <c r="G1070" s="34">
        <f>IF($A1070="","",CHOOSE(WEEKDAY($A1070,2),"LUNES","MARTES","MIÉRCOLES","JUEVES","VIERNES","SÁBADO","DOMINGO"))</f>
        <v/>
      </c>
      <c r="H1070" s="34">
        <f>IF($A1070="","",CHOOSE(MONTH($A1070),"ENERO","FEBRERO","MARZO","ABRIL","MAYO","JUNIO","JULIO","AGOSTO","SEPTIEMBRE","OCTUBRE","NOVIEMBRE","DICIEMBRE"))</f>
        <v/>
      </c>
      <c r="I1070" s="34">
        <f>IF($A1070="","",IF(OR($G1070="SÁBADO",$G1070="DOMINGO"),"FIN","LV"))</f>
        <v/>
      </c>
      <c r="J1070" s="34">
        <f>IF(OR($A1070="",$B1070=""),"",IF($L1070&lt;&gt;"",UPPER($L1070),IF($C1070="","FALTA",IFERROR(IF($C1070&gt;=$O1070,"ROJO FUERTE",IF($C1070&gt;=$N1070,"ROJO",IF($C1070&gt;=$M1070,"AMARILLO","VERDE"))),"REVISAR"))))</f>
        <v/>
      </c>
      <c r="K1070" s="36">
        <f>IF(OR($C1070="",$D1070=""),"",IF($D1070&gt;=$C1070,($D1070-$C1070)*24,(1-$C1070+$D1070)*24))</f>
        <v/>
      </c>
      <c r="L1070" s="34" t="n"/>
      <c r="M1070" s="53">
        <f t="array" ref="M1070">IFERROR(INDEX(EXCEPCIONES_FECHA!$D$2:$D$201,MATCH(1,(EXCEPCIONES_FECHA!$A$2:$A$201=$A1070)*(EXCEPCIONES_FECHA!$B$2:$B$201=$B1070),0)),IFERROR(INDEX(EXCEPCIONES_FECHA!$D$2:$D$201,MATCH(1,(EXCEPCIONES_FECHA!$A$2:$A$201=$A1070)*(EXCEPCIONES_FECHA!$B$2:$B$201=""),0)),IFERROR(INDEX(IF($I1070="FIN",HISTORIAL_HORARIOS!$J$2:$J$201,HISTORIAL_HORARIOS!$F$2:$F$201),MATCH(1,(HISTORIAL_HORARIOS!$A$2:$A$201=$B1070)*(HISTORIAL_HORARIOS!$C$2:$C$201&lt;=$A1070)*(HISTORIAL_HORARIOS!$D$2:$D$201&gt;=$A1070),0)),INDEX(IF($I1070="FIN",PERSONAL!$J$2:$J$80,PERSONAL!$F$2:$F$80),MATCH($B1070,PERSONAL!$A$2:$A$80,0)))))</f>
        <v/>
      </c>
      <c r="N1070" s="53">
        <f t="array" ref="N1070">IFERROR(INDEX(EXCEPCIONES_FECHA!$E$2:$E$201,MATCH(1,(EXCEPCIONES_FECHA!$A$2:$A$201=$A1070)*(EXCEPCIONES_FECHA!$B$2:$B$201=$B1070),0)),IFERROR(INDEX(EXCEPCIONES_FECHA!$E$2:$E$201,MATCH(1,(EXCEPCIONES_FECHA!$A$2:$A$201=$A1070)*(EXCEPCIONES_FECHA!$B$2:$B$201=""),0)),IFERROR(INDEX(IF($I1070="FIN",HISTORIAL_HORARIOS!$K$2:$K$201,HISTORIAL_HORARIOS!$G$2:$G$201),MATCH(1,(HISTORIAL_HORARIOS!$A$2:$A$201=$B1070)*(HISTORIAL_HORARIOS!$C$2:$C$201&lt;=$A1070)*(HISTORIAL_HORARIOS!$D$2:$D$201&gt;=$A1070),0)),INDEX(IF($I1070="FIN",PERSONAL!$K$2:$K$80,PERSONAL!$G$2:$G$80),MATCH($B1070,PERSONAL!$A$2:$A$80,0)))))</f>
        <v/>
      </c>
      <c r="O1070" s="53">
        <f t="array" ref="O1070">IFERROR(INDEX(EXCEPCIONES_FECHA!$F$2:$F$201,MATCH(1,(EXCEPCIONES_FECHA!$A$2:$A$201=$A1070)*(EXCEPCIONES_FECHA!$B$2:$B$201=$B1070),0)),IFERROR(INDEX(EXCEPCIONES_FECHA!$F$2:$F$201,MATCH(1,(EXCEPCIONES_FECHA!$A$2:$A$201=$A1070)*(EXCEPCIONES_FECHA!$B$2:$B$201=""),0)),IFERROR(INDEX(IF($I1070="FIN",HISTORIAL_HORARIOS!$L$2:$L$201,HISTORIAL_HORARIOS!$H$2:$H$201),MATCH(1,(HISTORIAL_HORARIOS!$A$2:$A$201=$B1070)*(HISTORIAL_HORARIOS!$C$2:$C$201&lt;=$A1070)*(HISTORIAL_HORARIOS!$D$2:$D$201&gt;=$A1070),0)),INDEX(IF($I1070="FIN",PERSONAL!$L$2:$L$80,PERSONAL!$H$2:$H$80),MATCH($B1070,PERSONAL!$A$2:$A$80,0)))))</f>
        <v/>
      </c>
    </row>
    <row r="1071" ht="15" customHeight="1" s="58">
      <c r="A1071" s="40" t="n"/>
      <c r="B1071" s="38" t="n"/>
      <c r="C1071" s="40" t="n"/>
      <c r="D1071" s="40" t="n"/>
      <c r="E1071" s="34">
        <f t="array" ref="E1071">IF($B1071="","",IFERROR(INDEX(PERSONAL!$B$2:$B$80,MATCH($B1071,PERSONAL!$A$2:$A$80,0)),"NO EXISTE"))</f>
        <v/>
      </c>
      <c r="F1071" s="34">
        <f t="array" ref="F1071">IF($B1071="","",IFERROR(INDEX(PERSONAL!$C$2:$C$80,MATCH($B1071,PERSONAL!$A$2:$A$80,0)),""))</f>
        <v/>
      </c>
      <c r="G1071" s="34">
        <f>IF($A1071="","",CHOOSE(WEEKDAY($A1071,2),"LUNES","MARTES","MIÉRCOLES","JUEVES","VIERNES","SÁBADO","DOMINGO"))</f>
        <v/>
      </c>
      <c r="H1071" s="34">
        <f>IF($A1071="","",CHOOSE(MONTH($A1071),"ENERO","FEBRERO","MARZO","ABRIL","MAYO","JUNIO","JULIO","AGOSTO","SEPTIEMBRE","OCTUBRE","NOVIEMBRE","DICIEMBRE"))</f>
        <v/>
      </c>
      <c r="I1071" s="34">
        <f>IF($A1071="","",IF(OR($G1071="SÁBADO",$G1071="DOMINGO"),"FIN","LV"))</f>
        <v/>
      </c>
      <c r="J1071" s="34">
        <f>IF(OR($A1071="",$B1071=""),"",IF($L1071&lt;&gt;"",UPPER($L1071),IF($C1071="","FALTA",IFERROR(IF($C1071&gt;=$O1071,"ROJO FUERTE",IF($C1071&gt;=$N1071,"ROJO",IF($C1071&gt;=$M1071,"AMARILLO","VERDE"))),"REVISAR"))))</f>
        <v/>
      </c>
      <c r="K1071" s="36">
        <f>IF(OR($C1071="",$D1071=""),"",IF($D1071&gt;=$C1071,($D1071-$C1071)*24,(1-$C1071+$D1071)*24))</f>
        <v/>
      </c>
      <c r="L1071" s="34" t="n"/>
      <c r="M1071" s="53">
        <f t="array" ref="M1071">IFERROR(INDEX(EXCEPCIONES_FECHA!$D$2:$D$201,MATCH(1,(EXCEPCIONES_FECHA!$A$2:$A$201=$A1071)*(EXCEPCIONES_FECHA!$B$2:$B$201=$B1071),0)),IFERROR(INDEX(EXCEPCIONES_FECHA!$D$2:$D$201,MATCH(1,(EXCEPCIONES_FECHA!$A$2:$A$201=$A1071)*(EXCEPCIONES_FECHA!$B$2:$B$201=""),0)),IFERROR(INDEX(IF($I1071="FIN",HISTORIAL_HORARIOS!$J$2:$J$201,HISTORIAL_HORARIOS!$F$2:$F$201),MATCH(1,(HISTORIAL_HORARIOS!$A$2:$A$201=$B1071)*(HISTORIAL_HORARIOS!$C$2:$C$201&lt;=$A1071)*(HISTORIAL_HORARIOS!$D$2:$D$201&gt;=$A1071),0)),INDEX(IF($I1071="FIN",PERSONAL!$J$2:$J$80,PERSONAL!$F$2:$F$80),MATCH($B1071,PERSONAL!$A$2:$A$80,0)))))</f>
        <v/>
      </c>
      <c r="N1071" s="53">
        <f t="array" ref="N1071">IFERROR(INDEX(EXCEPCIONES_FECHA!$E$2:$E$201,MATCH(1,(EXCEPCIONES_FECHA!$A$2:$A$201=$A1071)*(EXCEPCIONES_FECHA!$B$2:$B$201=$B1071),0)),IFERROR(INDEX(EXCEPCIONES_FECHA!$E$2:$E$201,MATCH(1,(EXCEPCIONES_FECHA!$A$2:$A$201=$A1071)*(EXCEPCIONES_FECHA!$B$2:$B$201=""),0)),IFERROR(INDEX(IF($I1071="FIN",HISTORIAL_HORARIOS!$K$2:$K$201,HISTORIAL_HORARIOS!$G$2:$G$201),MATCH(1,(HISTORIAL_HORARIOS!$A$2:$A$201=$B1071)*(HISTORIAL_HORARIOS!$C$2:$C$201&lt;=$A1071)*(HISTORIAL_HORARIOS!$D$2:$D$201&gt;=$A1071),0)),INDEX(IF($I1071="FIN",PERSONAL!$K$2:$K$80,PERSONAL!$G$2:$G$80),MATCH($B1071,PERSONAL!$A$2:$A$80,0)))))</f>
        <v/>
      </c>
      <c r="O1071" s="53">
        <f t="array" ref="O1071">IFERROR(INDEX(EXCEPCIONES_FECHA!$F$2:$F$201,MATCH(1,(EXCEPCIONES_FECHA!$A$2:$A$201=$A1071)*(EXCEPCIONES_FECHA!$B$2:$B$201=$B1071),0)),IFERROR(INDEX(EXCEPCIONES_FECHA!$F$2:$F$201,MATCH(1,(EXCEPCIONES_FECHA!$A$2:$A$201=$A1071)*(EXCEPCIONES_FECHA!$B$2:$B$201=""),0)),IFERROR(INDEX(IF($I1071="FIN",HISTORIAL_HORARIOS!$L$2:$L$201,HISTORIAL_HORARIOS!$H$2:$H$201),MATCH(1,(HISTORIAL_HORARIOS!$A$2:$A$201=$B1071)*(HISTORIAL_HORARIOS!$C$2:$C$201&lt;=$A1071)*(HISTORIAL_HORARIOS!$D$2:$D$201&gt;=$A1071),0)),INDEX(IF($I1071="FIN",PERSONAL!$L$2:$L$80,PERSONAL!$H$2:$H$80),MATCH($B1071,PERSONAL!$A$2:$A$80,0)))))</f>
        <v/>
      </c>
    </row>
    <row r="1072" ht="15" customHeight="1" s="58">
      <c r="A1072" s="40" t="n"/>
      <c r="B1072" s="38" t="n"/>
      <c r="C1072" s="40" t="n"/>
      <c r="D1072" s="40" t="n"/>
      <c r="E1072" s="34">
        <f t="array" ref="E1072">IF($B1072="","",IFERROR(INDEX(PERSONAL!$B$2:$B$80,MATCH($B1072,PERSONAL!$A$2:$A$80,0)),"NO EXISTE"))</f>
        <v/>
      </c>
      <c r="F1072" s="34">
        <f t="array" ref="F1072">IF($B1072="","",IFERROR(INDEX(PERSONAL!$C$2:$C$80,MATCH($B1072,PERSONAL!$A$2:$A$80,0)),""))</f>
        <v/>
      </c>
      <c r="G1072" s="34">
        <f>IF($A1072="","",CHOOSE(WEEKDAY($A1072,2),"LUNES","MARTES","MIÉRCOLES","JUEVES","VIERNES","SÁBADO","DOMINGO"))</f>
        <v/>
      </c>
      <c r="H1072" s="34">
        <f>IF($A1072="","",CHOOSE(MONTH($A1072),"ENERO","FEBRERO","MARZO","ABRIL","MAYO","JUNIO","JULIO","AGOSTO","SEPTIEMBRE","OCTUBRE","NOVIEMBRE","DICIEMBRE"))</f>
        <v/>
      </c>
      <c r="I1072" s="34">
        <f>IF($A1072="","",IF(OR($G1072="SÁBADO",$G1072="DOMINGO"),"FIN","LV"))</f>
        <v/>
      </c>
      <c r="J1072" s="34">
        <f>IF(OR($A1072="",$B1072=""),"",IF($L1072&lt;&gt;"",UPPER($L1072),IF($C1072="","FALTA",IFERROR(IF($C1072&gt;=$O1072,"ROJO FUERTE",IF($C1072&gt;=$N1072,"ROJO",IF($C1072&gt;=$M1072,"AMARILLO","VERDE"))),"REVISAR"))))</f>
        <v/>
      </c>
      <c r="K1072" s="36">
        <f>IF(OR($C1072="",$D1072=""),"",IF($D1072&gt;=$C1072,($D1072-$C1072)*24,(1-$C1072+$D1072)*24))</f>
        <v/>
      </c>
      <c r="L1072" s="34" t="n"/>
      <c r="M1072" s="53">
        <f t="array" ref="M1072">IFERROR(INDEX(EXCEPCIONES_FECHA!$D$2:$D$201,MATCH(1,(EXCEPCIONES_FECHA!$A$2:$A$201=$A1072)*(EXCEPCIONES_FECHA!$B$2:$B$201=$B1072),0)),IFERROR(INDEX(EXCEPCIONES_FECHA!$D$2:$D$201,MATCH(1,(EXCEPCIONES_FECHA!$A$2:$A$201=$A1072)*(EXCEPCIONES_FECHA!$B$2:$B$201=""),0)),IFERROR(INDEX(IF($I1072="FIN",HISTORIAL_HORARIOS!$J$2:$J$201,HISTORIAL_HORARIOS!$F$2:$F$201),MATCH(1,(HISTORIAL_HORARIOS!$A$2:$A$201=$B1072)*(HISTORIAL_HORARIOS!$C$2:$C$201&lt;=$A1072)*(HISTORIAL_HORARIOS!$D$2:$D$201&gt;=$A1072),0)),INDEX(IF($I1072="FIN",PERSONAL!$J$2:$J$80,PERSONAL!$F$2:$F$80),MATCH($B1072,PERSONAL!$A$2:$A$80,0)))))</f>
        <v/>
      </c>
      <c r="N1072" s="53">
        <f t="array" ref="N1072">IFERROR(INDEX(EXCEPCIONES_FECHA!$E$2:$E$201,MATCH(1,(EXCEPCIONES_FECHA!$A$2:$A$201=$A1072)*(EXCEPCIONES_FECHA!$B$2:$B$201=$B1072),0)),IFERROR(INDEX(EXCEPCIONES_FECHA!$E$2:$E$201,MATCH(1,(EXCEPCIONES_FECHA!$A$2:$A$201=$A1072)*(EXCEPCIONES_FECHA!$B$2:$B$201=""),0)),IFERROR(INDEX(IF($I1072="FIN",HISTORIAL_HORARIOS!$K$2:$K$201,HISTORIAL_HORARIOS!$G$2:$G$201),MATCH(1,(HISTORIAL_HORARIOS!$A$2:$A$201=$B1072)*(HISTORIAL_HORARIOS!$C$2:$C$201&lt;=$A1072)*(HISTORIAL_HORARIOS!$D$2:$D$201&gt;=$A1072),0)),INDEX(IF($I1072="FIN",PERSONAL!$K$2:$K$80,PERSONAL!$G$2:$G$80),MATCH($B1072,PERSONAL!$A$2:$A$80,0)))))</f>
        <v/>
      </c>
      <c r="O1072" s="53">
        <f t="array" ref="O1072">IFERROR(INDEX(EXCEPCIONES_FECHA!$F$2:$F$201,MATCH(1,(EXCEPCIONES_FECHA!$A$2:$A$201=$A1072)*(EXCEPCIONES_FECHA!$B$2:$B$201=$B1072),0)),IFERROR(INDEX(EXCEPCIONES_FECHA!$F$2:$F$201,MATCH(1,(EXCEPCIONES_FECHA!$A$2:$A$201=$A1072)*(EXCEPCIONES_FECHA!$B$2:$B$201=""),0)),IFERROR(INDEX(IF($I1072="FIN",HISTORIAL_HORARIOS!$L$2:$L$201,HISTORIAL_HORARIOS!$H$2:$H$201),MATCH(1,(HISTORIAL_HORARIOS!$A$2:$A$201=$B1072)*(HISTORIAL_HORARIOS!$C$2:$C$201&lt;=$A1072)*(HISTORIAL_HORARIOS!$D$2:$D$201&gt;=$A1072),0)),INDEX(IF($I1072="FIN",PERSONAL!$L$2:$L$80,PERSONAL!$H$2:$H$80),MATCH($B1072,PERSONAL!$A$2:$A$80,0)))))</f>
        <v/>
      </c>
    </row>
    <row r="1073" ht="15" customHeight="1" s="58">
      <c r="A1073" s="40" t="n"/>
      <c r="B1073" s="38" t="n"/>
      <c r="C1073" s="40" t="n"/>
      <c r="D1073" s="40" t="n"/>
      <c r="E1073" s="34">
        <f t="array" ref="E1073">IF($B1073="","",IFERROR(INDEX(PERSONAL!$B$2:$B$80,MATCH($B1073,PERSONAL!$A$2:$A$80,0)),"NO EXISTE"))</f>
        <v/>
      </c>
      <c r="F1073" s="34">
        <f t="array" ref="F1073">IF($B1073="","",IFERROR(INDEX(PERSONAL!$C$2:$C$80,MATCH($B1073,PERSONAL!$A$2:$A$80,0)),""))</f>
        <v/>
      </c>
      <c r="G1073" s="34">
        <f>IF($A1073="","",CHOOSE(WEEKDAY($A1073,2),"LUNES","MARTES","MIÉRCOLES","JUEVES","VIERNES","SÁBADO","DOMINGO"))</f>
        <v/>
      </c>
      <c r="H1073" s="34">
        <f>IF($A1073="","",CHOOSE(MONTH($A1073),"ENERO","FEBRERO","MARZO","ABRIL","MAYO","JUNIO","JULIO","AGOSTO","SEPTIEMBRE","OCTUBRE","NOVIEMBRE","DICIEMBRE"))</f>
        <v/>
      </c>
      <c r="I1073" s="34">
        <f>IF($A1073="","",IF(OR($G1073="SÁBADO",$G1073="DOMINGO"),"FIN","LV"))</f>
        <v/>
      </c>
      <c r="J1073" s="34">
        <f>IF(OR($A1073="",$B1073=""),"",IF($L1073&lt;&gt;"",UPPER($L1073),IF($C1073="","FALTA",IFERROR(IF($C1073&gt;=$O1073,"ROJO FUERTE",IF($C1073&gt;=$N1073,"ROJO",IF($C1073&gt;=$M1073,"AMARILLO","VERDE"))),"REVISAR"))))</f>
        <v/>
      </c>
      <c r="K1073" s="36">
        <f>IF(OR($C1073="",$D1073=""),"",IF($D1073&gt;=$C1073,($D1073-$C1073)*24,(1-$C1073+$D1073)*24))</f>
        <v/>
      </c>
      <c r="L1073" s="34" t="n"/>
      <c r="M1073" s="53">
        <f t="array" ref="M1073">IFERROR(INDEX(EXCEPCIONES_FECHA!$D$2:$D$201,MATCH(1,(EXCEPCIONES_FECHA!$A$2:$A$201=$A1073)*(EXCEPCIONES_FECHA!$B$2:$B$201=$B1073),0)),IFERROR(INDEX(EXCEPCIONES_FECHA!$D$2:$D$201,MATCH(1,(EXCEPCIONES_FECHA!$A$2:$A$201=$A1073)*(EXCEPCIONES_FECHA!$B$2:$B$201=""),0)),IFERROR(INDEX(IF($I1073="FIN",HISTORIAL_HORARIOS!$J$2:$J$201,HISTORIAL_HORARIOS!$F$2:$F$201),MATCH(1,(HISTORIAL_HORARIOS!$A$2:$A$201=$B1073)*(HISTORIAL_HORARIOS!$C$2:$C$201&lt;=$A1073)*(HISTORIAL_HORARIOS!$D$2:$D$201&gt;=$A1073),0)),INDEX(IF($I1073="FIN",PERSONAL!$J$2:$J$80,PERSONAL!$F$2:$F$80),MATCH($B1073,PERSONAL!$A$2:$A$80,0)))))</f>
        <v/>
      </c>
      <c r="N1073" s="53">
        <f t="array" ref="N1073">IFERROR(INDEX(EXCEPCIONES_FECHA!$E$2:$E$201,MATCH(1,(EXCEPCIONES_FECHA!$A$2:$A$201=$A1073)*(EXCEPCIONES_FECHA!$B$2:$B$201=$B1073),0)),IFERROR(INDEX(EXCEPCIONES_FECHA!$E$2:$E$201,MATCH(1,(EXCEPCIONES_FECHA!$A$2:$A$201=$A1073)*(EXCEPCIONES_FECHA!$B$2:$B$201=""),0)),IFERROR(INDEX(IF($I1073="FIN",HISTORIAL_HORARIOS!$K$2:$K$201,HISTORIAL_HORARIOS!$G$2:$G$201),MATCH(1,(HISTORIAL_HORARIOS!$A$2:$A$201=$B1073)*(HISTORIAL_HORARIOS!$C$2:$C$201&lt;=$A1073)*(HISTORIAL_HORARIOS!$D$2:$D$201&gt;=$A1073),0)),INDEX(IF($I1073="FIN",PERSONAL!$K$2:$K$80,PERSONAL!$G$2:$G$80),MATCH($B1073,PERSONAL!$A$2:$A$80,0)))))</f>
        <v/>
      </c>
      <c r="O1073" s="53">
        <f t="array" ref="O1073">IFERROR(INDEX(EXCEPCIONES_FECHA!$F$2:$F$201,MATCH(1,(EXCEPCIONES_FECHA!$A$2:$A$201=$A1073)*(EXCEPCIONES_FECHA!$B$2:$B$201=$B1073),0)),IFERROR(INDEX(EXCEPCIONES_FECHA!$F$2:$F$201,MATCH(1,(EXCEPCIONES_FECHA!$A$2:$A$201=$A1073)*(EXCEPCIONES_FECHA!$B$2:$B$201=""),0)),IFERROR(INDEX(IF($I1073="FIN",HISTORIAL_HORARIOS!$L$2:$L$201,HISTORIAL_HORARIOS!$H$2:$H$201),MATCH(1,(HISTORIAL_HORARIOS!$A$2:$A$201=$B1073)*(HISTORIAL_HORARIOS!$C$2:$C$201&lt;=$A1073)*(HISTORIAL_HORARIOS!$D$2:$D$201&gt;=$A1073),0)),INDEX(IF($I1073="FIN",PERSONAL!$L$2:$L$80,PERSONAL!$H$2:$H$80),MATCH($B1073,PERSONAL!$A$2:$A$80,0)))))</f>
        <v/>
      </c>
    </row>
    <row r="1074" ht="15" customHeight="1" s="58">
      <c r="A1074" s="40" t="n"/>
      <c r="B1074" s="38" t="n"/>
      <c r="C1074" s="40" t="n"/>
      <c r="D1074" s="40" t="n"/>
      <c r="E1074" s="34">
        <f t="array" ref="E1074">IF($B1074="","",IFERROR(INDEX(PERSONAL!$B$2:$B$80,MATCH($B1074,PERSONAL!$A$2:$A$80,0)),"NO EXISTE"))</f>
        <v/>
      </c>
      <c r="F1074" s="34">
        <f t="array" ref="F1074">IF($B1074="","",IFERROR(INDEX(PERSONAL!$C$2:$C$80,MATCH($B1074,PERSONAL!$A$2:$A$80,0)),""))</f>
        <v/>
      </c>
      <c r="G1074" s="34">
        <f>IF($A1074="","",CHOOSE(WEEKDAY($A1074,2),"LUNES","MARTES","MIÉRCOLES","JUEVES","VIERNES","SÁBADO","DOMINGO"))</f>
        <v/>
      </c>
      <c r="H1074" s="34">
        <f>IF($A1074="","",CHOOSE(MONTH($A1074),"ENERO","FEBRERO","MARZO","ABRIL","MAYO","JUNIO","JULIO","AGOSTO","SEPTIEMBRE","OCTUBRE","NOVIEMBRE","DICIEMBRE"))</f>
        <v/>
      </c>
      <c r="I1074" s="34">
        <f>IF($A1074="","",IF(OR($G1074="SÁBADO",$G1074="DOMINGO"),"FIN","LV"))</f>
        <v/>
      </c>
      <c r="J1074" s="34">
        <f>IF(OR($A1074="",$B1074=""),"",IF($L1074&lt;&gt;"",UPPER($L1074),IF($C1074="","FALTA",IFERROR(IF($C1074&gt;=$O1074,"ROJO FUERTE",IF($C1074&gt;=$N1074,"ROJO",IF($C1074&gt;=$M1074,"AMARILLO","VERDE"))),"REVISAR"))))</f>
        <v/>
      </c>
      <c r="K1074" s="36">
        <f>IF(OR($C1074="",$D1074=""),"",IF($D1074&gt;=$C1074,($D1074-$C1074)*24,(1-$C1074+$D1074)*24))</f>
        <v/>
      </c>
      <c r="L1074" s="34" t="n"/>
      <c r="M1074" s="53">
        <f t="array" ref="M1074">IFERROR(INDEX(EXCEPCIONES_FECHA!$D$2:$D$201,MATCH(1,(EXCEPCIONES_FECHA!$A$2:$A$201=$A1074)*(EXCEPCIONES_FECHA!$B$2:$B$201=$B1074),0)),IFERROR(INDEX(EXCEPCIONES_FECHA!$D$2:$D$201,MATCH(1,(EXCEPCIONES_FECHA!$A$2:$A$201=$A1074)*(EXCEPCIONES_FECHA!$B$2:$B$201=""),0)),IFERROR(INDEX(IF($I1074="FIN",HISTORIAL_HORARIOS!$J$2:$J$201,HISTORIAL_HORARIOS!$F$2:$F$201),MATCH(1,(HISTORIAL_HORARIOS!$A$2:$A$201=$B1074)*(HISTORIAL_HORARIOS!$C$2:$C$201&lt;=$A1074)*(HISTORIAL_HORARIOS!$D$2:$D$201&gt;=$A1074),0)),INDEX(IF($I1074="FIN",PERSONAL!$J$2:$J$80,PERSONAL!$F$2:$F$80),MATCH($B1074,PERSONAL!$A$2:$A$80,0)))))</f>
        <v/>
      </c>
      <c r="N1074" s="53">
        <f t="array" ref="N1074">IFERROR(INDEX(EXCEPCIONES_FECHA!$E$2:$E$201,MATCH(1,(EXCEPCIONES_FECHA!$A$2:$A$201=$A1074)*(EXCEPCIONES_FECHA!$B$2:$B$201=$B1074),0)),IFERROR(INDEX(EXCEPCIONES_FECHA!$E$2:$E$201,MATCH(1,(EXCEPCIONES_FECHA!$A$2:$A$201=$A1074)*(EXCEPCIONES_FECHA!$B$2:$B$201=""),0)),IFERROR(INDEX(IF($I1074="FIN",HISTORIAL_HORARIOS!$K$2:$K$201,HISTORIAL_HORARIOS!$G$2:$G$201),MATCH(1,(HISTORIAL_HORARIOS!$A$2:$A$201=$B1074)*(HISTORIAL_HORARIOS!$C$2:$C$201&lt;=$A1074)*(HISTORIAL_HORARIOS!$D$2:$D$201&gt;=$A1074),0)),INDEX(IF($I1074="FIN",PERSONAL!$K$2:$K$80,PERSONAL!$G$2:$G$80),MATCH($B1074,PERSONAL!$A$2:$A$80,0)))))</f>
        <v/>
      </c>
      <c r="O1074" s="53">
        <f t="array" ref="O1074">IFERROR(INDEX(EXCEPCIONES_FECHA!$F$2:$F$201,MATCH(1,(EXCEPCIONES_FECHA!$A$2:$A$201=$A1074)*(EXCEPCIONES_FECHA!$B$2:$B$201=$B1074),0)),IFERROR(INDEX(EXCEPCIONES_FECHA!$F$2:$F$201,MATCH(1,(EXCEPCIONES_FECHA!$A$2:$A$201=$A1074)*(EXCEPCIONES_FECHA!$B$2:$B$201=""),0)),IFERROR(INDEX(IF($I1074="FIN",HISTORIAL_HORARIOS!$L$2:$L$201,HISTORIAL_HORARIOS!$H$2:$H$201),MATCH(1,(HISTORIAL_HORARIOS!$A$2:$A$201=$B1074)*(HISTORIAL_HORARIOS!$C$2:$C$201&lt;=$A1074)*(HISTORIAL_HORARIOS!$D$2:$D$201&gt;=$A1074),0)),INDEX(IF($I1074="FIN",PERSONAL!$L$2:$L$80,PERSONAL!$H$2:$H$80),MATCH($B1074,PERSONAL!$A$2:$A$80,0)))))</f>
        <v/>
      </c>
    </row>
    <row r="1075" ht="15" customHeight="1" s="58">
      <c r="A1075" s="40" t="n"/>
      <c r="B1075" s="38" t="n"/>
      <c r="C1075" s="40" t="n"/>
      <c r="D1075" s="40" t="n"/>
      <c r="E1075" s="34">
        <f t="array" ref="E1075">IF($B1075="","",IFERROR(INDEX(PERSONAL!$B$2:$B$80,MATCH($B1075,PERSONAL!$A$2:$A$80,0)),"NO EXISTE"))</f>
        <v/>
      </c>
      <c r="F1075" s="34">
        <f t="array" ref="F1075">IF($B1075="","",IFERROR(INDEX(PERSONAL!$C$2:$C$80,MATCH($B1075,PERSONAL!$A$2:$A$80,0)),""))</f>
        <v/>
      </c>
      <c r="G1075" s="34">
        <f>IF($A1075="","",CHOOSE(WEEKDAY($A1075,2),"LUNES","MARTES","MIÉRCOLES","JUEVES","VIERNES","SÁBADO","DOMINGO"))</f>
        <v/>
      </c>
      <c r="H1075" s="34">
        <f>IF($A1075="","",CHOOSE(MONTH($A1075),"ENERO","FEBRERO","MARZO","ABRIL","MAYO","JUNIO","JULIO","AGOSTO","SEPTIEMBRE","OCTUBRE","NOVIEMBRE","DICIEMBRE"))</f>
        <v/>
      </c>
      <c r="I1075" s="34">
        <f>IF($A1075="","",IF(OR($G1075="SÁBADO",$G1075="DOMINGO"),"FIN","LV"))</f>
        <v/>
      </c>
      <c r="J1075" s="34">
        <f>IF(OR($A1075="",$B1075=""),"",IF($L1075&lt;&gt;"",UPPER($L1075),IF($C1075="","FALTA",IFERROR(IF($C1075&gt;=$O1075,"ROJO FUERTE",IF($C1075&gt;=$N1075,"ROJO",IF($C1075&gt;=$M1075,"AMARILLO","VERDE"))),"REVISAR"))))</f>
        <v/>
      </c>
      <c r="K1075" s="36">
        <f>IF(OR($C1075="",$D1075=""),"",IF($D1075&gt;=$C1075,($D1075-$C1075)*24,(1-$C1075+$D1075)*24))</f>
        <v/>
      </c>
      <c r="L1075" s="34" t="n"/>
      <c r="M1075" s="53">
        <f t="array" ref="M1075">IFERROR(INDEX(EXCEPCIONES_FECHA!$D$2:$D$201,MATCH(1,(EXCEPCIONES_FECHA!$A$2:$A$201=$A1075)*(EXCEPCIONES_FECHA!$B$2:$B$201=$B1075),0)),IFERROR(INDEX(EXCEPCIONES_FECHA!$D$2:$D$201,MATCH(1,(EXCEPCIONES_FECHA!$A$2:$A$201=$A1075)*(EXCEPCIONES_FECHA!$B$2:$B$201=""),0)),IFERROR(INDEX(IF($I1075="FIN",HISTORIAL_HORARIOS!$J$2:$J$201,HISTORIAL_HORARIOS!$F$2:$F$201),MATCH(1,(HISTORIAL_HORARIOS!$A$2:$A$201=$B1075)*(HISTORIAL_HORARIOS!$C$2:$C$201&lt;=$A1075)*(HISTORIAL_HORARIOS!$D$2:$D$201&gt;=$A1075),0)),INDEX(IF($I1075="FIN",PERSONAL!$J$2:$J$80,PERSONAL!$F$2:$F$80),MATCH($B1075,PERSONAL!$A$2:$A$80,0)))))</f>
        <v/>
      </c>
      <c r="N1075" s="53">
        <f t="array" ref="N1075">IFERROR(INDEX(EXCEPCIONES_FECHA!$E$2:$E$201,MATCH(1,(EXCEPCIONES_FECHA!$A$2:$A$201=$A1075)*(EXCEPCIONES_FECHA!$B$2:$B$201=$B1075),0)),IFERROR(INDEX(EXCEPCIONES_FECHA!$E$2:$E$201,MATCH(1,(EXCEPCIONES_FECHA!$A$2:$A$201=$A1075)*(EXCEPCIONES_FECHA!$B$2:$B$201=""),0)),IFERROR(INDEX(IF($I1075="FIN",HISTORIAL_HORARIOS!$K$2:$K$201,HISTORIAL_HORARIOS!$G$2:$G$201),MATCH(1,(HISTORIAL_HORARIOS!$A$2:$A$201=$B1075)*(HISTORIAL_HORARIOS!$C$2:$C$201&lt;=$A1075)*(HISTORIAL_HORARIOS!$D$2:$D$201&gt;=$A1075),0)),INDEX(IF($I1075="FIN",PERSONAL!$K$2:$K$80,PERSONAL!$G$2:$G$80),MATCH($B1075,PERSONAL!$A$2:$A$80,0)))))</f>
        <v/>
      </c>
      <c r="O1075" s="53">
        <f t="array" ref="O1075">IFERROR(INDEX(EXCEPCIONES_FECHA!$F$2:$F$201,MATCH(1,(EXCEPCIONES_FECHA!$A$2:$A$201=$A1075)*(EXCEPCIONES_FECHA!$B$2:$B$201=$B1075),0)),IFERROR(INDEX(EXCEPCIONES_FECHA!$F$2:$F$201,MATCH(1,(EXCEPCIONES_FECHA!$A$2:$A$201=$A1075)*(EXCEPCIONES_FECHA!$B$2:$B$201=""),0)),IFERROR(INDEX(IF($I1075="FIN",HISTORIAL_HORARIOS!$L$2:$L$201,HISTORIAL_HORARIOS!$H$2:$H$201),MATCH(1,(HISTORIAL_HORARIOS!$A$2:$A$201=$B1075)*(HISTORIAL_HORARIOS!$C$2:$C$201&lt;=$A1075)*(HISTORIAL_HORARIOS!$D$2:$D$201&gt;=$A1075),0)),INDEX(IF($I1075="FIN",PERSONAL!$L$2:$L$80,PERSONAL!$H$2:$H$80),MATCH($B1075,PERSONAL!$A$2:$A$80,0)))))</f>
        <v/>
      </c>
    </row>
    <row r="1076" ht="15" customHeight="1" s="58">
      <c r="A1076" s="40" t="n"/>
      <c r="B1076" s="38" t="n"/>
      <c r="C1076" s="40" t="n"/>
      <c r="D1076" s="40" t="n"/>
      <c r="E1076" s="34">
        <f t="array" ref="E1076">IF($B1076="","",IFERROR(INDEX(PERSONAL!$B$2:$B$80,MATCH($B1076,PERSONAL!$A$2:$A$80,0)),"NO EXISTE"))</f>
        <v/>
      </c>
      <c r="F1076" s="34">
        <f t="array" ref="F1076">IF($B1076="","",IFERROR(INDEX(PERSONAL!$C$2:$C$80,MATCH($B1076,PERSONAL!$A$2:$A$80,0)),""))</f>
        <v/>
      </c>
      <c r="G1076" s="34">
        <f>IF($A1076="","",CHOOSE(WEEKDAY($A1076,2),"LUNES","MARTES","MIÉRCOLES","JUEVES","VIERNES","SÁBADO","DOMINGO"))</f>
        <v/>
      </c>
      <c r="H1076" s="34">
        <f>IF($A1076="","",CHOOSE(MONTH($A1076),"ENERO","FEBRERO","MARZO","ABRIL","MAYO","JUNIO","JULIO","AGOSTO","SEPTIEMBRE","OCTUBRE","NOVIEMBRE","DICIEMBRE"))</f>
        <v/>
      </c>
      <c r="I1076" s="34">
        <f>IF($A1076="","",IF(OR($G1076="SÁBADO",$G1076="DOMINGO"),"FIN","LV"))</f>
        <v/>
      </c>
      <c r="J1076" s="34">
        <f>IF(OR($A1076="",$B1076=""),"",IF($L1076&lt;&gt;"",UPPER($L1076),IF($C1076="","FALTA",IFERROR(IF($C1076&gt;=$O1076,"ROJO FUERTE",IF($C1076&gt;=$N1076,"ROJO",IF($C1076&gt;=$M1076,"AMARILLO","VERDE"))),"REVISAR"))))</f>
        <v/>
      </c>
      <c r="K1076" s="36">
        <f>IF(OR($C1076="",$D1076=""),"",IF($D1076&gt;=$C1076,($D1076-$C1076)*24,(1-$C1076+$D1076)*24))</f>
        <v/>
      </c>
      <c r="L1076" s="34" t="n"/>
      <c r="M1076" s="53">
        <f t="array" ref="M1076">IFERROR(INDEX(EXCEPCIONES_FECHA!$D$2:$D$201,MATCH(1,(EXCEPCIONES_FECHA!$A$2:$A$201=$A1076)*(EXCEPCIONES_FECHA!$B$2:$B$201=$B1076),0)),IFERROR(INDEX(EXCEPCIONES_FECHA!$D$2:$D$201,MATCH(1,(EXCEPCIONES_FECHA!$A$2:$A$201=$A1076)*(EXCEPCIONES_FECHA!$B$2:$B$201=""),0)),IFERROR(INDEX(IF($I1076="FIN",HISTORIAL_HORARIOS!$J$2:$J$201,HISTORIAL_HORARIOS!$F$2:$F$201),MATCH(1,(HISTORIAL_HORARIOS!$A$2:$A$201=$B1076)*(HISTORIAL_HORARIOS!$C$2:$C$201&lt;=$A1076)*(HISTORIAL_HORARIOS!$D$2:$D$201&gt;=$A1076),0)),INDEX(IF($I1076="FIN",PERSONAL!$J$2:$J$80,PERSONAL!$F$2:$F$80),MATCH($B1076,PERSONAL!$A$2:$A$80,0)))))</f>
        <v/>
      </c>
      <c r="N1076" s="53">
        <f t="array" ref="N1076">IFERROR(INDEX(EXCEPCIONES_FECHA!$E$2:$E$201,MATCH(1,(EXCEPCIONES_FECHA!$A$2:$A$201=$A1076)*(EXCEPCIONES_FECHA!$B$2:$B$201=$B1076),0)),IFERROR(INDEX(EXCEPCIONES_FECHA!$E$2:$E$201,MATCH(1,(EXCEPCIONES_FECHA!$A$2:$A$201=$A1076)*(EXCEPCIONES_FECHA!$B$2:$B$201=""),0)),IFERROR(INDEX(IF($I1076="FIN",HISTORIAL_HORARIOS!$K$2:$K$201,HISTORIAL_HORARIOS!$G$2:$G$201),MATCH(1,(HISTORIAL_HORARIOS!$A$2:$A$201=$B1076)*(HISTORIAL_HORARIOS!$C$2:$C$201&lt;=$A1076)*(HISTORIAL_HORARIOS!$D$2:$D$201&gt;=$A1076),0)),INDEX(IF($I1076="FIN",PERSONAL!$K$2:$K$80,PERSONAL!$G$2:$G$80),MATCH($B1076,PERSONAL!$A$2:$A$80,0)))))</f>
        <v/>
      </c>
      <c r="O1076" s="53">
        <f t="array" ref="O1076">IFERROR(INDEX(EXCEPCIONES_FECHA!$F$2:$F$201,MATCH(1,(EXCEPCIONES_FECHA!$A$2:$A$201=$A1076)*(EXCEPCIONES_FECHA!$B$2:$B$201=$B1076),0)),IFERROR(INDEX(EXCEPCIONES_FECHA!$F$2:$F$201,MATCH(1,(EXCEPCIONES_FECHA!$A$2:$A$201=$A1076)*(EXCEPCIONES_FECHA!$B$2:$B$201=""),0)),IFERROR(INDEX(IF($I1076="FIN",HISTORIAL_HORARIOS!$L$2:$L$201,HISTORIAL_HORARIOS!$H$2:$H$201),MATCH(1,(HISTORIAL_HORARIOS!$A$2:$A$201=$B1076)*(HISTORIAL_HORARIOS!$C$2:$C$201&lt;=$A1076)*(HISTORIAL_HORARIOS!$D$2:$D$201&gt;=$A1076),0)),INDEX(IF($I1076="FIN",PERSONAL!$L$2:$L$80,PERSONAL!$H$2:$H$80),MATCH($B1076,PERSONAL!$A$2:$A$80,0)))))</f>
        <v/>
      </c>
    </row>
    <row r="1077" ht="15" customHeight="1" s="58">
      <c r="A1077" s="40" t="n"/>
      <c r="B1077" s="38" t="n"/>
      <c r="C1077" s="40" t="n"/>
      <c r="D1077" s="40" t="n"/>
      <c r="E1077" s="34">
        <f t="array" ref="E1077">IF($B1077="","",IFERROR(INDEX(PERSONAL!$B$2:$B$80,MATCH($B1077,PERSONAL!$A$2:$A$80,0)),"NO EXISTE"))</f>
        <v/>
      </c>
      <c r="F1077" s="34">
        <f t="array" ref="F1077">IF($B1077="","",IFERROR(INDEX(PERSONAL!$C$2:$C$80,MATCH($B1077,PERSONAL!$A$2:$A$80,0)),""))</f>
        <v/>
      </c>
      <c r="G1077" s="34">
        <f>IF($A1077="","",CHOOSE(WEEKDAY($A1077,2),"LUNES","MARTES","MIÉRCOLES","JUEVES","VIERNES","SÁBADO","DOMINGO"))</f>
        <v/>
      </c>
      <c r="H1077" s="34">
        <f>IF($A1077="","",CHOOSE(MONTH($A1077),"ENERO","FEBRERO","MARZO","ABRIL","MAYO","JUNIO","JULIO","AGOSTO","SEPTIEMBRE","OCTUBRE","NOVIEMBRE","DICIEMBRE"))</f>
        <v/>
      </c>
      <c r="I1077" s="34">
        <f>IF($A1077="","",IF(OR($G1077="SÁBADO",$G1077="DOMINGO"),"FIN","LV"))</f>
        <v/>
      </c>
      <c r="J1077" s="34">
        <f>IF(OR($A1077="",$B1077=""),"",IF($L1077&lt;&gt;"",UPPER($L1077),IF($C1077="","FALTA",IFERROR(IF($C1077&gt;=$O1077,"ROJO FUERTE",IF($C1077&gt;=$N1077,"ROJO",IF($C1077&gt;=$M1077,"AMARILLO","VERDE"))),"REVISAR"))))</f>
        <v/>
      </c>
      <c r="K1077" s="36">
        <f>IF(OR($C1077="",$D1077=""),"",IF($D1077&gt;=$C1077,($D1077-$C1077)*24,(1-$C1077+$D1077)*24))</f>
        <v/>
      </c>
      <c r="L1077" s="34" t="n"/>
      <c r="M1077" s="53">
        <f t="array" ref="M1077">IFERROR(INDEX(EXCEPCIONES_FECHA!$D$2:$D$201,MATCH(1,(EXCEPCIONES_FECHA!$A$2:$A$201=$A1077)*(EXCEPCIONES_FECHA!$B$2:$B$201=$B1077),0)),IFERROR(INDEX(EXCEPCIONES_FECHA!$D$2:$D$201,MATCH(1,(EXCEPCIONES_FECHA!$A$2:$A$201=$A1077)*(EXCEPCIONES_FECHA!$B$2:$B$201=""),0)),IFERROR(INDEX(IF($I1077="FIN",HISTORIAL_HORARIOS!$J$2:$J$201,HISTORIAL_HORARIOS!$F$2:$F$201),MATCH(1,(HISTORIAL_HORARIOS!$A$2:$A$201=$B1077)*(HISTORIAL_HORARIOS!$C$2:$C$201&lt;=$A1077)*(HISTORIAL_HORARIOS!$D$2:$D$201&gt;=$A1077),0)),INDEX(IF($I1077="FIN",PERSONAL!$J$2:$J$80,PERSONAL!$F$2:$F$80),MATCH($B1077,PERSONAL!$A$2:$A$80,0)))))</f>
        <v/>
      </c>
      <c r="N1077" s="53">
        <f t="array" ref="N1077">IFERROR(INDEX(EXCEPCIONES_FECHA!$E$2:$E$201,MATCH(1,(EXCEPCIONES_FECHA!$A$2:$A$201=$A1077)*(EXCEPCIONES_FECHA!$B$2:$B$201=$B1077),0)),IFERROR(INDEX(EXCEPCIONES_FECHA!$E$2:$E$201,MATCH(1,(EXCEPCIONES_FECHA!$A$2:$A$201=$A1077)*(EXCEPCIONES_FECHA!$B$2:$B$201=""),0)),IFERROR(INDEX(IF($I1077="FIN",HISTORIAL_HORARIOS!$K$2:$K$201,HISTORIAL_HORARIOS!$G$2:$G$201),MATCH(1,(HISTORIAL_HORARIOS!$A$2:$A$201=$B1077)*(HISTORIAL_HORARIOS!$C$2:$C$201&lt;=$A1077)*(HISTORIAL_HORARIOS!$D$2:$D$201&gt;=$A1077),0)),INDEX(IF($I1077="FIN",PERSONAL!$K$2:$K$80,PERSONAL!$G$2:$G$80),MATCH($B1077,PERSONAL!$A$2:$A$80,0)))))</f>
        <v/>
      </c>
      <c r="O1077" s="53">
        <f t="array" ref="O1077">IFERROR(INDEX(EXCEPCIONES_FECHA!$F$2:$F$201,MATCH(1,(EXCEPCIONES_FECHA!$A$2:$A$201=$A1077)*(EXCEPCIONES_FECHA!$B$2:$B$201=$B1077),0)),IFERROR(INDEX(EXCEPCIONES_FECHA!$F$2:$F$201,MATCH(1,(EXCEPCIONES_FECHA!$A$2:$A$201=$A1077)*(EXCEPCIONES_FECHA!$B$2:$B$201=""),0)),IFERROR(INDEX(IF($I1077="FIN",HISTORIAL_HORARIOS!$L$2:$L$201,HISTORIAL_HORARIOS!$H$2:$H$201),MATCH(1,(HISTORIAL_HORARIOS!$A$2:$A$201=$B1077)*(HISTORIAL_HORARIOS!$C$2:$C$201&lt;=$A1077)*(HISTORIAL_HORARIOS!$D$2:$D$201&gt;=$A1077),0)),INDEX(IF($I1077="FIN",PERSONAL!$L$2:$L$80,PERSONAL!$H$2:$H$80),MATCH($B1077,PERSONAL!$A$2:$A$80,0)))))</f>
        <v/>
      </c>
    </row>
    <row r="1078" ht="15" customHeight="1" s="58">
      <c r="A1078" s="40" t="n"/>
      <c r="B1078" s="38" t="n"/>
      <c r="C1078" s="40" t="n"/>
      <c r="D1078" s="40" t="n"/>
      <c r="E1078" s="34">
        <f t="array" ref="E1078">IF($B1078="","",IFERROR(INDEX(PERSONAL!$B$2:$B$80,MATCH($B1078,PERSONAL!$A$2:$A$80,0)),"NO EXISTE"))</f>
        <v/>
      </c>
      <c r="F1078" s="34">
        <f t="array" ref="F1078">IF($B1078="","",IFERROR(INDEX(PERSONAL!$C$2:$C$80,MATCH($B1078,PERSONAL!$A$2:$A$80,0)),""))</f>
        <v/>
      </c>
      <c r="G1078" s="34">
        <f>IF($A1078="","",CHOOSE(WEEKDAY($A1078,2),"LUNES","MARTES","MIÉRCOLES","JUEVES","VIERNES","SÁBADO","DOMINGO"))</f>
        <v/>
      </c>
      <c r="H1078" s="34">
        <f>IF($A1078="","",CHOOSE(MONTH($A1078),"ENERO","FEBRERO","MARZO","ABRIL","MAYO","JUNIO","JULIO","AGOSTO","SEPTIEMBRE","OCTUBRE","NOVIEMBRE","DICIEMBRE"))</f>
        <v/>
      </c>
      <c r="I1078" s="34">
        <f>IF($A1078="","",IF(OR($G1078="SÁBADO",$G1078="DOMINGO"),"FIN","LV"))</f>
        <v/>
      </c>
      <c r="J1078" s="34">
        <f>IF(OR($A1078="",$B1078=""),"",IF($L1078&lt;&gt;"",UPPER($L1078),IF($C1078="","FALTA",IFERROR(IF($C1078&gt;=$O1078,"ROJO FUERTE",IF($C1078&gt;=$N1078,"ROJO",IF($C1078&gt;=$M1078,"AMARILLO","VERDE"))),"REVISAR"))))</f>
        <v/>
      </c>
      <c r="K1078" s="36">
        <f>IF(OR($C1078="",$D1078=""),"",IF($D1078&gt;=$C1078,($D1078-$C1078)*24,(1-$C1078+$D1078)*24))</f>
        <v/>
      </c>
      <c r="L1078" s="34" t="n"/>
      <c r="M1078" s="53">
        <f t="array" ref="M1078">IFERROR(INDEX(EXCEPCIONES_FECHA!$D$2:$D$201,MATCH(1,(EXCEPCIONES_FECHA!$A$2:$A$201=$A1078)*(EXCEPCIONES_FECHA!$B$2:$B$201=$B1078),0)),IFERROR(INDEX(EXCEPCIONES_FECHA!$D$2:$D$201,MATCH(1,(EXCEPCIONES_FECHA!$A$2:$A$201=$A1078)*(EXCEPCIONES_FECHA!$B$2:$B$201=""),0)),IFERROR(INDEX(IF($I1078="FIN",HISTORIAL_HORARIOS!$J$2:$J$201,HISTORIAL_HORARIOS!$F$2:$F$201),MATCH(1,(HISTORIAL_HORARIOS!$A$2:$A$201=$B1078)*(HISTORIAL_HORARIOS!$C$2:$C$201&lt;=$A1078)*(HISTORIAL_HORARIOS!$D$2:$D$201&gt;=$A1078),0)),INDEX(IF($I1078="FIN",PERSONAL!$J$2:$J$80,PERSONAL!$F$2:$F$80),MATCH($B1078,PERSONAL!$A$2:$A$80,0)))))</f>
        <v/>
      </c>
      <c r="N1078" s="53">
        <f t="array" ref="N1078">IFERROR(INDEX(EXCEPCIONES_FECHA!$E$2:$E$201,MATCH(1,(EXCEPCIONES_FECHA!$A$2:$A$201=$A1078)*(EXCEPCIONES_FECHA!$B$2:$B$201=$B1078),0)),IFERROR(INDEX(EXCEPCIONES_FECHA!$E$2:$E$201,MATCH(1,(EXCEPCIONES_FECHA!$A$2:$A$201=$A1078)*(EXCEPCIONES_FECHA!$B$2:$B$201=""),0)),IFERROR(INDEX(IF($I1078="FIN",HISTORIAL_HORARIOS!$K$2:$K$201,HISTORIAL_HORARIOS!$G$2:$G$201),MATCH(1,(HISTORIAL_HORARIOS!$A$2:$A$201=$B1078)*(HISTORIAL_HORARIOS!$C$2:$C$201&lt;=$A1078)*(HISTORIAL_HORARIOS!$D$2:$D$201&gt;=$A1078),0)),INDEX(IF($I1078="FIN",PERSONAL!$K$2:$K$80,PERSONAL!$G$2:$G$80),MATCH($B1078,PERSONAL!$A$2:$A$80,0)))))</f>
        <v/>
      </c>
      <c r="O1078" s="53">
        <f t="array" ref="O1078">IFERROR(INDEX(EXCEPCIONES_FECHA!$F$2:$F$201,MATCH(1,(EXCEPCIONES_FECHA!$A$2:$A$201=$A1078)*(EXCEPCIONES_FECHA!$B$2:$B$201=$B1078),0)),IFERROR(INDEX(EXCEPCIONES_FECHA!$F$2:$F$201,MATCH(1,(EXCEPCIONES_FECHA!$A$2:$A$201=$A1078)*(EXCEPCIONES_FECHA!$B$2:$B$201=""),0)),IFERROR(INDEX(IF($I1078="FIN",HISTORIAL_HORARIOS!$L$2:$L$201,HISTORIAL_HORARIOS!$H$2:$H$201),MATCH(1,(HISTORIAL_HORARIOS!$A$2:$A$201=$B1078)*(HISTORIAL_HORARIOS!$C$2:$C$201&lt;=$A1078)*(HISTORIAL_HORARIOS!$D$2:$D$201&gt;=$A1078),0)),INDEX(IF($I1078="FIN",PERSONAL!$L$2:$L$80,PERSONAL!$H$2:$H$80),MATCH($B1078,PERSONAL!$A$2:$A$80,0)))))</f>
        <v/>
      </c>
    </row>
    <row r="1079" ht="15" customHeight="1" s="58">
      <c r="A1079" s="40" t="n"/>
      <c r="B1079" s="38" t="n"/>
      <c r="C1079" s="40" t="n"/>
      <c r="D1079" s="40" t="n"/>
      <c r="E1079" s="34">
        <f t="array" ref="E1079">IF($B1079="","",IFERROR(INDEX(PERSONAL!$B$2:$B$80,MATCH($B1079,PERSONAL!$A$2:$A$80,0)),"NO EXISTE"))</f>
        <v/>
      </c>
      <c r="F1079" s="34">
        <f t="array" ref="F1079">IF($B1079="","",IFERROR(INDEX(PERSONAL!$C$2:$C$80,MATCH($B1079,PERSONAL!$A$2:$A$80,0)),""))</f>
        <v/>
      </c>
      <c r="G1079" s="34">
        <f>IF($A1079="","",CHOOSE(WEEKDAY($A1079,2),"LUNES","MARTES","MIÉRCOLES","JUEVES","VIERNES","SÁBADO","DOMINGO"))</f>
        <v/>
      </c>
      <c r="H1079" s="34">
        <f>IF($A1079="","",CHOOSE(MONTH($A1079),"ENERO","FEBRERO","MARZO","ABRIL","MAYO","JUNIO","JULIO","AGOSTO","SEPTIEMBRE","OCTUBRE","NOVIEMBRE","DICIEMBRE"))</f>
        <v/>
      </c>
      <c r="I1079" s="34">
        <f>IF($A1079="","",IF(OR($G1079="SÁBADO",$G1079="DOMINGO"),"FIN","LV"))</f>
        <v/>
      </c>
      <c r="J1079" s="34">
        <f>IF(OR($A1079="",$B1079=""),"",IF($L1079&lt;&gt;"",UPPER($L1079),IF($C1079="","FALTA",IFERROR(IF($C1079&gt;=$O1079,"ROJO FUERTE",IF($C1079&gt;=$N1079,"ROJO",IF($C1079&gt;=$M1079,"AMARILLO","VERDE"))),"REVISAR"))))</f>
        <v/>
      </c>
      <c r="K1079" s="36">
        <f>IF(OR($C1079="",$D1079=""),"",IF($D1079&gt;=$C1079,($D1079-$C1079)*24,(1-$C1079+$D1079)*24))</f>
        <v/>
      </c>
      <c r="L1079" s="34" t="n"/>
      <c r="M1079" s="53">
        <f t="array" ref="M1079">IFERROR(INDEX(EXCEPCIONES_FECHA!$D$2:$D$201,MATCH(1,(EXCEPCIONES_FECHA!$A$2:$A$201=$A1079)*(EXCEPCIONES_FECHA!$B$2:$B$201=$B1079),0)),IFERROR(INDEX(EXCEPCIONES_FECHA!$D$2:$D$201,MATCH(1,(EXCEPCIONES_FECHA!$A$2:$A$201=$A1079)*(EXCEPCIONES_FECHA!$B$2:$B$201=""),0)),IFERROR(INDEX(IF($I1079="FIN",HISTORIAL_HORARIOS!$J$2:$J$201,HISTORIAL_HORARIOS!$F$2:$F$201),MATCH(1,(HISTORIAL_HORARIOS!$A$2:$A$201=$B1079)*(HISTORIAL_HORARIOS!$C$2:$C$201&lt;=$A1079)*(HISTORIAL_HORARIOS!$D$2:$D$201&gt;=$A1079),0)),INDEX(IF($I1079="FIN",PERSONAL!$J$2:$J$80,PERSONAL!$F$2:$F$80),MATCH($B1079,PERSONAL!$A$2:$A$80,0)))))</f>
        <v/>
      </c>
      <c r="N1079" s="53">
        <f t="array" ref="N1079">IFERROR(INDEX(EXCEPCIONES_FECHA!$E$2:$E$201,MATCH(1,(EXCEPCIONES_FECHA!$A$2:$A$201=$A1079)*(EXCEPCIONES_FECHA!$B$2:$B$201=$B1079),0)),IFERROR(INDEX(EXCEPCIONES_FECHA!$E$2:$E$201,MATCH(1,(EXCEPCIONES_FECHA!$A$2:$A$201=$A1079)*(EXCEPCIONES_FECHA!$B$2:$B$201=""),0)),IFERROR(INDEX(IF($I1079="FIN",HISTORIAL_HORARIOS!$K$2:$K$201,HISTORIAL_HORARIOS!$G$2:$G$201),MATCH(1,(HISTORIAL_HORARIOS!$A$2:$A$201=$B1079)*(HISTORIAL_HORARIOS!$C$2:$C$201&lt;=$A1079)*(HISTORIAL_HORARIOS!$D$2:$D$201&gt;=$A1079),0)),INDEX(IF($I1079="FIN",PERSONAL!$K$2:$K$80,PERSONAL!$G$2:$G$80),MATCH($B1079,PERSONAL!$A$2:$A$80,0)))))</f>
        <v/>
      </c>
      <c r="O1079" s="53">
        <f t="array" ref="O1079">IFERROR(INDEX(EXCEPCIONES_FECHA!$F$2:$F$201,MATCH(1,(EXCEPCIONES_FECHA!$A$2:$A$201=$A1079)*(EXCEPCIONES_FECHA!$B$2:$B$201=$B1079),0)),IFERROR(INDEX(EXCEPCIONES_FECHA!$F$2:$F$201,MATCH(1,(EXCEPCIONES_FECHA!$A$2:$A$201=$A1079)*(EXCEPCIONES_FECHA!$B$2:$B$201=""),0)),IFERROR(INDEX(IF($I1079="FIN",HISTORIAL_HORARIOS!$L$2:$L$201,HISTORIAL_HORARIOS!$H$2:$H$201),MATCH(1,(HISTORIAL_HORARIOS!$A$2:$A$201=$B1079)*(HISTORIAL_HORARIOS!$C$2:$C$201&lt;=$A1079)*(HISTORIAL_HORARIOS!$D$2:$D$201&gt;=$A1079),0)),INDEX(IF($I1079="FIN",PERSONAL!$L$2:$L$80,PERSONAL!$H$2:$H$80),MATCH($B1079,PERSONAL!$A$2:$A$80,0)))))</f>
        <v/>
      </c>
    </row>
    <row r="1080" ht="15" customHeight="1" s="58">
      <c r="A1080" s="40" t="n"/>
      <c r="B1080" s="38" t="n"/>
      <c r="C1080" s="40" t="n"/>
      <c r="D1080" s="40" t="n"/>
      <c r="E1080" s="34">
        <f t="array" ref="E1080">IF($B1080="","",IFERROR(INDEX(PERSONAL!$B$2:$B$80,MATCH($B1080,PERSONAL!$A$2:$A$80,0)),"NO EXISTE"))</f>
        <v/>
      </c>
      <c r="F1080" s="34">
        <f t="array" ref="F1080">IF($B1080="","",IFERROR(INDEX(PERSONAL!$C$2:$C$80,MATCH($B1080,PERSONAL!$A$2:$A$80,0)),""))</f>
        <v/>
      </c>
      <c r="G1080" s="34">
        <f>IF($A1080="","",CHOOSE(WEEKDAY($A1080,2),"LUNES","MARTES","MIÉRCOLES","JUEVES","VIERNES","SÁBADO","DOMINGO"))</f>
        <v/>
      </c>
      <c r="H1080" s="34">
        <f>IF($A1080="","",CHOOSE(MONTH($A1080),"ENERO","FEBRERO","MARZO","ABRIL","MAYO","JUNIO","JULIO","AGOSTO","SEPTIEMBRE","OCTUBRE","NOVIEMBRE","DICIEMBRE"))</f>
        <v/>
      </c>
      <c r="I1080" s="34">
        <f>IF($A1080="","",IF(OR($G1080="SÁBADO",$G1080="DOMINGO"),"FIN","LV"))</f>
        <v/>
      </c>
      <c r="J1080" s="34">
        <f>IF(OR($A1080="",$B1080=""),"",IF($L1080&lt;&gt;"",UPPER($L1080),IF($C1080="","FALTA",IFERROR(IF($C1080&gt;=$O1080,"ROJO FUERTE",IF($C1080&gt;=$N1080,"ROJO",IF($C1080&gt;=$M1080,"AMARILLO","VERDE"))),"REVISAR"))))</f>
        <v/>
      </c>
      <c r="K1080" s="36">
        <f>IF(OR($C1080="",$D1080=""),"",IF($D1080&gt;=$C1080,($D1080-$C1080)*24,(1-$C1080+$D1080)*24))</f>
        <v/>
      </c>
      <c r="L1080" s="34" t="n"/>
      <c r="M1080" s="53">
        <f t="array" ref="M1080">IFERROR(INDEX(EXCEPCIONES_FECHA!$D$2:$D$201,MATCH(1,(EXCEPCIONES_FECHA!$A$2:$A$201=$A1080)*(EXCEPCIONES_FECHA!$B$2:$B$201=$B1080),0)),IFERROR(INDEX(EXCEPCIONES_FECHA!$D$2:$D$201,MATCH(1,(EXCEPCIONES_FECHA!$A$2:$A$201=$A1080)*(EXCEPCIONES_FECHA!$B$2:$B$201=""),0)),IFERROR(INDEX(IF($I1080="FIN",HISTORIAL_HORARIOS!$J$2:$J$201,HISTORIAL_HORARIOS!$F$2:$F$201),MATCH(1,(HISTORIAL_HORARIOS!$A$2:$A$201=$B1080)*(HISTORIAL_HORARIOS!$C$2:$C$201&lt;=$A1080)*(HISTORIAL_HORARIOS!$D$2:$D$201&gt;=$A1080),0)),INDEX(IF($I1080="FIN",PERSONAL!$J$2:$J$80,PERSONAL!$F$2:$F$80),MATCH($B1080,PERSONAL!$A$2:$A$80,0)))))</f>
        <v/>
      </c>
      <c r="N1080" s="53">
        <f t="array" ref="N1080">IFERROR(INDEX(EXCEPCIONES_FECHA!$E$2:$E$201,MATCH(1,(EXCEPCIONES_FECHA!$A$2:$A$201=$A1080)*(EXCEPCIONES_FECHA!$B$2:$B$201=$B1080),0)),IFERROR(INDEX(EXCEPCIONES_FECHA!$E$2:$E$201,MATCH(1,(EXCEPCIONES_FECHA!$A$2:$A$201=$A1080)*(EXCEPCIONES_FECHA!$B$2:$B$201=""),0)),IFERROR(INDEX(IF($I1080="FIN",HISTORIAL_HORARIOS!$K$2:$K$201,HISTORIAL_HORARIOS!$G$2:$G$201),MATCH(1,(HISTORIAL_HORARIOS!$A$2:$A$201=$B1080)*(HISTORIAL_HORARIOS!$C$2:$C$201&lt;=$A1080)*(HISTORIAL_HORARIOS!$D$2:$D$201&gt;=$A1080),0)),INDEX(IF($I1080="FIN",PERSONAL!$K$2:$K$80,PERSONAL!$G$2:$G$80),MATCH($B1080,PERSONAL!$A$2:$A$80,0)))))</f>
        <v/>
      </c>
      <c r="O1080" s="53">
        <f t="array" ref="O1080">IFERROR(INDEX(EXCEPCIONES_FECHA!$F$2:$F$201,MATCH(1,(EXCEPCIONES_FECHA!$A$2:$A$201=$A1080)*(EXCEPCIONES_FECHA!$B$2:$B$201=$B1080),0)),IFERROR(INDEX(EXCEPCIONES_FECHA!$F$2:$F$201,MATCH(1,(EXCEPCIONES_FECHA!$A$2:$A$201=$A1080)*(EXCEPCIONES_FECHA!$B$2:$B$201=""),0)),IFERROR(INDEX(IF($I1080="FIN",HISTORIAL_HORARIOS!$L$2:$L$201,HISTORIAL_HORARIOS!$H$2:$H$201),MATCH(1,(HISTORIAL_HORARIOS!$A$2:$A$201=$B1080)*(HISTORIAL_HORARIOS!$C$2:$C$201&lt;=$A1080)*(HISTORIAL_HORARIOS!$D$2:$D$201&gt;=$A1080),0)),INDEX(IF($I1080="FIN",PERSONAL!$L$2:$L$80,PERSONAL!$H$2:$H$80),MATCH($B1080,PERSONAL!$A$2:$A$80,0)))))</f>
        <v/>
      </c>
    </row>
    <row r="1081" ht="15" customHeight="1" s="58">
      <c r="A1081" s="40" t="n"/>
      <c r="B1081" s="38" t="n"/>
      <c r="C1081" s="40" t="n"/>
      <c r="D1081" s="40" t="n"/>
      <c r="E1081" s="34">
        <f t="array" ref="E1081">IF($B1081="","",IFERROR(INDEX(PERSONAL!$B$2:$B$80,MATCH($B1081,PERSONAL!$A$2:$A$80,0)),"NO EXISTE"))</f>
        <v/>
      </c>
      <c r="F1081" s="34">
        <f t="array" ref="F1081">IF($B1081="","",IFERROR(INDEX(PERSONAL!$C$2:$C$80,MATCH($B1081,PERSONAL!$A$2:$A$80,0)),""))</f>
        <v/>
      </c>
      <c r="G1081" s="34">
        <f>IF($A1081="","",CHOOSE(WEEKDAY($A1081,2),"LUNES","MARTES","MIÉRCOLES","JUEVES","VIERNES","SÁBADO","DOMINGO"))</f>
        <v/>
      </c>
      <c r="H1081" s="34">
        <f>IF($A1081="","",CHOOSE(MONTH($A1081),"ENERO","FEBRERO","MARZO","ABRIL","MAYO","JUNIO","JULIO","AGOSTO","SEPTIEMBRE","OCTUBRE","NOVIEMBRE","DICIEMBRE"))</f>
        <v/>
      </c>
      <c r="I1081" s="34">
        <f>IF($A1081="","",IF(OR($G1081="SÁBADO",$G1081="DOMINGO"),"FIN","LV"))</f>
        <v/>
      </c>
      <c r="J1081" s="34">
        <f>IF(OR($A1081="",$B1081=""),"",IF($L1081&lt;&gt;"",UPPER($L1081),IF($C1081="","FALTA",IFERROR(IF($C1081&gt;=$O1081,"ROJO FUERTE",IF($C1081&gt;=$N1081,"ROJO",IF($C1081&gt;=$M1081,"AMARILLO","VERDE"))),"REVISAR"))))</f>
        <v/>
      </c>
      <c r="K1081" s="36">
        <f>IF(OR($C1081="",$D1081=""),"",IF($D1081&gt;=$C1081,($D1081-$C1081)*24,(1-$C1081+$D1081)*24))</f>
        <v/>
      </c>
      <c r="L1081" s="34" t="n"/>
      <c r="M1081" s="53">
        <f t="array" ref="M1081">IFERROR(INDEX(EXCEPCIONES_FECHA!$D$2:$D$201,MATCH(1,(EXCEPCIONES_FECHA!$A$2:$A$201=$A1081)*(EXCEPCIONES_FECHA!$B$2:$B$201=$B1081),0)),IFERROR(INDEX(EXCEPCIONES_FECHA!$D$2:$D$201,MATCH(1,(EXCEPCIONES_FECHA!$A$2:$A$201=$A1081)*(EXCEPCIONES_FECHA!$B$2:$B$201=""),0)),IFERROR(INDEX(IF($I1081="FIN",HISTORIAL_HORARIOS!$J$2:$J$201,HISTORIAL_HORARIOS!$F$2:$F$201),MATCH(1,(HISTORIAL_HORARIOS!$A$2:$A$201=$B1081)*(HISTORIAL_HORARIOS!$C$2:$C$201&lt;=$A1081)*(HISTORIAL_HORARIOS!$D$2:$D$201&gt;=$A1081),0)),INDEX(IF($I1081="FIN",PERSONAL!$J$2:$J$80,PERSONAL!$F$2:$F$80),MATCH($B1081,PERSONAL!$A$2:$A$80,0)))))</f>
        <v/>
      </c>
      <c r="N1081" s="53">
        <f t="array" ref="N1081">IFERROR(INDEX(EXCEPCIONES_FECHA!$E$2:$E$201,MATCH(1,(EXCEPCIONES_FECHA!$A$2:$A$201=$A1081)*(EXCEPCIONES_FECHA!$B$2:$B$201=$B1081),0)),IFERROR(INDEX(EXCEPCIONES_FECHA!$E$2:$E$201,MATCH(1,(EXCEPCIONES_FECHA!$A$2:$A$201=$A1081)*(EXCEPCIONES_FECHA!$B$2:$B$201=""),0)),IFERROR(INDEX(IF($I1081="FIN",HISTORIAL_HORARIOS!$K$2:$K$201,HISTORIAL_HORARIOS!$G$2:$G$201),MATCH(1,(HISTORIAL_HORARIOS!$A$2:$A$201=$B1081)*(HISTORIAL_HORARIOS!$C$2:$C$201&lt;=$A1081)*(HISTORIAL_HORARIOS!$D$2:$D$201&gt;=$A1081),0)),INDEX(IF($I1081="FIN",PERSONAL!$K$2:$K$80,PERSONAL!$G$2:$G$80),MATCH($B1081,PERSONAL!$A$2:$A$80,0)))))</f>
        <v/>
      </c>
      <c r="O1081" s="53">
        <f t="array" ref="O1081">IFERROR(INDEX(EXCEPCIONES_FECHA!$F$2:$F$201,MATCH(1,(EXCEPCIONES_FECHA!$A$2:$A$201=$A1081)*(EXCEPCIONES_FECHA!$B$2:$B$201=$B1081),0)),IFERROR(INDEX(EXCEPCIONES_FECHA!$F$2:$F$201,MATCH(1,(EXCEPCIONES_FECHA!$A$2:$A$201=$A1081)*(EXCEPCIONES_FECHA!$B$2:$B$201=""),0)),IFERROR(INDEX(IF($I1081="FIN",HISTORIAL_HORARIOS!$L$2:$L$201,HISTORIAL_HORARIOS!$H$2:$H$201),MATCH(1,(HISTORIAL_HORARIOS!$A$2:$A$201=$B1081)*(HISTORIAL_HORARIOS!$C$2:$C$201&lt;=$A1081)*(HISTORIAL_HORARIOS!$D$2:$D$201&gt;=$A1081),0)),INDEX(IF($I1081="FIN",PERSONAL!$L$2:$L$80,PERSONAL!$H$2:$H$80),MATCH($B1081,PERSONAL!$A$2:$A$80,0)))))</f>
        <v/>
      </c>
    </row>
    <row r="1082" ht="15" customHeight="1" s="58">
      <c r="A1082" s="40" t="n"/>
      <c r="B1082" s="38" t="n"/>
      <c r="C1082" s="40" t="n"/>
      <c r="D1082" s="40" t="n"/>
      <c r="E1082" s="34">
        <f t="array" ref="E1082">IF($B1082="","",IFERROR(INDEX(PERSONAL!$B$2:$B$80,MATCH($B1082,PERSONAL!$A$2:$A$80,0)),"NO EXISTE"))</f>
        <v/>
      </c>
      <c r="F1082" s="34">
        <f t="array" ref="F1082">IF($B1082="","",IFERROR(INDEX(PERSONAL!$C$2:$C$80,MATCH($B1082,PERSONAL!$A$2:$A$80,0)),""))</f>
        <v/>
      </c>
      <c r="G1082" s="34">
        <f>IF($A1082="","",CHOOSE(WEEKDAY($A1082,2),"LUNES","MARTES","MIÉRCOLES","JUEVES","VIERNES","SÁBADO","DOMINGO"))</f>
        <v/>
      </c>
      <c r="H1082" s="34">
        <f>IF($A1082="","",CHOOSE(MONTH($A1082),"ENERO","FEBRERO","MARZO","ABRIL","MAYO","JUNIO","JULIO","AGOSTO","SEPTIEMBRE","OCTUBRE","NOVIEMBRE","DICIEMBRE"))</f>
        <v/>
      </c>
      <c r="I1082" s="34">
        <f>IF($A1082="","",IF(OR($G1082="SÁBADO",$G1082="DOMINGO"),"FIN","LV"))</f>
        <v/>
      </c>
      <c r="J1082" s="34">
        <f>IF(OR($A1082="",$B1082=""),"",IF($L1082&lt;&gt;"",UPPER($L1082),IF($C1082="","FALTA",IFERROR(IF($C1082&gt;=$O1082,"ROJO FUERTE",IF($C1082&gt;=$N1082,"ROJO",IF($C1082&gt;=$M1082,"AMARILLO","VERDE"))),"REVISAR"))))</f>
        <v/>
      </c>
      <c r="K1082" s="36">
        <f>IF(OR($C1082="",$D1082=""),"",IF($D1082&gt;=$C1082,($D1082-$C1082)*24,(1-$C1082+$D1082)*24))</f>
        <v/>
      </c>
      <c r="L1082" s="34" t="n"/>
      <c r="M1082" s="53">
        <f t="array" ref="M1082">IFERROR(INDEX(EXCEPCIONES_FECHA!$D$2:$D$201,MATCH(1,(EXCEPCIONES_FECHA!$A$2:$A$201=$A1082)*(EXCEPCIONES_FECHA!$B$2:$B$201=$B1082),0)),IFERROR(INDEX(EXCEPCIONES_FECHA!$D$2:$D$201,MATCH(1,(EXCEPCIONES_FECHA!$A$2:$A$201=$A1082)*(EXCEPCIONES_FECHA!$B$2:$B$201=""),0)),IFERROR(INDEX(IF($I1082="FIN",HISTORIAL_HORARIOS!$J$2:$J$201,HISTORIAL_HORARIOS!$F$2:$F$201),MATCH(1,(HISTORIAL_HORARIOS!$A$2:$A$201=$B1082)*(HISTORIAL_HORARIOS!$C$2:$C$201&lt;=$A1082)*(HISTORIAL_HORARIOS!$D$2:$D$201&gt;=$A1082),0)),INDEX(IF($I1082="FIN",PERSONAL!$J$2:$J$80,PERSONAL!$F$2:$F$80),MATCH($B1082,PERSONAL!$A$2:$A$80,0)))))</f>
        <v/>
      </c>
      <c r="N1082" s="53">
        <f t="array" ref="N1082">IFERROR(INDEX(EXCEPCIONES_FECHA!$E$2:$E$201,MATCH(1,(EXCEPCIONES_FECHA!$A$2:$A$201=$A1082)*(EXCEPCIONES_FECHA!$B$2:$B$201=$B1082),0)),IFERROR(INDEX(EXCEPCIONES_FECHA!$E$2:$E$201,MATCH(1,(EXCEPCIONES_FECHA!$A$2:$A$201=$A1082)*(EXCEPCIONES_FECHA!$B$2:$B$201=""),0)),IFERROR(INDEX(IF($I1082="FIN",HISTORIAL_HORARIOS!$K$2:$K$201,HISTORIAL_HORARIOS!$G$2:$G$201),MATCH(1,(HISTORIAL_HORARIOS!$A$2:$A$201=$B1082)*(HISTORIAL_HORARIOS!$C$2:$C$201&lt;=$A1082)*(HISTORIAL_HORARIOS!$D$2:$D$201&gt;=$A1082),0)),INDEX(IF($I1082="FIN",PERSONAL!$K$2:$K$80,PERSONAL!$G$2:$G$80),MATCH($B1082,PERSONAL!$A$2:$A$80,0)))))</f>
        <v/>
      </c>
      <c r="O1082" s="53">
        <f t="array" ref="O1082">IFERROR(INDEX(EXCEPCIONES_FECHA!$F$2:$F$201,MATCH(1,(EXCEPCIONES_FECHA!$A$2:$A$201=$A1082)*(EXCEPCIONES_FECHA!$B$2:$B$201=$B1082),0)),IFERROR(INDEX(EXCEPCIONES_FECHA!$F$2:$F$201,MATCH(1,(EXCEPCIONES_FECHA!$A$2:$A$201=$A1082)*(EXCEPCIONES_FECHA!$B$2:$B$201=""),0)),IFERROR(INDEX(IF($I1082="FIN",HISTORIAL_HORARIOS!$L$2:$L$201,HISTORIAL_HORARIOS!$H$2:$H$201),MATCH(1,(HISTORIAL_HORARIOS!$A$2:$A$201=$B1082)*(HISTORIAL_HORARIOS!$C$2:$C$201&lt;=$A1082)*(HISTORIAL_HORARIOS!$D$2:$D$201&gt;=$A1082),0)),INDEX(IF($I1082="FIN",PERSONAL!$L$2:$L$80,PERSONAL!$H$2:$H$80),MATCH($B1082,PERSONAL!$A$2:$A$80,0)))))</f>
        <v/>
      </c>
    </row>
    <row r="1083" ht="15" customHeight="1" s="58">
      <c r="A1083" s="40" t="n"/>
      <c r="B1083" s="38" t="n"/>
      <c r="C1083" s="40" t="n"/>
      <c r="D1083" s="40" t="n"/>
      <c r="E1083" s="34">
        <f t="array" ref="E1083">IF($B1083="","",IFERROR(INDEX(PERSONAL!$B$2:$B$80,MATCH($B1083,PERSONAL!$A$2:$A$80,0)),"NO EXISTE"))</f>
        <v/>
      </c>
      <c r="F1083" s="34">
        <f t="array" ref="F1083">IF($B1083="","",IFERROR(INDEX(PERSONAL!$C$2:$C$80,MATCH($B1083,PERSONAL!$A$2:$A$80,0)),""))</f>
        <v/>
      </c>
      <c r="G1083" s="34">
        <f>IF($A1083="","",CHOOSE(WEEKDAY($A1083,2),"LUNES","MARTES","MIÉRCOLES","JUEVES","VIERNES","SÁBADO","DOMINGO"))</f>
        <v/>
      </c>
      <c r="H1083" s="34">
        <f>IF($A1083="","",CHOOSE(MONTH($A1083),"ENERO","FEBRERO","MARZO","ABRIL","MAYO","JUNIO","JULIO","AGOSTO","SEPTIEMBRE","OCTUBRE","NOVIEMBRE","DICIEMBRE"))</f>
        <v/>
      </c>
      <c r="I1083" s="34">
        <f>IF($A1083="","",IF(OR($G1083="SÁBADO",$G1083="DOMINGO"),"FIN","LV"))</f>
        <v/>
      </c>
      <c r="J1083" s="34">
        <f>IF(OR($A1083="",$B1083=""),"",IF($L1083&lt;&gt;"",UPPER($L1083),IF($C1083="","FALTA",IFERROR(IF($C1083&gt;=$O1083,"ROJO FUERTE",IF($C1083&gt;=$N1083,"ROJO",IF($C1083&gt;=$M1083,"AMARILLO","VERDE"))),"REVISAR"))))</f>
        <v/>
      </c>
      <c r="K1083" s="36">
        <f>IF(OR($C1083="",$D1083=""),"",IF($D1083&gt;=$C1083,($D1083-$C1083)*24,(1-$C1083+$D1083)*24))</f>
        <v/>
      </c>
      <c r="L1083" s="34" t="n"/>
      <c r="M1083" s="53">
        <f t="array" ref="M1083">IFERROR(INDEX(EXCEPCIONES_FECHA!$D$2:$D$201,MATCH(1,(EXCEPCIONES_FECHA!$A$2:$A$201=$A1083)*(EXCEPCIONES_FECHA!$B$2:$B$201=$B1083),0)),IFERROR(INDEX(EXCEPCIONES_FECHA!$D$2:$D$201,MATCH(1,(EXCEPCIONES_FECHA!$A$2:$A$201=$A1083)*(EXCEPCIONES_FECHA!$B$2:$B$201=""),0)),IFERROR(INDEX(IF($I1083="FIN",HISTORIAL_HORARIOS!$J$2:$J$201,HISTORIAL_HORARIOS!$F$2:$F$201),MATCH(1,(HISTORIAL_HORARIOS!$A$2:$A$201=$B1083)*(HISTORIAL_HORARIOS!$C$2:$C$201&lt;=$A1083)*(HISTORIAL_HORARIOS!$D$2:$D$201&gt;=$A1083),0)),INDEX(IF($I1083="FIN",PERSONAL!$J$2:$J$80,PERSONAL!$F$2:$F$80),MATCH($B1083,PERSONAL!$A$2:$A$80,0)))))</f>
        <v/>
      </c>
      <c r="N1083" s="53">
        <f t="array" ref="N1083">IFERROR(INDEX(EXCEPCIONES_FECHA!$E$2:$E$201,MATCH(1,(EXCEPCIONES_FECHA!$A$2:$A$201=$A1083)*(EXCEPCIONES_FECHA!$B$2:$B$201=$B1083),0)),IFERROR(INDEX(EXCEPCIONES_FECHA!$E$2:$E$201,MATCH(1,(EXCEPCIONES_FECHA!$A$2:$A$201=$A1083)*(EXCEPCIONES_FECHA!$B$2:$B$201=""),0)),IFERROR(INDEX(IF($I1083="FIN",HISTORIAL_HORARIOS!$K$2:$K$201,HISTORIAL_HORARIOS!$G$2:$G$201),MATCH(1,(HISTORIAL_HORARIOS!$A$2:$A$201=$B1083)*(HISTORIAL_HORARIOS!$C$2:$C$201&lt;=$A1083)*(HISTORIAL_HORARIOS!$D$2:$D$201&gt;=$A1083),0)),INDEX(IF($I1083="FIN",PERSONAL!$K$2:$K$80,PERSONAL!$G$2:$G$80),MATCH($B1083,PERSONAL!$A$2:$A$80,0)))))</f>
        <v/>
      </c>
      <c r="O1083" s="53">
        <f t="array" ref="O1083">IFERROR(INDEX(EXCEPCIONES_FECHA!$F$2:$F$201,MATCH(1,(EXCEPCIONES_FECHA!$A$2:$A$201=$A1083)*(EXCEPCIONES_FECHA!$B$2:$B$201=$B1083),0)),IFERROR(INDEX(EXCEPCIONES_FECHA!$F$2:$F$201,MATCH(1,(EXCEPCIONES_FECHA!$A$2:$A$201=$A1083)*(EXCEPCIONES_FECHA!$B$2:$B$201=""),0)),IFERROR(INDEX(IF($I1083="FIN",HISTORIAL_HORARIOS!$L$2:$L$201,HISTORIAL_HORARIOS!$H$2:$H$201),MATCH(1,(HISTORIAL_HORARIOS!$A$2:$A$201=$B1083)*(HISTORIAL_HORARIOS!$C$2:$C$201&lt;=$A1083)*(HISTORIAL_HORARIOS!$D$2:$D$201&gt;=$A1083),0)),INDEX(IF($I1083="FIN",PERSONAL!$L$2:$L$80,PERSONAL!$H$2:$H$80),MATCH($B1083,PERSONAL!$A$2:$A$80,0)))))</f>
        <v/>
      </c>
    </row>
    <row r="1084" ht="15" customHeight="1" s="58">
      <c r="A1084" s="40" t="n"/>
      <c r="B1084" s="38" t="n"/>
      <c r="C1084" s="40" t="n"/>
      <c r="D1084" s="40" t="n"/>
      <c r="E1084" s="34">
        <f t="array" ref="E1084">IF($B1084="","",IFERROR(INDEX(PERSONAL!$B$2:$B$80,MATCH($B1084,PERSONAL!$A$2:$A$80,0)),"NO EXISTE"))</f>
        <v/>
      </c>
      <c r="F1084" s="34">
        <f t="array" ref="F1084">IF($B1084="","",IFERROR(INDEX(PERSONAL!$C$2:$C$80,MATCH($B1084,PERSONAL!$A$2:$A$80,0)),""))</f>
        <v/>
      </c>
      <c r="G1084" s="34">
        <f>IF($A1084="","",CHOOSE(WEEKDAY($A1084,2),"LUNES","MARTES","MIÉRCOLES","JUEVES","VIERNES","SÁBADO","DOMINGO"))</f>
        <v/>
      </c>
      <c r="H1084" s="34">
        <f>IF($A1084="","",CHOOSE(MONTH($A1084),"ENERO","FEBRERO","MARZO","ABRIL","MAYO","JUNIO","JULIO","AGOSTO","SEPTIEMBRE","OCTUBRE","NOVIEMBRE","DICIEMBRE"))</f>
        <v/>
      </c>
      <c r="I1084" s="34">
        <f>IF($A1084="","",IF(OR($G1084="SÁBADO",$G1084="DOMINGO"),"FIN","LV"))</f>
        <v/>
      </c>
      <c r="J1084" s="34">
        <f>IF(OR($A1084="",$B1084=""),"",IF($L1084&lt;&gt;"",UPPER($L1084),IF($C1084="","FALTA",IFERROR(IF($C1084&gt;=$O1084,"ROJO FUERTE",IF($C1084&gt;=$N1084,"ROJO",IF($C1084&gt;=$M1084,"AMARILLO","VERDE"))),"REVISAR"))))</f>
        <v/>
      </c>
      <c r="K1084" s="36">
        <f>IF(OR($C1084="",$D1084=""),"",IF($D1084&gt;=$C1084,($D1084-$C1084)*24,(1-$C1084+$D1084)*24))</f>
        <v/>
      </c>
      <c r="L1084" s="34" t="n"/>
      <c r="M1084" s="53">
        <f t="array" ref="M1084">IFERROR(INDEX(EXCEPCIONES_FECHA!$D$2:$D$201,MATCH(1,(EXCEPCIONES_FECHA!$A$2:$A$201=$A1084)*(EXCEPCIONES_FECHA!$B$2:$B$201=$B1084),0)),IFERROR(INDEX(EXCEPCIONES_FECHA!$D$2:$D$201,MATCH(1,(EXCEPCIONES_FECHA!$A$2:$A$201=$A1084)*(EXCEPCIONES_FECHA!$B$2:$B$201=""),0)),IFERROR(INDEX(IF($I1084="FIN",HISTORIAL_HORARIOS!$J$2:$J$201,HISTORIAL_HORARIOS!$F$2:$F$201),MATCH(1,(HISTORIAL_HORARIOS!$A$2:$A$201=$B1084)*(HISTORIAL_HORARIOS!$C$2:$C$201&lt;=$A1084)*(HISTORIAL_HORARIOS!$D$2:$D$201&gt;=$A1084),0)),INDEX(IF($I1084="FIN",PERSONAL!$J$2:$J$80,PERSONAL!$F$2:$F$80),MATCH($B1084,PERSONAL!$A$2:$A$80,0)))))</f>
        <v/>
      </c>
      <c r="N1084" s="53">
        <f t="array" ref="N1084">IFERROR(INDEX(EXCEPCIONES_FECHA!$E$2:$E$201,MATCH(1,(EXCEPCIONES_FECHA!$A$2:$A$201=$A1084)*(EXCEPCIONES_FECHA!$B$2:$B$201=$B1084),0)),IFERROR(INDEX(EXCEPCIONES_FECHA!$E$2:$E$201,MATCH(1,(EXCEPCIONES_FECHA!$A$2:$A$201=$A1084)*(EXCEPCIONES_FECHA!$B$2:$B$201=""),0)),IFERROR(INDEX(IF($I1084="FIN",HISTORIAL_HORARIOS!$K$2:$K$201,HISTORIAL_HORARIOS!$G$2:$G$201),MATCH(1,(HISTORIAL_HORARIOS!$A$2:$A$201=$B1084)*(HISTORIAL_HORARIOS!$C$2:$C$201&lt;=$A1084)*(HISTORIAL_HORARIOS!$D$2:$D$201&gt;=$A1084),0)),INDEX(IF($I1084="FIN",PERSONAL!$K$2:$K$80,PERSONAL!$G$2:$G$80),MATCH($B1084,PERSONAL!$A$2:$A$80,0)))))</f>
        <v/>
      </c>
      <c r="O1084" s="53">
        <f t="array" ref="O1084">IFERROR(INDEX(EXCEPCIONES_FECHA!$F$2:$F$201,MATCH(1,(EXCEPCIONES_FECHA!$A$2:$A$201=$A1084)*(EXCEPCIONES_FECHA!$B$2:$B$201=$B1084),0)),IFERROR(INDEX(EXCEPCIONES_FECHA!$F$2:$F$201,MATCH(1,(EXCEPCIONES_FECHA!$A$2:$A$201=$A1084)*(EXCEPCIONES_FECHA!$B$2:$B$201=""),0)),IFERROR(INDEX(IF($I1084="FIN",HISTORIAL_HORARIOS!$L$2:$L$201,HISTORIAL_HORARIOS!$H$2:$H$201),MATCH(1,(HISTORIAL_HORARIOS!$A$2:$A$201=$B1084)*(HISTORIAL_HORARIOS!$C$2:$C$201&lt;=$A1084)*(HISTORIAL_HORARIOS!$D$2:$D$201&gt;=$A1084),0)),INDEX(IF($I1084="FIN",PERSONAL!$L$2:$L$80,PERSONAL!$H$2:$H$80),MATCH($B1084,PERSONAL!$A$2:$A$80,0)))))</f>
        <v/>
      </c>
    </row>
    <row r="1085" ht="15" customHeight="1" s="58">
      <c r="A1085" s="40" t="n"/>
      <c r="B1085" s="38" t="n"/>
      <c r="C1085" s="40" t="n"/>
      <c r="D1085" s="40" t="n"/>
      <c r="E1085" s="34">
        <f t="array" ref="E1085">IF($B1085="","",IFERROR(INDEX(PERSONAL!$B$2:$B$80,MATCH($B1085,PERSONAL!$A$2:$A$80,0)),"NO EXISTE"))</f>
        <v/>
      </c>
      <c r="F1085" s="34">
        <f t="array" ref="F1085">IF($B1085="","",IFERROR(INDEX(PERSONAL!$C$2:$C$80,MATCH($B1085,PERSONAL!$A$2:$A$80,0)),""))</f>
        <v/>
      </c>
      <c r="G1085" s="34">
        <f>IF($A1085="","",CHOOSE(WEEKDAY($A1085,2),"LUNES","MARTES","MIÉRCOLES","JUEVES","VIERNES","SÁBADO","DOMINGO"))</f>
        <v/>
      </c>
      <c r="H1085" s="34">
        <f>IF($A1085="","",CHOOSE(MONTH($A1085),"ENERO","FEBRERO","MARZO","ABRIL","MAYO","JUNIO","JULIO","AGOSTO","SEPTIEMBRE","OCTUBRE","NOVIEMBRE","DICIEMBRE"))</f>
        <v/>
      </c>
      <c r="I1085" s="34">
        <f>IF($A1085="","",IF(OR($G1085="SÁBADO",$G1085="DOMINGO"),"FIN","LV"))</f>
        <v/>
      </c>
      <c r="J1085" s="34">
        <f>IF(OR($A1085="",$B1085=""),"",IF($L1085&lt;&gt;"",UPPER($L1085),IF($C1085="","FALTA",IFERROR(IF($C1085&gt;=$O1085,"ROJO FUERTE",IF($C1085&gt;=$N1085,"ROJO",IF($C1085&gt;=$M1085,"AMARILLO","VERDE"))),"REVISAR"))))</f>
        <v/>
      </c>
      <c r="K1085" s="36">
        <f>IF(OR($C1085="",$D1085=""),"",IF($D1085&gt;=$C1085,($D1085-$C1085)*24,(1-$C1085+$D1085)*24))</f>
        <v/>
      </c>
      <c r="L1085" s="34" t="n"/>
      <c r="M1085" s="53">
        <f t="array" ref="M1085">IFERROR(INDEX(EXCEPCIONES_FECHA!$D$2:$D$201,MATCH(1,(EXCEPCIONES_FECHA!$A$2:$A$201=$A1085)*(EXCEPCIONES_FECHA!$B$2:$B$201=$B1085),0)),IFERROR(INDEX(EXCEPCIONES_FECHA!$D$2:$D$201,MATCH(1,(EXCEPCIONES_FECHA!$A$2:$A$201=$A1085)*(EXCEPCIONES_FECHA!$B$2:$B$201=""),0)),IFERROR(INDEX(IF($I1085="FIN",HISTORIAL_HORARIOS!$J$2:$J$201,HISTORIAL_HORARIOS!$F$2:$F$201),MATCH(1,(HISTORIAL_HORARIOS!$A$2:$A$201=$B1085)*(HISTORIAL_HORARIOS!$C$2:$C$201&lt;=$A1085)*(HISTORIAL_HORARIOS!$D$2:$D$201&gt;=$A1085),0)),INDEX(IF($I1085="FIN",PERSONAL!$J$2:$J$80,PERSONAL!$F$2:$F$80),MATCH($B1085,PERSONAL!$A$2:$A$80,0)))))</f>
        <v/>
      </c>
      <c r="N1085" s="53">
        <f t="array" ref="N1085">IFERROR(INDEX(EXCEPCIONES_FECHA!$E$2:$E$201,MATCH(1,(EXCEPCIONES_FECHA!$A$2:$A$201=$A1085)*(EXCEPCIONES_FECHA!$B$2:$B$201=$B1085),0)),IFERROR(INDEX(EXCEPCIONES_FECHA!$E$2:$E$201,MATCH(1,(EXCEPCIONES_FECHA!$A$2:$A$201=$A1085)*(EXCEPCIONES_FECHA!$B$2:$B$201=""),0)),IFERROR(INDEX(IF($I1085="FIN",HISTORIAL_HORARIOS!$K$2:$K$201,HISTORIAL_HORARIOS!$G$2:$G$201),MATCH(1,(HISTORIAL_HORARIOS!$A$2:$A$201=$B1085)*(HISTORIAL_HORARIOS!$C$2:$C$201&lt;=$A1085)*(HISTORIAL_HORARIOS!$D$2:$D$201&gt;=$A1085),0)),INDEX(IF($I1085="FIN",PERSONAL!$K$2:$K$80,PERSONAL!$G$2:$G$80),MATCH($B1085,PERSONAL!$A$2:$A$80,0)))))</f>
        <v/>
      </c>
      <c r="O1085" s="53">
        <f t="array" ref="O1085">IFERROR(INDEX(EXCEPCIONES_FECHA!$F$2:$F$201,MATCH(1,(EXCEPCIONES_FECHA!$A$2:$A$201=$A1085)*(EXCEPCIONES_FECHA!$B$2:$B$201=$B1085),0)),IFERROR(INDEX(EXCEPCIONES_FECHA!$F$2:$F$201,MATCH(1,(EXCEPCIONES_FECHA!$A$2:$A$201=$A1085)*(EXCEPCIONES_FECHA!$B$2:$B$201=""),0)),IFERROR(INDEX(IF($I1085="FIN",HISTORIAL_HORARIOS!$L$2:$L$201,HISTORIAL_HORARIOS!$H$2:$H$201),MATCH(1,(HISTORIAL_HORARIOS!$A$2:$A$201=$B1085)*(HISTORIAL_HORARIOS!$C$2:$C$201&lt;=$A1085)*(HISTORIAL_HORARIOS!$D$2:$D$201&gt;=$A1085),0)),INDEX(IF($I1085="FIN",PERSONAL!$L$2:$L$80,PERSONAL!$H$2:$H$80),MATCH($B1085,PERSONAL!$A$2:$A$80,0)))))</f>
        <v/>
      </c>
    </row>
    <row r="1086" ht="15" customHeight="1" s="58">
      <c r="A1086" s="40" t="n"/>
      <c r="B1086" s="38" t="n"/>
      <c r="C1086" s="40" t="n"/>
      <c r="D1086" s="40" t="n"/>
      <c r="E1086" s="34">
        <f t="array" ref="E1086">IF($B1086="","",IFERROR(INDEX(PERSONAL!$B$2:$B$80,MATCH($B1086,PERSONAL!$A$2:$A$80,0)),"NO EXISTE"))</f>
        <v/>
      </c>
      <c r="F1086" s="34">
        <f t="array" ref="F1086">IF($B1086="","",IFERROR(INDEX(PERSONAL!$C$2:$C$80,MATCH($B1086,PERSONAL!$A$2:$A$80,0)),""))</f>
        <v/>
      </c>
      <c r="G1086" s="34">
        <f>IF($A1086="","",CHOOSE(WEEKDAY($A1086,2),"LUNES","MARTES","MIÉRCOLES","JUEVES","VIERNES","SÁBADO","DOMINGO"))</f>
        <v/>
      </c>
      <c r="H1086" s="34">
        <f>IF($A1086="","",CHOOSE(MONTH($A1086),"ENERO","FEBRERO","MARZO","ABRIL","MAYO","JUNIO","JULIO","AGOSTO","SEPTIEMBRE","OCTUBRE","NOVIEMBRE","DICIEMBRE"))</f>
        <v/>
      </c>
      <c r="I1086" s="34">
        <f>IF($A1086="","",IF(OR($G1086="SÁBADO",$G1086="DOMINGO"),"FIN","LV"))</f>
        <v/>
      </c>
      <c r="J1086" s="34">
        <f>IF(OR($A1086="",$B1086=""),"",IF($L1086&lt;&gt;"",UPPER($L1086),IF($C1086="","FALTA",IFERROR(IF($C1086&gt;=$O1086,"ROJO FUERTE",IF($C1086&gt;=$N1086,"ROJO",IF($C1086&gt;=$M1086,"AMARILLO","VERDE"))),"REVISAR"))))</f>
        <v/>
      </c>
      <c r="K1086" s="36">
        <f>IF(OR($C1086="",$D1086=""),"",IF($D1086&gt;=$C1086,($D1086-$C1086)*24,(1-$C1086+$D1086)*24))</f>
        <v/>
      </c>
      <c r="L1086" s="34" t="n"/>
      <c r="M1086" s="53">
        <f t="array" ref="M1086">IFERROR(INDEX(EXCEPCIONES_FECHA!$D$2:$D$201,MATCH(1,(EXCEPCIONES_FECHA!$A$2:$A$201=$A1086)*(EXCEPCIONES_FECHA!$B$2:$B$201=$B1086),0)),IFERROR(INDEX(EXCEPCIONES_FECHA!$D$2:$D$201,MATCH(1,(EXCEPCIONES_FECHA!$A$2:$A$201=$A1086)*(EXCEPCIONES_FECHA!$B$2:$B$201=""),0)),IFERROR(INDEX(IF($I1086="FIN",HISTORIAL_HORARIOS!$J$2:$J$201,HISTORIAL_HORARIOS!$F$2:$F$201),MATCH(1,(HISTORIAL_HORARIOS!$A$2:$A$201=$B1086)*(HISTORIAL_HORARIOS!$C$2:$C$201&lt;=$A1086)*(HISTORIAL_HORARIOS!$D$2:$D$201&gt;=$A1086),0)),INDEX(IF($I1086="FIN",PERSONAL!$J$2:$J$80,PERSONAL!$F$2:$F$80),MATCH($B1086,PERSONAL!$A$2:$A$80,0)))))</f>
        <v/>
      </c>
      <c r="N1086" s="53">
        <f t="array" ref="N1086">IFERROR(INDEX(EXCEPCIONES_FECHA!$E$2:$E$201,MATCH(1,(EXCEPCIONES_FECHA!$A$2:$A$201=$A1086)*(EXCEPCIONES_FECHA!$B$2:$B$201=$B1086),0)),IFERROR(INDEX(EXCEPCIONES_FECHA!$E$2:$E$201,MATCH(1,(EXCEPCIONES_FECHA!$A$2:$A$201=$A1086)*(EXCEPCIONES_FECHA!$B$2:$B$201=""),0)),IFERROR(INDEX(IF($I1086="FIN",HISTORIAL_HORARIOS!$K$2:$K$201,HISTORIAL_HORARIOS!$G$2:$G$201),MATCH(1,(HISTORIAL_HORARIOS!$A$2:$A$201=$B1086)*(HISTORIAL_HORARIOS!$C$2:$C$201&lt;=$A1086)*(HISTORIAL_HORARIOS!$D$2:$D$201&gt;=$A1086),0)),INDEX(IF($I1086="FIN",PERSONAL!$K$2:$K$80,PERSONAL!$G$2:$G$80),MATCH($B1086,PERSONAL!$A$2:$A$80,0)))))</f>
        <v/>
      </c>
      <c r="O1086" s="53">
        <f t="array" ref="O1086">IFERROR(INDEX(EXCEPCIONES_FECHA!$F$2:$F$201,MATCH(1,(EXCEPCIONES_FECHA!$A$2:$A$201=$A1086)*(EXCEPCIONES_FECHA!$B$2:$B$201=$B1086),0)),IFERROR(INDEX(EXCEPCIONES_FECHA!$F$2:$F$201,MATCH(1,(EXCEPCIONES_FECHA!$A$2:$A$201=$A1086)*(EXCEPCIONES_FECHA!$B$2:$B$201=""),0)),IFERROR(INDEX(IF($I1086="FIN",HISTORIAL_HORARIOS!$L$2:$L$201,HISTORIAL_HORARIOS!$H$2:$H$201),MATCH(1,(HISTORIAL_HORARIOS!$A$2:$A$201=$B1086)*(HISTORIAL_HORARIOS!$C$2:$C$201&lt;=$A1086)*(HISTORIAL_HORARIOS!$D$2:$D$201&gt;=$A1086),0)),INDEX(IF($I1086="FIN",PERSONAL!$L$2:$L$80,PERSONAL!$H$2:$H$80),MATCH($B1086,PERSONAL!$A$2:$A$80,0)))))</f>
        <v/>
      </c>
    </row>
    <row r="1087" ht="15" customHeight="1" s="58">
      <c r="A1087" s="40" t="n"/>
      <c r="B1087" s="38" t="n"/>
      <c r="C1087" s="40" t="n"/>
      <c r="D1087" s="40" t="n"/>
      <c r="E1087" s="34">
        <f t="array" ref="E1087">IF($B1087="","",IFERROR(INDEX(PERSONAL!$B$2:$B$80,MATCH($B1087,PERSONAL!$A$2:$A$80,0)),"NO EXISTE"))</f>
        <v/>
      </c>
      <c r="F1087" s="34">
        <f t="array" ref="F1087">IF($B1087="","",IFERROR(INDEX(PERSONAL!$C$2:$C$80,MATCH($B1087,PERSONAL!$A$2:$A$80,0)),""))</f>
        <v/>
      </c>
      <c r="G1087" s="34">
        <f>IF($A1087="","",CHOOSE(WEEKDAY($A1087,2),"LUNES","MARTES","MIÉRCOLES","JUEVES","VIERNES","SÁBADO","DOMINGO"))</f>
        <v/>
      </c>
      <c r="H1087" s="34">
        <f>IF($A1087="","",CHOOSE(MONTH($A1087),"ENERO","FEBRERO","MARZO","ABRIL","MAYO","JUNIO","JULIO","AGOSTO","SEPTIEMBRE","OCTUBRE","NOVIEMBRE","DICIEMBRE"))</f>
        <v/>
      </c>
      <c r="I1087" s="34">
        <f>IF($A1087="","",IF(OR($G1087="SÁBADO",$G1087="DOMINGO"),"FIN","LV"))</f>
        <v/>
      </c>
      <c r="J1087" s="34">
        <f>IF(OR($A1087="",$B1087=""),"",IF($L1087&lt;&gt;"",UPPER($L1087),IF($C1087="","FALTA",IFERROR(IF($C1087&gt;=$O1087,"ROJO FUERTE",IF($C1087&gt;=$N1087,"ROJO",IF($C1087&gt;=$M1087,"AMARILLO","VERDE"))),"REVISAR"))))</f>
        <v/>
      </c>
      <c r="K1087" s="36">
        <f>IF(OR($C1087="",$D1087=""),"",IF($D1087&gt;=$C1087,($D1087-$C1087)*24,(1-$C1087+$D1087)*24))</f>
        <v/>
      </c>
      <c r="L1087" s="34" t="n"/>
      <c r="M1087" s="53">
        <f t="array" ref="M1087">IFERROR(INDEX(EXCEPCIONES_FECHA!$D$2:$D$201,MATCH(1,(EXCEPCIONES_FECHA!$A$2:$A$201=$A1087)*(EXCEPCIONES_FECHA!$B$2:$B$201=$B1087),0)),IFERROR(INDEX(EXCEPCIONES_FECHA!$D$2:$D$201,MATCH(1,(EXCEPCIONES_FECHA!$A$2:$A$201=$A1087)*(EXCEPCIONES_FECHA!$B$2:$B$201=""),0)),IFERROR(INDEX(IF($I1087="FIN",HISTORIAL_HORARIOS!$J$2:$J$201,HISTORIAL_HORARIOS!$F$2:$F$201),MATCH(1,(HISTORIAL_HORARIOS!$A$2:$A$201=$B1087)*(HISTORIAL_HORARIOS!$C$2:$C$201&lt;=$A1087)*(HISTORIAL_HORARIOS!$D$2:$D$201&gt;=$A1087),0)),INDEX(IF($I1087="FIN",PERSONAL!$J$2:$J$80,PERSONAL!$F$2:$F$80),MATCH($B1087,PERSONAL!$A$2:$A$80,0)))))</f>
        <v/>
      </c>
      <c r="N1087" s="53">
        <f t="array" ref="N1087">IFERROR(INDEX(EXCEPCIONES_FECHA!$E$2:$E$201,MATCH(1,(EXCEPCIONES_FECHA!$A$2:$A$201=$A1087)*(EXCEPCIONES_FECHA!$B$2:$B$201=$B1087),0)),IFERROR(INDEX(EXCEPCIONES_FECHA!$E$2:$E$201,MATCH(1,(EXCEPCIONES_FECHA!$A$2:$A$201=$A1087)*(EXCEPCIONES_FECHA!$B$2:$B$201=""),0)),IFERROR(INDEX(IF($I1087="FIN",HISTORIAL_HORARIOS!$K$2:$K$201,HISTORIAL_HORARIOS!$G$2:$G$201),MATCH(1,(HISTORIAL_HORARIOS!$A$2:$A$201=$B1087)*(HISTORIAL_HORARIOS!$C$2:$C$201&lt;=$A1087)*(HISTORIAL_HORARIOS!$D$2:$D$201&gt;=$A1087),0)),INDEX(IF($I1087="FIN",PERSONAL!$K$2:$K$80,PERSONAL!$G$2:$G$80),MATCH($B1087,PERSONAL!$A$2:$A$80,0)))))</f>
        <v/>
      </c>
      <c r="O1087" s="53">
        <f t="array" ref="O1087">IFERROR(INDEX(EXCEPCIONES_FECHA!$F$2:$F$201,MATCH(1,(EXCEPCIONES_FECHA!$A$2:$A$201=$A1087)*(EXCEPCIONES_FECHA!$B$2:$B$201=$B1087),0)),IFERROR(INDEX(EXCEPCIONES_FECHA!$F$2:$F$201,MATCH(1,(EXCEPCIONES_FECHA!$A$2:$A$201=$A1087)*(EXCEPCIONES_FECHA!$B$2:$B$201=""),0)),IFERROR(INDEX(IF($I1087="FIN",HISTORIAL_HORARIOS!$L$2:$L$201,HISTORIAL_HORARIOS!$H$2:$H$201),MATCH(1,(HISTORIAL_HORARIOS!$A$2:$A$201=$B1087)*(HISTORIAL_HORARIOS!$C$2:$C$201&lt;=$A1087)*(HISTORIAL_HORARIOS!$D$2:$D$201&gt;=$A1087),0)),INDEX(IF($I1087="FIN",PERSONAL!$L$2:$L$80,PERSONAL!$H$2:$H$80),MATCH($B1087,PERSONAL!$A$2:$A$80,0)))))</f>
        <v/>
      </c>
    </row>
    <row r="1088" ht="15" customHeight="1" s="58">
      <c r="A1088" s="40" t="n"/>
      <c r="B1088" s="38" t="n"/>
      <c r="C1088" s="40" t="n"/>
      <c r="D1088" s="40" t="n"/>
      <c r="E1088" s="34">
        <f t="array" ref="E1088">IF($B1088="","",IFERROR(INDEX(PERSONAL!$B$2:$B$80,MATCH($B1088,PERSONAL!$A$2:$A$80,0)),"NO EXISTE"))</f>
        <v/>
      </c>
      <c r="F1088" s="34">
        <f t="array" ref="F1088">IF($B1088="","",IFERROR(INDEX(PERSONAL!$C$2:$C$80,MATCH($B1088,PERSONAL!$A$2:$A$80,0)),""))</f>
        <v/>
      </c>
      <c r="G1088" s="34">
        <f>IF($A1088="","",CHOOSE(WEEKDAY($A1088,2),"LUNES","MARTES","MIÉRCOLES","JUEVES","VIERNES","SÁBADO","DOMINGO"))</f>
        <v/>
      </c>
      <c r="H1088" s="34">
        <f>IF($A1088="","",CHOOSE(MONTH($A1088),"ENERO","FEBRERO","MARZO","ABRIL","MAYO","JUNIO","JULIO","AGOSTO","SEPTIEMBRE","OCTUBRE","NOVIEMBRE","DICIEMBRE"))</f>
        <v/>
      </c>
      <c r="I1088" s="34">
        <f>IF($A1088="","",IF(OR($G1088="SÁBADO",$G1088="DOMINGO"),"FIN","LV"))</f>
        <v/>
      </c>
      <c r="J1088" s="34">
        <f>IF(OR($A1088="",$B1088=""),"",IF($L1088&lt;&gt;"",UPPER($L1088),IF($C1088="","FALTA",IFERROR(IF($C1088&gt;=$O1088,"ROJO FUERTE",IF($C1088&gt;=$N1088,"ROJO",IF($C1088&gt;=$M1088,"AMARILLO","VERDE"))),"REVISAR"))))</f>
        <v/>
      </c>
      <c r="K1088" s="36">
        <f>IF(OR($C1088="",$D1088=""),"",IF($D1088&gt;=$C1088,($D1088-$C1088)*24,(1-$C1088+$D1088)*24))</f>
        <v/>
      </c>
      <c r="L1088" s="34" t="n"/>
      <c r="M1088" s="53">
        <f t="array" ref="M1088">IFERROR(INDEX(EXCEPCIONES_FECHA!$D$2:$D$201,MATCH(1,(EXCEPCIONES_FECHA!$A$2:$A$201=$A1088)*(EXCEPCIONES_FECHA!$B$2:$B$201=$B1088),0)),IFERROR(INDEX(EXCEPCIONES_FECHA!$D$2:$D$201,MATCH(1,(EXCEPCIONES_FECHA!$A$2:$A$201=$A1088)*(EXCEPCIONES_FECHA!$B$2:$B$201=""),0)),IFERROR(INDEX(IF($I1088="FIN",HISTORIAL_HORARIOS!$J$2:$J$201,HISTORIAL_HORARIOS!$F$2:$F$201),MATCH(1,(HISTORIAL_HORARIOS!$A$2:$A$201=$B1088)*(HISTORIAL_HORARIOS!$C$2:$C$201&lt;=$A1088)*(HISTORIAL_HORARIOS!$D$2:$D$201&gt;=$A1088),0)),INDEX(IF($I1088="FIN",PERSONAL!$J$2:$J$80,PERSONAL!$F$2:$F$80),MATCH($B1088,PERSONAL!$A$2:$A$80,0)))))</f>
        <v/>
      </c>
      <c r="N1088" s="53">
        <f t="array" ref="N1088">IFERROR(INDEX(EXCEPCIONES_FECHA!$E$2:$E$201,MATCH(1,(EXCEPCIONES_FECHA!$A$2:$A$201=$A1088)*(EXCEPCIONES_FECHA!$B$2:$B$201=$B1088),0)),IFERROR(INDEX(EXCEPCIONES_FECHA!$E$2:$E$201,MATCH(1,(EXCEPCIONES_FECHA!$A$2:$A$201=$A1088)*(EXCEPCIONES_FECHA!$B$2:$B$201=""),0)),IFERROR(INDEX(IF($I1088="FIN",HISTORIAL_HORARIOS!$K$2:$K$201,HISTORIAL_HORARIOS!$G$2:$G$201),MATCH(1,(HISTORIAL_HORARIOS!$A$2:$A$201=$B1088)*(HISTORIAL_HORARIOS!$C$2:$C$201&lt;=$A1088)*(HISTORIAL_HORARIOS!$D$2:$D$201&gt;=$A1088),0)),INDEX(IF($I1088="FIN",PERSONAL!$K$2:$K$80,PERSONAL!$G$2:$G$80),MATCH($B1088,PERSONAL!$A$2:$A$80,0)))))</f>
        <v/>
      </c>
      <c r="O1088" s="53">
        <f t="array" ref="O1088">IFERROR(INDEX(EXCEPCIONES_FECHA!$F$2:$F$201,MATCH(1,(EXCEPCIONES_FECHA!$A$2:$A$201=$A1088)*(EXCEPCIONES_FECHA!$B$2:$B$201=$B1088),0)),IFERROR(INDEX(EXCEPCIONES_FECHA!$F$2:$F$201,MATCH(1,(EXCEPCIONES_FECHA!$A$2:$A$201=$A1088)*(EXCEPCIONES_FECHA!$B$2:$B$201=""),0)),IFERROR(INDEX(IF($I1088="FIN",HISTORIAL_HORARIOS!$L$2:$L$201,HISTORIAL_HORARIOS!$H$2:$H$201),MATCH(1,(HISTORIAL_HORARIOS!$A$2:$A$201=$B1088)*(HISTORIAL_HORARIOS!$C$2:$C$201&lt;=$A1088)*(HISTORIAL_HORARIOS!$D$2:$D$201&gt;=$A1088),0)),INDEX(IF($I1088="FIN",PERSONAL!$L$2:$L$80,PERSONAL!$H$2:$H$80),MATCH($B1088,PERSONAL!$A$2:$A$80,0)))))</f>
        <v/>
      </c>
    </row>
    <row r="1089" ht="15" customHeight="1" s="58">
      <c r="A1089" s="40" t="n"/>
      <c r="B1089" s="38" t="n"/>
      <c r="C1089" s="40" t="n"/>
      <c r="D1089" s="40" t="n"/>
      <c r="E1089" s="34">
        <f t="array" ref="E1089">IF($B1089="","",IFERROR(INDEX(PERSONAL!$B$2:$B$80,MATCH($B1089,PERSONAL!$A$2:$A$80,0)),"NO EXISTE"))</f>
        <v/>
      </c>
      <c r="F1089" s="34">
        <f t="array" ref="F1089">IF($B1089="","",IFERROR(INDEX(PERSONAL!$C$2:$C$80,MATCH($B1089,PERSONAL!$A$2:$A$80,0)),""))</f>
        <v/>
      </c>
      <c r="G1089" s="34">
        <f>IF($A1089="","",CHOOSE(WEEKDAY($A1089,2),"LUNES","MARTES","MIÉRCOLES","JUEVES","VIERNES","SÁBADO","DOMINGO"))</f>
        <v/>
      </c>
      <c r="H1089" s="34">
        <f>IF($A1089="","",CHOOSE(MONTH($A1089),"ENERO","FEBRERO","MARZO","ABRIL","MAYO","JUNIO","JULIO","AGOSTO","SEPTIEMBRE","OCTUBRE","NOVIEMBRE","DICIEMBRE"))</f>
        <v/>
      </c>
      <c r="I1089" s="34">
        <f>IF($A1089="","",IF(OR($G1089="SÁBADO",$G1089="DOMINGO"),"FIN","LV"))</f>
        <v/>
      </c>
      <c r="J1089" s="34">
        <f>IF(OR($A1089="",$B1089=""),"",IF($L1089&lt;&gt;"",UPPER($L1089),IF($C1089="","FALTA",IFERROR(IF($C1089&gt;=$O1089,"ROJO FUERTE",IF($C1089&gt;=$N1089,"ROJO",IF($C1089&gt;=$M1089,"AMARILLO","VERDE"))),"REVISAR"))))</f>
        <v/>
      </c>
      <c r="K1089" s="36">
        <f>IF(OR($C1089="",$D1089=""),"",IF($D1089&gt;=$C1089,($D1089-$C1089)*24,(1-$C1089+$D1089)*24))</f>
        <v/>
      </c>
      <c r="L1089" s="34" t="n"/>
      <c r="M1089" s="53">
        <f t="array" ref="M1089">IFERROR(INDEX(EXCEPCIONES_FECHA!$D$2:$D$201,MATCH(1,(EXCEPCIONES_FECHA!$A$2:$A$201=$A1089)*(EXCEPCIONES_FECHA!$B$2:$B$201=$B1089),0)),IFERROR(INDEX(EXCEPCIONES_FECHA!$D$2:$D$201,MATCH(1,(EXCEPCIONES_FECHA!$A$2:$A$201=$A1089)*(EXCEPCIONES_FECHA!$B$2:$B$201=""),0)),IFERROR(INDEX(IF($I1089="FIN",HISTORIAL_HORARIOS!$J$2:$J$201,HISTORIAL_HORARIOS!$F$2:$F$201),MATCH(1,(HISTORIAL_HORARIOS!$A$2:$A$201=$B1089)*(HISTORIAL_HORARIOS!$C$2:$C$201&lt;=$A1089)*(HISTORIAL_HORARIOS!$D$2:$D$201&gt;=$A1089),0)),INDEX(IF($I1089="FIN",PERSONAL!$J$2:$J$80,PERSONAL!$F$2:$F$80),MATCH($B1089,PERSONAL!$A$2:$A$80,0)))))</f>
        <v/>
      </c>
      <c r="N1089" s="53">
        <f t="array" ref="N1089">IFERROR(INDEX(EXCEPCIONES_FECHA!$E$2:$E$201,MATCH(1,(EXCEPCIONES_FECHA!$A$2:$A$201=$A1089)*(EXCEPCIONES_FECHA!$B$2:$B$201=$B1089),0)),IFERROR(INDEX(EXCEPCIONES_FECHA!$E$2:$E$201,MATCH(1,(EXCEPCIONES_FECHA!$A$2:$A$201=$A1089)*(EXCEPCIONES_FECHA!$B$2:$B$201=""),0)),IFERROR(INDEX(IF($I1089="FIN",HISTORIAL_HORARIOS!$K$2:$K$201,HISTORIAL_HORARIOS!$G$2:$G$201),MATCH(1,(HISTORIAL_HORARIOS!$A$2:$A$201=$B1089)*(HISTORIAL_HORARIOS!$C$2:$C$201&lt;=$A1089)*(HISTORIAL_HORARIOS!$D$2:$D$201&gt;=$A1089),0)),INDEX(IF($I1089="FIN",PERSONAL!$K$2:$K$80,PERSONAL!$G$2:$G$80),MATCH($B1089,PERSONAL!$A$2:$A$80,0)))))</f>
        <v/>
      </c>
      <c r="O1089" s="53">
        <f t="array" ref="O1089">IFERROR(INDEX(EXCEPCIONES_FECHA!$F$2:$F$201,MATCH(1,(EXCEPCIONES_FECHA!$A$2:$A$201=$A1089)*(EXCEPCIONES_FECHA!$B$2:$B$201=$B1089),0)),IFERROR(INDEX(EXCEPCIONES_FECHA!$F$2:$F$201,MATCH(1,(EXCEPCIONES_FECHA!$A$2:$A$201=$A1089)*(EXCEPCIONES_FECHA!$B$2:$B$201=""),0)),IFERROR(INDEX(IF($I1089="FIN",HISTORIAL_HORARIOS!$L$2:$L$201,HISTORIAL_HORARIOS!$H$2:$H$201),MATCH(1,(HISTORIAL_HORARIOS!$A$2:$A$201=$B1089)*(HISTORIAL_HORARIOS!$C$2:$C$201&lt;=$A1089)*(HISTORIAL_HORARIOS!$D$2:$D$201&gt;=$A1089),0)),INDEX(IF($I1089="FIN",PERSONAL!$L$2:$L$80,PERSONAL!$H$2:$H$80),MATCH($B1089,PERSONAL!$A$2:$A$80,0)))))</f>
        <v/>
      </c>
    </row>
    <row r="1090" ht="15" customHeight="1" s="58">
      <c r="A1090" s="40" t="n"/>
      <c r="B1090" s="38" t="n"/>
      <c r="C1090" s="40" t="n"/>
      <c r="D1090" s="40" t="n"/>
      <c r="E1090" s="34">
        <f t="array" ref="E1090">IF($B1090="","",IFERROR(INDEX(PERSONAL!$B$2:$B$80,MATCH($B1090,PERSONAL!$A$2:$A$80,0)),"NO EXISTE"))</f>
        <v/>
      </c>
      <c r="F1090" s="34">
        <f t="array" ref="F1090">IF($B1090="","",IFERROR(INDEX(PERSONAL!$C$2:$C$80,MATCH($B1090,PERSONAL!$A$2:$A$80,0)),""))</f>
        <v/>
      </c>
      <c r="G1090" s="34">
        <f>IF($A1090="","",CHOOSE(WEEKDAY($A1090,2),"LUNES","MARTES","MIÉRCOLES","JUEVES","VIERNES","SÁBADO","DOMINGO"))</f>
        <v/>
      </c>
      <c r="H1090" s="34">
        <f>IF($A1090="","",CHOOSE(MONTH($A1090),"ENERO","FEBRERO","MARZO","ABRIL","MAYO","JUNIO","JULIO","AGOSTO","SEPTIEMBRE","OCTUBRE","NOVIEMBRE","DICIEMBRE"))</f>
        <v/>
      </c>
      <c r="I1090" s="34">
        <f>IF($A1090="","",IF(OR($G1090="SÁBADO",$G1090="DOMINGO"),"FIN","LV"))</f>
        <v/>
      </c>
      <c r="J1090" s="34">
        <f>IF(OR($A1090="",$B1090=""),"",IF($L1090&lt;&gt;"",UPPER($L1090),IF($C1090="","FALTA",IFERROR(IF($C1090&gt;=$O1090,"ROJO FUERTE",IF($C1090&gt;=$N1090,"ROJO",IF($C1090&gt;=$M1090,"AMARILLO","VERDE"))),"REVISAR"))))</f>
        <v/>
      </c>
      <c r="K1090" s="36">
        <f>IF(OR($C1090="",$D1090=""),"",IF($D1090&gt;=$C1090,($D1090-$C1090)*24,(1-$C1090+$D1090)*24))</f>
        <v/>
      </c>
      <c r="L1090" s="34" t="n"/>
      <c r="M1090" s="53">
        <f t="array" ref="M1090">IFERROR(INDEX(EXCEPCIONES_FECHA!$D$2:$D$201,MATCH(1,(EXCEPCIONES_FECHA!$A$2:$A$201=$A1090)*(EXCEPCIONES_FECHA!$B$2:$B$201=$B1090),0)),IFERROR(INDEX(EXCEPCIONES_FECHA!$D$2:$D$201,MATCH(1,(EXCEPCIONES_FECHA!$A$2:$A$201=$A1090)*(EXCEPCIONES_FECHA!$B$2:$B$201=""),0)),IFERROR(INDEX(IF($I1090="FIN",HISTORIAL_HORARIOS!$J$2:$J$201,HISTORIAL_HORARIOS!$F$2:$F$201),MATCH(1,(HISTORIAL_HORARIOS!$A$2:$A$201=$B1090)*(HISTORIAL_HORARIOS!$C$2:$C$201&lt;=$A1090)*(HISTORIAL_HORARIOS!$D$2:$D$201&gt;=$A1090),0)),INDEX(IF($I1090="FIN",PERSONAL!$J$2:$J$80,PERSONAL!$F$2:$F$80),MATCH($B1090,PERSONAL!$A$2:$A$80,0)))))</f>
        <v/>
      </c>
      <c r="N1090" s="53">
        <f t="array" ref="N1090">IFERROR(INDEX(EXCEPCIONES_FECHA!$E$2:$E$201,MATCH(1,(EXCEPCIONES_FECHA!$A$2:$A$201=$A1090)*(EXCEPCIONES_FECHA!$B$2:$B$201=$B1090),0)),IFERROR(INDEX(EXCEPCIONES_FECHA!$E$2:$E$201,MATCH(1,(EXCEPCIONES_FECHA!$A$2:$A$201=$A1090)*(EXCEPCIONES_FECHA!$B$2:$B$201=""),0)),IFERROR(INDEX(IF($I1090="FIN",HISTORIAL_HORARIOS!$K$2:$K$201,HISTORIAL_HORARIOS!$G$2:$G$201),MATCH(1,(HISTORIAL_HORARIOS!$A$2:$A$201=$B1090)*(HISTORIAL_HORARIOS!$C$2:$C$201&lt;=$A1090)*(HISTORIAL_HORARIOS!$D$2:$D$201&gt;=$A1090),0)),INDEX(IF($I1090="FIN",PERSONAL!$K$2:$K$80,PERSONAL!$G$2:$G$80),MATCH($B1090,PERSONAL!$A$2:$A$80,0)))))</f>
        <v/>
      </c>
      <c r="O1090" s="53">
        <f t="array" ref="O1090">IFERROR(INDEX(EXCEPCIONES_FECHA!$F$2:$F$201,MATCH(1,(EXCEPCIONES_FECHA!$A$2:$A$201=$A1090)*(EXCEPCIONES_FECHA!$B$2:$B$201=$B1090),0)),IFERROR(INDEX(EXCEPCIONES_FECHA!$F$2:$F$201,MATCH(1,(EXCEPCIONES_FECHA!$A$2:$A$201=$A1090)*(EXCEPCIONES_FECHA!$B$2:$B$201=""),0)),IFERROR(INDEX(IF($I1090="FIN",HISTORIAL_HORARIOS!$L$2:$L$201,HISTORIAL_HORARIOS!$H$2:$H$201),MATCH(1,(HISTORIAL_HORARIOS!$A$2:$A$201=$B1090)*(HISTORIAL_HORARIOS!$C$2:$C$201&lt;=$A1090)*(HISTORIAL_HORARIOS!$D$2:$D$201&gt;=$A1090),0)),INDEX(IF($I1090="FIN",PERSONAL!$L$2:$L$80,PERSONAL!$H$2:$H$80),MATCH($B1090,PERSONAL!$A$2:$A$80,0)))))</f>
        <v/>
      </c>
    </row>
    <row r="1091" ht="15" customHeight="1" s="58">
      <c r="A1091" s="40" t="n"/>
      <c r="B1091" s="38" t="n"/>
      <c r="C1091" s="40" t="n"/>
      <c r="D1091" s="40" t="n"/>
      <c r="E1091" s="34">
        <f t="array" ref="E1091">IF($B1091="","",IFERROR(INDEX(PERSONAL!$B$2:$B$80,MATCH($B1091,PERSONAL!$A$2:$A$80,0)),"NO EXISTE"))</f>
        <v/>
      </c>
      <c r="F1091" s="34">
        <f t="array" ref="F1091">IF($B1091="","",IFERROR(INDEX(PERSONAL!$C$2:$C$80,MATCH($B1091,PERSONAL!$A$2:$A$80,0)),""))</f>
        <v/>
      </c>
      <c r="G1091" s="34">
        <f>IF($A1091="","",CHOOSE(WEEKDAY($A1091,2),"LUNES","MARTES","MIÉRCOLES","JUEVES","VIERNES","SÁBADO","DOMINGO"))</f>
        <v/>
      </c>
      <c r="H1091" s="34">
        <f>IF($A1091="","",CHOOSE(MONTH($A1091),"ENERO","FEBRERO","MARZO","ABRIL","MAYO","JUNIO","JULIO","AGOSTO","SEPTIEMBRE","OCTUBRE","NOVIEMBRE","DICIEMBRE"))</f>
        <v/>
      </c>
      <c r="I1091" s="34">
        <f>IF($A1091="","",IF(OR($G1091="SÁBADO",$G1091="DOMINGO"),"FIN","LV"))</f>
        <v/>
      </c>
      <c r="J1091" s="34">
        <f>IF(OR($A1091="",$B1091=""),"",IF($L1091&lt;&gt;"",UPPER($L1091),IF($C1091="","FALTA",IFERROR(IF($C1091&gt;=$O1091,"ROJO FUERTE",IF($C1091&gt;=$N1091,"ROJO",IF($C1091&gt;=$M1091,"AMARILLO","VERDE"))),"REVISAR"))))</f>
        <v/>
      </c>
      <c r="K1091" s="36">
        <f>IF(OR($C1091="",$D1091=""),"",IF($D1091&gt;=$C1091,($D1091-$C1091)*24,(1-$C1091+$D1091)*24))</f>
        <v/>
      </c>
      <c r="L1091" s="34" t="n"/>
      <c r="M1091" s="53">
        <f t="array" ref="M1091">IFERROR(INDEX(EXCEPCIONES_FECHA!$D$2:$D$201,MATCH(1,(EXCEPCIONES_FECHA!$A$2:$A$201=$A1091)*(EXCEPCIONES_FECHA!$B$2:$B$201=$B1091),0)),IFERROR(INDEX(EXCEPCIONES_FECHA!$D$2:$D$201,MATCH(1,(EXCEPCIONES_FECHA!$A$2:$A$201=$A1091)*(EXCEPCIONES_FECHA!$B$2:$B$201=""),0)),IFERROR(INDEX(IF($I1091="FIN",HISTORIAL_HORARIOS!$J$2:$J$201,HISTORIAL_HORARIOS!$F$2:$F$201),MATCH(1,(HISTORIAL_HORARIOS!$A$2:$A$201=$B1091)*(HISTORIAL_HORARIOS!$C$2:$C$201&lt;=$A1091)*(HISTORIAL_HORARIOS!$D$2:$D$201&gt;=$A1091),0)),INDEX(IF($I1091="FIN",PERSONAL!$J$2:$J$80,PERSONAL!$F$2:$F$80),MATCH($B1091,PERSONAL!$A$2:$A$80,0)))))</f>
        <v/>
      </c>
      <c r="N1091" s="53">
        <f t="array" ref="N1091">IFERROR(INDEX(EXCEPCIONES_FECHA!$E$2:$E$201,MATCH(1,(EXCEPCIONES_FECHA!$A$2:$A$201=$A1091)*(EXCEPCIONES_FECHA!$B$2:$B$201=$B1091),0)),IFERROR(INDEX(EXCEPCIONES_FECHA!$E$2:$E$201,MATCH(1,(EXCEPCIONES_FECHA!$A$2:$A$201=$A1091)*(EXCEPCIONES_FECHA!$B$2:$B$201=""),0)),IFERROR(INDEX(IF($I1091="FIN",HISTORIAL_HORARIOS!$K$2:$K$201,HISTORIAL_HORARIOS!$G$2:$G$201),MATCH(1,(HISTORIAL_HORARIOS!$A$2:$A$201=$B1091)*(HISTORIAL_HORARIOS!$C$2:$C$201&lt;=$A1091)*(HISTORIAL_HORARIOS!$D$2:$D$201&gt;=$A1091),0)),INDEX(IF($I1091="FIN",PERSONAL!$K$2:$K$80,PERSONAL!$G$2:$G$80),MATCH($B1091,PERSONAL!$A$2:$A$80,0)))))</f>
        <v/>
      </c>
      <c r="O1091" s="53">
        <f t="array" ref="O1091">IFERROR(INDEX(EXCEPCIONES_FECHA!$F$2:$F$201,MATCH(1,(EXCEPCIONES_FECHA!$A$2:$A$201=$A1091)*(EXCEPCIONES_FECHA!$B$2:$B$201=$B1091),0)),IFERROR(INDEX(EXCEPCIONES_FECHA!$F$2:$F$201,MATCH(1,(EXCEPCIONES_FECHA!$A$2:$A$201=$A1091)*(EXCEPCIONES_FECHA!$B$2:$B$201=""),0)),IFERROR(INDEX(IF($I1091="FIN",HISTORIAL_HORARIOS!$L$2:$L$201,HISTORIAL_HORARIOS!$H$2:$H$201),MATCH(1,(HISTORIAL_HORARIOS!$A$2:$A$201=$B1091)*(HISTORIAL_HORARIOS!$C$2:$C$201&lt;=$A1091)*(HISTORIAL_HORARIOS!$D$2:$D$201&gt;=$A1091),0)),INDEX(IF($I1091="FIN",PERSONAL!$L$2:$L$80,PERSONAL!$H$2:$H$80),MATCH($B1091,PERSONAL!$A$2:$A$80,0)))))</f>
        <v/>
      </c>
    </row>
    <row r="1092" ht="15" customHeight="1" s="58">
      <c r="A1092" s="40" t="n"/>
      <c r="B1092" s="38" t="n"/>
      <c r="C1092" s="40" t="n"/>
      <c r="D1092" s="40" t="n"/>
      <c r="E1092" s="34">
        <f t="array" ref="E1092">IF($B1092="","",IFERROR(INDEX(PERSONAL!$B$2:$B$80,MATCH($B1092,PERSONAL!$A$2:$A$80,0)),"NO EXISTE"))</f>
        <v/>
      </c>
      <c r="F1092" s="34">
        <f t="array" ref="F1092">IF($B1092="","",IFERROR(INDEX(PERSONAL!$C$2:$C$80,MATCH($B1092,PERSONAL!$A$2:$A$80,0)),""))</f>
        <v/>
      </c>
      <c r="G1092" s="34">
        <f>IF($A1092="","",CHOOSE(WEEKDAY($A1092,2),"LUNES","MARTES","MIÉRCOLES","JUEVES","VIERNES","SÁBADO","DOMINGO"))</f>
        <v/>
      </c>
      <c r="H1092" s="34">
        <f>IF($A1092="","",CHOOSE(MONTH($A1092),"ENERO","FEBRERO","MARZO","ABRIL","MAYO","JUNIO","JULIO","AGOSTO","SEPTIEMBRE","OCTUBRE","NOVIEMBRE","DICIEMBRE"))</f>
        <v/>
      </c>
      <c r="I1092" s="34">
        <f>IF($A1092="","",IF(OR($G1092="SÁBADO",$G1092="DOMINGO"),"FIN","LV"))</f>
        <v/>
      </c>
      <c r="J1092" s="34">
        <f>IF(OR($A1092="",$B1092=""),"",IF($L1092&lt;&gt;"",UPPER($L1092),IF($C1092="","FALTA",IFERROR(IF($C1092&gt;=$O1092,"ROJO FUERTE",IF($C1092&gt;=$N1092,"ROJO",IF($C1092&gt;=$M1092,"AMARILLO","VERDE"))),"REVISAR"))))</f>
        <v/>
      </c>
      <c r="K1092" s="36">
        <f>IF(OR($C1092="",$D1092=""),"",IF($D1092&gt;=$C1092,($D1092-$C1092)*24,(1-$C1092+$D1092)*24))</f>
        <v/>
      </c>
      <c r="L1092" s="34" t="n"/>
      <c r="M1092" s="53">
        <f t="array" ref="M1092">IFERROR(INDEX(EXCEPCIONES_FECHA!$D$2:$D$201,MATCH(1,(EXCEPCIONES_FECHA!$A$2:$A$201=$A1092)*(EXCEPCIONES_FECHA!$B$2:$B$201=$B1092),0)),IFERROR(INDEX(EXCEPCIONES_FECHA!$D$2:$D$201,MATCH(1,(EXCEPCIONES_FECHA!$A$2:$A$201=$A1092)*(EXCEPCIONES_FECHA!$B$2:$B$201=""),0)),IFERROR(INDEX(IF($I1092="FIN",HISTORIAL_HORARIOS!$J$2:$J$201,HISTORIAL_HORARIOS!$F$2:$F$201),MATCH(1,(HISTORIAL_HORARIOS!$A$2:$A$201=$B1092)*(HISTORIAL_HORARIOS!$C$2:$C$201&lt;=$A1092)*(HISTORIAL_HORARIOS!$D$2:$D$201&gt;=$A1092),0)),INDEX(IF($I1092="FIN",PERSONAL!$J$2:$J$80,PERSONAL!$F$2:$F$80),MATCH($B1092,PERSONAL!$A$2:$A$80,0)))))</f>
        <v/>
      </c>
      <c r="N1092" s="53">
        <f t="array" ref="N1092">IFERROR(INDEX(EXCEPCIONES_FECHA!$E$2:$E$201,MATCH(1,(EXCEPCIONES_FECHA!$A$2:$A$201=$A1092)*(EXCEPCIONES_FECHA!$B$2:$B$201=$B1092),0)),IFERROR(INDEX(EXCEPCIONES_FECHA!$E$2:$E$201,MATCH(1,(EXCEPCIONES_FECHA!$A$2:$A$201=$A1092)*(EXCEPCIONES_FECHA!$B$2:$B$201=""),0)),IFERROR(INDEX(IF($I1092="FIN",HISTORIAL_HORARIOS!$K$2:$K$201,HISTORIAL_HORARIOS!$G$2:$G$201),MATCH(1,(HISTORIAL_HORARIOS!$A$2:$A$201=$B1092)*(HISTORIAL_HORARIOS!$C$2:$C$201&lt;=$A1092)*(HISTORIAL_HORARIOS!$D$2:$D$201&gt;=$A1092),0)),INDEX(IF($I1092="FIN",PERSONAL!$K$2:$K$80,PERSONAL!$G$2:$G$80),MATCH($B1092,PERSONAL!$A$2:$A$80,0)))))</f>
        <v/>
      </c>
      <c r="O1092" s="53">
        <f t="array" ref="O1092">IFERROR(INDEX(EXCEPCIONES_FECHA!$F$2:$F$201,MATCH(1,(EXCEPCIONES_FECHA!$A$2:$A$201=$A1092)*(EXCEPCIONES_FECHA!$B$2:$B$201=$B1092),0)),IFERROR(INDEX(EXCEPCIONES_FECHA!$F$2:$F$201,MATCH(1,(EXCEPCIONES_FECHA!$A$2:$A$201=$A1092)*(EXCEPCIONES_FECHA!$B$2:$B$201=""),0)),IFERROR(INDEX(IF($I1092="FIN",HISTORIAL_HORARIOS!$L$2:$L$201,HISTORIAL_HORARIOS!$H$2:$H$201),MATCH(1,(HISTORIAL_HORARIOS!$A$2:$A$201=$B1092)*(HISTORIAL_HORARIOS!$C$2:$C$201&lt;=$A1092)*(HISTORIAL_HORARIOS!$D$2:$D$201&gt;=$A1092),0)),INDEX(IF($I1092="FIN",PERSONAL!$L$2:$L$80,PERSONAL!$H$2:$H$80),MATCH($B1092,PERSONAL!$A$2:$A$80,0)))))</f>
        <v/>
      </c>
    </row>
    <row r="1093" ht="15" customHeight="1" s="58">
      <c r="A1093" s="40" t="n"/>
      <c r="B1093" s="38" t="n"/>
      <c r="C1093" s="40" t="n"/>
      <c r="D1093" s="40" t="n"/>
      <c r="E1093" s="34">
        <f t="array" ref="E1093">IF($B1093="","",IFERROR(INDEX(PERSONAL!$B$2:$B$80,MATCH($B1093,PERSONAL!$A$2:$A$80,0)),"NO EXISTE"))</f>
        <v/>
      </c>
      <c r="F1093" s="34">
        <f t="array" ref="F1093">IF($B1093="","",IFERROR(INDEX(PERSONAL!$C$2:$C$80,MATCH($B1093,PERSONAL!$A$2:$A$80,0)),""))</f>
        <v/>
      </c>
      <c r="G1093" s="34">
        <f>IF($A1093="","",CHOOSE(WEEKDAY($A1093,2),"LUNES","MARTES","MIÉRCOLES","JUEVES","VIERNES","SÁBADO","DOMINGO"))</f>
        <v/>
      </c>
      <c r="H1093" s="34">
        <f>IF($A1093="","",CHOOSE(MONTH($A1093),"ENERO","FEBRERO","MARZO","ABRIL","MAYO","JUNIO","JULIO","AGOSTO","SEPTIEMBRE","OCTUBRE","NOVIEMBRE","DICIEMBRE"))</f>
        <v/>
      </c>
      <c r="I1093" s="34">
        <f>IF($A1093="","",IF(OR($G1093="SÁBADO",$G1093="DOMINGO"),"FIN","LV"))</f>
        <v/>
      </c>
      <c r="J1093" s="34">
        <f>IF(OR($A1093="",$B1093=""),"",IF($L1093&lt;&gt;"",UPPER($L1093),IF($C1093="","FALTA",IFERROR(IF($C1093&gt;=$O1093,"ROJO FUERTE",IF($C1093&gt;=$N1093,"ROJO",IF($C1093&gt;=$M1093,"AMARILLO","VERDE"))),"REVISAR"))))</f>
        <v/>
      </c>
      <c r="K1093" s="36">
        <f>IF(OR($C1093="",$D1093=""),"",IF($D1093&gt;=$C1093,($D1093-$C1093)*24,(1-$C1093+$D1093)*24))</f>
        <v/>
      </c>
      <c r="L1093" s="34" t="n"/>
      <c r="M1093" s="53">
        <f t="array" ref="M1093">IFERROR(INDEX(EXCEPCIONES_FECHA!$D$2:$D$201,MATCH(1,(EXCEPCIONES_FECHA!$A$2:$A$201=$A1093)*(EXCEPCIONES_FECHA!$B$2:$B$201=$B1093),0)),IFERROR(INDEX(EXCEPCIONES_FECHA!$D$2:$D$201,MATCH(1,(EXCEPCIONES_FECHA!$A$2:$A$201=$A1093)*(EXCEPCIONES_FECHA!$B$2:$B$201=""),0)),IFERROR(INDEX(IF($I1093="FIN",HISTORIAL_HORARIOS!$J$2:$J$201,HISTORIAL_HORARIOS!$F$2:$F$201),MATCH(1,(HISTORIAL_HORARIOS!$A$2:$A$201=$B1093)*(HISTORIAL_HORARIOS!$C$2:$C$201&lt;=$A1093)*(HISTORIAL_HORARIOS!$D$2:$D$201&gt;=$A1093),0)),INDEX(IF($I1093="FIN",PERSONAL!$J$2:$J$80,PERSONAL!$F$2:$F$80),MATCH($B1093,PERSONAL!$A$2:$A$80,0)))))</f>
        <v/>
      </c>
      <c r="N1093" s="53">
        <f t="array" ref="N1093">IFERROR(INDEX(EXCEPCIONES_FECHA!$E$2:$E$201,MATCH(1,(EXCEPCIONES_FECHA!$A$2:$A$201=$A1093)*(EXCEPCIONES_FECHA!$B$2:$B$201=$B1093),0)),IFERROR(INDEX(EXCEPCIONES_FECHA!$E$2:$E$201,MATCH(1,(EXCEPCIONES_FECHA!$A$2:$A$201=$A1093)*(EXCEPCIONES_FECHA!$B$2:$B$201=""),0)),IFERROR(INDEX(IF($I1093="FIN",HISTORIAL_HORARIOS!$K$2:$K$201,HISTORIAL_HORARIOS!$G$2:$G$201),MATCH(1,(HISTORIAL_HORARIOS!$A$2:$A$201=$B1093)*(HISTORIAL_HORARIOS!$C$2:$C$201&lt;=$A1093)*(HISTORIAL_HORARIOS!$D$2:$D$201&gt;=$A1093),0)),INDEX(IF($I1093="FIN",PERSONAL!$K$2:$K$80,PERSONAL!$G$2:$G$80),MATCH($B1093,PERSONAL!$A$2:$A$80,0)))))</f>
        <v/>
      </c>
      <c r="O1093" s="53">
        <f t="array" ref="O1093">IFERROR(INDEX(EXCEPCIONES_FECHA!$F$2:$F$201,MATCH(1,(EXCEPCIONES_FECHA!$A$2:$A$201=$A1093)*(EXCEPCIONES_FECHA!$B$2:$B$201=$B1093),0)),IFERROR(INDEX(EXCEPCIONES_FECHA!$F$2:$F$201,MATCH(1,(EXCEPCIONES_FECHA!$A$2:$A$201=$A1093)*(EXCEPCIONES_FECHA!$B$2:$B$201=""),0)),IFERROR(INDEX(IF($I1093="FIN",HISTORIAL_HORARIOS!$L$2:$L$201,HISTORIAL_HORARIOS!$H$2:$H$201),MATCH(1,(HISTORIAL_HORARIOS!$A$2:$A$201=$B1093)*(HISTORIAL_HORARIOS!$C$2:$C$201&lt;=$A1093)*(HISTORIAL_HORARIOS!$D$2:$D$201&gt;=$A1093),0)),INDEX(IF($I1093="FIN",PERSONAL!$L$2:$L$80,PERSONAL!$H$2:$H$80),MATCH($B1093,PERSONAL!$A$2:$A$80,0)))))</f>
        <v/>
      </c>
    </row>
    <row r="1094" ht="15" customHeight="1" s="58">
      <c r="A1094" s="40" t="n"/>
      <c r="B1094" s="38" t="n"/>
      <c r="C1094" s="40" t="n"/>
      <c r="D1094" s="40" t="n"/>
      <c r="E1094" s="34">
        <f t="array" ref="E1094">IF($B1094="","",IFERROR(INDEX(PERSONAL!$B$2:$B$80,MATCH($B1094,PERSONAL!$A$2:$A$80,0)),"NO EXISTE"))</f>
        <v/>
      </c>
      <c r="F1094" s="34">
        <f t="array" ref="F1094">IF($B1094="","",IFERROR(INDEX(PERSONAL!$C$2:$C$80,MATCH($B1094,PERSONAL!$A$2:$A$80,0)),""))</f>
        <v/>
      </c>
      <c r="G1094" s="34">
        <f>IF($A1094="","",CHOOSE(WEEKDAY($A1094,2),"LUNES","MARTES","MIÉRCOLES","JUEVES","VIERNES","SÁBADO","DOMINGO"))</f>
        <v/>
      </c>
      <c r="H1094" s="34">
        <f>IF($A1094="","",CHOOSE(MONTH($A1094),"ENERO","FEBRERO","MARZO","ABRIL","MAYO","JUNIO","JULIO","AGOSTO","SEPTIEMBRE","OCTUBRE","NOVIEMBRE","DICIEMBRE"))</f>
        <v/>
      </c>
      <c r="I1094" s="34">
        <f>IF($A1094="","",IF(OR($G1094="SÁBADO",$G1094="DOMINGO"),"FIN","LV"))</f>
        <v/>
      </c>
      <c r="J1094" s="34">
        <f>IF(OR($A1094="",$B1094=""),"",IF($L1094&lt;&gt;"",UPPER($L1094),IF($C1094="","FALTA",IFERROR(IF($C1094&gt;=$O1094,"ROJO FUERTE",IF($C1094&gt;=$N1094,"ROJO",IF($C1094&gt;=$M1094,"AMARILLO","VERDE"))),"REVISAR"))))</f>
        <v/>
      </c>
      <c r="K1094" s="36">
        <f>IF(OR($C1094="",$D1094=""),"",IF($D1094&gt;=$C1094,($D1094-$C1094)*24,(1-$C1094+$D1094)*24))</f>
        <v/>
      </c>
      <c r="L1094" s="34" t="n"/>
      <c r="M1094" s="53">
        <f t="array" ref="M1094">IFERROR(INDEX(EXCEPCIONES_FECHA!$D$2:$D$201,MATCH(1,(EXCEPCIONES_FECHA!$A$2:$A$201=$A1094)*(EXCEPCIONES_FECHA!$B$2:$B$201=$B1094),0)),IFERROR(INDEX(EXCEPCIONES_FECHA!$D$2:$D$201,MATCH(1,(EXCEPCIONES_FECHA!$A$2:$A$201=$A1094)*(EXCEPCIONES_FECHA!$B$2:$B$201=""),0)),IFERROR(INDEX(IF($I1094="FIN",HISTORIAL_HORARIOS!$J$2:$J$201,HISTORIAL_HORARIOS!$F$2:$F$201),MATCH(1,(HISTORIAL_HORARIOS!$A$2:$A$201=$B1094)*(HISTORIAL_HORARIOS!$C$2:$C$201&lt;=$A1094)*(HISTORIAL_HORARIOS!$D$2:$D$201&gt;=$A1094),0)),INDEX(IF($I1094="FIN",PERSONAL!$J$2:$J$80,PERSONAL!$F$2:$F$80),MATCH($B1094,PERSONAL!$A$2:$A$80,0)))))</f>
        <v/>
      </c>
      <c r="N1094" s="53">
        <f t="array" ref="N1094">IFERROR(INDEX(EXCEPCIONES_FECHA!$E$2:$E$201,MATCH(1,(EXCEPCIONES_FECHA!$A$2:$A$201=$A1094)*(EXCEPCIONES_FECHA!$B$2:$B$201=$B1094),0)),IFERROR(INDEX(EXCEPCIONES_FECHA!$E$2:$E$201,MATCH(1,(EXCEPCIONES_FECHA!$A$2:$A$201=$A1094)*(EXCEPCIONES_FECHA!$B$2:$B$201=""),0)),IFERROR(INDEX(IF($I1094="FIN",HISTORIAL_HORARIOS!$K$2:$K$201,HISTORIAL_HORARIOS!$G$2:$G$201),MATCH(1,(HISTORIAL_HORARIOS!$A$2:$A$201=$B1094)*(HISTORIAL_HORARIOS!$C$2:$C$201&lt;=$A1094)*(HISTORIAL_HORARIOS!$D$2:$D$201&gt;=$A1094),0)),INDEX(IF($I1094="FIN",PERSONAL!$K$2:$K$80,PERSONAL!$G$2:$G$80),MATCH($B1094,PERSONAL!$A$2:$A$80,0)))))</f>
        <v/>
      </c>
      <c r="O1094" s="53">
        <f t="array" ref="O1094">IFERROR(INDEX(EXCEPCIONES_FECHA!$F$2:$F$201,MATCH(1,(EXCEPCIONES_FECHA!$A$2:$A$201=$A1094)*(EXCEPCIONES_FECHA!$B$2:$B$201=$B1094),0)),IFERROR(INDEX(EXCEPCIONES_FECHA!$F$2:$F$201,MATCH(1,(EXCEPCIONES_FECHA!$A$2:$A$201=$A1094)*(EXCEPCIONES_FECHA!$B$2:$B$201=""),0)),IFERROR(INDEX(IF($I1094="FIN",HISTORIAL_HORARIOS!$L$2:$L$201,HISTORIAL_HORARIOS!$H$2:$H$201),MATCH(1,(HISTORIAL_HORARIOS!$A$2:$A$201=$B1094)*(HISTORIAL_HORARIOS!$C$2:$C$201&lt;=$A1094)*(HISTORIAL_HORARIOS!$D$2:$D$201&gt;=$A1094),0)),INDEX(IF($I1094="FIN",PERSONAL!$L$2:$L$80,PERSONAL!$H$2:$H$80),MATCH($B1094,PERSONAL!$A$2:$A$80,0)))))</f>
        <v/>
      </c>
    </row>
    <row r="1095" ht="15" customHeight="1" s="58">
      <c r="A1095" s="40" t="n"/>
      <c r="B1095" s="38" t="n"/>
      <c r="C1095" s="40" t="n"/>
      <c r="D1095" s="40" t="n"/>
      <c r="E1095" s="34">
        <f t="array" ref="E1095">IF($B1095="","",IFERROR(INDEX(PERSONAL!$B$2:$B$80,MATCH($B1095,PERSONAL!$A$2:$A$80,0)),"NO EXISTE"))</f>
        <v/>
      </c>
      <c r="F1095" s="34">
        <f t="array" ref="F1095">IF($B1095="","",IFERROR(INDEX(PERSONAL!$C$2:$C$80,MATCH($B1095,PERSONAL!$A$2:$A$80,0)),""))</f>
        <v/>
      </c>
      <c r="G1095" s="34">
        <f>IF($A1095="","",CHOOSE(WEEKDAY($A1095,2),"LUNES","MARTES","MIÉRCOLES","JUEVES","VIERNES","SÁBADO","DOMINGO"))</f>
        <v/>
      </c>
      <c r="H1095" s="34">
        <f>IF($A1095="","",CHOOSE(MONTH($A1095),"ENERO","FEBRERO","MARZO","ABRIL","MAYO","JUNIO","JULIO","AGOSTO","SEPTIEMBRE","OCTUBRE","NOVIEMBRE","DICIEMBRE"))</f>
        <v/>
      </c>
      <c r="I1095" s="34">
        <f>IF($A1095="","",IF(OR($G1095="SÁBADO",$G1095="DOMINGO"),"FIN","LV"))</f>
        <v/>
      </c>
      <c r="J1095" s="34">
        <f>IF(OR($A1095="",$B1095=""),"",IF($L1095&lt;&gt;"",UPPER($L1095),IF($C1095="","FALTA",IFERROR(IF($C1095&gt;=$O1095,"ROJO FUERTE",IF($C1095&gt;=$N1095,"ROJO",IF($C1095&gt;=$M1095,"AMARILLO","VERDE"))),"REVISAR"))))</f>
        <v/>
      </c>
      <c r="K1095" s="36">
        <f>IF(OR($C1095="",$D1095=""),"",IF($D1095&gt;=$C1095,($D1095-$C1095)*24,(1-$C1095+$D1095)*24))</f>
        <v/>
      </c>
      <c r="L1095" s="34" t="n"/>
      <c r="M1095" s="53">
        <f t="array" ref="M1095">IFERROR(INDEX(EXCEPCIONES_FECHA!$D$2:$D$201,MATCH(1,(EXCEPCIONES_FECHA!$A$2:$A$201=$A1095)*(EXCEPCIONES_FECHA!$B$2:$B$201=$B1095),0)),IFERROR(INDEX(EXCEPCIONES_FECHA!$D$2:$D$201,MATCH(1,(EXCEPCIONES_FECHA!$A$2:$A$201=$A1095)*(EXCEPCIONES_FECHA!$B$2:$B$201=""),0)),IFERROR(INDEX(IF($I1095="FIN",HISTORIAL_HORARIOS!$J$2:$J$201,HISTORIAL_HORARIOS!$F$2:$F$201),MATCH(1,(HISTORIAL_HORARIOS!$A$2:$A$201=$B1095)*(HISTORIAL_HORARIOS!$C$2:$C$201&lt;=$A1095)*(HISTORIAL_HORARIOS!$D$2:$D$201&gt;=$A1095),0)),INDEX(IF($I1095="FIN",PERSONAL!$J$2:$J$80,PERSONAL!$F$2:$F$80),MATCH($B1095,PERSONAL!$A$2:$A$80,0)))))</f>
        <v/>
      </c>
      <c r="N1095" s="53">
        <f t="array" ref="N1095">IFERROR(INDEX(EXCEPCIONES_FECHA!$E$2:$E$201,MATCH(1,(EXCEPCIONES_FECHA!$A$2:$A$201=$A1095)*(EXCEPCIONES_FECHA!$B$2:$B$201=$B1095),0)),IFERROR(INDEX(EXCEPCIONES_FECHA!$E$2:$E$201,MATCH(1,(EXCEPCIONES_FECHA!$A$2:$A$201=$A1095)*(EXCEPCIONES_FECHA!$B$2:$B$201=""),0)),IFERROR(INDEX(IF($I1095="FIN",HISTORIAL_HORARIOS!$K$2:$K$201,HISTORIAL_HORARIOS!$G$2:$G$201),MATCH(1,(HISTORIAL_HORARIOS!$A$2:$A$201=$B1095)*(HISTORIAL_HORARIOS!$C$2:$C$201&lt;=$A1095)*(HISTORIAL_HORARIOS!$D$2:$D$201&gt;=$A1095),0)),INDEX(IF($I1095="FIN",PERSONAL!$K$2:$K$80,PERSONAL!$G$2:$G$80),MATCH($B1095,PERSONAL!$A$2:$A$80,0)))))</f>
        <v/>
      </c>
      <c r="O1095" s="53">
        <f t="array" ref="O1095">IFERROR(INDEX(EXCEPCIONES_FECHA!$F$2:$F$201,MATCH(1,(EXCEPCIONES_FECHA!$A$2:$A$201=$A1095)*(EXCEPCIONES_FECHA!$B$2:$B$201=$B1095),0)),IFERROR(INDEX(EXCEPCIONES_FECHA!$F$2:$F$201,MATCH(1,(EXCEPCIONES_FECHA!$A$2:$A$201=$A1095)*(EXCEPCIONES_FECHA!$B$2:$B$201=""),0)),IFERROR(INDEX(IF($I1095="FIN",HISTORIAL_HORARIOS!$L$2:$L$201,HISTORIAL_HORARIOS!$H$2:$H$201),MATCH(1,(HISTORIAL_HORARIOS!$A$2:$A$201=$B1095)*(HISTORIAL_HORARIOS!$C$2:$C$201&lt;=$A1095)*(HISTORIAL_HORARIOS!$D$2:$D$201&gt;=$A1095),0)),INDEX(IF($I1095="FIN",PERSONAL!$L$2:$L$80,PERSONAL!$H$2:$H$80),MATCH($B1095,PERSONAL!$A$2:$A$80,0)))))</f>
        <v/>
      </c>
    </row>
    <row r="1096" ht="15" customHeight="1" s="58">
      <c r="A1096" s="40" t="n"/>
      <c r="B1096" s="38" t="n"/>
      <c r="C1096" s="40" t="n"/>
      <c r="D1096" s="40" t="n"/>
      <c r="E1096" s="34">
        <f t="array" ref="E1096">IF($B1096="","",IFERROR(INDEX(PERSONAL!$B$2:$B$80,MATCH($B1096,PERSONAL!$A$2:$A$80,0)),"NO EXISTE"))</f>
        <v/>
      </c>
      <c r="F1096" s="34">
        <f t="array" ref="F1096">IF($B1096="","",IFERROR(INDEX(PERSONAL!$C$2:$C$80,MATCH($B1096,PERSONAL!$A$2:$A$80,0)),""))</f>
        <v/>
      </c>
      <c r="G1096" s="34">
        <f>IF($A1096="","",CHOOSE(WEEKDAY($A1096,2),"LUNES","MARTES","MIÉRCOLES","JUEVES","VIERNES","SÁBADO","DOMINGO"))</f>
        <v/>
      </c>
      <c r="H1096" s="34">
        <f>IF($A1096="","",CHOOSE(MONTH($A1096),"ENERO","FEBRERO","MARZO","ABRIL","MAYO","JUNIO","JULIO","AGOSTO","SEPTIEMBRE","OCTUBRE","NOVIEMBRE","DICIEMBRE"))</f>
        <v/>
      </c>
      <c r="I1096" s="34">
        <f>IF($A1096="","",IF(OR($G1096="SÁBADO",$G1096="DOMINGO"),"FIN","LV"))</f>
        <v/>
      </c>
      <c r="J1096" s="34">
        <f>IF(OR($A1096="",$B1096=""),"",IF($L1096&lt;&gt;"",UPPER($L1096),IF($C1096="","FALTA",IFERROR(IF($C1096&gt;=$O1096,"ROJO FUERTE",IF($C1096&gt;=$N1096,"ROJO",IF($C1096&gt;=$M1096,"AMARILLO","VERDE"))),"REVISAR"))))</f>
        <v/>
      </c>
      <c r="K1096" s="36">
        <f>IF(OR($C1096="",$D1096=""),"",IF($D1096&gt;=$C1096,($D1096-$C1096)*24,(1-$C1096+$D1096)*24))</f>
        <v/>
      </c>
      <c r="L1096" s="34" t="n"/>
      <c r="M1096" s="53">
        <f t="array" ref="M1096">IFERROR(INDEX(EXCEPCIONES_FECHA!$D$2:$D$201,MATCH(1,(EXCEPCIONES_FECHA!$A$2:$A$201=$A1096)*(EXCEPCIONES_FECHA!$B$2:$B$201=$B1096),0)),IFERROR(INDEX(EXCEPCIONES_FECHA!$D$2:$D$201,MATCH(1,(EXCEPCIONES_FECHA!$A$2:$A$201=$A1096)*(EXCEPCIONES_FECHA!$B$2:$B$201=""),0)),IFERROR(INDEX(IF($I1096="FIN",HISTORIAL_HORARIOS!$J$2:$J$201,HISTORIAL_HORARIOS!$F$2:$F$201),MATCH(1,(HISTORIAL_HORARIOS!$A$2:$A$201=$B1096)*(HISTORIAL_HORARIOS!$C$2:$C$201&lt;=$A1096)*(HISTORIAL_HORARIOS!$D$2:$D$201&gt;=$A1096),0)),INDEX(IF($I1096="FIN",PERSONAL!$J$2:$J$80,PERSONAL!$F$2:$F$80),MATCH($B1096,PERSONAL!$A$2:$A$80,0)))))</f>
        <v/>
      </c>
      <c r="N1096" s="53">
        <f t="array" ref="N1096">IFERROR(INDEX(EXCEPCIONES_FECHA!$E$2:$E$201,MATCH(1,(EXCEPCIONES_FECHA!$A$2:$A$201=$A1096)*(EXCEPCIONES_FECHA!$B$2:$B$201=$B1096),0)),IFERROR(INDEX(EXCEPCIONES_FECHA!$E$2:$E$201,MATCH(1,(EXCEPCIONES_FECHA!$A$2:$A$201=$A1096)*(EXCEPCIONES_FECHA!$B$2:$B$201=""),0)),IFERROR(INDEX(IF($I1096="FIN",HISTORIAL_HORARIOS!$K$2:$K$201,HISTORIAL_HORARIOS!$G$2:$G$201),MATCH(1,(HISTORIAL_HORARIOS!$A$2:$A$201=$B1096)*(HISTORIAL_HORARIOS!$C$2:$C$201&lt;=$A1096)*(HISTORIAL_HORARIOS!$D$2:$D$201&gt;=$A1096),0)),INDEX(IF($I1096="FIN",PERSONAL!$K$2:$K$80,PERSONAL!$G$2:$G$80),MATCH($B1096,PERSONAL!$A$2:$A$80,0)))))</f>
        <v/>
      </c>
      <c r="O1096" s="53">
        <f t="array" ref="O1096">IFERROR(INDEX(EXCEPCIONES_FECHA!$F$2:$F$201,MATCH(1,(EXCEPCIONES_FECHA!$A$2:$A$201=$A1096)*(EXCEPCIONES_FECHA!$B$2:$B$201=$B1096),0)),IFERROR(INDEX(EXCEPCIONES_FECHA!$F$2:$F$201,MATCH(1,(EXCEPCIONES_FECHA!$A$2:$A$201=$A1096)*(EXCEPCIONES_FECHA!$B$2:$B$201=""),0)),IFERROR(INDEX(IF($I1096="FIN",HISTORIAL_HORARIOS!$L$2:$L$201,HISTORIAL_HORARIOS!$H$2:$H$201),MATCH(1,(HISTORIAL_HORARIOS!$A$2:$A$201=$B1096)*(HISTORIAL_HORARIOS!$C$2:$C$201&lt;=$A1096)*(HISTORIAL_HORARIOS!$D$2:$D$201&gt;=$A1096),0)),INDEX(IF($I1096="FIN",PERSONAL!$L$2:$L$80,PERSONAL!$H$2:$H$80),MATCH($B1096,PERSONAL!$A$2:$A$80,0)))))</f>
        <v/>
      </c>
    </row>
    <row r="1097" ht="15" customHeight="1" s="58">
      <c r="A1097" s="40" t="n"/>
      <c r="B1097" s="38" t="n"/>
      <c r="C1097" s="40" t="n"/>
      <c r="D1097" s="40" t="n"/>
      <c r="E1097" s="34">
        <f t="array" ref="E1097">IF($B1097="","",IFERROR(INDEX(PERSONAL!$B$2:$B$80,MATCH($B1097,PERSONAL!$A$2:$A$80,0)),"NO EXISTE"))</f>
        <v/>
      </c>
      <c r="F1097" s="34">
        <f t="array" ref="F1097">IF($B1097="","",IFERROR(INDEX(PERSONAL!$C$2:$C$80,MATCH($B1097,PERSONAL!$A$2:$A$80,0)),""))</f>
        <v/>
      </c>
      <c r="G1097" s="34">
        <f>IF($A1097="","",CHOOSE(WEEKDAY($A1097,2),"LUNES","MARTES","MIÉRCOLES","JUEVES","VIERNES","SÁBADO","DOMINGO"))</f>
        <v/>
      </c>
      <c r="H1097" s="34">
        <f>IF($A1097="","",CHOOSE(MONTH($A1097),"ENERO","FEBRERO","MARZO","ABRIL","MAYO","JUNIO","JULIO","AGOSTO","SEPTIEMBRE","OCTUBRE","NOVIEMBRE","DICIEMBRE"))</f>
        <v/>
      </c>
      <c r="I1097" s="34">
        <f>IF($A1097="","",IF(OR($G1097="SÁBADO",$G1097="DOMINGO"),"FIN","LV"))</f>
        <v/>
      </c>
      <c r="J1097" s="34">
        <f>IF(OR($A1097="",$B1097=""),"",IF($L1097&lt;&gt;"",UPPER($L1097),IF($C1097="","FALTA",IFERROR(IF($C1097&gt;=$O1097,"ROJO FUERTE",IF($C1097&gt;=$N1097,"ROJO",IF($C1097&gt;=$M1097,"AMARILLO","VERDE"))),"REVISAR"))))</f>
        <v/>
      </c>
      <c r="K1097" s="36">
        <f>IF(OR($C1097="",$D1097=""),"",IF($D1097&gt;=$C1097,($D1097-$C1097)*24,(1-$C1097+$D1097)*24))</f>
        <v/>
      </c>
      <c r="L1097" s="34" t="n"/>
      <c r="M1097" s="53">
        <f t="array" ref="M1097">IFERROR(INDEX(EXCEPCIONES_FECHA!$D$2:$D$201,MATCH(1,(EXCEPCIONES_FECHA!$A$2:$A$201=$A1097)*(EXCEPCIONES_FECHA!$B$2:$B$201=$B1097),0)),IFERROR(INDEX(EXCEPCIONES_FECHA!$D$2:$D$201,MATCH(1,(EXCEPCIONES_FECHA!$A$2:$A$201=$A1097)*(EXCEPCIONES_FECHA!$B$2:$B$201=""),0)),IFERROR(INDEX(IF($I1097="FIN",HISTORIAL_HORARIOS!$J$2:$J$201,HISTORIAL_HORARIOS!$F$2:$F$201),MATCH(1,(HISTORIAL_HORARIOS!$A$2:$A$201=$B1097)*(HISTORIAL_HORARIOS!$C$2:$C$201&lt;=$A1097)*(HISTORIAL_HORARIOS!$D$2:$D$201&gt;=$A1097),0)),INDEX(IF($I1097="FIN",PERSONAL!$J$2:$J$80,PERSONAL!$F$2:$F$80),MATCH($B1097,PERSONAL!$A$2:$A$80,0)))))</f>
        <v/>
      </c>
      <c r="N1097" s="53">
        <f t="array" ref="N1097">IFERROR(INDEX(EXCEPCIONES_FECHA!$E$2:$E$201,MATCH(1,(EXCEPCIONES_FECHA!$A$2:$A$201=$A1097)*(EXCEPCIONES_FECHA!$B$2:$B$201=$B1097),0)),IFERROR(INDEX(EXCEPCIONES_FECHA!$E$2:$E$201,MATCH(1,(EXCEPCIONES_FECHA!$A$2:$A$201=$A1097)*(EXCEPCIONES_FECHA!$B$2:$B$201=""),0)),IFERROR(INDEX(IF($I1097="FIN",HISTORIAL_HORARIOS!$K$2:$K$201,HISTORIAL_HORARIOS!$G$2:$G$201),MATCH(1,(HISTORIAL_HORARIOS!$A$2:$A$201=$B1097)*(HISTORIAL_HORARIOS!$C$2:$C$201&lt;=$A1097)*(HISTORIAL_HORARIOS!$D$2:$D$201&gt;=$A1097),0)),INDEX(IF($I1097="FIN",PERSONAL!$K$2:$K$80,PERSONAL!$G$2:$G$80),MATCH($B1097,PERSONAL!$A$2:$A$80,0)))))</f>
        <v/>
      </c>
      <c r="O1097" s="53">
        <f t="array" ref="O1097">IFERROR(INDEX(EXCEPCIONES_FECHA!$F$2:$F$201,MATCH(1,(EXCEPCIONES_FECHA!$A$2:$A$201=$A1097)*(EXCEPCIONES_FECHA!$B$2:$B$201=$B1097),0)),IFERROR(INDEX(EXCEPCIONES_FECHA!$F$2:$F$201,MATCH(1,(EXCEPCIONES_FECHA!$A$2:$A$201=$A1097)*(EXCEPCIONES_FECHA!$B$2:$B$201=""),0)),IFERROR(INDEX(IF($I1097="FIN",HISTORIAL_HORARIOS!$L$2:$L$201,HISTORIAL_HORARIOS!$H$2:$H$201),MATCH(1,(HISTORIAL_HORARIOS!$A$2:$A$201=$B1097)*(HISTORIAL_HORARIOS!$C$2:$C$201&lt;=$A1097)*(HISTORIAL_HORARIOS!$D$2:$D$201&gt;=$A1097),0)),INDEX(IF($I1097="FIN",PERSONAL!$L$2:$L$80,PERSONAL!$H$2:$H$80),MATCH($B1097,PERSONAL!$A$2:$A$80,0)))))</f>
        <v/>
      </c>
    </row>
    <row r="1098" ht="15" customHeight="1" s="58">
      <c r="A1098" s="40" t="n"/>
      <c r="B1098" s="38" t="n"/>
      <c r="C1098" s="40" t="n"/>
      <c r="D1098" s="40" t="n"/>
      <c r="E1098" s="34">
        <f t="array" ref="E1098">IF($B1098="","",IFERROR(INDEX(PERSONAL!$B$2:$B$80,MATCH($B1098,PERSONAL!$A$2:$A$80,0)),"NO EXISTE"))</f>
        <v/>
      </c>
      <c r="F1098" s="34">
        <f t="array" ref="F1098">IF($B1098="","",IFERROR(INDEX(PERSONAL!$C$2:$C$80,MATCH($B1098,PERSONAL!$A$2:$A$80,0)),""))</f>
        <v/>
      </c>
      <c r="G1098" s="34">
        <f>IF($A1098="","",CHOOSE(WEEKDAY($A1098,2),"LUNES","MARTES","MIÉRCOLES","JUEVES","VIERNES","SÁBADO","DOMINGO"))</f>
        <v/>
      </c>
      <c r="H1098" s="34">
        <f>IF($A1098="","",CHOOSE(MONTH($A1098),"ENERO","FEBRERO","MARZO","ABRIL","MAYO","JUNIO","JULIO","AGOSTO","SEPTIEMBRE","OCTUBRE","NOVIEMBRE","DICIEMBRE"))</f>
        <v/>
      </c>
      <c r="I1098" s="34">
        <f>IF($A1098="","",IF(OR($G1098="SÁBADO",$G1098="DOMINGO"),"FIN","LV"))</f>
        <v/>
      </c>
      <c r="J1098" s="34">
        <f>IF(OR($A1098="",$B1098=""),"",IF($L1098&lt;&gt;"",UPPER($L1098),IF($C1098="","FALTA",IFERROR(IF($C1098&gt;=$O1098,"ROJO FUERTE",IF($C1098&gt;=$N1098,"ROJO",IF($C1098&gt;=$M1098,"AMARILLO","VERDE"))),"REVISAR"))))</f>
        <v/>
      </c>
      <c r="K1098" s="36">
        <f>IF(OR($C1098="",$D1098=""),"",IF($D1098&gt;=$C1098,($D1098-$C1098)*24,(1-$C1098+$D1098)*24))</f>
        <v/>
      </c>
      <c r="L1098" s="34" t="n"/>
      <c r="M1098" s="53">
        <f t="array" ref="M1098">IFERROR(INDEX(EXCEPCIONES_FECHA!$D$2:$D$201,MATCH(1,(EXCEPCIONES_FECHA!$A$2:$A$201=$A1098)*(EXCEPCIONES_FECHA!$B$2:$B$201=$B1098),0)),IFERROR(INDEX(EXCEPCIONES_FECHA!$D$2:$D$201,MATCH(1,(EXCEPCIONES_FECHA!$A$2:$A$201=$A1098)*(EXCEPCIONES_FECHA!$B$2:$B$201=""),0)),IFERROR(INDEX(IF($I1098="FIN",HISTORIAL_HORARIOS!$J$2:$J$201,HISTORIAL_HORARIOS!$F$2:$F$201),MATCH(1,(HISTORIAL_HORARIOS!$A$2:$A$201=$B1098)*(HISTORIAL_HORARIOS!$C$2:$C$201&lt;=$A1098)*(HISTORIAL_HORARIOS!$D$2:$D$201&gt;=$A1098),0)),INDEX(IF($I1098="FIN",PERSONAL!$J$2:$J$80,PERSONAL!$F$2:$F$80),MATCH($B1098,PERSONAL!$A$2:$A$80,0)))))</f>
        <v/>
      </c>
      <c r="N1098" s="53">
        <f t="array" ref="N1098">IFERROR(INDEX(EXCEPCIONES_FECHA!$E$2:$E$201,MATCH(1,(EXCEPCIONES_FECHA!$A$2:$A$201=$A1098)*(EXCEPCIONES_FECHA!$B$2:$B$201=$B1098),0)),IFERROR(INDEX(EXCEPCIONES_FECHA!$E$2:$E$201,MATCH(1,(EXCEPCIONES_FECHA!$A$2:$A$201=$A1098)*(EXCEPCIONES_FECHA!$B$2:$B$201=""),0)),IFERROR(INDEX(IF($I1098="FIN",HISTORIAL_HORARIOS!$K$2:$K$201,HISTORIAL_HORARIOS!$G$2:$G$201),MATCH(1,(HISTORIAL_HORARIOS!$A$2:$A$201=$B1098)*(HISTORIAL_HORARIOS!$C$2:$C$201&lt;=$A1098)*(HISTORIAL_HORARIOS!$D$2:$D$201&gt;=$A1098),0)),INDEX(IF($I1098="FIN",PERSONAL!$K$2:$K$80,PERSONAL!$G$2:$G$80),MATCH($B1098,PERSONAL!$A$2:$A$80,0)))))</f>
        <v/>
      </c>
      <c r="O1098" s="53">
        <f t="array" ref="O1098">IFERROR(INDEX(EXCEPCIONES_FECHA!$F$2:$F$201,MATCH(1,(EXCEPCIONES_FECHA!$A$2:$A$201=$A1098)*(EXCEPCIONES_FECHA!$B$2:$B$201=$B1098),0)),IFERROR(INDEX(EXCEPCIONES_FECHA!$F$2:$F$201,MATCH(1,(EXCEPCIONES_FECHA!$A$2:$A$201=$A1098)*(EXCEPCIONES_FECHA!$B$2:$B$201=""),0)),IFERROR(INDEX(IF($I1098="FIN",HISTORIAL_HORARIOS!$L$2:$L$201,HISTORIAL_HORARIOS!$H$2:$H$201),MATCH(1,(HISTORIAL_HORARIOS!$A$2:$A$201=$B1098)*(HISTORIAL_HORARIOS!$C$2:$C$201&lt;=$A1098)*(HISTORIAL_HORARIOS!$D$2:$D$201&gt;=$A1098),0)),INDEX(IF($I1098="FIN",PERSONAL!$L$2:$L$80,PERSONAL!$H$2:$H$80),MATCH($B1098,PERSONAL!$A$2:$A$80,0)))))</f>
        <v/>
      </c>
    </row>
    <row r="1099" ht="15" customHeight="1" s="58">
      <c r="A1099" s="40" t="n"/>
      <c r="B1099" s="38" t="n"/>
      <c r="C1099" s="40" t="n"/>
      <c r="D1099" s="40" t="n"/>
      <c r="E1099" s="34">
        <f t="array" ref="E1099">IF($B1099="","",IFERROR(INDEX(PERSONAL!$B$2:$B$80,MATCH($B1099,PERSONAL!$A$2:$A$80,0)),"NO EXISTE"))</f>
        <v/>
      </c>
      <c r="F1099" s="34">
        <f t="array" ref="F1099">IF($B1099="","",IFERROR(INDEX(PERSONAL!$C$2:$C$80,MATCH($B1099,PERSONAL!$A$2:$A$80,0)),""))</f>
        <v/>
      </c>
      <c r="G1099" s="34">
        <f>IF($A1099="","",CHOOSE(WEEKDAY($A1099,2),"LUNES","MARTES","MIÉRCOLES","JUEVES","VIERNES","SÁBADO","DOMINGO"))</f>
        <v/>
      </c>
      <c r="H1099" s="34">
        <f>IF($A1099="","",CHOOSE(MONTH($A1099),"ENERO","FEBRERO","MARZO","ABRIL","MAYO","JUNIO","JULIO","AGOSTO","SEPTIEMBRE","OCTUBRE","NOVIEMBRE","DICIEMBRE"))</f>
        <v/>
      </c>
      <c r="I1099" s="34">
        <f>IF($A1099="","",IF(OR($G1099="SÁBADO",$G1099="DOMINGO"),"FIN","LV"))</f>
        <v/>
      </c>
      <c r="J1099" s="34">
        <f>IF(OR($A1099="",$B1099=""),"",IF($L1099&lt;&gt;"",UPPER($L1099),IF($C1099="","FALTA",IFERROR(IF($C1099&gt;=$O1099,"ROJO FUERTE",IF($C1099&gt;=$N1099,"ROJO",IF($C1099&gt;=$M1099,"AMARILLO","VERDE"))),"REVISAR"))))</f>
        <v/>
      </c>
      <c r="K1099" s="36">
        <f>IF(OR($C1099="",$D1099=""),"",IF($D1099&gt;=$C1099,($D1099-$C1099)*24,(1-$C1099+$D1099)*24))</f>
        <v/>
      </c>
      <c r="L1099" s="34" t="n"/>
      <c r="M1099" s="53">
        <f t="array" ref="M1099">IFERROR(INDEX(EXCEPCIONES_FECHA!$D$2:$D$201,MATCH(1,(EXCEPCIONES_FECHA!$A$2:$A$201=$A1099)*(EXCEPCIONES_FECHA!$B$2:$B$201=$B1099),0)),IFERROR(INDEX(EXCEPCIONES_FECHA!$D$2:$D$201,MATCH(1,(EXCEPCIONES_FECHA!$A$2:$A$201=$A1099)*(EXCEPCIONES_FECHA!$B$2:$B$201=""),0)),IFERROR(INDEX(IF($I1099="FIN",HISTORIAL_HORARIOS!$J$2:$J$201,HISTORIAL_HORARIOS!$F$2:$F$201),MATCH(1,(HISTORIAL_HORARIOS!$A$2:$A$201=$B1099)*(HISTORIAL_HORARIOS!$C$2:$C$201&lt;=$A1099)*(HISTORIAL_HORARIOS!$D$2:$D$201&gt;=$A1099),0)),INDEX(IF($I1099="FIN",PERSONAL!$J$2:$J$80,PERSONAL!$F$2:$F$80),MATCH($B1099,PERSONAL!$A$2:$A$80,0)))))</f>
        <v/>
      </c>
      <c r="N1099" s="53">
        <f t="array" ref="N1099">IFERROR(INDEX(EXCEPCIONES_FECHA!$E$2:$E$201,MATCH(1,(EXCEPCIONES_FECHA!$A$2:$A$201=$A1099)*(EXCEPCIONES_FECHA!$B$2:$B$201=$B1099),0)),IFERROR(INDEX(EXCEPCIONES_FECHA!$E$2:$E$201,MATCH(1,(EXCEPCIONES_FECHA!$A$2:$A$201=$A1099)*(EXCEPCIONES_FECHA!$B$2:$B$201=""),0)),IFERROR(INDEX(IF($I1099="FIN",HISTORIAL_HORARIOS!$K$2:$K$201,HISTORIAL_HORARIOS!$G$2:$G$201),MATCH(1,(HISTORIAL_HORARIOS!$A$2:$A$201=$B1099)*(HISTORIAL_HORARIOS!$C$2:$C$201&lt;=$A1099)*(HISTORIAL_HORARIOS!$D$2:$D$201&gt;=$A1099),0)),INDEX(IF($I1099="FIN",PERSONAL!$K$2:$K$80,PERSONAL!$G$2:$G$80),MATCH($B1099,PERSONAL!$A$2:$A$80,0)))))</f>
        <v/>
      </c>
      <c r="O1099" s="53">
        <f t="array" ref="O1099">IFERROR(INDEX(EXCEPCIONES_FECHA!$F$2:$F$201,MATCH(1,(EXCEPCIONES_FECHA!$A$2:$A$201=$A1099)*(EXCEPCIONES_FECHA!$B$2:$B$201=$B1099),0)),IFERROR(INDEX(EXCEPCIONES_FECHA!$F$2:$F$201,MATCH(1,(EXCEPCIONES_FECHA!$A$2:$A$201=$A1099)*(EXCEPCIONES_FECHA!$B$2:$B$201=""),0)),IFERROR(INDEX(IF($I1099="FIN",HISTORIAL_HORARIOS!$L$2:$L$201,HISTORIAL_HORARIOS!$H$2:$H$201),MATCH(1,(HISTORIAL_HORARIOS!$A$2:$A$201=$B1099)*(HISTORIAL_HORARIOS!$C$2:$C$201&lt;=$A1099)*(HISTORIAL_HORARIOS!$D$2:$D$201&gt;=$A1099),0)),INDEX(IF($I1099="FIN",PERSONAL!$L$2:$L$80,PERSONAL!$H$2:$H$80),MATCH($B1099,PERSONAL!$A$2:$A$80,0)))))</f>
        <v/>
      </c>
    </row>
    <row r="1100" ht="15" customHeight="1" s="58">
      <c r="A1100" s="40" t="n"/>
      <c r="B1100" s="38" t="n"/>
      <c r="C1100" s="40" t="n"/>
      <c r="D1100" s="40" t="n"/>
      <c r="E1100" s="34">
        <f t="array" ref="E1100">IF($B1100="","",IFERROR(INDEX(PERSONAL!$B$2:$B$80,MATCH($B1100,PERSONAL!$A$2:$A$80,0)),"NO EXISTE"))</f>
        <v/>
      </c>
      <c r="F1100" s="34">
        <f t="array" ref="F1100">IF($B1100="","",IFERROR(INDEX(PERSONAL!$C$2:$C$80,MATCH($B1100,PERSONAL!$A$2:$A$80,0)),""))</f>
        <v/>
      </c>
      <c r="G1100" s="34">
        <f>IF($A1100="","",CHOOSE(WEEKDAY($A1100,2),"LUNES","MARTES","MIÉRCOLES","JUEVES","VIERNES","SÁBADO","DOMINGO"))</f>
        <v/>
      </c>
      <c r="H1100" s="34">
        <f>IF($A1100="","",CHOOSE(MONTH($A1100),"ENERO","FEBRERO","MARZO","ABRIL","MAYO","JUNIO","JULIO","AGOSTO","SEPTIEMBRE","OCTUBRE","NOVIEMBRE","DICIEMBRE"))</f>
        <v/>
      </c>
      <c r="I1100" s="34">
        <f>IF($A1100="","",IF(OR($G1100="SÁBADO",$G1100="DOMINGO"),"FIN","LV"))</f>
        <v/>
      </c>
      <c r="J1100" s="34">
        <f>IF(OR($A1100="",$B1100=""),"",IF($L1100&lt;&gt;"",UPPER($L1100),IF($C1100="","FALTA",IFERROR(IF($C1100&gt;=$O1100,"ROJO FUERTE",IF($C1100&gt;=$N1100,"ROJO",IF($C1100&gt;=$M1100,"AMARILLO","VERDE"))),"REVISAR"))))</f>
        <v/>
      </c>
      <c r="K1100" s="36">
        <f>IF(OR($C1100="",$D1100=""),"",IF($D1100&gt;=$C1100,($D1100-$C1100)*24,(1-$C1100+$D1100)*24))</f>
        <v/>
      </c>
      <c r="L1100" s="34" t="n"/>
      <c r="M1100" s="53">
        <f t="array" ref="M1100">IFERROR(INDEX(EXCEPCIONES_FECHA!$D$2:$D$201,MATCH(1,(EXCEPCIONES_FECHA!$A$2:$A$201=$A1100)*(EXCEPCIONES_FECHA!$B$2:$B$201=$B1100),0)),IFERROR(INDEX(EXCEPCIONES_FECHA!$D$2:$D$201,MATCH(1,(EXCEPCIONES_FECHA!$A$2:$A$201=$A1100)*(EXCEPCIONES_FECHA!$B$2:$B$201=""),0)),IFERROR(INDEX(IF($I1100="FIN",HISTORIAL_HORARIOS!$J$2:$J$201,HISTORIAL_HORARIOS!$F$2:$F$201),MATCH(1,(HISTORIAL_HORARIOS!$A$2:$A$201=$B1100)*(HISTORIAL_HORARIOS!$C$2:$C$201&lt;=$A1100)*(HISTORIAL_HORARIOS!$D$2:$D$201&gt;=$A1100),0)),INDEX(IF($I1100="FIN",PERSONAL!$J$2:$J$80,PERSONAL!$F$2:$F$80),MATCH($B1100,PERSONAL!$A$2:$A$80,0)))))</f>
        <v/>
      </c>
      <c r="N1100" s="53">
        <f t="array" ref="N1100">IFERROR(INDEX(EXCEPCIONES_FECHA!$E$2:$E$201,MATCH(1,(EXCEPCIONES_FECHA!$A$2:$A$201=$A1100)*(EXCEPCIONES_FECHA!$B$2:$B$201=$B1100),0)),IFERROR(INDEX(EXCEPCIONES_FECHA!$E$2:$E$201,MATCH(1,(EXCEPCIONES_FECHA!$A$2:$A$201=$A1100)*(EXCEPCIONES_FECHA!$B$2:$B$201=""),0)),IFERROR(INDEX(IF($I1100="FIN",HISTORIAL_HORARIOS!$K$2:$K$201,HISTORIAL_HORARIOS!$G$2:$G$201),MATCH(1,(HISTORIAL_HORARIOS!$A$2:$A$201=$B1100)*(HISTORIAL_HORARIOS!$C$2:$C$201&lt;=$A1100)*(HISTORIAL_HORARIOS!$D$2:$D$201&gt;=$A1100),0)),INDEX(IF($I1100="FIN",PERSONAL!$K$2:$K$80,PERSONAL!$G$2:$G$80),MATCH($B1100,PERSONAL!$A$2:$A$80,0)))))</f>
        <v/>
      </c>
      <c r="O1100" s="53">
        <f t="array" ref="O1100">IFERROR(INDEX(EXCEPCIONES_FECHA!$F$2:$F$201,MATCH(1,(EXCEPCIONES_FECHA!$A$2:$A$201=$A1100)*(EXCEPCIONES_FECHA!$B$2:$B$201=$B1100),0)),IFERROR(INDEX(EXCEPCIONES_FECHA!$F$2:$F$201,MATCH(1,(EXCEPCIONES_FECHA!$A$2:$A$201=$A1100)*(EXCEPCIONES_FECHA!$B$2:$B$201=""),0)),IFERROR(INDEX(IF($I1100="FIN",HISTORIAL_HORARIOS!$L$2:$L$201,HISTORIAL_HORARIOS!$H$2:$H$201),MATCH(1,(HISTORIAL_HORARIOS!$A$2:$A$201=$B1100)*(HISTORIAL_HORARIOS!$C$2:$C$201&lt;=$A1100)*(HISTORIAL_HORARIOS!$D$2:$D$201&gt;=$A1100),0)),INDEX(IF($I1100="FIN",PERSONAL!$L$2:$L$80,PERSONAL!$H$2:$H$80),MATCH($B1100,PERSONAL!$A$2:$A$80,0)))))</f>
        <v/>
      </c>
    </row>
    <row r="1101" ht="15" customHeight="1" s="58">
      <c r="A1101" s="40" t="n"/>
      <c r="B1101" s="38" t="n"/>
      <c r="C1101" s="40" t="n"/>
      <c r="D1101" s="40" t="n"/>
      <c r="E1101" s="34">
        <f t="array" ref="E1101">IF($B1101="","",IFERROR(INDEX(PERSONAL!$B$2:$B$80,MATCH($B1101,PERSONAL!$A$2:$A$80,0)),"NO EXISTE"))</f>
        <v/>
      </c>
      <c r="F1101" s="34">
        <f t="array" ref="F1101">IF($B1101="","",IFERROR(INDEX(PERSONAL!$C$2:$C$80,MATCH($B1101,PERSONAL!$A$2:$A$80,0)),""))</f>
        <v/>
      </c>
      <c r="G1101" s="34">
        <f>IF($A1101="","",CHOOSE(WEEKDAY($A1101,2),"LUNES","MARTES","MIÉRCOLES","JUEVES","VIERNES","SÁBADO","DOMINGO"))</f>
        <v/>
      </c>
      <c r="H1101" s="34">
        <f>IF($A1101="","",CHOOSE(MONTH($A1101),"ENERO","FEBRERO","MARZO","ABRIL","MAYO","JUNIO","JULIO","AGOSTO","SEPTIEMBRE","OCTUBRE","NOVIEMBRE","DICIEMBRE"))</f>
        <v/>
      </c>
      <c r="I1101" s="34">
        <f>IF($A1101="","",IF(OR($G1101="SÁBADO",$G1101="DOMINGO"),"FIN","LV"))</f>
        <v/>
      </c>
      <c r="J1101" s="34">
        <f>IF(OR($A1101="",$B1101=""),"",IF($L1101&lt;&gt;"",UPPER($L1101),IF($C1101="","FALTA",IFERROR(IF($C1101&gt;=$O1101,"ROJO FUERTE",IF($C1101&gt;=$N1101,"ROJO",IF($C1101&gt;=$M1101,"AMARILLO","VERDE"))),"REVISAR"))))</f>
        <v/>
      </c>
      <c r="K1101" s="36">
        <f>IF(OR($C1101="",$D1101=""),"",IF($D1101&gt;=$C1101,($D1101-$C1101)*24,(1-$C1101+$D1101)*24))</f>
        <v/>
      </c>
      <c r="L1101" s="34" t="n"/>
      <c r="M1101" s="53">
        <f t="array" ref="M1101">IFERROR(INDEX(EXCEPCIONES_FECHA!$D$2:$D$201,MATCH(1,(EXCEPCIONES_FECHA!$A$2:$A$201=$A1101)*(EXCEPCIONES_FECHA!$B$2:$B$201=$B1101),0)),IFERROR(INDEX(EXCEPCIONES_FECHA!$D$2:$D$201,MATCH(1,(EXCEPCIONES_FECHA!$A$2:$A$201=$A1101)*(EXCEPCIONES_FECHA!$B$2:$B$201=""),0)),IFERROR(INDEX(IF($I1101="FIN",HISTORIAL_HORARIOS!$J$2:$J$201,HISTORIAL_HORARIOS!$F$2:$F$201),MATCH(1,(HISTORIAL_HORARIOS!$A$2:$A$201=$B1101)*(HISTORIAL_HORARIOS!$C$2:$C$201&lt;=$A1101)*(HISTORIAL_HORARIOS!$D$2:$D$201&gt;=$A1101),0)),INDEX(IF($I1101="FIN",PERSONAL!$J$2:$J$80,PERSONAL!$F$2:$F$80),MATCH($B1101,PERSONAL!$A$2:$A$80,0)))))</f>
        <v/>
      </c>
      <c r="N1101" s="53">
        <f t="array" ref="N1101">IFERROR(INDEX(EXCEPCIONES_FECHA!$E$2:$E$201,MATCH(1,(EXCEPCIONES_FECHA!$A$2:$A$201=$A1101)*(EXCEPCIONES_FECHA!$B$2:$B$201=$B1101),0)),IFERROR(INDEX(EXCEPCIONES_FECHA!$E$2:$E$201,MATCH(1,(EXCEPCIONES_FECHA!$A$2:$A$201=$A1101)*(EXCEPCIONES_FECHA!$B$2:$B$201=""),0)),IFERROR(INDEX(IF($I1101="FIN",HISTORIAL_HORARIOS!$K$2:$K$201,HISTORIAL_HORARIOS!$G$2:$G$201),MATCH(1,(HISTORIAL_HORARIOS!$A$2:$A$201=$B1101)*(HISTORIAL_HORARIOS!$C$2:$C$201&lt;=$A1101)*(HISTORIAL_HORARIOS!$D$2:$D$201&gt;=$A1101),0)),INDEX(IF($I1101="FIN",PERSONAL!$K$2:$K$80,PERSONAL!$G$2:$G$80),MATCH($B1101,PERSONAL!$A$2:$A$80,0)))))</f>
        <v/>
      </c>
      <c r="O1101" s="53">
        <f t="array" ref="O1101">IFERROR(INDEX(EXCEPCIONES_FECHA!$F$2:$F$201,MATCH(1,(EXCEPCIONES_FECHA!$A$2:$A$201=$A1101)*(EXCEPCIONES_FECHA!$B$2:$B$201=$B1101),0)),IFERROR(INDEX(EXCEPCIONES_FECHA!$F$2:$F$201,MATCH(1,(EXCEPCIONES_FECHA!$A$2:$A$201=$A1101)*(EXCEPCIONES_FECHA!$B$2:$B$201=""),0)),IFERROR(INDEX(IF($I1101="FIN",HISTORIAL_HORARIOS!$L$2:$L$201,HISTORIAL_HORARIOS!$H$2:$H$201),MATCH(1,(HISTORIAL_HORARIOS!$A$2:$A$201=$B1101)*(HISTORIAL_HORARIOS!$C$2:$C$201&lt;=$A1101)*(HISTORIAL_HORARIOS!$D$2:$D$201&gt;=$A1101),0)),INDEX(IF($I1101="FIN",PERSONAL!$L$2:$L$80,PERSONAL!$H$2:$H$80),MATCH($B1101,PERSONAL!$A$2:$A$80,0)))))</f>
        <v/>
      </c>
    </row>
    <row r="1102" ht="15" customHeight="1" s="58">
      <c r="A1102" s="40" t="n"/>
      <c r="B1102" s="38" t="n"/>
      <c r="C1102" s="40" t="n"/>
      <c r="D1102" s="40" t="n"/>
      <c r="E1102" s="34">
        <f t="array" ref="E1102">IF($B1102="","",IFERROR(INDEX(PERSONAL!$B$2:$B$80,MATCH($B1102,PERSONAL!$A$2:$A$80,0)),"NO EXISTE"))</f>
        <v/>
      </c>
      <c r="F1102" s="34">
        <f t="array" ref="F1102">IF($B1102="","",IFERROR(INDEX(PERSONAL!$C$2:$C$80,MATCH($B1102,PERSONAL!$A$2:$A$80,0)),""))</f>
        <v/>
      </c>
      <c r="G1102" s="34">
        <f>IF($A1102="","",CHOOSE(WEEKDAY($A1102,2),"LUNES","MARTES","MIÉRCOLES","JUEVES","VIERNES","SÁBADO","DOMINGO"))</f>
        <v/>
      </c>
      <c r="H1102" s="34">
        <f>IF($A1102="","",CHOOSE(MONTH($A1102),"ENERO","FEBRERO","MARZO","ABRIL","MAYO","JUNIO","JULIO","AGOSTO","SEPTIEMBRE","OCTUBRE","NOVIEMBRE","DICIEMBRE"))</f>
        <v/>
      </c>
      <c r="I1102" s="34">
        <f>IF($A1102="","",IF(OR($G1102="SÁBADO",$G1102="DOMINGO"),"FIN","LV"))</f>
        <v/>
      </c>
      <c r="J1102" s="34">
        <f>IF(OR($A1102="",$B1102=""),"",IF($L1102&lt;&gt;"",UPPER($L1102),IF($C1102="","FALTA",IFERROR(IF($C1102&gt;=$O1102,"ROJO FUERTE",IF($C1102&gt;=$N1102,"ROJO",IF($C1102&gt;=$M1102,"AMARILLO","VERDE"))),"REVISAR"))))</f>
        <v/>
      </c>
      <c r="K1102" s="36">
        <f>IF(OR($C1102="",$D1102=""),"",IF($D1102&gt;=$C1102,($D1102-$C1102)*24,(1-$C1102+$D1102)*24))</f>
        <v/>
      </c>
      <c r="L1102" s="34" t="n"/>
      <c r="M1102" s="53">
        <f t="array" ref="M1102">IFERROR(INDEX(EXCEPCIONES_FECHA!$D$2:$D$201,MATCH(1,(EXCEPCIONES_FECHA!$A$2:$A$201=$A1102)*(EXCEPCIONES_FECHA!$B$2:$B$201=$B1102),0)),IFERROR(INDEX(EXCEPCIONES_FECHA!$D$2:$D$201,MATCH(1,(EXCEPCIONES_FECHA!$A$2:$A$201=$A1102)*(EXCEPCIONES_FECHA!$B$2:$B$201=""),0)),IFERROR(INDEX(IF($I1102="FIN",HISTORIAL_HORARIOS!$J$2:$J$201,HISTORIAL_HORARIOS!$F$2:$F$201),MATCH(1,(HISTORIAL_HORARIOS!$A$2:$A$201=$B1102)*(HISTORIAL_HORARIOS!$C$2:$C$201&lt;=$A1102)*(HISTORIAL_HORARIOS!$D$2:$D$201&gt;=$A1102),0)),INDEX(IF($I1102="FIN",PERSONAL!$J$2:$J$80,PERSONAL!$F$2:$F$80),MATCH($B1102,PERSONAL!$A$2:$A$80,0)))))</f>
        <v/>
      </c>
      <c r="N1102" s="53">
        <f t="array" ref="N1102">IFERROR(INDEX(EXCEPCIONES_FECHA!$E$2:$E$201,MATCH(1,(EXCEPCIONES_FECHA!$A$2:$A$201=$A1102)*(EXCEPCIONES_FECHA!$B$2:$B$201=$B1102),0)),IFERROR(INDEX(EXCEPCIONES_FECHA!$E$2:$E$201,MATCH(1,(EXCEPCIONES_FECHA!$A$2:$A$201=$A1102)*(EXCEPCIONES_FECHA!$B$2:$B$201=""),0)),IFERROR(INDEX(IF($I1102="FIN",HISTORIAL_HORARIOS!$K$2:$K$201,HISTORIAL_HORARIOS!$G$2:$G$201),MATCH(1,(HISTORIAL_HORARIOS!$A$2:$A$201=$B1102)*(HISTORIAL_HORARIOS!$C$2:$C$201&lt;=$A1102)*(HISTORIAL_HORARIOS!$D$2:$D$201&gt;=$A1102),0)),INDEX(IF($I1102="FIN",PERSONAL!$K$2:$K$80,PERSONAL!$G$2:$G$80),MATCH($B1102,PERSONAL!$A$2:$A$80,0)))))</f>
        <v/>
      </c>
      <c r="O1102" s="53">
        <f t="array" ref="O1102">IFERROR(INDEX(EXCEPCIONES_FECHA!$F$2:$F$201,MATCH(1,(EXCEPCIONES_FECHA!$A$2:$A$201=$A1102)*(EXCEPCIONES_FECHA!$B$2:$B$201=$B1102),0)),IFERROR(INDEX(EXCEPCIONES_FECHA!$F$2:$F$201,MATCH(1,(EXCEPCIONES_FECHA!$A$2:$A$201=$A1102)*(EXCEPCIONES_FECHA!$B$2:$B$201=""),0)),IFERROR(INDEX(IF($I1102="FIN",HISTORIAL_HORARIOS!$L$2:$L$201,HISTORIAL_HORARIOS!$H$2:$H$201),MATCH(1,(HISTORIAL_HORARIOS!$A$2:$A$201=$B1102)*(HISTORIAL_HORARIOS!$C$2:$C$201&lt;=$A1102)*(HISTORIAL_HORARIOS!$D$2:$D$201&gt;=$A1102),0)),INDEX(IF($I1102="FIN",PERSONAL!$L$2:$L$80,PERSONAL!$H$2:$H$80),MATCH($B1102,PERSONAL!$A$2:$A$80,0)))))</f>
        <v/>
      </c>
    </row>
    <row r="1103" ht="15" customHeight="1" s="58">
      <c r="A1103" s="40" t="n"/>
      <c r="B1103" s="38" t="n"/>
      <c r="C1103" s="40" t="n"/>
      <c r="D1103" s="40" t="n"/>
      <c r="E1103" s="34">
        <f t="array" ref="E1103">IF($B1103="","",IFERROR(INDEX(PERSONAL!$B$2:$B$80,MATCH($B1103,PERSONAL!$A$2:$A$80,0)),"NO EXISTE"))</f>
        <v/>
      </c>
      <c r="F1103" s="34">
        <f t="array" ref="F1103">IF($B1103="","",IFERROR(INDEX(PERSONAL!$C$2:$C$80,MATCH($B1103,PERSONAL!$A$2:$A$80,0)),""))</f>
        <v/>
      </c>
      <c r="G1103" s="34">
        <f>IF($A1103="","",CHOOSE(WEEKDAY($A1103,2),"LUNES","MARTES","MIÉRCOLES","JUEVES","VIERNES","SÁBADO","DOMINGO"))</f>
        <v/>
      </c>
      <c r="H1103" s="34">
        <f>IF($A1103="","",CHOOSE(MONTH($A1103),"ENERO","FEBRERO","MARZO","ABRIL","MAYO","JUNIO","JULIO","AGOSTO","SEPTIEMBRE","OCTUBRE","NOVIEMBRE","DICIEMBRE"))</f>
        <v/>
      </c>
      <c r="I1103" s="34">
        <f>IF($A1103="","",IF(OR($G1103="SÁBADO",$G1103="DOMINGO"),"FIN","LV"))</f>
        <v/>
      </c>
      <c r="J1103" s="34">
        <f>IF(OR($A1103="",$B1103=""),"",IF($L1103&lt;&gt;"",UPPER($L1103),IF($C1103="","FALTA",IFERROR(IF($C1103&gt;=$O1103,"ROJO FUERTE",IF($C1103&gt;=$N1103,"ROJO",IF($C1103&gt;=$M1103,"AMARILLO","VERDE"))),"REVISAR"))))</f>
        <v/>
      </c>
      <c r="K1103" s="36">
        <f>IF(OR($C1103="",$D1103=""),"",IF($D1103&gt;=$C1103,($D1103-$C1103)*24,(1-$C1103+$D1103)*24))</f>
        <v/>
      </c>
      <c r="L1103" s="34" t="n"/>
      <c r="M1103" s="53">
        <f t="array" ref="M1103">IFERROR(INDEX(EXCEPCIONES_FECHA!$D$2:$D$201,MATCH(1,(EXCEPCIONES_FECHA!$A$2:$A$201=$A1103)*(EXCEPCIONES_FECHA!$B$2:$B$201=$B1103),0)),IFERROR(INDEX(EXCEPCIONES_FECHA!$D$2:$D$201,MATCH(1,(EXCEPCIONES_FECHA!$A$2:$A$201=$A1103)*(EXCEPCIONES_FECHA!$B$2:$B$201=""),0)),IFERROR(INDEX(IF($I1103="FIN",HISTORIAL_HORARIOS!$J$2:$J$201,HISTORIAL_HORARIOS!$F$2:$F$201),MATCH(1,(HISTORIAL_HORARIOS!$A$2:$A$201=$B1103)*(HISTORIAL_HORARIOS!$C$2:$C$201&lt;=$A1103)*(HISTORIAL_HORARIOS!$D$2:$D$201&gt;=$A1103),0)),INDEX(IF($I1103="FIN",PERSONAL!$J$2:$J$80,PERSONAL!$F$2:$F$80),MATCH($B1103,PERSONAL!$A$2:$A$80,0)))))</f>
        <v/>
      </c>
      <c r="N1103" s="53">
        <f t="array" ref="N1103">IFERROR(INDEX(EXCEPCIONES_FECHA!$E$2:$E$201,MATCH(1,(EXCEPCIONES_FECHA!$A$2:$A$201=$A1103)*(EXCEPCIONES_FECHA!$B$2:$B$201=$B1103),0)),IFERROR(INDEX(EXCEPCIONES_FECHA!$E$2:$E$201,MATCH(1,(EXCEPCIONES_FECHA!$A$2:$A$201=$A1103)*(EXCEPCIONES_FECHA!$B$2:$B$201=""),0)),IFERROR(INDEX(IF($I1103="FIN",HISTORIAL_HORARIOS!$K$2:$K$201,HISTORIAL_HORARIOS!$G$2:$G$201),MATCH(1,(HISTORIAL_HORARIOS!$A$2:$A$201=$B1103)*(HISTORIAL_HORARIOS!$C$2:$C$201&lt;=$A1103)*(HISTORIAL_HORARIOS!$D$2:$D$201&gt;=$A1103),0)),INDEX(IF($I1103="FIN",PERSONAL!$K$2:$K$80,PERSONAL!$G$2:$G$80),MATCH($B1103,PERSONAL!$A$2:$A$80,0)))))</f>
        <v/>
      </c>
      <c r="O1103" s="53">
        <f t="array" ref="O1103">IFERROR(INDEX(EXCEPCIONES_FECHA!$F$2:$F$201,MATCH(1,(EXCEPCIONES_FECHA!$A$2:$A$201=$A1103)*(EXCEPCIONES_FECHA!$B$2:$B$201=$B1103),0)),IFERROR(INDEX(EXCEPCIONES_FECHA!$F$2:$F$201,MATCH(1,(EXCEPCIONES_FECHA!$A$2:$A$201=$A1103)*(EXCEPCIONES_FECHA!$B$2:$B$201=""),0)),IFERROR(INDEX(IF($I1103="FIN",HISTORIAL_HORARIOS!$L$2:$L$201,HISTORIAL_HORARIOS!$H$2:$H$201),MATCH(1,(HISTORIAL_HORARIOS!$A$2:$A$201=$B1103)*(HISTORIAL_HORARIOS!$C$2:$C$201&lt;=$A1103)*(HISTORIAL_HORARIOS!$D$2:$D$201&gt;=$A1103),0)),INDEX(IF($I1103="FIN",PERSONAL!$L$2:$L$80,PERSONAL!$H$2:$H$80),MATCH($B1103,PERSONAL!$A$2:$A$80,0)))))</f>
        <v/>
      </c>
    </row>
    <row r="1104" ht="15" customHeight="1" s="58">
      <c r="A1104" s="40" t="n"/>
      <c r="B1104" s="38" t="n"/>
      <c r="C1104" s="40" t="n"/>
      <c r="D1104" s="40" t="n"/>
      <c r="E1104" s="34">
        <f t="array" ref="E1104">IF($B1104="","",IFERROR(INDEX(PERSONAL!$B$2:$B$80,MATCH($B1104,PERSONAL!$A$2:$A$80,0)),"NO EXISTE"))</f>
        <v/>
      </c>
      <c r="F1104" s="34">
        <f t="array" ref="F1104">IF($B1104="","",IFERROR(INDEX(PERSONAL!$C$2:$C$80,MATCH($B1104,PERSONAL!$A$2:$A$80,0)),""))</f>
        <v/>
      </c>
      <c r="G1104" s="34">
        <f>IF($A1104="","",CHOOSE(WEEKDAY($A1104,2),"LUNES","MARTES","MIÉRCOLES","JUEVES","VIERNES","SÁBADO","DOMINGO"))</f>
        <v/>
      </c>
      <c r="H1104" s="34">
        <f>IF($A1104="","",CHOOSE(MONTH($A1104),"ENERO","FEBRERO","MARZO","ABRIL","MAYO","JUNIO","JULIO","AGOSTO","SEPTIEMBRE","OCTUBRE","NOVIEMBRE","DICIEMBRE"))</f>
        <v/>
      </c>
      <c r="I1104" s="34">
        <f>IF($A1104="","",IF(OR($G1104="SÁBADO",$G1104="DOMINGO"),"FIN","LV"))</f>
        <v/>
      </c>
      <c r="J1104" s="34">
        <f>IF(OR($A1104="",$B1104=""),"",IF($L1104&lt;&gt;"",UPPER($L1104),IF($C1104="","FALTA",IFERROR(IF($C1104&gt;=$O1104,"ROJO FUERTE",IF($C1104&gt;=$N1104,"ROJO",IF($C1104&gt;=$M1104,"AMARILLO","VERDE"))),"REVISAR"))))</f>
        <v/>
      </c>
      <c r="K1104" s="36">
        <f>IF(OR($C1104="",$D1104=""),"",IF($D1104&gt;=$C1104,($D1104-$C1104)*24,(1-$C1104+$D1104)*24))</f>
        <v/>
      </c>
      <c r="L1104" s="34" t="n"/>
      <c r="M1104" s="53">
        <f t="array" ref="M1104">IFERROR(INDEX(EXCEPCIONES_FECHA!$D$2:$D$201,MATCH(1,(EXCEPCIONES_FECHA!$A$2:$A$201=$A1104)*(EXCEPCIONES_FECHA!$B$2:$B$201=$B1104),0)),IFERROR(INDEX(EXCEPCIONES_FECHA!$D$2:$D$201,MATCH(1,(EXCEPCIONES_FECHA!$A$2:$A$201=$A1104)*(EXCEPCIONES_FECHA!$B$2:$B$201=""),0)),IFERROR(INDEX(IF($I1104="FIN",HISTORIAL_HORARIOS!$J$2:$J$201,HISTORIAL_HORARIOS!$F$2:$F$201),MATCH(1,(HISTORIAL_HORARIOS!$A$2:$A$201=$B1104)*(HISTORIAL_HORARIOS!$C$2:$C$201&lt;=$A1104)*(HISTORIAL_HORARIOS!$D$2:$D$201&gt;=$A1104),0)),INDEX(IF($I1104="FIN",PERSONAL!$J$2:$J$80,PERSONAL!$F$2:$F$80),MATCH($B1104,PERSONAL!$A$2:$A$80,0)))))</f>
        <v/>
      </c>
      <c r="N1104" s="53">
        <f t="array" ref="N1104">IFERROR(INDEX(EXCEPCIONES_FECHA!$E$2:$E$201,MATCH(1,(EXCEPCIONES_FECHA!$A$2:$A$201=$A1104)*(EXCEPCIONES_FECHA!$B$2:$B$201=$B1104),0)),IFERROR(INDEX(EXCEPCIONES_FECHA!$E$2:$E$201,MATCH(1,(EXCEPCIONES_FECHA!$A$2:$A$201=$A1104)*(EXCEPCIONES_FECHA!$B$2:$B$201=""),0)),IFERROR(INDEX(IF($I1104="FIN",HISTORIAL_HORARIOS!$K$2:$K$201,HISTORIAL_HORARIOS!$G$2:$G$201),MATCH(1,(HISTORIAL_HORARIOS!$A$2:$A$201=$B1104)*(HISTORIAL_HORARIOS!$C$2:$C$201&lt;=$A1104)*(HISTORIAL_HORARIOS!$D$2:$D$201&gt;=$A1104),0)),INDEX(IF($I1104="FIN",PERSONAL!$K$2:$K$80,PERSONAL!$G$2:$G$80),MATCH($B1104,PERSONAL!$A$2:$A$80,0)))))</f>
        <v/>
      </c>
      <c r="O1104" s="53">
        <f t="array" ref="O1104">IFERROR(INDEX(EXCEPCIONES_FECHA!$F$2:$F$201,MATCH(1,(EXCEPCIONES_FECHA!$A$2:$A$201=$A1104)*(EXCEPCIONES_FECHA!$B$2:$B$201=$B1104),0)),IFERROR(INDEX(EXCEPCIONES_FECHA!$F$2:$F$201,MATCH(1,(EXCEPCIONES_FECHA!$A$2:$A$201=$A1104)*(EXCEPCIONES_FECHA!$B$2:$B$201=""),0)),IFERROR(INDEX(IF($I1104="FIN",HISTORIAL_HORARIOS!$L$2:$L$201,HISTORIAL_HORARIOS!$H$2:$H$201),MATCH(1,(HISTORIAL_HORARIOS!$A$2:$A$201=$B1104)*(HISTORIAL_HORARIOS!$C$2:$C$201&lt;=$A1104)*(HISTORIAL_HORARIOS!$D$2:$D$201&gt;=$A1104),0)),INDEX(IF($I1104="FIN",PERSONAL!$L$2:$L$80,PERSONAL!$H$2:$H$80),MATCH($B1104,PERSONAL!$A$2:$A$80,0)))))</f>
        <v/>
      </c>
    </row>
    <row r="1105" ht="15" customHeight="1" s="58">
      <c r="A1105" s="40" t="n"/>
      <c r="B1105" s="38" t="n"/>
      <c r="C1105" s="40" t="n"/>
      <c r="D1105" s="40" t="n"/>
      <c r="E1105" s="34">
        <f t="array" ref="E1105">IF($B1105="","",IFERROR(INDEX(PERSONAL!$B$2:$B$80,MATCH($B1105,PERSONAL!$A$2:$A$80,0)),"NO EXISTE"))</f>
        <v/>
      </c>
      <c r="F1105" s="34">
        <f t="array" ref="F1105">IF($B1105="","",IFERROR(INDEX(PERSONAL!$C$2:$C$80,MATCH($B1105,PERSONAL!$A$2:$A$80,0)),""))</f>
        <v/>
      </c>
      <c r="G1105" s="34">
        <f>IF($A1105="","",CHOOSE(WEEKDAY($A1105,2),"LUNES","MARTES","MIÉRCOLES","JUEVES","VIERNES","SÁBADO","DOMINGO"))</f>
        <v/>
      </c>
      <c r="H1105" s="34">
        <f>IF($A1105="","",CHOOSE(MONTH($A1105),"ENERO","FEBRERO","MARZO","ABRIL","MAYO","JUNIO","JULIO","AGOSTO","SEPTIEMBRE","OCTUBRE","NOVIEMBRE","DICIEMBRE"))</f>
        <v/>
      </c>
      <c r="I1105" s="34">
        <f>IF($A1105="","",IF(OR($G1105="SÁBADO",$G1105="DOMINGO"),"FIN","LV"))</f>
        <v/>
      </c>
      <c r="J1105" s="34">
        <f>IF(OR($A1105="",$B1105=""),"",IF($L1105&lt;&gt;"",UPPER($L1105),IF($C1105="","FALTA",IFERROR(IF($C1105&gt;=$O1105,"ROJO FUERTE",IF($C1105&gt;=$N1105,"ROJO",IF($C1105&gt;=$M1105,"AMARILLO","VERDE"))),"REVISAR"))))</f>
        <v/>
      </c>
      <c r="K1105" s="36">
        <f>IF(OR($C1105="",$D1105=""),"",IF($D1105&gt;=$C1105,($D1105-$C1105)*24,(1-$C1105+$D1105)*24))</f>
        <v/>
      </c>
      <c r="L1105" s="34" t="n"/>
      <c r="M1105" s="53">
        <f t="array" ref="M1105">IFERROR(INDEX(EXCEPCIONES_FECHA!$D$2:$D$201,MATCH(1,(EXCEPCIONES_FECHA!$A$2:$A$201=$A1105)*(EXCEPCIONES_FECHA!$B$2:$B$201=$B1105),0)),IFERROR(INDEX(EXCEPCIONES_FECHA!$D$2:$D$201,MATCH(1,(EXCEPCIONES_FECHA!$A$2:$A$201=$A1105)*(EXCEPCIONES_FECHA!$B$2:$B$201=""),0)),IFERROR(INDEX(IF($I1105="FIN",HISTORIAL_HORARIOS!$J$2:$J$201,HISTORIAL_HORARIOS!$F$2:$F$201),MATCH(1,(HISTORIAL_HORARIOS!$A$2:$A$201=$B1105)*(HISTORIAL_HORARIOS!$C$2:$C$201&lt;=$A1105)*(HISTORIAL_HORARIOS!$D$2:$D$201&gt;=$A1105),0)),INDEX(IF($I1105="FIN",PERSONAL!$J$2:$J$80,PERSONAL!$F$2:$F$80),MATCH($B1105,PERSONAL!$A$2:$A$80,0)))))</f>
        <v/>
      </c>
      <c r="N1105" s="53">
        <f t="array" ref="N1105">IFERROR(INDEX(EXCEPCIONES_FECHA!$E$2:$E$201,MATCH(1,(EXCEPCIONES_FECHA!$A$2:$A$201=$A1105)*(EXCEPCIONES_FECHA!$B$2:$B$201=$B1105),0)),IFERROR(INDEX(EXCEPCIONES_FECHA!$E$2:$E$201,MATCH(1,(EXCEPCIONES_FECHA!$A$2:$A$201=$A1105)*(EXCEPCIONES_FECHA!$B$2:$B$201=""),0)),IFERROR(INDEX(IF($I1105="FIN",HISTORIAL_HORARIOS!$K$2:$K$201,HISTORIAL_HORARIOS!$G$2:$G$201),MATCH(1,(HISTORIAL_HORARIOS!$A$2:$A$201=$B1105)*(HISTORIAL_HORARIOS!$C$2:$C$201&lt;=$A1105)*(HISTORIAL_HORARIOS!$D$2:$D$201&gt;=$A1105),0)),INDEX(IF($I1105="FIN",PERSONAL!$K$2:$K$80,PERSONAL!$G$2:$G$80),MATCH($B1105,PERSONAL!$A$2:$A$80,0)))))</f>
        <v/>
      </c>
      <c r="O1105" s="53">
        <f t="array" ref="O1105">IFERROR(INDEX(EXCEPCIONES_FECHA!$F$2:$F$201,MATCH(1,(EXCEPCIONES_FECHA!$A$2:$A$201=$A1105)*(EXCEPCIONES_FECHA!$B$2:$B$201=$B1105),0)),IFERROR(INDEX(EXCEPCIONES_FECHA!$F$2:$F$201,MATCH(1,(EXCEPCIONES_FECHA!$A$2:$A$201=$A1105)*(EXCEPCIONES_FECHA!$B$2:$B$201=""),0)),IFERROR(INDEX(IF($I1105="FIN",HISTORIAL_HORARIOS!$L$2:$L$201,HISTORIAL_HORARIOS!$H$2:$H$201),MATCH(1,(HISTORIAL_HORARIOS!$A$2:$A$201=$B1105)*(HISTORIAL_HORARIOS!$C$2:$C$201&lt;=$A1105)*(HISTORIAL_HORARIOS!$D$2:$D$201&gt;=$A1105),0)),INDEX(IF($I1105="FIN",PERSONAL!$L$2:$L$80,PERSONAL!$H$2:$H$80),MATCH($B1105,PERSONAL!$A$2:$A$80,0)))))</f>
        <v/>
      </c>
    </row>
    <row r="1106" ht="15" customHeight="1" s="58">
      <c r="A1106" s="40" t="n"/>
      <c r="B1106" s="38" t="n"/>
      <c r="C1106" s="40" t="n"/>
      <c r="D1106" s="40" t="n"/>
      <c r="E1106" s="34">
        <f t="array" ref="E1106">IF($B1106="","",IFERROR(INDEX(PERSONAL!$B$2:$B$80,MATCH($B1106,PERSONAL!$A$2:$A$80,0)),"NO EXISTE"))</f>
        <v/>
      </c>
      <c r="F1106" s="34">
        <f t="array" ref="F1106">IF($B1106="","",IFERROR(INDEX(PERSONAL!$C$2:$C$80,MATCH($B1106,PERSONAL!$A$2:$A$80,0)),""))</f>
        <v/>
      </c>
      <c r="G1106" s="34">
        <f>IF($A1106="","",CHOOSE(WEEKDAY($A1106,2),"LUNES","MARTES","MIÉRCOLES","JUEVES","VIERNES","SÁBADO","DOMINGO"))</f>
        <v/>
      </c>
      <c r="H1106" s="34">
        <f>IF($A1106="","",CHOOSE(MONTH($A1106),"ENERO","FEBRERO","MARZO","ABRIL","MAYO","JUNIO","JULIO","AGOSTO","SEPTIEMBRE","OCTUBRE","NOVIEMBRE","DICIEMBRE"))</f>
        <v/>
      </c>
      <c r="I1106" s="34">
        <f>IF($A1106="","",IF(OR($G1106="SÁBADO",$G1106="DOMINGO"),"FIN","LV"))</f>
        <v/>
      </c>
      <c r="J1106" s="34">
        <f>IF(OR($A1106="",$B1106=""),"",IF($L1106&lt;&gt;"",UPPER($L1106),IF($C1106="","FALTA",IFERROR(IF($C1106&gt;=$O1106,"ROJO FUERTE",IF($C1106&gt;=$N1106,"ROJO",IF($C1106&gt;=$M1106,"AMARILLO","VERDE"))),"REVISAR"))))</f>
        <v/>
      </c>
      <c r="K1106" s="36">
        <f>IF(OR($C1106="",$D1106=""),"",IF($D1106&gt;=$C1106,($D1106-$C1106)*24,(1-$C1106+$D1106)*24))</f>
        <v/>
      </c>
      <c r="L1106" s="34" t="n"/>
      <c r="M1106" s="53">
        <f t="array" ref="M1106">IFERROR(INDEX(EXCEPCIONES_FECHA!$D$2:$D$201,MATCH(1,(EXCEPCIONES_FECHA!$A$2:$A$201=$A1106)*(EXCEPCIONES_FECHA!$B$2:$B$201=$B1106),0)),IFERROR(INDEX(EXCEPCIONES_FECHA!$D$2:$D$201,MATCH(1,(EXCEPCIONES_FECHA!$A$2:$A$201=$A1106)*(EXCEPCIONES_FECHA!$B$2:$B$201=""),0)),IFERROR(INDEX(IF($I1106="FIN",HISTORIAL_HORARIOS!$J$2:$J$201,HISTORIAL_HORARIOS!$F$2:$F$201),MATCH(1,(HISTORIAL_HORARIOS!$A$2:$A$201=$B1106)*(HISTORIAL_HORARIOS!$C$2:$C$201&lt;=$A1106)*(HISTORIAL_HORARIOS!$D$2:$D$201&gt;=$A1106),0)),INDEX(IF($I1106="FIN",PERSONAL!$J$2:$J$80,PERSONAL!$F$2:$F$80),MATCH($B1106,PERSONAL!$A$2:$A$80,0)))))</f>
        <v/>
      </c>
      <c r="N1106" s="53">
        <f t="array" ref="N1106">IFERROR(INDEX(EXCEPCIONES_FECHA!$E$2:$E$201,MATCH(1,(EXCEPCIONES_FECHA!$A$2:$A$201=$A1106)*(EXCEPCIONES_FECHA!$B$2:$B$201=$B1106),0)),IFERROR(INDEX(EXCEPCIONES_FECHA!$E$2:$E$201,MATCH(1,(EXCEPCIONES_FECHA!$A$2:$A$201=$A1106)*(EXCEPCIONES_FECHA!$B$2:$B$201=""),0)),IFERROR(INDEX(IF($I1106="FIN",HISTORIAL_HORARIOS!$K$2:$K$201,HISTORIAL_HORARIOS!$G$2:$G$201),MATCH(1,(HISTORIAL_HORARIOS!$A$2:$A$201=$B1106)*(HISTORIAL_HORARIOS!$C$2:$C$201&lt;=$A1106)*(HISTORIAL_HORARIOS!$D$2:$D$201&gt;=$A1106),0)),INDEX(IF($I1106="FIN",PERSONAL!$K$2:$K$80,PERSONAL!$G$2:$G$80),MATCH($B1106,PERSONAL!$A$2:$A$80,0)))))</f>
        <v/>
      </c>
      <c r="O1106" s="53">
        <f t="array" ref="O1106">IFERROR(INDEX(EXCEPCIONES_FECHA!$F$2:$F$201,MATCH(1,(EXCEPCIONES_FECHA!$A$2:$A$201=$A1106)*(EXCEPCIONES_FECHA!$B$2:$B$201=$B1106),0)),IFERROR(INDEX(EXCEPCIONES_FECHA!$F$2:$F$201,MATCH(1,(EXCEPCIONES_FECHA!$A$2:$A$201=$A1106)*(EXCEPCIONES_FECHA!$B$2:$B$201=""),0)),IFERROR(INDEX(IF($I1106="FIN",HISTORIAL_HORARIOS!$L$2:$L$201,HISTORIAL_HORARIOS!$H$2:$H$201),MATCH(1,(HISTORIAL_HORARIOS!$A$2:$A$201=$B1106)*(HISTORIAL_HORARIOS!$C$2:$C$201&lt;=$A1106)*(HISTORIAL_HORARIOS!$D$2:$D$201&gt;=$A1106),0)),INDEX(IF($I1106="FIN",PERSONAL!$L$2:$L$80,PERSONAL!$H$2:$H$80),MATCH($B1106,PERSONAL!$A$2:$A$80,0)))))</f>
        <v/>
      </c>
    </row>
    <row r="1107" ht="15" customHeight="1" s="58">
      <c r="A1107" s="40" t="n"/>
      <c r="B1107" s="38" t="n"/>
      <c r="C1107" s="40" t="n"/>
      <c r="D1107" s="40" t="n"/>
      <c r="E1107" s="34">
        <f t="array" ref="E1107">IF($B1107="","",IFERROR(INDEX(PERSONAL!$B$2:$B$80,MATCH($B1107,PERSONAL!$A$2:$A$80,0)),"NO EXISTE"))</f>
        <v/>
      </c>
      <c r="F1107" s="34">
        <f t="array" ref="F1107">IF($B1107="","",IFERROR(INDEX(PERSONAL!$C$2:$C$80,MATCH($B1107,PERSONAL!$A$2:$A$80,0)),""))</f>
        <v/>
      </c>
      <c r="G1107" s="34">
        <f>IF($A1107="","",CHOOSE(WEEKDAY($A1107,2),"LUNES","MARTES","MIÉRCOLES","JUEVES","VIERNES","SÁBADO","DOMINGO"))</f>
        <v/>
      </c>
      <c r="H1107" s="34">
        <f>IF($A1107="","",CHOOSE(MONTH($A1107),"ENERO","FEBRERO","MARZO","ABRIL","MAYO","JUNIO","JULIO","AGOSTO","SEPTIEMBRE","OCTUBRE","NOVIEMBRE","DICIEMBRE"))</f>
        <v/>
      </c>
      <c r="I1107" s="34">
        <f>IF($A1107="","",IF(OR($G1107="SÁBADO",$G1107="DOMINGO"),"FIN","LV"))</f>
        <v/>
      </c>
      <c r="J1107" s="34">
        <f>IF(OR($A1107="",$B1107=""),"",IF($L1107&lt;&gt;"",UPPER($L1107),IF($C1107="","FALTA",IFERROR(IF($C1107&gt;=$O1107,"ROJO FUERTE",IF($C1107&gt;=$N1107,"ROJO",IF($C1107&gt;=$M1107,"AMARILLO","VERDE"))),"REVISAR"))))</f>
        <v/>
      </c>
      <c r="K1107" s="36">
        <f>IF(OR($C1107="",$D1107=""),"",IF($D1107&gt;=$C1107,($D1107-$C1107)*24,(1-$C1107+$D1107)*24))</f>
        <v/>
      </c>
      <c r="L1107" s="34" t="n"/>
      <c r="M1107" s="53">
        <f t="array" ref="M1107">IFERROR(INDEX(EXCEPCIONES_FECHA!$D$2:$D$201,MATCH(1,(EXCEPCIONES_FECHA!$A$2:$A$201=$A1107)*(EXCEPCIONES_FECHA!$B$2:$B$201=$B1107),0)),IFERROR(INDEX(EXCEPCIONES_FECHA!$D$2:$D$201,MATCH(1,(EXCEPCIONES_FECHA!$A$2:$A$201=$A1107)*(EXCEPCIONES_FECHA!$B$2:$B$201=""),0)),IFERROR(INDEX(IF($I1107="FIN",HISTORIAL_HORARIOS!$J$2:$J$201,HISTORIAL_HORARIOS!$F$2:$F$201),MATCH(1,(HISTORIAL_HORARIOS!$A$2:$A$201=$B1107)*(HISTORIAL_HORARIOS!$C$2:$C$201&lt;=$A1107)*(HISTORIAL_HORARIOS!$D$2:$D$201&gt;=$A1107),0)),INDEX(IF($I1107="FIN",PERSONAL!$J$2:$J$80,PERSONAL!$F$2:$F$80),MATCH($B1107,PERSONAL!$A$2:$A$80,0)))))</f>
        <v/>
      </c>
      <c r="N1107" s="53">
        <f t="array" ref="N1107">IFERROR(INDEX(EXCEPCIONES_FECHA!$E$2:$E$201,MATCH(1,(EXCEPCIONES_FECHA!$A$2:$A$201=$A1107)*(EXCEPCIONES_FECHA!$B$2:$B$201=$B1107),0)),IFERROR(INDEX(EXCEPCIONES_FECHA!$E$2:$E$201,MATCH(1,(EXCEPCIONES_FECHA!$A$2:$A$201=$A1107)*(EXCEPCIONES_FECHA!$B$2:$B$201=""),0)),IFERROR(INDEX(IF($I1107="FIN",HISTORIAL_HORARIOS!$K$2:$K$201,HISTORIAL_HORARIOS!$G$2:$G$201),MATCH(1,(HISTORIAL_HORARIOS!$A$2:$A$201=$B1107)*(HISTORIAL_HORARIOS!$C$2:$C$201&lt;=$A1107)*(HISTORIAL_HORARIOS!$D$2:$D$201&gt;=$A1107),0)),INDEX(IF($I1107="FIN",PERSONAL!$K$2:$K$80,PERSONAL!$G$2:$G$80),MATCH($B1107,PERSONAL!$A$2:$A$80,0)))))</f>
        <v/>
      </c>
      <c r="O1107" s="53">
        <f t="array" ref="O1107">IFERROR(INDEX(EXCEPCIONES_FECHA!$F$2:$F$201,MATCH(1,(EXCEPCIONES_FECHA!$A$2:$A$201=$A1107)*(EXCEPCIONES_FECHA!$B$2:$B$201=$B1107),0)),IFERROR(INDEX(EXCEPCIONES_FECHA!$F$2:$F$201,MATCH(1,(EXCEPCIONES_FECHA!$A$2:$A$201=$A1107)*(EXCEPCIONES_FECHA!$B$2:$B$201=""),0)),IFERROR(INDEX(IF($I1107="FIN",HISTORIAL_HORARIOS!$L$2:$L$201,HISTORIAL_HORARIOS!$H$2:$H$201),MATCH(1,(HISTORIAL_HORARIOS!$A$2:$A$201=$B1107)*(HISTORIAL_HORARIOS!$C$2:$C$201&lt;=$A1107)*(HISTORIAL_HORARIOS!$D$2:$D$201&gt;=$A1107),0)),INDEX(IF($I1107="FIN",PERSONAL!$L$2:$L$80,PERSONAL!$H$2:$H$80),MATCH($B1107,PERSONAL!$A$2:$A$80,0)))))</f>
        <v/>
      </c>
    </row>
    <row r="1108" ht="15" customHeight="1" s="58">
      <c r="A1108" s="40" t="n"/>
      <c r="B1108" s="38" t="n"/>
      <c r="C1108" s="40" t="n"/>
      <c r="D1108" s="40" t="n"/>
      <c r="E1108" s="34">
        <f t="array" ref="E1108">IF($B1108="","",IFERROR(INDEX(PERSONAL!$B$2:$B$80,MATCH($B1108,PERSONAL!$A$2:$A$80,0)),"NO EXISTE"))</f>
        <v/>
      </c>
      <c r="F1108" s="34">
        <f t="array" ref="F1108">IF($B1108="","",IFERROR(INDEX(PERSONAL!$C$2:$C$80,MATCH($B1108,PERSONAL!$A$2:$A$80,0)),""))</f>
        <v/>
      </c>
      <c r="G1108" s="34">
        <f>IF($A1108="","",CHOOSE(WEEKDAY($A1108,2),"LUNES","MARTES","MIÉRCOLES","JUEVES","VIERNES","SÁBADO","DOMINGO"))</f>
        <v/>
      </c>
      <c r="H1108" s="34">
        <f>IF($A1108="","",CHOOSE(MONTH($A1108),"ENERO","FEBRERO","MARZO","ABRIL","MAYO","JUNIO","JULIO","AGOSTO","SEPTIEMBRE","OCTUBRE","NOVIEMBRE","DICIEMBRE"))</f>
        <v/>
      </c>
      <c r="I1108" s="34">
        <f>IF($A1108="","",IF(OR($G1108="SÁBADO",$G1108="DOMINGO"),"FIN","LV"))</f>
        <v/>
      </c>
      <c r="J1108" s="34">
        <f>IF(OR($A1108="",$B1108=""),"",IF($L1108&lt;&gt;"",UPPER($L1108),IF($C1108="","FALTA",IFERROR(IF($C1108&gt;=$O1108,"ROJO FUERTE",IF($C1108&gt;=$N1108,"ROJO",IF($C1108&gt;=$M1108,"AMARILLO","VERDE"))),"REVISAR"))))</f>
        <v/>
      </c>
      <c r="K1108" s="36">
        <f>IF(OR($C1108="",$D1108=""),"",IF($D1108&gt;=$C1108,($D1108-$C1108)*24,(1-$C1108+$D1108)*24))</f>
        <v/>
      </c>
      <c r="L1108" s="34" t="n"/>
      <c r="M1108" s="53">
        <f t="array" ref="M1108">IFERROR(INDEX(EXCEPCIONES_FECHA!$D$2:$D$201,MATCH(1,(EXCEPCIONES_FECHA!$A$2:$A$201=$A1108)*(EXCEPCIONES_FECHA!$B$2:$B$201=$B1108),0)),IFERROR(INDEX(EXCEPCIONES_FECHA!$D$2:$D$201,MATCH(1,(EXCEPCIONES_FECHA!$A$2:$A$201=$A1108)*(EXCEPCIONES_FECHA!$B$2:$B$201=""),0)),IFERROR(INDEX(IF($I1108="FIN",HISTORIAL_HORARIOS!$J$2:$J$201,HISTORIAL_HORARIOS!$F$2:$F$201),MATCH(1,(HISTORIAL_HORARIOS!$A$2:$A$201=$B1108)*(HISTORIAL_HORARIOS!$C$2:$C$201&lt;=$A1108)*(HISTORIAL_HORARIOS!$D$2:$D$201&gt;=$A1108),0)),INDEX(IF($I1108="FIN",PERSONAL!$J$2:$J$80,PERSONAL!$F$2:$F$80),MATCH($B1108,PERSONAL!$A$2:$A$80,0)))))</f>
        <v/>
      </c>
      <c r="N1108" s="53">
        <f t="array" ref="N1108">IFERROR(INDEX(EXCEPCIONES_FECHA!$E$2:$E$201,MATCH(1,(EXCEPCIONES_FECHA!$A$2:$A$201=$A1108)*(EXCEPCIONES_FECHA!$B$2:$B$201=$B1108),0)),IFERROR(INDEX(EXCEPCIONES_FECHA!$E$2:$E$201,MATCH(1,(EXCEPCIONES_FECHA!$A$2:$A$201=$A1108)*(EXCEPCIONES_FECHA!$B$2:$B$201=""),0)),IFERROR(INDEX(IF($I1108="FIN",HISTORIAL_HORARIOS!$K$2:$K$201,HISTORIAL_HORARIOS!$G$2:$G$201),MATCH(1,(HISTORIAL_HORARIOS!$A$2:$A$201=$B1108)*(HISTORIAL_HORARIOS!$C$2:$C$201&lt;=$A1108)*(HISTORIAL_HORARIOS!$D$2:$D$201&gt;=$A1108),0)),INDEX(IF($I1108="FIN",PERSONAL!$K$2:$K$80,PERSONAL!$G$2:$G$80),MATCH($B1108,PERSONAL!$A$2:$A$80,0)))))</f>
        <v/>
      </c>
      <c r="O1108" s="53">
        <f t="array" ref="O1108">IFERROR(INDEX(EXCEPCIONES_FECHA!$F$2:$F$201,MATCH(1,(EXCEPCIONES_FECHA!$A$2:$A$201=$A1108)*(EXCEPCIONES_FECHA!$B$2:$B$201=$B1108),0)),IFERROR(INDEX(EXCEPCIONES_FECHA!$F$2:$F$201,MATCH(1,(EXCEPCIONES_FECHA!$A$2:$A$201=$A1108)*(EXCEPCIONES_FECHA!$B$2:$B$201=""),0)),IFERROR(INDEX(IF($I1108="FIN",HISTORIAL_HORARIOS!$L$2:$L$201,HISTORIAL_HORARIOS!$H$2:$H$201),MATCH(1,(HISTORIAL_HORARIOS!$A$2:$A$201=$B1108)*(HISTORIAL_HORARIOS!$C$2:$C$201&lt;=$A1108)*(HISTORIAL_HORARIOS!$D$2:$D$201&gt;=$A1108),0)),INDEX(IF($I1108="FIN",PERSONAL!$L$2:$L$80,PERSONAL!$H$2:$H$80),MATCH($B1108,PERSONAL!$A$2:$A$80,0)))))</f>
        <v/>
      </c>
    </row>
    <row r="1109" ht="15" customHeight="1" s="58">
      <c r="A1109" s="40" t="n"/>
      <c r="B1109" s="38" t="n"/>
      <c r="C1109" s="40" t="n"/>
      <c r="D1109" s="40" t="n"/>
      <c r="E1109" s="34">
        <f t="array" ref="E1109">IF($B1109="","",IFERROR(INDEX(PERSONAL!$B$2:$B$80,MATCH($B1109,PERSONAL!$A$2:$A$80,0)),"NO EXISTE"))</f>
        <v/>
      </c>
      <c r="F1109" s="34">
        <f t="array" ref="F1109">IF($B1109="","",IFERROR(INDEX(PERSONAL!$C$2:$C$80,MATCH($B1109,PERSONAL!$A$2:$A$80,0)),""))</f>
        <v/>
      </c>
      <c r="G1109" s="34">
        <f>IF($A1109="","",CHOOSE(WEEKDAY($A1109,2),"LUNES","MARTES","MIÉRCOLES","JUEVES","VIERNES","SÁBADO","DOMINGO"))</f>
        <v/>
      </c>
      <c r="H1109" s="34">
        <f>IF($A1109="","",CHOOSE(MONTH($A1109),"ENERO","FEBRERO","MARZO","ABRIL","MAYO","JUNIO","JULIO","AGOSTO","SEPTIEMBRE","OCTUBRE","NOVIEMBRE","DICIEMBRE"))</f>
        <v/>
      </c>
      <c r="I1109" s="34">
        <f>IF($A1109="","",IF(OR($G1109="SÁBADO",$G1109="DOMINGO"),"FIN","LV"))</f>
        <v/>
      </c>
      <c r="J1109" s="34">
        <f>IF(OR($A1109="",$B1109=""),"",IF($L1109&lt;&gt;"",UPPER($L1109),IF($C1109="","FALTA",IFERROR(IF($C1109&gt;=$O1109,"ROJO FUERTE",IF($C1109&gt;=$N1109,"ROJO",IF($C1109&gt;=$M1109,"AMARILLO","VERDE"))),"REVISAR"))))</f>
        <v/>
      </c>
      <c r="K1109" s="36">
        <f>IF(OR($C1109="",$D1109=""),"",IF($D1109&gt;=$C1109,($D1109-$C1109)*24,(1-$C1109+$D1109)*24))</f>
        <v/>
      </c>
      <c r="L1109" s="34" t="n"/>
      <c r="M1109" s="53">
        <f t="array" ref="M1109">IFERROR(INDEX(EXCEPCIONES_FECHA!$D$2:$D$201,MATCH(1,(EXCEPCIONES_FECHA!$A$2:$A$201=$A1109)*(EXCEPCIONES_FECHA!$B$2:$B$201=$B1109),0)),IFERROR(INDEX(EXCEPCIONES_FECHA!$D$2:$D$201,MATCH(1,(EXCEPCIONES_FECHA!$A$2:$A$201=$A1109)*(EXCEPCIONES_FECHA!$B$2:$B$201=""),0)),IFERROR(INDEX(IF($I1109="FIN",HISTORIAL_HORARIOS!$J$2:$J$201,HISTORIAL_HORARIOS!$F$2:$F$201),MATCH(1,(HISTORIAL_HORARIOS!$A$2:$A$201=$B1109)*(HISTORIAL_HORARIOS!$C$2:$C$201&lt;=$A1109)*(HISTORIAL_HORARIOS!$D$2:$D$201&gt;=$A1109),0)),INDEX(IF($I1109="FIN",PERSONAL!$J$2:$J$80,PERSONAL!$F$2:$F$80),MATCH($B1109,PERSONAL!$A$2:$A$80,0)))))</f>
        <v/>
      </c>
      <c r="N1109" s="53">
        <f t="array" ref="N1109">IFERROR(INDEX(EXCEPCIONES_FECHA!$E$2:$E$201,MATCH(1,(EXCEPCIONES_FECHA!$A$2:$A$201=$A1109)*(EXCEPCIONES_FECHA!$B$2:$B$201=$B1109),0)),IFERROR(INDEX(EXCEPCIONES_FECHA!$E$2:$E$201,MATCH(1,(EXCEPCIONES_FECHA!$A$2:$A$201=$A1109)*(EXCEPCIONES_FECHA!$B$2:$B$201=""),0)),IFERROR(INDEX(IF($I1109="FIN",HISTORIAL_HORARIOS!$K$2:$K$201,HISTORIAL_HORARIOS!$G$2:$G$201),MATCH(1,(HISTORIAL_HORARIOS!$A$2:$A$201=$B1109)*(HISTORIAL_HORARIOS!$C$2:$C$201&lt;=$A1109)*(HISTORIAL_HORARIOS!$D$2:$D$201&gt;=$A1109),0)),INDEX(IF($I1109="FIN",PERSONAL!$K$2:$K$80,PERSONAL!$G$2:$G$80),MATCH($B1109,PERSONAL!$A$2:$A$80,0)))))</f>
        <v/>
      </c>
      <c r="O1109" s="53">
        <f t="array" ref="O1109">IFERROR(INDEX(EXCEPCIONES_FECHA!$F$2:$F$201,MATCH(1,(EXCEPCIONES_FECHA!$A$2:$A$201=$A1109)*(EXCEPCIONES_FECHA!$B$2:$B$201=$B1109),0)),IFERROR(INDEX(EXCEPCIONES_FECHA!$F$2:$F$201,MATCH(1,(EXCEPCIONES_FECHA!$A$2:$A$201=$A1109)*(EXCEPCIONES_FECHA!$B$2:$B$201=""),0)),IFERROR(INDEX(IF($I1109="FIN",HISTORIAL_HORARIOS!$L$2:$L$201,HISTORIAL_HORARIOS!$H$2:$H$201),MATCH(1,(HISTORIAL_HORARIOS!$A$2:$A$201=$B1109)*(HISTORIAL_HORARIOS!$C$2:$C$201&lt;=$A1109)*(HISTORIAL_HORARIOS!$D$2:$D$201&gt;=$A1109),0)),INDEX(IF($I1109="FIN",PERSONAL!$L$2:$L$80,PERSONAL!$H$2:$H$80),MATCH($B1109,PERSONAL!$A$2:$A$80,0)))))</f>
        <v/>
      </c>
    </row>
    <row r="1110" ht="15" customHeight="1" s="58">
      <c r="A1110" s="40" t="n"/>
      <c r="B1110" s="38" t="n"/>
      <c r="C1110" s="40" t="n"/>
      <c r="D1110" s="40" t="n"/>
      <c r="E1110" s="34">
        <f t="array" ref="E1110">IF($B1110="","",IFERROR(INDEX(PERSONAL!$B$2:$B$80,MATCH($B1110,PERSONAL!$A$2:$A$80,0)),"NO EXISTE"))</f>
        <v/>
      </c>
      <c r="F1110" s="34">
        <f t="array" ref="F1110">IF($B1110="","",IFERROR(INDEX(PERSONAL!$C$2:$C$80,MATCH($B1110,PERSONAL!$A$2:$A$80,0)),""))</f>
        <v/>
      </c>
      <c r="G1110" s="34">
        <f>IF($A1110="","",CHOOSE(WEEKDAY($A1110,2),"LUNES","MARTES","MIÉRCOLES","JUEVES","VIERNES","SÁBADO","DOMINGO"))</f>
        <v/>
      </c>
      <c r="H1110" s="34">
        <f>IF($A1110="","",CHOOSE(MONTH($A1110),"ENERO","FEBRERO","MARZO","ABRIL","MAYO","JUNIO","JULIO","AGOSTO","SEPTIEMBRE","OCTUBRE","NOVIEMBRE","DICIEMBRE"))</f>
        <v/>
      </c>
      <c r="I1110" s="34">
        <f>IF($A1110="","",IF(OR($G1110="SÁBADO",$G1110="DOMINGO"),"FIN","LV"))</f>
        <v/>
      </c>
      <c r="J1110" s="34">
        <f>IF(OR($A1110="",$B1110=""),"",IF($L1110&lt;&gt;"",UPPER($L1110),IF($C1110="","FALTA",IFERROR(IF($C1110&gt;=$O1110,"ROJO FUERTE",IF($C1110&gt;=$N1110,"ROJO",IF($C1110&gt;=$M1110,"AMARILLO","VERDE"))),"REVISAR"))))</f>
        <v/>
      </c>
      <c r="K1110" s="36">
        <f>IF(OR($C1110="",$D1110=""),"",IF($D1110&gt;=$C1110,($D1110-$C1110)*24,(1-$C1110+$D1110)*24))</f>
        <v/>
      </c>
      <c r="L1110" s="34" t="n"/>
      <c r="M1110" s="53">
        <f t="array" ref="M1110">IFERROR(INDEX(EXCEPCIONES_FECHA!$D$2:$D$201,MATCH(1,(EXCEPCIONES_FECHA!$A$2:$A$201=$A1110)*(EXCEPCIONES_FECHA!$B$2:$B$201=$B1110),0)),IFERROR(INDEX(EXCEPCIONES_FECHA!$D$2:$D$201,MATCH(1,(EXCEPCIONES_FECHA!$A$2:$A$201=$A1110)*(EXCEPCIONES_FECHA!$B$2:$B$201=""),0)),IFERROR(INDEX(IF($I1110="FIN",HISTORIAL_HORARIOS!$J$2:$J$201,HISTORIAL_HORARIOS!$F$2:$F$201),MATCH(1,(HISTORIAL_HORARIOS!$A$2:$A$201=$B1110)*(HISTORIAL_HORARIOS!$C$2:$C$201&lt;=$A1110)*(HISTORIAL_HORARIOS!$D$2:$D$201&gt;=$A1110),0)),INDEX(IF($I1110="FIN",PERSONAL!$J$2:$J$80,PERSONAL!$F$2:$F$80),MATCH($B1110,PERSONAL!$A$2:$A$80,0)))))</f>
        <v/>
      </c>
      <c r="N1110" s="53">
        <f t="array" ref="N1110">IFERROR(INDEX(EXCEPCIONES_FECHA!$E$2:$E$201,MATCH(1,(EXCEPCIONES_FECHA!$A$2:$A$201=$A1110)*(EXCEPCIONES_FECHA!$B$2:$B$201=$B1110),0)),IFERROR(INDEX(EXCEPCIONES_FECHA!$E$2:$E$201,MATCH(1,(EXCEPCIONES_FECHA!$A$2:$A$201=$A1110)*(EXCEPCIONES_FECHA!$B$2:$B$201=""),0)),IFERROR(INDEX(IF($I1110="FIN",HISTORIAL_HORARIOS!$K$2:$K$201,HISTORIAL_HORARIOS!$G$2:$G$201),MATCH(1,(HISTORIAL_HORARIOS!$A$2:$A$201=$B1110)*(HISTORIAL_HORARIOS!$C$2:$C$201&lt;=$A1110)*(HISTORIAL_HORARIOS!$D$2:$D$201&gt;=$A1110),0)),INDEX(IF($I1110="FIN",PERSONAL!$K$2:$K$80,PERSONAL!$G$2:$G$80),MATCH($B1110,PERSONAL!$A$2:$A$80,0)))))</f>
        <v/>
      </c>
      <c r="O1110" s="53">
        <f t="array" ref="O1110">IFERROR(INDEX(EXCEPCIONES_FECHA!$F$2:$F$201,MATCH(1,(EXCEPCIONES_FECHA!$A$2:$A$201=$A1110)*(EXCEPCIONES_FECHA!$B$2:$B$201=$B1110),0)),IFERROR(INDEX(EXCEPCIONES_FECHA!$F$2:$F$201,MATCH(1,(EXCEPCIONES_FECHA!$A$2:$A$201=$A1110)*(EXCEPCIONES_FECHA!$B$2:$B$201=""),0)),IFERROR(INDEX(IF($I1110="FIN",HISTORIAL_HORARIOS!$L$2:$L$201,HISTORIAL_HORARIOS!$H$2:$H$201),MATCH(1,(HISTORIAL_HORARIOS!$A$2:$A$201=$B1110)*(HISTORIAL_HORARIOS!$C$2:$C$201&lt;=$A1110)*(HISTORIAL_HORARIOS!$D$2:$D$201&gt;=$A1110),0)),INDEX(IF($I1110="FIN",PERSONAL!$L$2:$L$80,PERSONAL!$H$2:$H$80),MATCH($B1110,PERSONAL!$A$2:$A$80,0)))))</f>
        <v/>
      </c>
    </row>
    <row r="1111" ht="15" customHeight="1" s="58">
      <c r="A1111" s="40" t="n"/>
      <c r="B1111" s="38" t="n"/>
      <c r="C1111" s="40" t="n"/>
      <c r="D1111" s="40" t="n"/>
      <c r="E1111" s="34">
        <f t="array" ref="E1111">IF($B1111="","",IFERROR(INDEX(PERSONAL!$B$2:$B$80,MATCH($B1111,PERSONAL!$A$2:$A$80,0)),"NO EXISTE"))</f>
        <v/>
      </c>
      <c r="F1111" s="34">
        <f t="array" ref="F1111">IF($B1111="","",IFERROR(INDEX(PERSONAL!$C$2:$C$80,MATCH($B1111,PERSONAL!$A$2:$A$80,0)),""))</f>
        <v/>
      </c>
      <c r="G1111" s="34">
        <f>IF($A1111="","",CHOOSE(WEEKDAY($A1111,2),"LUNES","MARTES","MIÉRCOLES","JUEVES","VIERNES","SÁBADO","DOMINGO"))</f>
        <v/>
      </c>
      <c r="H1111" s="34">
        <f>IF($A1111="","",CHOOSE(MONTH($A1111),"ENERO","FEBRERO","MARZO","ABRIL","MAYO","JUNIO","JULIO","AGOSTO","SEPTIEMBRE","OCTUBRE","NOVIEMBRE","DICIEMBRE"))</f>
        <v/>
      </c>
      <c r="I1111" s="34">
        <f>IF($A1111="","",IF(OR($G1111="SÁBADO",$G1111="DOMINGO"),"FIN","LV"))</f>
        <v/>
      </c>
      <c r="J1111" s="34">
        <f>IF(OR($A1111="",$B1111=""),"",IF($L1111&lt;&gt;"",UPPER($L1111),IF($C1111="","FALTA",IFERROR(IF($C1111&gt;=$O1111,"ROJO FUERTE",IF($C1111&gt;=$N1111,"ROJO",IF($C1111&gt;=$M1111,"AMARILLO","VERDE"))),"REVISAR"))))</f>
        <v/>
      </c>
      <c r="K1111" s="36">
        <f>IF(OR($C1111="",$D1111=""),"",IF($D1111&gt;=$C1111,($D1111-$C1111)*24,(1-$C1111+$D1111)*24))</f>
        <v/>
      </c>
      <c r="L1111" s="34" t="n"/>
      <c r="M1111" s="53">
        <f t="array" ref="M1111">IFERROR(INDEX(EXCEPCIONES_FECHA!$D$2:$D$201,MATCH(1,(EXCEPCIONES_FECHA!$A$2:$A$201=$A1111)*(EXCEPCIONES_FECHA!$B$2:$B$201=$B1111),0)),IFERROR(INDEX(EXCEPCIONES_FECHA!$D$2:$D$201,MATCH(1,(EXCEPCIONES_FECHA!$A$2:$A$201=$A1111)*(EXCEPCIONES_FECHA!$B$2:$B$201=""),0)),IFERROR(INDEX(IF($I1111="FIN",HISTORIAL_HORARIOS!$J$2:$J$201,HISTORIAL_HORARIOS!$F$2:$F$201),MATCH(1,(HISTORIAL_HORARIOS!$A$2:$A$201=$B1111)*(HISTORIAL_HORARIOS!$C$2:$C$201&lt;=$A1111)*(HISTORIAL_HORARIOS!$D$2:$D$201&gt;=$A1111),0)),INDEX(IF($I1111="FIN",PERSONAL!$J$2:$J$80,PERSONAL!$F$2:$F$80),MATCH($B1111,PERSONAL!$A$2:$A$80,0)))))</f>
        <v/>
      </c>
      <c r="N1111" s="53">
        <f t="array" ref="N1111">IFERROR(INDEX(EXCEPCIONES_FECHA!$E$2:$E$201,MATCH(1,(EXCEPCIONES_FECHA!$A$2:$A$201=$A1111)*(EXCEPCIONES_FECHA!$B$2:$B$201=$B1111),0)),IFERROR(INDEX(EXCEPCIONES_FECHA!$E$2:$E$201,MATCH(1,(EXCEPCIONES_FECHA!$A$2:$A$201=$A1111)*(EXCEPCIONES_FECHA!$B$2:$B$201=""),0)),IFERROR(INDEX(IF($I1111="FIN",HISTORIAL_HORARIOS!$K$2:$K$201,HISTORIAL_HORARIOS!$G$2:$G$201),MATCH(1,(HISTORIAL_HORARIOS!$A$2:$A$201=$B1111)*(HISTORIAL_HORARIOS!$C$2:$C$201&lt;=$A1111)*(HISTORIAL_HORARIOS!$D$2:$D$201&gt;=$A1111),0)),INDEX(IF($I1111="FIN",PERSONAL!$K$2:$K$80,PERSONAL!$G$2:$G$80),MATCH($B1111,PERSONAL!$A$2:$A$80,0)))))</f>
        <v/>
      </c>
      <c r="O1111" s="53">
        <f t="array" ref="O1111">IFERROR(INDEX(EXCEPCIONES_FECHA!$F$2:$F$201,MATCH(1,(EXCEPCIONES_FECHA!$A$2:$A$201=$A1111)*(EXCEPCIONES_FECHA!$B$2:$B$201=$B1111),0)),IFERROR(INDEX(EXCEPCIONES_FECHA!$F$2:$F$201,MATCH(1,(EXCEPCIONES_FECHA!$A$2:$A$201=$A1111)*(EXCEPCIONES_FECHA!$B$2:$B$201=""),0)),IFERROR(INDEX(IF($I1111="FIN",HISTORIAL_HORARIOS!$L$2:$L$201,HISTORIAL_HORARIOS!$H$2:$H$201),MATCH(1,(HISTORIAL_HORARIOS!$A$2:$A$201=$B1111)*(HISTORIAL_HORARIOS!$C$2:$C$201&lt;=$A1111)*(HISTORIAL_HORARIOS!$D$2:$D$201&gt;=$A1111),0)),INDEX(IF($I1111="FIN",PERSONAL!$L$2:$L$80,PERSONAL!$H$2:$H$80),MATCH($B1111,PERSONAL!$A$2:$A$80,0)))))</f>
        <v/>
      </c>
    </row>
    <row r="1112" ht="15" customHeight="1" s="58">
      <c r="A1112" s="40" t="n"/>
      <c r="B1112" s="38" t="n"/>
      <c r="C1112" s="40" t="n"/>
      <c r="D1112" s="40" t="n"/>
      <c r="E1112" s="34">
        <f t="array" ref="E1112">IF($B1112="","",IFERROR(INDEX(PERSONAL!$B$2:$B$80,MATCH($B1112,PERSONAL!$A$2:$A$80,0)),"NO EXISTE"))</f>
        <v/>
      </c>
      <c r="F1112" s="34">
        <f t="array" ref="F1112">IF($B1112="","",IFERROR(INDEX(PERSONAL!$C$2:$C$80,MATCH($B1112,PERSONAL!$A$2:$A$80,0)),""))</f>
        <v/>
      </c>
      <c r="G1112" s="34">
        <f>IF($A1112="","",CHOOSE(WEEKDAY($A1112,2),"LUNES","MARTES","MIÉRCOLES","JUEVES","VIERNES","SÁBADO","DOMINGO"))</f>
        <v/>
      </c>
      <c r="H1112" s="34">
        <f>IF($A1112="","",CHOOSE(MONTH($A1112),"ENERO","FEBRERO","MARZO","ABRIL","MAYO","JUNIO","JULIO","AGOSTO","SEPTIEMBRE","OCTUBRE","NOVIEMBRE","DICIEMBRE"))</f>
        <v/>
      </c>
      <c r="I1112" s="34">
        <f>IF($A1112="","",IF(OR($G1112="SÁBADO",$G1112="DOMINGO"),"FIN","LV"))</f>
        <v/>
      </c>
      <c r="J1112" s="34">
        <f>IF(OR($A1112="",$B1112=""),"",IF($L1112&lt;&gt;"",UPPER($L1112),IF($C1112="","FALTA",IFERROR(IF($C1112&gt;=$O1112,"ROJO FUERTE",IF($C1112&gt;=$N1112,"ROJO",IF($C1112&gt;=$M1112,"AMARILLO","VERDE"))),"REVISAR"))))</f>
        <v/>
      </c>
      <c r="K1112" s="36">
        <f>IF(OR($C1112="",$D1112=""),"",IF($D1112&gt;=$C1112,($D1112-$C1112)*24,(1-$C1112+$D1112)*24))</f>
        <v/>
      </c>
      <c r="L1112" s="34" t="n"/>
      <c r="M1112" s="53">
        <f t="array" ref="M1112">IFERROR(INDEX(EXCEPCIONES_FECHA!$D$2:$D$201,MATCH(1,(EXCEPCIONES_FECHA!$A$2:$A$201=$A1112)*(EXCEPCIONES_FECHA!$B$2:$B$201=$B1112),0)),IFERROR(INDEX(EXCEPCIONES_FECHA!$D$2:$D$201,MATCH(1,(EXCEPCIONES_FECHA!$A$2:$A$201=$A1112)*(EXCEPCIONES_FECHA!$B$2:$B$201=""),0)),IFERROR(INDEX(IF($I1112="FIN",HISTORIAL_HORARIOS!$J$2:$J$201,HISTORIAL_HORARIOS!$F$2:$F$201),MATCH(1,(HISTORIAL_HORARIOS!$A$2:$A$201=$B1112)*(HISTORIAL_HORARIOS!$C$2:$C$201&lt;=$A1112)*(HISTORIAL_HORARIOS!$D$2:$D$201&gt;=$A1112),0)),INDEX(IF($I1112="FIN",PERSONAL!$J$2:$J$80,PERSONAL!$F$2:$F$80),MATCH($B1112,PERSONAL!$A$2:$A$80,0)))))</f>
        <v/>
      </c>
      <c r="N1112" s="53">
        <f t="array" ref="N1112">IFERROR(INDEX(EXCEPCIONES_FECHA!$E$2:$E$201,MATCH(1,(EXCEPCIONES_FECHA!$A$2:$A$201=$A1112)*(EXCEPCIONES_FECHA!$B$2:$B$201=$B1112),0)),IFERROR(INDEX(EXCEPCIONES_FECHA!$E$2:$E$201,MATCH(1,(EXCEPCIONES_FECHA!$A$2:$A$201=$A1112)*(EXCEPCIONES_FECHA!$B$2:$B$201=""),0)),IFERROR(INDEX(IF($I1112="FIN",HISTORIAL_HORARIOS!$K$2:$K$201,HISTORIAL_HORARIOS!$G$2:$G$201),MATCH(1,(HISTORIAL_HORARIOS!$A$2:$A$201=$B1112)*(HISTORIAL_HORARIOS!$C$2:$C$201&lt;=$A1112)*(HISTORIAL_HORARIOS!$D$2:$D$201&gt;=$A1112),0)),INDEX(IF($I1112="FIN",PERSONAL!$K$2:$K$80,PERSONAL!$G$2:$G$80),MATCH($B1112,PERSONAL!$A$2:$A$80,0)))))</f>
        <v/>
      </c>
      <c r="O1112" s="53">
        <f t="array" ref="O1112">IFERROR(INDEX(EXCEPCIONES_FECHA!$F$2:$F$201,MATCH(1,(EXCEPCIONES_FECHA!$A$2:$A$201=$A1112)*(EXCEPCIONES_FECHA!$B$2:$B$201=$B1112),0)),IFERROR(INDEX(EXCEPCIONES_FECHA!$F$2:$F$201,MATCH(1,(EXCEPCIONES_FECHA!$A$2:$A$201=$A1112)*(EXCEPCIONES_FECHA!$B$2:$B$201=""),0)),IFERROR(INDEX(IF($I1112="FIN",HISTORIAL_HORARIOS!$L$2:$L$201,HISTORIAL_HORARIOS!$H$2:$H$201),MATCH(1,(HISTORIAL_HORARIOS!$A$2:$A$201=$B1112)*(HISTORIAL_HORARIOS!$C$2:$C$201&lt;=$A1112)*(HISTORIAL_HORARIOS!$D$2:$D$201&gt;=$A1112),0)),INDEX(IF($I1112="FIN",PERSONAL!$L$2:$L$80,PERSONAL!$H$2:$H$80),MATCH($B1112,PERSONAL!$A$2:$A$80,0)))))</f>
        <v/>
      </c>
    </row>
    <row r="1113" ht="15" customHeight="1" s="58">
      <c r="A1113" s="40" t="n"/>
      <c r="B1113" s="38" t="n"/>
      <c r="C1113" s="40" t="n"/>
      <c r="D1113" s="40" t="n"/>
      <c r="E1113" s="34">
        <f t="array" ref="E1113">IF($B1113="","",IFERROR(INDEX(PERSONAL!$B$2:$B$80,MATCH($B1113,PERSONAL!$A$2:$A$80,0)),"NO EXISTE"))</f>
        <v/>
      </c>
      <c r="F1113" s="34">
        <f t="array" ref="F1113">IF($B1113="","",IFERROR(INDEX(PERSONAL!$C$2:$C$80,MATCH($B1113,PERSONAL!$A$2:$A$80,0)),""))</f>
        <v/>
      </c>
      <c r="G1113" s="34">
        <f>IF($A1113="","",CHOOSE(WEEKDAY($A1113,2),"LUNES","MARTES","MIÉRCOLES","JUEVES","VIERNES","SÁBADO","DOMINGO"))</f>
        <v/>
      </c>
      <c r="H1113" s="34">
        <f>IF($A1113="","",CHOOSE(MONTH($A1113),"ENERO","FEBRERO","MARZO","ABRIL","MAYO","JUNIO","JULIO","AGOSTO","SEPTIEMBRE","OCTUBRE","NOVIEMBRE","DICIEMBRE"))</f>
        <v/>
      </c>
      <c r="I1113" s="34">
        <f>IF($A1113="","",IF(OR($G1113="SÁBADO",$G1113="DOMINGO"),"FIN","LV"))</f>
        <v/>
      </c>
      <c r="J1113" s="34">
        <f>IF(OR($A1113="",$B1113=""),"",IF($L1113&lt;&gt;"",UPPER($L1113),IF($C1113="","FALTA",IFERROR(IF($C1113&gt;=$O1113,"ROJO FUERTE",IF($C1113&gt;=$N1113,"ROJO",IF($C1113&gt;=$M1113,"AMARILLO","VERDE"))),"REVISAR"))))</f>
        <v/>
      </c>
      <c r="K1113" s="36">
        <f>IF(OR($C1113="",$D1113=""),"",IF($D1113&gt;=$C1113,($D1113-$C1113)*24,(1-$C1113+$D1113)*24))</f>
        <v/>
      </c>
      <c r="L1113" s="34" t="n"/>
      <c r="M1113" s="53">
        <f t="array" ref="M1113">IFERROR(INDEX(EXCEPCIONES_FECHA!$D$2:$D$201,MATCH(1,(EXCEPCIONES_FECHA!$A$2:$A$201=$A1113)*(EXCEPCIONES_FECHA!$B$2:$B$201=$B1113),0)),IFERROR(INDEX(EXCEPCIONES_FECHA!$D$2:$D$201,MATCH(1,(EXCEPCIONES_FECHA!$A$2:$A$201=$A1113)*(EXCEPCIONES_FECHA!$B$2:$B$201=""),0)),IFERROR(INDEX(IF($I1113="FIN",HISTORIAL_HORARIOS!$J$2:$J$201,HISTORIAL_HORARIOS!$F$2:$F$201),MATCH(1,(HISTORIAL_HORARIOS!$A$2:$A$201=$B1113)*(HISTORIAL_HORARIOS!$C$2:$C$201&lt;=$A1113)*(HISTORIAL_HORARIOS!$D$2:$D$201&gt;=$A1113),0)),INDEX(IF($I1113="FIN",PERSONAL!$J$2:$J$80,PERSONAL!$F$2:$F$80),MATCH($B1113,PERSONAL!$A$2:$A$80,0)))))</f>
        <v/>
      </c>
      <c r="N1113" s="53">
        <f t="array" ref="N1113">IFERROR(INDEX(EXCEPCIONES_FECHA!$E$2:$E$201,MATCH(1,(EXCEPCIONES_FECHA!$A$2:$A$201=$A1113)*(EXCEPCIONES_FECHA!$B$2:$B$201=$B1113),0)),IFERROR(INDEX(EXCEPCIONES_FECHA!$E$2:$E$201,MATCH(1,(EXCEPCIONES_FECHA!$A$2:$A$201=$A1113)*(EXCEPCIONES_FECHA!$B$2:$B$201=""),0)),IFERROR(INDEX(IF($I1113="FIN",HISTORIAL_HORARIOS!$K$2:$K$201,HISTORIAL_HORARIOS!$G$2:$G$201),MATCH(1,(HISTORIAL_HORARIOS!$A$2:$A$201=$B1113)*(HISTORIAL_HORARIOS!$C$2:$C$201&lt;=$A1113)*(HISTORIAL_HORARIOS!$D$2:$D$201&gt;=$A1113),0)),INDEX(IF($I1113="FIN",PERSONAL!$K$2:$K$80,PERSONAL!$G$2:$G$80),MATCH($B1113,PERSONAL!$A$2:$A$80,0)))))</f>
        <v/>
      </c>
      <c r="O1113" s="53">
        <f t="array" ref="O1113">IFERROR(INDEX(EXCEPCIONES_FECHA!$F$2:$F$201,MATCH(1,(EXCEPCIONES_FECHA!$A$2:$A$201=$A1113)*(EXCEPCIONES_FECHA!$B$2:$B$201=$B1113),0)),IFERROR(INDEX(EXCEPCIONES_FECHA!$F$2:$F$201,MATCH(1,(EXCEPCIONES_FECHA!$A$2:$A$201=$A1113)*(EXCEPCIONES_FECHA!$B$2:$B$201=""),0)),IFERROR(INDEX(IF($I1113="FIN",HISTORIAL_HORARIOS!$L$2:$L$201,HISTORIAL_HORARIOS!$H$2:$H$201),MATCH(1,(HISTORIAL_HORARIOS!$A$2:$A$201=$B1113)*(HISTORIAL_HORARIOS!$C$2:$C$201&lt;=$A1113)*(HISTORIAL_HORARIOS!$D$2:$D$201&gt;=$A1113),0)),INDEX(IF($I1113="FIN",PERSONAL!$L$2:$L$80,PERSONAL!$H$2:$H$80),MATCH($B1113,PERSONAL!$A$2:$A$80,0)))))</f>
        <v/>
      </c>
    </row>
    <row r="1114" ht="15" customHeight="1" s="58">
      <c r="A1114" s="40" t="n"/>
      <c r="B1114" s="38" t="n"/>
      <c r="C1114" s="40" t="n"/>
      <c r="D1114" s="40" t="n"/>
      <c r="E1114" s="34">
        <f t="array" ref="E1114">IF($B1114="","",IFERROR(INDEX(PERSONAL!$B$2:$B$80,MATCH($B1114,PERSONAL!$A$2:$A$80,0)),"NO EXISTE"))</f>
        <v/>
      </c>
      <c r="F1114" s="34">
        <f t="array" ref="F1114">IF($B1114="","",IFERROR(INDEX(PERSONAL!$C$2:$C$80,MATCH($B1114,PERSONAL!$A$2:$A$80,0)),""))</f>
        <v/>
      </c>
      <c r="G1114" s="34">
        <f>IF($A1114="","",CHOOSE(WEEKDAY($A1114,2),"LUNES","MARTES","MIÉRCOLES","JUEVES","VIERNES","SÁBADO","DOMINGO"))</f>
        <v/>
      </c>
      <c r="H1114" s="34">
        <f>IF($A1114="","",CHOOSE(MONTH($A1114),"ENERO","FEBRERO","MARZO","ABRIL","MAYO","JUNIO","JULIO","AGOSTO","SEPTIEMBRE","OCTUBRE","NOVIEMBRE","DICIEMBRE"))</f>
        <v/>
      </c>
      <c r="I1114" s="34">
        <f>IF($A1114="","",IF(OR($G1114="SÁBADO",$G1114="DOMINGO"),"FIN","LV"))</f>
        <v/>
      </c>
      <c r="J1114" s="34">
        <f>IF(OR($A1114="",$B1114=""),"",IF($L1114&lt;&gt;"",UPPER($L1114),IF($C1114="","FALTA",IFERROR(IF($C1114&gt;=$O1114,"ROJO FUERTE",IF($C1114&gt;=$N1114,"ROJO",IF($C1114&gt;=$M1114,"AMARILLO","VERDE"))),"REVISAR"))))</f>
        <v/>
      </c>
      <c r="K1114" s="36">
        <f>IF(OR($C1114="",$D1114=""),"",IF($D1114&gt;=$C1114,($D1114-$C1114)*24,(1-$C1114+$D1114)*24))</f>
        <v/>
      </c>
      <c r="L1114" s="34" t="n"/>
      <c r="M1114" s="53">
        <f t="array" ref="M1114">IFERROR(INDEX(EXCEPCIONES_FECHA!$D$2:$D$201,MATCH(1,(EXCEPCIONES_FECHA!$A$2:$A$201=$A1114)*(EXCEPCIONES_FECHA!$B$2:$B$201=$B1114),0)),IFERROR(INDEX(EXCEPCIONES_FECHA!$D$2:$D$201,MATCH(1,(EXCEPCIONES_FECHA!$A$2:$A$201=$A1114)*(EXCEPCIONES_FECHA!$B$2:$B$201=""),0)),IFERROR(INDEX(IF($I1114="FIN",HISTORIAL_HORARIOS!$J$2:$J$201,HISTORIAL_HORARIOS!$F$2:$F$201),MATCH(1,(HISTORIAL_HORARIOS!$A$2:$A$201=$B1114)*(HISTORIAL_HORARIOS!$C$2:$C$201&lt;=$A1114)*(HISTORIAL_HORARIOS!$D$2:$D$201&gt;=$A1114),0)),INDEX(IF($I1114="FIN",PERSONAL!$J$2:$J$80,PERSONAL!$F$2:$F$80),MATCH($B1114,PERSONAL!$A$2:$A$80,0)))))</f>
        <v/>
      </c>
      <c r="N1114" s="53">
        <f t="array" ref="N1114">IFERROR(INDEX(EXCEPCIONES_FECHA!$E$2:$E$201,MATCH(1,(EXCEPCIONES_FECHA!$A$2:$A$201=$A1114)*(EXCEPCIONES_FECHA!$B$2:$B$201=$B1114),0)),IFERROR(INDEX(EXCEPCIONES_FECHA!$E$2:$E$201,MATCH(1,(EXCEPCIONES_FECHA!$A$2:$A$201=$A1114)*(EXCEPCIONES_FECHA!$B$2:$B$201=""),0)),IFERROR(INDEX(IF($I1114="FIN",HISTORIAL_HORARIOS!$K$2:$K$201,HISTORIAL_HORARIOS!$G$2:$G$201),MATCH(1,(HISTORIAL_HORARIOS!$A$2:$A$201=$B1114)*(HISTORIAL_HORARIOS!$C$2:$C$201&lt;=$A1114)*(HISTORIAL_HORARIOS!$D$2:$D$201&gt;=$A1114),0)),INDEX(IF($I1114="FIN",PERSONAL!$K$2:$K$80,PERSONAL!$G$2:$G$80),MATCH($B1114,PERSONAL!$A$2:$A$80,0)))))</f>
        <v/>
      </c>
      <c r="O1114" s="53">
        <f t="array" ref="O1114">IFERROR(INDEX(EXCEPCIONES_FECHA!$F$2:$F$201,MATCH(1,(EXCEPCIONES_FECHA!$A$2:$A$201=$A1114)*(EXCEPCIONES_FECHA!$B$2:$B$201=$B1114),0)),IFERROR(INDEX(EXCEPCIONES_FECHA!$F$2:$F$201,MATCH(1,(EXCEPCIONES_FECHA!$A$2:$A$201=$A1114)*(EXCEPCIONES_FECHA!$B$2:$B$201=""),0)),IFERROR(INDEX(IF($I1114="FIN",HISTORIAL_HORARIOS!$L$2:$L$201,HISTORIAL_HORARIOS!$H$2:$H$201),MATCH(1,(HISTORIAL_HORARIOS!$A$2:$A$201=$B1114)*(HISTORIAL_HORARIOS!$C$2:$C$201&lt;=$A1114)*(HISTORIAL_HORARIOS!$D$2:$D$201&gt;=$A1114),0)),INDEX(IF($I1114="FIN",PERSONAL!$L$2:$L$80,PERSONAL!$H$2:$H$80),MATCH($B1114,PERSONAL!$A$2:$A$80,0)))))</f>
        <v/>
      </c>
    </row>
    <row r="1115" ht="15" customHeight="1" s="58">
      <c r="A1115" s="40" t="n"/>
      <c r="B1115" s="38" t="n"/>
      <c r="C1115" s="40" t="n"/>
      <c r="D1115" s="40" t="n"/>
      <c r="E1115" s="34">
        <f t="array" ref="E1115">IF($B1115="","",IFERROR(INDEX(PERSONAL!$B$2:$B$80,MATCH($B1115,PERSONAL!$A$2:$A$80,0)),"NO EXISTE"))</f>
        <v/>
      </c>
      <c r="F1115" s="34">
        <f t="array" ref="F1115">IF($B1115="","",IFERROR(INDEX(PERSONAL!$C$2:$C$80,MATCH($B1115,PERSONAL!$A$2:$A$80,0)),""))</f>
        <v/>
      </c>
      <c r="G1115" s="34">
        <f>IF($A1115="","",CHOOSE(WEEKDAY($A1115,2),"LUNES","MARTES","MIÉRCOLES","JUEVES","VIERNES","SÁBADO","DOMINGO"))</f>
        <v/>
      </c>
      <c r="H1115" s="34">
        <f>IF($A1115="","",CHOOSE(MONTH($A1115),"ENERO","FEBRERO","MARZO","ABRIL","MAYO","JUNIO","JULIO","AGOSTO","SEPTIEMBRE","OCTUBRE","NOVIEMBRE","DICIEMBRE"))</f>
        <v/>
      </c>
      <c r="I1115" s="34">
        <f>IF($A1115="","",IF(OR($G1115="SÁBADO",$G1115="DOMINGO"),"FIN","LV"))</f>
        <v/>
      </c>
      <c r="J1115" s="34">
        <f>IF(OR($A1115="",$B1115=""),"",IF($L1115&lt;&gt;"",UPPER($L1115),IF($C1115="","FALTA",IFERROR(IF($C1115&gt;=$O1115,"ROJO FUERTE",IF($C1115&gt;=$N1115,"ROJO",IF($C1115&gt;=$M1115,"AMARILLO","VERDE"))),"REVISAR"))))</f>
        <v/>
      </c>
      <c r="K1115" s="36">
        <f>IF(OR($C1115="",$D1115=""),"",IF($D1115&gt;=$C1115,($D1115-$C1115)*24,(1-$C1115+$D1115)*24))</f>
        <v/>
      </c>
      <c r="L1115" s="34" t="n"/>
      <c r="M1115" s="53">
        <f t="array" ref="M1115">IFERROR(INDEX(EXCEPCIONES_FECHA!$D$2:$D$201,MATCH(1,(EXCEPCIONES_FECHA!$A$2:$A$201=$A1115)*(EXCEPCIONES_FECHA!$B$2:$B$201=$B1115),0)),IFERROR(INDEX(EXCEPCIONES_FECHA!$D$2:$D$201,MATCH(1,(EXCEPCIONES_FECHA!$A$2:$A$201=$A1115)*(EXCEPCIONES_FECHA!$B$2:$B$201=""),0)),IFERROR(INDEX(IF($I1115="FIN",HISTORIAL_HORARIOS!$J$2:$J$201,HISTORIAL_HORARIOS!$F$2:$F$201),MATCH(1,(HISTORIAL_HORARIOS!$A$2:$A$201=$B1115)*(HISTORIAL_HORARIOS!$C$2:$C$201&lt;=$A1115)*(HISTORIAL_HORARIOS!$D$2:$D$201&gt;=$A1115),0)),INDEX(IF($I1115="FIN",PERSONAL!$J$2:$J$80,PERSONAL!$F$2:$F$80),MATCH($B1115,PERSONAL!$A$2:$A$80,0)))))</f>
        <v/>
      </c>
      <c r="N1115" s="53">
        <f t="array" ref="N1115">IFERROR(INDEX(EXCEPCIONES_FECHA!$E$2:$E$201,MATCH(1,(EXCEPCIONES_FECHA!$A$2:$A$201=$A1115)*(EXCEPCIONES_FECHA!$B$2:$B$201=$B1115),0)),IFERROR(INDEX(EXCEPCIONES_FECHA!$E$2:$E$201,MATCH(1,(EXCEPCIONES_FECHA!$A$2:$A$201=$A1115)*(EXCEPCIONES_FECHA!$B$2:$B$201=""),0)),IFERROR(INDEX(IF($I1115="FIN",HISTORIAL_HORARIOS!$K$2:$K$201,HISTORIAL_HORARIOS!$G$2:$G$201),MATCH(1,(HISTORIAL_HORARIOS!$A$2:$A$201=$B1115)*(HISTORIAL_HORARIOS!$C$2:$C$201&lt;=$A1115)*(HISTORIAL_HORARIOS!$D$2:$D$201&gt;=$A1115),0)),INDEX(IF($I1115="FIN",PERSONAL!$K$2:$K$80,PERSONAL!$G$2:$G$80),MATCH($B1115,PERSONAL!$A$2:$A$80,0)))))</f>
        <v/>
      </c>
      <c r="O1115" s="53">
        <f t="array" ref="O1115">IFERROR(INDEX(EXCEPCIONES_FECHA!$F$2:$F$201,MATCH(1,(EXCEPCIONES_FECHA!$A$2:$A$201=$A1115)*(EXCEPCIONES_FECHA!$B$2:$B$201=$B1115),0)),IFERROR(INDEX(EXCEPCIONES_FECHA!$F$2:$F$201,MATCH(1,(EXCEPCIONES_FECHA!$A$2:$A$201=$A1115)*(EXCEPCIONES_FECHA!$B$2:$B$201=""),0)),IFERROR(INDEX(IF($I1115="FIN",HISTORIAL_HORARIOS!$L$2:$L$201,HISTORIAL_HORARIOS!$H$2:$H$201),MATCH(1,(HISTORIAL_HORARIOS!$A$2:$A$201=$B1115)*(HISTORIAL_HORARIOS!$C$2:$C$201&lt;=$A1115)*(HISTORIAL_HORARIOS!$D$2:$D$201&gt;=$A1115),0)),INDEX(IF($I1115="FIN",PERSONAL!$L$2:$L$80,PERSONAL!$H$2:$H$80),MATCH($B1115,PERSONAL!$A$2:$A$80,0)))))</f>
        <v/>
      </c>
    </row>
    <row r="1116" ht="15" customHeight="1" s="58">
      <c r="A1116" s="40" t="n"/>
      <c r="B1116" s="38" t="n"/>
      <c r="C1116" s="40" t="n"/>
      <c r="D1116" s="40" t="n"/>
      <c r="E1116" s="34">
        <f t="array" ref="E1116">IF($B1116="","",IFERROR(INDEX(PERSONAL!$B$2:$B$80,MATCH($B1116,PERSONAL!$A$2:$A$80,0)),"NO EXISTE"))</f>
        <v/>
      </c>
      <c r="F1116" s="34">
        <f t="array" ref="F1116">IF($B1116="","",IFERROR(INDEX(PERSONAL!$C$2:$C$80,MATCH($B1116,PERSONAL!$A$2:$A$80,0)),""))</f>
        <v/>
      </c>
      <c r="G1116" s="34">
        <f>IF($A1116="","",CHOOSE(WEEKDAY($A1116,2),"LUNES","MARTES","MIÉRCOLES","JUEVES","VIERNES","SÁBADO","DOMINGO"))</f>
        <v/>
      </c>
      <c r="H1116" s="34">
        <f>IF($A1116="","",CHOOSE(MONTH($A1116),"ENERO","FEBRERO","MARZO","ABRIL","MAYO","JUNIO","JULIO","AGOSTO","SEPTIEMBRE","OCTUBRE","NOVIEMBRE","DICIEMBRE"))</f>
        <v/>
      </c>
      <c r="I1116" s="34">
        <f>IF($A1116="","",IF(OR($G1116="SÁBADO",$G1116="DOMINGO"),"FIN","LV"))</f>
        <v/>
      </c>
      <c r="J1116" s="34">
        <f>IF(OR($A1116="",$B1116=""),"",IF($L1116&lt;&gt;"",UPPER($L1116),IF($C1116="","FALTA",IFERROR(IF($C1116&gt;=$O1116,"ROJO FUERTE",IF($C1116&gt;=$N1116,"ROJO",IF($C1116&gt;=$M1116,"AMARILLO","VERDE"))),"REVISAR"))))</f>
        <v/>
      </c>
      <c r="K1116" s="36">
        <f>IF(OR($C1116="",$D1116=""),"",IF($D1116&gt;=$C1116,($D1116-$C1116)*24,(1-$C1116+$D1116)*24))</f>
        <v/>
      </c>
      <c r="L1116" s="34" t="n"/>
      <c r="M1116" s="53">
        <f t="array" ref="M1116">IFERROR(INDEX(EXCEPCIONES_FECHA!$D$2:$D$201,MATCH(1,(EXCEPCIONES_FECHA!$A$2:$A$201=$A1116)*(EXCEPCIONES_FECHA!$B$2:$B$201=$B1116),0)),IFERROR(INDEX(EXCEPCIONES_FECHA!$D$2:$D$201,MATCH(1,(EXCEPCIONES_FECHA!$A$2:$A$201=$A1116)*(EXCEPCIONES_FECHA!$B$2:$B$201=""),0)),IFERROR(INDEX(IF($I1116="FIN",HISTORIAL_HORARIOS!$J$2:$J$201,HISTORIAL_HORARIOS!$F$2:$F$201),MATCH(1,(HISTORIAL_HORARIOS!$A$2:$A$201=$B1116)*(HISTORIAL_HORARIOS!$C$2:$C$201&lt;=$A1116)*(HISTORIAL_HORARIOS!$D$2:$D$201&gt;=$A1116),0)),INDEX(IF($I1116="FIN",PERSONAL!$J$2:$J$80,PERSONAL!$F$2:$F$80),MATCH($B1116,PERSONAL!$A$2:$A$80,0)))))</f>
        <v/>
      </c>
      <c r="N1116" s="53">
        <f t="array" ref="N1116">IFERROR(INDEX(EXCEPCIONES_FECHA!$E$2:$E$201,MATCH(1,(EXCEPCIONES_FECHA!$A$2:$A$201=$A1116)*(EXCEPCIONES_FECHA!$B$2:$B$201=$B1116),0)),IFERROR(INDEX(EXCEPCIONES_FECHA!$E$2:$E$201,MATCH(1,(EXCEPCIONES_FECHA!$A$2:$A$201=$A1116)*(EXCEPCIONES_FECHA!$B$2:$B$201=""),0)),IFERROR(INDEX(IF($I1116="FIN",HISTORIAL_HORARIOS!$K$2:$K$201,HISTORIAL_HORARIOS!$G$2:$G$201),MATCH(1,(HISTORIAL_HORARIOS!$A$2:$A$201=$B1116)*(HISTORIAL_HORARIOS!$C$2:$C$201&lt;=$A1116)*(HISTORIAL_HORARIOS!$D$2:$D$201&gt;=$A1116),0)),INDEX(IF($I1116="FIN",PERSONAL!$K$2:$K$80,PERSONAL!$G$2:$G$80),MATCH($B1116,PERSONAL!$A$2:$A$80,0)))))</f>
        <v/>
      </c>
      <c r="O1116" s="53">
        <f t="array" ref="O1116">IFERROR(INDEX(EXCEPCIONES_FECHA!$F$2:$F$201,MATCH(1,(EXCEPCIONES_FECHA!$A$2:$A$201=$A1116)*(EXCEPCIONES_FECHA!$B$2:$B$201=$B1116),0)),IFERROR(INDEX(EXCEPCIONES_FECHA!$F$2:$F$201,MATCH(1,(EXCEPCIONES_FECHA!$A$2:$A$201=$A1116)*(EXCEPCIONES_FECHA!$B$2:$B$201=""),0)),IFERROR(INDEX(IF($I1116="FIN",HISTORIAL_HORARIOS!$L$2:$L$201,HISTORIAL_HORARIOS!$H$2:$H$201),MATCH(1,(HISTORIAL_HORARIOS!$A$2:$A$201=$B1116)*(HISTORIAL_HORARIOS!$C$2:$C$201&lt;=$A1116)*(HISTORIAL_HORARIOS!$D$2:$D$201&gt;=$A1116),0)),INDEX(IF($I1116="FIN",PERSONAL!$L$2:$L$80,PERSONAL!$H$2:$H$80),MATCH($B1116,PERSONAL!$A$2:$A$80,0)))))</f>
        <v/>
      </c>
    </row>
    <row r="1117" ht="15" customHeight="1" s="58">
      <c r="A1117" s="40" t="n"/>
      <c r="B1117" s="38" t="n"/>
      <c r="C1117" s="40" t="n"/>
      <c r="D1117" s="40" t="n"/>
      <c r="E1117" s="34">
        <f t="array" ref="E1117">IF($B1117="","",IFERROR(INDEX(PERSONAL!$B$2:$B$80,MATCH($B1117,PERSONAL!$A$2:$A$80,0)),"NO EXISTE"))</f>
        <v/>
      </c>
      <c r="F1117" s="34">
        <f t="array" ref="F1117">IF($B1117="","",IFERROR(INDEX(PERSONAL!$C$2:$C$80,MATCH($B1117,PERSONAL!$A$2:$A$80,0)),""))</f>
        <v/>
      </c>
      <c r="G1117" s="34">
        <f>IF($A1117="","",CHOOSE(WEEKDAY($A1117,2),"LUNES","MARTES","MIÉRCOLES","JUEVES","VIERNES","SÁBADO","DOMINGO"))</f>
        <v/>
      </c>
      <c r="H1117" s="34">
        <f>IF($A1117="","",CHOOSE(MONTH($A1117),"ENERO","FEBRERO","MARZO","ABRIL","MAYO","JUNIO","JULIO","AGOSTO","SEPTIEMBRE","OCTUBRE","NOVIEMBRE","DICIEMBRE"))</f>
        <v/>
      </c>
      <c r="I1117" s="34">
        <f>IF($A1117="","",IF(OR($G1117="SÁBADO",$G1117="DOMINGO"),"FIN","LV"))</f>
        <v/>
      </c>
      <c r="J1117" s="34">
        <f>IF(OR($A1117="",$B1117=""),"",IF($L1117&lt;&gt;"",UPPER($L1117),IF($C1117="","FALTA",IFERROR(IF($C1117&gt;=$O1117,"ROJO FUERTE",IF($C1117&gt;=$N1117,"ROJO",IF($C1117&gt;=$M1117,"AMARILLO","VERDE"))),"REVISAR"))))</f>
        <v/>
      </c>
      <c r="K1117" s="36">
        <f>IF(OR($C1117="",$D1117=""),"",IF($D1117&gt;=$C1117,($D1117-$C1117)*24,(1-$C1117+$D1117)*24))</f>
        <v/>
      </c>
      <c r="L1117" s="34" t="n"/>
      <c r="M1117" s="53">
        <f t="array" ref="M1117">IFERROR(INDEX(EXCEPCIONES_FECHA!$D$2:$D$201,MATCH(1,(EXCEPCIONES_FECHA!$A$2:$A$201=$A1117)*(EXCEPCIONES_FECHA!$B$2:$B$201=$B1117),0)),IFERROR(INDEX(EXCEPCIONES_FECHA!$D$2:$D$201,MATCH(1,(EXCEPCIONES_FECHA!$A$2:$A$201=$A1117)*(EXCEPCIONES_FECHA!$B$2:$B$201=""),0)),IFERROR(INDEX(IF($I1117="FIN",HISTORIAL_HORARIOS!$J$2:$J$201,HISTORIAL_HORARIOS!$F$2:$F$201),MATCH(1,(HISTORIAL_HORARIOS!$A$2:$A$201=$B1117)*(HISTORIAL_HORARIOS!$C$2:$C$201&lt;=$A1117)*(HISTORIAL_HORARIOS!$D$2:$D$201&gt;=$A1117),0)),INDEX(IF($I1117="FIN",PERSONAL!$J$2:$J$80,PERSONAL!$F$2:$F$80),MATCH($B1117,PERSONAL!$A$2:$A$80,0)))))</f>
        <v/>
      </c>
      <c r="N1117" s="53">
        <f t="array" ref="N1117">IFERROR(INDEX(EXCEPCIONES_FECHA!$E$2:$E$201,MATCH(1,(EXCEPCIONES_FECHA!$A$2:$A$201=$A1117)*(EXCEPCIONES_FECHA!$B$2:$B$201=$B1117),0)),IFERROR(INDEX(EXCEPCIONES_FECHA!$E$2:$E$201,MATCH(1,(EXCEPCIONES_FECHA!$A$2:$A$201=$A1117)*(EXCEPCIONES_FECHA!$B$2:$B$201=""),0)),IFERROR(INDEX(IF($I1117="FIN",HISTORIAL_HORARIOS!$K$2:$K$201,HISTORIAL_HORARIOS!$G$2:$G$201),MATCH(1,(HISTORIAL_HORARIOS!$A$2:$A$201=$B1117)*(HISTORIAL_HORARIOS!$C$2:$C$201&lt;=$A1117)*(HISTORIAL_HORARIOS!$D$2:$D$201&gt;=$A1117),0)),INDEX(IF($I1117="FIN",PERSONAL!$K$2:$K$80,PERSONAL!$G$2:$G$80),MATCH($B1117,PERSONAL!$A$2:$A$80,0)))))</f>
        <v/>
      </c>
      <c r="O1117" s="53">
        <f t="array" ref="O1117">IFERROR(INDEX(EXCEPCIONES_FECHA!$F$2:$F$201,MATCH(1,(EXCEPCIONES_FECHA!$A$2:$A$201=$A1117)*(EXCEPCIONES_FECHA!$B$2:$B$201=$B1117),0)),IFERROR(INDEX(EXCEPCIONES_FECHA!$F$2:$F$201,MATCH(1,(EXCEPCIONES_FECHA!$A$2:$A$201=$A1117)*(EXCEPCIONES_FECHA!$B$2:$B$201=""),0)),IFERROR(INDEX(IF($I1117="FIN",HISTORIAL_HORARIOS!$L$2:$L$201,HISTORIAL_HORARIOS!$H$2:$H$201),MATCH(1,(HISTORIAL_HORARIOS!$A$2:$A$201=$B1117)*(HISTORIAL_HORARIOS!$C$2:$C$201&lt;=$A1117)*(HISTORIAL_HORARIOS!$D$2:$D$201&gt;=$A1117),0)),INDEX(IF($I1117="FIN",PERSONAL!$L$2:$L$80,PERSONAL!$H$2:$H$80),MATCH($B1117,PERSONAL!$A$2:$A$80,0)))))</f>
        <v/>
      </c>
    </row>
    <row r="1118" ht="15" customHeight="1" s="58">
      <c r="A1118" s="40" t="n"/>
      <c r="B1118" s="38" t="n"/>
      <c r="C1118" s="40" t="n"/>
      <c r="D1118" s="40" t="n"/>
      <c r="E1118" s="34">
        <f t="array" ref="E1118">IF($B1118="","",IFERROR(INDEX(PERSONAL!$B$2:$B$80,MATCH($B1118,PERSONAL!$A$2:$A$80,0)),"NO EXISTE"))</f>
        <v/>
      </c>
      <c r="F1118" s="34">
        <f t="array" ref="F1118">IF($B1118="","",IFERROR(INDEX(PERSONAL!$C$2:$C$80,MATCH($B1118,PERSONAL!$A$2:$A$80,0)),""))</f>
        <v/>
      </c>
      <c r="G1118" s="34">
        <f>IF($A1118="","",CHOOSE(WEEKDAY($A1118,2),"LUNES","MARTES","MIÉRCOLES","JUEVES","VIERNES","SÁBADO","DOMINGO"))</f>
        <v/>
      </c>
      <c r="H1118" s="34">
        <f>IF($A1118="","",CHOOSE(MONTH($A1118),"ENERO","FEBRERO","MARZO","ABRIL","MAYO","JUNIO","JULIO","AGOSTO","SEPTIEMBRE","OCTUBRE","NOVIEMBRE","DICIEMBRE"))</f>
        <v/>
      </c>
      <c r="I1118" s="34">
        <f>IF($A1118="","",IF(OR($G1118="SÁBADO",$G1118="DOMINGO"),"FIN","LV"))</f>
        <v/>
      </c>
      <c r="J1118" s="34">
        <f>IF(OR($A1118="",$B1118=""),"",IF($L1118&lt;&gt;"",UPPER($L1118),IF($C1118="","FALTA",IFERROR(IF($C1118&gt;=$O1118,"ROJO FUERTE",IF($C1118&gt;=$N1118,"ROJO",IF($C1118&gt;=$M1118,"AMARILLO","VERDE"))),"REVISAR"))))</f>
        <v/>
      </c>
      <c r="K1118" s="36">
        <f>IF(OR($C1118="",$D1118=""),"",IF($D1118&gt;=$C1118,($D1118-$C1118)*24,(1-$C1118+$D1118)*24))</f>
        <v/>
      </c>
      <c r="L1118" s="34" t="n"/>
      <c r="M1118" s="53">
        <f t="array" ref="M1118">IFERROR(INDEX(EXCEPCIONES_FECHA!$D$2:$D$201,MATCH(1,(EXCEPCIONES_FECHA!$A$2:$A$201=$A1118)*(EXCEPCIONES_FECHA!$B$2:$B$201=$B1118),0)),IFERROR(INDEX(EXCEPCIONES_FECHA!$D$2:$D$201,MATCH(1,(EXCEPCIONES_FECHA!$A$2:$A$201=$A1118)*(EXCEPCIONES_FECHA!$B$2:$B$201=""),0)),IFERROR(INDEX(IF($I1118="FIN",HISTORIAL_HORARIOS!$J$2:$J$201,HISTORIAL_HORARIOS!$F$2:$F$201),MATCH(1,(HISTORIAL_HORARIOS!$A$2:$A$201=$B1118)*(HISTORIAL_HORARIOS!$C$2:$C$201&lt;=$A1118)*(HISTORIAL_HORARIOS!$D$2:$D$201&gt;=$A1118),0)),INDEX(IF($I1118="FIN",PERSONAL!$J$2:$J$80,PERSONAL!$F$2:$F$80),MATCH($B1118,PERSONAL!$A$2:$A$80,0)))))</f>
        <v/>
      </c>
      <c r="N1118" s="53">
        <f t="array" ref="N1118">IFERROR(INDEX(EXCEPCIONES_FECHA!$E$2:$E$201,MATCH(1,(EXCEPCIONES_FECHA!$A$2:$A$201=$A1118)*(EXCEPCIONES_FECHA!$B$2:$B$201=$B1118),0)),IFERROR(INDEX(EXCEPCIONES_FECHA!$E$2:$E$201,MATCH(1,(EXCEPCIONES_FECHA!$A$2:$A$201=$A1118)*(EXCEPCIONES_FECHA!$B$2:$B$201=""),0)),IFERROR(INDEX(IF($I1118="FIN",HISTORIAL_HORARIOS!$K$2:$K$201,HISTORIAL_HORARIOS!$G$2:$G$201),MATCH(1,(HISTORIAL_HORARIOS!$A$2:$A$201=$B1118)*(HISTORIAL_HORARIOS!$C$2:$C$201&lt;=$A1118)*(HISTORIAL_HORARIOS!$D$2:$D$201&gt;=$A1118),0)),INDEX(IF($I1118="FIN",PERSONAL!$K$2:$K$80,PERSONAL!$G$2:$G$80),MATCH($B1118,PERSONAL!$A$2:$A$80,0)))))</f>
        <v/>
      </c>
      <c r="O1118" s="53">
        <f t="array" ref="O1118">IFERROR(INDEX(EXCEPCIONES_FECHA!$F$2:$F$201,MATCH(1,(EXCEPCIONES_FECHA!$A$2:$A$201=$A1118)*(EXCEPCIONES_FECHA!$B$2:$B$201=$B1118),0)),IFERROR(INDEX(EXCEPCIONES_FECHA!$F$2:$F$201,MATCH(1,(EXCEPCIONES_FECHA!$A$2:$A$201=$A1118)*(EXCEPCIONES_FECHA!$B$2:$B$201=""),0)),IFERROR(INDEX(IF($I1118="FIN",HISTORIAL_HORARIOS!$L$2:$L$201,HISTORIAL_HORARIOS!$H$2:$H$201),MATCH(1,(HISTORIAL_HORARIOS!$A$2:$A$201=$B1118)*(HISTORIAL_HORARIOS!$C$2:$C$201&lt;=$A1118)*(HISTORIAL_HORARIOS!$D$2:$D$201&gt;=$A1118),0)),INDEX(IF($I1118="FIN",PERSONAL!$L$2:$L$80,PERSONAL!$H$2:$H$80),MATCH($B1118,PERSONAL!$A$2:$A$80,0)))))</f>
        <v/>
      </c>
    </row>
    <row r="1119" ht="15" customHeight="1" s="58">
      <c r="A1119" s="40" t="n"/>
      <c r="B1119" s="38" t="n"/>
      <c r="C1119" s="40" t="n"/>
      <c r="D1119" s="40" t="n"/>
      <c r="E1119" s="34">
        <f t="array" ref="E1119">IF($B1119="","",IFERROR(INDEX(PERSONAL!$B$2:$B$80,MATCH($B1119,PERSONAL!$A$2:$A$80,0)),"NO EXISTE"))</f>
        <v/>
      </c>
      <c r="F1119" s="34">
        <f t="array" ref="F1119">IF($B1119="","",IFERROR(INDEX(PERSONAL!$C$2:$C$80,MATCH($B1119,PERSONAL!$A$2:$A$80,0)),""))</f>
        <v/>
      </c>
      <c r="G1119" s="34">
        <f>IF($A1119="","",CHOOSE(WEEKDAY($A1119,2),"LUNES","MARTES","MIÉRCOLES","JUEVES","VIERNES","SÁBADO","DOMINGO"))</f>
        <v/>
      </c>
      <c r="H1119" s="34">
        <f>IF($A1119="","",CHOOSE(MONTH($A1119),"ENERO","FEBRERO","MARZO","ABRIL","MAYO","JUNIO","JULIO","AGOSTO","SEPTIEMBRE","OCTUBRE","NOVIEMBRE","DICIEMBRE"))</f>
        <v/>
      </c>
      <c r="I1119" s="34">
        <f>IF($A1119="","",IF(OR($G1119="SÁBADO",$G1119="DOMINGO"),"FIN","LV"))</f>
        <v/>
      </c>
      <c r="J1119" s="34">
        <f>IF(OR($A1119="",$B1119=""),"",IF($L1119&lt;&gt;"",UPPER($L1119),IF($C1119="","FALTA",IFERROR(IF($C1119&gt;=$O1119,"ROJO FUERTE",IF($C1119&gt;=$N1119,"ROJO",IF($C1119&gt;=$M1119,"AMARILLO","VERDE"))),"REVISAR"))))</f>
        <v/>
      </c>
      <c r="K1119" s="36">
        <f>IF(OR($C1119="",$D1119=""),"",IF($D1119&gt;=$C1119,($D1119-$C1119)*24,(1-$C1119+$D1119)*24))</f>
        <v/>
      </c>
      <c r="L1119" s="34" t="n"/>
      <c r="M1119" s="53">
        <f t="array" ref="M1119">IFERROR(INDEX(EXCEPCIONES_FECHA!$D$2:$D$201,MATCH(1,(EXCEPCIONES_FECHA!$A$2:$A$201=$A1119)*(EXCEPCIONES_FECHA!$B$2:$B$201=$B1119),0)),IFERROR(INDEX(EXCEPCIONES_FECHA!$D$2:$D$201,MATCH(1,(EXCEPCIONES_FECHA!$A$2:$A$201=$A1119)*(EXCEPCIONES_FECHA!$B$2:$B$201=""),0)),IFERROR(INDEX(IF($I1119="FIN",HISTORIAL_HORARIOS!$J$2:$J$201,HISTORIAL_HORARIOS!$F$2:$F$201),MATCH(1,(HISTORIAL_HORARIOS!$A$2:$A$201=$B1119)*(HISTORIAL_HORARIOS!$C$2:$C$201&lt;=$A1119)*(HISTORIAL_HORARIOS!$D$2:$D$201&gt;=$A1119),0)),INDEX(IF($I1119="FIN",PERSONAL!$J$2:$J$80,PERSONAL!$F$2:$F$80),MATCH($B1119,PERSONAL!$A$2:$A$80,0)))))</f>
        <v/>
      </c>
      <c r="N1119" s="53">
        <f t="array" ref="N1119">IFERROR(INDEX(EXCEPCIONES_FECHA!$E$2:$E$201,MATCH(1,(EXCEPCIONES_FECHA!$A$2:$A$201=$A1119)*(EXCEPCIONES_FECHA!$B$2:$B$201=$B1119),0)),IFERROR(INDEX(EXCEPCIONES_FECHA!$E$2:$E$201,MATCH(1,(EXCEPCIONES_FECHA!$A$2:$A$201=$A1119)*(EXCEPCIONES_FECHA!$B$2:$B$201=""),0)),IFERROR(INDEX(IF($I1119="FIN",HISTORIAL_HORARIOS!$K$2:$K$201,HISTORIAL_HORARIOS!$G$2:$G$201),MATCH(1,(HISTORIAL_HORARIOS!$A$2:$A$201=$B1119)*(HISTORIAL_HORARIOS!$C$2:$C$201&lt;=$A1119)*(HISTORIAL_HORARIOS!$D$2:$D$201&gt;=$A1119),0)),INDEX(IF($I1119="FIN",PERSONAL!$K$2:$K$80,PERSONAL!$G$2:$G$80),MATCH($B1119,PERSONAL!$A$2:$A$80,0)))))</f>
        <v/>
      </c>
      <c r="O1119" s="53">
        <f t="array" ref="O1119">IFERROR(INDEX(EXCEPCIONES_FECHA!$F$2:$F$201,MATCH(1,(EXCEPCIONES_FECHA!$A$2:$A$201=$A1119)*(EXCEPCIONES_FECHA!$B$2:$B$201=$B1119),0)),IFERROR(INDEX(EXCEPCIONES_FECHA!$F$2:$F$201,MATCH(1,(EXCEPCIONES_FECHA!$A$2:$A$201=$A1119)*(EXCEPCIONES_FECHA!$B$2:$B$201=""),0)),IFERROR(INDEX(IF($I1119="FIN",HISTORIAL_HORARIOS!$L$2:$L$201,HISTORIAL_HORARIOS!$H$2:$H$201),MATCH(1,(HISTORIAL_HORARIOS!$A$2:$A$201=$B1119)*(HISTORIAL_HORARIOS!$C$2:$C$201&lt;=$A1119)*(HISTORIAL_HORARIOS!$D$2:$D$201&gt;=$A1119),0)),INDEX(IF($I1119="FIN",PERSONAL!$L$2:$L$80,PERSONAL!$H$2:$H$80),MATCH($B1119,PERSONAL!$A$2:$A$80,0)))))</f>
        <v/>
      </c>
    </row>
    <row r="1120" ht="15" customHeight="1" s="58">
      <c r="A1120" s="40" t="n"/>
      <c r="B1120" s="38" t="n"/>
      <c r="C1120" s="40" t="n"/>
      <c r="D1120" s="40" t="n"/>
      <c r="E1120" s="34">
        <f t="array" ref="E1120">IF($B1120="","",IFERROR(INDEX(PERSONAL!$B$2:$B$80,MATCH($B1120,PERSONAL!$A$2:$A$80,0)),"NO EXISTE"))</f>
        <v/>
      </c>
      <c r="F1120" s="34">
        <f t="array" ref="F1120">IF($B1120="","",IFERROR(INDEX(PERSONAL!$C$2:$C$80,MATCH($B1120,PERSONAL!$A$2:$A$80,0)),""))</f>
        <v/>
      </c>
      <c r="G1120" s="34">
        <f>IF($A1120="","",CHOOSE(WEEKDAY($A1120,2),"LUNES","MARTES","MIÉRCOLES","JUEVES","VIERNES","SÁBADO","DOMINGO"))</f>
        <v/>
      </c>
      <c r="H1120" s="34">
        <f>IF($A1120="","",CHOOSE(MONTH($A1120),"ENERO","FEBRERO","MARZO","ABRIL","MAYO","JUNIO","JULIO","AGOSTO","SEPTIEMBRE","OCTUBRE","NOVIEMBRE","DICIEMBRE"))</f>
        <v/>
      </c>
      <c r="I1120" s="34">
        <f>IF($A1120="","",IF(OR($G1120="SÁBADO",$G1120="DOMINGO"),"FIN","LV"))</f>
        <v/>
      </c>
      <c r="J1120" s="34">
        <f>IF(OR($A1120="",$B1120=""),"",IF($L1120&lt;&gt;"",UPPER($L1120),IF($C1120="","FALTA",IFERROR(IF($C1120&gt;=$O1120,"ROJO FUERTE",IF($C1120&gt;=$N1120,"ROJO",IF($C1120&gt;=$M1120,"AMARILLO","VERDE"))),"REVISAR"))))</f>
        <v/>
      </c>
      <c r="K1120" s="36">
        <f>IF(OR($C1120="",$D1120=""),"",IF($D1120&gt;=$C1120,($D1120-$C1120)*24,(1-$C1120+$D1120)*24))</f>
        <v/>
      </c>
      <c r="L1120" s="34" t="n"/>
      <c r="M1120" s="53">
        <f t="array" ref="M1120">IFERROR(INDEX(EXCEPCIONES_FECHA!$D$2:$D$201,MATCH(1,(EXCEPCIONES_FECHA!$A$2:$A$201=$A1120)*(EXCEPCIONES_FECHA!$B$2:$B$201=$B1120),0)),IFERROR(INDEX(EXCEPCIONES_FECHA!$D$2:$D$201,MATCH(1,(EXCEPCIONES_FECHA!$A$2:$A$201=$A1120)*(EXCEPCIONES_FECHA!$B$2:$B$201=""),0)),IFERROR(INDEX(IF($I1120="FIN",HISTORIAL_HORARIOS!$J$2:$J$201,HISTORIAL_HORARIOS!$F$2:$F$201),MATCH(1,(HISTORIAL_HORARIOS!$A$2:$A$201=$B1120)*(HISTORIAL_HORARIOS!$C$2:$C$201&lt;=$A1120)*(HISTORIAL_HORARIOS!$D$2:$D$201&gt;=$A1120),0)),INDEX(IF($I1120="FIN",PERSONAL!$J$2:$J$80,PERSONAL!$F$2:$F$80),MATCH($B1120,PERSONAL!$A$2:$A$80,0)))))</f>
        <v/>
      </c>
      <c r="N1120" s="53">
        <f t="array" ref="N1120">IFERROR(INDEX(EXCEPCIONES_FECHA!$E$2:$E$201,MATCH(1,(EXCEPCIONES_FECHA!$A$2:$A$201=$A1120)*(EXCEPCIONES_FECHA!$B$2:$B$201=$B1120),0)),IFERROR(INDEX(EXCEPCIONES_FECHA!$E$2:$E$201,MATCH(1,(EXCEPCIONES_FECHA!$A$2:$A$201=$A1120)*(EXCEPCIONES_FECHA!$B$2:$B$201=""),0)),IFERROR(INDEX(IF($I1120="FIN",HISTORIAL_HORARIOS!$K$2:$K$201,HISTORIAL_HORARIOS!$G$2:$G$201),MATCH(1,(HISTORIAL_HORARIOS!$A$2:$A$201=$B1120)*(HISTORIAL_HORARIOS!$C$2:$C$201&lt;=$A1120)*(HISTORIAL_HORARIOS!$D$2:$D$201&gt;=$A1120),0)),INDEX(IF($I1120="FIN",PERSONAL!$K$2:$K$80,PERSONAL!$G$2:$G$80),MATCH($B1120,PERSONAL!$A$2:$A$80,0)))))</f>
        <v/>
      </c>
      <c r="O1120" s="53">
        <f t="array" ref="O1120">IFERROR(INDEX(EXCEPCIONES_FECHA!$F$2:$F$201,MATCH(1,(EXCEPCIONES_FECHA!$A$2:$A$201=$A1120)*(EXCEPCIONES_FECHA!$B$2:$B$201=$B1120),0)),IFERROR(INDEX(EXCEPCIONES_FECHA!$F$2:$F$201,MATCH(1,(EXCEPCIONES_FECHA!$A$2:$A$201=$A1120)*(EXCEPCIONES_FECHA!$B$2:$B$201=""),0)),IFERROR(INDEX(IF($I1120="FIN",HISTORIAL_HORARIOS!$L$2:$L$201,HISTORIAL_HORARIOS!$H$2:$H$201),MATCH(1,(HISTORIAL_HORARIOS!$A$2:$A$201=$B1120)*(HISTORIAL_HORARIOS!$C$2:$C$201&lt;=$A1120)*(HISTORIAL_HORARIOS!$D$2:$D$201&gt;=$A1120),0)),INDEX(IF($I1120="FIN",PERSONAL!$L$2:$L$80,PERSONAL!$H$2:$H$80),MATCH($B1120,PERSONAL!$A$2:$A$80,0)))))</f>
        <v/>
      </c>
    </row>
    <row r="1121" ht="15" customHeight="1" s="58">
      <c r="A1121" s="40" t="n"/>
      <c r="B1121" s="38" t="n"/>
      <c r="C1121" s="40" t="n"/>
      <c r="D1121" s="40" t="n"/>
      <c r="E1121" s="34">
        <f t="array" ref="E1121">IF($B1121="","",IFERROR(INDEX(PERSONAL!$B$2:$B$80,MATCH($B1121,PERSONAL!$A$2:$A$80,0)),"NO EXISTE"))</f>
        <v/>
      </c>
      <c r="F1121" s="34">
        <f t="array" ref="F1121">IF($B1121="","",IFERROR(INDEX(PERSONAL!$C$2:$C$80,MATCH($B1121,PERSONAL!$A$2:$A$80,0)),""))</f>
        <v/>
      </c>
      <c r="G1121" s="34">
        <f>IF($A1121="","",CHOOSE(WEEKDAY($A1121,2),"LUNES","MARTES","MIÉRCOLES","JUEVES","VIERNES","SÁBADO","DOMINGO"))</f>
        <v/>
      </c>
      <c r="H1121" s="34">
        <f>IF($A1121="","",CHOOSE(MONTH($A1121),"ENERO","FEBRERO","MARZO","ABRIL","MAYO","JUNIO","JULIO","AGOSTO","SEPTIEMBRE","OCTUBRE","NOVIEMBRE","DICIEMBRE"))</f>
        <v/>
      </c>
      <c r="I1121" s="34">
        <f>IF($A1121="","",IF(OR($G1121="SÁBADO",$G1121="DOMINGO"),"FIN","LV"))</f>
        <v/>
      </c>
      <c r="J1121" s="34">
        <f>IF(OR($A1121="",$B1121=""),"",IF($L1121&lt;&gt;"",UPPER($L1121),IF($C1121="","FALTA",IFERROR(IF($C1121&gt;=$O1121,"ROJO FUERTE",IF($C1121&gt;=$N1121,"ROJO",IF($C1121&gt;=$M1121,"AMARILLO","VERDE"))),"REVISAR"))))</f>
        <v/>
      </c>
      <c r="K1121" s="36">
        <f>IF(OR($C1121="",$D1121=""),"",IF($D1121&gt;=$C1121,($D1121-$C1121)*24,(1-$C1121+$D1121)*24))</f>
        <v/>
      </c>
      <c r="L1121" s="34" t="n"/>
      <c r="M1121" s="53">
        <f t="array" ref="M1121">IFERROR(INDEX(EXCEPCIONES_FECHA!$D$2:$D$201,MATCH(1,(EXCEPCIONES_FECHA!$A$2:$A$201=$A1121)*(EXCEPCIONES_FECHA!$B$2:$B$201=$B1121),0)),IFERROR(INDEX(EXCEPCIONES_FECHA!$D$2:$D$201,MATCH(1,(EXCEPCIONES_FECHA!$A$2:$A$201=$A1121)*(EXCEPCIONES_FECHA!$B$2:$B$201=""),0)),IFERROR(INDEX(IF($I1121="FIN",HISTORIAL_HORARIOS!$J$2:$J$201,HISTORIAL_HORARIOS!$F$2:$F$201),MATCH(1,(HISTORIAL_HORARIOS!$A$2:$A$201=$B1121)*(HISTORIAL_HORARIOS!$C$2:$C$201&lt;=$A1121)*(HISTORIAL_HORARIOS!$D$2:$D$201&gt;=$A1121),0)),INDEX(IF($I1121="FIN",PERSONAL!$J$2:$J$80,PERSONAL!$F$2:$F$80),MATCH($B1121,PERSONAL!$A$2:$A$80,0)))))</f>
        <v/>
      </c>
      <c r="N1121" s="53">
        <f t="array" ref="N1121">IFERROR(INDEX(EXCEPCIONES_FECHA!$E$2:$E$201,MATCH(1,(EXCEPCIONES_FECHA!$A$2:$A$201=$A1121)*(EXCEPCIONES_FECHA!$B$2:$B$201=$B1121),0)),IFERROR(INDEX(EXCEPCIONES_FECHA!$E$2:$E$201,MATCH(1,(EXCEPCIONES_FECHA!$A$2:$A$201=$A1121)*(EXCEPCIONES_FECHA!$B$2:$B$201=""),0)),IFERROR(INDEX(IF($I1121="FIN",HISTORIAL_HORARIOS!$K$2:$K$201,HISTORIAL_HORARIOS!$G$2:$G$201),MATCH(1,(HISTORIAL_HORARIOS!$A$2:$A$201=$B1121)*(HISTORIAL_HORARIOS!$C$2:$C$201&lt;=$A1121)*(HISTORIAL_HORARIOS!$D$2:$D$201&gt;=$A1121),0)),INDEX(IF($I1121="FIN",PERSONAL!$K$2:$K$80,PERSONAL!$G$2:$G$80),MATCH($B1121,PERSONAL!$A$2:$A$80,0)))))</f>
        <v/>
      </c>
      <c r="O1121" s="53">
        <f t="array" ref="O1121">IFERROR(INDEX(EXCEPCIONES_FECHA!$F$2:$F$201,MATCH(1,(EXCEPCIONES_FECHA!$A$2:$A$201=$A1121)*(EXCEPCIONES_FECHA!$B$2:$B$201=$B1121),0)),IFERROR(INDEX(EXCEPCIONES_FECHA!$F$2:$F$201,MATCH(1,(EXCEPCIONES_FECHA!$A$2:$A$201=$A1121)*(EXCEPCIONES_FECHA!$B$2:$B$201=""),0)),IFERROR(INDEX(IF($I1121="FIN",HISTORIAL_HORARIOS!$L$2:$L$201,HISTORIAL_HORARIOS!$H$2:$H$201),MATCH(1,(HISTORIAL_HORARIOS!$A$2:$A$201=$B1121)*(HISTORIAL_HORARIOS!$C$2:$C$201&lt;=$A1121)*(HISTORIAL_HORARIOS!$D$2:$D$201&gt;=$A1121),0)),INDEX(IF($I1121="FIN",PERSONAL!$L$2:$L$80,PERSONAL!$H$2:$H$80),MATCH($B1121,PERSONAL!$A$2:$A$80,0)))))</f>
        <v/>
      </c>
    </row>
    <row r="1122" ht="15" customHeight="1" s="58">
      <c r="A1122" s="40" t="n"/>
      <c r="B1122" s="38" t="n"/>
      <c r="C1122" s="40" t="n"/>
      <c r="D1122" s="40" t="n"/>
      <c r="E1122" s="34">
        <f t="array" ref="E1122">IF($B1122="","",IFERROR(INDEX(PERSONAL!$B$2:$B$80,MATCH($B1122,PERSONAL!$A$2:$A$80,0)),"NO EXISTE"))</f>
        <v/>
      </c>
      <c r="F1122" s="34">
        <f t="array" ref="F1122">IF($B1122="","",IFERROR(INDEX(PERSONAL!$C$2:$C$80,MATCH($B1122,PERSONAL!$A$2:$A$80,0)),""))</f>
        <v/>
      </c>
      <c r="G1122" s="34">
        <f>IF($A1122="","",CHOOSE(WEEKDAY($A1122,2),"LUNES","MARTES","MIÉRCOLES","JUEVES","VIERNES","SÁBADO","DOMINGO"))</f>
        <v/>
      </c>
      <c r="H1122" s="34">
        <f>IF($A1122="","",CHOOSE(MONTH($A1122),"ENERO","FEBRERO","MARZO","ABRIL","MAYO","JUNIO","JULIO","AGOSTO","SEPTIEMBRE","OCTUBRE","NOVIEMBRE","DICIEMBRE"))</f>
        <v/>
      </c>
      <c r="I1122" s="34">
        <f>IF($A1122="","",IF(OR($G1122="SÁBADO",$G1122="DOMINGO"),"FIN","LV"))</f>
        <v/>
      </c>
      <c r="J1122" s="34">
        <f>IF(OR($A1122="",$B1122=""),"",IF($L1122&lt;&gt;"",UPPER($L1122),IF($C1122="","FALTA",IFERROR(IF($C1122&gt;=$O1122,"ROJO FUERTE",IF($C1122&gt;=$N1122,"ROJO",IF($C1122&gt;=$M1122,"AMARILLO","VERDE"))),"REVISAR"))))</f>
        <v/>
      </c>
      <c r="K1122" s="36">
        <f>IF(OR($C1122="",$D1122=""),"",IF($D1122&gt;=$C1122,($D1122-$C1122)*24,(1-$C1122+$D1122)*24))</f>
        <v/>
      </c>
      <c r="L1122" s="34" t="n"/>
      <c r="M1122" s="53">
        <f t="array" ref="M1122">IFERROR(INDEX(EXCEPCIONES_FECHA!$D$2:$D$201,MATCH(1,(EXCEPCIONES_FECHA!$A$2:$A$201=$A1122)*(EXCEPCIONES_FECHA!$B$2:$B$201=$B1122),0)),IFERROR(INDEX(EXCEPCIONES_FECHA!$D$2:$D$201,MATCH(1,(EXCEPCIONES_FECHA!$A$2:$A$201=$A1122)*(EXCEPCIONES_FECHA!$B$2:$B$201=""),0)),IFERROR(INDEX(IF($I1122="FIN",HISTORIAL_HORARIOS!$J$2:$J$201,HISTORIAL_HORARIOS!$F$2:$F$201),MATCH(1,(HISTORIAL_HORARIOS!$A$2:$A$201=$B1122)*(HISTORIAL_HORARIOS!$C$2:$C$201&lt;=$A1122)*(HISTORIAL_HORARIOS!$D$2:$D$201&gt;=$A1122),0)),INDEX(IF($I1122="FIN",PERSONAL!$J$2:$J$80,PERSONAL!$F$2:$F$80),MATCH($B1122,PERSONAL!$A$2:$A$80,0)))))</f>
        <v/>
      </c>
      <c r="N1122" s="53">
        <f t="array" ref="N1122">IFERROR(INDEX(EXCEPCIONES_FECHA!$E$2:$E$201,MATCH(1,(EXCEPCIONES_FECHA!$A$2:$A$201=$A1122)*(EXCEPCIONES_FECHA!$B$2:$B$201=$B1122),0)),IFERROR(INDEX(EXCEPCIONES_FECHA!$E$2:$E$201,MATCH(1,(EXCEPCIONES_FECHA!$A$2:$A$201=$A1122)*(EXCEPCIONES_FECHA!$B$2:$B$201=""),0)),IFERROR(INDEX(IF($I1122="FIN",HISTORIAL_HORARIOS!$K$2:$K$201,HISTORIAL_HORARIOS!$G$2:$G$201),MATCH(1,(HISTORIAL_HORARIOS!$A$2:$A$201=$B1122)*(HISTORIAL_HORARIOS!$C$2:$C$201&lt;=$A1122)*(HISTORIAL_HORARIOS!$D$2:$D$201&gt;=$A1122),0)),INDEX(IF($I1122="FIN",PERSONAL!$K$2:$K$80,PERSONAL!$G$2:$G$80),MATCH($B1122,PERSONAL!$A$2:$A$80,0)))))</f>
        <v/>
      </c>
      <c r="O1122" s="53">
        <f t="array" ref="O1122">IFERROR(INDEX(EXCEPCIONES_FECHA!$F$2:$F$201,MATCH(1,(EXCEPCIONES_FECHA!$A$2:$A$201=$A1122)*(EXCEPCIONES_FECHA!$B$2:$B$201=$B1122),0)),IFERROR(INDEX(EXCEPCIONES_FECHA!$F$2:$F$201,MATCH(1,(EXCEPCIONES_FECHA!$A$2:$A$201=$A1122)*(EXCEPCIONES_FECHA!$B$2:$B$201=""),0)),IFERROR(INDEX(IF($I1122="FIN",HISTORIAL_HORARIOS!$L$2:$L$201,HISTORIAL_HORARIOS!$H$2:$H$201),MATCH(1,(HISTORIAL_HORARIOS!$A$2:$A$201=$B1122)*(HISTORIAL_HORARIOS!$C$2:$C$201&lt;=$A1122)*(HISTORIAL_HORARIOS!$D$2:$D$201&gt;=$A1122),0)),INDEX(IF($I1122="FIN",PERSONAL!$L$2:$L$80,PERSONAL!$H$2:$H$80),MATCH($B1122,PERSONAL!$A$2:$A$80,0)))))</f>
        <v/>
      </c>
    </row>
    <row r="1123" ht="15" customHeight="1" s="58">
      <c r="A1123" s="40" t="n"/>
      <c r="B1123" s="38" t="n"/>
      <c r="C1123" s="40" t="n"/>
      <c r="D1123" s="40" t="n"/>
      <c r="E1123" s="34">
        <f t="array" ref="E1123">IF($B1123="","",IFERROR(INDEX(PERSONAL!$B$2:$B$80,MATCH($B1123,PERSONAL!$A$2:$A$80,0)),"NO EXISTE"))</f>
        <v/>
      </c>
      <c r="F1123" s="34">
        <f t="array" ref="F1123">IF($B1123="","",IFERROR(INDEX(PERSONAL!$C$2:$C$80,MATCH($B1123,PERSONAL!$A$2:$A$80,0)),""))</f>
        <v/>
      </c>
      <c r="G1123" s="34">
        <f>IF($A1123="","",CHOOSE(WEEKDAY($A1123,2),"LUNES","MARTES","MIÉRCOLES","JUEVES","VIERNES","SÁBADO","DOMINGO"))</f>
        <v/>
      </c>
      <c r="H1123" s="34">
        <f>IF($A1123="","",CHOOSE(MONTH($A1123),"ENERO","FEBRERO","MARZO","ABRIL","MAYO","JUNIO","JULIO","AGOSTO","SEPTIEMBRE","OCTUBRE","NOVIEMBRE","DICIEMBRE"))</f>
        <v/>
      </c>
      <c r="I1123" s="34">
        <f>IF($A1123="","",IF(OR($G1123="SÁBADO",$G1123="DOMINGO"),"FIN","LV"))</f>
        <v/>
      </c>
      <c r="J1123" s="34">
        <f>IF(OR($A1123="",$B1123=""),"",IF($L1123&lt;&gt;"",UPPER($L1123),IF($C1123="","FALTA",IFERROR(IF($C1123&gt;=$O1123,"ROJO FUERTE",IF($C1123&gt;=$N1123,"ROJO",IF($C1123&gt;=$M1123,"AMARILLO","VERDE"))),"REVISAR"))))</f>
        <v/>
      </c>
      <c r="K1123" s="36">
        <f>IF(OR($C1123="",$D1123=""),"",IF($D1123&gt;=$C1123,($D1123-$C1123)*24,(1-$C1123+$D1123)*24))</f>
        <v/>
      </c>
      <c r="L1123" s="34" t="n"/>
      <c r="M1123" s="53">
        <f t="array" ref="M1123">IFERROR(INDEX(EXCEPCIONES_FECHA!$D$2:$D$201,MATCH(1,(EXCEPCIONES_FECHA!$A$2:$A$201=$A1123)*(EXCEPCIONES_FECHA!$B$2:$B$201=$B1123),0)),IFERROR(INDEX(EXCEPCIONES_FECHA!$D$2:$D$201,MATCH(1,(EXCEPCIONES_FECHA!$A$2:$A$201=$A1123)*(EXCEPCIONES_FECHA!$B$2:$B$201=""),0)),IFERROR(INDEX(IF($I1123="FIN",HISTORIAL_HORARIOS!$J$2:$J$201,HISTORIAL_HORARIOS!$F$2:$F$201),MATCH(1,(HISTORIAL_HORARIOS!$A$2:$A$201=$B1123)*(HISTORIAL_HORARIOS!$C$2:$C$201&lt;=$A1123)*(HISTORIAL_HORARIOS!$D$2:$D$201&gt;=$A1123),0)),INDEX(IF($I1123="FIN",PERSONAL!$J$2:$J$80,PERSONAL!$F$2:$F$80),MATCH($B1123,PERSONAL!$A$2:$A$80,0)))))</f>
        <v/>
      </c>
      <c r="N1123" s="53">
        <f t="array" ref="N1123">IFERROR(INDEX(EXCEPCIONES_FECHA!$E$2:$E$201,MATCH(1,(EXCEPCIONES_FECHA!$A$2:$A$201=$A1123)*(EXCEPCIONES_FECHA!$B$2:$B$201=$B1123),0)),IFERROR(INDEX(EXCEPCIONES_FECHA!$E$2:$E$201,MATCH(1,(EXCEPCIONES_FECHA!$A$2:$A$201=$A1123)*(EXCEPCIONES_FECHA!$B$2:$B$201=""),0)),IFERROR(INDEX(IF($I1123="FIN",HISTORIAL_HORARIOS!$K$2:$K$201,HISTORIAL_HORARIOS!$G$2:$G$201),MATCH(1,(HISTORIAL_HORARIOS!$A$2:$A$201=$B1123)*(HISTORIAL_HORARIOS!$C$2:$C$201&lt;=$A1123)*(HISTORIAL_HORARIOS!$D$2:$D$201&gt;=$A1123),0)),INDEX(IF($I1123="FIN",PERSONAL!$K$2:$K$80,PERSONAL!$G$2:$G$80),MATCH($B1123,PERSONAL!$A$2:$A$80,0)))))</f>
        <v/>
      </c>
      <c r="O1123" s="53">
        <f t="array" ref="O1123">IFERROR(INDEX(EXCEPCIONES_FECHA!$F$2:$F$201,MATCH(1,(EXCEPCIONES_FECHA!$A$2:$A$201=$A1123)*(EXCEPCIONES_FECHA!$B$2:$B$201=$B1123),0)),IFERROR(INDEX(EXCEPCIONES_FECHA!$F$2:$F$201,MATCH(1,(EXCEPCIONES_FECHA!$A$2:$A$201=$A1123)*(EXCEPCIONES_FECHA!$B$2:$B$201=""),0)),IFERROR(INDEX(IF($I1123="FIN",HISTORIAL_HORARIOS!$L$2:$L$201,HISTORIAL_HORARIOS!$H$2:$H$201),MATCH(1,(HISTORIAL_HORARIOS!$A$2:$A$201=$B1123)*(HISTORIAL_HORARIOS!$C$2:$C$201&lt;=$A1123)*(HISTORIAL_HORARIOS!$D$2:$D$201&gt;=$A1123),0)),INDEX(IF($I1123="FIN",PERSONAL!$L$2:$L$80,PERSONAL!$H$2:$H$80),MATCH($B1123,PERSONAL!$A$2:$A$80,0)))))</f>
        <v/>
      </c>
    </row>
    <row r="1124" ht="15" customHeight="1" s="58">
      <c r="A1124" s="40" t="n"/>
      <c r="B1124" s="38" t="n"/>
      <c r="C1124" s="40" t="n"/>
      <c r="D1124" s="40" t="n"/>
      <c r="E1124" s="34">
        <f t="array" ref="E1124">IF($B1124="","",IFERROR(INDEX(PERSONAL!$B$2:$B$80,MATCH($B1124,PERSONAL!$A$2:$A$80,0)),"NO EXISTE"))</f>
        <v/>
      </c>
      <c r="F1124" s="34">
        <f t="array" ref="F1124">IF($B1124="","",IFERROR(INDEX(PERSONAL!$C$2:$C$80,MATCH($B1124,PERSONAL!$A$2:$A$80,0)),""))</f>
        <v/>
      </c>
      <c r="G1124" s="34">
        <f>IF($A1124="","",CHOOSE(WEEKDAY($A1124,2),"LUNES","MARTES","MIÉRCOLES","JUEVES","VIERNES","SÁBADO","DOMINGO"))</f>
        <v/>
      </c>
      <c r="H1124" s="34">
        <f>IF($A1124="","",CHOOSE(MONTH($A1124),"ENERO","FEBRERO","MARZO","ABRIL","MAYO","JUNIO","JULIO","AGOSTO","SEPTIEMBRE","OCTUBRE","NOVIEMBRE","DICIEMBRE"))</f>
        <v/>
      </c>
      <c r="I1124" s="34">
        <f>IF($A1124="","",IF(OR($G1124="SÁBADO",$G1124="DOMINGO"),"FIN","LV"))</f>
        <v/>
      </c>
      <c r="J1124" s="34">
        <f>IF(OR($A1124="",$B1124=""),"",IF($L1124&lt;&gt;"",UPPER($L1124),IF($C1124="","FALTA",IFERROR(IF($C1124&gt;=$O1124,"ROJO FUERTE",IF($C1124&gt;=$N1124,"ROJO",IF($C1124&gt;=$M1124,"AMARILLO","VERDE"))),"REVISAR"))))</f>
        <v/>
      </c>
      <c r="K1124" s="36">
        <f>IF(OR($C1124="",$D1124=""),"",IF($D1124&gt;=$C1124,($D1124-$C1124)*24,(1-$C1124+$D1124)*24))</f>
        <v/>
      </c>
      <c r="L1124" s="34" t="n"/>
      <c r="M1124" s="53">
        <f t="array" ref="M1124">IFERROR(INDEX(EXCEPCIONES_FECHA!$D$2:$D$201,MATCH(1,(EXCEPCIONES_FECHA!$A$2:$A$201=$A1124)*(EXCEPCIONES_FECHA!$B$2:$B$201=$B1124),0)),IFERROR(INDEX(EXCEPCIONES_FECHA!$D$2:$D$201,MATCH(1,(EXCEPCIONES_FECHA!$A$2:$A$201=$A1124)*(EXCEPCIONES_FECHA!$B$2:$B$201=""),0)),IFERROR(INDEX(IF($I1124="FIN",HISTORIAL_HORARIOS!$J$2:$J$201,HISTORIAL_HORARIOS!$F$2:$F$201),MATCH(1,(HISTORIAL_HORARIOS!$A$2:$A$201=$B1124)*(HISTORIAL_HORARIOS!$C$2:$C$201&lt;=$A1124)*(HISTORIAL_HORARIOS!$D$2:$D$201&gt;=$A1124),0)),INDEX(IF($I1124="FIN",PERSONAL!$J$2:$J$80,PERSONAL!$F$2:$F$80),MATCH($B1124,PERSONAL!$A$2:$A$80,0)))))</f>
        <v/>
      </c>
      <c r="N1124" s="53">
        <f t="array" ref="N1124">IFERROR(INDEX(EXCEPCIONES_FECHA!$E$2:$E$201,MATCH(1,(EXCEPCIONES_FECHA!$A$2:$A$201=$A1124)*(EXCEPCIONES_FECHA!$B$2:$B$201=$B1124),0)),IFERROR(INDEX(EXCEPCIONES_FECHA!$E$2:$E$201,MATCH(1,(EXCEPCIONES_FECHA!$A$2:$A$201=$A1124)*(EXCEPCIONES_FECHA!$B$2:$B$201=""),0)),IFERROR(INDEX(IF($I1124="FIN",HISTORIAL_HORARIOS!$K$2:$K$201,HISTORIAL_HORARIOS!$G$2:$G$201),MATCH(1,(HISTORIAL_HORARIOS!$A$2:$A$201=$B1124)*(HISTORIAL_HORARIOS!$C$2:$C$201&lt;=$A1124)*(HISTORIAL_HORARIOS!$D$2:$D$201&gt;=$A1124),0)),INDEX(IF($I1124="FIN",PERSONAL!$K$2:$K$80,PERSONAL!$G$2:$G$80),MATCH($B1124,PERSONAL!$A$2:$A$80,0)))))</f>
        <v/>
      </c>
      <c r="O1124" s="53">
        <f t="array" ref="O1124">IFERROR(INDEX(EXCEPCIONES_FECHA!$F$2:$F$201,MATCH(1,(EXCEPCIONES_FECHA!$A$2:$A$201=$A1124)*(EXCEPCIONES_FECHA!$B$2:$B$201=$B1124),0)),IFERROR(INDEX(EXCEPCIONES_FECHA!$F$2:$F$201,MATCH(1,(EXCEPCIONES_FECHA!$A$2:$A$201=$A1124)*(EXCEPCIONES_FECHA!$B$2:$B$201=""),0)),IFERROR(INDEX(IF($I1124="FIN",HISTORIAL_HORARIOS!$L$2:$L$201,HISTORIAL_HORARIOS!$H$2:$H$201),MATCH(1,(HISTORIAL_HORARIOS!$A$2:$A$201=$B1124)*(HISTORIAL_HORARIOS!$C$2:$C$201&lt;=$A1124)*(HISTORIAL_HORARIOS!$D$2:$D$201&gt;=$A1124),0)),INDEX(IF($I1124="FIN",PERSONAL!$L$2:$L$80,PERSONAL!$H$2:$H$80),MATCH($B1124,PERSONAL!$A$2:$A$80,0)))))</f>
        <v/>
      </c>
    </row>
    <row r="1125" ht="15" customHeight="1" s="58">
      <c r="A1125" s="40" t="n"/>
      <c r="B1125" s="38" t="n"/>
      <c r="C1125" s="40" t="n"/>
      <c r="D1125" s="40" t="n"/>
      <c r="E1125" s="34">
        <f t="array" ref="E1125">IF($B1125="","",IFERROR(INDEX(PERSONAL!$B$2:$B$80,MATCH($B1125,PERSONAL!$A$2:$A$80,0)),"NO EXISTE"))</f>
        <v/>
      </c>
      <c r="F1125" s="34">
        <f t="array" ref="F1125">IF($B1125="","",IFERROR(INDEX(PERSONAL!$C$2:$C$80,MATCH($B1125,PERSONAL!$A$2:$A$80,0)),""))</f>
        <v/>
      </c>
      <c r="G1125" s="34">
        <f>IF($A1125="","",CHOOSE(WEEKDAY($A1125,2),"LUNES","MARTES","MIÉRCOLES","JUEVES","VIERNES","SÁBADO","DOMINGO"))</f>
        <v/>
      </c>
      <c r="H1125" s="34">
        <f>IF($A1125="","",CHOOSE(MONTH($A1125),"ENERO","FEBRERO","MARZO","ABRIL","MAYO","JUNIO","JULIO","AGOSTO","SEPTIEMBRE","OCTUBRE","NOVIEMBRE","DICIEMBRE"))</f>
        <v/>
      </c>
      <c r="I1125" s="34">
        <f>IF($A1125="","",IF(OR($G1125="SÁBADO",$G1125="DOMINGO"),"FIN","LV"))</f>
        <v/>
      </c>
      <c r="J1125" s="34">
        <f>IF(OR($A1125="",$B1125=""),"",IF($L1125&lt;&gt;"",UPPER($L1125),IF($C1125="","FALTA",IFERROR(IF($C1125&gt;=$O1125,"ROJO FUERTE",IF($C1125&gt;=$N1125,"ROJO",IF($C1125&gt;=$M1125,"AMARILLO","VERDE"))),"REVISAR"))))</f>
        <v/>
      </c>
      <c r="K1125" s="36">
        <f>IF(OR($C1125="",$D1125=""),"",IF($D1125&gt;=$C1125,($D1125-$C1125)*24,(1-$C1125+$D1125)*24))</f>
        <v/>
      </c>
      <c r="L1125" s="34" t="n"/>
      <c r="M1125" s="53">
        <f t="array" ref="M1125">IFERROR(INDEX(EXCEPCIONES_FECHA!$D$2:$D$201,MATCH(1,(EXCEPCIONES_FECHA!$A$2:$A$201=$A1125)*(EXCEPCIONES_FECHA!$B$2:$B$201=$B1125),0)),IFERROR(INDEX(EXCEPCIONES_FECHA!$D$2:$D$201,MATCH(1,(EXCEPCIONES_FECHA!$A$2:$A$201=$A1125)*(EXCEPCIONES_FECHA!$B$2:$B$201=""),0)),IFERROR(INDEX(IF($I1125="FIN",HISTORIAL_HORARIOS!$J$2:$J$201,HISTORIAL_HORARIOS!$F$2:$F$201),MATCH(1,(HISTORIAL_HORARIOS!$A$2:$A$201=$B1125)*(HISTORIAL_HORARIOS!$C$2:$C$201&lt;=$A1125)*(HISTORIAL_HORARIOS!$D$2:$D$201&gt;=$A1125),0)),INDEX(IF($I1125="FIN",PERSONAL!$J$2:$J$80,PERSONAL!$F$2:$F$80),MATCH($B1125,PERSONAL!$A$2:$A$80,0)))))</f>
        <v/>
      </c>
      <c r="N1125" s="53">
        <f t="array" ref="N1125">IFERROR(INDEX(EXCEPCIONES_FECHA!$E$2:$E$201,MATCH(1,(EXCEPCIONES_FECHA!$A$2:$A$201=$A1125)*(EXCEPCIONES_FECHA!$B$2:$B$201=$B1125),0)),IFERROR(INDEX(EXCEPCIONES_FECHA!$E$2:$E$201,MATCH(1,(EXCEPCIONES_FECHA!$A$2:$A$201=$A1125)*(EXCEPCIONES_FECHA!$B$2:$B$201=""),0)),IFERROR(INDEX(IF($I1125="FIN",HISTORIAL_HORARIOS!$K$2:$K$201,HISTORIAL_HORARIOS!$G$2:$G$201),MATCH(1,(HISTORIAL_HORARIOS!$A$2:$A$201=$B1125)*(HISTORIAL_HORARIOS!$C$2:$C$201&lt;=$A1125)*(HISTORIAL_HORARIOS!$D$2:$D$201&gt;=$A1125),0)),INDEX(IF($I1125="FIN",PERSONAL!$K$2:$K$80,PERSONAL!$G$2:$G$80),MATCH($B1125,PERSONAL!$A$2:$A$80,0)))))</f>
        <v/>
      </c>
      <c r="O1125" s="53">
        <f t="array" ref="O1125">IFERROR(INDEX(EXCEPCIONES_FECHA!$F$2:$F$201,MATCH(1,(EXCEPCIONES_FECHA!$A$2:$A$201=$A1125)*(EXCEPCIONES_FECHA!$B$2:$B$201=$B1125),0)),IFERROR(INDEX(EXCEPCIONES_FECHA!$F$2:$F$201,MATCH(1,(EXCEPCIONES_FECHA!$A$2:$A$201=$A1125)*(EXCEPCIONES_FECHA!$B$2:$B$201=""),0)),IFERROR(INDEX(IF($I1125="FIN",HISTORIAL_HORARIOS!$L$2:$L$201,HISTORIAL_HORARIOS!$H$2:$H$201),MATCH(1,(HISTORIAL_HORARIOS!$A$2:$A$201=$B1125)*(HISTORIAL_HORARIOS!$C$2:$C$201&lt;=$A1125)*(HISTORIAL_HORARIOS!$D$2:$D$201&gt;=$A1125),0)),INDEX(IF($I1125="FIN",PERSONAL!$L$2:$L$80,PERSONAL!$H$2:$H$80),MATCH($B1125,PERSONAL!$A$2:$A$80,0)))))</f>
        <v/>
      </c>
    </row>
    <row r="1126" ht="15" customHeight="1" s="58">
      <c r="A1126" s="40" t="n"/>
      <c r="B1126" s="38" t="n"/>
      <c r="C1126" s="40" t="n"/>
      <c r="D1126" s="40" t="n"/>
      <c r="E1126" s="34">
        <f t="array" ref="E1126">IF($B1126="","",IFERROR(INDEX(PERSONAL!$B$2:$B$80,MATCH($B1126,PERSONAL!$A$2:$A$80,0)),"NO EXISTE"))</f>
        <v/>
      </c>
      <c r="F1126" s="34">
        <f t="array" ref="F1126">IF($B1126="","",IFERROR(INDEX(PERSONAL!$C$2:$C$80,MATCH($B1126,PERSONAL!$A$2:$A$80,0)),""))</f>
        <v/>
      </c>
      <c r="G1126" s="34">
        <f>IF($A1126="","",CHOOSE(WEEKDAY($A1126,2),"LUNES","MARTES","MIÉRCOLES","JUEVES","VIERNES","SÁBADO","DOMINGO"))</f>
        <v/>
      </c>
      <c r="H1126" s="34">
        <f>IF($A1126="","",CHOOSE(MONTH($A1126),"ENERO","FEBRERO","MARZO","ABRIL","MAYO","JUNIO","JULIO","AGOSTO","SEPTIEMBRE","OCTUBRE","NOVIEMBRE","DICIEMBRE"))</f>
        <v/>
      </c>
      <c r="I1126" s="34">
        <f>IF($A1126="","",IF(OR($G1126="SÁBADO",$G1126="DOMINGO"),"FIN","LV"))</f>
        <v/>
      </c>
      <c r="J1126" s="34">
        <f>IF(OR($A1126="",$B1126=""),"",IF($L1126&lt;&gt;"",UPPER($L1126),IF($C1126="","FALTA",IFERROR(IF($C1126&gt;=$O1126,"ROJO FUERTE",IF($C1126&gt;=$N1126,"ROJO",IF($C1126&gt;=$M1126,"AMARILLO","VERDE"))),"REVISAR"))))</f>
        <v/>
      </c>
      <c r="K1126" s="36">
        <f>IF(OR($C1126="",$D1126=""),"",IF($D1126&gt;=$C1126,($D1126-$C1126)*24,(1-$C1126+$D1126)*24))</f>
        <v/>
      </c>
      <c r="L1126" s="34" t="n"/>
      <c r="M1126" s="53">
        <f t="array" ref="M1126">IFERROR(INDEX(EXCEPCIONES_FECHA!$D$2:$D$201,MATCH(1,(EXCEPCIONES_FECHA!$A$2:$A$201=$A1126)*(EXCEPCIONES_FECHA!$B$2:$B$201=$B1126),0)),IFERROR(INDEX(EXCEPCIONES_FECHA!$D$2:$D$201,MATCH(1,(EXCEPCIONES_FECHA!$A$2:$A$201=$A1126)*(EXCEPCIONES_FECHA!$B$2:$B$201=""),0)),IFERROR(INDEX(IF($I1126="FIN",HISTORIAL_HORARIOS!$J$2:$J$201,HISTORIAL_HORARIOS!$F$2:$F$201),MATCH(1,(HISTORIAL_HORARIOS!$A$2:$A$201=$B1126)*(HISTORIAL_HORARIOS!$C$2:$C$201&lt;=$A1126)*(HISTORIAL_HORARIOS!$D$2:$D$201&gt;=$A1126),0)),INDEX(IF($I1126="FIN",PERSONAL!$J$2:$J$80,PERSONAL!$F$2:$F$80),MATCH($B1126,PERSONAL!$A$2:$A$80,0)))))</f>
        <v/>
      </c>
      <c r="N1126" s="53">
        <f t="array" ref="N1126">IFERROR(INDEX(EXCEPCIONES_FECHA!$E$2:$E$201,MATCH(1,(EXCEPCIONES_FECHA!$A$2:$A$201=$A1126)*(EXCEPCIONES_FECHA!$B$2:$B$201=$B1126),0)),IFERROR(INDEX(EXCEPCIONES_FECHA!$E$2:$E$201,MATCH(1,(EXCEPCIONES_FECHA!$A$2:$A$201=$A1126)*(EXCEPCIONES_FECHA!$B$2:$B$201=""),0)),IFERROR(INDEX(IF($I1126="FIN",HISTORIAL_HORARIOS!$K$2:$K$201,HISTORIAL_HORARIOS!$G$2:$G$201),MATCH(1,(HISTORIAL_HORARIOS!$A$2:$A$201=$B1126)*(HISTORIAL_HORARIOS!$C$2:$C$201&lt;=$A1126)*(HISTORIAL_HORARIOS!$D$2:$D$201&gt;=$A1126),0)),INDEX(IF($I1126="FIN",PERSONAL!$K$2:$K$80,PERSONAL!$G$2:$G$80),MATCH($B1126,PERSONAL!$A$2:$A$80,0)))))</f>
        <v/>
      </c>
      <c r="O1126" s="53">
        <f t="array" ref="O1126">IFERROR(INDEX(EXCEPCIONES_FECHA!$F$2:$F$201,MATCH(1,(EXCEPCIONES_FECHA!$A$2:$A$201=$A1126)*(EXCEPCIONES_FECHA!$B$2:$B$201=$B1126),0)),IFERROR(INDEX(EXCEPCIONES_FECHA!$F$2:$F$201,MATCH(1,(EXCEPCIONES_FECHA!$A$2:$A$201=$A1126)*(EXCEPCIONES_FECHA!$B$2:$B$201=""),0)),IFERROR(INDEX(IF($I1126="FIN",HISTORIAL_HORARIOS!$L$2:$L$201,HISTORIAL_HORARIOS!$H$2:$H$201),MATCH(1,(HISTORIAL_HORARIOS!$A$2:$A$201=$B1126)*(HISTORIAL_HORARIOS!$C$2:$C$201&lt;=$A1126)*(HISTORIAL_HORARIOS!$D$2:$D$201&gt;=$A1126),0)),INDEX(IF($I1126="FIN",PERSONAL!$L$2:$L$80,PERSONAL!$H$2:$H$80),MATCH($B1126,PERSONAL!$A$2:$A$80,0)))))</f>
        <v/>
      </c>
    </row>
    <row r="1127" ht="15" customHeight="1" s="58">
      <c r="A1127" s="40" t="n"/>
      <c r="B1127" s="38" t="n"/>
      <c r="C1127" s="40" t="n"/>
      <c r="D1127" s="40" t="n"/>
      <c r="E1127" s="34">
        <f t="array" ref="E1127">IF($B1127="","",IFERROR(INDEX(PERSONAL!$B$2:$B$80,MATCH($B1127,PERSONAL!$A$2:$A$80,0)),"NO EXISTE"))</f>
        <v/>
      </c>
      <c r="F1127" s="34">
        <f t="array" ref="F1127">IF($B1127="","",IFERROR(INDEX(PERSONAL!$C$2:$C$80,MATCH($B1127,PERSONAL!$A$2:$A$80,0)),""))</f>
        <v/>
      </c>
      <c r="G1127" s="34">
        <f>IF($A1127="","",CHOOSE(WEEKDAY($A1127,2),"LUNES","MARTES","MIÉRCOLES","JUEVES","VIERNES","SÁBADO","DOMINGO"))</f>
        <v/>
      </c>
      <c r="H1127" s="34">
        <f>IF($A1127="","",CHOOSE(MONTH($A1127),"ENERO","FEBRERO","MARZO","ABRIL","MAYO","JUNIO","JULIO","AGOSTO","SEPTIEMBRE","OCTUBRE","NOVIEMBRE","DICIEMBRE"))</f>
        <v/>
      </c>
      <c r="I1127" s="34">
        <f>IF($A1127="","",IF(OR($G1127="SÁBADO",$G1127="DOMINGO"),"FIN","LV"))</f>
        <v/>
      </c>
      <c r="J1127" s="34">
        <f>IF(OR($A1127="",$B1127=""),"",IF($L1127&lt;&gt;"",UPPER($L1127),IF($C1127="","FALTA",IFERROR(IF($C1127&gt;=$O1127,"ROJO FUERTE",IF($C1127&gt;=$N1127,"ROJO",IF($C1127&gt;=$M1127,"AMARILLO","VERDE"))),"REVISAR"))))</f>
        <v/>
      </c>
      <c r="K1127" s="36">
        <f>IF(OR($C1127="",$D1127=""),"",IF($D1127&gt;=$C1127,($D1127-$C1127)*24,(1-$C1127+$D1127)*24))</f>
        <v/>
      </c>
      <c r="L1127" s="34" t="n"/>
      <c r="M1127" s="53">
        <f t="array" ref="M1127">IFERROR(INDEX(EXCEPCIONES_FECHA!$D$2:$D$201,MATCH(1,(EXCEPCIONES_FECHA!$A$2:$A$201=$A1127)*(EXCEPCIONES_FECHA!$B$2:$B$201=$B1127),0)),IFERROR(INDEX(EXCEPCIONES_FECHA!$D$2:$D$201,MATCH(1,(EXCEPCIONES_FECHA!$A$2:$A$201=$A1127)*(EXCEPCIONES_FECHA!$B$2:$B$201=""),0)),IFERROR(INDEX(IF($I1127="FIN",HISTORIAL_HORARIOS!$J$2:$J$201,HISTORIAL_HORARIOS!$F$2:$F$201),MATCH(1,(HISTORIAL_HORARIOS!$A$2:$A$201=$B1127)*(HISTORIAL_HORARIOS!$C$2:$C$201&lt;=$A1127)*(HISTORIAL_HORARIOS!$D$2:$D$201&gt;=$A1127),0)),INDEX(IF($I1127="FIN",PERSONAL!$J$2:$J$80,PERSONAL!$F$2:$F$80),MATCH($B1127,PERSONAL!$A$2:$A$80,0)))))</f>
        <v/>
      </c>
      <c r="N1127" s="53">
        <f t="array" ref="N1127">IFERROR(INDEX(EXCEPCIONES_FECHA!$E$2:$E$201,MATCH(1,(EXCEPCIONES_FECHA!$A$2:$A$201=$A1127)*(EXCEPCIONES_FECHA!$B$2:$B$201=$B1127),0)),IFERROR(INDEX(EXCEPCIONES_FECHA!$E$2:$E$201,MATCH(1,(EXCEPCIONES_FECHA!$A$2:$A$201=$A1127)*(EXCEPCIONES_FECHA!$B$2:$B$201=""),0)),IFERROR(INDEX(IF($I1127="FIN",HISTORIAL_HORARIOS!$K$2:$K$201,HISTORIAL_HORARIOS!$G$2:$G$201),MATCH(1,(HISTORIAL_HORARIOS!$A$2:$A$201=$B1127)*(HISTORIAL_HORARIOS!$C$2:$C$201&lt;=$A1127)*(HISTORIAL_HORARIOS!$D$2:$D$201&gt;=$A1127),0)),INDEX(IF($I1127="FIN",PERSONAL!$K$2:$K$80,PERSONAL!$G$2:$G$80),MATCH($B1127,PERSONAL!$A$2:$A$80,0)))))</f>
        <v/>
      </c>
      <c r="O1127" s="53">
        <f t="array" ref="O1127">IFERROR(INDEX(EXCEPCIONES_FECHA!$F$2:$F$201,MATCH(1,(EXCEPCIONES_FECHA!$A$2:$A$201=$A1127)*(EXCEPCIONES_FECHA!$B$2:$B$201=$B1127),0)),IFERROR(INDEX(EXCEPCIONES_FECHA!$F$2:$F$201,MATCH(1,(EXCEPCIONES_FECHA!$A$2:$A$201=$A1127)*(EXCEPCIONES_FECHA!$B$2:$B$201=""),0)),IFERROR(INDEX(IF($I1127="FIN",HISTORIAL_HORARIOS!$L$2:$L$201,HISTORIAL_HORARIOS!$H$2:$H$201),MATCH(1,(HISTORIAL_HORARIOS!$A$2:$A$201=$B1127)*(HISTORIAL_HORARIOS!$C$2:$C$201&lt;=$A1127)*(HISTORIAL_HORARIOS!$D$2:$D$201&gt;=$A1127),0)),INDEX(IF($I1127="FIN",PERSONAL!$L$2:$L$80,PERSONAL!$H$2:$H$80),MATCH($B1127,PERSONAL!$A$2:$A$80,0)))))</f>
        <v/>
      </c>
    </row>
    <row r="1128" ht="15" customHeight="1" s="58">
      <c r="A1128" s="40" t="n"/>
      <c r="B1128" s="38" t="n"/>
      <c r="C1128" s="40" t="n"/>
      <c r="D1128" s="40" t="n"/>
      <c r="E1128" s="34">
        <f t="array" ref="E1128">IF($B1128="","",IFERROR(INDEX(PERSONAL!$B$2:$B$80,MATCH($B1128,PERSONAL!$A$2:$A$80,0)),"NO EXISTE"))</f>
        <v/>
      </c>
      <c r="F1128" s="34">
        <f t="array" ref="F1128">IF($B1128="","",IFERROR(INDEX(PERSONAL!$C$2:$C$80,MATCH($B1128,PERSONAL!$A$2:$A$80,0)),""))</f>
        <v/>
      </c>
      <c r="G1128" s="34">
        <f>IF($A1128="","",CHOOSE(WEEKDAY($A1128,2),"LUNES","MARTES","MIÉRCOLES","JUEVES","VIERNES","SÁBADO","DOMINGO"))</f>
        <v/>
      </c>
      <c r="H1128" s="34">
        <f>IF($A1128="","",CHOOSE(MONTH($A1128),"ENERO","FEBRERO","MARZO","ABRIL","MAYO","JUNIO","JULIO","AGOSTO","SEPTIEMBRE","OCTUBRE","NOVIEMBRE","DICIEMBRE"))</f>
        <v/>
      </c>
      <c r="I1128" s="34">
        <f>IF($A1128="","",IF(OR($G1128="SÁBADO",$G1128="DOMINGO"),"FIN","LV"))</f>
        <v/>
      </c>
      <c r="J1128" s="34">
        <f>IF(OR($A1128="",$B1128=""),"",IF($L1128&lt;&gt;"",UPPER($L1128),IF($C1128="","FALTA",IFERROR(IF($C1128&gt;=$O1128,"ROJO FUERTE",IF($C1128&gt;=$N1128,"ROJO",IF($C1128&gt;=$M1128,"AMARILLO","VERDE"))),"REVISAR"))))</f>
        <v/>
      </c>
      <c r="K1128" s="36">
        <f>IF(OR($C1128="",$D1128=""),"",IF($D1128&gt;=$C1128,($D1128-$C1128)*24,(1-$C1128+$D1128)*24))</f>
        <v/>
      </c>
      <c r="L1128" s="34" t="n"/>
      <c r="M1128" s="53">
        <f t="array" ref="M1128">IFERROR(INDEX(EXCEPCIONES_FECHA!$D$2:$D$201,MATCH(1,(EXCEPCIONES_FECHA!$A$2:$A$201=$A1128)*(EXCEPCIONES_FECHA!$B$2:$B$201=$B1128),0)),IFERROR(INDEX(EXCEPCIONES_FECHA!$D$2:$D$201,MATCH(1,(EXCEPCIONES_FECHA!$A$2:$A$201=$A1128)*(EXCEPCIONES_FECHA!$B$2:$B$201=""),0)),IFERROR(INDEX(IF($I1128="FIN",HISTORIAL_HORARIOS!$J$2:$J$201,HISTORIAL_HORARIOS!$F$2:$F$201),MATCH(1,(HISTORIAL_HORARIOS!$A$2:$A$201=$B1128)*(HISTORIAL_HORARIOS!$C$2:$C$201&lt;=$A1128)*(HISTORIAL_HORARIOS!$D$2:$D$201&gt;=$A1128),0)),INDEX(IF($I1128="FIN",PERSONAL!$J$2:$J$80,PERSONAL!$F$2:$F$80),MATCH($B1128,PERSONAL!$A$2:$A$80,0)))))</f>
        <v/>
      </c>
      <c r="N1128" s="53">
        <f t="array" ref="N1128">IFERROR(INDEX(EXCEPCIONES_FECHA!$E$2:$E$201,MATCH(1,(EXCEPCIONES_FECHA!$A$2:$A$201=$A1128)*(EXCEPCIONES_FECHA!$B$2:$B$201=$B1128),0)),IFERROR(INDEX(EXCEPCIONES_FECHA!$E$2:$E$201,MATCH(1,(EXCEPCIONES_FECHA!$A$2:$A$201=$A1128)*(EXCEPCIONES_FECHA!$B$2:$B$201=""),0)),IFERROR(INDEX(IF($I1128="FIN",HISTORIAL_HORARIOS!$K$2:$K$201,HISTORIAL_HORARIOS!$G$2:$G$201),MATCH(1,(HISTORIAL_HORARIOS!$A$2:$A$201=$B1128)*(HISTORIAL_HORARIOS!$C$2:$C$201&lt;=$A1128)*(HISTORIAL_HORARIOS!$D$2:$D$201&gt;=$A1128),0)),INDEX(IF($I1128="FIN",PERSONAL!$K$2:$K$80,PERSONAL!$G$2:$G$80),MATCH($B1128,PERSONAL!$A$2:$A$80,0)))))</f>
        <v/>
      </c>
      <c r="O1128" s="53">
        <f t="array" ref="O1128">IFERROR(INDEX(EXCEPCIONES_FECHA!$F$2:$F$201,MATCH(1,(EXCEPCIONES_FECHA!$A$2:$A$201=$A1128)*(EXCEPCIONES_FECHA!$B$2:$B$201=$B1128),0)),IFERROR(INDEX(EXCEPCIONES_FECHA!$F$2:$F$201,MATCH(1,(EXCEPCIONES_FECHA!$A$2:$A$201=$A1128)*(EXCEPCIONES_FECHA!$B$2:$B$201=""),0)),IFERROR(INDEX(IF($I1128="FIN",HISTORIAL_HORARIOS!$L$2:$L$201,HISTORIAL_HORARIOS!$H$2:$H$201),MATCH(1,(HISTORIAL_HORARIOS!$A$2:$A$201=$B1128)*(HISTORIAL_HORARIOS!$C$2:$C$201&lt;=$A1128)*(HISTORIAL_HORARIOS!$D$2:$D$201&gt;=$A1128),0)),INDEX(IF($I1128="FIN",PERSONAL!$L$2:$L$80,PERSONAL!$H$2:$H$80),MATCH($B1128,PERSONAL!$A$2:$A$80,0)))))</f>
        <v/>
      </c>
    </row>
    <row r="1129" ht="15" customHeight="1" s="58">
      <c r="A1129" s="40" t="n"/>
      <c r="B1129" s="38" t="n"/>
      <c r="C1129" s="40" t="n"/>
      <c r="D1129" s="40" t="n"/>
      <c r="E1129" s="34">
        <f t="array" ref="E1129">IF($B1129="","",IFERROR(INDEX(PERSONAL!$B$2:$B$80,MATCH($B1129,PERSONAL!$A$2:$A$80,0)),"NO EXISTE"))</f>
        <v/>
      </c>
      <c r="F1129" s="34">
        <f t="array" ref="F1129">IF($B1129="","",IFERROR(INDEX(PERSONAL!$C$2:$C$80,MATCH($B1129,PERSONAL!$A$2:$A$80,0)),""))</f>
        <v/>
      </c>
      <c r="G1129" s="34">
        <f>IF($A1129="","",CHOOSE(WEEKDAY($A1129,2),"LUNES","MARTES","MIÉRCOLES","JUEVES","VIERNES","SÁBADO","DOMINGO"))</f>
        <v/>
      </c>
      <c r="H1129" s="34">
        <f>IF($A1129="","",CHOOSE(MONTH($A1129),"ENERO","FEBRERO","MARZO","ABRIL","MAYO","JUNIO","JULIO","AGOSTO","SEPTIEMBRE","OCTUBRE","NOVIEMBRE","DICIEMBRE"))</f>
        <v/>
      </c>
      <c r="I1129" s="34">
        <f>IF($A1129="","",IF(OR($G1129="SÁBADO",$G1129="DOMINGO"),"FIN","LV"))</f>
        <v/>
      </c>
      <c r="J1129" s="34">
        <f>IF(OR($A1129="",$B1129=""),"",IF($L1129&lt;&gt;"",UPPER($L1129),IF($C1129="","FALTA",IFERROR(IF($C1129&gt;=$O1129,"ROJO FUERTE",IF($C1129&gt;=$N1129,"ROJO",IF($C1129&gt;=$M1129,"AMARILLO","VERDE"))),"REVISAR"))))</f>
        <v/>
      </c>
      <c r="K1129" s="36">
        <f>IF(OR($C1129="",$D1129=""),"",IF($D1129&gt;=$C1129,($D1129-$C1129)*24,(1-$C1129+$D1129)*24))</f>
        <v/>
      </c>
      <c r="L1129" s="34" t="n"/>
      <c r="M1129" s="53">
        <f t="array" ref="M1129">IFERROR(INDEX(EXCEPCIONES_FECHA!$D$2:$D$201,MATCH(1,(EXCEPCIONES_FECHA!$A$2:$A$201=$A1129)*(EXCEPCIONES_FECHA!$B$2:$B$201=$B1129),0)),IFERROR(INDEX(EXCEPCIONES_FECHA!$D$2:$D$201,MATCH(1,(EXCEPCIONES_FECHA!$A$2:$A$201=$A1129)*(EXCEPCIONES_FECHA!$B$2:$B$201=""),0)),IFERROR(INDEX(IF($I1129="FIN",HISTORIAL_HORARIOS!$J$2:$J$201,HISTORIAL_HORARIOS!$F$2:$F$201),MATCH(1,(HISTORIAL_HORARIOS!$A$2:$A$201=$B1129)*(HISTORIAL_HORARIOS!$C$2:$C$201&lt;=$A1129)*(HISTORIAL_HORARIOS!$D$2:$D$201&gt;=$A1129),0)),INDEX(IF($I1129="FIN",PERSONAL!$J$2:$J$80,PERSONAL!$F$2:$F$80),MATCH($B1129,PERSONAL!$A$2:$A$80,0)))))</f>
        <v/>
      </c>
      <c r="N1129" s="53">
        <f t="array" ref="N1129">IFERROR(INDEX(EXCEPCIONES_FECHA!$E$2:$E$201,MATCH(1,(EXCEPCIONES_FECHA!$A$2:$A$201=$A1129)*(EXCEPCIONES_FECHA!$B$2:$B$201=$B1129),0)),IFERROR(INDEX(EXCEPCIONES_FECHA!$E$2:$E$201,MATCH(1,(EXCEPCIONES_FECHA!$A$2:$A$201=$A1129)*(EXCEPCIONES_FECHA!$B$2:$B$201=""),0)),IFERROR(INDEX(IF($I1129="FIN",HISTORIAL_HORARIOS!$K$2:$K$201,HISTORIAL_HORARIOS!$G$2:$G$201),MATCH(1,(HISTORIAL_HORARIOS!$A$2:$A$201=$B1129)*(HISTORIAL_HORARIOS!$C$2:$C$201&lt;=$A1129)*(HISTORIAL_HORARIOS!$D$2:$D$201&gt;=$A1129),0)),INDEX(IF($I1129="FIN",PERSONAL!$K$2:$K$80,PERSONAL!$G$2:$G$80),MATCH($B1129,PERSONAL!$A$2:$A$80,0)))))</f>
        <v/>
      </c>
      <c r="O1129" s="53">
        <f t="array" ref="O1129">IFERROR(INDEX(EXCEPCIONES_FECHA!$F$2:$F$201,MATCH(1,(EXCEPCIONES_FECHA!$A$2:$A$201=$A1129)*(EXCEPCIONES_FECHA!$B$2:$B$201=$B1129),0)),IFERROR(INDEX(EXCEPCIONES_FECHA!$F$2:$F$201,MATCH(1,(EXCEPCIONES_FECHA!$A$2:$A$201=$A1129)*(EXCEPCIONES_FECHA!$B$2:$B$201=""),0)),IFERROR(INDEX(IF($I1129="FIN",HISTORIAL_HORARIOS!$L$2:$L$201,HISTORIAL_HORARIOS!$H$2:$H$201),MATCH(1,(HISTORIAL_HORARIOS!$A$2:$A$201=$B1129)*(HISTORIAL_HORARIOS!$C$2:$C$201&lt;=$A1129)*(HISTORIAL_HORARIOS!$D$2:$D$201&gt;=$A1129),0)),INDEX(IF($I1129="FIN",PERSONAL!$L$2:$L$80,PERSONAL!$H$2:$H$80),MATCH($B1129,PERSONAL!$A$2:$A$80,0)))))</f>
        <v/>
      </c>
    </row>
    <row r="1130" ht="15" customHeight="1" s="58">
      <c r="A1130" s="40" t="n"/>
      <c r="B1130" s="38" t="n"/>
      <c r="C1130" s="40" t="n"/>
      <c r="D1130" s="40" t="n"/>
      <c r="E1130" s="34">
        <f t="array" ref="E1130">IF($B1130="","",IFERROR(INDEX(PERSONAL!$B$2:$B$80,MATCH($B1130,PERSONAL!$A$2:$A$80,0)),"NO EXISTE"))</f>
        <v/>
      </c>
      <c r="F1130" s="34">
        <f t="array" ref="F1130">IF($B1130="","",IFERROR(INDEX(PERSONAL!$C$2:$C$80,MATCH($B1130,PERSONAL!$A$2:$A$80,0)),""))</f>
        <v/>
      </c>
      <c r="G1130" s="34">
        <f>IF($A1130="","",CHOOSE(WEEKDAY($A1130,2),"LUNES","MARTES","MIÉRCOLES","JUEVES","VIERNES","SÁBADO","DOMINGO"))</f>
        <v/>
      </c>
      <c r="H1130" s="34">
        <f>IF($A1130="","",CHOOSE(MONTH($A1130),"ENERO","FEBRERO","MARZO","ABRIL","MAYO","JUNIO","JULIO","AGOSTO","SEPTIEMBRE","OCTUBRE","NOVIEMBRE","DICIEMBRE"))</f>
        <v/>
      </c>
      <c r="I1130" s="34">
        <f>IF($A1130="","",IF(OR($G1130="SÁBADO",$G1130="DOMINGO"),"FIN","LV"))</f>
        <v/>
      </c>
      <c r="J1130" s="34">
        <f>IF(OR($A1130="",$B1130=""),"",IF($L1130&lt;&gt;"",UPPER($L1130),IF($C1130="","FALTA",IFERROR(IF($C1130&gt;=$O1130,"ROJO FUERTE",IF($C1130&gt;=$N1130,"ROJO",IF($C1130&gt;=$M1130,"AMARILLO","VERDE"))),"REVISAR"))))</f>
        <v/>
      </c>
      <c r="K1130" s="36">
        <f>IF(OR($C1130="",$D1130=""),"",IF($D1130&gt;=$C1130,($D1130-$C1130)*24,(1-$C1130+$D1130)*24))</f>
        <v/>
      </c>
      <c r="L1130" s="34" t="n"/>
      <c r="M1130" s="53">
        <f t="array" ref="M1130">IFERROR(INDEX(EXCEPCIONES_FECHA!$D$2:$D$201,MATCH(1,(EXCEPCIONES_FECHA!$A$2:$A$201=$A1130)*(EXCEPCIONES_FECHA!$B$2:$B$201=$B1130),0)),IFERROR(INDEX(EXCEPCIONES_FECHA!$D$2:$D$201,MATCH(1,(EXCEPCIONES_FECHA!$A$2:$A$201=$A1130)*(EXCEPCIONES_FECHA!$B$2:$B$201=""),0)),IFERROR(INDEX(IF($I1130="FIN",HISTORIAL_HORARIOS!$J$2:$J$201,HISTORIAL_HORARIOS!$F$2:$F$201),MATCH(1,(HISTORIAL_HORARIOS!$A$2:$A$201=$B1130)*(HISTORIAL_HORARIOS!$C$2:$C$201&lt;=$A1130)*(HISTORIAL_HORARIOS!$D$2:$D$201&gt;=$A1130),0)),INDEX(IF($I1130="FIN",PERSONAL!$J$2:$J$80,PERSONAL!$F$2:$F$80),MATCH($B1130,PERSONAL!$A$2:$A$80,0)))))</f>
        <v/>
      </c>
      <c r="N1130" s="53">
        <f t="array" ref="N1130">IFERROR(INDEX(EXCEPCIONES_FECHA!$E$2:$E$201,MATCH(1,(EXCEPCIONES_FECHA!$A$2:$A$201=$A1130)*(EXCEPCIONES_FECHA!$B$2:$B$201=$B1130),0)),IFERROR(INDEX(EXCEPCIONES_FECHA!$E$2:$E$201,MATCH(1,(EXCEPCIONES_FECHA!$A$2:$A$201=$A1130)*(EXCEPCIONES_FECHA!$B$2:$B$201=""),0)),IFERROR(INDEX(IF($I1130="FIN",HISTORIAL_HORARIOS!$K$2:$K$201,HISTORIAL_HORARIOS!$G$2:$G$201),MATCH(1,(HISTORIAL_HORARIOS!$A$2:$A$201=$B1130)*(HISTORIAL_HORARIOS!$C$2:$C$201&lt;=$A1130)*(HISTORIAL_HORARIOS!$D$2:$D$201&gt;=$A1130),0)),INDEX(IF($I1130="FIN",PERSONAL!$K$2:$K$80,PERSONAL!$G$2:$G$80),MATCH($B1130,PERSONAL!$A$2:$A$80,0)))))</f>
        <v/>
      </c>
      <c r="O1130" s="53">
        <f t="array" ref="O1130">IFERROR(INDEX(EXCEPCIONES_FECHA!$F$2:$F$201,MATCH(1,(EXCEPCIONES_FECHA!$A$2:$A$201=$A1130)*(EXCEPCIONES_FECHA!$B$2:$B$201=$B1130),0)),IFERROR(INDEX(EXCEPCIONES_FECHA!$F$2:$F$201,MATCH(1,(EXCEPCIONES_FECHA!$A$2:$A$201=$A1130)*(EXCEPCIONES_FECHA!$B$2:$B$201=""),0)),IFERROR(INDEX(IF($I1130="FIN",HISTORIAL_HORARIOS!$L$2:$L$201,HISTORIAL_HORARIOS!$H$2:$H$201),MATCH(1,(HISTORIAL_HORARIOS!$A$2:$A$201=$B1130)*(HISTORIAL_HORARIOS!$C$2:$C$201&lt;=$A1130)*(HISTORIAL_HORARIOS!$D$2:$D$201&gt;=$A1130),0)),INDEX(IF($I1130="FIN",PERSONAL!$L$2:$L$80,PERSONAL!$H$2:$H$80),MATCH($B1130,PERSONAL!$A$2:$A$80,0)))))</f>
        <v/>
      </c>
    </row>
    <row r="1131" ht="15" customHeight="1" s="58">
      <c r="A1131" s="40" t="n"/>
      <c r="B1131" s="38" t="n"/>
      <c r="C1131" s="40" t="n"/>
      <c r="D1131" s="40" t="n"/>
      <c r="E1131" s="34">
        <f t="array" ref="E1131">IF($B1131="","",IFERROR(INDEX(PERSONAL!$B$2:$B$80,MATCH($B1131,PERSONAL!$A$2:$A$80,0)),"NO EXISTE"))</f>
        <v/>
      </c>
      <c r="F1131" s="34">
        <f t="array" ref="F1131">IF($B1131="","",IFERROR(INDEX(PERSONAL!$C$2:$C$80,MATCH($B1131,PERSONAL!$A$2:$A$80,0)),""))</f>
        <v/>
      </c>
      <c r="G1131" s="34">
        <f>IF($A1131="","",CHOOSE(WEEKDAY($A1131,2),"LUNES","MARTES","MIÉRCOLES","JUEVES","VIERNES","SÁBADO","DOMINGO"))</f>
        <v/>
      </c>
      <c r="H1131" s="34">
        <f>IF($A1131="","",CHOOSE(MONTH($A1131),"ENERO","FEBRERO","MARZO","ABRIL","MAYO","JUNIO","JULIO","AGOSTO","SEPTIEMBRE","OCTUBRE","NOVIEMBRE","DICIEMBRE"))</f>
        <v/>
      </c>
      <c r="I1131" s="34">
        <f>IF($A1131="","",IF(OR($G1131="SÁBADO",$G1131="DOMINGO"),"FIN","LV"))</f>
        <v/>
      </c>
      <c r="J1131" s="34">
        <f>IF(OR($A1131="",$B1131=""),"",IF($L1131&lt;&gt;"",UPPER($L1131),IF($C1131="","FALTA",IFERROR(IF($C1131&gt;=$O1131,"ROJO FUERTE",IF($C1131&gt;=$N1131,"ROJO",IF($C1131&gt;=$M1131,"AMARILLO","VERDE"))),"REVISAR"))))</f>
        <v/>
      </c>
      <c r="K1131" s="36">
        <f>IF(OR($C1131="",$D1131=""),"",IF($D1131&gt;=$C1131,($D1131-$C1131)*24,(1-$C1131+$D1131)*24))</f>
        <v/>
      </c>
      <c r="L1131" s="34" t="n"/>
      <c r="M1131" s="53">
        <f t="array" ref="M1131">IFERROR(INDEX(EXCEPCIONES_FECHA!$D$2:$D$201,MATCH(1,(EXCEPCIONES_FECHA!$A$2:$A$201=$A1131)*(EXCEPCIONES_FECHA!$B$2:$B$201=$B1131),0)),IFERROR(INDEX(EXCEPCIONES_FECHA!$D$2:$D$201,MATCH(1,(EXCEPCIONES_FECHA!$A$2:$A$201=$A1131)*(EXCEPCIONES_FECHA!$B$2:$B$201=""),0)),IFERROR(INDEX(IF($I1131="FIN",HISTORIAL_HORARIOS!$J$2:$J$201,HISTORIAL_HORARIOS!$F$2:$F$201),MATCH(1,(HISTORIAL_HORARIOS!$A$2:$A$201=$B1131)*(HISTORIAL_HORARIOS!$C$2:$C$201&lt;=$A1131)*(HISTORIAL_HORARIOS!$D$2:$D$201&gt;=$A1131),0)),INDEX(IF($I1131="FIN",PERSONAL!$J$2:$J$80,PERSONAL!$F$2:$F$80),MATCH($B1131,PERSONAL!$A$2:$A$80,0)))))</f>
        <v/>
      </c>
      <c r="N1131" s="53">
        <f t="array" ref="N1131">IFERROR(INDEX(EXCEPCIONES_FECHA!$E$2:$E$201,MATCH(1,(EXCEPCIONES_FECHA!$A$2:$A$201=$A1131)*(EXCEPCIONES_FECHA!$B$2:$B$201=$B1131),0)),IFERROR(INDEX(EXCEPCIONES_FECHA!$E$2:$E$201,MATCH(1,(EXCEPCIONES_FECHA!$A$2:$A$201=$A1131)*(EXCEPCIONES_FECHA!$B$2:$B$201=""),0)),IFERROR(INDEX(IF($I1131="FIN",HISTORIAL_HORARIOS!$K$2:$K$201,HISTORIAL_HORARIOS!$G$2:$G$201),MATCH(1,(HISTORIAL_HORARIOS!$A$2:$A$201=$B1131)*(HISTORIAL_HORARIOS!$C$2:$C$201&lt;=$A1131)*(HISTORIAL_HORARIOS!$D$2:$D$201&gt;=$A1131),0)),INDEX(IF($I1131="FIN",PERSONAL!$K$2:$K$80,PERSONAL!$G$2:$G$80),MATCH($B1131,PERSONAL!$A$2:$A$80,0)))))</f>
        <v/>
      </c>
      <c r="O1131" s="53">
        <f t="array" ref="O1131">IFERROR(INDEX(EXCEPCIONES_FECHA!$F$2:$F$201,MATCH(1,(EXCEPCIONES_FECHA!$A$2:$A$201=$A1131)*(EXCEPCIONES_FECHA!$B$2:$B$201=$B1131),0)),IFERROR(INDEX(EXCEPCIONES_FECHA!$F$2:$F$201,MATCH(1,(EXCEPCIONES_FECHA!$A$2:$A$201=$A1131)*(EXCEPCIONES_FECHA!$B$2:$B$201=""),0)),IFERROR(INDEX(IF($I1131="FIN",HISTORIAL_HORARIOS!$L$2:$L$201,HISTORIAL_HORARIOS!$H$2:$H$201),MATCH(1,(HISTORIAL_HORARIOS!$A$2:$A$201=$B1131)*(HISTORIAL_HORARIOS!$C$2:$C$201&lt;=$A1131)*(HISTORIAL_HORARIOS!$D$2:$D$201&gt;=$A1131),0)),INDEX(IF($I1131="FIN",PERSONAL!$L$2:$L$80,PERSONAL!$H$2:$H$80),MATCH($B1131,PERSONAL!$A$2:$A$80,0)))))</f>
        <v/>
      </c>
    </row>
    <row r="1132" ht="15" customHeight="1" s="58">
      <c r="A1132" s="40" t="n"/>
      <c r="B1132" s="38" t="n"/>
      <c r="C1132" s="40" t="n"/>
      <c r="D1132" s="40" t="n"/>
      <c r="E1132" s="34">
        <f t="array" ref="E1132">IF($B1132="","",IFERROR(INDEX(PERSONAL!$B$2:$B$80,MATCH($B1132,PERSONAL!$A$2:$A$80,0)),"NO EXISTE"))</f>
        <v/>
      </c>
      <c r="F1132" s="34">
        <f t="array" ref="F1132">IF($B1132="","",IFERROR(INDEX(PERSONAL!$C$2:$C$80,MATCH($B1132,PERSONAL!$A$2:$A$80,0)),""))</f>
        <v/>
      </c>
      <c r="G1132" s="34">
        <f>IF($A1132="","",CHOOSE(WEEKDAY($A1132,2),"LUNES","MARTES","MIÉRCOLES","JUEVES","VIERNES","SÁBADO","DOMINGO"))</f>
        <v/>
      </c>
      <c r="H1132" s="34">
        <f>IF($A1132="","",CHOOSE(MONTH($A1132),"ENERO","FEBRERO","MARZO","ABRIL","MAYO","JUNIO","JULIO","AGOSTO","SEPTIEMBRE","OCTUBRE","NOVIEMBRE","DICIEMBRE"))</f>
        <v/>
      </c>
      <c r="I1132" s="34">
        <f>IF($A1132="","",IF(OR($G1132="SÁBADO",$G1132="DOMINGO"),"FIN","LV"))</f>
        <v/>
      </c>
      <c r="J1132" s="34">
        <f>IF(OR($A1132="",$B1132=""),"",IF($L1132&lt;&gt;"",UPPER($L1132),IF($C1132="","FALTA",IFERROR(IF($C1132&gt;=$O1132,"ROJO FUERTE",IF($C1132&gt;=$N1132,"ROJO",IF($C1132&gt;=$M1132,"AMARILLO","VERDE"))),"REVISAR"))))</f>
        <v/>
      </c>
      <c r="K1132" s="36">
        <f>IF(OR($C1132="",$D1132=""),"",IF($D1132&gt;=$C1132,($D1132-$C1132)*24,(1-$C1132+$D1132)*24))</f>
        <v/>
      </c>
      <c r="L1132" s="34" t="n"/>
      <c r="M1132" s="53">
        <f t="array" ref="M1132">IFERROR(INDEX(EXCEPCIONES_FECHA!$D$2:$D$201,MATCH(1,(EXCEPCIONES_FECHA!$A$2:$A$201=$A1132)*(EXCEPCIONES_FECHA!$B$2:$B$201=$B1132),0)),IFERROR(INDEX(EXCEPCIONES_FECHA!$D$2:$D$201,MATCH(1,(EXCEPCIONES_FECHA!$A$2:$A$201=$A1132)*(EXCEPCIONES_FECHA!$B$2:$B$201=""),0)),IFERROR(INDEX(IF($I1132="FIN",HISTORIAL_HORARIOS!$J$2:$J$201,HISTORIAL_HORARIOS!$F$2:$F$201),MATCH(1,(HISTORIAL_HORARIOS!$A$2:$A$201=$B1132)*(HISTORIAL_HORARIOS!$C$2:$C$201&lt;=$A1132)*(HISTORIAL_HORARIOS!$D$2:$D$201&gt;=$A1132),0)),INDEX(IF($I1132="FIN",PERSONAL!$J$2:$J$80,PERSONAL!$F$2:$F$80),MATCH($B1132,PERSONAL!$A$2:$A$80,0)))))</f>
        <v/>
      </c>
      <c r="N1132" s="53">
        <f t="array" ref="N1132">IFERROR(INDEX(EXCEPCIONES_FECHA!$E$2:$E$201,MATCH(1,(EXCEPCIONES_FECHA!$A$2:$A$201=$A1132)*(EXCEPCIONES_FECHA!$B$2:$B$201=$B1132),0)),IFERROR(INDEX(EXCEPCIONES_FECHA!$E$2:$E$201,MATCH(1,(EXCEPCIONES_FECHA!$A$2:$A$201=$A1132)*(EXCEPCIONES_FECHA!$B$2:$B$201=""),0)),IFERROR(INDEX(IF($I1132="FIN",HISTORIAL_HORARIOS!$K$2:$K$201,HISTORIAL_HORARIOS!$G$2:$G$201),MATCH(1,(HISTORIAL_HORARIOS!$A$2:$A$201=$B1132)*(HISTORIAL_HORARIOS!$C$2:$C$201&lt;=$A1132)*(HISTORIAL_HORARIOS!$D$2:$D$201&gt;=$A1132),0)),INDEX(IF($I1132="FIN",PERSONAL!$K$2:$K$80,PERSONAL!$G$2:$G$80),MATCH($B1132,PERSONAL!$A$2:$A$80,0)))))</f>
        <v/>
      </c>
      <c r="O1132" s="53">
        <f t="array" ref="O1132">IFERROR(INDEX(EXCEPCIONES_FECHA!$F$2:$F$201,MATCH(1,(EXCEPCIONES_FECHA!$A$2:$A$201=$A1132)*(EXCEPCIONES_FECHA!$B$2:$B$201=$B1132),0)),IFERROR(INDEX(EXCEPCIONES_FECHA!$F$2:$F$201,MATCH(1,(EXCEPCIONES_FECHA!$A$2:$A$201=$A1132)*(EXCEPCIONES_FECHA!$B$2:$B$201=""),0)),IFERROR(INDEX(IF($I1132="FIN",HISTORIAL_HORARIOS!$L$2:$L$201,HISTORIAL_HORARIOS!$H$2:$H$201),MATCH(1,(HISTORIAL_HORARIOS!$A$2:$A$201=$B1132)*(HISTORIAL_HORARIOS!$C$2:$C$201&lt;=$A1132)*(HISTORIAL_HORARIOS!$D$2:$D$201&gt;=$A1132),0)),INDEX(IF($I1132="FIN",PERSONAL!$L$2:$L$80,PERSONAL!$H$2:$H$80),MATCH($B1132,PERSONAL!$A$2:$A$80,0)))))</f>
        <v/>
      </c>
    </row>
    <row r="1133" ht="15" customHeight="1" s="58">
      <c r="A1133" s="40" t="n"/>
      <c r="B1133" s="38" t="n"/>
      <c r="C1133" s="40" t="n"/>
      <c r="D1133" s="40" t="n"/>
      <c r="E1133" s="34">
        <f t="array" ref="E1133">IF($B1133="","",IFERROR(INDEX(PERSONAL!$B$2:$B$80,MATCH($B1133,PERSONAL!$A$2:$A$80,0)),"NO EXISTE"))</f>
        <v/>
      </c>
      <c r="F1133" s="34">
        <f t="array" ref="F1133">IF($B1133="","",IFERROR(INDEX(PERSONAL!$C$2:$C$80,MATCH($B1133,PERSONAL!$A$2:$A$80,0)),""))</f>
        <v/>
      </c>
      <c r="G1133" s="34">
        <f>IF($A1133="","",CHOOSE(WEEKDAY($A1133,2),"LUNES","MARTES","MIÉRCOLES","JUEVES","VIERNES","SÁBADO","DOMINGO"))</f>
        <v/>
      </c>
      <c r="H1133" s="34">
        <f>IF($A1133="","",CHOOSE(MONTH($A1133),"ENERO","FEBRERO","MARZO","ABRIL","MAYO","JUNIO","JULIO","AGOSTO","SEPTIEMBRE","OCTUBRE","NOVIEMBRE","DICIEMBRE"))</f>
        <v/>
      </c>
      <c r="I1133" s="34">
        <f>IF($A1133="","",IF(OR($G1133="SÁBADO",$G1133="DOMINGO"),"FIN","LV"))</f>
        <v/>
      </c>
      <c r="J1133" s="34">
        <f>IF(OR($A1133="",$B1133=""),"",IF($L1133&lt;&gt;"",UPPER($L1133),IF($C1133="","FALTA",IFERROR(IF($C1133&gt;=$O1133,"ROJO FUERTE",IF($C1133&gt;=$N1133,"ROJO",IF($C1133&gt;=$M1133,"AMARILLO","VERDE"))),"REVISAR"))))</f>
        <v/>
      </c>
      <c r="K1133" s="36">
        <f>IF(OR($C1133="",$D1133=""),"",IF($D1133&gt;=$C1133,($D1133-$C1133)*24,(1-$C1133+$D1133)*24))</f>
        <v/>
      </c>
      <c r="L1133" s="34" t="n"/>
      <c r="M1133" s="53">
        <f t="array" ref="M1133">IFERROR(INDEX(EXCEPCIONES_FECHA!$D$2:$D$201,MATCH(1,(EXCEPCIONES_FECHA!$A$2:$A$201=$A1133)*(EXCEPCIONES_FECHA!$B$2:$B$201=$B1133),0)),IFERROR(INDEX(EXCEPCIONES_FECHA!$D$2:$D$201,MATCH(1,(EXCEPCIONES_FECHA!$A$2:$A$201=$A1133)*(EXCEPCIONES_FECHA!$B$2:$B$201=""),0)),IFERROR(INDEX(IF($I1133="FIN",HISTORIAL_HORARIOS!$J$2:$J$201,HISTORIAL_HORARIOS!$F$2:$F$201),MATCH(1,(HISTORIAL_HORARIOS!$A$2:$A$201=$B1133)*(HISTORIAL_HORARIOS!$C$2:$C$201&lt;=$A1133)*(HISTORIAL_HORARIOS!$D$2:$D$201&gt;=$A1133),0)),INDEX(IF($I1133="FIN",PERSONAL!$J$2:$J$80,PERSONAL!$F$2:$F$80),MATCH($B1133,PERSONAL!$A$2:$A$80,0)))))</f>
        <v/>
      </c>
      <c r="N1133" s="53">
        <f t="array" ref="N1133">IFERROR(INDEX(EXCEPCIONES_FECHA!$E$2:$E$201,MATCH(1,(EXCEPCIONES_FECHA!$A$2:$A$201=$A1133)*(EXCEPCIONES_FECHA!$B$2:$B$201=$B1133),0)),IFERROR(INDEX(EXCEPCIONES_FECHA!$E$2:$E$201,MATCH(1,(EXCEPCIONES_FECHA!$A$2:$A$201=$A1133)*(EXCEPCIONES_FECHA!$B$2:$B$201=""),0)),IFERROR(INDEX(IF($I1133="FIN",HISTORIAL_HORARIOS!$K$2:$K$201,HISTORIAL_HORARIOS!$G$2:$G$201),MATCH(1,(HISTORIAL_HORARIOS!$A$2:$A$201=$B1133)*(HISTORIAL_HORARIOS!$C$2:$C$201&lt;=$A1133)*(HISTORIAL_HORARIOS!$D$2:$D$201&gt;=$A1133),0)),INDEX(IF($I1133="FIN",PERSONAL!$K$2:$K$80,PERSONAL!$G$2:$G$80),MATCH($B1133,PERSONAL!$A$2:$A$80,0)))))</f>
        <v/>
      </c>
      <c r="O1133" s="53">
        <f t="array" ref="O1133">IFERROR(INDEX(EXCEPCIONES_FECHA!$F$2:$F$201,MATCH(1,(EXCEPCIONES_FECHA!$A$2:$A$201=$A1133)*(EXCEPCIONES_FECHA!$B$2:$B$201=$B1133),0)),IFERROR(INDEX(EXCEPCIONES_FECHA!$F$2:$F$201,MATCH(1,(EXCEPCIONES_FECHA!$A$2:$A$201=$A1133)*(EXCEPCIONES_FECHA!$B$2:$B$201=""),0)),IFERROR(INDEX(IF($I1133="FIN",HISTORIAL_HORARIOS!$L$2:$L$201,HISTORIAL_HORARIOS!$H$2:$H$201),MATCH(1,(HISTORIAL_HORARIOS!$A$2:$A$201=$B1133)*(HISTORIAL_HORARIOS!$C$2:$C$201&lt;=$A1133)*(HISTORIAL_HORARIOS!$D$2:$D$201&gt;=$A1133),0)),INDEX(IF($I1133="FIN",PERSONAL!$L$2:$L$80,PERSONAL!$H$2:$H$80),MATCH($B1133,PERSONAL!$A$2:$A$80,0)))))</f>
        <v/>
      </c>
    </row>
    <row r="1134" ht="15" customHeight="1" s="58">
      <c r="A1134" s="40" t="n"/>
      <c r="B1134" s="38" t="n"/>
      <c r="C1134" s="40" t="n"/>
      <c r="D1134" s="40" t="n"/>
      <c r="E1134" s="34">
        <f t="array" ref="E1134">IF($B1134="","",IFERROR(INDEX(PERSONAL!$B$2:$B$80,MATCH($B1134,PERSONAL!$A$2:$A$80,0)),"NO EXISTE"))</f>
        <v/>
      </c>
      <c r="F1134" s="34">
        <f t="array" ref="F1134">IF($B1134="","",IFERROR(INDEX(PERSONAL!$C$2:$C$80,MATCH($B1134,PERSONAL!$A$2:$A$80,0)),""))</f>
        <v/>
      </c>
      <c r="G1134" s="34">
        <f>IF($A1134="","",CHOOSE(WEEKDAY($A1134,2),"LUNES","MARTES","MIÉRCOLES","JUEVES","VIERNES","SÁBADO","DOMINGO"))</f>
        <v/>
      </c>
      <c r="H1134" s="34">
        <f>IF($A1134="","",CHOOSE(MONTH($A1134),"ENERO","FEBRERO","MARZO","ABRIL","MAYO","JUNIO","JULIO","AGOSTO","SEPTIEMBRE","OCTUBRE","NOVIEMBRE","DICIEMBRE"))</f>
        <v/>
      </c>
      <c r="I1134" s="34">
        <f>IF($A1134="","",IF(OR($G1134="SÁBADO",$G1134="DOMINGO"),"FIN","LV"))</f>
        <v/>
      </c>
      <c r="J1134" s="34">
        <f>IF(OR($A1134="",$B1134=""),"",IF($L1134&lt;&gt;"",UPPER($L1134),IF($C1134="","FALTA",IFERROR(IF($C1134&gt;=$O1134,"ROJO FUERTE",IF($C1134&gt;=$N1134,"ROJO",IF($C1134&gt;=$M1134,"AMARILLO","VERDE"))),"REVISAR"))))</f>
        <v/>
      </c>
      <c r="K1134" s="36">
        <f>IF(OR($C1134="",$D1134=""),"",IF($D1134&gt;=$C1134,($D1134-$C1134)*24,(1-$C1134+$D1134)*24))</f>
        <v/>
      </c>
      <c r="L1134" s="34" t="n"/>
      <c r="M1134" s="53">
        <f t="array" ref="M1134">IFERROR(INDEX(EXCEPCIONES_FECHA!$D$2:$D$201,MATCH(1,(EXCEPCIONES_FECHA!$A$2:$A$201=$A1134)*(EXCEPCIONES_FECHA!$B$2:$B$201=$B1134),0)),IFERROR(INDEX(EXCEPCIONES_FECHA!$D$2:$D$201,MATCH(1,(EXCEPCIONES_FECHA!$A$2:$A$201=$A1134)*(EXCEPCIONES_FECHA!$B$2:$B$201=""),0)),IFERROR(INDEX(IF($I1134="FIN",HISTORIAL_HORARIOS!$J$2:$J$201,HISTORIAL_HORARIOS!$F$2:$F$201),MATCH(1,(HISTORIAL_HORARIOS!$A$2:$A$201=$B1134)*(HISTORIAL_HORARIOS!$C$2:$C$201&lt;=$A1134)*(HISTORIAL_HORARIOS!$D$2:$D$201&gt;=$A1134),0)),INDEX(IF($I1134="FIN",PERSONAL!$J$2:$J$80,PERSONAL!$F$2:$F$80),MATCH($B1134,PERSONAL!$A$2:$A$80,0)))))</f>
        <v/>
      </c>
      <c r="N1134" s="53">
        <f t="array" ref="N1134">IFERROR(INDEX(EXCEPCIONES_FECHA!$E$2:$E$201,MATCH(1,(EXCEPCIONES_FECHA!$A$2:$A$201=$A1134)*(EXCEPCIONES_FECHA!$B$2:$B$201=$B1134),0)),IFERROR(INDEX(EXCEPCIONES_FECHA!$E$2:$E$201,MATCH(1,(EXCEPCIONES_FECHA!$A$2:$A$201=$A1134)*(EXCEPCIONES_FECHA!$B$2:$B$201=""),0)),IFERROR(INDEX(IF($I1134="FIN",HISTORIAL_HORARIOS!$K$2:$K$201,HISTORIAL_HORARIOS!$G$2:$G$201),MATCH(1,(HISTORIAL_HORARIOS!$A$2:$A$201=$B1134)*(HISTORIAL_HORARIOS!$C$2:$C$201&lt;=$A1134)*(HISTORIAL_HORARIOS!$D$2:$D$201&gt;=$A1134),0)),INDEX(IF($I1134="FIN",PERSONAL!$K$2:$K$80,PERSONAL!$G$2:$G$80),MATCH($B1134,PERSONAL!$A$2:$A$80,0)))))</f>
        <v/>
      </c>
      <c r="O1134" s="53">
        <f t="array" ref="O1134">IFERROR(INDEX(EXCEPCIONES_FECHA!$F$2:$F$201,MATCH(1,(EXCEPCIONES_FECHA!$A$2:$A$201=$A1134)*(EXCEPCIONES_FECHA!$B$2:$B$201=$B1134),0)),IFERROR(INDEX(EXCEPCIONES_FECHA!$F$2:$F$201,MATCH(1,(EXCEPCIONES_FECHA!$A$2:$A$201=$A1134)*(EXCEPCIONES_FECHA!$B$2:$B$201=""),0)),IFERROR(INDEX(IF($I1134="FIN",HISTORIAL_HORARIOS!$L$2:$L$201,HISTORIAL_HORARIOS!$H$2:$H$201),MATCH(1,(HISTORIAL_HORARIOS!$A$2:$A$201=$B1134)*(HISTORIAL_HORARIOS!$C$2:$C$201&lt;=$A1134)*(HISTORIAL_HORARIOS!$D$2:$D$201&gt;=$A1134),0)),INDEX(IF($I1134="FIN",PERSONAL!$L$2:$L$80,PERSONAL!$H$2:$H$80),MATCH($B1134,PERSONAL!$A$2:$A$80,0)))))</f>
        <v/>
      </c>
    </row>
    <row r="1135" ht="15" customHeight="1" s="58">
      <c r="A1135" s="40" t="n"/>
      <c r="B1135" s="38" t="n"/>
      <c r="C1135" s="40" t="n"/>
      <c r="D1135" s="40" t="n"/>
      <c r="E1135" s="34">
        <f t="array" ref="E1135">IF($B1135="","",IFERROR(INDEX(PERSONAL!$B$2:$B$80,MATCH($B1135,PERSONAL!$A$2:$A$80,0)),"NO EXISTE"))</f>
        <v/>
      </c>
      <c r="F1135" s="34">
        <f t="array" ref="F1135">IF($B1135="","",IFERROR(INDEX(PERSONAL!$C$2:$C$80,MATCH($B1135,PERSONAL!$A$2:$A$80,0)),""))</f>
        <v/>
      </c>
      <c r="G1135" s="34">
        <f>IF($A1135="","",CHOOSE(WEEKDAY($A1135,2),"LUNES","MARTES","MIÉRCOLES","JUEVES","VIERNES","SÁBADO","DOMINGO"))</f>
        <v/>
      </c>
      <c r="H1135" s="34">
        <f>IF($A1135="","",CHOOSE(MONTH($A1135),"ENERO","FEBRERO","MARZO","ABRIL","MAYO","JUNIO","JULIO","AGOSTO","SEPTIEMBRE","OCTUBRE","NOVIEMBRE","DICIEMBRE"))</f>
        <v/>
      </c>
      <c r="I1135" s="34">
        <f>IF($A1135="","",IF(OR($G1135="SÁBADO",$G1135="DOMINGO"),"FIN","LV"))</f>
        <v/>
      </c>
      <c r="J1135" s="34">
        <f>IF(OR($A1135="",$B1135=""),"",IF($L1135&lt;&gt;"",UPPER($L1135),IF($C1135="","FALTA",IFERROR(IF($C1135&gt;=$O1135,"ROJO FUERTE",IF($C1135&gt;=$N1135,"ROJO",IF($C1135&gt;=$M1135,"AMARILLO","VERDE"))),"REVISAR"))))</f>
        <v/>
      </c>
      <c r="K1135" s="36">
        <f>IF(OR($C1135="",$D1135=""),"",IF($D1135&gt;=$C1135,($D1135-$C1135)*24,(1-$C1135+$D1135)*24))</f>
        <v/>
      </c>
      <c r="L1135" s="34" t="n"/>
      <c r="M1135" s="53">
        <f t="array" ref="M1135">IFERROR(INDEX(EXCEPCIONES_FECHA!$D$2:$D$201,MATCH(1,(EXCEPCIONES_FECHA!$A$2:$A$201=$A1135)*(EXCEPCIONES_FECHA!$B$2:$B$201=$B1135),0)),IFERROR(INDEX(EXCEPCIONES_FECHA!$D$2:$D$201,MATCH(1,(EXCEPCIONES_FECHA!$A$2:$A$201=$A1135)*(EXCEPCIONES_FECHA!$B$2:$B$201=""),0)),IFERROR(INDEX(IF($I1135="FIN",HISTORIAL_HORARIOS!$J$2:$J$201,HISTORIAL_HORARIOS!$F$2:$F$201),MATCH(1,(HISTORIAL_HORARIOS!$A$2:$A$201=$B1135)*(HISTORIAL_HORARIOS!$C$2:$C$201&lt;=$A1135)*(HISTORIAL_HORARIOS!$D$2:$D$201&gt;=$A1135),0)),INDEX(IF($I1135="FIN",PERSONAL!$J$2:$J$80,PERSONAL!$F$2:$F$80),MATCH($B1135,PERSONAL!$A$2:$A$80,0)))))</f>
        <v/>
      </c>
      <c r="N1135" s="53">
        <f t="array" ref="N1135">IFERROR(INDEX(EXCEPCIONES_FECHA!$E$2:$E$201,MATCH(1,(EXCEPCIONES_FECHA!$A$2:$A$201=$A1135)*(EXCEPCIONES_FECHA!$B$2:$B$201=$B1135),0)),IFERROR(INDEX(EXCEPCIONES_FECHA!$E$2:$E$201,MATCH(1,(EXCEPCIONES_FECHA!$A$2:$A$201=$A1135)*(EXCEPCIONES_FECHA!$B$2:$B$201=""),0)),IFERROR(INDEX(IF($I1135="FIN",HISTORIAL_HORARIOS!$K$2:$K$201,HISTORIAL_HORARIOS!$G$2:$G$201),MATCH(1,(HISTORIAL_HORARIOS!$A$2:$A$201=$B1135)*(HISTORIAL_HORARIOS!$C$2:$C$201&lt;=$A1135)*(HISTORIAL_HORARIOS!$D$2:$D$201&gt;=$A1135),0)),INDEX(IF($I1135="FIN",PERSONAL!$K$2:$K$80,PERSONAL!$G$2:$G$80),MATCH($B1135,PERSONAL!$A$2:$A$80,0)))))</f>
        <v/>
      </c>
      <c r="O1135" s="53">
        <f t="array" ref="O1135">IFERROR(INDEX(EXCEPCIONES_FECHA!$F$2:$F$201,MATCH(1,(EXCEPCIONES_FECHA!$A$2:$A$201=$A1135)*(EXCEPCIONES_FECHA!$B$2:$B$201=$B1135),0)),IFERROR(INDEX(EXCEPCIONES_FECHA!$F$2:$F$201,MATCH(1,(EXCEPCIONES_FECHA!$A$2:$A$201=$A1135)*(EXCEPCIONES_FECHA!$B$2:$B$201=""),0)),IFERROR(INDEX(IF($I1135="FIN",HISTORIAL_HORARIOS!$L$2:$L$201,HISTORIAL_HORARIOS!$H$2:$H$201),MATCH(1,(HISTORIAL_HORARIOS!$A$2:$A$201=$B1135)*(HISTORIAL_HORARIOS!$C$2:$C$201&lt;=$A1135)*(HISTORIAL_HORARIOS!$D$2:$D$201&gt;=$A1135),0)),INDEX(IF($I1135="FIN",PERSONAL!$L$2:$L$80,PERSONAL!$H$2:$H$80),MATCH($B1135,PERSONAL!$A$2:$A$80,0)))))</f>
        <v/>
      </c>
    </row>
    <row r="1136" ht="15" customHeight="1" s="58">
      <c r="A1136" s="40" t="n"/>
      <c r="B1136" s="38" t="n"/>
      <c r="C1136" s="40" t="n"/>
      <c r="D1136" s="40" t="n"/>
      <c r="E1136" s="34">
        <f t="array" ref="E1136">IF($B1136="","",IFERROR(INDEX(PERSONAL!$B$2:$B$80,MATCH($B1136,PERSONAL!$A$2:$A$80,0)),"NO EXISTE"))</f>
        <v/>
      </c>
      <c r="F1136" s="34">
        <f t="array" ref="F1136">IF($B1136="","",IFERROR(INDEX(PERSONAL!$C$2:$C$80,MATCH($B1136,PERSONAL!$A$2:$A$80,0)),""))</f>
        <v/>
      </c>
      <c r="G1136" s="34">
        <f>IF($A1136="","",CHOOSE(WEEKDAY($A1136,2),"LUNES","MARTES","MIÉRCOLES","JUEVES","VIERNES","SÁBADO","DOMINGO"))</f>
        <v/>
      </c>
      <c r="H1136" s="34">
        <f>IF($A1136="","",CHOOSE(MONTH($A1136),"ENERO","FEBRERO","MARZO","ABRIL","MAYO","JUNIO","JULIO","AGOSTO","SEPTIEMBRE","OCTUBRE","NOVIEMBRE","DICIEMBRE"))</f>
        <v/>
      </c>
      <c r="I1136" s="34">
        <f>IF($A1136="","",IF(OR($G1136="SÁBADO",$G1136="DOMINGO"),"FIN","LV"))</f>
        <v/>
      </c>
      <c r="J1136" s="34">
        <f>IF(OR($A1136="",$B1136=""),"",IF($L1136&lt;&gt;"",UPPER($L1136),IF($C1136="","FALTA",IFERROR(IF($C1136&gt;=$O1136,"ROJO FUERTE",IF($C1136&gt;=$N1136,"ROJO",IF($C1136&gt;=$M1136,"AMARILLO","VERDE"))),"REVISAR"))))</f>
        <v/>
      </c>
      <c r="K1136" s="36">
        <f>IF(OR($C1136="",$D1136=""),"",IF($D1136&gt;=$C1136,($D1136-$C1136)*24,(1-$C1136+$D1136)*24))</f>
        <v/>
      </c>
      <c r="L1136" s="34" t="n"/>
      <c r="M1136" s="53">
        <f t="array" ref="M1136">IFERROR(INDEX(EXCEPCIONES_FECHA!$D$2:$D$201,MATCH(1,(EXCEPCIONES_FECHA!$A$2:$A$201=$A1136)*(EXCEPCIONES_FECHA!$B$2:$B$201=$B1136),0)),IFERROR(INDEX(EXCEPCIONES_FECHA!$D$2:$D$201,MATCH(1,(EXCEPCIONES_FECHA!$A$2:$A$201=$A1136)*(EXCEPCIONES_FECHA!$B$2:$B$201=""),0)),IFERROR(INDEX(IF($I1136="FIN",HISTORIAL_HORARIOS!$J$2:$J$201,HISTORIAL_HORARIOS!$F$2:$F$201),MATCH(1,(HISTORIAL_HORARIOS!$A$2:$A$201=$B1136)*(HISTORIAL_HORARIOS!$C$2:$C$201&lt;=$A1136)*(HISTORIAL_HORARIOS!$D$2:$D$201&gt;=$A1136),0)),INDEX(IF($I1136="FIN",PERSONAL!$J$2:$J$80,PERSONAL!$F$2:$F$80),MATCH($B1136,PERSONAL!$A$2:$A$80,0)))))</f>
        <v/>
      </c>
      <c r="N1136" s="53">
        <f t="array" ref="N1136">IFERROR(INDEX(EXCEPCIONES_FECHA!$E$2:$E$201,MATCH(1,(EXCEPCIONES_FECHA!$A$2:$A$201=$A1136)*(EXCEPCIONES_FECHA!$B$2:$B$201=$B1136),0)),IFERROR(INDEX(EXCEPCIONES_FECHA!$E$2:$E$201,MATCH(1,(EXCEPCIONES_FECHA!$A$2:$A$201=$A1136)*(EXCEPCIONES_FECHA!$B$2:$B$201=""),0)),IFERROR(INDEX(IF($I1136="FIN",HISTORIAL_HORARIOS!$K$2:$K$201,HISTORIAL_HORARIOS!$G$2:$G$201),MATCH(1,(HISTORIAL_HORARIOS!$A$2:$A$201=$B1136)*(HISTORIAL_HORARIOS!$C$2:$C$201&lt;=$A1136)*(HISTORIAL_HORARIOS!$D$2:$D$201&gt;=$A1136),0)),INDEX(IF($I1136="FIN",PERSONAL!$K$2:$K$80,PERSONAL!$G$2:$G$80),MATCH($B1136,PERSONAL!$A$2:$A$80,0)))))</f>
        <v/>
      </c>
      <c r="O1136" s="53">
        <f t="array" ref="O1136">IFERROR(INDEX(EXCEPCIONES_FECHA!$F$2:$F$201,MATCH(1,(EXCEPCIONES_FECHA!$A$2:$A$201=$A1136)*(EXCEPCIONES_FECHA!$B$2:$B$201=$B1136),0)),IFERROR(INDEX(EXCEPCIONES_FECHA!$F$2:$F$201,MATCH(1,(EXCEPCIONES_FECHA!$A$2:$A$201=$A1136)*(EXCEPCIONES_FECHA!$B$2:$B$201=""),0)),IFERROR(INDEX(IF($I1136="FIN",HISTORIAL_HORARIOS!$L$2:$L$201,HISTORIAL_HORARIOS!$H$2:$H$201),MATCH(1,(HISTORIAL_HORARIOS!$A$2:$A$201=$B1136)*(HISTORIAL_HORARIOS!$C$2:$C$201&lt;=$A1136)*(HISTORIAL_HORARIOS!$D$2:$D$201&gt;=$A1136),0)),INDEX(IF($I1136="FIN",PERSONAL!$L$2:$L$80,PERSONAL!$H$2:$H$80),MATCH($B1136,PERSONAL!$A$2:$A$80,0)))))</f>
        <v/>
      </c>
    </row>
    <row r="1137" ht="15" customHeight="1" s="58">
      <c r="A1137" s="40" t="n"/>
      <c r="B1137" s="38" t="n"/>
      <c r="C1137" s="40" t="n"/>
      <c r="D1137" s="40" t="n"/>
      <c r="E1137" s="34">
        <f t="array" ref="E1137">IF($B1137="","",IFERROR(INDEX(PERSONAL!$B$2:$B$80,MATCH($B1137,PERSONAL!$A$2:$A$80,0)),"NO EXISTE"))</f>
        <v/>
      </c>
      <c r="F1137" s="34">
        <f t="array" ref="F1137">IF($B1137="","",IFERROR(INDEX(PERSONAL!$C$2:$C$80,MATCH($B1137,PERSONAL!$A$2:$A$80,0)),""))</f>
        <v/>
      </c>
      <c r="G1137" s="34">
        <f>IF($A1137="","",CHOOSE(WEEKDAY($A1137,2),"LUNES","MARTES","MIÉRCOLES","JUEVES","VIERNES","SÁBADO","DOMINGO"))</f>
        <v/>
      </c>
      <c r="H1137" s="34">
        <f>IF($A1137="","",CHOOSE(MONTH($A1137),"ENERO","FEBRERO","MARZO","ABRIL","MAYO","JUNIO","JULIO","AGOSTO","SEPTIEMBRE","OCTUBRE","NOVIEMBRE","DICIEMBRE"))</f>
        <v/>
      </c>
      <c r="I1137" s="34">
        <f>IF($A1137="","",IF(OR($G1137="SÁBADO",$G1137="DOMINGO"),"FIN","LV"))</f>
        <v/>
      </c>
      <c r="J1137" s="34">
        <f>IF(OR($A1137="",$B1137=""),"",IF($L1137&lt;&gt;"",UPPER($L1137),IF($C1137="","FALTA",IFERROR(IF($C1137&gt;=$O1137,"ROJO FUERTE",IF($C1137&gt;=$N1137,"ROJO",IF($C1137&gt;=$M1137,"AMARILLO","VERDE"))),"REVISAR"))))</f>
        <v/>
      </c>
      <c r="K1137" s="36">
        <f>IF(OR($C1137="",$D1137=""),"",IF($D1137&gt;=$C1137,($D1137-$C1137)*24,(1-$C1137+$D1137)*24))</f>
        <v/>
      </c>
      <c r="L1137" s="34" t="n"/>
      <c r="M1137" s="53">
        <f t="array" ref="M1137">IFERROR(INDEX(EXCEPCIONES_FECHA!$D$2:$D$201,MATCH(1,(EXCEPCIONES_FECHA!$A$2:$A$201=$A1137)*(EXCEPCIONES_FECHA!$B$2:$B$201=$B1137),0)),IFERROR(INDEX(EXCEPCIONES_FECHA!$D$2:$D$201,MATCH(1,(EXCEPCIONES_FECHA!$A$2:$A$201=$A1137)*(EXCEPCIONES_FECHA!$B$2:$B$201=""),0)),IFERROR(INDEX(IF($I1137="FIN",HISTORIAL_HORARIOS!$J$2:$J$201,HISTORIAL_HORARIOS!$F$2:$F$201),MATCH(1,(HISTORIAL_HORARIOS!$A$2:$A$201=$B1137)*(HISTORIAL_HORARIOS!$C$2:$C$201&lt;=$A1137)*(HISTORIAL_HORARIOS!$D$2:$D$201&gt;=$A1137),0)),INDEX(IF($I1137="FIN",PERSONAL!$J$2:$J$80,PERSONAL!$F$2:$F$80),MATCH($B1137,PERSONAL!$A$2:$A$80,0)))))</f>
        <v/>
      </c>
      <c r="N1137" s="53">
        <f t="array" ref="N1137">IFERROR(INDEX(EXCEPCIONES_FECHA!$E$2:$E$201,MATCH(1,(EXCEPCIONES_FECHA!$A$2:$A$201=$A1137)*(EXCEPCIONES_FECHA!$B$2:$B$201=$B1137),0)),IFERROR(INDEX(EXCEPCIONES_FECHA!$E$2:$E$201,MATCH(1,(EXCEPCIONES_FECHA!$A$2:$A$201=$A1137)*(EXCEPCIONES_FECHA!$B$2:$B$201=""),0)),IFERROR(INDEX(IF($I1137="FIN",HISTORIAL_HORARIOS!$K$2:$K$201,HISTORIAL_HORARIOS!$G$2:$G$201),MATCH(1,(HISTORIAL_HORARIOS!$A$2:$A$201=$B1137)*(HISTORIAL_HORARIOS!$C$2:$C$201&lt;=$A1137)*(HISTORIAL_HORARIOS!$D$2:$D$201&gt;=$A1137),0)),INDEX(IF($I1137="FIN",PERSONAL!$K$2:$K$80,PERSONAL!$G$2:$G$80),MATCH($B1137,PERSONAL!$A$2:$A$80,0)))))</f>
        <v/>
      </c>
      <c r="O1137" s="53">
        <f t="array" ref="O1137">IFERROR(INDEX(EXCEPCIONES_FECHA!$F$2:$F$201,MATCH(1,(EXCEPCIONES_FECHA!$A$2:$A$201=$A1137)*(EXCEPCIONES_FECHA!$B$2:$B$201=$B1137),0)),IFERROR(INDEX(EXCEPCIONES_FECHA!$F$2:$F$201,MATCH(1,(EXCEPCIONES_FECHA!$A$2:$A$201=$A1137)*(EXCEPCIONES_FECHA!$B$2:$B$201=""),0)),IFERROR(INDEX(IF($I1137="FIN",HISTORIAL_HORARIOS!$L$2:$L$201,HISTORIAL_HORARIOS!$H$2:$H$201),MATCH(1,(HISTORIAL_HORARIOS!$A$2:$A$201=$B1137)*(HISTORIAL_HORARIOS!$C$2:$C$201&lt;=$A1137)*(HISTORIAL_HORARIOS!$D$2:$D$201&gt;=$A1137),0)),INDEX(IF($I1137="FIN",PERSONAL!$L$2:$L$80,PERSONAL!$H$2:$H$80),MATCH($B1137,PERSONAL!$A$2:$A$80,0)))))</f>
        <v/>
      </c>
    </row>
    <row r="1138" ht="15" customHeight="1" s="58">
      <c r="A1138" s="40" t="n"/>
      <c r="B1138" s="38" t="n"/>
      <c r="C1138" s="40" t="n"/>
      <c r="D1138" s="40" t="n"/>
      <c r="E1138" s="34">
        <f t="array" ref="E1138">IF($B1138="","",IFERROR(INDEX(PERSONAL!$B$2:$B$80,MATCH($B1138,PERSONAL!$A$2:$A$80,0)),"NO EXISTE"))</f>
        <v/>
      </c>
      <c r="F1138" s="34">
        <f t="array" ref="F1138">IF($B1138="","",IFERROR(INDEX(PERSONAL!$C$2:$C$80,MATCH($B1138,PERSONAL!$A$2:$A$80,0)),""))</f>
        <v/>
      </c>
      <c r="G1138" s="34">
        <f>IF($A1138="","",CHOOSE(WEEKDAY($A1138,2),"LUNES","MARTES","MIÉRCOLES","JUEVES","VIERNES","SÁBADO","DOMINGO"))</f>
        <v/>
      </c>
      <c r="H1138" s="34">
        <f>IF($A1138="","",CHOOSE(MONTH($A1138),"ENERO","FEBRERO","MARZO","ABRIL","MAYO","JUNIO","JULIO","AGOSTO","SEPTIEMBRE","OCTUBRE","NOVIEMBRE","DICIEMBRE"))</f>
        <v/>
      </c>
      <c r="I1138" s="34">
        <f>IF($A1138="","",IF(OR($G1138="SÁBADO",$G1138="DOMINGO"),"FIN","LV"))</f>
        <v/>
      </c>
      <c r="J1138" s="34">
        <f>IF(OR($A1138="",$B1138=""),"",IF($L1138&lt;&gt;"",UPPER($L1138),IF($C1138="","FALTA",IFERROR(IF($C1138&gt;=$O1138,"ROJO FUERTE",IF($C1138&gt;=$N1138,"ROJO",IF($C1138&gt;=$M1138,"AMARILLO","VERDE"))),"REVISAR"))))</f>
        <v/>
      </c>
      <c r="K1138" s="36">
        <f>IF(OR($C1138="",$D1138=""),"",IF($D1138&gt;=$C1138,($D1138-$C1138)*24,(1-$C1138+$D1138)*24))</f>
        <v/>
      </c>
      <c r="L1138" s="34" t="n"/>
      <c r="M1138" s="53">
        <f t="array" ref="M1138">IFERROR(INDEX(EXCEPCIONES_FECHA!$D$2:$D$201,MATCH(1,(EXCEPCIONES_FECHA!$A$2:$A$201=$A1138)*(EXCEPCIONES_FECHA!$B$2:$B$201=$B1138),0)),IFERROR(INDEX(EXCEPCIONES_FECHA!$D$2:$D$201,MATCH(1,(EXCEPCIONES_FECHA!$A$2:$A$201=$A1138)*(EXCEPCIONES_FECHA!$B$2:$B$201=""),0)),IFERROR(INDEX(IF($I1138="FIN",HISTORIAL_HORARIOS!$J$2:$J$201,HISTORIAL_HORARIOS!$F$2:$F$201),MATCH(1,(HISTORIAL_HORARIOS!$A$2:$A$201=$B1138)*(HISTORIAL_HORARIOS!$C$2:$C$201&lt;=$A1138)*(HISTORIAL_HORARIOS!$D$2:$D$201&gt;=$A1138),0)),INDEX(IF($I1138="FIN",PERSONAL!$J$2:$J$80,PERSONAL!$F$2:$F$80),MATCH($B1138,PERSONAL!$A$2:$A$80,0)))))</f>
        <v/>
      </c>
      <c r="N1138" s="53">
        <f t="array" ref="N1138">IFERROR(INDEX(EXCEPCIONES_FECHA!$E$2:$E$201,MATCH(1,(EXCEPCIONES_FECHA!$A$2:$A$201=$A1138)*(EXCEPCIONES_FECHA!$B$2:$B$201=$B1138),0)),IFERROR(INDEX(EXCEPCIONES_FECHA!$E$2:$E$201,MATCH(1,(EXCEPCIONES_FECHA!$A$2:$A$201=$A1138)*(EXCEPCIONES_FECHA!$B$2:$B$201=""),0)),IFERROR(INDEX(IF($I1138="FIN",HISTORIAL_HORARIOS!$K$2:$K$201,HISTORIAL_HORARIOS!$G$2:$G$201),MATCH(1,(HISTORIAL_HORARIOS!$A$2:$A$201=$B1138)*(HISTORIAL_HORARIOS!$C$2:$C$201&lt;=$A1138)*(HISTORIAL_HORARIOS!$D$2:$D$201&gt;=$A1138),0)),INDEX(IF($I1138="FIN",PERSONAL!$K$2:$K$80,PERSONAL!$G$2:$G$80),MATCH($B1138,PERSONAL!$A$2:$A$80,0)))))</f>
        <v/>
      </c>
      <c r="O1138" s="53">
        <f t="array" ref="O1138">IFERROR(INDEX(EXCEPCIONES_FECHA!$F$2:$F$201,MATCH(1,(EXCEPCIONES_FECHA!$A$2:$A$201=$A1138)*(EXCEPCIONES_FECHA!$B$2:$B$201=$B1138),0)),IFERROR(INDEX(EXCEPCIONES_FECHA!$F$2:$F$201,MATCH(1,(EXCEPCIONES_FECHA!$A$2:$A$201=$A1138)*(EXCEPCIONES_FECHA!$B$2:$B$201=""),0)),IFERROR(INDEX(IF($I1138="FIN",HISTORIAL_HORARIOS!$L$2:$L$201,HISTORIAL_HORARIOS!$H$2:$H$201),MATCH(1,(HISTORIAL_HORARIOS!$A$2:$A$201=$B1138)*(HISTORIAL_HORARIOS!$C$2:$C$201&lt;=$A1138)*(HISTORIAL_HORARIOS!$D$2:$D$201&gt;=$A1138),0)),INDEX(IF($I1138="FIN",PERSONAL!$L$2:$L$80,PERSONAL!$H$2:$H$80),MATCH($B1138,PERSONAL!$A$2:$A$80,0)))))</f>
        <v/>
      </c>
    </row>
    <row r="1139" ht="15" customHeight="1" s="58">
      <c r="A1139" s="40" t="n"/>
      <c r="B1139" s="38" t="n"/>
      <c r="C1139" s="40" t="n"/>
      <c r="D1139" s="40" t="n"/>
      <c r="E1139" s="34">
        <f t="array" ref="E1139">IF($B1139="","",IFERROR(INDEX(PERSONAL!$B$2:$B$80,MATCH($B1139,PERSONAL!$A$2:$A$80,0)),"NO EXISTE"))</f>
        <v/>
      </c>
      <c r="F1139" s="34">
        <f t="array" ref="F1139">IF($B1139="","",IFERROR(INDEX(PERSONAL!$C$2:$C$80,MATCH($B1139,PERSONAL!$A$2:$A$80,0)),""))</f>
        <v/>
      </c>
      <c r="G1139" s="34">
        <f>IF($A1139="","",CHOOSE(WEEKDAY($A1139,2),"LUNES","MARTES","MIÉRCOLES","JUEVES","VIERNES","SÁBADO","DOMINGO"))</f>
        <v/>
      </c>
      <c r="H1139" s="34">
        <f>IF($A1139="","",CHOOSE(MONTH($A1139),"ENERO","FEBRERO","MARZO","ABRIL","MAYO","JUNIO","JULIO","AGOSTO","SEPTIEMBRE","OCTUBRE","NOVIEMBRE","DICIEMBRE"))</f>
        <v/>
      </c>
      <c r="I1139" s="34">
        <f>IF($A1139="","",IF(OR($G1139="SÁBADO",$G1139="DOMINGO"),"FIN","LV"))</f>
        <v/>
      </c>
      <c r="J1139" s="34">
        <f>IF(OR($A1139="",$B1139=""),"",IF($L1139&lt;&gt;"",UPPER($L1139),IF($C1139="","FALTA",IFERROR(IF($C1139&gt;=$O1139,"ROJO FUERTE",IF($C1139&gt;=$N1139,"ROJO",IF($C1139&gt;=$M1139,"AMARILLO","VERDE"))),"REVISAR"))))</f>
        <v/>
      </c>
      <c r="K1139" s="36">
        <f>IF(OR($C1139="",$D1139=""),"",IF($D1139&gt;=$C1139,($D1139-$C1139)*24,(1-$C1139+$D1139)*24))</f>
        <v/>
      </c>
      <c r="L1139" s="34" t="n"/>
      <c r="M1139" s="53">
        <f t="array" ref="M1139">IFERROR(INDEX(EXCEPCIONES_FECHA!$D$2:$D$201,MATCH(1,(EXCEPCIONES_FECHA!$A$2:$A$201=$A1139)*(EXCEPCIONES_FECHA!$B$2:$B$201=$B1139),0)),IFERROR(INDEX(EXCEPCIONES_FECHA!$D$2:$D$201,MATCH(1,(EXCEPCIONES_FECHA!$A$2:$A$201=$A1139)*(EXCEPCIONES_FECHA!$B$2:$B$201=""),0)),IFERROR(INDEX(IF($I1139="FIN",HISTORIAL_HORARIOS!$J$2:$J$201,HISTORIAL_HORARIOS!$F$2:$F$201),MATCH(1,(HISTORIAL_HORARIOS!$A$2:$A$201=$B1139)*(HISTORIAL_HORARIOS!$C$2:$C$201&lt;=$A1139)*(HISTORIAL_HORARIOS!$D$2:$D$201&gt;=$A1139),0)),INDEX(IF($I1139="FIN",PERSONAL!$J$2:$J$80,PERSONAL!$F$2:$F$80),MATCH($B1139,PERSONAL!$A$2:$A$80,0)))))</f>
        <v/>
      </c>
      <c r="N1139" s="53">
        <f t="array" ref="N1139">IFERROR(INDEX(EXCEPCIONES_FECHA!$E$2:$E$201,MATCH(1,(EXCEPCIONES_FECHA!$A$2:$A$201=$A1139)*(EXCEPCIONES_FECHA!$B$2:$B$201=$B1139),0)),IFERROR(INDEX(EXCEPCIONES_FECHA!$E$2:$E$201,MATCH(1,(EXCEPCIONES_FECHA!$A$2:$A$201=$A1139)*(EXCEPCIONES_FECHA!$B$2:$B$201=""),0)),IFERROR(INDEX(IF($I1139="FIN",HISTORIAL_HORARIOS!$K$2:$K$201,HISTORIAL_HORARIOS!$G$2:$G$201),MATCH(1,(HISTORIAL_HORARIOS!$A$2:$A$201=$B1139)*(HISTORIAL_HORARIOS!$C$2:$C$201&lt;=$A1139)*(HISTORIAL_HORARIOS!$D$2:$D$201&gt;=$A1139),0)),INDEX(IF($I1139="FIN",PERSONAL!$K$2:$K$80,PERSONAL!$G$2:$G$80),MATCH($B1139,PERSONAL!$A$2:$A$80,0)))))</f>
        <v/>
      </c>
      <c r="O1139" s="53">
        <f t="array" ref="O1139">IFERROR(INDEX(EXCEPCIONES_FECHA!$F$2:$F$201,MATCH(1,(EXCEPCIONES_FECHA!$A$2:$A$201=$A1139)*(EXCEPCIONES_FECHA!$B$2:$B$201=$B1139),0)),IFERROR(INDEX(EXCEPCIONES_FECHA!$F$2:$F$201,MATCH(1,(EXCEPCIONES_FECHA!$A$2:$A$201=$A1139)*(EXCEPCIONES_FECHA!$B$2:$B$201=""),0)),IFERROR(INDEX(IF($I1139="FIN",HISTORIAL_HORARIOS!$L$2:$L$201,HISTORIAL_HORARIOS!$H$2:$H$201),MATCH(1,(HISTORIAL_HORARIOS!$A$2:$A$201=$B1139)*(HISTORIAL_HORARIOS!$C$2:$C$201&lt;=$A1139)*(HISTORIAL_HORARIOS!$D$2:$D$201&gt;=$A1139),0)),INDEX(IF($I1139="FIN",PERSONAL!$L$2:$L$80,PERSONAL!$H$2:$H$80),MATCH($B1139,PERSONAL!$A$2:$A$80,0)))))</f>
        <v/>
      </c>
    </row>
    <row r="1140" ht="15" customHeight="1" s="58">
      <c r="A1140" s="40" t="n"/>
      <c r="B1140" s="38" t="n"/>
      <c r="C1140" s="40" t="n"/>
      <c r="D1140" s="40" t="n"/>
      <c r="E1140" s="34">
        <f t="array" ref="E1140">IF($B1140="","",IFERROR(INDEX(PERSONAL!$B$2:$B$80,MATCH($B1140,PERSONAL!$A$2:$A$80,0)),"NO EXISTE"))</f>
        <v/>
      </c>
      <c r="F1140" s="34">
        <f t="array" ref="F1140">IF($B1140="","",IFERROR(INDEX(PERSONAL!$C$2:$C$80,MATCH($B1140,PERSONAL!$A$2:$A$80,0)),""))</f>
        <v/>
      </c>
      <c r="G1140" s="34">
        <f>IF($A1140="","",CHOOSE(WEEKDAY($A1140,2),"LUNES","MARTES","MIÉRCOLES","JUEVES","VIERNES","SÁBADO","DOMINGO"))</f>
        <v/>
      </c>
      <c r="H1140" s="34">
        <f>IF($A1140="","",CHOOSE(MONTH($A1140),"ENERO","FEBRERO","MARZO","ABRIL","MAYO","JUNIO","JULIO","AGOSTO","SEPTIEMBRE","OCTUBRE","NOVIEMBRE","DICIEMBRE"))</f>
        <v/>
      </c>
      <c r="I1140" s="34">
        <f>IF($A1140="","",IF(OR($G1140="SÁBADO",$G1140="DOMINGO"),"FIN","LV"))</f>
        <v/>
      </c>
      <c r="J1140" s="34">
        <f>IF(OR($A1140="",$B1140=""),"",IF($L1140&lt;&gt;"",UPPER($L1140),IF($C1140="","FALTA",IFERROR(IF($C1140&gt;=$O1140,"ROJO FUERTE",IF($C1140&gt;=$N1140,"ROJO",IF($C1140&gt;=$M1140,"AMARILLO","VERDE"))),"REVISAR"))))</f>
        <v/>
      </c>
      <c r="K1140" s="36">
        <f>IF(OR($C1140="",$D1140=""),"",IF($D1140&gt;=$C1140,($D1140-$C1140)*24,(1-$C1140+$D1140)*24))</f>
        <v/>
      </c>
      <c r="L1140" s="34" t="n"/>
      <c r="M1140" s="53">
        <f t="array" ref="M1140">IFERROR(INDEX(EXCEPCIONES_FECHA!$D$2:$D$201,MATCH(1,(EXCEPCIONES_FECHA!$A$2:$A$201=$A1140)*(EXCEPCIONES_FECHA!$B$2:$B$201=$B1140),0)),IFERROR(INDEX(EXCEPCIONES_FECHA!$D$2:$D$201,MATCH(1,(EXCEPCIONES_FECHA!$A$2:$A$201=$A1140)*(EXCEPCIONES_FECHA!$B$2:$B$201=""),0)),IFERROR(INDEX(IF($I1140="FIN",HISTORIAL_HORARIOS!$J$2:$J$201,HISTORIAL_HORARIOS!$F$2:$F$201),MATCH(1,(HISTORIAL_HORARIOS!$A$2:$A$201=$B1140)*(HISTORIAL_HORARIOS!$C$2:$C$201&lt;=$A1140)*(HISTORIAL_HORARIOS!$D$2:$D$201&gt;=$A1140),0)),INDEX(IF($I1140="FIN",PERSONAL!$J$2:$J$80,PERSONAL!$F$2:$F$80),MATCH($B1140,PERSONAL!$A$2:$A$80,0)))))</f>
        <v/>
      </c>
      <c r="N1140" s="53">
        <f t="array" ref="N1140">IFERROR(INDEX(EXCEPCIONES_FECHA!$E$2:$E$201,MATCH(1,(EXCEPCIONES_FECHA!$A$2:$A$201=$A1140)*(EXCEPCIONES_FECHA!$B$2:$B$201=$B1140),0)),IFERROR(INDEX(EXCEPCIONES_FECHA!$E$2:$E$201,MATCH(1,(EXCEPCIONES_FECHA!$A$2:$A$201=$A1140)*(EXCEPCIONES_FECHA!$B$2:$B$201=""),0)),IFERROR(INDEX(IF($I1140="FIN",HISTORIAL_HORARIOS!$K$2:$K$201,HISTORIAL_HORARIOS!$G$2:$G$201),MATCH(1,(HISTORIAL_HORARIOS!$A$2:$A$201=$B1140)*(HISTORIAL_HORARIOS!$C$2:$C$201&lt;=$A1140)*(HISTORIAL_HORARIOS!$D$2:$D$201&gt;=$A1140),0)),INDEX(IF($I1140="FIN",PERSONAL!$K$2:$K$80,PERSONAL!$G$2:$G$80),MATCH($B1140,PERSONAL!$A$2:$A$80,0)))))</f>
        <v/>
      </c>
      <c r="O1140" s="53">
        <f t="array" ref="O1140">IFERROR(INDEX(EXCEPCIONES_FECHA!$F$2:$F$201,MATCH(1,(EXCEPCIONES_FECHA!$A$2:$A$201=$A1140)*(EXCEPCIONES_FECHA!$B$2:$B$201=$B1140),0)),IFERROR(INDEX(EXCEPCIONES_FECHA!$F$2:$F$201,MATCH(1,(EXCEPCIONES_FECHA!$A$2:$A$201=$A1140)*(EXCEPCIONES_FECHA!$B$2:$B$201=""),0)),IFERROR(INDEX(IF($I1140="FIN",HISTORIAL_HORARIOS!$L$2:$L$201,HISTORIAL_HORARIOS!$H$2:$H$201),MATCH(1,(HISTORIAL_HORARIOS!$A$2:$A$201=$B1140)*(HISTORIAL_HORARIOS!$C$2:$C$201&lt;=$A1140)*(HISTORIAL_HORARIOS!$D$2:$D$201&gt;=$A1140),0)),INDEX(IF($I1140="FIN",PERSONAL!$L$2:$L$80,PERSONAL!$H$2:$H$80),MATCH($B1140,PERSONAL!$A$2:$A$80,0)))))</f>
        <v/>
      </c>
    </row>
    <row r="1141" ht="15" customHeight="1" s="58">
      <c r="A1141" s="40" t="n"/>
      <c r="B1141" s="38" t="n"/>
      <c r="C1141" s="40" t="n"/>
      <c r="D1141" s="40" t="n"/>
      <c r="E1141" s="34">
        <f t="array" ref="E1141">IF($B1141="","",IFERROR(INDEX(PERSONAL!$B$2:$B$80,MATCH($B1141,PERSONAL!$A$2:$A$80,0)),"NO EXISTE"))</f>
        <v/>
      </c>
      <c r="F1141" s="34">
        <f t="array" ref="F1141">IF($B1141="","",IFERROR(INDEX(PERSONAL!$C$2:$C$80,MATCH($B1141,PERSONAL!$A$2:$A$80,0)),""))</f>
        <v/>
      </c>
      <c r="G1141" s="34">
        <f>IF($A1141="","",CHOOSE(WEEKDAY($A1141,2),"LUNES","MARTES","MIÉRCOLES","JUEVES","VIERNES","SÁBADO","DOMINGO"))</f>
        <v/>
      </c>
      <c r="H1141" s="34">
        <f>IF($A1141="","",CHOOSE(MONTH($A1141),"ENERO","FEBRERO","MARZO","ABRIL","MAYO","JUNIO","JULIO","AGOSTO","SEPTIEMBRE","OCTUBRE","NOVIEMBRE","DICIEMBRE"))</f>
        <v/>
      </c>
      <c r="I1141" s="34">
        <f>IF($A1141="","",IF(OR($G1141="SÁBADO",$G1141="DOMINGO"),"FIN","LV"))</f>
        <v/>
      </c>
      <c r="J1141" s="34">
        <f>IF(OR($A1141="",$B1141=""),"",IF($L1141&lt;&gt;"",UPPER($L1141),IF($C1141="","FALTA",IFERROR(IF($C1141&gt;=$O1141,"ROJO FUERTE",IF($C1141&gt;=$N1141,"ROJO",IF($C1141&gt;=$M1141,"AMARILLO","VERDE"))),"REVISAR"))))</f>
        <v/>
      </c>
      <c r="K1141" s="36">
        <f>IF(OR($C1141="",$D1141=""),"",IF($D1141&gt;=$C1141,($D1141-$C1141)*24,(1-$C1141+$D1141)*24))</f>
        <v/>
      </c>
      <c r="L1141" s="34" t="n"/>
      <c r="M1141" s="53">
        <f t="array" ref="M1141">IFERROR(INDEX(EXCEPCIONES_FECHA!$D$2:$D$201,MATCH(1,(EXCEPCIONES_FECHA!$A$2:$A$201=$A1141)*(EXCEPCIONES_FECHA!$B$2:$B$201=$B1141),0)),IFERROR(INDEX(EXCEPCIONES_FECHA!$D$2:$D$201,MATCH(1,(EXCEPCIONES_FECHA!$A$2:$A$201=$A1141)*(EXCEPCIONES_FECHA!$B$2:$B$201=""),0)),IFERROR(INDEX(IF($I1141="FIN",HISTORIAL_HORARIOS!$J$2:$J$201,HISTORIAL_HORARIOS!$F$2:$F$201),MATCH(1,(HISTORIAL_HORARIOS!$A$2:$A$201=$B1141)*(HISTORIAL_HORARIOS!$C$2:$C$201&lt;=$A1141)*(HISTORIAL_HORARIOS!$D$2:$D$201&gt;=$A1141),0)),INDEX(IF($I1141="FIN",PERSONAL!$J$2:$J$80,PERSONAL!$F$2:$F$80),MATCH($B1141,PERSONAL!$A$2:$A$80,0)))))</f>
        <v/>
      </c>
      <c r="N1141" s="53">
        <f t="array" ref="N1141">IFERROR(INDEX(EXCEPCIONES_FECHA!$E$2:$E$201,MATCH(1,(EXCEPCIONES_FECHA!$A$2:$A$201=$A1141)*(EXCEPCIONES_FECHA!$B$2:$B$201=$B1141),0)),IFERROR(INDEX(EXCEPCIONES_FECHA!$E$2:$E$201,MATCH(1,(EXCEPCIONES_FECHA!$A$2:$A$201=$A1141)*(EXCEPCIONES_FECHA!$B$2:$B$201=""),0)),IFERROR(INDEX(IF($I1141="FIN",HISTORIAL_HORARIOS!$K$2:$K$201,HISTORIAL_HORARIOS!$G$2:$G$201),MATCH(1,(HISTORIAL_HORARIOS!$A$2:$A$201=$B1141)*(HISTORIAL_HORARIOS!$C$2:$C$201&lt;=$A1141)*(HISTORIAL_HORARIOS!$D$2:$D$201&gt;=$A1141),0)),INDEX(IF($I1141="FIN",PERSONAL!$K$2:$K$80,PERSONAL!$G$2:$G$80),MATCH($B1141,PERSONAL!$A$2:$A$80,0)))))</f>
        <v/>
      </c>
      <c r="O1141" s="53">
        <f t="array" ref="O1141">IFERROR(INDEX(EXCEPCIONES_FECHA!$F$2:$F$201,MATCH(1,(EXCEPCIONES_FECHA!$A$2:$A$201=$A1141)*(EXCEPCIONES_FECHA!$B$2:$B$201=$B1141),0)),IFERROR(INDEX(EXCEPCIONES_FECHA!$F$2:$F$201,MATCH(1,(EXCEPCIONES_FECHA!$A$2:$A$201=$A1141)*(EXCEPCIONES_FECHA!$B$2:$B$201=""),0)),IFERROR(INDEX(IF($I1141="FIN",HISTORIAL_HORARIOS!$L$2:$L$201,HISTORIAL_HORARIOS!$H$2:$H$201),MATCH(1,(HISTORIAL_HORARIOS!$A$2:$A$201=$B1141)*(HISTORIAL_HORARIOS!$C$2:$C$201&lt;=$A1141)*(HISTORIAL_HORARIOS!$D$2:$D$201&gt;=$A1141),0)),INDEX(IF($I1141="FIN",PERSONAL!$L$2:$L$80,PERSONAL!$H$2:$H$80),MATCH($B1141,PERSONAL!$A$2:$A$80,0)))))</f>
        <v/>
      </c>
    </row>
    <row r="1142" ht="15" customHeight="1" s="58">
      <c r="A1142" s="40" t="n"/>
      <c r="B1142" s="38" t="n"/>
      <c r="C1142" s="40" t="n"/>
      <c r="D1142" s="40" t="n"/>
      <c r="E1142" s="34">
        <f t="array" ref="E1142">IF($B1142="","",IFERROR(INDEX(PERSONAL!$B$2:$B$80,MATCH($B1142,PERSONAL!$A$2:$A$80,0)),"NO EXISTE"))</f>
        <v/>
      </c>
      <c r="F1142" s="34">
        <f t="array" ref="F1142">IF($B1142="","",IFERROR(INDEX(PERSONAL!$C$2:$C$80,MATCH($B1142,PERSONAL!$A$2:$A$80,0)),""))</f>
        <v/>
      </c>
      <c r="G1142" s="34">
        <f>IF($A1142="","",CHOOSE(WEEKDAY($A1142,2),"LUNES","MARTES","MIÉRCOLES","JUEVES","VIERNES","SÁBADO","DOMINGO"))</f>
        <v/>
      </c>
      <c r="H1142" s="34">
        <f>IF($A1142="","",CHOOSE(MONTH($A1142),"ENERO","FEBRERO","MARZO","ABRIL","MAYO","JUNIO","JULIO","AGOSTO","SEPTIEMBRE","OCTUBRE","NOVIEMBRE","DICIEMBRE"))</f>
        <v/>
      </c>
      <c r="I1142" s="34">
        <f>IF($A1142="","",IF(OR($G1142="SÁBADO",$G1142="DOMINGO"),"FIN","LV"))</f>
        <v/>
      </c>
      <c r="J1142" s="34">
        <f>IF(OR($A1142="",$B1142=""),"",IF($L1142&lt;&gt;"",UPPER($L1142),IF($C1142="","FALTA",IFERROR(IF($C1142&gt;=$O1142,"ROJO FUERTE",IF($C1142&gt;=$N1142,"ROJO",IF($C1142&gt;=$M1142,"AMARILLO","VERDE"))),"REVISAR"))))</f>
        <v/>
      </c>
      <c r="K1142" s="36">
        <f>IF(OR($C1142="",$D1142=""),"",IF($D1142&gt;=$C1142,($D1142-$C1142)*24,(1-$C1142+$D1142)*24))</f>
        <v/>
      </c>
      <c r="L1142" s="34" t="n"/>
      <c r="M1142" s="53">
        <f t="array" ref="M1142">IFERROR(INDEX(EXCEPCIONES_FECHA!$D$2:$D$201,MATCH(1,(EXCEPCIONES_FECHA!$A$2:$A$201=$A1142)*(EXCEPCIONES_FECHA!$B$2:$B$201=$B1142),0)),IFERROR(INDEX(EXCEPCIONES_FECHA!$D$2:$D$201,MATCH(1,(EXCEPCIONES_FECHA!$A$2:$A$201=$A1142)*(EXCEPCIONES_FECHA!$B$2:$B$201=""),0)),IFERROR(INDEX(IF($I1142="FIN",HISTORIAL_HORARIOS!$J$2:$J$201,HISTORIAL_HORARIOS!$F$2:$F$201),MATCH(1,(HISTORIAL_HORARIOS!$A$2:$A$201=$B1142)*(HISTORIAL_HORARIOS!$C$2:$C$201&lt;=$A1142)*(HISTORIAL_HORARIOS!$D$2:$D$201&gt;=$A1142),0)),INDEX(IF($I1142="FIN",PERSONAL!$J$2:$J$80,PERSONAL!$F$2:$F$80),MATCH($B1142,PERSONAL!$A$2:$A$80,0)))))</f>
        <v/>
      </c>
      <c r="N1142" s="53">
        <f t="array" ref="N1142">IFERROR(INDEX(EXCEPCIONES_FECHA!$E$2:$E$201,MATCH(1,(EXCEPCIONES_FECHA!$A$2:$A$201=$A1142)*(EXCEPCIONES_FECHA!$B$2:$B$201=$B1142),0)),IFERROR(INDEX(EXCEPCIONES_FECHA!$E$2:$E$201,MATCH(1,(EXCEPCIONES_FECHA!$A$2:$A$201=$A1142)*(EXCEPCIONES_FECHA!$B$2:$B$201=""),0)),IFERROR(INDEX(IF($I1142="FIN",HISTORIAL_HORARIOS!$K$2:$K$201,HISTORIAL_HORARIOS!$G$2:$G$201),MATCH(1,(HISTORIAL_HORARIOS!$A$2:$A$201=$B1142)*(HISTORIAL_HORARIOS!$C$2:$C$201&lt;=$A1142)*(HISTORIAL_HORARIOS!$D$2:$D$201&gt;=$A1142),0)),INDEX(IF($I1142="FIN",PERSONAL!$K$2:$K$80,PERSONAL!$G$2:$G$80),MATCH($B1142,PERSONAL!$A$2:$A$80,0)))))</f>
        <v/>
      </c>
      <c r="O1142" s="53">
        <f t="array" ref="O1142">IFERROR(INDEX(EXCEPCIONES_FECHA!$F$2:$F$201,MATCH(1,(EXCEPCIONES_FECHA!$A$2:$A$201=$A1142)*(EXCEPCIONES_FECHA!$B$2:$B$201=$B1142),0)),IFERROR(INDEX(EXCEPCIONES_FECHA!$F$2:$F$201,MATCH(1,(EXCEPCIONES_FECHA!$A$2:$A$201=$A1142)*(EXCEPCIONES_FECHA!$B$2:$B$201=""),0)),IFERROR(INDEX(IF($I1142="FIN",HISTORIAL_HORARIOS!$L$2:$L$201,HISTORIAL_HORARIOS!$H$2:$H$201),MATCH(1,(HISTORIAL_HORARIOS!$A$2:$A$201=$B1142)*(HISTORIAL_HORARIOS!$C$2:$C$201&lt;=$A1142)*(HISTORIAL_HORARIOS!$D$2:$D$201&gt;=$A1142),0)),INDEX(IF($I1142="FIN",PERSONAL!$L$2:$L$80,PERSONAL!$H$2:$H$80),MATCH($B1142,PERSONAL!$A$2:$A$80,0)))))</f>
        <v/>
      </c>
    </row>
    <row r="1143" ht="15" customHeight="1" s="58">
      <c r="A1143" s="40" t="n"/>
      <c r="B1143" s="38" t="n"/>
      <c r="C1143" s="40" t="n"/>
      <c r="D1143" s="40" t="n"/>
      <c r="E1143" s="34">
        <f t="array" ref="E1143">IF($B1143="","",IFERROR(INDEX(PERSONAL!$B$2:$B$80,MATCH($B1143,PERSONAL!$A$2:$A$80,0)),"NO EXISTE"))</f>
        <v/>
      </c>
      <c r="F1143" s="34">
        <f t="array" ref="F1143">IF($B1143="","",IFERROR(INDEX(PERSONAL!$C$2:$C$80,MATCH($B1143,PERSONAL!$A$2:$A$80,0)),""))</f>
        <v/>
      </c>
      <c r="G1143" s="34">
        <f>IF($A1143="","",CHOOSE(WEEKDAY($A1143,2),"LUNES","MARTES","MIÉRCOLES","JUEVES","VIERNES","SÁBADO","DOMINGO"))</f>
        <v/>
      </c>
      <c r="H1143" s="34">
        <f>IF($A1143="","",CHOOSE(MONTH($A1143),"ENERO","FEBRERO","MARZO","ABRIL","MAYO","JUNIO","JULIO","AGOSTO","SEPTIEMBRE","OCTUBRE","NOVIEMBRE","DICIEMBRE"))</f>
        <v/>
      </c>
      <c r="I1143" s="34">
        <f>IF($A1143="","",IF(OR($G1143="SÁBADO",$G1143="DOMINGO"),"FIN","LV"))</f>
        <v/>
      </c>
      <c r="J1143" s="34">
        <f>IF(OR($A1143="",$B1143=""),"",IF($L1143&lt;&gt;"",UPPER($L1143),IF($C1143="","FALTA",IFERROR(IF($C1143&gt;=$O1143,"ROJO FUERTE",IF($C1143&gt;=$N1143,"ROJO",IF($C1143&gt;=$M1143,"AMARILLO","VERDE"))),"REVISAR"))))</f>
        <v/>
      </c>
      <c r="K1143" s="36">
        <f>IF(OR($C1143="",$D1143=""),"",IF($D1143&gt;=$C1143,($D1143-$C1143)*24,(1-$C1143+$D1143)*24))</f>
        <v/>
      </c>
      <c r="L1143" s="34" t="n"/>
      <c r="M1143" s="53">
        <f t="array" ref="M1143">IFERROR(INDEX(EXCEPCIONES_FECHA!$D$2:$D$201,MATCH(1,(EXCEPCIONES_FECHA!$A$2:$A$201=$A1143)*(EXCEPCIONES_FECHA!$B$2:$B$201=$B1143),0)),IFERROR(INDEX(EXCEPCIONES_FECHA!$D$2:$D$201,MATCH(1,(EXCEPCIONES_FECHA!$A$2:$A$201=$A1143)*(EXCEPCIONES_FECHA!$B$2:$B$201=""),0)),IFERROR(INDEX(IF($I1143="FIN",HISTORIAL_HORARIOS!$J$2:$J$201,HISTORIAL_HORARIOS!$F$2:$F$201),MATCH(1,(HISTORIAL_HORARIOS!$A$2:$A$201=$B1143)*(HISTORIAL_HORARIOS!$C$2:$C$201&lt;=$A1143)*(HISTORIAL_HORARIOS!$D$2:$D$201&gt;=$A1143),0)),INDEX(IF($I1143="FIN",PERSONAL!$J$2:$J$80,PERSONAL!$F$2:$F$80),MATCH($B1143,PERSONAL!$A$2:$A$80,0)))))</f>
        <v/>
      </c>
      <c r="N1143" s="53">
        <f t="array" ref="N1143">IFERROR(INDEX(EXCEPCIONES_FECHA!$E$2:$E$201,MATCH(1,(EXCEPCIONES_FECHA!$A$2:$A$201=$A1143)*(EXCEPCIONES_FECHA!$B$2:$B$201=$B1143),0)),IFERROR(INDEX(EXCEPCIONES_FECHA!$E$2:$E$201,MATCH(1,(EXCEPCIONES_FECHA!$A$2:$A$201=$A1143)*(EXCEPCIONES_FECHA!$B$2:$B$201=""),0)),IFERROR(INDEX(IF($I1143="FIN",HISTORIAL_HORARIOS!$K$2:$K$201,HISTORIAL_HORARIOS!$G$2:$G$201),MATCH(1,(HISTORIAL_HORARIOS!$A$2:$A$201=$B1143)*(HISTORIAL_HORARIOS!$C$2:$C$201&lt;=$A1143)*(HISTORIAL_HORARIOS!$D$2:$D$201&gt;=$A1143),0)),INDEX(IF($I1143="FIN",PERSONAL!$K$2:$K$80,PERSONAL!$G$2:$G$80),MATCH($B1143,PERSONAL!$A$2:$A$80,0)))))</f>
        <v/>
      </c>
      <c r="O1143" s="53">
        <f t="array" ref="O1143">IFERROR(INDEX(EXCEPCIONES_FECHA!$F$2:$F$201,MATCH(1,(EXCEPCIONES_FECHA!$A$2:$A$201=$A1143)*(EXCEPCIONES_FECHA!$B$2:$B$201=$B1143),0)),IFERROR(INDEX(EXCEPCIONES_FECHA!$F$2:$F$201,MATCH(1,(EXCEPCIONES_FECHA!$A$2:$A$201=$A1143)*(EXCEPCIONES_FECHA!$B$2:$B$201=""),0)),IFERROR(INDEX(IF($I1143="FIN",HISTORIAL_HORARIOS!$L$2:$L$201,HISTORIAL_HORARIOS!$H$2:$H$201),MATCH(1,(HISTORIAL_HORARIOS!$A$2:$A$201=$B1143)*(HISTORIAL_HORARIOS!$C$2:$C$201&lt;=$A1143)*(HISTORIAL_HORARIOS!$D$2:$D$201&gt;=$A1143),0)),INDEX(IF($I1143="FIN",PERSONAL!$L$2:$L$80,PERSONAL!$H$2:$H$80),MATCH($B1143,PERSONAL!$A$2:$A$80,0)))))</f>
        <v/>
      </c>
    </row>
    <row r="1144" ht="15" customHeight="1" s="58">
      <c r="A1144" s="40" t="n"/>
      <c r="B1144" s="38" t="n"/>
      <c r="C1144" s="40" t="n"/>
      <c r="D1144" s="40" t="n"/>
      <c r="E1144" s="34">
        <f t="array" ref="E1144">IF($B1144="","",IFERROR(INDEX(PERSONAL!$B$2:$B$80,MATCH($B1144,PERSONAL!$A$2:$A$80,0)),"NO EXISTE"))</f>
        <v/>
      </c>
      <c r="F1144" s="34">
        <f t="array" ref="F1144">IF($B1144="","",IFERROR(INDEX(PERSONAL!$C$2:$C$80,MATCH($B1144,PERSONAL!$A$2:$A$80,0)),""))</f>
        <v/>
      </c>
      <c r="G1144" s="34">
        <f>IF($A1144="","",CHOOSE(WEEKDAY($A1144,2),"LUNES","MARTES","MIÉRCOLES","JUEVES","VIERNES","SÁBADO","DOMINGO"))</f>
        <v/>
      </c>
      <c r="H1144" s="34">
        <f>IF($A1144="","",CHOOSE(MONTH($A1144),"ENERO","FEBRERO","MARZO","ABRIL","MAYO","JUNIO","JULIO","AGOSTO","SEPTIEMBRE","OCTUBRE","NOVIEMBRE","DICIEMBRE"))</f>
        <v/>
      </c>
      <c r="I1144" s="34">
        <f>IF($A1144="","",IF(OR($G1144="SÁBADO",$G1144="DOMINGO"),"FIN","LV"))</f>
        <v/>
      </c>
      <c r="J1144" s="34">
        <f>IF(OR($A1144="",$B1144=""),"",IF($L1144&lt;&gt;"",UPPER($L1144),IF($C1144="","FALTA",IFERROR(IF($C1144&gt;=$O1144,"ROJO FUERTE",IF($C1144&gt;=$N1144,"ROJO",IF($C1144&gt;=$M1144,"AMARILLO","VERDE"))),"REVISAR"))))</f>
        <v/>
      </c>
      <c r="K1144" s="36">
        <f>IF(OR($C1144="",$D1144=""),"",IF($D1144&gt;=$C1144,($D1144-$C1144)*24,(1-$C1144+$D1144)*24))</f>
        <v/>
      </c>
      <c r="L1144" s="34" t="n"/>
      <c r="M1144" s="53">
        <f t="array" ref="M1144">IFERROR(INDEX(EXCEPCIONES_FECHA!$D$2:$D$201,MATCH(1,(EXCEPCIONES_FECHA!$A$2:$A$201=$A1144)*(EXCEPCIONES_FECHA!$B$2:$B$201=$B1144),0)),IFERROR(INDEX(EXCEPCIONES_FECHA!$D$2:$D$201,MATCH(1,(EXCEPCIONES_FECHA!$A$2:$A$201=$A1144)*(EXCEPCIONES_FECHA!$B$2:$B$201=""),0)),IFERROR(INDEX(IF($I1144="FIN",HISTORIAL_HORARIOS!$J$2:$J$201,HISTORIAL_HORARIOS!$F$2:$F$201),MATCH(1,(HISTORIAL_HORARIOS!$A$2:$A$201=$B1144)*(HISTORIAL_HORARIOS!$C$2:$C$201&lt;=$A1144)*(HISTORIAL_HORARIOS!$D$2:$D$201&gt;=$A1144),0)),INDEX(IF($I1144="FIN",PERSONAL!$J$2:$J$80,PERSONAL!$F$2:$F$80),MATCH($B1144,PERSONAL!$A$2:$A$80,0)))))</f>
        <v/>
      </c>
      <c r="N1144" s="53">
        <f t="array" ref="N1144">IFERROR(INDEX(EXCEPCIONES_FECHA!$E$2:$E$201,MATCH(1,(EXCEPCIONES_FECHA!$A$2:$A$201=$A1144)*(EXCEPCIONES_FECHA!$B$2:$B$201=$B1144),0)),IFERROR(INDEX(EXCEPCIONES_FECHA!$E$2:$E$201,MATCH(1,(EXCEPCIONES_FECHA!$A$2:$A$201=$A1144)*(EXCEPCIONES_FECHA!$B$2:$B$201=""),0)),IFERROR(INDEX(IF($I1144="FIN",HISTORIAL_HORARIOS!$K$2:$K$201,HISTORIAL_HORARIOS!$G$2:$G$201),MATCH(1,(HISTORIAL_HORARIOS!$A$2:$A$201=$B1144)*(HISTORIAL_HORARIOS!$C$2:$C$201&lt;=$A1144)*(HISTORIAL_HORARIOS!$D$2:$D$201&gt;=$A1144),0)),INDEX(IF($I1144="FIN",PERSONAL!$K$2:$K$80,PERSONAL!$G$2:$G$80),MATCH($B1144,PERSONAL!$A$2:$A$80,0)))))</f>
        <v/>
      </c>
      <c r="O1144" s="53">
        <f t="array" ref="O1144">IFERROR(INDEX(EXCEPCIONES_FECHA!$F$2:$F$201,MATCH(1,(EXCEPCIONES_FECHA!$A$2:$A$201=$A1144)*(EXCEPCIONES_FECHA!$B$2:$B$201=$B1144),0)),IFERROR(INDEX(EXCEPCIONES_FECHA!$F$2:$F$201,MATCH(1,(EXCEPCIONES_FECHA!$A$2:$A$201=$A1144)*(EXCEPCIONES_FECHA!$B$2:$B$201=""),0)),IFERROR(INDEX(IF($I1144="FIN",HISTORIAL_HORARIOS!$L$2:$L$201,HISTORIAL_HORARIOS!$H$2:$H$201),MATCH(1,(HISTORIAL_HORARIOS!$A$2:$A$201=$B1144)*(HISTORIAL_HORARIOS!$C$2:$C$201&lt;=$A1144)*(HISTORIAL_HORARIOS!$D$2:$D$201&gt;=$A1144),0)),INDEX(IF($I1144="FIN",PERSONAL!$L$2:$L$80,PERSONAL!$H$2:$H$80),MATCH($B1144,PERSONAL!$A$2:$A$80,0)))))</f>
        <v/>
      </c>
    </row>
    <row r="1145" ht="15" customHeight="1" s="58">
      <c r="A1145" s="40" t="n"/>
      <c r="B1145" s="38" t="n"/>
      <c r="C1145" s="40" t="n"/>
      <c r="D1145" s="40" t="n"/>
      <c r="E1145" s="34">
        <f t="array" ref="E1145">IF($B1145="","",IFERROR(INDEX(PERSONAL!$B$2:$B$80,MATCH($B1145,PERSONAL!$A$2:$A$80,0)),"NO EXISTE"))</f>
        <v/>
      </c>
      <c r="F1145" s="34">
        <f t="array" ref="F1145">IF($B1145="","",IFERROR(INDEX(PERSONAL!$C$2:$C$80,MATCH($B1145,PERSONAL!$A$2:$A$80,0)),""))</f>
        <v/>
      </c>
      <c r="G1145" s="34">
        <f>IF($A1145="","",CHOOSE(WEEKDAY($A1145,2),"LUNES","MARTES","MIÉRCOLES","JUEVES","VIERNES","SÁBADO","DOMINGO"))</f>
        <v/>
      </c>
      <c r="H1145" s="34">
        <f>IF($A1145="","",CHOOSE(MONTH($A1145),"ENERO","FEBRERO","MARZO","ABRIL","MAYO","JUNIO","JULIO","AGOSTO","SEPTIEMBRE","OCTUBRE","NOVIEMBRE","DICIEMBRE"))</f>
        <v/>
      </c>
      <c r="I1145" s="34">
        <f>IF($A1145="","",IF(OR($G1145="SÁBADO",$G1145="DOMINGO"),"FIN","LV"))</f>
        <v/>
      </c>
      <c r="J1145" s="34">
        <f>IF(OR($A1145="",$B1145=""),"",IF($L1145&lt;&gt;"",UPPER($L1145),IF($C1145="","FALTA",IFERROR(IF($C1145&gt;=$O1145,"ROJO FUERTE",IF($C1145&gt;=$N1145,"ROJO",IF($C1145&gt;=$M1145,"AMARILLO","VERDE"))),"REVISAR"))))</f>
        <v/>
      </c>
      <c r="K1145" s="36">
        <f>IF(OR($C1145="",$D1145=""),"",IF($D1145&gt;=$C1145,($D1145-$C1145)*24,(1-$C1145+$D1145)*24))</f>
        <v/>
      </c>
      <c r="L1145" s="34" t="n"/>
      <c r="M1145" s="53">
        <f t="array" ref="M1145">IFERROR(INDEX(EXCEPCIONES_FECHA!$D$2:$D$201,MATCH(1,(EXCEPCIONES_FECHA!$A$2:$A$201=$A1145)*(EXCEPCIONES_FECHA!$B$2:$B$201=$B1145),0)),IFERROR(INDEX(EXCEPCIONES_FECHA!$D$2:$D$201,MATCH(1,(EXCEPCIONES_FECHA!$A$2:$A$201=$A1145)*(EXCEPCIONES_FECHA!$B$2:$B$201=""),0)),IFERROR(INDEX(IF($I1145="FIN",HISTORIAL_HORARIOS!$J$2:$J$201,HISTORIAL_HORARIOS!$F$2:$F$201),MATCH(1,(HISTORIAL_HORARIOS!$A$2:$A$201=$B1145)*(HISTORIAL_HORARIOS!$C$2:$C$201&lt;=$A1145)*(HISTORIAL_HORARIOS!$D$2:$D$201&gt;=$A1145),0)),INDEX(IF($I1145="FIN",PERSONAL!$J$2:$J$80,PERSONAL!$F$2:$F$80),MATCH($B1145,PERSONAL!$A$2:$A$80,0)))))</f>
        <v/>
      </c>
      <c r="N1145" s="53">
        <f t="array" ref="N1145">IFERROR(INDEX(EXCEPCIONES_FECHA!$E$2:$E$201,MATCH(1,(EXCEPCIONES_FECHA!$A$2:$A$201=$A1145)*(EXCEPCIONES_FECHA!$B$2:$B$201=$B1145),0)),IFERROR(INDEX(EXCEPCIONES_FECHA!$E$2:$E$201,MATCH(1,(EXCEPCIONES_FECHA!$A$2:$A$201=$A1145)*(EXCEPCIONES_FECHA!$B$2:$B$201=""),0)),IFERROR(INDEX(IF($I1145="FIN",HISTORIAL_HORARIOS!$K$2:$K$201,HISTORIAL_HORARIOS!$G$2:$G$201),MATCH(1,(HISTORIAL_HORARIOS!$A$2:$A$201=$B1145)*(HISTORIAL_HORARIOS!$C$2:$C$201&lt;=$A1145)*(HISTORIAL_HORARIOS!$D$2:$D$201&gt;=$A1145),0)),INDEX(IF($I1145="FIN",PERSONAL!$K$2:$K$80,PERSONAL!$G$2:$G$80),MATCH($B1145,PERSONAL!$A$2:$A$80,0)))))</f>
        <v/>
      </c>
      <c r="O1145" s="53">
        <f t="array" ref="O1145">IFERROR(INDEX(EXCEPCIONES_FECHA!$F$2:$F$201,MATCH(1,(EXCEPCIONES_FECHA!$A$2:$A$201=$A1145)*(EXCEPCIONES_FECHA!$B$2:$B$201=$B1145),0)),IFERROR(INDEX(EXCEPCIONES_FECHA!$F$2:$F$201,MATCH(1,(EXCEPCIONES_FECHA!$A$2:$A$201=$A1145)*(EXCEPCIONES_FECHA!$B$2:$B$201=""),0)),IFERROR(INDEX(IF($I1145="FIN",HISTORIAL_HORARIOS!$L$2:$L$201,HISTORIAL_HORARIOS!$H$2:$H$201),MATCH(1,(HISTORIAL_HORARIOS!$A$2:$A$201=$B1145)*(HISTORIAL_HORARIOS!$C$2:$C$201&lt;=$A1145)*(HISTORIAL_HORARIOS!$D$2:$D$201&gt;=$A1145),0)),INDEX(IF($I1145="FIN",PERSONAL!$L$2:$L$80,PERSONAL!$H$2:$H$80),MATCH($B1145,PERSONAL!$A$2:$A$80,0)))))</f>
        <v/>
      </c>
    </row>
    <row r="1146" ht="15" customHeight="1" s="58">
      <c r="A1146" s="40" t="n"/>
      <c r="B1146" s="38" t="n"/>
      <c r="C1146" s="40" t="n"/>
      <c r="D1146" s="40" t="n"/>
      <c r="E1146" s="34">
        <f t="array" ref="E1146">IF($B1146="","",IFERROR(INDEX(PERSONAL!$B$2:$B$80,MATCH($B1146,PERSONAL!$A$2:$A$80,0)),"NO EXISTE"))</f>
        <v/>
      </c>
      <c r="F1146" s="34">
        <f t="array" ref="F1146">IF($B1146="","",IFERROR(INDEX(PERSONAL!$C$2:$C$80,MATCH($B1146,PERSONAL!$A$2:$A$80,0)),""))</f>
        <v/>
      </c>
      <c r="G1146" s="34">
        <f>IF($A1146="","",CHOOSE(WEEKDAY($A1146,2),"LUNES","MARTES","MIÉRCOLES","JUEVES","VIERNES","SÁBADO","DOMINGO"))</f>
        <v/>
      </c>
      <c r="H1146" s="34">
        <f>IF($A1146="","",CHOOSE(MONTH($A1146),"ENERO","FEBRERO","MARZO","ABRIL","MAYO","JUNIO","JULIO","AGOSTO","SEPTIEMBRE","OCTUBRE","NOVIEMBRE","DICIEMBRE"))</f>
        <v/>
      </c>
      <c r="I1146" s="34">
        <f>IF($A1146="","",IF(OR($G1146="SÁBADO",$G1146="DOMINGO"),"FIN","LV"))</f>
        <v/>
      </c>
      <c r="J1146" s="34">
        <f>IF(OR($A1146="",$B1146=""),"",IF($L1146&lt;&gt;"",UPPER($L1146),IF($C1146="","FALTA",IFERROR(IF($C1146&gt;=$O1146,"ROJO FUERTE",IF($C1146&gt;=$N1146,"ROJO",IF($C1146&gt;=$M1146,"AMARILLO","VERDE"))),"REVISAR"))))</f>
        <v/>
      </c>
      <c r="K1146" s="36">
        <f>IF(OR($C1146="",$D1146=""),"",IF($D1146&gt;=$C1146,($D1146-$C1146)*24,(1-$C1146+$D1146)*24))</f>
        <v/>
      </c>
      <c r="L1146" s="34" t="n"/>
      <c r="M1146" s="53">
        <f t="array" ref="M1146">IFERROR(INDEX(EXCEPCIONES_FECHA!$D$2:$D$201,MATCH(1,(EXCEPCIONES_FECHA!$A$2:$A$201=$A1146)*(EXCEPCIONES_FECHA!$B$2:$B$201=$B1146),0)),IFERROR(INDEX(EXCEPCIONES_FECHA!$D$2:$D$201,MATCH(1,(EXCEPCIONES_FECHA!$A$2:$A$201=$A1146)*(EXCEPCIONES_FECHA!$B$2:$B$201=""),0)),IFERROR(INDEX(IF($I1146="FIN",HISTORIAL_HORARIOS!$J$2:$J$201,HISTORIAL_HORARIOS!$F$2:$F$201),MATCH(1,(HISTORIAL_HORARIOS!$A$2:$A$201=$B1146)*(HISTORIAL_HORARIOS!$C$2:$C$201&lt;=$A1146)*(HISTORIAL_HORARIOS!$D$2:$D$201&gt;=$A1146),0)),INDEX(IF($I1146="FIN",PERSONAL!$J$2:$J$80,PERSONAL!$F$2:$F$80),MATCH($B1146,PERSONAL!$A$2:$A$80,0)))))</f>
        <v/>
      </c>
      <c r="N1146" s="53">
        <f t="array" ref="N1146">IFERROR(INDEX(EXCEPCIONES_FECHA!$E$2:$E$201,MATCH(1,(EXCEPCIONES_FECHA!$A$2:$A$201=$A1146)*(EXCEPCIONES_FECHA!$B$2:$B$201=$B1146),0)),IFERROR(INDEX(EXCEPCIONES_FECHA!$E$2:$E$201,MATCH(1,(EXCEPCIONES_FECHA!$A$2:$A$201=$A1146)*(EXCEPCIONES_FECHA!$B$2:$B$201=""),0)),IFERROR(INDEX(IF($I1146="FIN",HISTORIAL_HORARIOS!$K$2:$K$201,HISTORIAL_HORARIOS!$G$2:$G$201),MATCH(1,(HISTORIAL_HORARIOS!$A$2:$A$201=$B1146)*(HISTORIAL_HORARIOS!$C$2:$C$201&lt;=$A1146)*(HISTORIAL_HORARIOS!$D$2:$D$201&gt;=$A1146),0)),INDEX(IF($I1146="FIN",PERSONAL!$K$2:$K$80,PERSONAL!$G$2:$G$80),MATCH($B1146,PERSONAL!$A$2:$A$80,0)))))</f>
        <v/>
      </c>
      <c r="O1146" s="53">
        <f t="array" ref="O1146">IFERROR(INDEX(EXCEPCIONES_FECHA!$F$2:$F$201,MATCH(1,(EXCEPCIONES_FECHA!$A$2:$A$201=$A1146)*(EXCEPCIONES_FECHA!$B$2:$B$201=$B1146),0)),IFERROR(INDEX(EXCEPCIONES_FECHA!$F$2:$F$201,MATCH(1,(EXCEPCIONES_FECHA!$A$2:$A$201=$A1146)*(EXCEPCIONES_FECHA!$B$2:$B$201=""),0)),IFERROR(INDEX(IF($I1146="FIN",HISTORIAL_HORARIOS!$L$2:$L$201,HISTORIAL_HORARIOS!$H$2:$H$201),MATCH(1,(HISTORIAL_HORARIOS!$A$2:$A$201=$B1146)*(HISTORIAL_HORARIOS!$C$2:$C$201&lt;=$A1146)*(HISTORIAL_HORARIOS!$D$2:$D$201&gt;=$A1146),0)),INDEX(IF($I1146="FIN",PERSONAL!$L$2:$L$80,PERSONAL!$H$2:$H$80),MATCH($B1146,PERSONAL!$A$2:$A$80,0)))))</f>
        <v/>
      </c>
    </row>
    <row r="1147" ht="15" customHeight="1" s="58">
      <c r="A1147" s="40" t="n"/>
      <c r="B1147" s="38" t="n"/>
      <c r="C1147" s="40" t="n"/>
      <c r="D1147" s="40" t="n"/>
      <c r="E1147" s="34">
        <f t="array" ref="E1147">IF($B1147="","",IFERROR(INDEX(PERSONAL!$B$2:$B$80,MATCH($B1147,PERSONAL!$A$2:$A$80,0)),"NO EXISTE"))</f>
        <v/>
      </c>
      <c r="F1147" s="34">
        <f t="array" ref="F1147">IF($B1147="","",IFERROR(INDEX(PERSONAL!$C$2:$C$80,MATCH($B1147,PERSONAL!$A$2:$A$80,0)),""))</f>
        <v/>
      </c>
      <c r="G1147" s="34">
        <f>IF($A1147="","",CHOOSE(WEEKDAY($A1147,2),"LUNES","MARTES","MIÉRCOLES","JUEVES","VIERNES","SÁBADO","DOMINGO"))</f>
        <v/>
      </c>
      <c r="H1147" s="34">
        <f>IF($A1147="","",CHOOSE(MONTH($A1147),"ENERO","FEBRERO","MARZO","ABRIL","MAYO","JUNIO","JULIO","AGOSTO","SEPTIEMBRE","OCTUBRE","NOVIEMBRE","DICIEMBRE"))</f>
        <v/>
      </c>
      <c r="I1147" s="34">
        <f>IF($A1147="","",IF(OR($G1147="SÁBADO",$G1147="DOMINGO"),"FIN","LV"))</f>
        <v/>
      </c>
      <c r="J1147" s="34">
        <f>IF(OR($A1147="",$B1147=""),"",IF($L1147&lt;&gt;"",UPPER($L1147),IF($C1147="","FALTA",IFERROR(IF($C1147&gt;=$O1147,"ROJO FUERTE",IF($C1147&gt;=$N1147,"ROJO",IF($C1147&gt;=$M1147,"AMARILLO","VERDE"))),"REVISAR"))))</f>
        <v/>
      </c>
      <c r="K1147" s="36">
        <f>IF(OR($C1147="",$D1147=""),"",IF($D1147&gt;=$C1147,($D1147-$C1147)*24,(1-$C1147+$D1147)*24))</f>
        <v/>
      </c>
      <c r="L1147" s="34" t="n"/>
      <c r="M1147" s="53">
        <f t="array" ref="M1147">IFERROR(INDEX(EXCEPCIONES_FECHA!$D$2:$D$201,MATCH(1,(EXCEPCIONES_FECHA!$A$2:$A$201=$A1147)*(EXCEPCIONES_FECHA!$B$2:$B$201=$B1147),0)),IFERROR(INDEX(EXCEPCIONES_FECHA!$D$2:$D$201,MATCH(1,(EXCEPCIONES_FECHA!$A$2:$A$201=$A1147)*(EXCEPCIONES_FECHA!$B$2:$B$201=""),0)),IFERROR(INDEX(IF($I1147="FIN",HISTORIAL_HORARIOS!$J$2:$J$201,HISTORIAL_HORARIOS!$F$2:$F$201),MATCH(1,(HISTORIAL_HORARIOS!$A$2:$A$201=$B1147)*(HISTORIAL_HORARIOS!$C$2:$C$201&lt;=$A1147)*(HISTORIAL_HORARIOS!$D$2:$D$201&gt;=$A1147),0)),INDEX(IF($I1147="FIN",PERSONAL!$J$2:$J$80,PERSONAL!$F$2:$F$80),MATCH($B1147,PERSONAL!$A$2:$A$80,0)))))</f>
        <v/>
      </c>
      <c r="N1147" s="53">
        <f t="array" ref="N1147">IFERROR(INDEX(EXCEPCIONES_FECHA!$E$2:$E$201,MATCH(1,(EXCEPCIONES_FECHA!$A$2:$A$201=$A1147)*(EXCEPCIONES_FECHA!$B$2:$B$201=$B1147),0)),IFERROR(INDEX(EXCEPCIONES_FECHA!$E$2:$E$201,MATCH(1,(EXCEPCIONES_FECHA!$A$2:$A$201=$A1147)*(EXCEPCIONES_FECHA!$B$2:$B$201=""),0)),IFERROR(INDEX(IF($I1147="FIN",HISTORIAL_HORARIOS!$K$2:$K$201,HISTORIAL_HORARIOS!$G$2:$G$201),MATCH(1,(HISTORIAL_HORARIOS!$A$2:$A$201=$B1147)*(HISTORIAL_HORARIOS!$C$2:$C$201&lt;=$A1147)*(HISTORIAL_HORARIOS!$D$2:$D$201&gt;=$A1147),0)),INDEX(IF($I1147="FIN",PERSONAL!$K$2:$K$80,PERSONAL!$G$2:$G$80),MATCH($B1147,PERSONAL!$A$2:$A$80,0)))))</f>
        <v/>
      </c>
      <c r="O1147" s="53">
        <f t="array" ref="O1147">IFERROR(INDEX(EXCEPCIONES_FECHA!$F$2:$F$201,MATCH(1,(EXCEPCIONES_FECHA!$A$2:$A$201=$A1147)*(EXCEPCIONES_FECHA!$B$2:$B$201=$B1147),0)),IFERROR(INDEX(EXCEPCIONES_FECHA!$F$2:$F$201,MATCH(1,(EXCEPCIONES_FECHA!$A$2:$A$201=$A1147)*(EXCEPCIONES_FECHA!$B$2:$B$201=""),0)),IFERROR(INDEX(IF($I1147="FIN",HISTORIAL_HORARIOS!$L$2:$L$201,HISTORIAL_HORARIOS!$H$2:$H$201),MATCH(1,(HISTORIAL_HORARIOS!$A$2:$A$201=$B1147)*(HISTORIAL_HORARIOS!$C$2:$C$201&lt;=$A1147)*(HISTORIAL_HORARIOS!$D$2:$D$201&gt;=$A1147),0)),INDEX(IF($I1147="FIN",PERSONAL!$L$2:$L$80,PERSONAL!$H$2:$H$80),MATCH($B1147,PERSONAL!$A$2:$A$80,0)))))</f>
        <v/>
      </c>
    </row>
    <row r="1148" ht="15" customHeight="1" s="58">
      <c r="A1148" s="40" t="n"/>
      <c r="B1148" s="38" t="n"/>
      <c r="C1148" s="40" t="n"/>
      <c r="D1148" s="40" t="n"/>
      <c r="E1148" s="34">
        <f t="array" ref="E1148">IF($B1148="","",IFERROR(INDEX(PERSONAL!$B$2:$B$80,MATCH($B1148,PERSONAL!$A$2:$A$80,0)),"NO EXISTE"))</f>
        <v/>
      </c>
      <c r="F1148" s="34">
        <f t="array" ref="F1148">IF($B1148="","",IFERROR(INDEX(PERSONAL!$C$2:$C$80,MATCH($B1148,PERSONAL!$A$2:$A$80,0)),""))</f>
        <v/>
      </c>
      <c r="G1148" s="34">
        <f>IF($A1148="","",CHOOSE(WEEKDAY($A1148,2),"LUNES","MARTES","MIÉRCOLES","JUEVES","VIERNES","SÁBADO","DOMINGO"))</f>
        <v/>
      </c>
      <c r="H1148" s="34">
        <f>IF($A1148="","",CHOOSE(MONTH($A1148),"ENERO","FEBRERO","MARZO","ABRIL","MAYO","JUNIO","JULIO","AGOSTO","SEPTIEMBRE","OCTUBRE","NOVIEMBRE","DICIEMBRE"))</f>
        <v/>
      </c>
      <c r="I1148" s="34">
        <f>IF($A1148="","",IF(OR($G1148="SÁBADO",$G1148="DOMINGO"),"FIN","LV"))</f>
        <v/>
      </c>
      <c r="J1148" s="34">
        <f>IF(OR($A1148="",$B1148=""),"",IF($L1148&lt;&gt;"",UPPER($L1148),IF($C1148="","FALTA",IFERROR(IF($C1148&gt;=$O1148,"ROJO FUERTE",IF($C1148&gt;=$N1148,"ROJO",IF($C1148&gt;=$M1148,"AMARILLO","VERDE"))),"REVISAR"))))</f>
        <v/>
      </c>
      <c r="K1148" s="36">
        <f>IF(OR($C1148="",$D1148=""),"",IF($D1148&gt;=$C1148,($D1148-$C1148)*24,(1-$C1148+$D1148)*24))</f>
        <v/>
      </c>
      <c r="L1148" s="34" t="n"/>
      <c r="M1148" s="53">
        <f t="array" ref="M1148">IFERROR(INDEX(EXCEPCIONES_FECHA!$D$2:$D$201,MATCH(1,(EXCEPCIONES_FECHA!$A$2:$A$201=$A1148)*(EXCEPCIONES_FECHA!$B$2:$B$201=$B1148),0)),IFERROR(INDEX(EXCEPCIONES_FECHA!$D$2:$D$201,MATCH(1,(EXCEPCIONES_FECHA!$A$2:$A$201=$A1148)*(EXCEPCIONES_FECHA!$B$2:$B$201=""),0)),IFERROR(INDEX(IF($I1148="FIN",HISTORIAL_HORARIOS!$J$2:$J$201,HISTORIAL_HORARIOS!$F$2:$F$201),MATCH(1,(HISTORIAL_HORARIOS!$A$2:$A$201=$B1148)*(HISTORIAL_HORARIOS!$C$2:$C$201&lt;=$A1148)*(HISTORIAL_HORARIOS!$D$2:$D$201&gt;=$A1148),0)),INDEX(IF($I1148="FIN",PERSONAL!$J$2:$J$80,PERSONAL!$F$2:$F$80),MATCH($B1148,PERSONAL!$A$2:$A$80,0)))))</f>
        <v/>
      </c>
      <c r="N1148" s="53">
        <f t="array" ref="N1148">IFERROR(INDEX(EXCEPCIONES_FECHA!$E$2:$E$201,MATCH(1,(EXCEPCIONES_FECHA!$A$2:$A$201=$A1148)*(EXCEPCIONES_FECHA!$B$2:$B$201=$B1148),0)),IFERROR(INDEX(EXCEPCIONES_FECHA!$E$2:$E$201,MATCH(1,(EXCEPCIONES_FECHA!$A$2:$A$201=$A1148)*(EXCEPCIONES_FECHA!$B$2:$B$201=""),0)),IFERROR(INDEX(IF($I1148="FIN",HISTORIAL_HORARIOS!$K$2:$K$201,HISTORIAL_HORARIOS!$G$2:$G$201),MATCH(1,(HISTORIAL_HORARIOS!$A$2:$A$201=$B1148)*(HISTORIAL_HORARIOS!$C$2:$C$201&lt;=$A1148)*(HISTORIAL_HORARIOS!$D$2:$D$201&gt;=$A1148),0)),INDEX(IF($I1148="FIN",PERSONAL!$K$2:$K$80,PERSONAL!$G$2:$G$80),MATCH($B1148,PERSONAL!$A$2:$A$80,0)))))</f>
        <v/>
      </c>
      <c r="O1148" s="53">
        <f t="array" ref="O1148">IFERROR(INDEX(EXCEPCIONES_FECHA!$F$2:$F$201,MATCH(1,(EXCEPCIONES_FECHA!$A$2:$A$201=$A1148)*(EXCEPCIONES_FECHA!$B$2:$B$201=$B1148),0)),IFERROR(INDEX(EXCEPCIONES_FECHA!$F$2:$F$201,MATCH(1,(EXCEPCIONES_FECHA!$A$2:$A$201=$A1148)*(EXCEPCIONES_FECHA!$B$2:$B$201=""),0)),IFERROR(INDEX(IF($I1148="FIN",HISTORIAL_HORARIOS!$L$2:$L$201,HISTORIAL_HORARIOS!$H$2:$H$201),MATCH(1,(HISTORIAL_HORARIOS!$A$2:$A$201=$B1148)*(HISTORIAL_HORARIOS!$C$2:$C$201&lt;=$A1148)*(HISTORIAL_HORARIOS!$D$2:$D$201&gt;=$A1148),0)),INDEX(IF($I1148="FIN",PERSONAL!$L$2:$L$80,PERSONAL!$H$2:$H$80),MATCH($B1148,PERSONAL!$A$2:$A$80,0)))))</f>
        <v/>
      </c>
    </row>
    <row r="1149" ht="15" customHeight="1" s="58">
      <c r="A1149" s="40" t="n"/>
      <c r="B1149" s="38" t="n"/>
      <c r="C1149" s="40" t="n"/>
      <c r="D1149" s="40" t="n"/>
      <c r="E1149" s="34">
        <f t="array" ref="E1149">IF($B1149="","",IFERROR(INDEX(PERSONAL!$B$2:$B$80,MATCH($B1149,PERSONAL!$A$2:$A$80,0)),"NO EXISTE"))</f>
        <v/>
      </c>
      <c r="F1149" s="34">
        <f t="array" ref="F1149">IF($B1149="","",IFERROR(INDEX(PERSONAL!$C$2:$C$80,MATCH($B1149,PERSONAL!$A$2:$A$80,0)),""))</f>
        <v/>
      </c>
      <c r="G1149" s="34">
        <f>IF($A1149="","",CHOOSE(WEEKDAY($A1149,2),"LUNES","MARTES","MIÉRCOLES","JUEVES","VIERNES","SÁBADO","DOMINGO"))</f>
        <v/>
      </c>
      <c r="H1149" s="34">
        <f>IF($A1149="","",CHOOSE(MONTH($A1149),"ENERO","FEBRERO","MARZO","ABRIL","MAYO","JUNIO","JULIO","AGOSTO","SEPTIEMBRE","OCTUBRE","NOVIEMBRE","DICIEMBRE"))</f>
        <v/>
      </c>
      <c r="I1149" s="34">
        <f>IF($A1149="","",IF(OR($G1149="SÁBADO",$G1149="DOMINGO"),"FIN","LV"))</f>
        <v/>
      </c>
      <c r="J1149" s="34">
        <f>IF(OR($A1149="",$B1149=""),"",IF($L1149&lt;&gt;"",UPPER($L1149),IF($C1149="","FALTA",IFERROR(IF($C1149&gt;=$O1149,"ROJO FUERTE",IF($C1149&gt;=$N1149,"ROJO",IF($C1149&gt;=$M1149,"AMARILLO","VERDE"))),"REVISAR"))))</f>
        <v/>
      </c>
      <c r="K1149" s="36">
        <f>IF(OR($C1149="",$D1149=""),"",IF($D1149&gt;=$C1149,($D1149-$C1149)*24,(1-$C1149+$D1149)*24))</f>
        <v/>
      </c>
      <c r="L1149" s="34" t="n"/>
      <c r="M1149" s="53">
        <f t="array" ref="M1149">IFERROR(INDEX(EXCEPCIONES_FECHA!$D$2:$D$201,MATCH(1,(EXCEPCIONES_FECHA!$A$2:$A$201=$A1149)*(EXCEPCIONES_FECHA!$B$2:$B$201=$B1149),0)),IFERROR(INDEX(EXCEPCIONES_FECHA!$D$2:$D$201,MATCH(1,(EXCEPCIONES_FECHA!$A$2:$A$201=$A1149)*(EXCEPCIONES_FECHA!$B$2:$B$201=""),0)),IFERROR(INDEX(IF($I1149="FIN",HISTORIAL_HORARIOS!$J$2:$J$201,HISTORIAL_HORARIOS!$F$2:$F$201),MATCH(1,(HISTORIAL_HORARIOS!$A$2:$A$201=$B1149)*(HISTORIAL_HORARIOS!$C$2:$C$201&lt;=$A1149)*(HISTORIAL_HORARIOS!$D$2:$D$201&gt;=$A1149),0)),INDEX(IF($I1149="FIN",PERSONAL!$J$2:$J$80,PERSONAL!$F$2:$F$80),MATCH($B1149,PERSONAL!$A$2:$A$80,0)))))</f>
        <v/>
      </c>
      <c r="N1149" s="53">
        <f t="array" ref="N1149">IFERROR(INDEX(EXCEPCIONES_FECHA!$E$2:$E$201,MATCH(1,(EXCEPCIONES_FECHA!$A$2:$A$201=$A1149)*(EXCEPCIONES_FECHA!$B$2:$B$201=$B1149),0)),IFERROR(INDEX(EXCEPCIONES_FECHA!$E$2:$E$201,MATCH(1,(EXCEPCIONES_FECHA!$A$2:$A$201=$A1149)*(EXCEPCIONES_FECHA!$B$2:$B$201=""),0)),IFERROR(INDEX(IF($I1149="FIN",HISTORIAL_HORARIOS!$K$2:$K$201,HISTORIAL_HORARIOS!$G$2:$G$201),MATCH(1,(HISTORIAL_HORARIOS!$A$2:$A$201=$B1149)*(HISTORIAL_HORARIOS!$C$2:$C$201&lt;=$A1149)*(HISTORIAL_HORARIOS!$D$2:$D$201&gt;=$A1149),0)),INDEX(IF($I1149="FIN",PERSONAL!$K$2:$K$80,PERSONAL!$G$2:$G$80),MATCH($B1149,PERSONAL!$A$2:$A$80,0)))))</f>
        <v/>
      </c>
      <c r="O1149" s="53">
        <f t="array" ref="O1149">IFERROR(INDEX(EXCEPCIONES_FECHA!$F$2:$F$201,MATCH(1,(EXCEPCIONES_FECHA!$A$2:$A$201=$A1149)*(EXCEPCIONES_FECHA!$B$2:$B$201=$B1149),0)),IFERROR(INDEX(EXCEPCIONES_FECHA!$F$2:$F$201,MATCH(1,(EXCEPCIONES_FECHA!$A$2:$A$201=$A1149)*(EXCEPCIONES_FECHA!$B$2:$B$201=""),0)),IFERROR(INDEX(IF($I1149="FIN",HISTORIAL_HORARIOS!$L$2:$L$201,HISTORIAL_HORARIOS!$H$2:$H$201),MATCH(1,(HISTORIAL_HORARIOS!$A$2:$A$201=$B1149)*(HISTORIAL_HORARIOS!$C$2:$C$201&lt;=$A1149)*(HISTORIAL_HORARIOS!$D$2:$D$201&gt;=$A1149),0)),INDEX(IF($I1149="FIN",PERSONAL!$L$2:$L$80,PERSONAL!$H$2:$H$80),MATCH($B1149,PERSONAL!$A$2:$A$80,0)))))</f>
        <v/>
      </c>
    </row>
    <row r="1150" ht="15" customHeight="1" s="58">
      <c r="A1150" s="40" t="n"/>
      <c r="B1150" s="38" t="n"/>
      <c r="C1150" s="40" t="n"/>
      <c r="D1150" s="40" t="n"/>
      <c r="E1150" s="34">
        <f t="array" ref="E1150">IF($B1150="","",IFERROR(INDEX(PERSONAL!$B$2:$B$80,MATCH($B1150,PERSONAL!$A$2:$A$80,0)),"NO EXISTE"))</f>
        <v/>
      </c>
      <c r="F1150" s="34">
        <f t="array" ref="F1150">IF($B1150="","",IFERROR(INDEX(PERSONAL!$C$2:$C$80,MATCH($B1150,PERSONAL!$A$2:$A$80,0)),""))</f>
        <v/>
      </c>
      <c r="G1150" s="34">
        <f>IF($A1150="","",CHOOSE(WEEKDAY($A1150,2),"LUNES","MARTES","MIÉRCOLES","JUEVES","VIERNES","SÁBADO","DOMINGO"))</f>
        <v/>
      </c>
      <c r="H1150" s="34">
        <f>IF($A1150="","",CHOOSE(MONTH($A1150),"ENERO","FEBRERO","MARZO","ABRIL","MAYO","JUNIO","JULIO","AGOSTO","SEPTIEMBRE","OCTUBRE","NOVIEMBRE","DICIEMBRE"))</f>
        <v/>
      </c>
      <c r="I1150" s="34">
        <f>IF($A1150="","",IF(OR($G1150="SÁBADO",$G1150="DOMINGO"),"FIN","LV"))</f>
        <v/>
      </c>
      <c r="J1150" s="34">
        <f>IF(OR($A1150="",$B1150=""),"",IF($L1150&lt;&gt;"",UPPER($L1150),IF($C1150="","FALTA",IFERROR(IF($C1150&gt;=$O1150,"ROJO FUERTE",IF($C1150&gt;=$N1150,"ROJO",IF($C1150&gt;=$M1150,"AMARILLO","VERDE"))),"REVISAR"))))</f>
        <v/>
      </c>
      <c r="K1150" s="36">
        <f>IF(OR($C1150="",$D1150=""),"",IF($D1150&gt;=$C1150,($D1150-$C1150)*24,(1-$C1150+$D1150)*24))</f>
        <v/>
      </c>
      <c r="L1150" s="34" t="n"/>
      <c r="M1150" s="53">
        <f t="array" ref="M1150">IFERROR(INDEX(EXCEPCIONES_FECHA!$D$2:$D$201,MATCH(1,(EXCEPCIONES_FECHA!$A$2:$A$201=$A1150)*(EXCEPCIONES_FECHA!$B$2:$B$201=$B1150),0)),IFERROR(INDEX(EXCEPCIONES_FECHA!$D$2:$D$201,MATCH(1,(EXCEPCIONES_FECHA!$A$2:$A$201=$A1150)*(EXCEPCIONES_FECHA!$B$2:$B$201=""),0)),IFERROR(INDEX(IF($I1150="FIN",HISTORIAL_HORARIOS!$J$2:$J$201,HISTORIAL_HORARIOS!$F$2:$F$201),MATCH(1,(HISTORIAL_HORARIOS!$A$2:$A$201=$B1150)*(HISTORIAL_HORARIOS!$C$2:$C$201&lt;=$A1150)*(HISTORIAL_HORARIOS!$D$2:$D$201&gt;=$A1150),0)),INDEX(IF($I1150="FIN",PERSONAL!$J$2:$J$80,PERSONAL!$F$2:$F$80),MATCH($B1150,PERSONAL!$A$2:$A$80,0)))))</f>
        <v/>
      </c>
      <c r="N1150" s="53">
        <f t="array" ref="N1150">IFERROR(INDEX(EXCEPCIONES_FECHA!$E$2:$E$201,MATCH(1,(EXCEPCIONES_FECHA!$A$2:$A$201=$A1150)*(EXCEPCIONES_FECHA!$B$2:$B$201=$B1150),0)),IFERROR(INDEX(EXCEPCIONES_FECHA!$E$2:$E$201,MATCH(1,(EXCEPCIONES_FECHA!$A$2:$A$201=$A1150)*(EXCEPCIONES_FECHA!$B$2:$B$201=""),0)),IFERROR(INDEX(IF($I1150="FIN",HISTORIAL_HORARIOS!$K$2:$K$201,HISTORIAL_HORARIOS!$G$2:$G$201),MATCH(1,(HISTORIAL_HORARIOS!$A$2:$A$201=$B1150)*(HISTORIAL_HORARIOS!$C$2:$C$201&lt;=$A1150)*(HISTORIAL_HORARIOS!$D$2:$D$201&gt;=$A1150),0)),INDEX(IF($I1150="FIN",PERSONAL!$K$2:$K$80,PERSONAL!$G$2:$G$80),MATCH($B1150,PERSONAL!$A$2:$A$80,0)))))</f>
        <v/>
      </c>
      <c r="O1150" s="53">
        <f t="array" ref="O1150">IFERROR(INDEX(EXCEPCIONES_FECHA!$F$2:$F$201,MATCH(1,(EXCEPCIONES_FECHA!$A$2:$A$201=$A1150)*(EXCEPCIONES_FECHA!$B$2:$B$201=$B1150),0)),IFERROR(INDEX(EXCEPCIONES_FECHA!$F$2:$F$201,MATCH(1,(EXCEPCIONES_FECHA!$A$2:$A$201=$A1150)*(EXCEPCIONES_FECHA!$B$2:$B$201=""),0)),IFERROR(INDEX(IF($I1150="FIN",HISTORIAL_HORARIOS!$L$2:$L$201,HISTORIAL_HORARIOS!$H$2:$H$201),MATCH(1,(HISTORIAL_HORARIOS!$A$2:$A$201=$B1150)*(HISTORIAL_HORARIOS!$C$2:$C$201&lt;=$A1150)*(HISTORIAL_HORARIOS!$D$2:$D$201&gt;=$A1150),0)),INDEX(IF($I1150="FIN",PERSONAL!$L$2:$L$80,PERSONAL!$H$2:$H$80),MATCH($B1150,PERSONAL!$A$2:$A$80,0)))))</f>
        <v/>
      </c>
    </row>
    <row r="1151" ht="15" customHeight="1" s="58">
      <c r="A1151" s="40" t="n"/>
      <c r="B1151" s="38" t="n"/>
      <c r="C1151" s="40" t="n"/>
      <c r="D1151" s="40" t="n"/>
      <c r="E1151" s="34">
        <f t="array" ref="E1151">IF($B1151="","",IFERROR(INDEX(PERSONAL!$B$2:$B$80,MATCH($B1151,PERSONAL!$A$2:$A$80,0)),"NO EXISTE"))</f>
        <v/>
      </c>
      <c r="F1151" s="34">
        <f t="array" ref="F1151">IF($B1151="","",IFERROR(INDEX(PERSONAL!$C$2:$C$80,MATCH($B1151,PERSONAL!$A$2:$A$80,0)),""))</f>
        <v/>
      </c>
      <c r="G1151" s="34">
        <f>IF($A1151="","",CHOOSE(WEEKDAY($A1151,2),"LUNES","MARTES","MIÉRCOLES","JUEVES","VIERNES","SÁBADO","DOMINGO"))</f>
        <v/>
      </c>
      <c r="H1151" s="34">
        <f>IF($A1151="","",CHOOSE(MONTH($A1151),"ENERO","FEBRERO","MARZO","ABRIL","MAYO","JUNIO","JULIO","AGOSTO","SEPTIEMBRE","OCTUBRE","NOVIEMBRE","DICIEMBRE"))</f>
        <v/>
      </c>
      <c r="I1151" s="34">
        <f>IF($A1151="","",IF(OR($G1151="SÁBADO",$G1151="DOMINGO"),"FIN","LV"))</f>
        <v/>
      </c>
      <c r="J1151" s="34">
        <f>IF(OR($A1151="",$B1151=""),"",IF($L1151&lt;&gt;"",UPPER($L1151),IF($C1151="","FALTA",IFERROR(IF($C1151&gt;=$O1151,"ROJO FUERTE",IF($C1151&gt;=$N1151,"ROJO",IF($C1151&gt;=$M1151,"AMARILLO","VERDE"))),"REVISAR"))))</f>
        <v/>
      </c>
      <c r="K1151" s="36">
        <f>IF(OR($C1151="",$D1151=""),"",IF($D1151&gt;=$C1151,($D1151-$C1151)*24,(1-$C1151+$D1151)*24))</f>
        <v/>
      </c>
      <c r="L1151" s="34" t="n"/>
      <c r="M1151" s="53">
        <f t="array" ref="M1151">IFERROR(INDEX(EXCEPCIONES_FECHA!$D$2:$D$201,MATCH(1,(EXCEPCIONES_FECHA!$A$2:$A$201=$A1151)*(EXCEPCIONES_FECHA!$B$2:$B$201=$B1151),0)),IFERROR(INDEX(EXCEPCIONES_FECHA!$D$2:$D$201,MATCH(1,(EXCEPCIONES_FECHA!$A$2:$A$201=$A1151)*(EXCEPCIONES_FECHA!$B$2:$B$201=""),0)),IFERROR(INDEX(IF($I1151="FIN",HISTORIAL_HORARIOS!$J$2:$J$201,HISTORIAL_HORARIOS!$F$2:$F$201),MATCH(1,(HISTORIAL_HORARIOS!$A$2:$A$201=$B1151)*(HISTORIAL_HORARIOS!$C$2:$C$201&lt;=$A1151)*(HISTORIAL_HORARIOS!$D$2:$D$201&gt;=$A1151),0)),INDEX(IF($I1151="FIN",PERSONAL!$J$2:$J$80,PERSONAL!$F$2:$F$80),MATCH($B1151,PERSONAL!$A$2:$A$80,0)))))</f>
        <v/>
      </c>
      <c r="N1151" s="53">
        <f t="array" ref="N1151">IFERROR(INDEX(EXCEPCIONES_FECHA!$E$2:$E$201,MATCH(1,(EXCEPCIONES_FECHA!$A$2:$A$201=$A1151)*(EXCEPCIONES_FECHA!$B$2:$B$201=$B1151),0)),IFERROR(INDEX(EXCEPCIONES_FECHA!$E$2:$E$201,MATCH(1,(EXCEPCIONES_FECHA!$A$2:$A$201=$A1151)*(EXCEPCIONES_FECHA!$B$2:$B$201=""),0)),IFERROR(INDEX(IF($I1151="FIN",HISTORIAL_HORARIOS!$K$2:$K$201,HISTORIAL_HORARIOS!$G$2:$G$201),MATCH(1,(HISTORIAL_HORARIOS!$A$2:$A$201=$B1151)*(HISTORIAL_HORARIOS!$C$2:$C$201&lt;=$A1151)*(HISTORIAL_HORARIOS!$D$2:$D$201&gt;=$A1151),0)),INDEX(IF($I1151="FIN",PERSONAL!$K$2:$K$80,PERSONAL!$G$2:$G$80),MATCH($B1151,PERSONAL!$A$2:$A$80,0)))))</f>
        <v/>
      </c>
      <c r="O1151" s="53">
        <f t="array" ref="O1151">IFERROR(INDEX(EXCEPCIONES_FECHA!$F$2:$F$201,MATCH(1,(EXCEPCIONES_FECHA!$A$2:$A$201=$A1151)*(EXCEPCIONES_FECHA!$B$2:$B$201=$B1151),0)),IFERROR(INDEX(EXCEPCIONES_FECHA!$F$2:$F$201,MATCH(1,(EXCEPCIONES_FECHA!$A$2:$A$201=$A1151)*(EXCEPCIONES_FECHA!$B$2:$B$201=""),0)),IFERROR(INDEX(IF($I1151="FIN",HISTORIAL_HORARIOS!$L$2:$L$201,HISTORIAL_HORARIOS!$H$2:$H$201),MATCH(1,(HISTORIAL_HORARIOS!$A$2:$A$201=$B1151)*(HISTORIAL_HORARIOS!$C$2:$C$201&lt;=$A1151)*(HISTORIAL_HORARIOS!$D$2:$D$201&gt;=$A1151),0)),INDEX(IF($I1151="FIN",PERSONAL!$L$2:$L$80,PERSONAL!$H$2:$H$80),MATCH($B1151,PERSONAL!$A$2:$A$80,0)))))</f>
        <v/>
      </c>
    </row>
    <row r="1152" ht="15" customHeight="1" s="58">
      <c r="A1152" s="40" t="n"/>
      <c r="B1152" s="38" t="n"/>
      <c r="C1152" s="40" t="n"/>
      <c r="D1152" s="40" t="n"/>
      <c r="E1152" s="34">
        <f t="array" ref="E1152">IF($B1152="","",IFERROR(INDEX(PERSONAL!$B$2:$B$80,MATCH($B1152,PERSONAL!$A$2:$A$80,0)),"NO EXISTE"))</f>
        <v/>
      </c>
      <c r="F1152" s="34">
        <f t="array" ref="F1152">IF($B1152="","",IFERROR(INDEX(PERSONAL!$C$2:$C$80,MATCH($B1152,PERSONAL!$A$2:$A$80,0)),""))</f>
        <v/>
      </c>
      <c r="G1152" s="34">
        <f>IF($A1152="","",CHOOSE(WEEKDAY($A1152,2),"LUNES","MARTES","MIÉRCOLES","JUEVES","VIERNES","SÁBADO","DOMINGO"))</f>
        <v/>
      </c>
      <c r="H1152" s="34">
        <f>IF($A1152="","",CHOOSE(MONTH($A1152),"ENERO","FEBRERO","MARZO","ABRIL","MAYO","JUNIO","JULIO","AGOSTO","SEPTIEMBRE","OCTUBRE","NOVIEMBRE","DICIEMBRE"))</f>
        <v/>
      </c>
      <c r="I1152" s="34">
        <f>IF($A1152="","",IF(OR($G1152="SÁBADO",$G1152="DOMINGO"),"FIN","LV"))</f>
        <v/>
      </c>
      <c r="J1152" s="34">
        <f>IF(OR($A1152="",$B1152=""),"",IF($L1152&lt;&gt;"",UPPER($L1152),IF($C1152="","FALTA",IFERROR(IF($C1152&gt;=$O1152,"ROJO FUERTE",IF($C1152&gt;=$N1152,"ROJO",IF($C1152&gt;=$M1152,"AMARILLO","VERDE"))),"REVISAR"))))</f>
        <v/>
      </c>
      <c r="K1152" s="36">
        <f>IF(OR($C1152="",$D1152=""),"",IF($D1152&gt;=$C1152,($D1152-$C1152)*24,(1-$C1152+$D1152)*24))</f>
        <v/>
      </c>
      <c r="L1152" s="34" t="n"/>
      <c r="M1152" s="53">
        <f t="array" ref="M1152">IFERROR(INDEX(EXCEPCIONES_FECHA!$D$2:$D$201,MATCH(1,(EXCEPCIONES_FECHA!$A$2:$A$201=$A1152)*(EXCEPCIONES_FECHA!$B$2:$B$201=$B1152),0)),IFERROR(INDEX(EXCEPCIONES_FECHA!$D$2:$D$201,MATCH(1,(EXCEPCIONES_FECHA!$A$2:$A$201=$A1152)*(EXCEPCIONES_FECHA!$B$2:$B$201=""),0)),IFERROR(INDEX(IF($I1152="FIN",HISTORIAL_HORARIOS!$J$2:$J$201,HISTORIAL_HORARIOS!$F$2:$F$201),MATCH(1,(HISTORIAL_HORARIOS!$A$2:$A$201=$B1152)*(HISTORIAL_HORARIOS!$C$2:$C$201&lt;=$A1152)*(HISTORIAL_HORARIOS!$D$2:$D$201&gt;=$A1152),0)),INDEX(IF($I1152="FIN",PERSONAL!$J$2:$J$80,PERSONAL!$F$2:$F$80),MATCH($B1152,PERSONAL!$A$2:$A$80,0)))))</f>
        <v/>
      </c>
      <c r="N1152" s="53">
        <f t="array" ref="N1152">IFERROR(INDEX(EXCEPCIONES_FECHA!$E$2:$E$201,MATCH(1,(EXCEPCIONES_FECHA!$A$2:$A$201=$A1152)*(EXCEPCIONES_FECHA!$B$2:$B$201=$B1152),0)),IFERROR(INDEX(EXCEPCIONES_FECHA!$E$2:$E$201,MATCH(1,(EXCEPCIONES_FECHA!$A$2:$A$201=$A1152)*(EXCEPCIONES_FECHA!$B$2:$B$201=""),0)),IFERROR(INDEX(IF($I1152="FIN",HISTORIAL_HORARIOS!$K$2:$K$201,HISTORIAL_HORARIOS!$G$2:$G$201),MATCH(1,(HISTORIAL_HORARIOS!$A$2:$A$201=$B1152)*(HISTORIAL_HORARIOS!$C$2:$C$201&lt;=$A1152)*(HISTORIAL_HORARIOS!$D$2:$D$201&gt;=$A1152),0)),INDEX(IF($I1152="FIN",PERSONAL!$K$2:$K$80,PERSONAL!$G$2:$G$80),MATCH($B1152,PERSONAL!$A$2:$A$80,0)))))</f>
        <v/>
      </c>
      <c r="O1152" s="53">
        <f t="array" ref="O1152">IFERROR(INDEX(EXCEPCIONES_FECHA!$F$2:$F$201,MATCH(1,(EXCEPCIONES_FECHA!$A$2:$A$201=$A1152)*(EXCEPCIONES_FECHA!$B$2:$B$201=$B1152),0)),IFERROR(INDEX(EXCEPCIONES_FECHA!$F$2:$F$201,MATCH(1,(EXCEPCIONES_FECHA!$A$2:$A$201=$A1152)*(EXCEPCIONES_FECHA!$B$2:$B$201=""),0)),IFERROR(INDEX(IF($I1152="FIN",HISTORIAL_HORARIOS!$L$2:$L$201,HISTORIAL_HORARIOS!$H$2:$H$201),MATCH(1,(HISTORIAL_HORARIOS!$A$2:$A$201=$B1152)*(HISTORIAL_HORARIOS!$C$2:$C$201&lt;=$A1152)*(HISTORIAL_HORARIOS!$D$2:$D$201&gt;=$A1152),0)),INDEX(IF($I1152="FIN",PERSONAL!$L$2:$L$80,PERSONAL!$H$2:$H$80),MATCH($B1152,PERSONAL!$A$2:$A$80,0)))))</f>
        <v/>
      </c>
    </row>
    <row r="1153" ht="15" customHeight="1" s="58">
      <c r="A1153" s="40" t="n"/>
      <c r="B1153" s="38" t="n"/>
      <c r="C1153" s="40" t="n"/>
      <c r="D1153" s="40" t="n"/>
      <c r="E1153" s="34">
        <f t="array" ref="E1153">IF($B1153="","",IFERROR(INDEX(PERSONAL!$B$2:$B$80,MATCH($B1153,PERSONAL!$A$2:$A$80,0)),"NO EXISTE"))</f>
        <v/>
      </c>
      <c r="F1153" s="34">
        <f t="array" ref="F1153">IF($B1153="","",IFERROR(INDEX(PERSONAL!$C$2:$C$80,MATCH($B1153,PERSONAL!$A$2:$A$80,0)),""))</f>
        <v/>
      </c>
      <c r="G1153" s="34">
        <f>IF($A1153="","",CHOOSE(WEEKDAY($A1153,2),"LUNES","MARTES","MIÉRCOLES","JUEVES","VIERNES","SÁBADO","DOMINGO"))</f>
        <v/>
      </c>
      <c r="H1153" s="34">
        <f>IF($A1153="","",CHOOSE(MONTH($A1153),"ENERO","FEBRERO","MARZO","ABRIL","MAYO","JUNIO","JULIO","AGOSTO","SEPTIEMBRE","OCTUBRE","NOVIEMBRE","DICIEMBRE"))</f>
        <v/>
      </c>
      <c r="I1153" s="34">
        <f>IF($A1153="","",IF(OR($G1153="SÁBADO",$G1153="DOMINGO"),"FIN","LV"))</f>
        <v/>
      </c>
      <c r="J1153" s="34">
        <f>IF(OR($A1153="",$B1153=""),"",IF($L1153&lt;&gt;"",UPPER($L1153),IF($C1153="","FALTA",IFERROR(IF($C1153&gt;=$O1153,"ROJO FUERTE",IF($C1153&gt;=$N1153,"ROJO",IF($C1153&gt;=$M1153,"AMARILLO","VERDE"))),"REVISAR"))))</f>
        <v/>
      </c>
      <c r="K1153" s="36">
        <f>IF(OR($C1153="",$D1153=""),"",IF($D1153&gt;=$C1153,($D1153-$C1153)*24,(1-$C1153+$D1153)*24))</f>
        <v/>
      </c>
      <c r="L1153" s="34" t="n"/>
      <c r="M1153" s="53">
        <f t="array" ref="M1153">IFERROR(INDEX(EXCEPCIONES_FECHA!$D$2:$D$201,MATCH(1,(EXCEPCIONES_FECHA!$A$2:$A$201=$A1153)*(EXCEPCIONES_FECHA!$B$2:$B$201=$B1153),0)),IFERROR(INDEX(EXCEPCIONES_FECHA!$D$2:$D$201,MATCH(1,(EXCEPCIONES_FECHA!$A$2:$A$201=$A1153)*(EXCEPCIONES_FECHA!$B$2:$B$201=""),0)),IFERROR(INDEX(IF($I1153="FIN",HISTORIAL_HORARIOS!$J$2:$J$201,HISTORIAL_HORARIOS!$F$2:$F$201),MATCH(1,(HISTORIAL_HORARIOS!$A$2:$A$201=$B1153)*(HISTORIAL_HORARIOS!$C$2:$C$201&lt;=$A1153)*(HISTORIAL_HORARIOS!$D$2:$D$201&gt;=$A1153),0)),INDEX(IF($I1153="FIN",PERSONAL!$J$2:$J$80,PERSONAL!$F$2:$F$80),MATCH($B1153,PERSONAL!$A$2:$A$80,0)))))</f>
        <v/>
      </c>
      <c r="N1153" s="53">
        <f t="array" ref="N1153">IFERROR(INDEX(EXCEPCIONES_FECHA!$E$2:$E$201,MATCH(1,(EXCEPCIONES_FECHA!$A$2:$A$201=$A1153)*(EXCEPCIONES_FECHA!$B$2:$B$201=$B1153),0)),IFERROR(INDEX(EXCEPCIONES_FECHA!$E$2:$E$201,MATCH(1,(EXCEPCIONES_FECHA!$A$2:$A$201=$A1153)*(EXCEPCIONES_FECHA!$B$2:$B$201=""),0)),IFERROR(INDEX(IF($I1153="FIN",HISTORIAL_HORARIOS!$K$2:$K$201,HISTORIAL_HORARIOS!$G$2:$G$201),MATCH(1,(HISTORIAL_HORARIOS!$A$2:$A$201=$B1153)*(HISTORIAL_HORARIOS!$C$2:$C$201&lt;=$A1153)*(HISTORIAL_HORARIOS!$D$2:$D$201&gt;=$A1153),0)),INDEX(IF($I1153="FIN",PERSONAL!$K$2:$K$80,PERSONAL!$G$2:$G$80),MATCH($B1153,PERSONAL!$A$2:$A$80,0)))))</f>
        <v/>
      </c>
      <c r="O1153" s="53">
        <f t="array" ref="O1153">IFERROR(INDEX(EXCEPCIONES_FECHA!$F$2:$F$201,MATCH(1,(EXCEPCIONES_FECHA!$A$2:$A$201=$A1153)*(EXCEPCIONES_FECHA!$B$2:$B$201=$B1153),0)),IFERROR(INDEX(EXCEPCIONES_FECHA!$F$2:$F$201,MATCH(1,(EXCEPCIONES_FECHA!$A$2:$A$201=$A1153)*(EXCEPCIONES_FECHA!$B$2:$B$201=""),0)),IFERROR(INDEX(IF($I1153="FIN",HISTORIAL_HORARIOS!$L$2:$L$201,HISTORIAL_HORARIOS!$H$2:$H$201),MATCH(1,(HISTORIAL_HORARIOS!$A$2:$A$201=$B1153)*(HISTORIAL_HORARIOS!$C$2:$C$201&lt;=$A1153)*(HISTORIAL_HORARIOS!$D$2:$D$201&gt;=$A1153),0)),INDEX(IF($I1153="FIN",PERSONAL!$L$2:$L$80,PERSONAL!$H$2:$H$80),MATCH($B1153,PERSONAL!$A$2:$A$80,0)))))</f>
        <v/>
      </c>
    </row>
    <row r="1154" ht="15" customHeight="1" s="58">
      <c r="A1154" s="40" t="n"/>
      <c r="B1154" s="38" t="n"/>
      <c r="C1154" s="40" t="n"/>
      <c r="D1154" s="40" t="n"/>
      <c r="E1154" s="34">
        <f t="array" ref="E1154">IF($B1154="","",IFERROR(INDEX(PERSONAL!$B$2:$B$80,MATCH($B1154,PERSONAL!$A$2:$A$80,0)),"NO EXISTE"))</f>
        <v/>
      </c>
      <c r="F1154" s="34">
        <f t="array" ref="F1154">IF($B1154="","",IFERROR(INDEX(PERSONAL!$C$2:$C$80,MATCH($B1154,PERSONAL!$A$2:$A$80,0)),""))</f>
        <v/>
      </c>
      <c r="G1154" s="34">
        <f>IF($A1154="","",CHOOSE(WEEKDAY($A1154,2),"LUNES","MARTES","MIÉRCOLES","JUEVES","VIERNES","SÁBADO","DOMINGO"))</f>
        <v/>
      </c>
      <c r="H1154" s="34">
        <f>IF($A1154="","",CHOOSE(MONTH($A1154),"ENERO","FEBRERO","MARZO","ABRIL","MAYO","JUNIO","JULIO","AGOSTO","SEPTIEMBRE","OCTUBRE","NOVIEMBRE","DICIEMBRE"))</f>
        <v/>
      </c>
      <c r="I1154" s="34">
        <f>IF($A1154="","",IF(OR($G1154="SÁBADO",$G1154="DOMINGO"),"FIN","LV"))</f>
        <v/>
      </c>
      <c r="J1154" s="34">
        <f>IF(OR($A1154="",$B1154=""),"",IF($L1154&lt;&gt;"",UPPER($L1154),IF($C1154="","FALTA",IFERROR(IF($C1154&gt;=$O1154,"ROJO FUERTE",IF($C1154&gt;=$N1154,"ROJO",IF($C1154&gt;=$M1154,"AMARILLO","VERDE"))),"REVISAR"))))</f>
        <v/>
      </c>
      <c r="K1154" s="36">
        <f>IF(OR($C1154="",$D1154=""),"",IF($D1154&gt;=$C1154,($D1154-$C1154)*24,(1-$C1154+$D1154)*24))</f>
        <v/>
      </c>
      <c r="L1154" s="34" t="n"/>
      <c r="M1154" s="53">
        <f t="array" ref="M1154">IFERROR(INDEX(EXCEPCIONES_FECHA!$D$2:$D$201,MATCH(1,(EXCEPCIONES_FECHA!$A$2:$A$201=$A1154)*(EXCEPCIONES_FECHA!$B$2:$B$201=$B1154),0)),IFERROR(INDEX(EXCEPCIONES_FECHA!$D$2:$D$201,MATCH(1,(EXCEPCIONES_FECHA!$A$2:$A$201=$A1154)*(EXCEPCIONES_FECHA!$B$2:$B$201=""),0)),IFERROR(INDEX(IF($I1154="FIN",HISTORIAL_HORARIOS!$J$2:$J$201,HISTORIAL_HORARIOS!$F$2:$F$201),MATCH(1,(HISTORIAL_HORARIOS!$A$2:$A$201=$B1154)*(HISTORIAL_HORARIOS!$C$2:$C$201&lt;=$A1154)*(HISTORIAL_HORARIOS!$D$2:$D$201&gt;=$A1154),0)),INDEX(IF($I1154="FIN",PERSONAL!$J$2:$J$80,PERSONAL!$F$2:$F$80),MATCH($B1154,PERSONAL!$A$2:$A$80,0)))))</f>
        <v/>
      </c>
      <c r="N1154" s="53">
        <f t="array" ref="N1154">IFERROR(INDEX(EXCEPCIONES_FECHA!$E$2:$E$201,MATCH(1,(EXCEPCIONES_FECHA!$A$2:$A$201=$A1154)*(EXCEPCIONES_FECHA!$B$2:$B$201=$B1154),0)),IFERROR(INDEX(EXCEPCIONES_FECHA!$E$2:$E$201,MATCH(1,(EXCEPCIONES_FECHA!$A$2:$A$201=$A1154)*(EXCEPCIONES_FECHA!$B$2:$B$201=""),0)),IFERROR(INDEX(IF($I1154="FIN",HISTORIAL_HORARIOS!$K$2:$K$201,HISTORIAL_HORARIOS!$G$2:$G$201),MATCH(1,(HISTORIAL_HORARIOS!$A$2:$A$201=$B1154)*(HISTORIAL_HORARIOS!$C$2:$C$201&lt;=$A1154)*(HISTORIAL_HORARIOS!$D$2:$D$201&gt;=$A1154),0)),INDEX(IF($I1154="FIN",PERSONAL!$K$2:$K$80,PERSONAL!$G$2:$G$80),MATCH($B1154,PERSONAL!$A$2:$A$80,0)))))</f>
        <v/>
      </c>
      <c r="O1154" s="53">
        <f t="array" ref="O1154">IFERROR(INDEX(EXCEPCIONES_FECHA!$F$2:$F$201,MATCH(1,(EXCEPCIONES_FECHA!$A$2:$A$201=$A1154)*(EXCEPCIONES_FECHA!$B$2:$B$201=$B1154),0)),IFERROR(INDEX(EXCEPCIONES_FECHA!$F$2:$F$201,MATCH(1,(EXCEPCIONES_FECHA!$A$2:$A$201=$A1154)*(EXCEPCIONES_FECHA!$B$2:$B$201=""),0)),IFERROR(INDEX(IF($I1154="FIN",HISTORIAL_HORARIOS!$L$2:$L$201,HISTORIAL_HORARIOS!$H$2:$H$201),MATCH(1,(HISTORIAL_HORARIOS!$A$2:$A$201=$B1154)*(HISTORIAL_HORARIOS!$C$2:$C$201&lt;=$A1154)*(HISTORIAL_HORARIOS!$D$2:$D$201&gt;=$A1154),0)),INDEX(IF($I1154="FIN",PERSONAL!$L$2:$L$80,PERSONAL!$H$2:$H$80),MATCH($B1154,PERSONAL!$A$2:$A$80,0)))))</f>
        <v/>
      </c>
    </row>
    <row r="1155" ht="15" customHeight="1" s="58">
      <c r="A1155" s="40" t="n"/>
      <c r="B1155" s="38" t="n"/>
      <c r="C1155" s="40" t="n"/>
      <c r="D1155" s="40" t="n"/>
      <c r="E1155" s="34">
        <f t="array" ref="E1155">IF($B1155="","",IFERROR(INDEX(PERSONAL!$B$2:$B$80,MATCH($B1155,PERSONAL!$A$2:$A$80,0)),"NO EXISTE"))</f>
        <v/>
      </c>
      <c r="F1155" s="34">
        <f t="array" ref="F1155">IF($B1155="","",IFERROR(INDEX(PERSONAL!$C$2:$C$80,MATCH($B1155,PERSONAL!$A$2:$A$80,0)),""))</f>
        <v/>
      </c>
      <c r="G1155" s="34">
        <f>IF($A1155="","",CHOOSE(WEEKDAY($A1155,2),"LUNES","MARTES","MIÉRCOLES","JUEVES","VIERNES","SÁBADO","DOMINGO"))</f>
        <v/>
      </c>
      <c r="H1155" s="34">
        <f>IF($A1155="","",CHOOSE(MONTH($A1155),"ENERO","FEBRERO","MARZO","ABRIL","MAYO","JUNIO","JULIO","AGOSTO","SEPTIEMBRE","OCTUBRE","NOVIEMBRE","DICIEMBRE"))</f>
        <v/>
      </c>
      <c r="I1155" s="34">
        <f>IF($A1155="","",IF(OR($G1155="SÁBADO",$G1155="DOMINGO"),"FIN","LV"))</f>
        <v/>
      </c>
      <c r="J1155" s="34">
        <f>IF(OR($A1155="",$B1155=""),"",IF($L1155&lt;&gt;"",UPPER($L1155),IF($C1155="","FALTA",IFERROR(IF($C1155&gt;=$O1155,"ROJO FUERTE",IF($C1155&gt;=$N1155,"ROJO",IF($C1155&gt;=$M1155,"AMARILLO","VERDE"))),"REVISAR"))))</f>
        <v/>
      </c>
      <c r="K1155" s="36">
        <f>IF(OR($C1155="",$D1155=""),"",IF($D1155&gt;=$C1155,($D1155-$C1155)*24,(1-$C1155+$D1155)*24))</f>
        <v/>
      </c>
      <c r="L1155" s="34" t="n"/>
      <c r="M1155" s="53">
        <f t="array" ref="M1155">IFERROR(INDEX(EXCEPCIONES_FECHA!$D$2:$D$201,MATCH(1,(EXCEPCIONES_FECHA!$A$2:$A$201=$A1155)*(EXCEPCIONES_FECHA!$B$2:$B$201=$B1155),0)),IFERROR(INDEX(EXCEPCIONES_FECHA!$D$2:$D$201,MATCH(1,(EXCEPCIONES_FECHA!$A$2:$A$201=$A1155)*(EXCEPCIONES_FECHA!$B$2:$B$201=""),0)),IFERROR(INDEX(IF($I1155="FIN",HISTORIAL_HORARIOS!$J$2:$J$201,HISTORIAL_HORARIOS!$F$2:$F$201),MATCH(1,(HISTORIAL_HORARIOS!$A$2:$A$201=$B1155)*(HISTORIAL_HORARIOS!$C$2:$C$201&lt;=$A1155)*(HISTORIAL_HORARIOS!$D$2:$D$201&gt;=$A1155),0)),INDEX(IF($I1155="FIN",PERSONAL!$J$2:$J$80,PERSONAL!$F$2:$F$80),MATCH($B1155,PERSONAL!$A$2:$A$80,0)))))</f>
        <v/>
      </c>
      <c r="N1155" s="53">
        <f t="array" ref="N1155">IFERROR(INDEX(EXCEPCIONES_FECHA!$E$2:$E$201,MATCH(1,(EXCEPCIONES_FECHA!$A$2:$A$201=$A1155)*(EXCEPCIONES_FECHA!$B$2:$B$201=$B1155),0)),IFERROR(INDEX(EXCEPCIONES_FECHA!$E$2:$E$201,MATCH(1,(EXCEPCIONES_FECHA!$A$2:$A$201=$A1155)*(EXCEPCIONES_FECHA!$B$2:$B$201=""),0)),IFERROR(INDEX(IF($I1155="FIN",HISTORIAL_HORARIOS!$K$2:$K$201,HISTORIAL_HORARIOS!$G$2:$G$201),MATCH(1,(HISTORIAL_HORARIOS!$A$2:$A$201=$B1155)*(HISTORIAL_HORARIOS!$C$2:$C$201&lt;=$A1155)*(HISTORIAL_HORARIOS!$D$2:$D$201&gt;=$A1155),0)),INDEX(IF($I1155="FIN",PERSONAL!$K$2:$K$80,PERSONAL!$G$2:$G$80),MATCH($B1155,PERSONAL!$A$2:$A$80,0)))))</f>
        <v/>
      </c>
      <c r="O1155" s="53">
        <f t="array" ref="O1155">IFERROR(INDEX(EXCEPCIONES_FECHA!$F$2:$F$201,MATCH(1,(EXCEPCIONES_FECHA!$A$2:$A$201=$A1155)*(EXCEPCIONES_FECHA!$B$2:$B$201=$B1155),0)),IFERROR(INDEX(EXCEPCIONES_FECHA!$F$2:$F$201,MATCH(1,(EXCEPCIONES_FECHA!$A$2:$A$201=$A1155)*(EXCEPCIONES_FECHA!$B$2:$B$201=""),0)),IFERROR(INDEX(IF($I1155="FIN",HISTORIAL_HORARIOS!$L$2:$L$201,HISTORIAL_HORARIOS!$H$2:$H$201),MATCH(1,(HISTORIAL_HORARIOS!$A$2:$A$201=$B1155)*(HISTORIAL_HORARIOS!$C$2:$C$201&lt;=$A1155)*(HISTORIAL_HORARIOS!$D$2:$D$201&gt;=$A1155),0)),INDEX(IF($I1155="FIN",PERSONAL!$L$2:$L$80,PERSONAL!$H$2:$H$80),MATCH($B1155,PERSONAL!$A$2:$A$80,0)))))</f>
        <v/>
      </c>
    </row>
    <row r="1156" ht="15" customHeight="1" s="58">
      <c r="A1156" s="40" t="n"/>
      <c r="B1156" s="38" t="n"/>
      <c r="C1156" s="40" t="n"/>
      <c r="D1156" s="40" t="n"/>
      <c r="E1156" s="34">
        <f t="array" ref="E1156">IF($B1156="","",IFERROR(INDEX(PERSONAL!$B$2:$B$80,MATCH($B1156,PERSONAL!$A$2:$A$80,0)),"NO EXISTE"))</f>
        <v/>
      </c>
      <c r="F1156" s="34">
        <f t="array" ref="F1156">IF($B1156="","",IFERROR(INDEX(PERSONAL!$C$2:$C$80,MATCH($B1156,PERSONAL!$A$2:$A$80,0)),""))</f>
        <v/>
      </c>
      <c r="G1156" s="34">
        <f>IF($A1156="","",CHOOSE(WEEKDAY($A1156,2),"LUNES","MARTES","MIÉRCOLES","JUEVES","VIERNES","SÁBADO","DOMINGO"))</f>
        <v/>
      </c>
      <c r="H1156" s="34">
        <f>IF($A1156="","",CHOOSE(MONTH($A1156),"ENERO","FEBRERO","MARZO","ABRIL","MAYO","JUNIO","JULIO","AGOSTO","SEPTIEMBRE","OCTUBRE","NOVIEMBRE","DICIEMBRE"))</f>
        <v/>
      </c>
      <c r="I1156" s="34">
        <f>IF($A1156="","",IF(OR($G1156="SÁBADO",$G1156="DOMINGO"),"FIN","LV"))</f>
        <v/>
      </c>
      <c r="J1156" s="34">
        <f>IF(OR($A1156="",$B1156=""),"",IF($L1156&lt;&gt;"",UPPER($L1156),IF($C1156="","FALTA",IFERROR(IF($C1156&gt;=$O1156,"ROJO FUERTE",IF($C1156&gt;=$N1156,"ROJO",IF($C1156&gt;=$M1156,"AMARILLO","VERDE"))),"REVISAR"))))</f>
        <v/>
      </c>
      <c r="K1156" s="36">
        <f>IF(OR($C1156="",$D1156=""),"",IF($D1156&gt;=$C1156,($D1156-$C1156)*24,(1-$C1156+$D1156)*24))</f>
        <v/>
      </c>
      <c r="L1156" s="34" t="n"/>
      <c r="M1156" s="53">
        <f t="array" ref="M1156">IFERROR(INDEX(EXCEPCIONES_FECHA!$D$2:$D$201,MATCH(1,(EXCEPCIONES_FECHA!$A$2:$A$201=$A1156)*(EXCEPCIONES_FECHA!$B$2:$B$201=$B1156),0)),IFERROR(INDEX(EXCEPCIONES_FECHA!$D$2:$D$201,MATCH(1,(EXCEPCIONES_FECHA!$A$2:$A$201=$A1156)*(EXCEPCIONES_FECHA!$B$2:$B$201=""),0)),IFERROR(INDEX(IF($I1156="FIN",HISTORIAL_HORARIOS!$J$2:$J$201,HISTORIAL_HORARIOS!$F$2:$F$201),MATCH(1,(HISTORIAL_HORARIOS!$A$2:$A$201=$B1156)*(HISTORIAL_HORARIOS!$C$2:$C$201&lt;=$A1156)*(HISTORIAL_HORARIOS!$D$2:$D$201&gt;=$A1156),0)),INDEX(IF($I1156="FIN",PERSONAL!$J$2:$J$80,PERSONAL!$F$2:$F$80),MATCH($B1156,PERSONAL!$A$2:$A$80,0)))))</f>
        <v/>
      </c>
      <c r="N1156" s="53">
        <f t="array" ref="N1156">IFERROR(INDEX(EXCEPCIONES_FECHA!$E$2:$E$201,MATCH(1,(EXCEPCIONES_FECHA!$A$2:$A$201=$A1156)*(EXCEPCIONES_FECHA!$B$2:$B$201=$B1156),0)),IFERROR(INDEX(EXCEPCIONES_FECHA!$E$2:$E$201,MATCH(1,(EXCEPCIONES_FECHA!$A$2:$A$201=$A1156)*(EXCEPCIONES_FECHA!$B$2:$B$201=""),0)),IFERROR(INDEX(IF($I1156="FIN",HISTORIAL_HORARIOS!$K$2:$K$201,HISTORIAL_HORARIOS!$G$2:$G$201),MATCH(1,(HISTORIAL_HORARIOS!$A$2:$A$201=$B1156)*(HISTORIAL_HORARIOS!$C$2:$C$201&lt;=$A1156)*(HISTORIAL_HORARIOS!$D$2:$D$201&gt;=$A1156),0)),INDEX(IF($I1156="FIN",PERSONAL!$K$2:$K$80,PERSONAL!$G$2:$G$80),MATCH($B1156,PERSONAL!$A$2:$A$80,0)))))</f>
        <v/>
      </c>
      <c r="O1156" s="53">
        <f t="array" ref="O1156">IFERROR(INDEX(EXCEPCIONES_FECHA!$F$2:$F$201,MATCH(1,(EXCEPCIONES_FECHA!$A$2:$A$201=$A1156)*(EXCEPCIONES_FECHA!$B$2:$B$201=$B1156),0)),IFERROR(INDEX(EXCEPCIONES_FECHA!$F$2:$F$201,MATCH(1,(EXCEPCIONES_FECHA!$A$2:$A$201=$A1156)*(EXCEPCIONES_FECHA!$B$2:$B$201=""),0)),IFERROR(INDEX(IF($I1156="FIN",HISTORIAL_HORARIOS!$L$2:$L$201,HISTORIAL_HORARIOS!$H$2:$H$201),MATCH(1,(HISTORIAL_HORARIOS!$A$2:$A$201=$B1156)*(HISTORIAL_HORARIOS!$C$2:$C$201&lt;=$A1156)*(HISTORIAL_HORARIOS!$D$2:$D$201&gt;=$A1156),0)),INDEX(IF($I1156="FIN",PERSONAL!$L$2:$L$80,PERSONAL!$H$2:$H$80),MATCH($B1156,PERSONAL!$A$2:$A$80,0)))))</f>
        <v/>
      </c>
    </row>
    <row r="1157" ht="15" customHeight="1" s="58">
      <c r="A1157" s="40" t="n"/>
      <c r="B1157" s="38" t="n"/>
      <c r="C1157" s="40" t="n"/>
      <c r="D1157" s="40" t="n"/>
      <c r="E1157" s="34">
        <f t="array" ref="E1157">IF($B1157="","",IFERROR(INDEX(PERSONAL!$B$2:$B$80,MATCH($B1157,PERSONAL!$A$2:$A$80,0)),"NO EXISTE"))</f>
        <v/>
      </c>
      <c r="F1157" s="34">
        <f t="array" ref="F1157">IF($B1157="","",IFERROR(INDEX(PERSONAL!$C$2:$C$80,MATCH($B1157,PERSONAL!$A$2:$A$80,0)),""))</f>
        <v/>
      </c>
      <c r="G1157" s="34">
        <f>IF($A1157="","",CHOOSE(WEEKDAY($A1157,2),"LUNES","MARTES","MIÉRCOLES","JUEVES","VIERNES","SÁBADO","DOMINGO"))</f>
        <v/>
      </c>
      <c r="H1157" s="34">
        <f>IF($A1157="","",CHOOSE(MONTH($A1157),"ENERO","FEBRERO","MARZO","ABRIL","MAYO","JUNIO","JULIO","AGOSTO","SEPTIEMBRE","OCTUBRE","NOVIEMBRE","DICIEMBRE"))</f>
        <v/>
      </c>
      <c r="I1157" s="34">
        <f>IF($A1157="","",IF(OR($G1157="SÁBADO",$G1157="DOMINGO"),"FIN","LV"))</f>
        <v/>
      </c>
      <c r="J1157" s="34">
        <f>IF(OR($A1157="",$B1157=""),"",IF($L1157&lt;&gt;"",UPPER($L1157),IF($C1157="","FALTA",IFERROR(IF($C1157&gt;=$O1157,"ROJO FUERTE",IF($C1157&gt;=$N1157,"ROJO",IF($C1157&gt;=$M1157,"AMARILLO","VERDE"))),"REVISAR"))))</f>
        <v/>
      </c>
      <c r="K1157" s="36">
        <f>IF(OR($C1157="",$D1157=""),"",IF($D1157&gt;=$C1157,($D1157-$C1157)*24,(1-$C1157+$D1157)*24))</f>
        <v/>
      </c>
      <c r="L1157" s="34" t="n"/>
      <c r="M1157" s="53">
        <f t="array" ref="M1157">IFERROR(INDEX(EXCEPCIONES_FECHA!$D$2:$D$201,MATCH(1,(EXCEPCIONES_FECHA!$A$2:$A$201=$A1157)*(EXCEPCIONES_FECHA!$B$2:$B$201=$B1157),0)),IFERROR(INDEX(EXCEPCIONES_FECHA!$D$2:$D$201,MATCH(1,(EXCEPCIONES_FECHA!$A$2:$A$201=$A1157)*(EXCEPCIONES_FECHA!$B$2:$B$201=""),0)),IFERROR(INDEX(IF($I1157="FIN",HISTORIAL_HORARIOS!$J$2:$J$201,HISTORIAL_HORARIOS!$F$2:$F$201),MATCH(1,(HISTORIAL_HORARIOS!$A$2:$A$201=$B1157)*(HISTORIAL_HORARIOS!$C$2:$C$201&lt;=$A1157)*(HISTORIAL_HORARIOS!$D$2:$D$201&gt;=$A1157),0)),INDEX(IF($I1157="FIN",PERSONAL!$J$2:$J$80,PERSONAL!$F$2:$F$80),MATCH($B1157,PERSONAL!$A$2:$A$80,0)))))</f>
        <v/>
      </c>
      <c r="N1157" s="53">
        <f t="array" ref="N1157">IFERROR(INDEX(EXCEPCIONES_FECHA!$E$2:$E$201,MATCH(1,(EXCEPCIONES_FECHA!$A$2:$A$201=$A1157)*(EXCEPCIONES_FECHA!$B$2:$B$201=$B1157),0)),IFERROR(INDEX(EXCEPCIONES_FECHA!$E$2:$E$201,MATCH(1,(EXCEPCIONES_FECHA!$A$2:$A$201=$A1157)*(EXCEPCIONES_FECHA!$B$2:$B$201=""),0)),IFERROR(INDEX(IF($I1157="FIN",HISTORIAL_HORARIOS!$K$2:$K$201,HISTORIAL_HORARIOS!$G$2:$G$201),MATCH(1,(HISTORIAL_HORARIOS!$A$2:$A$201=$B1157)*(HISTORIAL_HORARIOS!$C$2:$C$201&lt;=$A1157)*(HISTORIAL_HORARIOS!$D$2:$D$201&gt;=$A1157),0)),INDEX(IF($I1157="FIN",PERSONAL!$K$2:$K$80,PERSONAL!$G$2:$G$80),MATCH($B1157,PERSONAL!$A$2:$A$80,0)))))</f>
        <v/>
      </c>
      <c r="O1157" s="53">
        <f t="array" ref="O1157">IFERROR(INDEX(EXCEPCIONES_FECHA!$F$2:$F$201,MATCH(1,(EXCEPCIONES_FECHA!$A$2:$A$201=$A1157)*(EXCEPCIONES_FECHA!$B$2:$B$201=$B1157),0)),IFERROR(INDEX(EXCEPCIONES_FECHA!$F$2:$F$201,MATCH(1,(EXCEPCIONES_FECHA!$A$2:$A$201=$A1157)*(EXCEPCIONES_FECHA!$B$2:$B$201=""),0)),IFERROR(INDEX(IF($I1157="FIN",HISTORIAL_HORARIOS!$L$2:$L$201,HISTORIAL_HORARIOS!$H$2:$H$201),MATCH(1,(HISTORIAL_HORARIOS!$A$2:$A$201=$B1157)*(HISTORIAL_HORARIOS!$C$2:$C$201&lt;=$A1157)*(HISTORIAL_HORARIOS!$D$2:$D$201&gt;=$A1157),0)),INDEX(IF($I1157="FIN",PERSONAL!$L$2:$L$80,PERSONAL!$H$2:$H$80),MATCH($B1157,PERSONAL!$A$2:$A$80,0)))))</f>
        <v/>
      </c>
    </row>
    <row r="1158" ht="15" customHeight="1" s="58">
      <c r="A1158" s="40" t="n"/>
      <c r="B1158" s="38" t="n"/>
      <c r="C1158" s="40" t="n"/>
      <c r="D1158" s="40" t="n"/>
      <c r="E1158" s="34">
        <f t="array" ref="E1158">IF($B1158="","",IFERROR(INDEX(PERSONAL!$B$2:$B$80,MATCH($B1158,PERSONAL!$A$2:$A$80,0)),"NO EXISTE"))</f>
        <v/>
      </c>
      <c r="F1158" s="34">
        <f t="array" ref="F1158">IF($B1158="","",IFERROR(INDEX(PERSONAL!$C$2:$C$80,MATCH($B1158,PERSONAL!$A$2:$A$80,0)),""))</f>
        <v/>
      </c>
      <c r="G1158" s="34">
        <f>IF($A1158="","",CHOOSE(WEEKDAY($A1158,2),"LUNES","MARTES","MIÉRCOLES","JUEVES","VIERNES","SÁBADO","DOMINGO"))</f>
        <v/>
      </c>
      <c r="H1158" s="34">
        <f>IF($A1158="","",CHOOSE(MONTH($A1158),"ENERO","FEBRERO","MARZO","ABRIL","MAYO","JUNIO","JULIO","AGOSTO","SEPTIEMBRE","OCTUBRE","NOVIEMBRE","DICIEMBRE"))</f>
        <v/>
      </c>
      <c r="I1158" s="34">
        <f>IF($A1158="","",IF(OR($G1158="SÁBADO",$G1158="DOMINGO"),"FIN","LV"))</f>
        <v/>
      </c>
      <c r="J1158" s="34">
        <f>IF(OR($A1158="",$B1158=""),"",IF($L1158&lt;&gt;"",UPPER($L1158),IF($C1158="","FALTA",IFERROR(IF($C1158&gt;=$O1158,"ROJO FUERTE",IF($C1158&gt;=$N1158,"ROJO",IF($C1158&gt;=$M1158,"AMARILLO","VERDE"))),"REVISAR"))))</f>
        <v/>
      </c>
      <c r="K1158" s="36">
        <f>IF(OR($C1158="",$D1158=""),"",IF($D1158&gt;=$C1158,($D1158-$C1158)*24,(1-$C1158+$D1158)*24))</f>
        <v/>
      </c>
      <c r="L1158" s="34" t="n"/>
      <c r="M1158" s="53">
        <f t="array" ref="M1158">IFERROR(INDEX(EXCEPCIONES_FECHA!$D$2:$D$201,MATCH(1,(EXCEPCIONES_FECHA!$A$2:$A$201=$A1158)*(EXCEPCIONES_FECHA!$B$2:$B$201=$B1158),0)),IFERROR(INDEX(EXCEPCIONES_FECHA!$D$2:$D$201,MATCH(1,(EXCEPCIONES_FECHA!$A$2:$A$201=$A1158)*(EXCEPCIONES_FECHA!$B$2:$B$201=""),0)),IFERROR(INDEX(IF($I1158="FIN",HISTORIAL_HORARIOS!$J$2:$J$201,HISTORIAL_HORARIOS!$F$2:$F$201),MATCH(1,(HISTORIAL_HORARIOS!$A$2:$A$201=$B1158)*(HISTORIAL_HORARIOS!$C$2:$C$201&lt;=$A1158)*(HISTORIAL_HORARIOS!$D$2:$D$201&gt;=$A1158),0)),INDEX(IF($I1158="FIN",PERSONAL!$J$2:$J$80,PERSONAL!$F$2:$F$80),MATCH($B1158,PERSONAL!$A$2:$A$80,0)))))</f>
        <v/>
      </c>
      <c r="N1158" s="53">
        <f t="array" ref="N1158">IFERROR(INDEX(EXCEPCIONES_FECHA!$E$2:$E$201,MATCH(1,(EXCEPCIONES_FECHA!$A$2:$A$201=$A1158)*(EXCEPCIONES_FECHA!$B$2:$B$201=$B1158),0)),IFERROR(INDEX(EXCEPCIONES_FECHA!$E$2:$E$201,MATCH(1,(EXCEPCIONES_FECHA!$A$2:$A$201=$A1158)*(EXCEPCIONES_FECHA!$B$2:$B$201=""),0)),IFERROR(INDEX(IF($I1158="FIN",HISTORIAL_HORARIOS!$K$2:$K$201,HISTORIAL_HORARIOS!$G$2:$G$201),MATCH(1,(HISTORIAL_HORARIOS!$A$2:$A$201=$B1158)*(HISTORIAL_HORARIOS!$C$2:$C$201&lt;=$A1158)*(HISTORIAL_HORARIOS!$D$2:$D$201&gt;=$A1158),0)),INDEX(IF($I1158="FIN",PERSONAL!$K$2:$K$80,PERSONAL!$G$2:$G$80),MATCH($B1158,PERSONAL!$A$2:$A$80,0)))))</f>
        <v/>
      </c>
      <c r="O1158" s="53">
        <f t="array" ref="O1158">IFERROR(INDEX(EXCEPCIONES_FECHA!$F$2:$F$201,MATCH(1,(EXCEPCIONES_FECHA!$A$2:$A$201=$A1158)*(EXCEPCIONES_FECHA!$B$2:$B$201=$B1158),0)),IFERROR(INDEX(EXCEPCIONES_FECHA!$F$2:$F$201,MATCH(1,(EXCEPCIONES_FECHA!$A$2:$A$201=$A1158)*(EXCEPCIONES_FECHA!$B$2:$B$201=""),0)),IFERROR(INDEX(IF($I1158="FIN",HISTORIAL_HORARIOS!$L$2:$L$201,HISTORIAL_HORARIOS!$H$2:$H$201),MATCH(1,(HISTORIAL_HORARIOS!$A$2:$A$201=$B1158)*(HISTORIAL_HORARIOS!$C$2:$C$201&lt;=$A1158)*(HISTORIAL_HORARIOS!$D$2:$D$201&gt;=$A1158),0)),INDEX(IF($I1158="FIN",PERSONAL!$L$2:$L$80,PERSONAL!$H$2:$H$80),MATCH($B1158,PERSONAL!$A$2:$A$80,0)))))</f>
        <v/>
      </c>
    </row>
    <row r="1159" ht="15" customHeight="1" s="58">
      <c r="A1159" s="40" t="n"/>
      <c r="B1159" s="38" t="n"/>
      <c r="C1159" s="40" t="n"/>
      <c r="D1159" s="40" t="n"/>
      <c r="E1159" s="34">
        <f t="array" ref="E1159">IF($B1159="","",IFERROR(INDEX(PERSONAL!$B$2:$B$80,MATCH($B1159,PERSONAL!$A$2:$A$80,0)),"NO EXISTE"))</f>
        <v/>
      </c>
      <c r="F1159" s="34">
        <f t="array" ref="F1159">IF($B1159="","",IFERROR(INDEX(PERSONAL!$C$2:$C$80,MATCH($B1159,PERSONAL!$A$2:$A$80,0)),""))</f>
        <v/>
      </c>
      <c r="G1159" s="34">
        <f>IF($A1159="","",CHOOSE(WEEKDAY($A1159,2),"LUNES","MARTES","MIÉRCOLES","JUEVES","VIERNES","SÁBADO","DOMINGO"))</f>
        <v/>
      </c>
      <c r="H1159" s="34">
        <f>IF($A1159="","",CHOOSE(MONTH($A1159),"ENERO","FEBRERO","MARZO","ABRIL","MAYO","JUNIO","JULIO","AGOSTO","SEPTIEMBRE","OCTUBRE","NOVIEMBRE","DICIEMBRE"))</f>
        <v/>
      </c>
      <c r="I1159" s="34">
        <f>IF($A1159="","",IF(OR($G1159="SÁBADO",$G1159="DOMINGO"),"FIN","LV"))</f>
        <v/>
      </c>
      <c r="J1159" s="34">
        <f>IF(OR($A1159="",$B1159=""),"",IF($L1159&lt;&gt;"",UPPER($L1159),IF($C1159="","FALTA",IFERROR(IF($C1159&gt;=$O1159,"ROJO FUERTE",IF($C1159&gt;=$N1159,"ROJO",IF($C1159&gt;=$M1159,"AMARILLO","VERDE"))),"REVISAR"))))</f>
        <v/>
      </c>
      <c r="K1159" s="36">
        <f>IF(OR($C1159="",$D1159=""),"",IF($D1159&gt;=$C1159,($D1159-$C1159)*24,(1-$C1159+$D1159)*24))</f>
        <v/>
      </c>
      <c r="L1159" s="34" t="n"/>
      <c r="M1159" s="53">
        <f t="array" ref="M1159">IFERROR(INDEX(EXCEPCIONES_FECHA!$D$2:$D$201,MATCH(1,(EXCEPCIONES_FECHA!$A$2:$A$201=$A1159)*(EXCEPCIONES_FECHA!$B$2:$B$201=$B1159),0)),IFERROR(INDEX(EXCEPCIONES_FECHA!$D$2:$D$201,MATCH(1,(EXCEPCIONES_FECHA!$A$2:$A$201=$A1159)*(EXCEPCIONES_FECHA!$B$2:$B$201=""),0)),IFERROR(INDEX(IF($I1159="FIN",HISTORIAL_HORARIOS!$J$2:$J$201,HISTORIAL_HORARIOS!$F$2:$F$201),MATCH(1,(HISTORIAL_HORARIOS!$A$2:$A$201=$B1159)*(HISTORIAL_HORARIOS!$C$2:$C$201&lt;=$A1159)*(HISTORIAL_HORARIOS!$D$2:$D$201&gt;=$A1159),0)),INDEX(IF($I1159="FIN",PERSONAL!$J$2:$J$80,PERSONAL!$F$2:$F$80),MATCH($B1159,PERSONAL!$A$2:$A$80,0)))))</f>
        <v/>
      </c>
      <c r="N1159" s="53">
        <f t="array" ref="N1159">IFERROR(INDEX(EXCEPCIONES_FECHA!$E$2:$E$201,MATCH(1,(EXCEPCIONES_FECHA!$A$2:$A$201=$A1159)*(EXCEPCIONES_FECHA!$B$2:$B$201=$B1159),0)),IFERROR(INDEX(EXCEPCIONES_FECHA!$E$2:$E$201,MATCH(1,(EXCEPCIONES_FECHA!$A$2:$A$201=$A1159)*(EXCEPCIONES_FECHA!$B$2:$B$201=""),0)),IFERROR(INDEX(IF($I1159="FIN",HISTORIAL_HORARIOS!$K$2:$K$201,HISTORIAL_HORARIOS!$G$2:$G$201),MATCH(1,(HISTORIAL_HORARIOS!$A$2:$A$201=$B1159)*(HISTORIAL_HORARIOS!$C$2:$C$201&lt;=$A1159)*(HISTORIAL_HORARIOS!$D$2:$D$201&gt;=$A1159),0)),INDEX(IF($I1159="FIN",PERSONAL!$K$2:$K$80,PERSONAL!$G$2:$G$80),MATCH($B1159,PERSONAL!$A$2:$A$80,0)))))</f>
        <v/>
      </c>
      <c r="O1159" s="53">
        <f t="array" ref="O1159">IFERROR(INDEX(EXCEPCIONES_FECHA!$F$2:$F$201,MATCH(1,(EXCEPCIONES_FECHA!$A$2:$A$201=$A1159)*(EXCEPCIONES_FECHA!$B$2:$B$201=$B1159),0)),IFERROR(INDEX(EXCEPCIONES_FECHA!$F$2:$F$201,MATCH(1,(EXCEPCIONES_FECHA!$A$2:$A$201=$A1159)*(EXCEPCIONES_FECHA!$B$2:$B$201=""),0)),IFERROR(INDEX(IF($I1159="FIN",HISTORIAL_HORARIOS!$L$2:$L$201,HISTORIAL_HORARIOS!$H$2:$H$201),MATCH(1,(HISTORIAL_HORARIOS!$A$2:$A$201=$B1159)*(HISTORIAL_HORARIOS!$C$2:$C$201&lt;=$A1159)*(HISTORIAL_HORARIOS!$D$2:$D$201&gt;=$A1159),0)),INDEX(IF($I1159="FIN",PERSONAL!$L$2:$L$80,PERSONAL!$H$2:$H$80),MATCH($B1159,PERSONAL!$A$2:$A$80,0)))))</f>
        <v/>
      </c>
    </row>
    <row r="1160" ht="15" customHeight="1" s="58">
      <c r="A1160" s="40" t="n"/>
      <c r="B1160" s="38" t="n"/>
      <c r="C1160" s="40" t="n"/>
      <c r="D1160" s="40" t="n"/>
      <c r="E1160" s="34">
        <f t="array" ref="E1160">IF($B1160="","",IFERROR(INDEX(PERSONAL!$B$2:$B$80,MATCH($B1160,PERSONAL!$A$2:$A$80,0)),"NO EXISTE"))</f>
        <v/>
      </c>
      <c r="F1160" s="34">
        <f t="array" ref="F1160">IF($B1160="","",IFERROR(INDEX(PERSONAL!$C$2:$C$80,MATCH($B1160,PERSONAL!$A$2:$A$80,0)),""))</f>
        <v/>
      </c>
      <c r="G1160" s="34">
        <f>IF($A1160="","",CHOOSE(WEEKDAY($A1160,2),"LUNES","MARTES","MIÉRCOLES","JUEVES","VIERNES","SÁBADO","DOMINGO"))</f>
        <v/>
      </c>
      <c r="H1160" s="34">
        <f>IF($A1160="","",CHOOSE(MONTH($A1160),"ENERO","FEBRERO","MARZO","ABRIL","MAYO","JUNIO","JULIO","AGOSTO","SEPTIEMBRE","OCTUBRE","NOVIEMBRE","DICIEMBRE"))</f>
        <v/>
      </c>
      <c r="I1160" s="34">
        <f>IF($A1160="","",IF(OR($G1160="SÁBADO",$G1160="DOMINGO"),"FIN","LV"))</f>
        <v/>
      </c>
      <c r="J1160" s="34">
        <f>IF(OR($A1160="",$B1160=""),"",IF($L1160&lt;&gt;"",UPPER($L1160),IF($C1160="","FALTA",IFERROR(IF($C1160&gt;=$O1160,"ROJO FUERTE",IF($C1160&gt;=$N1160,"ROJO",IF($C1160&gt;=$M1160,"AMARILLO","VERDE"))),"REVISAR"))))</f>
        <v/>
      </c>
      <c r="K1160" s="36">
        <f>IF(OR($C1160="",$D1160=""),"",IF($D1160&gt;=$C1160,($D1160-$C1160)*24,(1-$C1160+$D1160)*24))</f>
        <v/>
      </c>
      <c r="L1160" s="34" t="n"/>
      <c r="M1160" s="53">
        <f t="array" ref="M1160">IFERROR(INDEX(EXCEPCIONES_FECHA!$D$2:$D$201,MATCH(1,(EXCEPCIONES_FECHA!$A$2:$A$201=$A1160)*(EXCEPCIONES_FECHA!$B$2:$B$201=$B1160),0)),IFERROR(INDEX(EXCEPCIONES_FECHA!$D$2:$D$201,MATCH(1,(EXCEPCIONES_FECHA!$A$2:$A$201=$A1160)*(EXCEPCIONES_FECHA!$B$2:$B$201=""),0)),IFERROR(INDEX(IF($I1160="FIN",HISTORIAL_HORARIOS!$J$2:$J$201,HISTORIAL_HORARIOS!$F$2:$F$201),MATCH(1,(HISTORIAL_HORARIOS!$A$2:$A$201=$B1160)*(HISTORIAL_HORARIOS!$C$2:$C$201&lt;=$A1160)*(HISTORIAL_HORARIOS!$D$2:$D$201&gt;=$A1160),0)),INDEX(IF($I1160="FIN",PERSONAL!$J$2:$J$80,PERSONAL!$F$2:$F$80),MATCH($B1160,PERSONAL!$A$2:$A$80,0)))))</f>
        <v/>
      </c>
      <c r="N1160" s="53">
        <f t="array" ref="N1160">IFERROR(INDEX(EXCEPCIONES_FECHA!$E$2:$E$201,MATCH(1,(EXCEPCIONES_FECHA!$A$2:$A$201=$A1160)*(EXCEPCIONES_FECHA!$B$2:$B$201=$B1160),0)),IFERROR(INDEX(EXCEPCIONES_FECHA!$E$2:$E$201,MATCH(1,(EXCEPCIONES_FECHA!$A$2:$A$201=$A1160)*(EXCEPCIONES_FECHA!$B$2:$B$201=""),0)),IFERROR(INDEX(IF($I1160="FIN",HISTORIAL_HORARIOS!$K$2:$K$201,HISTORIAL_HORARIOS!$G$2:$G$201),MATCH(1,(HISTORIAL_HORARIOS!$A$2:$A$201=$B1160)*(HISTORIAL_HORARIOS!$C$2:$C$201&lt;=$A1160)*(HISTORIAL_HORARIOS!$D$2:$D$201&gt;=$A1160),0)),INDEX(IF($I1160="FIN",PERSONAL!$K$2:$K$80,PERSONAL!$G$2:$G$80),MATCH($B1160,PERSONAL!$A$2:$A$80,0)))))</f>
        <v/>
      </c>
      <c r="O1160" s="53">
        <f t="array" ref="O1160">IFERROR(INDEX(EXCEPCIONES_FECHA!$F$2:$F$201,MATCH(1,(EXCEPCIONES_FECHA!$A$2:$A$201=$A1160)*(EXCEPCIONES_FECHA!$B$2:$B$201=$B1160),0)),IFERROR(INDEX(EXCEPCIONES_FECHA!$F$2:$F$201,MATCH(1,(EXCEPCIONES_FECHA!$A$2:$A$201=$A1160)*(EXCEPCIONES_FECHA!$B$2:$B$201=""),0)),IFERROR(INDEX(IF($I1160="FIN",HISTORIAL_HORARIOS!$L$2:$L$201,HISTORIAL_HORARIOS!$H$2:$H$201),MATCH(1,(HISTORIAL_HORARIOS!$A$2:$A$201=$B1160)*(HISTORIAL_HORARIOS!$C$2:$C$201&lt;=$A1160)*(HISTORIAL_HORARIOS!$D$2:$D$201&gt;=$A1160),0)),INDEX(IF($I1160="FIN",PERSONAL!$L$2:$L$80,PERSONAL!$H$2:$H$80),MATCH($B1160,PERSONAL!$A$2:$A$80,0)))))</f>
        <v/>
      </c>
    </row>
    <row r="1161" ht="15" customHeight="1" s="58">
      <c r="A1161" s="40" t="n"/>
      <c r="B1161" s="38" t="n"/>
      <c r="C1161" s="40" t="n"/>
      <c r="D1161" s="40" t="n"/>
      <c r="E1161" s="34">
        <f t="array" ref="E1161">IF($B1161="","",IFERROR(INDEX(PERSONAL!$B$2:$B$80,MATCH($B1161,PERSONAL!$A$2:$A$80,0)),"NO EXISTE"))</f>
        <v/>
      </c>
      <c r="F1161" s="34">
        <f t="array" ref="F1161">IF($B1161="","",IFERROR(INDEX(PERSONAL!$C$2:$C$80,MATCH($B1161,PERSONAL!$A$2:$A$80,0)),""))</f>
        <v/>
      </c>
      <c r="G1161" s="34">
        <f>IF($A1161="","",CHOOSE(WEEKDAY($A1161,2),"LUNES","MARTES","MIÉRCOLES","JUEVES","VIERNES","SÁBADO","DOMINGO"))</f>
        <v/>
      </c>
      <c r="H1161" s="34">
        <f>IF($A1161="","",CHOOSE(MONTH($A1161),"ENERO","FEBRERO","MARZO","ABRIL","MAYO","JUNIO","JULIO","AGOSTO","SEPTIEMBRE","OCTUBRE","NOVIEMBRE","DICIEMBRE"))</f>
        <v/>
      </c>
      <c r="I1161" s="34">
        <f>IF($A1161="","",IF(OR($G1161="SÁBADO",$G1161="DOMINGO"),"FIN","LV"))</f>
        <v/>
      </c>
      <c r="J1161" s="34">
        <f>IF(OR($A1161="",$B1161=""),"",IF($L1161&lt;&gt;"",UPPER($L1161),IF($C1161="","FALTA",IFERROR(IF($C1161&gt;=$O1161,"ROJO FUERTE",IF($C1161&gt;=$N1161,"ROJO",IF($C1161&gt;=$M1161,"AMARILLO","VERDE"))),"REVISAR"))))</f>
        <v/>
      </c>
      <c r="K1161" s="36">
        <f>IF(OR($C1161="",$D1161=""),"",IF($D1161&gt;=$C1161,($D1161-$C1161)*24,(1-$C1161+$D1161)*24))</f>
        <v/>
      </c>
      <c r="L1161" s="34" t="n"/>
      <c r="M1161" s="53">
        <f t="array" ref="M1161">IFERROR(INDEX(EXCEPCIONES_FECHA!$D$2:$D$201,MATCH(1,(EXCEPCIONES_FECHA!$A$2:$A$201=$A1161)*(EXCEPCIONES_FECHA!$B$2:$B$201=$B1161),0)),IFERROR(INDEX(EXCEPCIONES_FECHA!$D$2:$D$201,MATCH(1,(EXCEPCIONES_FECHA!$A$2:$A$201=$A1161)*(EXCEPCIONES_FECHA!$B$2:$B$201=""),0)),IFERROR(INDEX(IF($I1161="FIN",HISTORIAL_HORARIOS!$J$2:$J$201,HISTORIAL_HORARIOS!$F$2:$F$201),MATCH(1,(HISTORIAL_HORARIOS!$A$2:$A$201=$B1161)*(HISTORIAL_HORARIOS!$C$2:$C$201&lt;=$A1161)*(HISTORIAL_HORARIOS!$D$2:$D$201&gt;=$A1161),0)),INDEX(IF($I1161="FIN",PERSONAL!$J$2:$J$80,PERSONAL!$F$2:$F$80),MATCH($B1161,PERSONAL!$A$2:$A$80,0)))))</f>
        <v/>
      </c>
      <c r="N1161" s="53">
        <f t="array" ref="N1161">IFERROR(INDEX(EXCEPCIONES_FECHA!$E$2:$E$201,MATCH(1,(EXCEPCIONES_FECHA!$A$2:$A$201=$A1161)*(EXCEPCIONES_FECHA!$B$2:$B$201=$B1161),0)),IFERROR(INDEX(EXCEPCIONES_FECHA!$E$2:$E$201,MATCH(1,(EXCEPCIONES_FECHA!$A$2:$A$201=$A1161)*(EXCEPCIONES_FECHA!$B$2:$B$201=""),0)),IFERROR(INDEX(IF($I1161="FIN",HISTORIAL_HORARIOS!$K$2:$K$201,HISTORIAL_HORARIOS!$G$2:$G$201),MATCH(1,(HISTORIAL_HORARIOS!$A$2:$A$201=$B1161)*(HISTORIAL_HORARIOS!$C$2:$C$201&lt;=$A1161)*(HISTORIAL_HORARIOS!$D$2:$D$201&gt;=$A1161),0)),INDEX(IF($I1161="FIN",PERSONAL!$K$2:$K$80,PERSONAL!$G$2:$G$80),MATCH($B1161,PERSONAL!$A$2:$A$80,0)))))</f>
        <v/>
      </c>
      <c r="O1161" s="53">
        <f t="array" ref="O1161">IFERROR(INDEX(EXCEPCIONES_FECHA!$F$2:$F$201,MATCH(1,(EXCEPCIONES_FECHA!$A$2:$A$201=$A1161)*(EXCEPCIONES_FECHA!$B$2:$B$201=$B1161),0)),IFERROR(INDEX(EXCEPCIONES_FECHA!$F$2:$F$201,MATCH(1,(EXCEPCIONES_FECHA!$A$2:$A$201=$A1161)*(EXCEPCIONES_FECHA!$B$2:$B$201=""),0)),IFERROR(INDEX(IF($I1161="FIN",HISTORIAL_HORARIOS!$L$2:$L$201,HISTORIAL_HORARIOS!$H$2:$H$201),MATCH(1,(HISTORIAL_HORARIOS!$A$2:$A$201=$B1161)*(HISTORIAL_HORARIOS!$C$2:$C$201&lt;=$A1161)*(HISTORIAL_HORARIOS!$D$2:$D$201&gt;=$A1161),0)),INDEX(IF($I1161="FIN",PERSONAL!$L$2:$L$80,PERSONAL!$H$2:$H$80),MATCH($B1161,PERSONAL!$A$2:$A$80,0)))))</f>
        <v/>
      </c>
    </row>
    <row r="1162" ht="15" customHeight="1" s="58">
      <c r="A1162" s="40" t="n"/>
      <c r="B1162" s="38" t="n"/>
      <c r="C1162" s="40" t="n"/>
      <c r="D1162" s="40" t="n"/>
      <c r="E1162" s="34">
        <f t="array" ref="E1162">IF($B1162="","",IFERROR(INDEX(PERSONAL!$B$2:$B$80,MATCH($B1162,PERSONAL!$A$2:$A$80,0)),"NO EXISTE"))</f>
        <v/>
      </c>
      <c r="F1162" s="34">
        <f t="array" ref="F1162">IF($B1162="","",IFERROR(INDEX(PERSONAL!$C$2:$C$80,MATCH($B1162,PERSONAL!$A$2:$A$80,0)),""))</f>
        <v/>
      </c>
      <c r="G1162" s="34">
        <f>IF($A1162="","",CHOOSE(WEEKDAY($A1162,2),"LUNES","MARTES","MIÉRCOLES","JUEVES","VIERNES","SÁBADO","DOMINGO"))</f>
        <v/>
      </c>
      <c r="H1162" s="34">
        <f>IF($A1162="","",CHOOSE(MONTH($A1162),"ENERO","FEBRERO","MARZO","ABRIL","MAYO","JUNIO","JULIO","AGOSTO","SEPTIEMBRE","OCTUBRE","NOVIEMBRE","DICIEMBRE"))</f>
        <v/>
      </c>
      <c r="I1162" s="34">
        <f>IF($A1162="","",IF(OR($G1162="SÁBADO",$G1162="DOMINGO"),"FIN","LV"))</f>
        <v/>
      </c>
      <c r="J1162" s="34">
        <f>IF(OR($A1162="",$B1162=""),"",IF($L1162&lt;&gt;"",UPPER($L1162),IF($C1162="","FALTA",IFERROR(IF($C1162&gt;=$O1162,"ROJO FUERTE",IF($C1162&gt;=$N1162,"ROJO",IF($C1162&gt;=$M1162,"AMARILLO","VERDE"))),"REVISAR"))))</f>
        <v/>
      </c>
      <c r="K1162" s="36">
        <f>IF(OR($C1162="",$D1162=""),"",IF($D1162&gt;=$C1162,($D1162-$C1162)*24,(1-$C1162+$D1162)*24))</f>
        <v/>
      </c>
      <c r="L1162" s="34" t="n"/>
      <c r="M1162" s="53">
        <f t="array" ref="M1162">IFERROR(INDEX(EXCEPCIONES_FECHA!$D$2:$D$201,MATCH(1,(EXCEPCIONES_FECHA!$A$2:$A$201=$A1162)*(EXCEPCIONES_FECHA!$B$2:$B$201=$B1162),0)),IFERROR(INDEX(EXCEPCIONES_FECHA!$D$2:$D$201,MATCH(1,(EXCEPCIONES_FECHA!$A$2:$A$201=$A1162)*(EXCEPCIONES_FECHA!$B$2:$B$201=""),0)),IFERROR(INDEX(IF($I1162="FIN",HISTORIAL_HORARIOS!$J$2:$J$201,HISTORIAL_HORARIOS!$F$2:$F$201),MATCH(1,(HISTORIAL_HORARIOS!$A$2:$A$201=$B1162)*(HISTORIAL_HORARIOS!$C$2:$C$201&lt;=$A1162)*(HISTORIAL_HORARIOS!$D$2:$D$201&gt;=$A1162),0)),INDEX(IF($I1162="FIN",PERSONAL!$J$2:$J$80,PERSONAL!$F$2:$F$80),MATCH($B1162,PERSONAL!$A$2:$A$80,0)))))</f>
        <v/>
      </c>
      <c r="N1162" s="53">
        <f t="array" ref="N1162">IFERROR(INDEX(EXCEPCIONES_FECHA!$E$2:$E$201,MATCH(1,(EXCEPCIONES_FECHA!$A$2:$A$201=$A1162)*(EXCEPCIONES_FECHA!$B$2:$B$201=$B1162),0)),IFERROR(INDEX(EXCEPCIONES_FECHA!$E$2:$E$201,MATCH(1,(EXCEPCIONES_FECHA!$A$2:$A$201=$A1162)*(EXCEPCIONES_FECHA!$B$2:$B$201=""),0)),IFERROR(INDEX(IF($I1162="FIN",HISTORIAL_HORARIOS!$K$2:$K$201,HISTORIAL_HORARIOS!$G$2:$G$201),MATCH(1,(HISTORIAL_HORARIOS!$A$2:$A$201=$B1162)*(HISTORIAL_HORARIOS!$C$2:$C$201&lt;=$A1162)*(HISTORIAL_HORARIOS!$D$2:$D$201&gt;=$A1162),0)),INDEX(IF($I1162="FIN",PERSONAL!$K$2:$K$80,PERSONAL!$G$2:$G$80),MATCH($B1162,PERSONAL!$A$2:$A$80,0)))))</f>
        <v/>
      </c>
      <c r="O1162" s="53">
        <f t="array" ref="O1162">IFERROR(INDEX(EXCEPCIONES_FECHA!$F$2:$F$201,MATCH(1,(EXCEPCIONES_FECHA!$A$2:$A$201=$A1162)*(EXCEPCIONES_FECHA!$B$2:$B$201=$B1162),0)),IFERROR(INDEX(EXCEPCIONES_FECHA!$F$2:$F$201,MATCH(1,(EXCEPCIONES_FECHA!$A$2:$A$201=$A1162)*(EXCEPCIONES_FECHA!$B$2:$B$201=""),0)),IFERROR(INDEX(IF($I1162="FIN",HISTORIAL_HORARIOS!$L$2:$L$201,HISTORIAL_HORARIOS!$H$2:$H$201),MATCH(1,(HISTORIAL_HORARIOS!$A$2:$A$201=$B1162)*(HISTORIAL_HORARIOS!$C$2:$C$201&lt;=$A1162)*(HISTORIAL_HORARIOS!$D$2:$D$201&gt;=$A1162),0)),INDEX(IF($I1162="FIN",PERSONAL!$L$2:$L$80,PERSONAL!$H$2:$H$80),MATCH($B1162,PERSONAL!$A$2:$A$80,0)))))</f>
        <v/>
      </c>
    </row>
    <row r="1163" ht="15" customHeight="1" s="58">
      <c r="A1163" s="40" t="n"/>
      <c r="B1163" s="38" t="n"/>
      <c r="C1163" s="40" t="n"/>
      <c r="D1163" s="40" t="n"/>
      <c r="E1163" s="34">
        <f t="array" ref="E1163">IF($B1163="","",IFERROR(INDEX(PERSONAL!$B$2:$B$80,MATCH($B1163,PERSONAL!$A$2:$A$80,0)),"NO EXISTE"))</f>
        <v/>
      </c>
      <c r="F1163" s="34">
        <f t="array" ref="F1163">IF($B1163="","",IFERROR(INDEX(PERSONAL!$C$2:$C$80,MATCH($B1163,PERSONAL!$A$2:$A$80,0)),""))</f>
        <v/>
      </c>
      <c r="G1163" s="34">
        <f>IF($A1163="","",CHOOSE(WEEKDAY($A1163,2),"LUNES","MARTES","MIÉRCOLES","JUEVES","VIERNES","SÁBADO","DOMINGO"))</f>
        <v/>
      </c>
      <c r="H1163" s="34">
        <f>IF($A1163="","",CHOOSE(MONTH($A1163),"ENERO","FEBRERO","MARZO","ABRIL","MAYO","JUNIO","JULIO","AGOSTO","SEPTIEMBRE","OCTUBRE","NOVIEMBRE","DICIEMBRE"))</f>
        <v/>
      </c>
      <c r="I1163" s="34">
        <f>IF($A1163="","",IF(OR($G1163="SÁBADO",$G1163="DOMINGO"),"FIN","LV"))</f>
        <v/>
      </c>
      <c r="J1163" s="34">
        <f>IF(OR($A1163="",$B1163=""),"",IF($L1163&lt;&gt;"",UPPER($L1163),IF($C1163="","FALTA",IFERROR(IF($C1163&gt;=$O1163,"ROJO FUERTE",IF($C1163&gt;=$N1163,"ROJO",IF($C1163&gt;=$M1163,"AMARILLO","VERDE"))),"REVISAR"))))</f>
        <v/>
      </c>
      <c r="K1163" s="36">
        <f>IF(OR($C1163="",$D1163=""),"",IF($D1163&gt;=$C1163,($D1163-$C1163)*24,(1-$C1163+$D1163)*24))</f>
        <v/>
      </c>
      <c r="L1163" s="34" t="n"/>
      <c r="M1163" s="53">
        <f t="array" ref="M1163">IFERROR(INDEX(EXCEPCIONES_FECHA!$D$2:$D$201,MATCH(1,(EXCEPCIONES_FECHA!$A$2:$A$201=$A1163)*(EXCEPCIONES_FECHA!$B$2:$B$201=$B1163),0)),IFERROR(INDEX(EXCEPCIONES_FECHA!$D$2:$D$201,MATCH(1,(EXCEPCIONES_FECHA!$A$2:$A$201=$A1163)*(EXCEPCIONES_FECHA!$B$2:$B$201=""),0)),IFERROR(INDEX(IF($I1163="FIN",HISTORIAL_HORARIOS!$J$2:$J$201,HISTORIAL_HORARIOS!$F$2:$F$201),MATCH(1,(HISTORIAL_HORARIOS!$A$2:$A$201=$B1163)*(HISTORIAL_HORARIOS!$C$2:$C$201&lt;=$A1163)*(HISTORIAL_HORARIOS!$D$2:$D$201&gt;=$A1163),0)),INDEX(IF($I1163="FIN",PERSONAL!$J$2:$J$80,PERSONAL!$F$2:$F$80),MATCH($B1163,PERSONAL!$A$2:$A$80,0)))))</f>
        <v/>
      </c>
      <c r="N1163" s="53">
        <f t="array" ref="N1163">IFERROR(INDEX(EXCEPCIONES_FECHA!$E$2:$E$201,MATCH(1,(EXCEPCIONES_FECHA!$A$2:$A$201=$A1163)*(EXCEPCIONES_FECHA!$B$2:$B$201=$B1163),0)),IFERROR(INDEX(EXCEPCIONES_FECHA!$E$2:$E$201,MATCH(1,(EXCEPCIONES_FECHA!$A$2:$A$201=$A1163)*(EXCEPCIONES_FECHA!$B$2:$B$201=""),0)),IFERROR(INDEX(IF($I1163="FIN",HISTORIAL_HORARIOS!$K$2:$K$201,HISTORIAL_HORARIOS!$G$2:$G$201),MATCH(1,(HISTORIAL_HORARIOS!$A$2:$A$201=$B1163)*(HISTORIAL_HORARIOS!$C$2:$C$201&lt;=$A1163)*(HISTORIAL_HORARIOS!$D$2:$D$201&gt;=$A1163),0)),INDEX(IF($I1163="FIN",PERSONAL!$K$2:$K$80,PERSONAL!$G$2:$G$80),MATCH($B1163,PERSONAL!$A$2:$A$80,0)))))</f>
        <v/>
      </c>
      <c r="O1163" s="53">
        <f t="array" ref="O1163">IFERROR(INDEX(EXCEPCIONES_FECHA!$F$2:$F$201,MATCH(1,(EXCEPCIONES_FECHA!$A$2:$A$201=$A1163)*(EXCEPCIONES_FECHA!$B$2:$B$201=$B1163),0)),IFERROR(INDEX(EXCEPCIONES_FECHA!$F$2:$F$201,MATCH(1,(EXCEPCIONES_FECHA!$A$2:$A$201=$A1163)*(EXCEPCIONES_FECHA!$B$2:$B$201=""),0)),IFERROR(INDEX(IF($I1163="FIN",HISTORIAL_HORARIOS!$L$2:$L$201,HISTORIAL_HORARIOS!$H$2:$H$201),MATCH(1,(HISTORIAL_HORARIOS!$A$2:$A$201=$B1163)*(HISTORIAL_HORARIOS!$C$2:$C$201&lt;=$A1163)*(HISTORIAL_HORARIOS!$D$2:$D$201&gt;=$A1163),0)),INDEX(IF($I1163="FIN",PERSONAL!$L$2:$L$80,PERSONAL!$H$2:$H$80),MATCH($B1163,PERSONAL!$A$2:$A$80,0)))))</f>
        <v/>
      </c>
    </row>
    <row r="1164" ht="15" customHeight="1" s="58">
      <c r="A1164" s="40" t="n"/>
      <c r="B1164" s="38" t="n"/>
      <c r="C1164" s="40" t="n"/>
      <c r="D1164" s="40" t="n"/>
      <c r="E1164" s="34">
        <f t="array" ref="E1164">IF($B1164="","",IFERROR(INDEX(PERSONAL!$B$2:$B$80,MATCH($B1164,PERSONAL!$A$2:$A$80,0)),"NO EXISTE"))</f>
        <v/>
      </c>
      <c r="F1164" s="34">
        <f t="array" ref="F1164">IF($B1164="","",IFERROR(INDEX(PERSONAL!$C$2:$C$80,MATCH($B1164,PERSONAL!$A$2:$A$80,0)),""))</f>
        <v/>
      </c>
      <c r="G1164" s="34">
        <f>IF($A1164="","",CHOOSE(WEEKDAY($A1164,2),"LUNES","MARTES","MIÉRCOLES","JUEVES","VIERNES","SÁBADO","DOMINGO"))</f>
        <v/>
      </c>
      <c r="H1164" s="34">
        <f>IF($A1164="","",CHOOSE(MONTH($A1164),"ENERO","FEBRERO","MARZO","ABRIL","MAYO","JUNIO","JULIO","AGOSTO","SEPTIEMBRE","OCTUBRE","NOVIEMBRE","DICIEMBRE"))</f>
        <v/>
      </c>
      <c r="I1164" s="34">
        <f>IF($A1164="","",IF(OR($G1164="SÁBADO",$G1164="DOMINGO"),"FIN","LV"))</f>
        <v/>
      </c>
      <c r="J1164" s="34">
        <f>IF(OR($A1164="",$B1164=""),"",IF($L1164&lt;&gt;"",UPPER($L1164),IF($C1164="","FALTA",IFERROR(IF($C1164&gt;=$O1164,"ROJO FUERTE",IF($C1164&gt;=$N1164,"ROJO",IF($C1164&gt;=$M1164,"AMARILLO","VERDE"))),"REVISAR"))))</f>
        <v/>
      </c>
      <c r="K1164" s="36">
        <f>IF(OR($C1164="",$D1164=""),"",IF($D1164&gt;=$C1164,($D1164-$C1164)*24,(1-$C1164+$D1164)*24))</f>
        <v/>
      </c>
      <c r="L1164" s="34" t="n"/>
      <c r="M1164" s="53">
        <f t="array" ref="M1164">IFERROR(INDEX(EXCEPCIONES_FECHA!$D$2:$D$201,MATCH(1,(EXCEPCIONES_FECHA!$A$2:$A$201=$A1164)*(EXCEPCIONES_FECHA!$B$2:$B$201=$B1164),0)),IFERROR(INDEX(EXCEPCIONES_FECHA!$D$2:$D$201,MATCH(1,(EXCEPCIONES_FECHA!$A$2:$A$201=$A1164)*(EXCEPCIONES_FECHA!$B$2:$B$201=""),0)),IFERROR(INDEX(IF($I1164="FIN",HISTORIAL_HORARIOS!$J$2:$J$201,HISTORIAL_HORARIOS!$F$2:$F$201),MATCH(1,(HISTORIAL_HORARIOS!$A$2:$A$201=$B1164)*(HISTORIAL_HORARIOS!$C$2:$C$201&lt;=$A1164)*(HISTORIAL_HORARIOS!$D$2:$D$201&gt;=$A1164),0)),INDEX(IF($I1164="FIN",PERSONAL!$J$2:$J$80,PERSONAL!$F$2:$F$80),MATCH($B1164,PERSONAL!$A$2:$A$80,0)))))</f>
        <v/>
      </c>
      <c r="N1164" s="53">
        <f t="array" ref="N1164">IFERROR(INDEX(EXCEPCIONES_FECHA!$E$2:$E$201,MATCH(1,(EXCEPCIONES_FECHA!$A$2:$A$201=$A1164)*(EXCEPCIONES_FECHA!$B$2:$B$201=$B1164),0)),IFERROR(INDEX(EXCEPCIONES_FECHA!$E$2:$E$201,MATCH(1,(EXCEPCIONES_FECHA!$A$2:$A$201=$A1164)*(EXCEPCIONES_FECHA!$B$2:$B$201=""),0)),IFERROR(INDEX(IF($I1164="FIN",HISTORIAL_HORARIOS!$K$2:$K$201,HISTORIAL_HORARIOS!$G$2:$G$201),MATCH(1,(HISTORIAL_HORARIOS!$A$2:$A$201=$B1164)*(HISTORIAL_HORARIOS!$C$2:$C$201&lt;=$A1164)*(HISTORIAL_HORARIOS!$D$2:$D$201&gt;=$A1164),0)),INDEX(IF($I1164="FIN",PERSONAL!$K$2:$K$80,PERSONAL!$G$2:$G$80),MATCH($B1164,PERSONAL!$A$2:$A$80,0)))))</f>
        <v/>
      </c>
      <c r="O1164" s="53">
        <f t="array" ref="O1164">IFERROR(INDEX(EXCEPCIONES_FECHA!$F$2:$F$201,MATCH(1,(EXCEPCIONES_FECHA!$A$2:$A$201=$A1164)*(EXCEPCIONES_FECHA!$B$2:$B$201=$B1164),0)),IFERROR(INDEX(EXCEPCIONES_FECHA!$F$2:$F$201,MATCH(1,(EXCEPCIONES_FECHA!$A$2:$A$201=$A1164)*(EXCEPCIONES_FECHA!$B$2:$B$201=""),0)),IFERROR(INDEX(IF($I1164="FIN",HISTORIAL_HORARIOS!$L$2:$L$201,HISTORIAL_HORARIOS!$H$2:$H$201),MATCH(1,(HISTORIAL_HORARIOS!$A$2:$A$201=$B1164)*(HISTORIAL_HORARIOS!$C$2:$C$201&lt;=$A1164)*(HISTORIAL_HORARIOS!$D$2:$D$201&gt;=$A1164),0)),INDEX(IF($I1164="FIN",PERSONAL!$L$2:$L$80,PERSONAL!$H$2:$H$80),MATCH($B1164,PERSONAL!$A$2:$A$80,0)))))</f>
        <v/>
      </c>
    </row>
    <row r="1165" ht="15" customHeight="1" s="58">
      <c r="A1165" s="40" t="n"/>
      <c r="B1165" s="38" t="n"/>
      <c r="C1165" s="40" t="n"/>
      <c r="D1165" s="40" t="n"/>
      <c r="E1165" s="34">
        <f t="array" ref="E1165">IF($B1165="","",IFERROR(INDEX(PERSONAL!$B$2:$B$80,MATCH($B1165,PERSONAL!$A$2:$A$80,0)),"NO EXISTE"))</f>
        <v/>
      </c>
      <c r="F1165" s="34">
        <f t="array" ref="F1165">IF($B1165="","",IFERROR(INDEX(PERSONAL!$C$2:$C$80,MATCH($B1165,PERSONAL!$A$2:$A$80,0)),""))</f>
        <v/>
      </c>
      <c r="G1165" s="34">
        <f>IF($A1165="","",CHOOSE(WEEKDAY($A1165,2),"LUNES","MARTES","MIÉRCOLES","JUEVES","VIERNES","SÁBADO","DOMINGO"))</f>
        <v/>
      </c>
      <c r="H1165" s="34">
        <f>IF($A1165="","",CHOOSE(MONTH($A1165),"ENERO","FEBRERO","MARZO","ABRIL","MAYO","JUNIO","JULIO","AGOSTO","SEPTIEMBRE","OCTUBRE","NOVIEMBRE","DICIEMBRE"))</f>
        <v/>
      </c>
      <c r="I1165" s="34">
        <f>IF($A1165="","",IF(OR($G1165="SÁBADO",$G1165="DOMINGO"),"FIN","LV"))</f>
        <v/>
      </c>
      <c r="J1165" s="34">
        <f>IF(OR($A1165="",$B1165=""),"",IF($L1165&lt;&gt;"",UPPER($L1165),IF($C1165="","FALTA",IFERROR(IF($C1165&gt;=$O1165,"ROJO FUERTE",IF($C1165&gt;=$N1165,"ROJO",IF($C1165&gt;=$M1165,"AMARILLO","VERDE"))),"REVISAR"))))</f>
        <v/>
      </c>
      <c r="K1165" s="36">
        <f>IF(OR($C1165="",$D1165=""),"",IF($D1165&gt;=$C1165,($D1165-$C1165)*24,(1-$C1165+$D1165)*24))</f>
        <v/>
      </c>
      <c r="L1165" s="34" t="n"/>
      <c r="M1165" s="53">
        <f t="array" ref="M1165">IFERROR(INDEX(EXCEPCIONES_FECHA!$D$2:$D$201,MATCH(1,(EXCEPCIONES_FECHA!$A$2:$A$201=$A1165)*(EXCEPCIONES_FECHA!$B$2:$B$201=$B1165),0)),IFERROR(INDEX(EXCEPCIONES_FECHA!$D$2:$D$201,MATCH(1,(EXCEPCIONES_FECHA!$A$2:$A$201=$A1165)*(EXCEPCIONES_FECHA!$B$2:$B$201=""),0)),IFERROR(INDEX(IF($I1165="FIN",HISTORIAL_HORARIOS!$J$2:$J$201,HISTORIAL_HORARIOS!$F$2:$F$201),MATCH(1,(HISTORIAL_HORARIOS!$A$2:$A$201=$B1165)*(HISTORIAL_HORARIOS!$C$2:$C$201&lt;=$A1165)*(HISTORIAL_HORARIOS!$D$2:$D$201&gt;=$A1165),0)),INDEX(IF($I1165="FIN",PERSONAL!$J$2:$J$80,PERSONAL!$F$2:$F$80),MATCH($B1165,PERSONAL!$A$2:$A$80,0)))))</f>
        <v/>
      </c>
      <c r="N1165" s="53">
        <f t="array" ref="N1165">IFERROR(INDEX(EXCEPCIONES_FECHA!$E$2:$E$201,MATCH(1,(EXCEPCIONES_FECHA!$A$2:$A$201=$A1165)*(EXCEPCIONES_FECHA!$B$2:$B$201=$B1165),0)),IFERROR(INDEX(EXCEPCIONES_FECHA!$E$2:$E$201,MATCH(1,(EXCEPCIONES_FECHA!$A$2:$A$201=$A1165)*(EXCEPCIONES_FECHA!$B$2:$B$201=""),0)),IFERROR(INDEX(IF($I1165="FIN",HISTORIAL_HORARIOS!$K$2:$K$201,HISTORIAL_HORARIOS!$G$2:$G$201),MATCH(1,(HISTORIAL_HORARIOS!$A$2:$A$201=$B1165)*(HISTORIAL_HORARIOS!$C$2:$C$201&lt;=$A1165)*(HISTORIAL_HORARIOS!$D$2:$D$201&gt;=$A1165),0)),INDEX(IF($I1165="FIN",PERSONAL!$K$2:$K$80,PERSONAL!$G$2:$G$80),MATCH($B1165,PERSONAL!$A$2:$A$80,0)))))</f>
        <v/>
      </c>
      <c r="O1165" s="53">
        <f t="array" ref="O1165">IFERROR(INDEX(EXCEPCIONES_FECHA!$F$2:$F$201,MATCH(1,(EXCEPCIONES_FECHA!$A$2:$A$201=$A1165)*(EXCEPCIONES_FECHA!$B$2:$B$201=$B1165),0)),IFERROR(INDEX(EXCEPCIONES_FECHA!$F$2:$F$201,MATCH(1,(EXCEPCIONES_FECHA!$A$2:$A$201=$A1165)*(EXCEPCIONES_FECHA!$B$2:$B$201=""),0)),IFERROR(INDEX(IF($I1165="FIN",HISTORIAL_HORARIOS!$L$2:$L$201,HISTORIAL_HORARIOS!$H$2:$H$201),MATCH(1,(HISTORIAL_HORARIOS!$A$2:$A$201=$B1165)*(HISTORIAL_HORARIOS!$C$2:$C$201&lt;=$A1165)*(HISTORIAL_HORARIOS!$D$2:$D$201&gt;=$A1165),0)),INDEX(IF($I1165="FIN",PERSONAL!$L$2:$L$80,PERSONAL!$H$2:$H$80),MATCH($B1165,PERSONAL!$A$2:$A$80,0)))))</f>
        <v/>
      </c>
    </row>
    <row r="1166" ht="15" customHeight="1" s="58">
      <c r="A1166" s="40" t="n"/>
      <c r="B1166" s="38" t="n"/>
      <c r="C1166" s="40" t="n"/>
      <c r="D1166" s="40" t="n"/>
      <c r="E1166" s="34">
        <f t="array" ref="E1166">IF($B1166="","",IFERROR(INDEX(PERSONAL!$B$2:$B$80,MATCH($B1166,PERSONAL!$A$2:$A$80,0)),"NO EXISTE"))</f>
        <v/>
      </c>
      <c r="F1166" s="34">
        <f t="array" ref="F1166">IF($B1166="","",IFERROR(INDEX(PERSONAL!$C$2:$C$80,MATCH($B1166,PERSONAL!$A$2:$A$80,0)),""))</f>
        <v/>
      </c>
      <c r="G1166" s="34">
        <f>IF($A1166="","",CHOOSE(WEEKDAY($A1166,2),"LUNES","MARTES","MIÉRCOLES","JUEVES","VIERNES","SÁBADO","DOMINGO"))</f>
        <v/>
      </c>
      <c r="H1166" s="34">
        <f>IF($A1166="","",CHOOSE(MONTH($A1166),"ENERO","FEBRERO","MARZO","ABRIL","MAYO","JUNIO","JULIO","AGOSTO","SEPTIEMBRE","OCTUBRE","NOVIEMBRE","DICIEMBRE"))</f>
        <v/>
      </c>
      <c r="I1166" s="34">
        <f>IF($A1166="","",IF(OR($G1166="SÁBADO",$G1166="DOMINGO"),"FIN","LV"))</f>
        <v/>
      </c>
      <c r="J1166" s="34">
        <f>IF(OR($A1166="",$B1166=""),"",IF($L1166&lt;&gt;"",UPPER($L1166),IF($C1166="","FALTA",IFERROR(IF($C1166&gt;=$O1166,"ROJO FUERTE",IF($C1166&gt;=$N1166,"ROJO",IF($C1166&gt;=$M1166,"AMARILLO","VERDE"))),"REVISAR"))))</f>
        <v/>
      </c>
      <c r="K1166" s="36">
        <f>IF(OR($C1166="",$D1166=""),"",IF($D1166&gt;=$C1166,($D1166-$C1166)*24,(1-$C1166+$D1166)*24))</f>
        <v/>
      </c>
      <c r="L1166" s="34" t="n"/>
      <c r="M1166" s="53">
        <f t="array" ref="M1166">IFERROR(INDEX(EXCEPCIONES_FECHA!$D$2:$D$201,MATCH(1,(EXCEPCIONES_FECHA!$A$2:$A$201=$A1166)*(EXCEPCIONES_FECHA!$B$2:$B$201=$B1166),0)),IFERROR(INDEX(EXCEPCIONES_FECHA!$D$2:$D$201,MATCH(1,(EXCEPCIONES_FECHA!$A$2:$A$201=$A1166)*(EXCEPCIONES_FECHA!$B$2:$B$201=""),0)),IFERROR(INDEX(IF($I1166="FIN",HISTORIAL_HORARIOS!$J$2:$J$201,HISTORIAL_HORARIOS!$F$2:$F$201),MATCH(1,(HISTORIAL_HORARIOS!$A$2:$A$201=$B1166)*(HISTORIAL_HORARIOS!$C$2:$C$201&lt;=$A1166)*(HISTORIAL_HORARIOS!$D$2:$D$201&gt;=$A1166),0)),INDEX(IF($I1166="FIN",PERSONAL!$J$2:$J$80,PERSONAL!$F$2:$F$80),MATCH($B1166,PERSONAL!$A$2:$A$80,0)))))</f>
        <v/>
      </c>
      <c r="N1166" s="53">
        <f t="array" ref="N1166">IFERROR(INDEX(EXCEPCIONES_FECHA!$E$2:$E$201,MATCH(1,(EXCEPCIONES_FECHA!$A$2:$A$201=$A1166)*(EXCEPCIONES_FECHA!$B$2:$B$201=$B1166),0)),IFERROR(INDEX(EXCEPCIONES_FECHA!$E$2:$E$201,MATCH(1,(EXCEPCIONES_FECHA!$A$2:$A$201=$A1166)*(EXCEPCIONES_FECHA!$B$2:$B$201=""),0)),IFERROR(INDEX(IF($I1166="FIN",HISTORIAL_HORARIOS!$K$2:$K$201,HISTORIAL_HORARIOS!$G$2:$G$201),MATCH(1,(HISTORIAL_HORARIOS!$A$2:$A$201=$B1166)*(HISTORIAL_HORARIOS!$C$2:$C$201&lt;=$A1166)*(HISTORIAL_HORARIOS!$D$2:$D$201&gt;=$A1166),0)),INDEX(IF($I1166="FIN",PERSONAL!$K$2:$K$80,PERSONAL!$G$2:$G$80),MATCH($B1166,PERSONAL!$A$2:$A$80,0)))))</f>
        <v/>
      </c>
      <c r="O1166" s="53">
        <f t="array" ref="O1166">IFERROR(INDEX(EXCEPCIONES_FECHA!$F$2:$F$201,MATCH(1,(EXCEPCIONES_FECHA!$A$2:$A$201=$A1166)*(EXCEPCIONES_FECHA!$B$2:$B$201=$B1166),0)),IFERROR(INDEX(EXCEPCIONES_FECHA!$F$2:$F$201,MATCH(1,(EXCEPCIONES_FECHA!$A$2:$A$201=$A1166)*(EXCEPCIONES_FECHA!$B$2:$B$201=""),0)),IFERROR(INDEX(IF($I1166="FIN",HISTORIAL_HORARIOS!$L$2:$L$201,HISTORIAL_HORARIOS!$H$2:$H$201),MATCH(1,(HISTORIAL_HORARIOS!$A$2:$A$201=$B1166)*(HISTORIAL_HORARIOS!$C$2:$C$201&lt;=$A1166)*(HISTORIAL_HORARIOS!$D$2:$D$201&gt;=$A1166),0)),INDEX(IF($I1166="FIN",PERSONAL!$L$2:$L$80,PERSONAL!$H$2:$H$80),MATCH($B1166,PERSONAL!$A$2:$A$80,0)))))</f>
        <v/>
      </c>
    </row>
    <row r="1167" ht="15" customHeight="1" s="58">
      <c r="A1167" s="40" t="n"/>
      <c r="B1167" s="38" t="n"/>
      <c r="C1167" s="40" t="n"/>
      <c r="D1167" s="40" t="n"/>
      <c r="E1167" s="34">
        <f t="array" ref="E1167">IF($B1167="","",IFERROR(INDEX(PERSONAL!$B$2:$B$80,MATCH($B1167,PERSONAL!$A$2:$A$80,0)),"NO EXISTE"))</f>
        <v/>
      </c>
      <c r="F1167" s="34">
        <f t="array" ref="F1167">IF($B1167="","",IFERROR(INDEX(PERSONAL!$C$2:$C$80,MATCH($B1167,PERSONAL!$A$2:$A$80,0)),""))</f>
        <v/>
      </c>
      <c r="G1167" s="34">
        <f>IF($A1167="","",CHOOSE(WEEKDAY($A1167,2),"LUNES","MARTES","MIÉRCOLES","JUEVES","VIERNES","SÁBADO","DOMINGO"))</f>
        <v/>
      </c>
      <c r="H1167" s="34">
        <f>IF($A1167="","",CHOOSE(MONTH($A1167),"ENERO","FEBRERO","MARZO","ABRIL","MAYO","JUNIO","JULIO","AGOSTO","SEPTIEMBRE","OCTUBRE","NOVIEMBRE","DICIEMBRE"))</f>
        <v/>
      </c>
      <c r="I1167" s="34">
        <f>IF($A1167="","",IF(OR($G1167="SÁBADO",$G1167="DOMINGO"),"FIN","LV"))</f>
        <v/>
      </c>
      <c r="J1167" s="34">
        <f>IF(OR($A1167="",$B1167=""),"",IF($L1167&lt;&gt;"",UPPER($L1167),IF($C1167="","FALTA",IFERROR(IF($C1167&gt;=$O1167,"ROJO FUERTE",IF($C1167&gt;=$N1167,"ROJO",IF($C1167&gt;=$M1167,"AMARILLO","VERDE"))),"REVISAR"))))</f>
        <v/>
      </c>
      <c r="K1167" s="36">
        <f>IF(OR($C1167="",$D1167=""),"",IF($D1167&gt;=$C1167,($D1167-$C1167)*24,(1-$C1167+$D1167)*24))</f>
        <v/>
      </c>
      <c r="L1167" s="34" t="n"/>
      <c r="M1167" s="53">
        <f t="array" ref="M1167">IFERROR(INDEX(EXCEPCIONES_FECHA!$D$2:$D$201,MATCH(1,(EXCEPCIONES_FECHA!$A$2:$A$201=$A1167)*(EXCEPCIONES_FECHA!$B$2:$B$201=$B1167),0)),IFERROR(INDEX(EXCEPCIONES_FECHA!$D$2:$D$201,MATCH(1,(EXCEPCIONES_FECHA!$A$2:$A$201=$A1167)*(EXCEPCIONES_FECHA!$B$2:$B$201=""),0)),IFERROR(INDEX(IF($I1167="FIN",HISTORIAL_HORARIOS!$J$2:$J$201,HISTORIAL_HORARIOS!$F$2:$F$201),MATCH(1,(HISTORIAL_HORARIOS!$A$2:$A$201=$B1167)*(HISTORIAL_HORARIOS!$C$2:$C$201&lt;=$A1167)*(HISTORIAL_HORARIOS!$D$2:$D$201&gt;=$A1167),0)),INDEX(IF($I1167="FIN",PERSONAL!$J$2:$J$80,PERSONAL!$F$2:$F$80),MATCH($B1167,PERSONAL!$A$2:$A$80,0)))))</f>
        <v/>
      </c>
      <c r="N1167" s="53">
        <f t="array" ref="N1167">IFERROR(INDEX(EXCEPCIONES_FECHA!$E$2:$E$201,MATCH(1,(EXCEPCIONES_FECHA!$A$2:$A$201=$A1167)*(EXCEPCIONES_FECHA!$B$2:$B$201=$B1167),0)),IFERROR(INDEX(EXCEPCIONES_FECHA!$E$2:$E$201,MATCH(1,(EXCEPCIONES_FECHA!$A$2:$A$201=$A1167)*(EXCEPCIONES_FECHA!$B$2:$B$201=""),0)),IFERROR(INDEX(IF($I1167="FIN",HISTORIAL_HORARIOS!$K$2:$K$201,HISTORIAL_HORARIOS!$G$2:$G$201),MATCH(1,(HISTORIAL_HORARIOS!$A$2:$A$201=$B1167)*(HISTORIAL_HORARIOS!$C$2:$C$201&lt;=$A1167)*(HISTORIAL_HORARIOS!$D$2:$D$201&gt;=$A1167),0)),INDEX(IF($I1167="FIN",PERSONAL!$K$2:$K$80,PERSONAL!$G$2:$G$80),MATCH($B1167,PERSONAL!$A$2:$A$80,0)))))</f>
        <v/>
      </c>
      <c r="O1167" s="53">
        <f t="array" ref="O1167">IFERROR(INDEX(EXCEPCIONES_FECHA!$F$2:$F$201,MATCH(1,(EXCEPCIONES_FECHA!$A$2:$A$201=$A1167)*(EXCEPCIONES_FECHA!$B$2:$B$201=$B1167),0)),IFERROR(INDEX(EXCEPCIONES_FECHA!$F$2:$F$201,MATCH(1,(EXCEPCIONES_FECHA!$A$2:$A$201=$A1167)*(EXCEPCIONES_FECHA!$B$2:$B$201=""),0)),IFERROR(INDEX(IF($I1167="FIN",HISTORIAL_HORARIOS!$L$2:$L$201,HISTORIAL_HORARIOS!$H$2:$H$201),MATCH(1,(HISTORIAL_HORARIOS!$A$2:$A$201=$B1167)*(HISTORIAL_HORARIOS!$C$2:$C$201&lt;=$A1167)*(HISTORIAL_HORARIOS!$D$2:$D$201&gt;=$A1167),0)),INDEX(IF($I1167="FIN",PERSONAL!$L$2:$L$80,PERSONAL!$H$2:$H$80),MATCH($B1167,PERSONAL!$A$2:$A$80,0)))))</f>
        <v/>
      </c>
    </row>
    <row r="1168" ht="15" customHeight="1" s="58">
      <c r="A1168" s="40" t="n"/>
      <c r="B1168" s="38" t="n"/>
      <c r="C1168" s="40" t="n"/>
      <c r="D1168" s="40" t="n"/>
      <c r="E1168" s="34">
        <f t="array" ref="E1168">IF($B1168="","",IFERROR(INDEX(PERSONAL!$B$2:$B$80,MATCH($B1168,PERSONAL!$A$2:$A$80,0)),"NO EXISTE"))</f>
        <v/>
      </c>
      <c r="F1168" s="34">
        <f t="array" ref="F1168">IF($B1168="","",IFERROR(INDEX(PERSONAL!$C$2:$C$80,MATCH($B1168,PERSONAL!$A$2:$A$80,0)),""))</f>
        <v/>
      </c>
      <c r="G1168" s="34">
        <f>IF($A1168="","",CHOOSE(WEEKDAY($A1168,2),"LUNES","MARTES","MIÉRCOLES","JUEVES","VIERNES","SÁBADO","DOMINGO"))</f>
        <v/>
      </c>
      <c r="H1168" s="34">
        <f>IF($A1168="","",CHOOSE(MONTH($A1168),"ENERO","FEBRERO","MARZO","ABRIL","MAYO","JUNIO","JULIO","AGOSTO","SEPTIEMBRE","OCTUBRE","NOVIEMBRE","DICIEMBRE"))</f>
        <v/>
      </c>
      <c r="I1168" s="34">
        <f>IF($A1168="","",IF(OR($G1168="SÁBADO",$G1168="DOMINGO"),"FIN","LV"))</f>
        <v/>
      </c>
      <c r="J1168" s="34">
        <f>IF(OR($A1168="",$B1168=""),"",IF($L1168&lt;&gt;"",UPPER($L1168),IF($C1168="","FALTA",IFERROR(IF($C1168&gt;=$O1168,"ROJO FUERTE",IF($C1168&gt;=$N1168,"ROJO",IF($C1168&gt;=$M1168,"AMARILLO","VERDE"))),"REVISAR"))))</f>
        <v/>
      </c>
      <c r="K1168" s="36">
        <f>IF(OR($C1168="",$D1168=""),"",IF($D1168&gt;=$C1168,($D1168-$C1168)*24,(1-$C1168+$D1168)*24))</f>
        <v/>
      </c>
      <c r="L1168" s="34" t="n"/>
      <c r="M1168" s="53">
        <f t="array" ref="M1168">IFERROR(INDEX(EXCEPCIONES_FECHA!$D$2:$D$201,MATCH(1,(EXCEPCIONES_FECHA!$A$2:$A$201=$A1168)*(EXCEPCIONES_FECHA!$B$2:$B$201=$B1168),0)),IFERROR(INDEX(EXCEPCIONES_FECHA!$D$2:$D$201,MATCH(1,(EXCEPCIONES_FECHA!$A$2:$A$201=$A1168)*(EXCEPCIONES_FECHA!$B$2:$B$201=""),0)),IFERROR(INDEX(IF($I1168="FIN",HISTORIAL_HORARIOS!$J$2:$J$201,HISTORIAL_HORARIOS!$F$2:$F$201),MATCH(1,(HISTORIAL_HORARIOS!$A$2:$A$201=$B1168)*(HISTORIAL_HORARIOS!$C$2:$C$201&lt;=$A1168)*(HISTORIAL_HORARIOS!$D$2:$D$201&gt;=$A1168),0)),INDEX(IF($I1168="FIN",PERSONAL!$J$2:$J$80,PERSONAL!$F$2:$F$80),MATCH($B1168,PERSONAL!$A$2:$A$80,0)))))</f>
        <v/>
      </c>
      <c r="N1168" s="53">
        <f t="array" ref="N1168">IFERROR(INDEX(EXCEPCIONES_FECHA!$E$2:$E$201,MATCH(1,(EXCEPCIONES_FECHA!$A$2:$A$201=$A1168)*(EXCEPCIONES_FECHA!$B$2:$B$201=$B1168),0)),IFERROR(INDEX(EXCEPCIONES_FECHA!$E$2:$E$201,MATCH(1,(EXCEPCIONES_FECHA!$A$2:$A$201=$A1168)*(EXCEPCIONES_FECHA!$B$2:$B$201=""),0)),IFERROR(INDEX(IF($I1168="FIN",HISTORIAL_HORARIOS!$K$2:$K$201,HISTORIAL_HORARIOS!$G$2:$G$201),MATCH(1,(HISTORIAL_HORARIOS!$A$2:$A$201=$B1168)*(HISTORIAL_HORARIOS!$C$2:$C$201&lt;=$A1168)*(HISTORIAL_HORARIOS!$D$2:$D$201&gt;=$A1168),0)),INDEX(IF($I1168="FIN",PERSONAL!$K$2:$K$80,PERSONAL!$G$2:$G$80),MATCH($B1168,PERSONAL!$A$2:$A$80,0)))))</f>
        <v/>
      </c>
      <c r="O1168" s="53">
        <f t="array" ref="O1168">IFERROR(INDEX(EXCEPCIONES_FECHA!$F$2:$F$201,MATCH(1,(EXCEPCIONES_FECHA!$A$2:$A$201=$A1168)*(EXCEPCIONES_FECHA!$B$2:$B$201=$B1168),0)),IFERROR(INDEX(EXCEPCIONES_FECHA!$F$2:$F$201,MATCH(1,(EXCEPCIONES_FECHA!$A$2:$A$201=$A1168)*(EXCEPCIONES_FECHA!$B$2:$B$201=""),0)),IFERROR(INDEX(IF($I1168="FIN",HISTORIAL_HORARIOS!$L$2:$L$201,HISTORIAL_HORARIOS!$H$2:$H$201),MATCH(1,(HISTORIAL_HORARIOS!$A$2:$A$201=$B1168)*(HISTORIAL_HORARIOS!$C$2:$C$201&lt;=$A1168)*(HISTORIAL_HORARIOS!$D$2:$D$201&gt;=$A1168),0)),INDEX(IF($I1168="FIN",PERSONAL!$L$2:$L$80,PERSONAL!$H$2:$H$80),MATCH($B1168,PERSONAL!$A$2:$A$80,0)))))</f>
        <v/>
      </c>
    </row>
    <row r="1169" ht="15" customHeight="1" s="58">
      <c r="A1169" s="40" t="n"/>
      <c r="B1169" s="38" t="n"/>
      <c r="C1169" s="40" t="n"/>
      <c r="D1169" s="40" t="n"/>
      <c r="E1169" s="34">
        <f t="array" ref="E1169">IF($B1169="","",IFERROR(INDEX(PERSONAL!$B$2:$B$80,MATCH($B1169,PERSONAL!$A$2:$A$80,0)),"NO EXISTE"))</f>
        <v/>
      </c>
      <c r="F1169" s="34">
        <f t="array" ref="F1169">IF($B1169="","",IFERROR(INDEX(PERSONAL!$C$2:$C$80,MATCH($B1169,PERSONAL!$A$2:$A$80,0)),""))</f>
        <v/>
      </c>
      <c r="G1169" s="34">
        <f>IF($A1169="","",CHOOSE(WEEKDAY($A1169,2),"LUNES","MARTES","MIÉRCOLES","JUEVES","VIERNES","SÁBADO","DOMINGO"))</f>
        <v/>
      </c>
      <c r="H1169" s="34">
        <f>IF($A1169="","",CHOOSE(MONTH($A1169),"ENERO","FEBRERO","MARZO","ABRIL","MAYO","JUNIO","JULIO","AGOSTO","SEPTIEMBRE","OCTUBRE","NOVIEMBRE","DICIEMBRE"))</f>
        <v/>
      </c>
      <c r="I1169" s="34">
        <f>IF($A1169="","",IF(OR($G1169="SÁBADO",$G1169="DOMINGO"),"FIN","LV"))</f>
        <v/>
      </c>
      <c r="J1169" s="34">
        <f>IF(OR($A1169="",$B1169=""),"",IF($L1169&lt;&gt;"",UPPER($L1169),IF($C1169="","FALTA",IFERROR(IF($C1169&gt;=$O1169,"ROJO FUERTE",IF($C1169&gt;=$N1169,"ROJO",IF($C1169&gt;=$M1169,"AMARILLO","VERDE"))),"REVISAR"))))</f>
        <v/>
      </c>
      <c r="K1169" s="36">
        <f>IF(OR($C1169="",$D1169=""),"",IF($D1169&gt;=$C1169,($D1169-$C1169)*24,(1-$C1169+$D1169)*24))</f>
        <v/>
      </c>
      <c r="L1169" s="34" t="n"/>
      <c r="M1169" s="53">
        <f t="array" ref="M1169">IFERROR(INDEX(EXCEPCIONES_FECHA!$D$2:$D$201,MATCH(1,(EXCEPCIONES_FECHA!$A$2:$A$201=$A1169)*(EXCEPCIONES_FECHA!$B$2:$B$201=$B1169),0)),IFERROR(INDEX(EXCEPCIONES_FECHA!$D$2:$D$201,MATCH(1,(EXCEPCIONES_FECHA!$A$2:$A$201=$A1169)*(EXCEPCIONES_FECHA!$B$2:$B$201=""),0)),IFERROR(INDEX(IF($I1169="FIN",HISTORIAL_HORARIOS!$J$2:$J$201,HISTORIAL_HORARIOS!$F$2:$F$201),MATCH(1,(HISTORIAL_HORARIOS!$A$2:$A$201=$B1169)*(HISTORIAL_HORARIOS!$C$2:$C$201&lt;=$A1169)*(HISTORIAL_HORARIOS!$D$2:$D$201&gt;=$A1169),0)),INDEX(IF($I1169="FIN",PERSONAL!$J$2:$J$80,PERSONAL!$F$2:$F$80),MATCH($B1169,PERSONAL!$A$2:$A$80,0)))))</f>
        <v/>
      </c>
      <c r="N1169" s="53">
        <f t="array" ref="N1169">IFERROR(INDEX(EXCEPCIONES_FECHA!$E$2:$E$201,MATCH(1,(EXCEPCIONES_FECHA!$A$2:$A$201=$A1169)*(EXCEPCIONES_FECHA!$B$2:$B$201=$B1169),0)),IFERROR(INDEX(EXCEPCIONES_FECHA!$E$2:$E$201,MATCH(1,(EXCEPCIONES_FECHA!$A$2:$A$201=$A1169)*(EXCEPCIONES_FECHA!$B$2:$B$201=""),0)),IFERROR(INDEX(IF($I1169="FIN",HISTORIAL_HORARIOS!$K$2:$K$201,HISTORIAL_HORARIOS!$G$2:$G$201),MATCH(1,(HISTORIAL_HORARIOS!$A$2:$A$201=$B1169)*(HISTORIAL_HORARIOS!$C$2:$C$201&lt;=$A1169)*(HISTORIAL_HORARIOS!$D$2:$D$201&gt;=$A1169),0)),INDEX(IF($I1169="FIN",PERSONAL!$K$2:$K$80,PERSONAL!$G$2:$G$80),MATCH($B1169,PERSONAL!$A$2:$A$80,0)))))</f>
        <v/>
      </c>
      <c r="O1169" s="53">
        <f t="array" ref="O1169">IFERROR(INDEX(EXCEPCIONES_FECHA!$F$2:$F$201,MATCH(1,(EXCEPCIONES_FECHA!$A$2:$A$201=$A1169)*(EXCEPCIONES_FECHA!$B$2:$B$201=$B1169),0)),IFERROR(INDEX(EXCEPCIONES_FECHA!$F$2:$F$201,MATCH(1,(EXCEPCIONES_FECHA!$A$2:$A$201=$A1169)*(EXCEPCIONES_FECHA!$B$2:$B$201=""),0)),IFERROR(INDEX(IF($I1169="FIN",HISTORIAL_HORARIOS!$L$2:$L$201,HISTORIAL_HORARIOS!$H$2:$H$201),MATCH(1,(HISTORIAL_HORARIOS!$A$2:$A$201=$B1169)*(HISTORIAL_HORARIOS!$C$2:$C$201&lt;=$A1169)*(HISTORIAL_HORARIOS!$D$2:$D$201&gt;=$A1169),0)),INDEX(IF($I1169="FIN",PERSONAL!$L$2:$L$80,PERSONAL!$H$2:$H$80),MATCH($B1169,PERSONAL!$A$2:$A$80,0)))))</f>
        <v/>
      </c>
    </row>
    <row r="1170" ht="15" customHeight="1" s="58">
      <c r="A1170" s="40" t="n"/>
      <c r="B1170" s="38" t="n"/>
      <c r="C1170" s="40" t="n"/>
      <c r="D1170" s="40" t="n"/>
      <c r="E1170" s="34">
        <f t="array" ref="E1170">IF($B1170="","",IFERROR(INDEX(PERSONAL!$B$2:$B$80,MATCH($B1170,PERSONAL!$A$2:$A$80,0)),"NO EXISTE"))</f>
        <v/>
      </c>
      <c r="F1170" s="34">
        <f t="array" ref="F1170">IF($B1170="","",IFERROR(INDEX(PERSONAL!$C$2:$C$80,MATCH($B1170,PERSONAL!$A$2:$A$80,0)),""))</f>
        <v/>
      </c>
      <c r="G1170" s="34">
        <f>IF($A1170="","",CHOOSE(WEEKDAY($A1170,2),"LUNES","MARTES","MIÉRCOLES","JUEVES","VIERNES","SÁBADO","DOMINGO"))</f>
        <v/>
      </c>
      <c r="H1170" s="34">
        <f>IF($A1170="","",CHOOSE(MONTH($A1170),"ENERO","FEBRERO","MARZO","ABRIL","MAYO","JUNIO","JULIO","AGOSTO","SEPTIEMBRE","OCTUBRE","NOVIEMBRE","DICIEMBRE"))</f>
        <v/>
      </c>
      <c r="I1170" s="34">
        <f>IF($A1170="","",IF(OR($G1170="SÁBADO",$G1170="DOMINGO"),"FIN","LV"))</f>
        <v/>
      </c>
      <c r="J1170" s="34">
        <f>IF(OR($A1170="",$B1170=""),"",IF($L1170&lt;&gt;"",UPPER($L1170),IF($C1170="","FALTA",IFERROR(IF($C1170&gt;=$O1170,"ROJO FUERTE",IF($C1170&gt;=$N1170,"ROJO",IF($C1170&gt;=$M1170,"AMARILLO","VERDE"))),"REVISAR"))))</f>
        <v/>
      </c>
      <c r="K1170" s="36">
        <f>IF(OR($C1170="",$D1170=""),"",IF($D1170&gt;=$C1170,($D1170-$C1170)*24,(1-$C1170+$D1170)*24))</f>
        <v/>
      </c>
      <c r="L1170" s="34" t="n"/>
      <c r="M1170" s="53">
        <f t="array" ref="M1170">IFERROR(INDEX(EXCEPCIONES_FECHA!$D$2:$D$201,MATCH(1,(EXCEPCIONES_FECHA!$A$2:$A$201=$A1170)*(EXCEPCIONES_FECHA!$B$2:$B$201=$B1170),0)),IFERROR(INDEX(EXCEPCIONES_FECHA!$D$2:$D$201,MATCH(1,(EXCEPCIONES_FECHA!$A$2:$A$201=$A1170)*(EXCEPCIONES_FECHA!$B$2:$B$201=""),0)),IFERROR(INDEX(IF($I1170="FIN",HISTORIAL_HORARIOS!$J$2:$J$201,HISTORIAL_HORARIOS!$F$2:$F$201),MATCH(1,(HISTORIAL_HORARIOS!$A$2:$A$201=$B1170)*(HISTORIAL_HORARIOS!$C$2:$C$201&lt;=$A1170)*(HISTORIAL_HORARIOS!$D$2:$D$201&gt;=$A1170),0)),INDEX(IF($I1170="FIN",PERSONAL!$J$2:$J$80,PERSONAL!$F$2:$F$80),MATCH($B1170,PERSONAL!$A$2:$A$80,0)))))</f>
        <v/>
      </c>
      <c r="N1170" s="53">
        <f t="array" ref="N1170">IFERROR(INDEX(EXCEPCIONES_FECHA!$E$2:$E$201,MATCH(1,(EXCEPCIONES_FECHA!$A$2:$A$201=$A1170)*(EXCEPCIONES_FECHA!$B$2:$B$201=$B1170),0)),IFERROR(INDEX(EXCEPCIONES_FECHA!$E$2:$E$201,MATCH(1,(EXCEPCIONES_FECHA!$A$2:$A$201=$A1170)*(EXCEPCIONES_FECHA!$B$2:$B$201=""),0)),IFERROR(INDEX(IF($I1170="FIN",HISTORIAL_HORARIOS!$K$2:$K$201,HISTORIAL_HORARIOS!$G$2:$G$201),MATCH(1,(HISTORIAL_HORARIOS!$A$2:$A$201=$B1170)*(HISTORIAL_HORARIOS!$C$2:$C$201&lt;=$A1170)*(HISTORIAL_HORARIOS!$D$2:$D$201&gt;=$A1170),0)),INDEX(IF($I1170="FIN",PERSONAL!$K$2:$K$80,PERSONAL!$G$2:$G$80),MATCH($B1170,PERSONAL!$A$2:$A$80,0)))))</f>
        <v/>
      </c>
      <c r="O1170" s="53">
        <f t="array" ref="O1170">IFERROR(INDEX(EXCEPCIONES_FECHA!$F$2:$F$201,MATCH(1,(EXCEPCIONES_FECHA!$A$2:$A$201=$A1170)*(EXCEPCIONES_FECHA!$B$2:$B$201=$B1170),0)),IFERROR(INDEX(EXCEPCIONES_FECHA!$F$2:$F$201,MATCH(1,(EXCEPCIONES_FECHA!$A$2:$A$201=$A1170)*(EXCEPCIONES_FECHA!$B$2:$B$201=""),0)),IFERROR(INDEX(IF($I1170="FIN",HISTORIAL_HORARIOS!$L$2:$L$201,HISTORIAL_HORARIOS!$H$2:$H$201),MATCH(1,(HISTORIAL_HORARIOS!$A$2:$A$201=$B1170)*(HISTORIAL_HORARIOS!$C$2:$C$201&lt;=$A1170)*(HISTORIAL_HORARIOS!$D$2:$D$201&gt;=$A1170),0)),INDEX(IF($I1170="FIN",PERSONAL!$L$2:$L$80,PERSONAL!$H$2:$H$80),MATCH($B1170,PERSONAL!$A$2:$A$80,0)))))</f>
        <v/>
      </c>
    </row>
    <row r="1171" ht="15" customHeight="1" s="58">
      <c r="A1171" s="40" t="n"/>
      <c r="B1171" s="38" t="n"/>
      <c r="C1171" s="40" t="n"/>
      <c r="D1171" s="40" t="n"/>
      <c r="E1171" s="34">
        <f t="array" ref="E1171">IF($B1171="","",IFERROR(INDEX(PERSONAL!$B$2:$B$80,MATCH($B1171,PERSONAL!$A$2:$A$80,0)),"NO EXISTE"))</f>
        <v/>
      </c>
      <c r="F1171" s="34">
        <f t="array" ref="F1171">IF($B1171="","",IFERROR(INDEX(PERSONAL!$C$2:$C$80,MATCH($B1171,PERSONAL!$A$2:$A$80,0)),""))</f>
        <v/>
      </c>
      <c r="G1171" s="34">
        <f>IF($A1171="","",CHOOSE(WEEKDAY($A1171,2),"LUNES","MARTES","MIÉRCOLES","JUEVES","VIERNES","SÁBADO","DOMINGO"))</f>
        <v/>
      </c>
      <c r="H1171" s="34">
        <f>IF($A1171="","",CHOOSE(MONTH($A1171),"ENERO","FEBRERO","MARZO","ABRIL","MAYO","JUNIO","JULIO","AGOSTO","SEPTIEMBRE","OCTUBRE","NOVIEMBRE","DICIEMBRE"))</f>
        <v/>
      </c>
      <c r="I1171" s="34">
        <f>IF($A1171="","",IF(OR($G1171="SÁBADO",$G1171="DOMINGO"),"FIN","LV"))</f>
        <v/>
      </c>
      <c r="J1171" s="34">
        <f>IF(OR($A1171="",$B1171=""),"",IF($L1171&lt;&gt;"",UPPER($L1171),IF($C1171="","FALTA",IFERROR(IF($C1171&gt;=$O1171,"ROJO FUERTE",IF($C1171&gt;=$N1171,"ROJO",IF($C1171&gt;=$M1171,"AMARILLO","VERDE"))),"REVISAR"))))</f>
        <v/>
      </c>
      <c r="K1171" s="36">
        <f>IF(OR($C1171="",$D1171=""),"",IF($D1171&gt;=$C1171,($D1171-$C1171)*24,(1-$C1171+$D1171)*24))</f>
        <v/>
      </c>
      <c r="L1171" s="34" t="n"/>
      <c r="M1171" s="53">
        <f t="array" ref="M1171">IFERROR(INDEX(EXCEPCIONES_FECHA!$D$2:$D$201,MATCH(1,(EXCEPCIONES_FECHA!$A$2:$A$201=$A1171)*(EXCEPCIONES_FECHA!$B$2:$B$201=$B1171),0)),IFERROR(INDEX(EXCEPCIONES_FECHA!$D$2:$D$201,MATCH(1,(EXCEPCIONES_FECHA!$A$2:$A$201=$A1171)*(EXCEPCIONES_FECHA!$B$2:$B$201=""),0)),IFERROR(INDEX(IF($I1171="FIN",HISTORIAL_HORARIOS!$J$2:$J$201,HISTORIAL_HORARIOS!$F$2:$F$201),MATCH(1,(HISTORIAL_HORARIOS!$A$2:$A$201=$B1171)*(HISTORIAL_HORARIOS!$C$2:$C$201&lt;=$A1171)*(HISTORIAL_HORARIOS!$D$2:$D$201&gt;=$A1171),0)),INDEX(IF($I1171="FIN",PERSONAL!$J$2:$J$80,PERSONAL!$F$2:$F$80),MATCH($B1171,PERSONAL!$A$2:$A$80,0)))))</f>
        <v/>
      </c>
      <c r="N1171" s="53">
        <f t="array" ref="N1171">IFERROR(INDEX(EXCEPCIONES_FECHA!$E$2:$E$201,MATCH(1,(EXCEPCIONES_FECHA!$A$2:$A$201=$A1171)*(EXCEPCIONES_FECHA!$B$2:$B$201=$B1171),0)),IFERROR(INDEX(EXCEPCIONES_FECHA!$E$2:$E$201,MATCH(1,(EXCEPCIONES_FECHA!$A$2:$A$201=$A1171)*(EXCEPCIONES_FECHA!$B$2:$B$201=""),0)),IFERROR(INDEX(IF($I1171="FIN",HISTORIAL_HORARIOS!$K$2:$K$201,HISTORIAL_HORARIOS!$G$2:$G$201),MATCH(1,(HISTORIAL_HORARIOS!$A$2:$A$201=$B1171)*(HISTORIAL_HORARIOS!$C$2:$C$201&lt;=$A1171)*(HISTORIAL_HORARIOS!$D$2:$D$201&gt;=$A1171),0)),INDEX(IF($I1171="FIN",PERSONAL!$K$2:$K$80,PERSONAL!$G$2:$G$80),MATCH($B1171,PERSONAL!$A$2:$A$80,0)))))</f>
        <v/>
      </c>
      <c r="O1171" s="53">
        <f t="array" ref="O1171">IFERROR(INDEX(EXCEPCIONES_FECHA!$F$2:$F$201,MATCH(1,(EXCEPCIONES_FECHA!$A$2:$A$201=$A1171)*(EXCEPCIONES_FECHA!$B$2:$B$201=$B1171),0)),IFERROR(INDEX(EXCEPCIONES_FECHA!$F$2:$F$201,MATCH(1,(EXCEPCIONES_FECHA!$A$2:$A$201=$A1171)*(EXCEPCIONES_FECHA!$B$2:$B$201=""),0)),IFERROR(INDEX(IF($I1171="FIN",HISTORIAL_HORARIOS!$L$2:$L$201,HISTORIAL_HORARIOS!$H$2:$H$201),MATCH(1,(HISTORIAL_HORARIOS!$A$2:$A$201=$B1171)*(HISTORIAL_HORARIOS!$C$2:$C$201&lt;=$A1171)*(HISTORIAL_HORARIOS!$D$2:$D$201&gt;=$A1171),0)),INDEX(IF($I1171="FIN",PERSONAL!$L$2:$L$80,PERSONAL!$H$2:$H$80),MATCH($B1171,PERSONAL!$A$2:$A$80,0)))))</f>
        <v/>
      </c>
    </row>
    <row r="1172" ht="15" customHeight="1" s="58">
      <c r="A1172" s="40" t="n"/>
      <c r="B1172" s="38" t="n"/>
      <c r="C1172" s="40" t="n"/>
      <c r="D1172" s="40" t="n"/>
      <c r="E1172" s="34">
        <f t="array" ref="E1172">IF($B1172="","",IFERROR(INDEX(PERSONAL!$B$2:$B$80,MATCH($B1172,PERSONAL!$A$2:$A$80,0)),"NO EXISTE"))</f>
        <v/>
      </c>
      <c r="F1172" s="34">
        <f t="array" ref="F1172">IF($B1172="","",IFERROR(INDEX(PERSONAL!$C$2:$C$80,MATCH($B1172,PERSONAL!$A$2:$A$80,0)),""))</f>
        <v/>
      </c>
      <c r="G1172" s="34">
        <f>IF($A1172="","",CHOOSE(WEEKDAY($A1172,2),"LUNES","MARTES","MIÉRCOLES","JUEVES","VIERNES","SÁBADO","DOMINGO"))</f>
        <v/>
      </c>
      <c r="H1172" s="34">
        <f>IF($A1172="","",CHOOSE(MONTH($A1172),"ENERO","FEBRERO","MARZO","ABRIL","MAYO","JUNIO","JULIO","AGOSTO","SEPTIEMBRE","OCTUBRE","NOVIEMBRE","DICIEMBRE"))</f>
        <v/>
      </c>
      <c r="I1172" s="34">
        <f>IF($A1172="","",IF(OR($G1172="SÁBADO",$G1172="DOMINGO"),"FIN","LV"))</f>
        <v/>
      </c>
      <c r="J1172" s="34">
        <f>IF(OR($A1172="",$B1172=""),"",IF($L1172&lt;&gt;"",UPPER($L1172),IF($C1172="","FALTA",IFERROR(IF($C1172&gt;=$O1172,"ROJO FUERTE",IF($C1172&gt;=$N1172,"ROJO",IF($C1172&gt;=$M1172,"AMARILLO","VERDE"))),"REVISAR"))))</f>
        <v/>
      </c>
      <c r="K1172" s="36">
        <f>IF(OR($C1172="",$D1172=""),"",IF($D1172&gt;=$C1172,($D1172-$C1172)*24,(1-$C1172+$D1172)*24))</f>
        <v/>
      </c>
      <c r="L1172" s="34" t="n"/>
      <c r="M1172" s="53">
        <f t="array" ref="M1172">IFERROR(INDEX(EXCEPCIONES_FECHA!$D$2:$D$201,MATCH(1,(EXCEPCIONES_FECHA!$A$2:$A$201=$A1172)*(EXCEPCIONES_FECHA!$B$2:$B$201=$B1172),0)),IFERROR(INDEX(EXCEPCIONES_FECHA!$D$2:$D$201,MATCH(1,(EXCEPCIONES_FECHA!$A$2:$A$201=$A1172)*(EXCEPCIONES_FECHA!$B$2:$B$201=""),0)),IFERROR(INDEX(IF($I1172="FIN",HISTORIAL_HORARIOS!$J$2:$J$201,HISTORIAL_HORARIOS!$F$2:$F$201),MATCH(1,(HISTORIAL_HORARIOS!$A$2:$A$201=$B1172)*(HISTORIAL_HORARIOS!$C$2:$C$201&lt;=$A1172)*(HISTORIAL_HORARIOS!$D$2:$D$201&gt;=$A1172),0)),INDEX(IF($I1172="FIN",PERSONAL!$J$2:$J$80,PERSONAL!$F$2:$F$80),MATCH($B1172,PERSONAL!$A$2:$A$80,0)))))</f>
        <v/>
      </c>
      <c r="N1172" s="53">
        <f t="array" ref="N1172">IFERROR(INDEX(EXCEPCIONES_FECHA!$E$2:$E$201,MATCH(1,(EXCEPCIONES_FECHA!$A$2:$A$201=$A1172)*(EXCEPCIONES_FECHA!$B$2:$B$201=$B1172),0)),IFERROR(INDEX(EXCEPCIONES_FECHA!$E$2:$E$201,MATCH(1,(EXCEPCIONES_FECHA!$A$2:$A$201=$A1172)*(EXCEPCIONES_FECHA!$B$2:$B$201=""),0)),IFERROR(INDEX(IF($I1172="FIN",HISTORIAL_HORARIOS!$K$2:$K$201,HISTORIAL_HORARIOS!$G$2:$G$201),MATCH(1,(HISTORIAL_HORARIOS!$A$2:$A$201=$B1172)*(HISTORIAL_HORARIOS!$C$2:$C$201&lt;=$A1172)*(HISTORIAL_HORARIOS!$D$2:$D$201&gt;=$A1172),0)),INDEX(IF($I1172="FIN",PERSONAL!$K$2:$K$80,PERSONAL!$G$2:$G$80),MATCH($B1172,PERSONAL!$A$2:$A$80,0)))))</f>
        <v/>
      </c>
      <c r="O1172" s="53">
        <f t="array" ref="O1172">IFERROR(INDEX(EXCEPCIONES_FECHA!$F$2:$F$201,MATCH(1,(EXCEPCIONES_FECHA!$A$2:$A$201=$A1172)*(EXCEPCIONES_FECHA!$B$2:$B$201=$B1172),0)),IFERROR(INDEX(EXCEPCIONES_FECHA!$F$2:$F$201,MATCH(1,(EXCEPCIONES_FECHA!$A$2:$A$201=$A1172)*(EXCEPCIONES_FECHA!$B$2:$B$201=""),0)),IFERROR(INDEX(IF($I1172="FIN",HISTORIAL_HORARIOS!$L$2:$L$201,HISTORIAL_HORARIOS!$H$2:$H$201),MATCH(1,(HISTORIAL_HORARIOS!$A$2:$A$201=$B1172)*(HISTORIAL_HORARIOS!$C$2:$C$201&lt;=$A1172)*(HISTORIAL_HORARIOS!$D$2:$D$201&gt;=$A1172),0)),INDEX(IF($I1172="FIN",PERSONAL!$L$2:$L$80,PERSONAL!$H$2:$H$80),MATCH($B1172,PERSONAL!$A$2:$A$80,0)))))</f>
        <v/>
      </c>
    </row>
    <row r="1173" ht="15" customHeight="1" s="58">
      <c r="A1173" s="40" t="n"/>
      <c r="B1173" s="38" t="n"/>
      <c r="C1173" s="40" t="n"/>
      <c r="D1173" s="40" t="n"/>
      <c r="E1173" s="34">
        <f t="array" ref="E1173">IF($B1173="","",IFERROR(INDEX(PERSONAL!$B$2:$B$80,MATCH($B1173,PERSONAL!$A$2:$A$80,0)),"NO EXISTE"))</f>
        <v/>
      </c>
      <c r="F1173" s="34">
        <f t="array" ref="F1173">IF($B1173="","",IFERROR(INDEX(PERSONAL!$C$2:$C$80,MATCH($B1173,PERSONAL!$A$2:$A$80,0)),""))</f>
        <v/>
      </c>
      <c r="G1173" s="34">
        <f>IF($A1173="","",CHOOSE(WEEKDAY($A1173,2),"LUNES","MARTES","MIÉRCOLES","JUEVES","VIERNES","SÁBADO","DOMINGO"))</f>
        <v/>
      </c>
      <c r="H1173" s="34">
        <f>IF($A1173="","",CHOOSE(MONTH($A1173),"ENERO","FEBRERO","MARZO","ABRIL","MAYO","JUNIO","JULIO","AGOSTO","SEPTIEMBRE","OCTUBRE","NOVIEMBRE","DICIEMBRE"))</f>
        <v/>
      </c>
      <c r="I1173" s="34">
        <f>IF($A1173="","",IF(OR($G1173="SÁBADO",$G1173="DOMINGO"),"FIN","LV"))</f>
        <v/>
      </c>
      <c r="J1173" s="34">
        <f>IF(OR($A1173="",$B1173=""),"",IF($L1173&lt;&gt;"",UPPER($L1173),IF($C1173="","FALTA",IFERROR(IF($C1173&gt;=$O1173,"ROJO FUERTE",IF($C1173&gt;=$N1173,"ROJO",IF($C1173&gt;=$M1173,"AMARILLO","VERDE"))),"REVISAR"))))</f>
        <v/>
      </c>
      <c r="K1173" s="36">
        <f>IF(OR($C1173="",$D1173=""),"",IF($D1173&gt;=$C1173,($D1173-$C1173)*24,(1-$C1173+$D1173)*24))</f>
        <v/>
      </c>
      <c r="L1173" s="34" t="n"/>
      <c r="M1173" s="53">
        <f t="array" ref="M1173">IFERROR(INDEX(EXCEPCIONES_FECHA!$D$2:$D$201,MATCH(1,(EXCEPCIONES_FECHA!$A$2:$A$201=$A1173)*(EXCEPCIONES_FECHA!$B$2:$B$201=$B1173),0)),IFERROR(INDEX(EXCEPCIONES_FECHA!$D$2:$D$201,MATCH(1,(EXCEPCIONES_FECHA!$A$2:$A$201=$A1173)*(EXCEPCIONES_FECHA!$B$2:$B$201=""),0)),IFERROR(INDEX(IF($I1173="FIN",HISTORIAL_HORARIOS!$J$2:$J$201,HISTORIAL_HORARIOS!$F$2:$F$201),MATCH(1,(HISTORIAL_HORARIOS!$A$2:$A$201=$B1173)*(HISTORIAL_HORARIOS!$C$2:$C$201&lt;=$A1173)*(HISTORIAL_HORARIOS!$D$2:$D$201&gt;=$A1173),0)),INDEX(IF($I1173="FIN",PERSONAL!$J$2:$J$80,PERSONAL!$F$2:$F$80),MATCH($B1173,PERSONAL!$A$2:$A$80,0)))))</f>
        <v/>
      </c>
      <c r="N1173" s="53">
        <f t="array" ref="N1173">IFERROR(INDEX(EXCEPCIONES_FECHA!$E$2:$E$201,MATCH(1,(EXCEPCIONES_FECHA!$A$2:$A$201=$A1173)*(EXCEPCIONES_FECHA!$B$2:$B$201=$B1173),0)),IFERROR(INDEX(EXCEPCIONES_FECHA!$E$2:$E$201,MATCH(1,(EXCEPCIONES_FECHA!$A$2:$A$201=$A1173)*(EXCEPCIONES_FECHA!$B$2:$B$201=""),0)),IFERROR(INDEX(IF($I1173="FIN",HISTORIAL_HORARIOS!$K$2:$K$201,HISTORIAL_HORARIOS!$G$2:$G$201),MATCH(1,(HISTORIAL_HORARIOS!$A$2:$A$201=$B1173)*(HISTORIAL_HORARIOS!$C$2:$C$201&lt;=$A1173)*(HISTORIAL_HORARIOS!$D$2:$D$201&gt;=$A1173),0)),INDEX(IF($I1173="FIN",PERSONAL!$K$2:$K$80,PERSONAL!$G$2:$G$80),MATCH($B1173,PERSONAL!$A$2:$A$80,0)))))</f>
        <v/>
      </c>
      <c r="O1173" s="53">
        <f t="array" ref="O1173">IFERROR(INDEX(EXCEPCIONES_FECHA!$F$2:$F$201,MATCH(1,(EXCEPCIONES_FECHA!$A$2:$A$201=$A1173)*(EXCEPCIONES_FECHA!$B$2:$B$201=$B1173),0)),IFERROR(INDEX(EXCEPCIONES_FECHA!$F$2:$F$201,MATCH(1,(EXCEPCIONES_FECHA!$A$2:$A$201=$A1173)*(EXCEPCIONES_FECHA!$B$2:$B$201=""),0)),IFERROR(INDEX(IF($I1173="FIN",HISTORIAL_HORARIOS!$L$2:$L$201,HISTORIAL_HORARIOS!$H$2:$H$201),MATCH(1,(HISTORIAL_HORARIOS!$A$2:$A$201=$B1173)*(HISTORIAL_HORARIOS!$C$2:$C$201&lt;=$A1173)*(HISTORIAL_HORARIOS!$D$2:$D$201&gt;=$A1173),0)),INDEX(IF($I1173="FIN",PERSONAL!$L$2:$L$80,PERSONAL!$H$2:$H$80),MATCH($B1173,PERSONAL!$A$2:$A$80,0)))))</f>
        <v/>
      </c>
    </row>
    <row r="1174" ht="15" customHeight="1" s="58">
      <c r="A1174" s="40" t="n"/>
      <c r="B1174" s="38" t="n"/>
      <c r="C1174" s="40" t="n"/>
      <c r="D1174" s="40" t="n"/>
      <c r="E1174" s="34">
        <f t="array" ref="E1174">IF($B1174="","",IFERROR(INDEX(PERSONAL!$B$2:$B$80,MATCH($B1174,PERSONAL!$A$2:$A$80,0)),"NO EXISTE"))</f>
        <v/>
      </c>
      <c r="F1174" s="34">
        <f t="array" ref="F1174">IF($B1174="","",IFERROR(INDEX(PERSONAL!$C$2:$C$80,MATCH($B1174,PERSONAL!$A$2:$A$80,0)),""))</f>
        <v/>
      </c>
      <c r="G1174" s="34">
        <f>IF($A1174="","",CHOOSE(WEEKDAY($A1174,2),"LUNES","MARTES","MIÉRCOLES","JUEVES","VIERNES","SÁBADO","DOMINGO"))</f>
        <v/>
      </c>
      <c r="H1174" s="34">
        <f>IF($A1174="","",CHOOSE(MONTH($A1174),"ENERO","FEBRERO","MARZO","ABRIL","MAYO","JUNIO","JULIO","AGOSTO","SEPTIEMBRE","OCTUBRE","NOVIEMBRE","DICIEMBRE"))</f>
        <v/>
      </c>
      <c r="I1174" s="34">
        <f>IF($A1174="","",IF(OR($G1174="SÁBADO",$G1174="DOMINGO"),"FIN","LV"))</f>
        <v/>
      </c>
      <c r="J1174" s="34">
        <f>IF(OR($A1174="",$B1174=""),"",IF($L1174&lt;&gt;"",UPPER($L1174),IF($C1174="","FALTA",IFERROR(IF($C1174&gt;=$O1174,"ROJO FUERTE",IF($C1174&gt;=$N1174,"ROJO",IF($C1174&gt;=$M1174,"AMARILLO","VERDE"))),"REVISAR"))))</f>
        <v/>
      </c>
      <c r="K1174" s="36">
        <f>IF(OR($C1174="",$D1174=""),"",IF($D1174&gt;=$C1174,($D1174-$C1174)*24,(1-$C1174+$D1174)*24))</f>
        <v/>
      </c>
      <c r="L1174" s="34" t="n"/>
      <c r="M1174" s="53">
        <f t="array" ref="M1174">IFERROR(INDEX(EXCEPCIONES_FECHA!$D$2:$D$201,MATCH(1,(EXCEPCIONES_FECHA!$A$2:$A$201=$A1174)*(EXCEPCIONES_FECHA!$B$2:$B$201=$B1174),0)),IFERROR(INDEX(EXCEPCIONES_FECHA!$D$2:$D$201,MATCH(1,(EXCEPCIONES_FECHA!$A$2:$A$201=$A1174)*(EXCEPCIONES_FECHA!$B$2:$B$201=""),0)),IFERROR(INDEX(IF($I1174="FIN",HISTORIAL_HORARIOS!$J$2:$J$201,HISTORIAL_HORARIOS!$F$2:$F$201),MATCH(1,(HISTORIAL_HORARIOS!$A$2:$A$201=$B1174)*(HISTORIAL_HORARIOS!$C$2:$C$201&lt;=$A1174)*(HISTORIAL_HORARIOS!$D$2:$D$201&gt;=$A1174),0)),INDEX(IF($I1174="FIN",PERSONAL!$J$2:$J$80,PERSONAL!$F$2:$F$80),MATCH($B1174,PERSONAL!$A$2:$A$80,0)))))</f>
        <v/>
      </c>
      <c r="N1174" s="53">
        <f t="array" ref="N1174">IFERROR(INDEX(EXCEPCIONES_FECHA!$E$2:$E$201,MATCH(1,(EXCEPCIONES_FECHA!$A$2:$A$201=$A1174)*(EXCEPCIONES_FECHA!$B$2:$B$201=$B1174),0)),IFERROR(INDEX(EXCEPCIONES_FECHA!$E$2:$E$201,MATCH(1,(EXCEPCIONES_FECHA!$A$2:$A$201=$A1174)*(EXCEPCIONES_FECHA!$B$2:$B$201=""),0)),IFERROR(INDEX(IF($I1174="FIN",HISTORIAL_HORARIOS!$K$2:$K$201,HISTORIAL_HORARIOS!$G$2:$G$201),MATCH(1,(HISTORIAL_HORARIOS!$A$2:$A$201=$B1174)*(HISTORIAL_HORARIOS!$C$2:$C$201&lt;=$A1174)*(HISTORIAL_HORARIOS!$D$2:$D$201&gt;=$A1174),0)),INDEX(IF($I1174="FIN",PERSONAL!$K$2:$K$80,PERSONAL!$G$2:$G$80),MATCH($B1174,PERSONAL!$A$2:$A$80,0)))))</f>
        <v/>
      </c>
      <c r="O1174" s="53">
        <f t="array" ref="O1174">IFERROR(INDEX(EXCEPCIONES_FECHA!$F$2:$F$201,MATCH(1,(EXCEPCIONES_FECHA!$A$2:$A$201=$A1174)*(EXCEPCIONES_FECHA!$B$2:$B$201=$B1174),0)),IFERROR(INDEX(EXCEPCIONES_FECHA!$F$2:$F$201,MATCH(1,(EXCEPCIONES_FECHA!$A$2:$A$201=$A1174)*(EXCEPCIONES_FECHA!$B$2:$B$201=""),0)),IFERROR(INDEX(IF($I1174="FIN",HISTORIAL_HORARIOS!$L$2:$L$201,HISTORIAL_HORARIOS!$H$2:$H$201),MATCH(1,(HISTORIAL_HORARIOS!$A$2:$A$201=$B1174)*(HISTORIAL_HORARIOS!$C$2:$C$201&lt;=$A1174)*(HISTORIAL_HORARIOS!$D$2:$D$201&gt;=$A1174),0)),INDEX(IF($I1174="FIN",PERSONAL!$L$2:$L$80,PERSONAL!$H$2:$H$80),MATCH($B1174,PERSONAL!$A$2:$A$80,0)))))</f>
        <v/>
      </c>
    </row>
    <row r="1175" ht="15" customHeight="1" s="58">
      <c r="A1175" s="40" t="n"/>
      <c r="B1175" s="38" t="n"/>
      <c r="C1175" s="40" t="n"/>
      <c r="D1175" s="40" t="n"/>
      <c r="E1175" s="34">
        <f t="array" ref="E1175">IF($B1175="","",IFERROR(INDEX(PERSONAL!$B$2:$B$80,MATCH($B1175,PERSONAL!$A$2:$A$80,0)),"NO EXISTE"))</f>
        <v/>
      </c>
      <c r="F1175" s="34">
        <f t="array" ref="F1175">IF($B1175="","",IFERROR(INDEX(PERSONAL!$C$2:$C$80,MATCH($B1175,PERSONAL!$A$2:$A$80,0)),""))</f>
        <v/>
      </c>
      <c r="G1175" s="34">
        <f>IF($A1175="","",CHOOSE(WEEKDAY($A1175,2),"LUNES","MARTES","MIÉRCOLES","JUEVES","VIERNES","SÁBADO","DOMINGO"))</f>
        <v/>
      </c>
      <c r="H1175" s="34">
        <f>IF($A1175="","",CHOOSE(MONTH($A1175),"ENERO","FEBRERO","MARZO","ABRIL","MAYO","JUNIO","JULIO","AGOSTO","SEPTIEMBRE","OCTUBRE","NOVIEMBRE","DICIEMBRE"))</f>
        <v/>
      </c>
      <c r="I1175" s="34">
        <f>IF($A1175="","",IF(OR($G1175="SÁBADO",$G1175="DOMINGO"),"FIN","LV"))</f>
        <v/>
      </c>
      <c r="J1175" s="34">
        <f>IF(OR($A1175="",$B1175=""),"",IF($L1175&lt;&gt;"",UPPER($L1175),IF($C1175="","FALTA",IFERROR(IF($C1175&gt;=$O1175,"ROJO FUERTE",IF($C1175&gt;=$N1175,"ROJO",IF($C1175&gt;=$M1175,"AMARILLO","VERDE"))),"REVISAR"))))</f>
        <v/>
      </c>
      <c r="K1175" s="36">
        <f>IF(OR($C1175="",$D1175=""),"",IF($D1175&gt;=$C1175,($D1175-$C1175)*24,(1-$C1175+$D1175)*24))</f>
        <v/>
      </c>
      <c r="L1175" s="34" t="n"/>
      <c r="M1175" s="53">
        <f t="array" ref="M1175">IFERROR(INDEX(EXCEPCIONES_FECHA!$D$2:$D$201,MATCH(1,(EXCEPCIONES_FECHA!$A$2:$A$201=$A1175)*(EXCEPCIONES_FECHA!$B$2:$B$201=$B1175),0)),IFERROR(INDEX(EXCEPCIONES_FECHA!$D$2:$D$201,MATCH(1,(EXCEPCIONES_FECHA!$A$2:$A$201=$A1175)*(EXCEPCIONES_FECHA!$B$2:$B$201=""),0)),IFERROR(INDEX(IF($I1175="FIN",HISTORIAL_HORARIOS!$J$2:$J$201,HISTORIAL_HORARIOS!$F$2:$F$201),MATCH(1,(HISTORIAL_HORARIOS!$A$2:$A$201=$B1175)*(HISTORIAL_HORARIOS!$C$2:$C$201&lt;=$A1175)*(HISTORIAL_HORARIOS!$D$2:$D$201&gt;=$A1175),0)),INDEX(IF($I1175="FIN",PERSONAL!$J$2:$J$80,PERSONAL!$F$2:$F$80),MATCH($B1175,PERSONAL!$A$2:$A$80,0)))))</f>
        <v/>
      </c>
      <c r="N1175" s="53">
        <f t="array" ref="N1175">IFERROR(INDEX(EXCEPCIONES_FECHA!$E$2:$E$201,MATCH(1,(EXCEPCIONES_FECHA!$A$2:$A$201=$A1175)*(EXCEPCIONES_FECHA!$B$2:$B$201=$B1175),0)),IFERROR(INDEX(EXCEPCIONES_FECHA!$E$2:$E$201,MATCH(1,(EXCEPCIONES_FECHA!$A$2:$A$201=$A1175)*(EXCEPCIONES_FECHA!$B$2:$B$201=""),0)),IFERROR(INDEX(IF($I1175="FIN",HISTORIAL_HORARIOS!$K$2:$K$201,HISTORIAL_HORARIOS!$G$2:$G$201),MATCH(1,(HISTORIAL_HORARIOS!$A$2:$A$201=$B1175)*(HISTORIAL_HORARIOS!$C$2:$C$201&lt;=$A1175)*(HISTORIAL_HORARIOS!$D$2:$D$201&gt;=$A1175),0)),INDEX(IF($I1175="FIN",PERSONAL!$K$2:$K$80,PERSONAL!$G$2:$G$80),MATCH($B1175,PERSONAL!$A$2:$A$80,0)))))</f>
        <v/>
      </c>
      <c r="O1175" s="53">
        <f t="array" ref="O1175">IFERROR(INDEX(EXCEPCIONES_FECHA!$F$2:$F$201,MATCH(1,(EXCEPCIONES_FECHA!$A$2:$A$201=$A1175)*(EXCEPCIONES_FECHA!$B$2:$B$201=$B1175),0)),IFERROR(INDEX(EXCEPCIONES_FECHA!$F$2:$F$201,MATCH(1,(EXCEPCIONES_FECHA!$A$2:$A$201=$A1175)*(EXCEPCIONES_FECHA!$B$2:$B$201=""),0)),IFERROR(INDEX(IF($I1175="FIN",HISTORIAL_HORARIOS!$L$2:$L$201,HISTORIAL_HORARIOS!$H$2:$H$201),MATCH(1,(HISTORIAL_HORARIOS!$A$2:$A$201=$B1175)*(HISTORIAL_HORARIOS!$C$2:$C$201&lt;=$A1175)*(HISTORIAL_HORARIOS!$D$2:$D$201&gt;=$A1175),0)),INDEX(IF($I1175="FIN",PERSONAL!$L$2:$L$80,PERSONAL!$H$2:$H$80),MATCH($B1175,PERSONAL!$A$2:$A$80,0)))))</f>
        <v/>
      </c>
    </row>
    <row r="1176" ht="15" customHeight="1" s="58">
      <c r="A1176" s="40" t="n"/>
      <c r="B1176" s="38" t="n"/>
      <c r="C1176" s="40" t="n"/>
      <c r="D1176" s="40" t="n"/>
      <c r="E1176" s="34">
        <f t="array" ref="E1176">IF($B1176="","",IFERROR(INDEX(PERSONAL!$B$2:$B$80,MATCH($B1176,PERSONAL!$A$2:$A$80,0)),"NO EXISTE"))</f>
        <v/>
      </c>
      <c r="F1176" s="34">
        <f t="array" ref="F1176">IF($B1176="","",IFERROR(INDEX(PERSONAL!$C$2:$C$80,MATCH($B1176,PERSONAL!$A$2:$A$80,0)),""))</f>
        <v/>
      </c>
      <c r="G1176" s="34">
        <f>IF($A1176="","",CHOOSE(WEEKDAY($A1176,2),"LUNES","MARTES","MIÉRCOLES","JUEVES","VIERNES","SÁBADO","DOMINGO"))</f>
        <v/>
      </c>
      <c r="H1176" s="34">
        <f>IF($A1176="","",CHOOSE(MONTH($A1176),"ENERO","FEBRERO","MARZO","ABRIL","MAYO","JUNIO","JULIO","AGOSTO","SEPTIEMBRE","OCTUBRE","NOVIEMBRE","DICIEMBRE"))</f>
        <v/>
      </c>
      <c r="I1176" s="34">
        <f>IF($A1176="","",IF(OR($G1176="SÁBADO",$G1176="DOMINGO"),"FIN","LV"))</f>
        <v/>
      </c>
      <c r="J1176" s="34">
        <f>IF(OR($A1176="",$B1176=""),"",IF($L1176&lt;&gt;"",UPPER($L1176),IF($C1176="","FALTA",IFERROR(IF($C1176&gt;=$O1176,"ROJO FUERTE",IF($C1176&gt;=$N1176,"ROJO",IF($C1176&gt;=$M1176,"AMARILLO","VERDE"))),"REVISAR"))))</f>
        <v/>
      </c>
      <c r="K1176" s="36">
        <f>IF(OR($C1176="",$D1176=""),"",IF($D1176&gt;=$C1176,($D1176-$C1176)*24,(1-$C1176+$D1176)*24))</f>
        <v/>
      </c>
      <c r="L1176" s="34" t="n"/>
      <c r="M1176" s="53">
        <f t="array" ref="M1176">IFERROR(INDEX(EXCEPCIONES_FECHA!$D$2:$D$201,MATCH(1,(EXCEPCIONES_FECHA!$A$2:$A$201=$A1176)*(EXCEPCIONES_FECHA!$B$2:$B$201=$B1176),0)),IFERROR(INDEX(EXCEPCIONES_FECHA!$D$2:$D$201,MATCH(1,(EXCEPCIONES_FECHA!$A$2:$A$201=$A1176)*(EXCEPCIONES_FECHA!$B$2:$B$201=""),0)),IFERROR(INDEX(IF($I1176="FIN",HISTORIAL_HORARIOS!$J$2:$J$201,HISTORIAL_HORARIOS!$F$2:$F$201),MATCH(1,(HISTORIAL_HORARIOS!$A$2:$A$201=$B1176)*(HISTORIAL_HORARIOS!$C$2:$C$201&lt;=$A1176)*(HISTORIAL_HORARIOS!$D$2:$D$201&gt;=$A1176),0)),INDEX(IF($I1176="FIN",PERSONAL!$J$2:$J$80,PERSONAL!$F$2:$F$80),MATCH($B1176,PERSONAL!$A$2:$A$80,0)))))</f>
        <v/>
      </c>
      <c r="N1176" s="53">
        <f t="array" ref="N1176">IFERROR(INDEX(EXCEPCIONES_FECHA!$E$2:$E$201,MATCH(1,(EXCEPCIONES_FECHA!$A$2:$A$201=$A1176)*(EXCEPCIONES_FECHA!$B$2:$B$201=$B1176),0)),IFERROR(INDEX(EXCEPCIONES_FECHA!$E$2:$E$201,MATCH(1,(EXCEPCIONES_FECHA!$A$2:$A$201=$A1176)*(EXCEPCIONES_FECHA!$B$2:$B$201=""),0)),IFERROR(INDEX(IF($I1176="FIN",HISTORIAL_HORARIOS!$K$2:$K$201,HISTORIAL_HORARIOS!$G$2:$G$201),MATCH(1,(HISTORIAL_HORARIOS!$A$2:$A$201=$B1176)*(HISTORIAL_HORARIOS!$C$2:$C$201&lt;=$A1176)*(HISTORIAL_HORARIOS!$D$2:$D$201&gt;=$A1176),0)),INDEX(IF($I1176="FIN",PERSONAL!$K$2:$K$80,PERSONAL!$G$2:$G$80),MATCH($B1176,PERSONAL!$A$2:$A$80,0)))))</f>
        <v/>
      </c>
      <c r="O1176" s="53">
        <f t="array" ref="O1176">IFERROR(INDEX(EXCEPCIONES_FECHA!$F$2:$F$201,MATCH(1,(EXCEPCIONES_FECHA!$A$2:$A$201=$A1176)*(EXCEPCIONES_FECHA!$B$2:$B$201=$B1176),0)),IFERROR(INDEX(EXCEPCIONES_FECHA!$F$2:$F$201,MATCH(1,(EXCEPCIONES_FECHA!$A$2:$A$201=$A1176)*(EXCEPCIONES_FECHA!$B$2:$B$201=""),0)),IFERROR(INDEX(IF($I1176="FIN",HISTORIAL_HORARIOS!$L$2:$L$201,HISTORIAL_HORARIOS!$H$2:$H$201),MATCH(1,(HISTORIAL_HORARIOS!$A$2:$A$201=$B1176)*(HISTORIAL_HORARIOS!$C$2:$C$201&lt;=$A1176)*(HISTORIAL_HORARIOS!$D$2:$D$201&gt;=$A1176),0)),INDEX(IF($I1176="FIN",PERSONAL!$L$2:$L$80,PERSONAL!$H$2:$H$80),MATCH($B1176,PERSONAL!$A$2:$A$80,0)))))</f>
        <v/>
      </c>
    </row>
    <row r="1177" ht="15" customHeight="1" s="58">
      <c r="A1177" s="40" t="n"/>
      <c r="B1177" s="38" t="n"/>
      <c r="C1177" s="40" t="n"/>
      <c r="D1177" s="40" t="n"/>
      <c r="E1177" s="34">
        <f t="array" ref="E1177">IF($B1177="","",IFERROR(INDEX(PERSONAL!$B$2:$B$80,MATCH($B1177,PERSONAL!$A$2:$A$80,0)),"NO EXISTE"))</f>
        <v/>
      </c>
      <c r="F1177" s="34">
        <f t="array" ref="F1177">IF($B1177="","",IFERROR(INDEX(PERSONAL!$C$2:$C$80,MATCH($B1177,PERSONAL!$A$2:$A$80,0)),""))</f>
        <v/>
      </c>
      <c r="G1177" s="34">
        <f>IF($A1177="","",CHOOSE(WEEKDAY($A1177,2),"LUNES","MARTES","MIÉRCOLES","JUEVES","VIERNES","SÁBADO","DOMINGO"))</f>
        <v/>
      </c>
      <c r="H1177" s="34">
        <f>IF($A1177="","",CHOOSE(MONTH($A1177),"ENERO","FEBRERO","MARZO","ABRIL","MAYO","JUNIO","JULIO","AGOSTO","SEPTIEMBRE","OCTUBRE","NOVIEMBRE","DICIEMBRE"))</f>
        <v/>
      </c>
      <c r="I1177" s="34">
        <f>IF($A1177="","",IF(OR($G1177="SÁBADO",$G1177="DOMINGO"),"FIN","LV"))</f>
        <v/>
      </c>
      <c r="J1177" s="34">
        <f>IF(OR($A1177="",$B1177=""),"",IF($L1177&lt;&gt;"",UPPER($L1177),IF($C1177="","FALTA",IFERROR(IF($C1177&gt;=$O1177,"ROJO FUERTE",IF($C1177&gt;=$N1177,"ROJO",IF($C1177&gt;=$M1177,"AMARILLO","VERDE"))),"REVISAR"))))</f>
        <v/>
      </c>
      <c r="K1177" s="36">
        <f>IF(OR($C1177="",$D1177=""),"",IF($D1177&gt;=$C1177,($D1177-$C1177)*24,(1-$C1177+$D1177)*24))</f>
        <v/>
      </c>
      <c r="L1177" s="34" t="n"/>
      <c r="M1177" s="53">
        <f t="array" ref="M1177">IFERROR(INDEX(EXCEPCIONES_FECHA!$D$2:$D$201,MATCH(1,(EXCEPCIONES_FECHA!$A$2:$A$201=$A1177)*(EXCEPCIONES_FECHA!$B$2:$B$201=$B1177),0)),IFERROR(INDEX(EXCEPCIONES_FECHA!$D$2:$D$201,MATCH(1,(EXCEPCIONES_FECHA!$A$2:$A$201=$A1177)*(EXCEPCIONES_FECHA!$B$2:$B$201=""),0)),IFERROR(INDEX(IF($I1177="FIN",HISTORIAL_HORARIOS!$J$2:$J$201,HISTORIAL_HORARIOS!$F$2:$F$201),MATCH(1,(HISTORIAL_HORARIOS!$A$2:$A$201=$B1177)*(HISTORIAL_HORARIOS!$C$2:$C$201&lt;=$A1177)*(HISTORIAL_HORARIOS!$D$2:$D$201&gt;=$A1177),0)),INDEX(IF($I1177="FIN",PERSONAL!$J$2:$J$80,PERSONAL!$F$2:$F$80),MATCH($B1177,PERSONAL!$A$2:$A$80,0)))))</f>
        <v/>
      </c>
      <c r="N1177" s="53">
        <f t="array" ref="N1177">IFERROR(INDEX(EXCEPCIONES_FECHA!$E$2:$E$201,MATCH(1,(EXCEPCIONES_FECHA!$A$2:$A$201=$A1177)*(EXCEPCIONES_FECHA!$B$2:$B$201=$B1177),0)),IFERROR(INDEX(EXCEPCIONES_FECHA!$E$2:$E$201,MATCH(1,(EXCEPCIONES_FECHA!$A$2:$A$201=$A1177)*(EXCEPCIONES_FECHA!$B$2:$B$201=""),0)),IFERROR(INDEX(IF($I1177="FIN",HISTORIAL_HORARIOS!$K$2:$K$201,HISTORIAL_HORARIOS!$G$2:$G$201),MATCH(1,(HISTORIAL_HORARIOS!$A$2:$A$201=$B1177)*(HISTORIAL_HORARIOS!$C$2:$C$201&lt;=$A1177)*(HISTORIAL_HORARIOS!$D$2:$D$201&gt;=$A1177),0)),INDEX(IF($I1177="FIN",PERSONAL!$K$2:$K$80,PERSONAL!$G$2:$G$80),MATCH($B1177,PERSONAL!$A$2:$A$80,0)))))</f>
        <v/>
      </c>
      <c r="O1177" s="53">
        <f t="array" ref="O1177">IFERROR(INDEX(EXCEPCIONES_FECHA!$F$2:$F$201,MATCH(1,(EXCEPCIONES_FECHA!$A$2:$A$201=$A1177)*(EXCEPCIONES_FECHA!$B$2:$B$201=$B1177),0)),IFERROR(INDEX(EXCEPCIONES_FECHA!$F$2:$F$201,MATCH(1,(EXCEPCIONES_FECHA!$A$2:$A$201=$A1177)*(EXCEPCIONES_FECHA!$B$2:$B$201=""),0)),IFERROR(INDEX(IF($I1177="FIN",HISTORIAL_HORARIOS!$L$2:$L$201,HISTORIAL_HORARIOS!$H$2:$H$201),MATCH(1,(HISTORIAL_HORARIOS!$A$2:$A$201=$B1177)*(HISTORIAL_HORARIOS!$C$2:$C$201&lt;=$A1177)*(HISTORIAL_HORARIOS!$D$2:$D$201&gt;=$A1177),0)),INDEX(IF($I1177="FIN",PERSONAL!$L$2:$L$80,PERSONAL!$H$2:$H$80),MATCH($B1177,PERSONAL!$A$2:$A$80,0)))))</f>
        <v/>
      </c>
    </row>
    <row r="1178" ht="15" customHeight="1" s="58">
      <c r="A1178" s="40" t="n"/>
      <c r="B1178" s="38" t="n"/>
      <c r="C1178" s="40" t="n"/>
      <c r="D1178" s="40" t="n"/>
      <c r="E1178" s="34">
        <f t="array" ref="E1178">IF($B1178="","",IFERROR(INDEX(PERSONAL!$B$2:$B$80,MATCH($B1178,PERSONAL!$A$2:$A$80,0)),"NO EXISTE"))</f>
        <v/>
      </c>
      <c r="F1178" s="34">
        <f t="array" ref="F1178">IF($B1178="","",IFERROR(INDEX(PERSONAL!$C$2:$C$80,MATCH($B1178,PERSONAL!$A$2:$A$80,0)),""))</f>
        <v/>
      </c>
      <c r="G1178" s="34">
        <f>IF($A1178="","",CHOOSE(WEEKDAY($A1178,2),"LUNES","MARTES","MIÉRCOLES","JUEVES","VIERNES","SÁBADO","DOMINGO"))</f>
        <v/>
      </c>
      <c r="H1178" s="34">
        <f>IF($A1178="","",CHOOSE(MONTH($A1178),"ENERO","FEBRERO","MARZO","ABRIL","MAYO","JUNIO","JULIO","AGOSTO","SEPTIEMBRE","OCTUBRE","NOVIEMBRE","DICIEMBRE"))</f>
        <v/>
      </c>
      <c r="I1178" s="34">
        <f>IF($A1178="","",IF(OR($G1178="SÁBADO",$G1178="DOMINGO"),"FIN","LV"))</f>
        <v/>
      </c>
      <c r="J1178" s="34">
        <f>IF(OR($A1178="",$B1178=""),"",IF($L1178&lt;&gt;"",UPPER($L1178),IF($C1178="","FALTA",IFERROR(IF($C1178&gt;=$O1178,"ROJO FUERTE",IF($C1178&gt;=$N1178,"ROJO",IF($C1178&gt;=$M1178,"AMARILLO","VERDE"))),"REVISAR"))))</f>
        <v/>
      </c>
      <c r="K1178" s="36">
        <f>IF(OR($C1178="",$D1178=""),"",IF($D1178&gt;=$C1178,($D1178-$C1178)*24,(1-$C1178+$D1178)*24))</f>
        <v/>
      </c>
      <c r="L1178" s="34" t="n"/>
      <c r="M1178" s="53">
        <f t="array" ref="M1178">IFERROR(INDEX(EXCEPCIONES_FECHA!$D$2:$D$201,MATCH(1,(EXCEPCIONES_FECHA!$A$2:$A$201=$A1178)*(EXCEPCIONES_FECHA!$B$2:$B$201=$B1178),0)),IFERROR(INDEX(EXCEPCIONES_FECHA!$D$2:$D$201,MATCH(1,(EXCEPCIONES_FECHA!$A$2:$A$201=$A1178)*(EXCEPCIONES_FECHA!$B$2:$B$201=""),0)),IFERROR(INDEX(IF($I1178="FIN",HISTORIAL_HORARIOS!$J$2:$J$201,HISTORIAL_HORARIOS!$F$2:$F$201),MATCH(1,(HISTORIAL_HORARIOS!$A$2:$A$201=$B1178)*(HISTORIAL_HORARIOS!$C$2:$C$201&lt;=$A1178)*(HISTORIAL_HORARIOS!$D$2:$D$201&gt;=$A1178),0)),INDEX(IF($I1178="FIN",PERSONAL!$J$2:$J$80,PERSONAL!$F$2:$F$80),MATCH($B1178,PERSONAL!$A$2:$A$80,0)))))</f>
        <v/>
      </c>
      <c r="N1178" s="53">
        <f t="array" ref="N1178">IFERROR(INDEX(EXCEPCIONES_FECHA!$E$2:$E$201,MATCH(1,(EXCEPCIONES_FECHA!$A$2:$A$201=$A1178)*(EXCEPCIONES_FECHA!$B$2:$B$201=$B1178),0)),IFERROR(INDEX(EXCEPCIONES_FECHA!$E$2:$E$201,MATCH(1,(EXCEPCIONES_FECHA!$A$2:$A$201=$A1178)*(EXCEPCIONES_FECHA!$B$2:$B$201=""),0)),IFERROR(INDEX(IF($I1178="FIN",HISTORIAL_HORARIOS!$K$2:$K$201,HISTORIAL_HORARIOS!$G$2:$G$201),MATCH(1,(HISTORIAL_HORARIOS!$A$2:$A$201=$B1178)*(HISTORIAL_HORARIOS!$C$2:$C$201&lt;=$A1178)*(HISTORIAL_HORARIOS!$D$2:$D$201&gt;=$A1178),0)),INDEX(IF($I1178="FIN",PERSONAL!$K$2:$K$80,PERSONAL!$G$2:$G$80),MATCH($B1178,PERSONAL!$A$2:$A$80,0)))))</f>
        <v/>
      </c>
      <c r="O1178" s="53">
        <f t="array" ref="O1178">IFERROR(INDEX(EXCEPCIONES_FECHA!$F$2:$F$201,MATCH(1,(EXCEPCIONES_FECHA!$A$2:$A$201=$A1178)*(EXCEPCIONES_FECHA!$B$2:$B$201=$B1178),0)),IFERROR(INDEX(EXCEPCIONES_FECHA!$F$2:$F$201,MATCH(1,(EXCEPCIONES_FECHA!$A$2:$A$201=$A1178)*(EXCEPCIONES_FECHA!$B$2:$B$201=""),0)),IFERROR(INDEX(IF($I1178="FIN",HISTORIAL_HORARIOS!$L$2:$L$201,HISTORIAL_HORARIOS!$H$2:$H$201),MATCH(1,(HISTORIAL_HORARIOS!$A$2:$A$201=$B1178)*(HISTORIAL_HORARIOS!$C$2:$C$201&lt;=$A1178)*(HISTORIAL_HORARIOS!$D$2:$D$201&gt;=$A1178),0)),INDEX(IF($I1178="FIN",PERSONAL!$L$2:$L$80,PERSONAL!$H$2:$H$80),MATCH($B1178,PERSONAL!$A$2:$A$80,0)))))</f>
        <v/>
      </c>
    </row>
    <row r="1179" ht="15" customHeight="1" s="58">
      <c r="A1179" s="40" t="n"/>
      <c r="B1179" s="38" t="n"/>
      <c r="C1179" s="40" t="n"/>
      <c r="D1179" s="40" t="n"/>
      <c r="E1179" s="34">
        <f t="array" ref="E1179">IF($B1179="","",IFERROR(INDEX(PERSONAL!$B$2:$B$80,MATCH($B1179,PERSONAL!$A$2:$A$80,0)),"NO EXISTE"))</f>
        <v/>
      </c>
      <c r="F1179" s="34">
        <f t="array" ref="F1179">IF($B1179="","",IFERROR(INDEX(PERSONAL!$C$2:$C$80,MATCH($B1179,PERSONAL!$A$2:$A$80,0)),""))</f>
        <v/>
      </c>
      <c r="G1179" s="34">
        <f>IF($A1179="","",CHOOSE(WEEKDAY($A1179,2),"LUNES","MARTES","MIÉRCOLES","JUEVES","VIERNES","SÁBADO","DOMINGO"))</f>
        <v/>
      </c>
      <c r="H1179" s="34">
        <f>IF($A1179="","",CHOOSE(MONTH($A1179),"ENERO","FEBRERO","MARZO","ABRIL","MAYO","JUNIO","JULIO","AGOSTO","SEPTIEMBRE","OCTUBRE","NOVIEMBRE","DICIEMBRE"))</f>
        <v/>
      </c>
      <c r="I1179" s="34">
        <f>IF($A1179="","",IF(OR($G1179="SÁBADO",$G1179="DOMINGO"),"FIN","LV"))</f>
        <v/>
      </c>
      <c r="J1179" s="34">
        <f>IF(OR($A1179="",$B1179=""),"",IF($L1179&lt;&gt;"",UPPER($L1179),IF($C1179="","FALTA",IFERROR(IF($C1179&gt;=$O1179,"ROJO FUERTE",IF($C1179&gt;=$N1179,"ROJO",IF($C1179&gt;=$M1179,"AMARILLO","VERDE"))),"REVISAR"))))</f>
        <v/>
      </c>
      <c r="K1179" s="36">
        <f>IF(OR($C1179="",$D1179=""),"",IF($D1179&gt;=$C1179,($D1179-$C1179)*24,(1-$C1179+$D1179)*24))</f>
        <v/>
      </c>
      <c r="L1179" s="34" t="n"/>
      <c r="M1179" s="53">
        <f t="array" ref="M1179">IFERROR(INDEX(EXCEPCIONES_FECHA!$D$2:$D$201,MATCH(1,(EXCEPCIONES_FECHA!$A$2:$A$201=$A1179)*(EXCEPCIONES_FECHA!$B$2:$B$201=$B1179),0)),IFERROR(INDEX(EXCEPCIONES_FECHA!$D$2:$D$201,MATCH(1,(EXCEPCIONES_FECHA!$A$2:$A$201=$A1179)*(EXCEPCIONES_FECHA!$B$2:$B$201=""),0)),IFERROR(INDEX(IF($I1179="FIN",HISTORIAL_HORARIOS!$J$2:$J$201,HISTORIAL_HORARIOS!$F$2:$F$201),MATCH(1,(HISTORIAL_HORARIOS!$A$2:$A$201=$B1179)*(HISTORIAL_HORARIOS!$C$2:$C$201&lt;=$A1179)*(HISTORIAL_HORARIOS!$D$2:$D$201&gt;=$A1179),0)),INDEX(IF($I1179="FIN",PERSONAL!$J$2:$J$80,PERSONAL!$F$2:$F$80),MATCH($B1179,PERSONAL!$A$2:$A$80,0)))))</f>
        <v/>
      </c>
      <c r="N1179" s="53">
        <f t="array" ref="N1179">IFERROR(INDEX(EXCEPCIONES_FECHA!$E$2:$E$201,MATCH(1,(EXCEPCIONES_FECHA!$A$2:$A$201=$A1179)*(EXCEPCIONES_FECHA!$B$2:$B$201=$B1179),0)),IFERROR(INDEX(EXCEPCIONES_FECHA!$E$2:$E$201,MATCH(1,(EXCEPCIONES_FECHA!$A$2:$A$201=$A1179)*(EXCEPCIONES_FECHA!$B$2:$B$201=""),0)),IFERROR(INDEX(IF($I1179="FIN",HISTORIAL_HORARIOS!$K$2:$K$201,HISTORIAL_HORARIOS!$G$2:$G$201),MATCH(1,(HISTORIAL_HORARIOS!$A$2:$A$201=$B1179)*(HISTORIAL_HORARIOS!$C$2:$C$201&lt;=$A1179)*(HISTORIAL_HORARIOS!$D$2:$D$201&gt;=$A1179),0)),INDEX(IF($I1179="FIN",PERSONAL!$K$2:$K$80,PERSONAL!$G$2:$G$80),MATCH($B1179,PERSONAL!$A$2:$A$80,0)))))</f>
        <v/>
      </c>
      <c r="O1179" s="53">
        <f t="array" ref="O1179">IFERROR(INDEX(EXCEPCIONES_FECHA!$F$2:$F$201,MATCH(1,(EXCEPCIONES_FECHA!$A$2:$A$201=$A1179)*(EXCEPCIONES_FECHA!$B$2:$B$201=$B1179),0)),IFERROR(INDEX(EXCEPCIONES_FECHA!$F$2:$F$201,MATCH(1,(EXCEPCIONES_FECHA!$A$2:$A$201=$A1179)*(EXCEPCIONES_FECHA!$B$2:$B$201=""),0)),IFERROR(INDEX(IF($I1179="FIN",HISTORIAL_HORARIOS!$L$2:$L$201,HISTORIAL_HORARIOS!$H$2:$H$201),MATCH(1,(HISTORIAL_HORARIOS!$A$2:$A$201=$B1179)*(HISTORIAL_HORARIOS!$C$2:$C$201&lt;=$A1179)*(HISTORIAL_HORARIOS!$D$2:$D$201&gt;=$A1179),0)),INDEX(IF($I1179="FIN",PERSONAL!$L$2:$L$80,PERSONAL!$H$2:$H$80),MATCH($B1179,PERSONAL!$A$2:$A$80,0)))))</f>
        <v/>
      </c>
    </row>
    <row r="1180" ht="15" customHeight="1" s="58">
      <c r="A1180" s="40" t="n"/>
      <c r="B1180" s="38" t="n"/>
      <c r="C1180" s="40" t="n"/>
      <c r="D1180" s="40" t="n"/>
      <c r="E1180" s="34">
        <f t="array" ref="E1180">IF($B1180="","",IFERROR(INDEX(PERSONAL!$B$2:$B$80,MATCH($B1180,PERSONAL!$A$2:$A$80,0)),"NO EXISTE"))</f>
        <v/>
      </c>
      <c r="F1180" s="34">
        <f t="array" ref="F1180">IF($B1180="","",IFERROR(INDEX(PERSONAL!$C$2:$C$80,MATCH($B1180,PERSONAL!$A$2:$A$80,0)),""))</f>
        <v/>
      </c>
      <c r="G1180" s="34">
        <f>IF($A1180="","",CHOOSE(WEEKDAY($A1180,2),"LUNES","MARTES","MIÉRCOLES","JUEVES","VIERNES","SÁBADO","DOMINGO"))</f>
        <v/>
      </c>
      <c r="H1180" s="34">
        <f>IF($A1180="","",CHOOSE(MONTH($A1180),"ENERO","FEBRERO","MARZO","ABRIL","MAYO","JUNIO","JULIO","AGOSTO","SEPTIEMBRE","OCTUBRE","NOVIEMBRE","DICIEMBRE"))</f>
        <v/>
      </c>
      <c r="I1180" s="34">
        <f>IF($A1180="","",IF(OR($G1180="SÁBADO",$G1180="DOMINGO"),"FIN","LV"))</f>
        <v/>
      </c>
      <c r="J1180" s="34">
        <f>IF(OR($A1180="",$B1180=""),"",IF($L1180&lt;&gt;"",UPPER($L1180),IF($C1180="","FALTA",IFERROR(IF($C1180&gt;=$O1180,"ROJO FUERTE",IF($C1180&gt;=$N1180,"ROJO",IF($C1180&gt;=$M1180,"AMARILLO","VERDE"))),"REVISAR"))))</f>
        <v/>
      </c>
      <c r="K1180" s="36">
        <f>IF(OR($C1180="",$D1180=""),"",IF($D1180&gt;=$C1180,($D1180-$C1180)*24,(1-$C1180+$D1180)*24))</f>
        <v/>
      </c>
      <c r="L1180" s="34" t="n"/>
      <c r="M1180" s="53">
        <f t="array" ref="M1180">IFERROR(INDEX(EXCEPCIONES_FECHA!$D$2:$D$201,MATCH(1,(EXCEPCIONES_FECHA!$A$2:$A$201=$A1180)*(EXCEPCIONES_FECHA!$B$2:$B$201=$B1180),0)),IFERROR(INDEX(EXCEPCIONES_FECHA!$D$2:$D$201,MATCH(1,(EXCEPCIONES_FECHA!$A$2:$A$201=$A1180)*(EXCEPCIONES_FECHA!$B$2:$B$201=""),0)),IFERROR(INDEX(IF($I1180="FIN",HISTORIAL_HORARIOS!$J$2:$J$201,HISTORIAL_HORARIOS!$F$2:$F$201),MATCH(1,(HISTORIAL_HORARIOS!$A$2:$A$201=$B1180)*(HISTORIAL_HORARIOS!$C$2:$C$201&lt;=$A1180)*(HISTORIAL_HORARIOS!$D$2:$D$201&gt;=$A1180),0)),INDEX(IF($I1180="FIN",PERSONAL!$J$2:$J$80,PERSONAL!$F$2:$F$80),MATCH($B1180,PERSONAL!$A$2:$A$80,0)))))</f>
        <v/>
      </c>
      <c r="N1180" s="53">
        <f t="array" ref="N1180">IFERROR(INDEX(EXCEPCIONES_FECHA!$E$2:$E$201,MATCH(1,(EXCEPCIONES_FECHA!$A$2:$A$201=$A1180)*(EXCEPCIONES_FECHA!$B$2:$B$201=$B1180),0)),IFERROR(INDEX(EXCEPCIONES_FECHA!$E$2:$E$201,MATCH(1,(EXCEPCIONES_FECHA!$A$2:$A$201=$A1180)*(EXCEPCIONES_FECHA!$B$2:$B$201=""),0)),IFERROR(INDEX(IF($I1180="FIN",HISTORIAL_HORARIOS!$K$2:$K$201,HISTORIAL_HORARIOS!$G$2:$G$201),MATCH(1,(HISTORIAL_HORARIOS!$A$2:$A$201=$B1180)*(HISTORIAL_HORARIOS!$C$2:$C$201&lt;=$A1180)*(HISTORIAL_HORARIOS!$D$2:$D$201&gt;=$A1180),0)),INDEX(IF($I1180="FIN",PERSONAL!$K$2:$K$80,PERSONAL!$G$2:$G$80),MATCH($B1180,PERSONAL!$A$2:$A$80,0)))))</f>
        <v/>
      </c>
      <c r="O1180" s="53">
        <f t="array" ref="O1180">IFERROR(INDEX(EXCEPCIONES_FECHA!$F$2:$F$201,MATCH(1,(EXCEPCIONES_FECHA!$A$2:$A$201=$A1180)*(EXCEPCIONES_FECHA!$B$2:$B$201=$B1180),0)),IFERROR(INDEX(EXCEPCIONES_FECHA!$F$2:$F$201,MATCH(1,(EXCEPCIONES_FECHA!$A$2:$A$201=$A1180)*(EXCEPCIONES_FECHA!$B$2:$B$201=""),0)),IFERROR(INDEX(IF($I1180="FIN",HISTORIAL_HORARIOS!$L$2:$L$201,HISTORIAL_HORARIOS!$H$2:$H$201),MATCH(1,(HISTORIAL_HORARIOS!$A$2:$A$201=$B1180)*(HISTORIAL_HORARIOS!$C$2:$C$201&lt;=$A1180)*(HISTORIAL_HORARIOS!$D$2:$D$201&gt;=$A1180),0)),INDEX(IF($I1180="FIN",PERSONAL!$L$2:$L$80,PERSONAL!$H$2:$H$80),MATCH($B1180,PERSONAL!$A$2:$A$80,0)))))</f>
        <v/>
      </c>
    </row>
    <row r="1181" ht="15" customHeight="1" s="58">
      <c r="A1181" s="40" t="n"/>
      <c r="B1181" s="38" t="n"/>
      <c r="C1181" s="40" t="n"/>
      <c r="D1181" s="40" t="n"/>
      <c r="E1181" s="34">
        <f t="array" ref="E1181">IF($B1181="","",IFERROR(INDEX(PERSONAL!$B$2:$B$80,MATCH($B1181,PERSONAL!$A$2:$A$80,0)),"NO EXISTE"))</f>
        <v/>
      </c>
      <c r="F1181" s="34">
        <f t="array" ref="F1181">IF($B1181="","",IFERROR(INDEX(PERSONAL!$C$2:$C$80,MATCH($B1181,PERSONAL!$A$2:$A$80,0)),""))</f>
        <v/>
      </c>
      <c r="G1181" s="34">
        <f>IF($A1181="","",CHOOSE(WEEKDAY($A1181,2),"LUNES","MARTES","MIÉRCOLES","JUEVES","VIERNES","SÁBADO","DOMINGO"))</f>
        <v/>
      </c>
      <c r="H1181" s="34">
        <f>IF($A1181="","",CHOOSE(MONTH($A1181),"ENERO","FEBRERO","MARZO","ABRIL","MAYO","JUNIO","JULIO","AGOSTO","SEPTIEMBRE","OCTUBRE","NOVIEMBRE","DICIEMBRE"))</f>
        <v/>
      </c>
      <c r="I1181" s="34">
        <f>IF($A1181="","",IF(OR($G1181="SÁBADO",$G1181="DOMINGO"),"FIN","LV"))</f>
        <v/>
      </c>
      <c r="J1181" s="34">
        <f>IF(OR($A1181="",$B1181=""),"",IF($L1181&lt;&gt;"",UPPER($L1181),IF($C1181="","FALTA",IFERROR(IF($C1181&gt;=$O1181,"ROJO FUERTE",IF($C1181&gt;=$N1181,"ROJO",IF($C1181&gt;=$M1181,"AMARILLO","VERDE"))),"REVISAR"))))</f>
        <v/>
      </c>
      <c r="K1181" s="36">
        <f>IF(OR($C1181="",$D1181=""),"",IF($D1181&gt;=$C1181,($D1181-$C1181)*24,(1-$C1181+$D1181)*24))</f>
        <v/>
      </c>
      <c r="L1181" s="34" t="n"/>
      <c r="M1181" s="53">
        <f t="array" ref="M1181">IFERROR(INDEX(EXCEPCIONES_FECHA!$D$2:$D$201,MATCH(1,(EXCEPCIONES_FECHA!$A$2:$A$201=$A1181)*(EXCEPCIONES_FECHA!$B$2:$B$201=$B1181),0)),IFERROR(INDEX(EXCEPCIONES_FECHA!$D$2:$D$201,MATCH(1,(EXCEPCIONES_FECHA!$A$2:$A$201=$A1181)*(EXCEPCIONES_FECHA!$B$2:$B$201=""),0)),IFERROR(INDEX(IF($I1181="FIN",HISTORIAL_HORARIOS!$J$2:$J$201,HISTORIAL_HORARIOS!$F$2:$F$201),MATCH(1,(HISTORIAL_HORARIOS!$A$2:$A$201=$B1181)*(HISTORIAL_HORARIOS!$C$2:$C$201&lt;=$A1181)*(HISTORIAL_HORARIOS!$D$2:$D$201&gt;=$A1181),0)),INDEX(IF($I1181="FIN",PERSONAL!$J$2:$J$80,PERSONAL!$F$2:$F$80),MATCH($B1181,PERSONAL!$A$2:$A$80,0)))))</f>
        <v/>
      </c>
      <c r="N1181" s="53">
        <f t="array" ref="N1181">IFERROR(INDEX(EXCEPCIONES_FECHA!$E$2:$E$201,MATCH(1,(EXCEPCIONES_FECHA!$A$2:$A$201=$A1181)*(EXCEPCIONES_FECHA!$B$2:$B$201=$B1181),0)),IFERROR(INDEX(EXCEPCIONES_FECHA!$E$2:$E$201,MATCH(1,(EXCEPCIONES_FECHA!$A$2:$A$201=$A1181)*(EXCEPCIONES_FECHA!$B$2:$B$201=""),0)),IFERROR(INDEX(IF($I1181="FIN",HISTORIAL_HORARIOS!$K$2:$K$201,HISTORIAL_HORARIOS!$G$2:$G$201),MATCH(1,(HISTORIAL_HORARIOS!$A$2:$A$201=$B1181)*(HISTORIAL_HORARIOS!$C$2:$C$201&lt;=$A1181)*(HISTORIAL_HORARIOS!$D$2:$D$201&gt;=$A1181),0)),INDEX(IF($I1181="FIN",PERSONAL!$K$2:$K$80,PERSONAL!$G$2:$G$80),MATCH($B1181,PERSONAL!$A$2:$A$80,0)))))</f>
        <v/>
      </c>
      <c r="O1181" s="53">
        <f t="array" ref="O1181">IFERROR(INDEX(EXCEPCIONES_FECHA!$F$2:$F$201,MATCH(1,(EXCEPCIONES_FECHA!$A$2:$A$201=$A1181)*(EXCEPCIONES_FECHA!$B$2:$B$201=$B1181),0)),IFERROR(INDEX(EXCEPCIONES_FECHA!$F$2:$F$201,MATCH(1,(EXCEPCIONES_FECHA!$A$2:$A$201=$A1181)*(EXCEPCIONES_FECHA!$B$2:$B$201=""),0)),IFERROR(INDEX(IF($I1181="FIN",HISTORIAL_HORARIOS!$L$2:$L$201,HISTORIAL_HORARIOS!$H$2:$H$201),MATCH(1,(HISTORIAL_HORARIOS!$A$2:$A$201=$B1181)*(HISTORIAL_HORARIOS!$C$2:$C$201&lt;=$A1181)*(HISTORIAL_HORARIOS!$D$2:$D$201&gt;=$A1181),0)),INDEX(IF($I1181="FIN",PERSONAL!$L$2:$L$80,PERSONAL!$H$2:$H$80),MATCH($B1181,PERSONAL!$A$2:$A$80,0)))))</f>
        <v/>
      </c>
    </row>
    <row r="1182" ht="15" customHeight="1" s="58">
      <c r="A1182" s="40" t="n"/>
      <c r="B1182" s="38" t="n"/>
      <c r="C1182" s="40" t="n"/>
      <c r="D1182" s="40" t="n"/>
      <c r="E1182" s="34">
        <f t="array" ref="E1182">IF($B1182="","",IFERROR(INDEX(PERSONAL!$B$2:$B$80,MATCH($B1182,PERSONAL!$A$2:$A$80,0)),"NO EXISTE"))</f>
        <v/>
      </c>
      <c r="F1182" s="34">
        <f t="array" ref="F1182">IF($B1182="","",IFERROR(INDEX(PERSONAL!$C$2:$C$80,MATCH($B1182,PERSONAL!$A$2:$A$80,0)),""))</f>
        <v/>
      </c>
      <c r="G1182" s="34">
        <f>IF($A1182="","",CHOOSE(WEEKDAY($A1182,2),"LUNES","MARTES","MIÉRCOLES","JUEVES","VIERNES","SÁBADO","DOMINGO"))</f>
        <v/>
      </c>
      <c r="H1182" s="34">
        <f>IF($A1182="","",CHOOSE(MONTH($A1182),"ENERO","FEBRERO","MARZO","ABRIL","MAYO","JUNIO","JULIO","AGOSTO","SEPTIEMBRE","OCTUBRE","NOVIEMBRE","DICIEMBRE"))</f>
        <v/>
      </c>
      <c r="I1182" s="34">
        <f>IF($A1182="","",IF(OR($G1182="SÁBADO",$G1182="DOMINGO"),"FIN","LV"))</f>
        <v/>
      </c>
      <c r="J1182" s="34">
        <f>IF(OR($A1182="",$B1182=""),"",IF($L1182&lt;&gt;"",UPPER($L1182),IF($C1182="","FALTA",IFERROR(IF($C1182&gt;=$O1182,"ROJO FUERTE",IF($C1182&gt;=$N1182,"ROJO",IF($C1182&gt;=$M1182,"AMARILLO","VERDE"))),"REVISAR"))))</f>
        <v/>
      </c>
      <c r="K1182" s="36">
        <f>IF(OR($C1182="",$D1182=""),"",IF($D1182&gt;=$C1182,($D1182-$C1182)*24,(1-$C1182+$D1182)*24))</f>
        <v/>
      </c>
      <c r="L1182" s="34" t="n"/>
      <c r="M1182" s="53">
        <f t="array" ref="M1182">IFERROR(INDEX(EXCEPCIONES_FECHA!$D$2:$D$201,MATCH(1,(EXCEPCIONES_FECHA!$A$2:$A$201=$A1182)*(EXCEPCIONES_FECHA!$B$2:$B$201=$B1182),0)),IFERROR(INDEX(EXCEPCIONES_FECHA!$D$2:$D$201,MATCH(1,(EXCEPCIONES_FECHA!$A$2:$A$201=$A1182)*(EXCEPCIONES_FECHA!$B$2:$B$201=""),0)),IFERROR(INDEX(IF($I1182="FIN",HISTORIAL_HORARIOS!$J$2:$J$201,HISTORIAL_HORARIOS!$F$2:$F$201),MATCH(1,(HISTORIAL_HORARIOS!$A$2:$A$201=$B1182)*(HISTORIAL_HORARIOS!$C$2:$C$201&lt;=$A1182)*(HISTORIAL_HORARIOS!$D$2:$D$201&gt;=$A1182),0)),INDEX(IF($I1182="FIN",PERSONAL!$J$2:$J$80,PERSONAL!$F$2:$F$80),MATCH($B1182,PERSONAL!$A$2:$A$80,0)))))</f>
        <v/>
      </c>
      <c r="N1182" s="53">
        <f t="array" ref="N1182">IFERROR(INDEX(EXCEPCIONES_FECHA!$E$2:$E$201,MATCH(1,(EXCEPCIONES_FECHA!$A$2:$A$201=$A1182)*(EXCEPCIONES_FECHA!$B$2:$B$201=$B1182),0)),IFERROR(INDEX(EXCEPCIONES_FECHA!$E$2:$E$201,MATCH(1,(EXCEPCIONES_FECHA!$A$2:$A$201=$A1182)*(EXCEPCIONES_FECHA!$B$2:$B$201=""),0)),IFERROR(INDEX(IF($I1182="FIN",HISTORIAL_HORARIOS!$K$2:$K$201,HISTORIAL_HORARIOS!$G$2:$G$201),MATCH(1,(HISTORIAL_HORARIOS!$A$2:$A$201=$B1182)*(HISTORIAL_HORARIOS!$C$2:$C$201&lt;=$A1182)*(HISTORIAL_HORARIOS!$D$2:$D$201&gt;=$A1182),0)),INDEX(IF($I1182="FIN",PERSONAL!$K$2:$K$80,PERSONAL!$G$2:$G$80),MATCH($B1182,PERSONAL!$A$2:$A$80,0)))))</f>
        <v/>
      </c>
      <c r="O1182" s="53">
        <f t="array" ref="O1182">IFERROR(INDEX(EXCEPCIONES_FECHA!$F$2:$F$201,MATCH(1,(EXCEPCIONES_FECHA!$A$2:$A$201=$A1182)*(EXCEPCIONES_FECHA!$B$2:$B$201=$B1182),0)),IFERROR(INDEX(EXCEPCIONES_FECHA!$F$2:$F$201,MATCH(1,(EXCEPCIONES_FECHA!$A$2:$A$201=$A1182)*(EXCEPCIONES_FECHA!$B$2:$B$201=""),0)),IFERROR(INDEX(IF($I1182="FIN",HISTORIAL_HORARIOS!$L$2:$L$201,HISTORIAL_HORARIOS!$H$2:$H$201),MATCH(1,(HISTORIAL_HORARIOS!$A$2:$A$201=$B1182)*(HISTORIAL_HORARIOS!$C$2:$C$201&lt;=$A1182)*(HISTORIAL_HORARIOS!$D$2:$D$201&gt;=$A1182),0)),INDEX(IF($I1182="FIN",PERSONAL!$L$2:$L$80,PERSONAL!$H$2:$H$80),MATCH($B1182,PERSONAL!$A$2:$A$80,0)))))</f>
        <v/>
      </c>
    </row>
    <row r="1183" ht="15" customHeight="1" s="58">
      <c r="A1183" s="40" t="n"/>
      <c r="B1183" s="38" t="n"/>
      <c r="C1183" s="40" t="n"/>
      <c r="D1183" s="40" t="n"/>
      <c r="E1183" s="34">
        <f t="array" ref="E1183">IF($B1183="","",IFERROR(INDEX(PERSONAL!$B$2:$B$80,MATCH($B1183,PERSONAL!$A$2:$A$80,0)),"NO EXISTE"))</f>
        <v/>
      </c>
      <c r="F1183" s="34">
        <f t="array" ref="F1183">IF($B1183="","",IFERROR(INDEX(PERSONAL!$C$2:$C$80,MATCH($B1183,PERSONAL!$A$2:$A$80,0)),""))</f>
        <v/>
      </c>
      <c r="G1183" s="34">
        <f>IF($A1183="","",CHOOSE(WEEKDAY($A1183,2),"LUNES","MARTES","MIÉRCOLES","JUEVES","VIERNES","SÁBADO","DOMINGO"))</f>
        <v/>
      </c>
      <c r="H1183" s="34">
        <f>IF($A1183="","",CHOOSE(MONTH($A1183),"ENERO","FEBRERO","MARZO","ABRIL","MAYO","JUNIO","JULIO","AGOSTO","SEPTIEMBRE","OCTUBRE","NOVIEMBRE","DICIEMBRE"))</f>
        <v/>
      </c>
      <c r="I1183" s="34">
        <f>IF($A1183="","",IF(OR($G1183="SÁBADO",$G1183="DOMINGO"),"FIN","LV"))</f>
        <v/>
      </c>
      <c r="J1183" s="34">
        <f>IF(OR($A1183="",$B1183=""),"",IF($L1183&lt;&gt;"",UPPER($L1183),IF($C1183="","FALTA",IFERROR(IF($C1183&gt;=$O1183,"ROJO FUERTE",IF($C1183&gt;=$N1183,"ROJO",IF($C1183&gt;=$M1183,"AMARILLO","VERDE"))),"REVISAR"))))</f>
        <v/>
      </c>
      <c r="K1183" s="36">
        <f>IF(OR($C1183="",$D1183=""),"",IF($D1183&gt;=$C1183,($D1183-$C1183)*24,(1-$C1183+$D1183)*24))</f>
        <v/>
      </c>
      <c r="L1183" s="34" t="n"/>
      <c r="M1183" s="53">
        <f t="array" ref="M1183">IFERROR(INDEX(EXCEPCIONES_FECHA!$D$2:$D$201,MATCH(1,(EXCEPCIONES_FECHA!$A$2:$A$201=$A1183)*(EXCEPCIONES_FECHA!$B$2:$B$201=$B1183),0)),IFERROR(INDEX(EXCEPCIONES_FECHA!$D$2:$D$201,MATCH(1,(EXCEPCIONES_FECHA!$A$2:$A$201=$A1183)*(EXCEPCIONES_FECHA!$B$2:$B$201=""),0)),IFERROR(INDEX(IF($I1183="FIN",HISTORIAL_HORARIOS!$J$2:$J$201,HISTORIAL_HORARIOS!$F$2:$F$201),MATCH(1,(HISTORIAL_HORARIOS!$A$2:$A$201=$B1183)*(HISTORIAL_HORARIOS!$C$2:$C$201&lt;=$A1183)*(HISTORIAL_HORARIOS!$D$2:$D$201&gt;=$A1183),0)),INDEX(IF($I1183="FIN",PERSONAL!$J$2:$J$80,PERSONAL!$F$2:$F$80),MATCH($B1183,PERSONAL!$A$2:$A$80,0)))))</f>
        <v/>
      </c>
      <c r="N1183" s="53">
        <f t="array" ref="N1183">IFERROR(INDEX(EXCEPCIONES_FECHA!$E$2:$E$201,MATCH(1,(EXCEPCIONES_FECHA!$A$2:$A$201=$A1183)*(EXCEPCIONES_FECHA!$B$2:$B$201=$B1183),0)),IFERROR(INDEX(EXCEPCIONES_FECHA!$E$2:$E$201,MATCH(1,(EXCEPCIONES_FECHA!$A$2:$A$201=$A1183)*(EXCEPCIONES_FECHA!$B$2:$B$201=""),0)),IFERROR(INDEX(IF($I1183="FIN",HISTORIAL_HORARIOS!$K$2:$K$201,HISTORIAL_HORARIOS!$G$2:$G$201),MATCH(1,(HISTORIAL_HORARIOS!$A$2:$A$201=$B1183)*(HISTORIAL_HORARIOS!$C$2:$C$201&lt;=$A1183)*(HISTORIAL_HORARIOS!$D$2:$D$201&gt;=$A1183),0)),INDEX(IF($I1183="FIN",PERSONAL!$K$2:$K$80,PERSONAL!$G$2:$G$80),MATCH($B1183,PERSONAL!$A$2:$A$80,0)))))</f>
        <v/>
      </c>
      <c r="O1183" s="53">
        <f t="array" ref="O1183">IFERROR(INDEX(EXCEPCIONES_FECHA!$F$2:$F$201,MATCH(1,(EXCEPCIONES_FECHA!$A$2:$A$201=$A1183)*(EXCEPCIONES_FECHA!$B$2:$B$201=$B1183),0)),IFERROR(INDEX(EXCEPCIONES_FECHA!$F$2:$F$201,MATCH(1,(EXCEPCIONES_FECHA!$A$2:$A$201=$A1183)*(EXCEPCIONES_FECHA!$B$2:$B$201=""),0)),IFERROR(INDEX(IF($I1183="FIN",HISTORIAL_HORARIOS!$L$2:$L$201,HISTORIAL_HORARIOS!$H$2:$H$201),MATCH(1,(HISTORIAL_HORARIOS!$A$2:$A$201=$B1183)*(HISTORIAL_HORARIOS!$C$2:$C$201&lt;=$A1183)*(HISTORIAL_HORARIOS!$D$2:$D$201&gt;=$A1183),0)),INDEX(IF($I1183="FIN",PERSONAL!$L$2:$L$80,PERSONAL!$H$2:$H$80),MATCH($B1183,PERSONAL!$A$2:$A$80,0)))))</f>
        <v/>
      </c>
    </row>
    <row r="1184" ht="15" customHeight="1" s="58">
      <c r="A1184" s="40" t="n"/>
      <c r="B1184" s="38" t="n"/>
      <c r="C1184" s="40" t="n"/>
      <c r="D1184" s="40" t="n"/>
      <c r="E1184" s="34">
        <f t="array" ref="E1184">IF($B1184="","",IFERROR(INDEX(PERSONAL!$B$2:$B$80,MATCH($B1184,PERSONAL!$A$2:$A$80,0)),"NO EXISTE"))</f>
        <v/>
      </c>
      <c r="F1184" s="34">
        <f t="array" ref="F1184">IF($B1184="","",IFERROR(INDEX(PERSONAL!$C$2:$C$80,MATCH($B1184,PERSONAL!$A$2:$A$80,0)),""))</f>
        <v/>
      </c>
      <c r="G1184" s="34">
        <f>IF($A1184="","",CHOOSE(WEEKDAY($A1184,2),"LUNES","MARTES","MIÉRCOLES","JUEVES","VIERNES","SÁBADO","DOMINGO"))</f>
        <v/>
      </c>
      <c r="H1184" s="34">
        <f>IF($A1184="","",CHOOSE(MONTH($A1184),"ENERO","FEBRERO","MARZO","ABRIL","MAYO","JUNIO","JULIO","AGOSTO","SEPTIEMBRE","OCTUBRE","NOVIEMBRE","DICIEMBRE"))</f>
        <v/>
      </c>
      <c r="I1184" s="34">
        <f>IF($A1184="","",IF(OR($G1184="SÁBADO",$G1184="DOMINGO"),"FIN","LV"))</f>
        <v/>
      </c>
      <c r="J1184" s="34">
        <f>IF(OR($A1184="",$B1184=""),"",IF($L1184&lt;&gt;"",UPPER($L1184),IF($C1184="","FALTA",IFERROR(IF($C1184&gt;=$O1184,"ROJO FUERTE",IF($C1184&gt;=$N1184,"ROJO",IF($C1184&gt;=$M1184,"AMARILLO","VERDE"))),"REVISAR"))))</f>
        <v/>
      </c>
      <c r="K1184" s="36">
        <f>IF(OR($C1184="",$D1184=""),"",IF($D1184&gt;=$C1184,($D1184-$C1184)*24,(1-$C1184+$D1184)*24))</f>
        <v/>
      </c>
      <c r="L1184" s="34" t="n"/>
      <c r="M1184" s="53">
        <f t="array" ref="M1184">IFERROR(INDEX(EXCEPCIONES_FECHA!$D$2:$D$201,MATCH(1,(EXCEPCIONES_FECHA!$A$2:$A$201=$A1184)*(EXCEPCIONES_FECHA!$B$2:$B$201=$B1184),0)),IFERROR(INDEX(EXCEPCIONES_FECHA!$D$2:$D$201,MATCH(1,(EXCEPCIONES_FECHA!$A$2:$A$201=$A1184)*(EXCEPCIONES_FECHA!$B$2:$B$201=""),0)),IFERROR(INDEX(IF($I1184="FIN",HISTORIAL_HORARIOS!$J$2:$J$201,HISTORIAL_HORARIOS!$F$2:$F$201),MATCH(1,(HISTORIAL_HORARIOS!$A$2:$A$201=$B1184)*(HISTORIAL_HORARIOS!$C$2:$C$201&lt;=$A1184)*(HISTORIAL_HORARIOS!$D$2:$D$201&gt;=$A1184),0)),INDEX(IF($I1184="FIN",PERSONAL!$J$2:$J$80,PERSONAL!$F$2:$F$80),MATCH($B1184,PERSONAL!$A$2:$A$80,0)))))</f>
        <v/>
      </c>
      <c r="N1184" s="53">
        <f t="array" ref="N1184">IFERROR(INDEX(EXCEPCIONES_FECHA!$E$2:$E$201,MATCH(1,(EXCEPCIONES_FECHA!$A$2:$A$201=$A1184)*(EXCEPCIONES_FECHA!$B$2:$B$201=$B1184),0)),IFERROR(INDEX(EXCEPCIONES_FECHA!$E$2:$E$201,MATCH(1,(EXCEPCIONES_FECHA!$A$2:$A$201=$A1184)*(EXCEPCIONES_FECHA!$B$2:$B$201=""),0)),IFERROR(INDEX(IF($I1184="FIN",HISTORIAL_HORARIOS!$K$2:$K$201,HISTORIAL_HORARIOS!$G$2:$G$201),MATCH(1,(HISTORIAL_HORARIOS!$A$2:$A$201=$B1184)*(HISTORIAL_HORARIOS!$C$2:$C$201&lt;=$A1184)*(HISTORIAL_HORARIOS!$D$2:$D$201&gt;=$A1184),0)),INDEX(IF($I1184="FIN",PERSONAL!$K$2:$K$80,PERSONAL!$G$2:$G$80),MATCH($B1184,PERSONAL!$A$2:$A$80,0)))))</f>
        <v/>
      </c>
      <c r="O1184" s="53">
        <f t="array" ref="O1184">IFERROR(INDEX(EXCEPCIONES_FECHA!$F$2:$F$201,MATCH(1,(EXCEPCIONES_FECHA!$A$2:$A$201=$A1184)*(EXCEPCIONES_FECHA!$B$2:$B$201=$B1184),0)),IFERROR(INDEX(EXCEPCIONES_FECHA!$F$2:$F$201,MATCH(1,(EXCEPCIONES_FECHA!$A$2:$A$201=$A1184)*(EXCEPCIONES_FECHA!$B$2:$B$201=""),0)),IFERROR(INDEX(IF($I1184="FIN",HISTORIAL_HORARIOS!$L$2:$L$201,HISTORIAL_HORARIOS!$H$2:$H$201),MATCH(1,(HISTORIAL_HORARIOS!$A$2:$A$201=$B1184)*(HISTORIAL_HORARIOS!$C$2:$C$201&lt;=$A1184)*(HISTORIAL_HORARIOS!$D$2:$D$201&gt;=$A1184),0)),INDEX(IF($I1184="FIN",PERSONAL!$L$2:$L$80,PERSONAL!$H$2:$H$80),MATCH($B1184,PERSONAL!$A$2:$A$80,0)))))</f>
        <v/>
      </c>
    </row>
    <row r="1185" ht="15" customHeight="1" s="58">
      <c r="A1185" s="40" t="n"/>
      <c r="B1185" s="38" t="n"/>
      <c r="C1185" s="40" t="n"/>
      <c r="D1185" s="40" t="n"/>
      <c r="E1185" s="34">
        <f t="array" ref="E1185">IF($B1185="","",IFERROR(INDEX(PERSONAL!$B$2:$B$80,MATCH($B1185,PERSONAL!$A$2:$A$80,0)),"NO EXISTE"))</f>
        <v/>
      </c>
      <c r="F1185" s="34">
        <f t="array" ref="F1185">IF($B1185="","",IFERROR(INDEX(PERSONAL!$C$2:$C$80,MATCH($B1185,PERSONAL!$A$2:$A$80,0)),""))</f>
        <v/>
      </c>
      <c r="G1185" s="34">
        <f>IF($A1185="","",CHOOSE(WEEKDAY($A1185,2),"LUNES","MARTES","MIÉRCOLES","JUEVES","VIERNES","SÁBADO","DOMINGO"))</f>
        <v/>
      </c>
      <c r="H1185" s="34">
        <f>IF($A1185="","",CHOOSE(MONTH($A1185),"ENERO","FEBRERO","MARZO","ABRIL","MAYO","JUNIO","JULIO","AGOSTO","SEPTIEMBRE","OCTUBRE","NOVIEMBRE","DICIEMBRE"))</f>
        <v/>
      </c>
      <c r="I1185" s="34">
        <f>IF($A1185="","",IF(OR($G1185="SÁBADO",$G1185="DOMINGO"),"FIN","LV"))</f>
        <v/>
      </c>
      <c r="J1185" s="34">
        <f>IF(OR($A1185="",$B1185=""),"",IF($L1185&lt;&gt;"",UPPER($L1185),IF($C1185="","FALTA",IFERROR(IF($C1185&gt;=$O1185,"ROJO FUERTE",IF($C1185&gt;=$N1185,"ROJO",IF($C1185&gt;=$M1185,"AMARILLO","VERDE"))),"REVISAR"))))</f>
        <v/>
      </c>
      <c r="K1185" s="36">
        <f>IF(OR($C1185="",$D1185=""),"",IF($D1185&gt;=$C1185,($D1185-$C1185)*24,(1-$C1185+$D1185)*24))</f>
        <v/>
      </c>
      <c r="L1185" s="34" t="n"/>
      <c r="M1185" s="53">
        <f t="array" ref="M1185">IFERROR(INDEX(EXCEPCIONES_FECHA!$D$2:$D$201,MATCH(1,(EXCEPCIONES_FECHA!$A$2:$A$201=$A1185)*(EXCEPCIONES_FECHA!$B$2:$B$201=$B1185),0)),IFERROR(INDEX(EXCEPCIONES_FECHA!$D$2:$D$201,MATCH(1,(EXCEPCIONES_FECHA!$A$2:$A$201=$A1185)*(EXCEPCIONES_FECHA!$B$2:$B$201=""),0)),IFERROR(INDEX(IF($I1185="FIN",HISTORIAL_HORARIOS!$J$2:$J$201,HISTORIAL_HORARIOS!$F$2:$F$201),MATCH(1,(HISTORIAL_HORARIOS!$A$2:$A$201=$B1185)*(HISTORIAL_HORARIOS!$C$2:$C$201&lt;=$A1185)*(HISTORIAL_HORARIOS!$D$2:$D$201&gt;=$A1185),0)),INDEX(IF($I1185="FIN",PERSONAL!$J$2:$J$80,PERSONAL!$F$2:$F$80),MATCH($B1185,PERSONAL!$A$2:$A$80,0)))))</f>
        <v/>
      </c>
      <c r="N1185" s="53">
        <f t="array" ref="N1185">IFERROR(INDEX(EXCEPCIONES_FECHA!$E$2:$E$201,MATCH(1,(EXCEPCIONES_FECHA!$A$2:$A$201=$A1185)*(EXCEPCIONES_FECHA!$B$2:$B$201=$B1185),0)),IFERROR(INDEX(EXCEPCIONES_FECHA!$E$2:$E$201,MATCH(1,(EXCEPCIONES_FECHA!$A$2:$A$201=$A1185)*(EXCEPCIONES_FECHA!$B$2:$B$201=""),0)),IFERROR(INDEX(IF($I1185="FIN",HISTORIAL_HORARIOS!$K$2:$K$201,HISTORIAL_HORARIOS!$G$2:$G$201),MATCH(1,(HISTORIAL_HORARIOS!$A$2:$A$201=$B1185)*(HISTORIAL_HORARIOS!$C$2:$C$201&lt;=$A1185)*(HISTORIAL_HORARIOS!$D$2:$D$201&gt;=$A1185),0)),INDEX(IF($I1185="FIN",PERSONAL!$K$2:$K$80,PERSONAL!$G$2:$G$80),MATCH($B1185,PERSONAL!$A$2:$A$80,0)))))</f>
        <v/>
      </c>
      <c r="O1185" s="53">
        <f t="array" ref="O1185">IFERROR(INDEX(EXCEPCIONES_FECHA!$F$2:$F$201,MATCH(1,(EXCEPCIONES_FECHA!$A$2:$A$201=$A1185)*(EXCEPCIONES_FECHA!$B$2:$B$201=$B1185),0)),IFERROR(INDEX(EXCEPCIONES_FECHA!$F$2:$F$201,MATCH(1,(EXCEPCIONES_FECHA!$A$2:$A$201=$A1185)*(EXCEPCIONES_FECHA!$B$2:$B$201=""),0)),IFERROR(INDEX(IF($I1185="FIN",HISTORIAL_HORARIOS!$L$2:$L$201,HISTORIAL_HORARIOS!$H$2:$H$201),MATCH(1,(HISTORIAL_HORARIOS!$A$2:$A$201=$B1185)*(HISTORIAL_HORARIOS!$C$2:$C$201&lt;=$A1185)*(HISTORIAL_HORARIOS!$D$2:$D$201&gt;=$A1185),0)),INDEX(IF($I1185="FIN",PERSONAL!$L$2:$L$80,PERSONAL!$H$2:$H$80),MATCH($B1185,PERSONAL!$A$2:$A$80,0)))))</f>
        <v/>
      </c>
    </row>
    <row r="1186" ht="15" customHeight="1" s="58">
      <c r="A1186" s="40" t="n"/>
      <c r="B1186" s="38" t="n"/>
      <c r="C1186" s="40" t="n"/>
      <c r="D1186" s="40" t="n"/>
      <c r="E1186" s="34">
        <f t="array" ref="E1186">IF($B1186="","",IFERROR(INDEX(PERSONAL!$B$2:$B$80,MATCH($B1186,PERSONAL!$A$2:$A$80,0)),"NO EXISTE"))</f>
        <v/>
      </c>
      <c r="F1186" s="34">
        <f t="array" ref="F1186">IF($B1186="","",IFERROR(INDEX(PERSONAL!$C$2:$C$80,MATCH($B1186,PERSONAL!$A$2:$A$80,0)),""))</f>
        <v/>
      </c>
      <c r="G1186" s="34">
        <f>IF($A1186="","",CHOOSE(WEEKDAY($A1186,2),"LUNES","MARTES","MIÉRCOLES","JUEVES","VIERNES","SÁBADO","DOMINGO"))</f>
        <v/>
      </c>
      <c r="H1186" s="34">
        <f>IF($A1186="","",CHOOSE(MONTH($A1186),"ENERO","FEBRERO","MARZO","ABRIL","MAYO","JUNIO","JULIO","AGOSTO","SEPTIEMBRE","OCTUBRE","NOVIEMBRE","DICIEMBRE"))</f>
        <v/>
      </c>
      <c r="I1186" s="34">
        <f>IF($A1186="","",IF(OR($G1186="SÁBADO",$G1186="DOMINGO"),"FIN","LV"))</f>
        <v/>
      </c>
      <c r="J1186" s="34">
        <f>IF(OR($A1186="",$B1186=""),"",IF($L1186&lt;&gt;"",UPPER($L1186),IF($C1186="","FALTA",IFERROR(IF($C1186&gt;=$O1186,"ROJO FUERTE",IF($C1186&gt;=$N1186,"ROJO",IF($C1186&gt;=$M1186,"AMARILLO","VERDE"))),"REVISAR"))))</f>
        <v/>
      </c>
      <c r="K1186" s="36">
        <f>IF(OR($C1186="",$D1186=""),"",IF($D1186&gt;=$C1186,($D1186-$C1186)*24,(1-$C1186+$D1186)*24))</f>
        <v/>
      </c>
      <c r="L1186" s="34" t="n"/>
      <c r="M1186" s="53">
        <f t="array" ref="M1186">IFERROR(INDEX(EXCEPCIONES_FECHA!$D$2:$D$201,MATCH(1,(EXCEPCIONES_FECHA!$A$2:$A$201=$A1186)*(EXCEPCIONES_FECHA!$B$2:$B$201=$B1186),0)),IFERROR(INDEX(EXCEPCIONES_FECHA!$D$2:$D$201,MATCH(1,(EXCEPCIONES_FECHA!$A$2:$A$201=$A1186)*(EXCEPCIONES_FECHA!$B$2:$B$201=""),0)),IFERROR(INDEX(IF($I1186="FIN",HISTORIAL_HORARIOS!$J$2:$J$201,HISTORIAL_HORARIOS!$F$2:$F$201),MATCH(1,(HISTORIAL_HORARIOS!$A$2:$A$201=$B1186)*(HISTORIAL_HORARIOS!$C$2:$C$201&lt;=$A1186)*(HISTORIAL_HORARIOS!$D$2:$D$201&gt;=$A1186),0)),INDEX(IF($I1186="FIN",PERSONAL!$J$2:$J$80,PERSONAL!$F$2:$F$80),MATCH($B1186,PERSONAL!$A$2:$A$80,0)))))</f>
        <v/>
      </c>
      <c r="N1186" s="53">
        <f t="array" ref="N1186">IFERROR(INDEX(EXCEPCIONES_FECHA!$E$2:$E$201,MATCH(1,(EXCEPCIONES_FECHA!$A$2:$A$201=$A1186)*(EXCEPCIONES_FECHA!$B$2:$B$201=$B1186),0)),IFERROR(INDEX(EXCEPCIONES_FECHA!$E$2:$E$201,MATCH(1,(EXCEPCIONES_FECHA!$A$2:$A$201=$A1186)*(EXCEPCIONES_FECHA!$B$2:$B$201=""),0)),IFERROR(INDEX(IF($I1186="FIN",HISTORIAL_HORARIOS!$K$2:$K$201,HISTORIAL_HORARIOS!$G$2:$G$201),MATCH(1,(HISTORIAL_HORARIOS!$A$2:$A$201=$B1186)*(HISTORIAL_HORARIOS!$C$2:$C$201&lt;=$A1186)*(HISTORIAL_HORARIOS!$D$2:$D$201&gt;=$A1186),0)),INDEX(IF($I1186="FIN",PERSONAL!$K$2:$K$80,PERSONAL!$G$2:$G$80),MATCH($B1186,PERSONAL!$A$2:$A$80,0)))))</f>
        <v/>
      </c>
      <c r="O1186" s="53">
        <f t="array" ref="O1186">IFERROR(INDEX(EXCEPCIONES_FECHA!$F$2:$F$201,MATCH(1,(EXCEPCIONES_FECHA!$A$2:$A$201=$A1186)*(EXCEPCIONES_FECHA!$B$2:$B$201=$B1186),0)),IFERROR(INDEX(EXCEPCIONES_FECHA!$F$2:$F$201,MATCH(1,(EXCEPCIONES_FECHA!$A$2:$A$201=$A1186)*(EXCEPCIONES_FECHA!$B$2:$B$201=""),0)),IFERROR(INDEX(IF($I1186="FIN",HISTORIAL_HORARIOS!$L$2:$L$201,HISTORIAL_HORARIOS!$H$2:$H$201),MATCH(1,(HISTORIAL_HORARIOS!$A$2:$A$201=$B1186)*(HISTORIAL_HORARIOS!$C$2:$C$201&lt;=$A1186)*(HISTORIAL_HORARIOS!$D$2:$D$201&gt;=$A1186),0)),INDEX(IF($I1186="FIN",PERSONAL!$L$2:$L$80,PERSONAL!$H$2:$H$80),MATCH($B1186,PERSONAL!$A$2:$A$80,0)))))</f>
        <v/>
      </c>
    </row>
    <row r="1187" ht="15" customHeight="1" s="58">
      <c r="A1187" s="40" t="n"/>
      <c r="B1187" s="38" t="n"/>
      <c r="C1187" s="40" t="n"/>
      <c r="D1187" s="40" t="n"/>
      <c r="E1187" s="34">
        <f t="array" ref="E1187">IF($B1187="","",IFERROR(INDEX(PERSONAL!$B$2:$B$80,MATCH($B1187,PERSONAL!$A$2:$A$80,0)),"NO EXISTE"))</f>
        <v/>
      </c>
      <c r="F1187" s="34">
        <f t="array" ref="F1187">IF($B1187="","",IFERROR(INDEX(PERSONAL!$C$2:$C$80,MATCH($B1187,PERSONAL!$A$2:$A$80,0)),""))</f>
        <v/>
      </c>
      <c r="G1187" s="34">
        <f>IF($A1187="","",CHOOSE(WEEKDAY($A1187,2),"LUNES","MARTES","MIÉRCOLES","JUEVES","VIERNES","SÁBADO","DOMINGO"))</f>
        <v/>
      </c>
      <c r="H1187" s="34">
        <f>IF($A1187="","",CHOOSE(MONTH($A1187),"ENERO","FEBRERO","MARZO","ABRIL","MAYO","JUNIO","JULIO","AGOSTO","SEPTIEMBRE","OCTUBRE","NOVIEMBRE","DICIEMBRE"))</f>
        <v/>
      </c>
      <c r="I1187" s="34">
        <f>IF($A1187="","",IF(OR($G1187="SÁBADO",$G1187="DOMINGO"),"FIN","LV"))</f>
        <v/>
      </c>
      <c r="J1187" s="34">
        <f>IF(OR($A1187="",$B1187=""),"",IF($L1187&lt;&gt;"",UPPER($L1187),IF($C1187="","FALTA",IFERROR(IF($C1187&gt;=$O1187,"ROJO FUERTE",IF($C1187&gt;=$N1187,"ROJO",IF($C1187&gt;=$M1187,"AMARILLO","VERDE"))),"REVISAR"))))</f>
        <v/>
      </c>
      <c r="K1187" s="36">
        <f>IF(OR($C1187="",$D1187=""),"",IF($D1187&gt;=$C1187,($D1187-$C1187)*24,(1-$C1187+$D1187)*24))</f>
        <v/>
      </c>
      <c r="L1187" s="34" t="n"/>
      <c r="M1187" s="53">
        <f t="array" ref="M1187">IFERROR(INDEX(EXCEPCIONES_FECHA!$D$2:$D$201,MATCH(1,(EXCEPCIONES_FECHA!$A$2:$A$201=$A1187)*(EXCEPCIONES_FECHA!$B$2:$B$201=$B1187),0)),IFERROR(INDEX(EXCEPCIONES_FECHA!$D$2:$D$201,MATCH(1,(EXCEPCIONES_FECHA!$A$2:$A$201=$A1187)*(EXCEPCIONES_FECHA!$B$2:$B$201=""),0)),IFERROR(INDEX(IF($I1187="FIN",HISTORIAL_HORARIOS!$J$2:$J$201,HISTORIAL_HORARIOS!$F$2:$F$201),MATCH(1,(HISTORIAL_HORARIOS!$A$2:$A$201=$B1187)*(HISTORIAL_HORARIOS!$C$2:$C$201&lt;=$A1187)*(HISTORIAL_HORARIOS!$D$2:$D$201&gt;=$A1187),0)),INDEX(IF($I1187="FIN",PERSONAL!$J$2:$J$80,PERSONAL!$F$2:$F$80),MATCH($B1187,PERSONAL!$A$2:$A$80,0)))))</f>
        <v/>
      </c>
      <c r="N1187" s="53">
        <f t="array" ref="N1187">IFERROR(INDEX(EXCEPCIONES_FECHA!$E$2:$E$201,MATCH(1,(EXCEPCIONES_FECHA!$A$2:$A$201=$A1187)*(EXCEPCIONES_FECHA!$B$2:$B$201=$B1187),0)),IFERROR(INDEX(EXCEPCIONES_FECHA!$E$2:$E$201,MATCH(1,(EXCEPCIONES_FECHA!$A$2:$A$201=$A1187)*(EXCEPCIONES_FECHA!$B$2:$B$201=""),0)),IFERROR(INDEX(IF($I1187="FIN",HISTORIAL_HORARIOS!$K$2:$K$201,HISTORIAL_HORARIOS!$G$2:$G$201),MATCH(1,(HISTORIAL_HORARIOS!$A$2:$A$201=$B1187)*(HISTORIAL_HORARIOS!$C$2:$C$201&lt;=$A1187)*(HISTORIAL_HORARIOS!$D$2:$D$201&gt;=$A1187),0)),INDEX(IF($I1187="FIN",PERSONAL!$K$2:$K$80,PERSONAL!$G$2:$G$80),MATCH($B1187,PERSONAL!$A$2:$A$80,0)))))</f>
        <v/>
      </c>
      <c r="O1187" s="53">
        <f t="array" ref="O1187">IFERROR(INDEX(EXCEPCIONES_FECHA!$F$2:$F$201,MATCH(1,(EXCEPCIONES_FECHA!$A$2:$A$201=$A1187)*(EXCEPCIONES_FECHA!$B$2:$B$201=$B1187),0)),IFERROR(INDEX(EXCEPCIONES_FECHA!$F$2:$F$201,MATCH(1,(EXCEPCIONES_FECHA!$A$2:$A$201=$A1187)*(EXCEPCIONES_FECHA!$B$2:$B$201=""),0)),IFERROR(INDEX(IF($I1187="FIN",HISTORIAL_HORARIOS!$L$2:$L$201,HISTORIAL_HORARIOS!$H$2:$H$201),MATCH(1,(HISTORIAL_HORARIOS!$A$2:$A$201=$B1187)*(HISTORIAL_HORARIOS!$C$2:$C$201&lt;=$A1187)*(HISTORIAL_HORARIOS!$D$2:$D$201&gt;=$A1187),0)),INDEX(IF($I1187="FIN",PERSONAL!$L$2:$L$80,PERSONAL!$H$2:$H$80),MATCH($B1187,PERSONAL!$A$2:$A$80,0)))))</f>
        <v/>
      </c>
    </row>
    <row r="1188" ht="15" customHeight="1" s="58">
      <c r="A1188" s="40" t="n"/>
      <c r="B1188" s="38" t="n"/>
      <c r="C1188" s="40" t="n"/>
      <c r="D1188" s="40" t="n"/>
      <c r="E1188" s="34">
        <f t="array" ref="E1188">IF($B1188="","",IFERROR(INDEX(PERSONAL!$B$2:$B$80,MATCH($B1188,PERSONAL!$A$2:$A$80,0)),"NO EXISTE"))</f>
        <v/>
      </c>
      <c r="F1188" s="34">
        <f t="array" ref="F1188">IF($B1188="","",IFERROR(INDEX(PERSONAL!$C$2:$C$80,MATCH($B1188,PERSONAL!$A$2:$A$80,0)),""))</f>
        <v/>
      </c>
      <c r="G1188" s="34">
        <f>IF($A1188="","",CHOOSE(WEEKDAY($A1188,2),"LUNES","MARTES","MIÉRCOLES","JUEVES","VIERNES","SÁBADO","DOMINGO"))</f>
        <v/>
      </c>
      <c r="H1188" s="34">
        <f>IF($A1188="","",CHOOSE(MONTH($A1188),"ENERO","FEBRERO","MARZO","ABRIL","MAYO","JUNIO","JULIO","AGOSTO","SEPTIEMBRE","OCTUBRE","NOVIEMBRE","DICIEMBRE"))</f>
        <v/>
      </c>
      <c r="I1188" s="34">
        <f>IF($A1188="","",IF(OR($G1188="SÁBADO",$G1188="DOMINGO"),"FIN","LV"))</f>
        <v/>
      </c>
      <c r="J1188" s="34">
        <f>IF(OR($A1188="",$B1188=""),"",IF($L1188&lt;&gt;"",UPPER($L1188),IF($C1188="","FALTA",IFERROR(IF($C1188&gt;=$O1188,"ROJO FUERTE",IF($C1188&gt;=$N1188,"ROJO",IF($C1188&gt;=$M1188,"AMARILLO","VERDE"))),"REVISAR"))))</f>
        <v/>
      </c>
      <c r="K1188" s="36">
        <f>IF(OR($C1188="",$D1188=""),"",IF($D1188&gt;=$C1188,($D1188-$C1188)*24,(1-$C1188+$D1188)*24))</f>
        <v/>
      </c>
      <c r="L1188" s="34" t="n"/>
      <c r="M1188" s="53">
        <f t="array" ref="M1188">IFERROR(INDEX(EXCEPCIONES_FECHA!$D$2:$D$201,MATCH(1,(EXCEPCIONES_FECHA!$A$2:$A$201=$A1188)*(EXCEPCIONES_FECHA!$B$2:$B$201=$B1188),0)),IFERROR(INDEX(EXCEPCIONES_FECHA!$D$2:$D$201,MATCH(1,(EXCEPCIONES_FECHA!$A$2:$A$201=$A1188)*(EXCEPCIONES_FECHA!$B$2:$B$201=""),0)),IFERROR(INDEX(IF($I1188="FIN",HISTORIAL_HORARIOS!$J$2:$J$201,HISTORIAL_HORARIOS!$F$2:$F$201),MATCH(1,(HISTORIAL_HORARIOS!$A$2:$A$201=$B1188)*(HISTORIAL_HORARIOS!$C$2:$C$201&lt;=$A1188)*(HISTORIAL_HORARIOS!$D$2:$D$201&gt;=$A1188),0)),INDEX(IF($I1188="FIN",PERSONAL!$J$2:$J$80,PERSONAL!$F$2:$F$80),MATCH($B1188,PERSONAL!$A$2:$A$80,0)))))</f>
        <v/>
      </c>
      <c r="N1188" s="53">
        <f t="array" ref="N1188">IFERROR(INDEX(EXCEPCIONES_FECHA!$E$2:$E$201,MATCH(1,(EXCEPCIONES_FECHA!$A$2:$A$201=$A1188)*(EXCEPCIONES_FECHA!$B$2:$B$201=$B1188),0)),IFERROR(INDEX(EXCEPCIONES_FECHA!$E$2:$E$201,MATCH(1,(EXCEPCIONES_FECHA!$A$2:$A$201=$A1188)*(EXCEPCIONES_FECHA!$B$2:$B$201=""),0)),IFERROR(INDEX(IF($I1188="FIN",HISTORIAL_HORARIOS!$K$2:$K$201,HISTORIAL_HORARIOS!$G$2:$G$201),MATCH(1,(HISTORIAL_HORARIOS!$A$2:$A$201=$B1188)*(HISTORIAL_HORARIOS!$C$2:$C$201&lt;=$A1188)*(HISTORIAL_HORARIOS!$D$2:$D$201&gt;=$A1188),0)),INDEX(IF($I1188="FIN",PERSONAL!$K$2:$K$80,PERSONAL!$G$2:$G$80),MATCH($B1188,PERSONAL!$A$2:$A$80,0)))))</f>
        <v/>
      </c>
      <c r="O1188" s="53">
        <f t="array" ref="O1188">IFERROR(INDEX(EXCEPCIONES_FECHA!$F$2:$F$201,MATCH(1,(EXCEPCIONES_FECHA!$A$2:$A$201=$A1188)*(EXCEPCIONES_FECHA!$B$2:$B$201=$B1188),0)),IFERROR(INDEX(EXCEPCIONES_FECHA!$F$2:$F$201,MATCH(1,(EXCEPCIONES_FECHA!$A$2:$A$201=$A1188)*(EXCEPCIONES_FECHA!$B$2:$B$201=""),0)),IFERROR(INDEX(IF($I1188="FIN",HISTORIAL_HORARIOS!$L$2:$L$201,HISTORIAL_HORARIOS!$H$2:$H$201),MATCH(1,(HISTORIAL_HORARIOS!$A$2:$A$201=$B1188)*(HISTORIAL_HORARIOS!$C$2:$C$201&lt;=$A1188)*(HISTORIAL_HORARIOS!$D$2:$D$201&gt;=$A1188),0)),INDEX(IF($I1188="FIN",PERSONAL!$L$2:$L$80,PERSONAL!$H$2:$H$80),MATCH($B1188,PERSONAL!$A$2:$A$80,0)))))</f>
        <v/>
      </c>
    </row>
    <row r="1189" ht="15" customHeight="1" s="58">
      <c r="A1189" s="40" t="n"/>
      <c r="B1189" s="38" t="n"/>
      <c r="C1189" s="40" t="n"/>
      <c r="D1189" s="40" t="n"/>
      <c r="E1189" s="34">
        <f t="array" ref="E1189">IF($B1189="","",IFERROR(INDEX(PERSONAL!$B$2:$B$80,MATCH($B1189,PERSONAL!$A$2:$A$80,0)),"NO EXISTE"))</f>
        <v/>
      </c>
      <c r="F1189" s="34">
        <f t="array" ref="F1189">IF($B1189="","",IFERROR(INDEX(PERSONAL!$C$2:$C$80,MATCH($B1189,PERSONAL!$A$2:$A$80,0)),""))</f>
        <v/>
      </c>
      <c r="G1189" s="34">
        <f>IF($A1189="","",CHOOSE(WEEKDAY($A1189,2),"LUNES","MARTES","MIÉRCOLES","JUEVES","VIERNES","SÁBADO","DOMINGO"))</f>
        <v/>
      </c>
      <c r="H1189" s="34">
        <f>IF($A1189="","",CHOOSE(MONTH($A1189),"ENERO","FEBRERO","MARZO","ABRIL","MAYO","JUNIO","JULIO","AGOSTO","SEPTIEMBRE","OCTUBRE","NOVIEMBRE","DICIEMBRE"))</f>
        <v/>
      </c>
      <c r="I1189" s="34">
        <f>IF($A1189="","",IF(OR($G1189="SÁBADO",$G1189="DOMINGO"),"FIN","LV"))</f>
        <v/>
      </c>
      <c r="J1189" s="34">
        <f>IF(OR($A1189="",$B1189=""),"",IF($L1189&lt;&gt;"",UPPER($L1189),IF($C1189="","FALTA",IFERROR(IF($C1189&gt;=$O1189,"ROJO FUERTE",IF($C1189&gt;=$N1189,"ROJO",IF($C1189&gt;=$M1189,"AMARILLO","VERDE"))),"REVISAR"))))</f>
        <v/>
      </c>
      <c r="K1189" s="36">
        <f>IF(OR($C1189="",$D1189=""),"",IF($D1189&gt;=$C1189,($D1189-$C1189)*24,(1-$C1189+$D1189)*24))</f>
        <v/>
      </c>
      <c r="L1189" s="34" t="n"/>
      <c r="M1189" s="53">
        <f t="array" ref="M1189">IFERROR(INDEX(EXCEPCIONES_FECHA!$D$2:$D$201,MATCH(1,(EXCEPCIONES_FECHA!$A$2:$A$201=$A1189)*(EXCEPCIONES_FECHA!$B$2:$B$201=$B1189),0)),IFERROR(INDEX(EXCEPCIONES_FECHA!$D$2:$D$201,MATCH(1,(EXCEPCIONES_FECHA!$A$2:$A$201=$A1189)*(EXCEPCIONES_FECHA!$B$2:$B$201=""),0)),IFERROR(INDEX(IF($I1189="FIN",HISTORIAL_HORARIOS!$J$2:$J$201,HISTORIAL_HORARIOS!$F$2:$F$201),MATCH(1,(HISTORIAL_HORARIOS!$A$2:$A$201=$B1189)*(HISTORIAL_HORARIOS!$C$2:$C$201&lt;=$A1189)*(HISTORIAL_HORARIOS!$D$2:$D$201&gt;=$A1189),0)),INDEX(IF($I1189="FIN",PERSONAL!$J$2:$J$80,PERSONAL!$F$2:$F$80),MATCH($B1189,PERSONAL!$A$2:$A$80,0)))))</f>
        <v/>
      </c>
      <c r="N1189" s="53">
        <f t="array" ref="N1189">IFERROR(INDEX(EXCEPCIONES_FECHA!$E$2:$E$201,MATCH(1,(EXCEPCIONES_FECHA!$A$2:$A$201=$A1189)*(EXCEPCIONES_FECHA!$B$2:$B$201=$B1189),0)),IFERROR(INDEX(EXCEPCIONES_FECHA!$E$2:$E$201,MATCH(1,(EXCEPCIONES_FECHA!$A$2:$A$201=$A1189)*(EXCEPCIONES_FECHA!$B$2:$B$201=""),0)),IFERROR(INDEX(IF($I1189="FIN",HISTORIAL_HORARIOS!$K$2:$K$201,HISTORIAL_HORARIOS!$G$2:$G$201),MATCH(1,(HISTORIAL_HORARIOS!$A$2:$A$201=$B1189)*(HISTORIAL_HORARIOS!$C$2:$C$201&lt;=$A1189)*(HISTORIAL_HORARIOS!$D$2:$D$201&gt;=$A1189),0)),INDEX(IF($I1189="FIN",PERSONAL!$K$2:$K$80,PERSONAL!$G$2:$G$80),MATCH($B1189,PERSONAL!$A$2:$A$80,0)))))</f>
        <v/>
      </c>
      <c r="O1189" s="53">
        <f t="array" ref="O1189">IFERROR(INDEX(EXCEPCIONES_FECHA!$F$2:$F$201,MATCH(1,(EXCEPCIONES_FECHA!$A$2:$A$201=$A1189)*(EXCEPCIONES_FECHA!$B$2:$B$201=$B1189),0)),IFERROR(INDEX(EXCEPCIONES_FECHA!$F$2:$F$201,MATCH(1,(EXCEPCIONES_FECHA!$A$2:$A$201=$A1189)*(EXCEPCIONES_FECHA!$B$2:$B$201=""),0)),IFERROR(INDEX(IF($I1189="FIN",HISTORIAL_HORARIOS!$L$2:$L$201,HISTORIAL_HORARIOS!$H$2:$H$201),MATCH(1,(HISTORIAL_HORARIOS!$A$2:$A$201=$B1189)*(HISTORIAL_HORARIOS!$C$2:$C$201&lt;=$A1189)*(HISTORIAL_HORARIOS!$D$2:$D$201&gt;=$A1189),0)),INDEX(IF($I1189="FIN",PERSONAL!$L$2:$L$80,PERSONAL!$H$2:$H$80),MATCH($B1189,PERSONAL!$A$2:$A$80,0)))))</f>
        <v/>
      </c>
    </row>
    <row r="1190" ht="15" customHeight="1" s="58">
      <c r="A1190" s="40" t="n"/>
      <c r="B1190" s="38" t="n"/>
      <c r="C1190" s="40" t="n"/>
      <c r="D1190" s="40" t="n"/>
      <c r="E1190" s="34">
        <f t="array" ref="E1190">IF($B1190="","",IFERROR(INDEX(PERSONAL!$B$2:$B$80,MATCH($B1190,PERSONAL!$A$2:$A$80,0)),"NO EXISTE"))</f>
        <v/>
      </c>
      <c r="F1190" s="34">
        <f t="array" ref="F1190">IF($B1190="","",IFERROR(INDEX(PERSONAL!$C$2:$C$80,MATCH($B1190,PERSONAL!$A$2:$A$80,0)),""))</f>
        <v/>
      </c>
      <c r="G1190" s="34">
        <f>IF($A1190="","",CHOOSE(WEEKDAY($A1190,2),"LUNES","MARTES","MIÉRCOLES","JUEVES","VIERNES","SÁBADO","DOMINGO"))</f>
        <v/>
      </c>
      <c r="H1190" s="34">
        <f>IF($A1190="","",CHOOSE(MONTH($A1190),"ENERO","FEBRERO","MARZO","ABRIL","MAYO","JUNIO","JULIO","AGOSTO","SEPTIEMBRE","OCTUBRE","NOVIEMBRE","DICIEMBRE"))</f>
        <v/>
      </c>
      <c r="I1190" s="34">
        <f>IF($A1190="","",IF(OR($G1190="SÁBADO",$G1190="DOMINGO"),"FIN","LV"))</f>
        <v/>
      </c>
      <c r="J1190" s="34">
        <f>IF(OR($A1190="",$B1190=""),"",IF($L1190&lt;&gt;"",UPPER($L1190),IF($C1190="","FALTA",IFERROR(IF($C1190&gt;=$O1190,"ROJO FUERTE",IF($C1190&gt;=$N1190,"ROJO",IF($C1190&gt;=$M1190,"AMARILLO","VERDE"))),"REVISAR"))))</f>
        <v/>
      </c>
      <c r="K1190" s="36">
        <f>IF(OR($C1190="",$D1190=""),"",IF($D1190&gt;=$C1190,($D1190-$C1190)*24,(1-$C1190+$D1190)*24))</f>
        <v/>
      </c>
      <c r="L1190" s="34" t="n"/>
      <c r="M1190" s="53">
        <f t="array" ref="M1190">IFERROR(INDEX(EXCEPCIONES_FECHA!$D$2:$D$201,MATCH(1,(EXCEPCIONES_FECHA!$A$2:$A$201=$A1190)*(EXCEPCIONES_FECHA!$B$2:$B$201=$B1190),0)),IFERROR(INDEX(EXCEPCIONES_FECHA!$D$2:$D$201,MATCH(1,(EXCEPCIONES_FECHA!$A$2:$A$201=$A1190)*(EXCEPCIONES_FECHA!$B$2:$B$201=""),0)),IFERROR(INDEX(IF($I1190="FIN",HISTORIAL_HORARIOS!$J$2:$J$201,HISTORIAL_HORARIOS!$F$2:$F$201),MATCH(1,(HISTORIAL_HORARIOS!$A$2:$A$201=$B1190)*(HISTORIAL_HORARIOS!$C$2:$C$201&lt;=$A1190)*(HISTORIAL_HORARIOS!$D$2:$D$201&gt;=$A1190),0)),INDEX(IF($I1190="FIN",PERSONAL!$J$2:$J$80,PERSONAL!$F$2:$F$80),MATCH($B1190,PERSONAL!$A$2:$A$80,0)))))</f>
        <v/>
      </c>
      <c r="N1190" s="53">
        <f t="array" ref="N1190">IFERROR(INDEX(EXCEPCIONES_FECHA!$E$2:$E$201,MATCH(1,(EXCEPCIONES_FECHA!$A$2:$A$201=$A1190)*(EXCEPCIONES_FECHA!$B$2:$B$201=$B1190),0)),IFERROR(INDEX(EXCEPCIONES_FECHA!$E$2:$E$201,MATCH(1,(EXCEPCIONES_FECHA!$A$2:$A$201=$A1190)*(EXCEPCIONES_FECHA!$B$2:$B$201=""),0)),IFERROR(INDEX(IF($I1190="FIN",HISTORIAL_HORARIOS!$K$2:$K$201,HISTORIAL_HORARIOS!$G$2:$G$201),MATCH(1,(HISTORIAL_HORARIOS!$A$2:$A$201=$B1190)*(HISTORIAL_HORARIOS!$C$2:$C$201&lt;=$A1190)*(HISTORIAL_HORARIOS!$D$2:$D$201&gt;=$A1190),0)),INDEX(IF($I1190="FIN",PERSONAL!$K$2:$K$80,PERSONAL!$G$2:$G$80),MATCH($B1190,PERSONAL!$A$2:$A$80,0)))))</f>
        <v/>
      </c>
      <c r="O1190" s="53">
        <f t="array" ref="O1190">IFERROR(INDEX(EXCEPCIONES_FECHA!$F$2:$F$201,MATCH(1,(EXCEPCIONES_FECHA!$A$2:$A$201=$A1190)*(EXCEPCIONES_FECHA!$B$2:$B$201=$B1190),0)),IFERROR(INDEX(EXCEPCIONES_FECHA!$F$2:$F$201,MATCH(1,(EXCEPCIONES_FECHA!$A$2:$A$201=$A1190)*(EXCEPCIONES_FECHA!$B$2:$B$201=""),0)),IFERROR(INDEX(IF($I1190="FIN",HISTORIAL_HORARIOS!$L$2:$L$201,HISTORIAL_HORARIOS!$H$2:$H$201),MATCH(1,(HISTORIAL_HORARIOS!$A$2:$A$201=$B1190)*(HISTORIAL_HORARIOS!$C$2:$C$201&lt;=$A1190)*(HISTORIAL_HORARIOS!$D$2:$D$201&gt;=$A1190),0)),INDEX(IF($I1190="FIN",PERSONAL!$L$2:$L$80,PERSONAL!$H$2:$H$80),MATCH($B1190,PERSONAL!$A$2:$A$80,0)))))</f>
        <v/>
      </c>
    </row>
    <row r="1191" ht="15" customHeight="1" s="58">
      <c r="A1191" s="40" t="n"/>
      <c r="B1191" s="38" t="n"/>
      <c r="C1191" s="40" t="n"/>
      <c r="D1191" s="40" t="n"/>
      <c r="E1191" s="34">
        <f t="array" ref="E1191">IF($B1191="","",IFERROR(INDEX(PERSONAL!$B$2:$B$80,MATCH($B1191,PERSONAL!$A$2:$A$80,0)),"NO EXISTE"))</f>
        <v/>
      </c>
      <c r="F1191" s="34">
        <f t="array" ref="F1191">IF($B1191="","",IFERROR(INDEX(PERSONAL!$C$2:$C$80,MATCH($B1191,PERSONAL!$A$2:$A$80,0)),""))</f>
        <v/>
      </c>
      <c r="G1191" s="34">
        <f>IF($A1191="","",CHOOSE(WEEKDAY($A1191,2),"LUNES","MARTES","MIÉRCOLES","JUEVES","VIERNES","SÁBADO","DOMINGO"))</f>
        <v/>
      </c>
      <c r="H1191" s="34">
        <f>IF($A1191="","",CHOOSE(MONTH($A1191),"ENERO","FEBRERO","MARZO","ABRIL","MAYO","JUNIO","JULIO","AGOSTO","SEPTIEMBRE","OCTUBRE","NOVIEMBRE","DICIEMBRE"))</f>
        <v/>
      </c>
      <c r="I1191" s="34">
        <f>IF($A1191="","",IF(OR($G1191="SÁBADO",$G1191="DOMINGO"),"FIN","LV"))</f>
        <v/>
      </c>
      <c r="J1191" s="34">
        <f>IF(OR($A1191="",$B1191=""),"",IF($L1191&lt;&gt;"",UPPER($L1191),IF($C1191="","FALTA",IFERROR(IF($C1191&gt;=$O1191,"ROJO FUERTE",IF($C1191&gt;=$N1191,"ROJO",IF($C1191&gt;=$M1191,"AMARILLO","VERDE"))),"REVISAR"))))</f>
        <v/>
      </c>
      <c r="K1191" s="36">
        <f>IF(OR($C1191="",$D1191=""),"",IF($D1191&gt;=$C1191,($D1191-$C1191)*24,(1-$C1191+$D1191)*24))</f>
        <v/>
      </c>
      <c r="L1191" s="34" t="n"/>
      <c r="M1191" s="53">
        <f t="array" ref="M1191">IFERROR(INDEX(EXCEPCIONES_FECHA!$D$2:$D$201,MATCH(1,(EXCEPCIONES_FECHA!$A$2:$A$201=$A1191)*(EXCEPCIONES_FECHA!$B$2:$B$201=$B1191),0)),IFERROR(INDEX(EXCEPCIONES_FECHA!$D$2:$D$201,MATCH(1,(EXCEPCIONES_FECHA!$A$2:$A$201=$A1191)*(EXCEPCIONES_FECHA!$B$2:$B$201=""),0)),IFERROR(INDEX(IF($I1191="FIN",HISTORIAL_HORARIOS!$J$2:$J$201,HISTORIAL_HORARIOS!$F$2:$F$201),MATCH(1,(HISTORIAL_HORARIOS!$A$2:$A$201=$B1191)*(HISTORIAL_HORARIOS!$C$2:$C$201&lt;=$A1191)*(HISTORIAL_HORARIOS!$D$2:$D$201&gt;=$A1191),0)),INDEX(IF($I1191="FIN",PERSONAL!$J$2:$J$80,PERSONAL!$F$2:$F$80),MATCH($B1191,PERSONAL!$A$2:$A$80,0)))))</f>
        <v/>
      </c>
      <c r="N1191" s="53">
        <f t="array" ref="N1191">IFERROR(INDEX(EXCEPCIONES_FECHA!$E$2:$E$201,MATCH(1,(EXCEPCIONES_FECHA!$A$2:$A$201=$A1191)*(EXCEPCIONES_FECHA!$B$2:$B$201=$B1191),0)),IFERROR(INDEX(EXCEPCIONES_FECHA!$E$2:$E$201,MATCH(1,(EXCEPCIONES_FECHA!$A$2:$A$201=$A1191)*(EXCEPCIONES_FECHA!$B$2:$B$201=""),0)),IFERROR(INDEX(IF($I1191="FIN",HISTORIAL_HORARIOS!$K$2:$K$201,HISTORIAL_HORARIOS!$G$2:$G$201),MATCH(1,(HISTORIAL_HORARIOS!$A$2:$A$201=$B1191)*(HISTORIAL_HORARIOS!$C$2:$C$201&lt;=$A1191)*(HISTORIAL_HORARIOS!$D$2:$D$201&gt;=$A1191),0)),INDEX(IF($I1191="FIN",PERSONAL!$K$2:$K$80,PERSONAL!$G$2:$G$80),MATCH($B1191,PERSONAL!$A$2:$A$80,0)))))</f>
        <v/>
      </c>
      <c r="O1191" s="53">
        <f t="array" ref="O1191">IFERROR(INDEX(EXCEPCIONES_FECHA!$F$2:$F$201,MATCH(1,(EXCEPCIONES_FECHA!$A$2:$A$201=$A1191)*(EXCEPCIONES_FECHA!$B$2:$B$201=$B1191),0)),IFERROR(INDEX(EXCEPCIONES_FECHA!$F$2:$F$201,MATCH(1,(EXCEPCIONES_FECHA!$A$2:$A$201=$A1191)*(EXCEPCIONES_FECHA!$B$2:$B$201=""),0)),IFERROR(INDEX(IF($I1191="FIN",HISTORIAL_HORARIOS!$L$2:$L$201,HISTORIAL_HORARIOS!$H$2:$H$201),MATCH(1,(HISTORIAL_HORARIOS!$A$2:$A$201=$B1191)*(HISTORIAL_HORARIOS!$C$2:$C$201&lt;=$A1191)*(HISTORIAL_HORARIOS!$D$2:$D$201&gt;=$A1191),0)),INDEX(IF($I1191="FIN",PERSONAL!$L$2:$L$80,PERSONAL!$H$2:$H$80),MATCH($B1191,PERSONAL!$A$2:$A$80,0)))))</f>
        <v/>
      </c>
    </row>
    <row r="1192" ht="15" customHeight="1" s="58">
      <c r="A1192" s="40" t="n"/>
      <c r="B1192" s="38" t="n"/>
      <c r="C1192" s="40" t="n"/>
      <c r="D1192" s="40" t="n"/>
      <c r="E1192" s="34">
        <f t="array" ref="E1192">IF($B1192="","",IFERROR(INDEX(PERSONAL!$B$2:$B$80,MATCH($B1192,PERSONAL!$A$2:$A$80,0)),"NO EXISTE"))</f>
        <v/>
      </c>
      <c r="F1192" s="34">
        <f t="array" ref="F1192">IF($B1192="","",IFERROR(INDEX(PERSONAL!$C$2:$C$80,MATCH($B1192,PERSONAL!$A$2:$A$80,0)),""))</f>
        <v/>
      </c>
      <c r="G1192" s="34">
        <f>IF($A1192="","",CHOOSE(WEEKDAY($A1192,2),"LUNES","MARTES","MIÉRCOLES","JUEVES","VIERNES","SÁBADO","DOMINGO"))</f>
        <v/>
      </c>
      <c r="H1192" s="34">
        <f>IF($A1192="","",CHOOSE(MONTH($A1192),"ENERO","FEBRERO","MARZO","ABRIL","MAYO","JUNIO","JULIO","AGOSTO","SEPTIEMBRE","OCTUBRE","NOVIEMBRE","DICIEMBRE"))</f>
        <v/>
      </c>
      <c r="I1192" s="34">
        <f>IF($A1192="","",IF(OR($G1192="SÁBADO",$G1192="DOMINGO"),"FIN","LV"))</f>
        <v/>
      </c>
      <c r="J1192" s="34">
        <f>IF(OR($A1192="",$B1192=""),"",IF($L1192&lt;&gt;"",UPPER($L1192),IF($C1192="","FALTA",IFERROR(IF($C1192&gt;=$O1192,"ROJO FUERTE",IF($C1192&gt;=$N1192,"ROJO",IF($C1192&gt;=$M1192,"AMARILLO","VERDE"))),"REVISAR"))))</f>
        <v/>
      </c>
      <c r="K1192" s="36">
        <f>IF(OR($C1192="",$D1192=""),"",IF($D1192&gt;=$C1192,($D1192-$C1192)*24,(1-$C1192+$D1192)*24))</f>
        <v/>
      </c>
      <c r="L1192" s="34" t="n"/>
      <c r="M1192" s="53">
        <f t="array" ref="M1192">IFERROR(INDEX(EXCEPCIONES_FECHA!$D$2:$D$201,MATCH(1,(EXCEPCIONES_FECHA!$A$2:$A$201=$A1192)*(EXCEPCIONES_FECHA!$B$2:$B$201=$B1192),0)),IFERROR(INDEX(EXCEPCIONES_FECHA!$D$2:$D$201,MATCH(1,(EXCEPCIONES_FECHA!$A$2:$A$201=$A1192)*(EXCEPCIONES_FECHA!$B$2:$B$201=""),0)),IFERROR(INDEX(IF($I1192="FIN",HISTORIAL_HORARIOS!$J$2:$J$201,HISTORIAL_HORARIOS!$F$2:$F$201),MATCH(1,(HISTORIAL_HORARIOS!$A$2:$A$201=$B1192)*(HISTORIAL_HORARIOS!$C$2:$C$201&lt;=$A1192)*(HISTORIAL_HORARIOS!$D$2:$D$201&gt;=$A1192),0)),INDEX(IF($I1192="FIN",PERSONAL!$J$2:$J$80,PERSONAL!$F$2:$F$80),MATCH($B1192,PERSONAL!$A$2:$A$80,0)))))</f>
        <v/>
      </c>
      <c r="N1192" s="53">
        <f t="array" ref="N1192">IFERROR(INDEX(EXCEPCIONES_FECHA!$E$2:$E$201,MATCH(1,(EXCEPCIONES_FECHA!$A$2:$A$201=$A1192)*(EXCEPCIONES_FECHA!$B$2:$B$201=$B1192),0)),IFERROR(INDEX(EXCEPCIONES_FECHA!$E$2:$E$201,MATCH(1,(EXCEPCIONES_FECHA!$A$2:$A$201=$A1192)*(EXCEPCIONES_FECHA!$B$2:$B$201=""),0)),IFERROR(INDEX(IF($I1192="FIN",HISTORIAL_HORARIOS!$K$2:$K$201,HISTORIAL_HORARIOS!$G$2:$G$201),MATCH(1,(HISTORIAL_HORARIOS!$A$2:$A$201=$B1192)*(HISTORIAL_HORARIOS!$C$2:$C$201&lt;=$A1192)*(HISTORIAL_HORARIOS!$D$2:$D$201&gt;=$A1192),0)),INDEX(IF($I1192="FIN",PERSONAL!$K$2:$K$80,PERSONAL!$G$2:$G$80),MATCH($B1192,PERSONAL!$A$2:$A$80,0)))))</f>
        <v/>
      </c>
      <c r="O1192" s="53">
        <f t="array" ref="O1192">IFERROR(INDEX(EXCEPCIONES_FECHA!$F$2:$F$201,MATCH(1,(EXCEPCIONES_FECHA!$A$2:$A$201=$A1192)*(EXCEPCIONES_FECHA!$B$2:$B$201=$B1192),0)),IFERROR(INDEX(EXCEPCIONES_FECHA!$F$2:$F$201,MATCH(1,(EXCEPCIONES_FECHA!$A$2:$A$201=$A1192)*(EXCEPCIONES_FECHA!$B$2:$B$201=""),0)),IFERROR(INDEX(IF($I1192="FIN",HISTORIAL_HORARIOS!$L$2:$L$201,HISTORIAL_HORARIOS!$H$2:$H$201),MATCH(1,(HISTORIAL_HORARIOS!$A$2:$A$201=$B1192)*(HISTORIAL_HORARIOS!$C$2:$C$201&lt;=$A1192)*(HISTORIAL_HORARIOS!$D$2:$D$201&gt;=$A1192),0)),INDEX(IF($I1192="FIN",PERSONAL!$L$2:$L$80,PERSONAL!$H$2:$H$80),MATCH($B1192,PERSONAL!$A$2:$A$80,0)))))</f>
        <v/>
      </c>
    </row>
    <row r="1193" ht="15" customHeight="1" s="58">
      <c r="A1193" s="40" t="n"/>
      <c r="B1193" s="38" t="n"/>
      <c r="C1193" s="40" t="n"/>
      <c r="D1193" s="40" t="n"/>
      <c r="E1193" s="34">
        <f t="array" ref="E1193">IF($B1193="","",IFERROR(INDEX(PERSONAL!$B$2:$B$80,MATCH($B1193,PERSONAL!$A$2:$A$80,0)),"NO EXISTE"))</f>
        <v/>
      </c>
      <c r="F1193" s="34">
        <f t="array" ref="F1193">IF($B1193="","",IFERROR(INDEX(PERSONAL!$C$2:$C$80,MATCH($B1193,PERSONAL!$A$2:$A$80,0)),""))</f>
        <v/>
      </c>
      <c r="G1193" s="34">
        <f>IF($A1193="","",CHOOSE(WEEKDAY($A1193,2),"LUNES","MARTES","MIÉRCOLES","JUEVES","VIERNES","SÁBADO","DOMINGO"))</f>
        <v/>
      </c>
      <c r="H1193" s="34">
        <f>IF($A1193="","",CHOOSE(MONTH($A1193),"ENERO","FEBRERO","MARZO","ABRIL","MAYO","JUNIO","JULIO","AGOSTO","SEPTIEMBRE","OCTUBRE","NOVIEMBRE","DICIEMBRE"))</f>
        <v/>
      </c>
      <c r="I1193" s="34">
        <f>IF($A1193="","",IF(OR($G1193="SÁBADO",$G1193="DOMINGO"),"FIN","LV"))</f>
        <v/>
      </c>
      <c r="J1193" s="34">
        <f>IF(OR($A1193="",$B1193=""),"",IF($L1193&lt;&gt;"",UPPER($L1193),IF($C1193="","FALTA",IFERROR(IF($C1193&gt;=$O1193,"ROJO FUERTE",IF($C1193&gt;=$N1193,"ROJO",IF($C1193&gt;=$M1193,"AMARILLO","VERDE"))),"REVISAR"))))</f>
        <v/>
      </c>
      <c r="K1193" s="36">
        <f>IF(OR($C1193="",$D1193=""),"",IF($D1193&gt;=$C1193,($D1193-$C1193)*24,(1-$C1193+$D1193)*24))</f>
        <v/>
      </c>
      <c r="L1193" s="34" t="n"/>
      <c r="M1193" s="53">
        <f t="array" ref="M1193">IFERROR(INDEX(EXCEPCIONES_FECHA!$D$2:$D$201,MATCH(1,(EXCEPCIONES_FECHA!$A$2:$A$201=$A1193)*(EXCEPCIONES_FECHA!$B$2:$B$201=$B1193),0)),IFERROR(INDEX(EXCEPCIONES_FECHA!$D$2:$D$201,MATCH(1,(EXCEPCIONES_FECHA!$A$2:$A$201=$A1193)*(EXCEPCIONES_FECHA!$B$2:$B$201=""),0)),IFERROR(INDEX(IF($I1193="FIN",HISTORIAL_HORARIOS!$J$2:$J$201,HISTORIAL_HORARIOS!$F$2:$F$201),MATCH(1,(HISTORIAL_HORARIOS!$A$2:$A$201=$B1193)*(HISTORIAL_HORARIOS!$C$2:$C$201&lt;=$A1193)*(HISTORIAL_HORARIOS!$D$2:$D$201&gt;=$A1193),0)),INDEX(IF($I1193="FIN",PERSONAL!$J$2:$J$80,PERSONAL!$F$2:$F$80),MATCH($B1193,PERSONAL!$A$2:$A$80,0)))))</f>
        <v/>
      </c>
      <c r="N1193" s="53">
        <f t="array" ref="N1193">IFERROR(INDEX(EXCEPCIONES_FECHA!$E$2:$E$201,MATCH(1,(EXCEPCIONES_FECHA!$A$2:$A$201=$A1193)*(EXCEPCIONES_FECHA!$B$2:$B$201=$B1193),0)),IFERROR(INDEX(EXCEPCIONES_FECHA!$E$2:$E$201,MATCH(1,(EXCEPCIONES_FECHA!$A$2:$A$201=$A1193)*(EXCEPCIONES_FECHA!$B$2:$B$201=""),0)),IFERROR(INDEX(IF($I1193="FIN",HISTORIAL_HORARIOS!$K$2:$K$201,HISTORIAL_HORARIOS!$G$2:$G$201),MATCH(1,(HISTORIAL_HORARIOS!$A$2:$A$201=$B1193)*(HISTORIAL_HORARIOS!$C$2:$C$201&lt;=$A1193)*(HISTORIAL_HORARIOS!$D$2:$D$201&gt;=$A1193),0)),INDEX(IF($I1193="FIN",PERSONAL!$K$2:$K$80,PERSONAL!$G$2:$G$80),MATCH($B1193,PERSONAL!$A$2:$A$80,0)))))</f>
        <v/>
      </c>
      <c r="O1193" s="53">
        <f t="array" ref="O1193">IFERROR(INDEX(EXCEPCIONES_FECHA!$F$2:$F$201,MATCH(1,(EXCEPCIONES_FECHA!$A$2:$A$201=$A1193)*(EXCEPCIONES_FECHA!$B$2:$B$201=$B1193),0)),IFERROR(INDEX(EXCEPCIONES_FECHA!$F$2:$F$201,MATCH(1,(EXCEPCIONES_FECHA!$A$2:$A$201=$A1193)*(EXCEPCIONES_FECHA!$B$2:$B$201=""),0)),IFERROR(INDEX(IF($I1193="FIN",HISTORIAL_HORARIOS!$L$2:$L$201,HISTORIAL_HORARIOS!$H$2:$H$201),MATCH(1,(HISTORIAL_HORARIOS!$A$2:$A$201=$B1193)*(HISTORIAL_HORARIOS!$C$2:$C$201&lt;=$A1193)*(HISTORIAL_HORARIOS!$D$2:$D$201&gt;=$A1193),0)),INDEX(IF($I1193="FIN",PERSONAL!$L$2:$L$80,PERSONAL!$H$2:$H$80),MATCH($B1193,PERSONAL!$A$2:$A$80,0)))))</f>
        <v/>
      </c>
    </row>
    <row r="1194" ht="15" customHeight="1" s="58">
      <c r="A1194" s="40" t="n"/>
      <c r="B1194" s="38" t="n"/>
      <c r="C1194" s="40" t="n"/>
      <c r="D1194" s="40" t="n"/>
      <c r="E1194" s="34">
        <f t="array" ref="E1194">IF($B1194="","",IFERROR(INDEX(PERSONAL!$B$2:$B$80,MATCH($B1194,PERSONAL!$A$2:$A$80,0)),"NO EXISTE"))</f>
        <v/>
      </c>
      <c r="F1194" s="34">
        <f t="array" ref="F1194">IF($B1194="","",IFERROR(INDEX(PERSONAL!$C$2:$C$80,MATCH($B1194,PERSONAL!$A$2:$A$80,0)),""))</f>
        <v/>
      </c>
      <c r="G1194" s="34">
        <f>IF($A1194="","",CHOOSE(WEEKDAY($A1194,2),"LUNES","MARTES","MIÉRCOLES","JUEVES","VIERNES","SÁBADO","DOMINGO"))</f>
        <v/>
      </c>
      <c r="H1194" s="34">
        <f>IF($A1194="","",CHOOSE(MONTH($A1194),"ENERO","FEBRERO","MARZO","ABRIL","MAYO","JUNIO","JULIO","AGOSTO","SEPTIEMBRE","OCTUBRE","NOVIEMBRE","DICIEMBRE"))</f>
        <v/>
      </c>
      <c r="I1194" s="34">
        <f>IF($A1194="","",IF(OR($G1194="SÁBADO",$G1194="DOMINGO"),"FIN","LV"))</f>
        <v/>
      </c>
      <c r="J1194" s="34">
        <f>IF(OR($A1194="",$B1194=""),"",IF($L1194&lt;&gt;"",UPPER($L1194),IF($C1194="","FALTA",IFERROR(IF($C1194&gt;=$O1194,"ROJO FUERTE",IF($C1194&gt;=$N1194,"ROJO",IF($C1194&gt;=$M1194,"AMARILLO","VERDE"))),"REVISAR"))))</f>
        <v/>
      </c>
      <c r="K1194" s="36">
        <f>IF(OR($C1194="",$D1194=""),"",IF($D1194&gt;=$C1194,($D1194-$C1194)*24,(1-$C1194+$D1194)*24))</f>
        <v/>
      </c>
      <c r="L1194" s="34" t="n"/>
      <c r="M1194" s="53">
        <f t="array" ref="M1194">IFERROR(INDEX(EXCEPCIONES_FECHA!$D$2:$D$201,MATCH(1,(EXCEPCIONES_FECHA!$A$2:$A$201=$A1194)*(EXCEPCIONES_FECHA!$B$2:$B$201=$B1194),0)),IFERROR(INDEX(EXCEPCIONES_FECHA!$D$2:$D$201,MATCH(1,(EXCEPCIONES_FECHA!$A$2:$A$201=$A1194)*(EXCEPCIONES_FECHA!$B$2:$B$201=""),0)),IFERROR(INDEX(IF($I1194="FIN",HISTORIAL_HORARIOS!$J$2:$J$201,HISTORIAL_HORARIOS!$F$2:$F$201),MATCH(1,(HISTORIAL_HORARIOS!$A$2:$A$201=$B1194)*(HISTORIAL_HORARIOS!$C$2:$C$201&lt;=$A1194)*(HISTORIAL_HORARIOS!$D$2:$D$201&gt;=$A1194),0)),INDEX(IF($I1194="FIN",PERSONAL!$J$2:$J$80,PERSONAL!$F$2:$F$80),MATCH($B1194,PERSONAL!$A$2:$A$80,0)))))</f>
        <v/>
      </c>
      <c r="N1194" s="53">
        <f t="array" ref="N1194">IFERROR(INDEX(EXCEPCIONES_FECHA!$E$2:$E$201,MATCH(1,(EXCEPCIONES_FECHA!$A$2:$A$201=$A1194)*(EXCEPCIONES_FECHA!$B$2:$B$201=$B1194),0)),IFERROR(INDEX(EXCEPCIONES_FECHA!$E$2:$E$201,MATCH(1,(EXCEPCIONES_FECHA!$A$2:$A$201=$A1194)*(EXCEPCIONES_FECHA!$B$2:$B$201=""),0)),IFERROR(INDEX(IF($I1194="FIN",HISTORIAL_HORARIOS!$K$2:$K$201,HISTORIAL_HORARIOS!$G$2:$G$201),MATCH(1,(HISTORIAL_HORARIOS!$A$2:$A$201=$B1194)*(HISTORIAL_HORARIOS!$C$2:$C$201&lt;=$A1194)*(HISTORIAL_HORARIOS!$D$2:$D$201&gt;=$A1194),0)),INDEX(IF($I1194="FIN",PERSONAL!$K$2:$K$80,PERSONAL!$G$2:$G$80),MATCH($B1194,PERSONAL!$A$2:$A$80,0)))))</f>
        <v/>
      </c>
      <c r="O1194" s="53">
        <f t="array" ref="O1194">IFERROR(INDEX(EXCEPCIONES_FECHA!$F$2:$F$201,MATCH(1,(EXCEPCIONES_FECHA!$A$2:$A$201=$A1194)*(EXCEPCIONES_FECHA!$B$2:$B$201=$B1194),0)),IFERROR(INDEX(EXCEPCIONES_FECHA!$F$2:$F$201,MATCH(1,(EXCEPCIONES_FECHA!$A$2:$A$201=$A1194)*(EXCEPCIONES_FECHA!$B$2:$B$201=""),0)),IFERROR(INDEX(IF($I1194="FIN",HISTORIAL_HORARIOS!$L$2:$L$201,HISTORIAL_HORARIOS!$H$2:$H$201),MATCH(1,(HISTORIAL_HORARIOS!$A$2:$A$201=$B1194)*(HISTORIAL_HORARIOS!$C$2:$C$201&lt;=$A1194)*(HISTORIAL_HORARIOS!$D$2:$D$201&gt;=$A1194),0)),INDEX(IF($I1194="FIN",PERSONAL!$L$2:$L$80,PERSONAL!$H$2:$H$80),MATCH($B1194,PERSONAL!$A$2:$A$80,0)))))</f>
        <v/>
      </c>
    </row>
    <row r="1195" ht="15" customHeight="1" s="58">
      <c r="A1195" s="40" t="n"/>
      <c r="B1195" s="38" t="n"/>
      <c r="C1195" s="40" t="n"/>
      <c r="D1195" s="40" t="n"/>
      <c r="E1195" s="34">
        <f t="array" ref="E1195">IF($B1195="","",IFERROR(INDEX(PERSONAL!$B$2:$B$80,MATCH($B1195,PERSONAL!$A$2:$A$80,0)),"NO EXISTE"))</f>
        <v/>
      </c>
      <c r="F1195" s="34">
        <f t="array" ref="F1195">IF($B1195="","",IFERROR(INDEX(PERSONAL!$C$2:$C$80,MATCH($B1195,PERSONAL!$A$2:$A$80,0)),""))</f>
        <v/>
      </c>
      <c r="G1195" s="34">
        <f>IF($A1195="","",CHOOSE(WEEKDAY($A1195,2),"LUNES","MARTES","MIÉRCOLES","JUEVES","VIERNES","SÁBADO","DOMINGO"))</f>
        <v/>
      </c>
      <c r="H1195" s="34">
        <f>IF($A1195="","",CHOOSE(MONTH($A1195),"ENERO","FEBRERO","MARZO","ABRIL","MAYO","JUNIO","JULIO","AGOSTO","SEPTIEMBRE","OCTUBRE","NOVIEMBRE","DICIEMBRE"))</f>
        <v/>
      </c>
      <c r="I1195" s="34">
        <f>IF($A1195="","",IF(OR($G1195="SÁBADO",$G1195="DOMINGO"),"FIN","LV"))</f>
        <v/>
      </c>
      <c r="J1195" s="34">
        <f>IF(OR($A1195="",$B1195=""),"",IF($L1195&lt;&gt;"",UPPER($L1195),IF($C1195="","FALTA",IFERROR(IF($C1195&gt;=$O1195,"ROJO FUERTE",IF($C1195&gt;=$N1195,"ROJO",IF($C1195&gt;=$M1195,"AMARILLO","VERDE"))),"REVISAR"))))</f>
        <v/>
      </c>
      <c r="K1195" s="36">
        <f>IF(OR($C1195="",$D1195=""),"",IF($D1195&gt;=$C1195,($D1195-$C1195)*24,(1-$C1195+$D1195)*24))</f>
        <v/>
      </c>
      <c r="L1195" s="34" t="n"/>
      <c r="M1195" s="53">
        <f t="array" ref="M1195">IFERROR(INDEX(EXCEPCIONES_FECHA!$D$2:$D$201,MATCH(1,(EXCEPCIONES_FECHA!$A$2:$A$201=$A1195)*(EXCEPCIONES_FECHA!$B$2:$B$201=$B1195),0)),IFERROR(INDEX(EXCEPCIONES_FECHA!$D$2:$D$201,MATCH(1,(EXCEPCIONES_FECHA!$A$2:$A$201=$A1195)*(EXCEPCIONES_FECHA!$B$2:$B$201=""),0)),IFERROR(INDEX(IF($I1195="FIN",HISTORIAL_HORARIOS!$J$2:$J$201,HISTORIAL_HORARIOS!$F$2:$F$201),MATCH(1,(HISTORIAL_HORARIOS!$A$2:$A$201=$B1195)*(HISTORIAL_HORARIOS!$C$2:$C$201&lt;=$A1195)*(HISTORIAL_HORARIOS!$D$2:$D$201&gt;=$A1195),0)),INDEX(IF($I1195="FIN",PERSONAL!$J$2:$J$80,PERSONAL!$F$2:$F$80),MATCH($B1195,PERSONAL!$A$2:$A$80,0)))))</f>
        <v/>
      </c>
      <c r="N1195" s="53">
        <f t="array" ref="N1195">IFERROR(INDEX(EXCEPCIONES_FECHA!$E$2:$E$201,MATCH(1,(EXCEPCIONES_FECHA!$A$2:$A$201=$A1195)*(EXCEPCIONES_FECHA!$B$2:$B$201=$B1195),0)),IFERROR(INDEX(EXCEPCIONES_FECHA!$E$2:$E$201,MATCH(1,(EXCEPCIONES_FECHA!$A$2:$A$201=$A1195)*(EXCEPCIONES_FECHA!$B$2:$B$201=""),0)),IFERROR(INDEX(IF($I1195="FIN",HISTORIAL_HORARIOS!$K$2:$K$201,HISTORIAL_HORARIOS!$G$2:$G$201),MATCH(1,(HISTORIAL_HORARIOS!$A$2:$A$201=$B1195)*(HISTORIAL_HORARIOS!$C$2:$C$201&lt;=$A1195)*(HISTORIAL_HORARIOS!$D$2:$D$201&gt;=$A1195),0)),INDEX(IF($I1195="FIN",PERSONAL!$K$2:$K$80,PERSONAL!$G$2:$G$80),MATCH($B1195,PERSONAL!$A$2:$A$80,0)))))</f>
        <v/>
      </c>
      <c r="O1195" s="53">
        <f t="array" ref="O1195">IFERROR(INDEX(EXCEPCIONES_FECHA!$F$2:$F$201,MATCH(1,(EXCEPCIONES_FECHA!$A$2:$A$201=$A1195)*(EXCEPCIONES_FECHA!$B$2:$B$201=$B1195),0)),IFERROR(INDEX(EXCEPCIONES_FECHA!$F$2:$F$201,MATCH(1,(EXCEPCIONES_FECHA!$A$2:$A$201=$A1195)*(EXCEPCIONES_FECHA!$B$2:$B$201=""),0)),IFERROR(INDEX(IF($I1195="FIN",HISTORIAL_HORARIOS!$L$2:$L$201,HISTORIAL_HORARIOS!$H$2:$H$201),MATCH(1,(HISTORIAL_HORARIOS!$A$2:$A$201=$B1195)*(HISTORIAL_HORARIOS!$C$2:$C$201&lt;=$A1195)*(HISTORIAL_HORARIOS!$D$2:$D$201&gt;=$A1195),0)),INDEX(IF($I1195="FIN",PERSONAL!$L$2:$L$80,PERSONAL!$H$2:$H$80),MATCH($B1195,PERSONAL!$A$2:$A$80,0)))))</f>
        <v/>
      </c>
    </row>
    <row r="1196" ht="15" customHeight="1" s="58">
      <c r="A1196" s="40" t="n"/>
      <c r="B1196" s="38" t="n"/>
      <c r="C1196" s="40" t="n"/>
      <c r="D1196" s="40" t="n"/>
      <c r="E1196" s="34">
        <f t="array" ref="E1196">IF($B1196="","",IFERROR(INDEX(PERSONAL!$B$2:$B$80,MATCH($B1196,PERSONAL!$A$2:$A$80,0)),"NO EXISTE"))</f>
        <v/>
      </c>
      <c r="F1196" s="34">
        <f t="array" ref="F1196">IF($B1196="","",IFERROR(INDEX(PERSONAL!$C$2:$C$80,MATCH($B1196,PERSONAL!$A$2:$A$80,0)),""))</f>
        <v/>
      </c>
      <c r="G1196" s="34">
        <f>IF($A1196="","",CHOOSE(WEEKDAY($A1196,2),"LUNES","MARTES","MIÉRCOLES","JUEVES","VIERNES","SÁBADO","DOMINGO"))</f>
        <v/>
      </c>
      <c r="H1196" s="34">
        <f>IF($A1196="","",CHOOSE(MONTH($A1196),"ENERO","FEBRERO","MARZO","ABRIL","MAYO","JUNIO","JULIO","AGOSTO","SEPTIEMBRE","OCTUBRE","NOVIEMBRE","DICIEMBRE"))</f>
        <v/>
      </c>
      <c r="I1196" s="34">
        <f>IF($A1196="","",IF(OR($G1196="SÁBADO",$G1196="DOMINGO"),"FIN","LV"))</f>
        <v/>
      </c>
      <c r="J1196" s="34">
        <f>IF(OR($A1196="",$B1196=""),"",IF($L1196&lt;&gt;"",UPPER($L1196),IF($C1196="","FALTA",IFERROR(IF($C1196&gt;=$O1196,"ROJO FUERTE",IF($C1196&gt;=$N1196,"ROJO",IF($C1196&gt;=$M1196,"AMARILLO","VERDE"))),"REVISAR"))))</f>
        <v/>
      </c>
      <c r="K1196" s="36">
        <f>IF(OR($C1196="",$D1196=""),"",IF($D1196&gt;=$C1196,($D1196-$C1196)*24,(1-$C1196+$D1196)*24))</f>
        <v/>
      </c>
      <c r="L1196" s="34" t="n"/>
      <c r="M1196" s="53">
        <f t="array" ref="M1196">IFERROR(INDEX(EXCEPCIONES_FECHA!$D$2:$D$201,MATCH(1,(EXCEPCIONES_FECHA!$A$2:$A$201=$A1196)*(EXCEPCIONES_FECHA!$B$2:$B$201=$B1196),0)),IFERROR(INDEX(EXCEPCIONES_FECHA!$D$2:$D$201,MATCH(1,(EXCEPCIONES_FECHA!$A$2:$A$201=$A1196)*(EXCEPCIONES_FECHA!$B$2:$B$201=""),0)),IFERROR(INDEX(IF($I1196="FIN",HISTORIAL_HORARIOS!$J$2:$J$201,HISTORIAL_HORARIOS!$F$2:$F$201),MATCH(1,(HISTORIAL_HORARIOS!$A$2:$A$201=$B1196)*(HISTORIAL_HORARIOS!$C$2:$C$201&lt;=$A1196)*(HISTORIAL_HORARIOS!$D$2:$D$201&gt;=$A1196),0)),INDEX(IF($I1196="FIN",PERSONAL!$J$2:$J$80,PERSONAL!$F$2:$F$80),MATCH($B1196,PERSONAL!$A$2:$A$80,0)))))</f>
        <v/>
      </c>
      <c r="N1196" s="53">
        <f t="array" ref="N1196">IFERROR(INDEX(EXCEPCIONES_FECHA!$E$2:$E$201,MATCH(1,(EXCEPCIONES_FECHA!$A$2:$A$201=$A1196)*(EXCEPCIONES_FECHA!$B$2:$B$201=$B1196),0)),IFERROR(INDEX(EXCEPCIONES_FECHA!$E$2:$E$201,MATCH(1,(EXCEPCIONES_FECHA!$A$2:$A$201=$A1196)*(EXCEPCIONES_FECHA!$B$2:$B$201=""),0)),IFERROR(INDEX(IF($I1196="FIN",HISTORIAL_HORARIOS!$K$2:$K$201,HISTORIAL_HORARIOS!$G$2:$G$201),MATCH(1,(HISTORIAL_HORARIOS!$A$2:$A$201=$B1196)*(HISTORIAL_HORARIOS!$C$2:$C$201&lt;=$A1196)*(HISTORIAL_HORARIOS!$D$2:$D$201&gt;=$A1196),0)),INDEX(IF($I1196="FIN",PERSONAL!$K$2:$K$80,PERSONAL!$G$2:$G$80),MATCH($B1196,PERSONAL!$A$2:$A$80,0)))))</f>
        <v/>
      </c>
      <c r="O1196" s="53">
        <f t="array" ref="O1196">IFERROR(INDEX(EXCEPCIONES_FECHA!$F$2:$F$201,MATCH(1,(EXCEPCIONES_FECHA!$A$2:$A$201=$A1196)*(EXCEPCIONES_FECHA!$B$2:$B$201=$B1196),0)),IFERROR(INDEX(EXCEPCIONES_FECHA!$F$2:$F$201,MATCH(1,(EXCEPCIONES_FECHA!$A$2:$A$201=$A1196)*(EXCEPCIONES_FECHA!$B$2:$B$201=""),0)),IFERROR(INDEX(IF($I1196="FIN",HISTORIAL_HORARIOS!$L$2:$L$201,HISTORIAL_HORARIOS!$H$2:$H$201),MATCH(1,(HISTORIAL_HORARIOS!$A$2:$A$201=$B1196)*(HISTORIAL_HORARIOS!$C$2:$C$201&lt;=$A1196)*(HISTORIAL_HORARIOS!$D$2:$D$201&gt;=$A1196),0)),INDEX(IF($I1196="FIN",PERSONAL!$L$2:$L$80,PERSONAL!$H$2:$H$80),MATCH($B1196,PERSONAL!$A$2:$A$80,0)))))</f>
        <v/>
      </c>
    </row>
    <row r="1197" ht="15" customHeight="1" s="58">
      <c r="A1197" s="40" t="n"/>
      <c r="B1197" s="38" t="n"/>
      <c r="C1197" s="40" t="n"/>
      <c r="D1197" s="40" t="n"/>
      <c r="E1197" s="34">
        <f t="array" ref="E1197">IF($B1197="","",IFERROR(INDEX(PERSONAL!$B$2:$B$80,MATCH($B1197,PERSONAL!$A$2:$A$80,0)),"NO EXISTE"))</f>
        <v/>
      </c>
      <c r="F1197" s="34">
        <f t="array" ref="F1197">IF($B1197="","",IFERROR(INDEX(PERSONAL!$C$2:$C$80,MATCH($B1197,PERSONAL!$A$2:$A$80,0)),""))</f>
        <v/>
      </c>
      <c r="G1197" s="34">
        <f>IF($A1197="","",CHOOSE(WEEKDAY($A1197,2),"LUNES","MARTES","MIÉRCOLES","JUEVES","VIERNES","SÁBADO","DOMINGO"))</f>
        <v/>
      </c>
      <c r="H1197" s="34">
        <f>IF($A1197="","",CHOOSE(MONTH($A1197),"ENERO","FEBRERO","MARZO","ABRIL","MAYO","JUNIO","JULIO","AGOSTO","SEPTIEMBRE","OCTUBRE","NOVIEMBRE","DICIEMBRE"))</f>
        <v/>
      </c>
      <c r="I1197" s="34">
        <f>IF($A1197="","",IF(OR($G1197="SÁBADO",$G1197="DOMINGO"),"FIN","LV"))</f>
        <v/>
      </c>
      <c r="J1197" s="34">
        <f>IF(OR($A1197="",$B1197=""),"",IF($L1197&lt;&gt;"",UPPER($L1197),IF($C1197="","FALTA",IFERROR(IF($C1197&gt;=$O1197,"ROJO FUERTE",IF($C1197&gt;=$N1197,"ROJO",IF($C1197&gt;=$M1197,"AMARILLO","VERDE"))),"REVISAR"))))</f>
        <v/>
      </c>
      <c r="K1197" s="36">
        <f>IF(OR($C1197="",$D1197=""),"",IF($D1197&gt;=$C1197,($D1197-$C1197)*24,(1-$C1197+$D1197)*24))</f>
        <v/>
      </c>
      <c r="L1197" s="34" t="n"/>
      <c r="M1197" s="53">
        <f t="array" ref="M1197">IFERROR(INDEX(EXCEPCIONES_FECHA!$D$2:$D$201,MATCH(1,(EXCEPCIONES_FECHA!$A$2:$A$201=$A1197)*(EXCEPCIONES_FECHA!$B$2:$B$201=$B1197),0)),IFERROR(INDEX(EXCEPCIONES_FECHA!$D$2:$D$201,MATCH(1,(EXCEPCIONES_FECHA!$A$2:$A$201=$A1197)*(EXCEPCIONES_FECHA!$B$2:$B$201=""),0)),IFERROR(INDEX(IF($I1197="FIN",HISTORIAL_HORARIOS!$J$2:$J$201,HISTORIAL_HORARIOS!$F$2:$F$201),MATCH(1,(HISTORIAL_HORARIOS!$A$2:$A$201=$B1197)*(HISTORIAL_HORARIOS!$C$2:$C$201&lt;=$A1197)*(HISTORIAL_HORARIOS!$D$2:$D$201&gt;=$A1197),0)),INDEX(IF($I1197="FIN",PERSONAL!$J$2:$J$80,PERSONAL!$F$2:$F$80),MATCH($B1197,PERSONAL!$A$2:$A$80,0)))))</f>
        <v/>
      </c>
      <c r="N1197" s="53">
        <f t="array" ref="N1197">IFERROR(INDEX(EXCEPCIONES_FECHA!$E$2:$E$201,MATCH(1,(EXCEPCIONES_FECHA!$A$2:$A$201=$A1197)*(EXCEPCIONES_FECHA!$B$2:$B$201=$B1197),0)),IFERROR(INDEX(EXCEPCIONES_FECHA!$E$2:$E$201,MATCH(1,(EXCEPCIONES_FECHA!$A$2:$A$201=$A1197)*(EXCEPCIONES_FECHA!$B$2:$B$201=""),0)),IFERROR(INDEX(IF($I1197="FIN",HISTORIAL_HORARIOS!$K$2:$K$201,HISTORIAL_HORARIOS!$G$2:$G$201),MATCH(1,(HISTORIAL_HORARIOS!$A$2:$A$201=$B1197)*(HISTORIAL_HORARIOS!$C$2:$C$201&lt;=$A1197)*(HISTORIAL_HORARIOS!$D$2:$D$201&gt;=$A1197),0)),INDEX(IF($I1197="FIN",PERSONAL!$K$2:$K$80,PERSONAL!$G$2:$G$80),MATCH($B1197,PERSONAL!$A$2:$A$80,0)))))</f>
        <v/>
      </c>
      <c r="O1197" s="53">
        <f t="array" ref="O1197">IFERROR(INDEX(EXCEPCIONES_FECHA!$F$2:$F$201,MATCH(1,(EXCEPCIONES_FECHA!$A$2:$A$201=$A1197)*(EXCEPCIONES_FECHA!$B$2:$B$201=$B1197),0)),IFERROR(INDEX(EXCEPCIONES_FECHA!$F$2:$F$201,MATCH(1,(EXCEPCIONES_FECHA!$A$2:$A$201=$A1197)*(EXCEPCIONES_FECHA!$B$2:$B$201=""),0)),IFERROR(INDEX(IF($I1197="FIN",HISTORIAL_HORARIOS!$L$2:$L$201,HISTORIAL_HORARIOS!$H$2:$H$201),MATCH(1,(HISTORIAL_HORARIOS!$A$2:$A$201=$B1197)*(HISTORIAL_HORARIOS!$C$2:$C$201&lt;=$A1197)*(HISTORIAL_HORARIOS!$D$2:$D$201&gt;=$A1197),0)),INDEX(IF($I1197="FIN",PERSONAL!$L$2:$L$80,PERSONAL!$H$2:$H$80),MATCH($B1197,PERSONAL!$A$2:$A$80,0)))))</f>
        <v/>
      </c>
    </row>
    <row r="1198" ht="15" customHeight="1" s="58">
      <c r="A1198" s="40" t="n"/>
      <c r="B1198" s="38" t="n"/>
      <c r="C1198" s="40" t="n"/>
      <c r="D1198" s="40" t="n"/>
      <c r="E1198" s="34">
        <f t="array" ref="E1198">IF($B1198="","",IFERROR(INDEX(PERSONAL!$B$2:$B$80,MATCH($B1198,PERSONAL!$A$2:$A$80,0)),"NO EXISTE"))</f>
        <v/>
      </c>
      <c r="F1198" s="34">
        <f t="array" ref="F1198">IF($B1198="","",IFERROR(INDEX(PERSONAL!$C$2:$C$80,MATCH($B1198,PERSONAL!$A$2:$A$80,0)),""))</f>
        <v/>
      </c>
      <c r="G1198" s="34">
        <f>IF($A1198="","",CHOOSE(WEEKDAY($A1198,2),"LUNES","MARTES","MIÉRCOLES","JUEVES","VIERNES","SÁBADO","DOMINGO"))</f>
        <v/>
      </c>
      <c r="H1198" s="34">
        <f>IF($A1198="","",CHOOSE(MONTH($A1198),"ENERO","FEBRERO","MARZO","ABRIL","MAYO","JUNIO","JULIO","AGOSTO","SEPTIEMBRE","OCTUBRE","NOVIEMBRE","DICIEMBRE"))</f>
        <v/>
      </c>
      <c r="I1198" s="34">
        <f>IF($A1198="","",IF(OR($G1198="SÁBADO",$G1198="DOMINGO"),"FIN","LV"))</f>
        <v/>
      </c>
      <c r="J1198" s="34">
        <f>IF(OR($A1198="",$B1198=""),"",IF($L1198&lt;&gt;"",UPPER($L1198),IF($C1198="","FALTA",IFERROR(IF($C1198&gt;=$O1198,"ROJO FUERTE",IF($C1198&gt;=$N1198,"ROJO",IF($C1198&gt;=$M1198,"AMARILLO","VERDE"))),"REVISAR"))))</f>
        <v/>
      </c>
      <c r="K1198" s="36">
        <f>IF(OR($C1198="",$D1198=""),"",IF($D1198&gt;=$C1198,($D1198-$C1198)*24,(1-$C1198+$D1198)*24))</f>
        <v/>
      </c>
      <c r="L1198" s="34" t="n"/>
      <c r="M1198" s="53">
        <f t="array" ref="M1198">IFERROR(INDEX(EXCEPCIONES_FECHA!$D$2:$D$201,MATCH(1,(EXCEPCIONES_FECHA!$A$2:$A$201=$A1198)*(EXCEPCIONES_FECHA!$B$2:$B$201=$B1198),0)),IFERROR(INDEX(EXCEPCIONES_FECHA!$D$2:$D$201,MATCH(1,(EXCEPCIONES_FECHA!$A$2:$A$201=$A1198)*(EXCEPCIONES_FECHA!$B$2:$B$201=""),0)),IFERROR(INDEX(IF($I1198="FIN",HISTORIAL_HORARIOS!$J$2:$J$201,HISTORIAL_HORARIOS!$F$2:$F$201),MATCH(1,(HISTORIAL_HORARIOS!$A$2:$A$201=$B1198)*(HISTORIAL_HORARIOS!$C$2:$C$201&lt;=$A1198)*(HISTORIAL_HORARIOS!$D$2:$D$201&gt;=$A1198),0)),INDEX(IF($I1198="FIN",PERSONAL!$J$2:$J$80,PERSONAL!$F$2:$F$80),MATCH($B1198,PERSONAL!$A$2:$A$80,0)))))</f>
        <v/>
      </c>
      <c r="N1198" s="53">
        <f t="array" ref="N1198">IFERROR(INDEX(EXCEPCIONES_FECHA!$E$2:$E$201,MATCH(1,(EXCEPCIONES_FECHA!$A$2:$A$201=$A1198)*(EXCEPCIONES_FECHA!$B$2:$B$201=$B1198),0)),IFERROR(INDEX(EXCEPCIONES_FECHA!$E$2:$E$201,MATCH(1,(EXCEPCIONES_FECHA!$A$2:$A$201=$A1198)*(EXCEPCIONES_FECHA!$B$2:$B$201=""),0)),IFERROR(INDEX(IF($I1198="FIN",HISTORIAL_HORARIOS!$K$2:$K$201,HISTORIAL_HORARIOS!$G$2:$G$201),MATCH(1,(HISTORIAL_HORARIOS!$A$2:$A$201=$B1198)*(HISTORIAL_HORARIOS!$C$2:$C$201&lt;=$A1198)*(HISTORIAL_HORARIOS!$D$2:$D$201&gt;=$A1198),0)),INDEX(IF($I1198="FIN",PERSONAL!$K$2:$K$80,PERSONAL!$G$2:$G$80),MATCH($B1198,PERSONAL!$A$2:$A$80,0)))))</f>
        <v/>
      </c>
      <c r="O1198" s="53">
        <f t="array" ref="O1198">IFERROR(INDEX(EXCEPCIONES_FECHA!$F$2:$F$201,MATCH(1,(EXCEPCIONES_FECHA!$A$2:$A$201=$A1198)*(EXCEPCIONES_FECHA!$B$2:$B$201=$B1198),0)),IFERROR(INDEX(EXCEPCIONES_FECHA!$F$2:$F$201,MATCH(1,(EXCEPCIONES_FECHA!$A$2:$A$201=$A1198)*(EXCEPCIONES_FECHA!$B$2:$B$201=""),0)),IFERROR(INDEX(IF($I1198="FIN",HISTORIAL_HORARIOS!$L$2:$L$201,HISTORIAL_HORARIOS!$H$2:$H$201),MATCH(1,(HISTORIAL_HORARIOS!$A$2:$A$201=$B1198)*(HISTORIAL_HORARIOS!$C$2:$C$201&lt;=$A1198)*(HISTORIAL_HORARIOS!$D$2:$D$201&gt;=$A1198),0)),INDEX(IF($I1198="FIN",PERSONAL!$L$2:$L$80,PERSONAL!$H$2:$H$80),MATCH($B1198,PERSONAL!$A$2:$A$80,0)))))</f>
        <v/>
      </c>
    </row>
    <row r="1199" ht="15" customHeight="1" s="58">
      <c r="A1199" s="40" t="n"/>
      <c r="B1199" s="38" t="n"/>
      <c r="C1199" s="40" t="n"/>
      <c r="D1199" s="40" t="n"/>
      <c r="E1199" s="34">
        <f t="array" ref="E1199">IF($B1199="","",IFERROR(INDEX(PERSONAL!$B$2:$B$80,MATCH($B1199,PERSONAL!$A$2:$A$80,0)),"NO EXISTE"))</f>
        <v/>
      </c>
      <c r="F1199" s="34">
        <f t="array" ref="F1199">IF($B1199="","",IFERROR(INDEX(PERSONAL!$C$2:$C$80,MATCH($B1199,PERSONAL!$A$2:$A$80,0)),""))</f>
        <v/>
      </c>
      <c r="G1199" s="34">
        <f>IF($A1199="","",CHOOSE(WEEKDAY($A1199,2),"LUNES","MARTES","MIÉRCOLES","JUEVES","VIERNES","SÁBADO","DOMINGO"))</f>
        <v/>
      </c>
      <c r="H1199" s="34">
        <f>IF($A1199="","",CHOOSE(MONTH($A1199),"ENERO","FEBRERO","MARZO","ABRIL","MAYO","JUNIO","JULIO","AGOSTO","SEPTIEMBRE","OCTUBRE","NOVIEMBRE","DICIEMBRE"))</f>
        <v/>
      </c>
      <c r="I1199" s="34">
        <f>IF($A1199="","",IF(OR($G1199="SÁBADO",$G1199="DOMINGO"),"FIN","LV"))</f>
        <v/>
      </c>
      <c r="J1199" s="34">
        <f>IF(OR($A1199="",$B1199=""),"",IF($L1199&lt;&gt;"",UPPER($L1199),IF($C1199="","FALTA",IFERROR(IF($C1199&gt;=$O1199,"ROJO FUERTE",IF($C1199&gt;=$N1199,"ROJO",IF($C1199&gt;=$M1199,"AMARILLO","VERDE"))),"REVISAR"))))</f>
        <v/>
      </c>
      <c r="K1199" s="36">
        <f>IF(OR($C1199="",$D1199=""),"",IF($D1199&gt;=$C1199,($D1199-$C1199)*24,(1-$C1199+$D1199)*24))</f>
        <v/>
      </c>
      <c r="L1199" s="34" t="n"/>
      <c r="M1199" s="53">
        <f t="array" ref="M1199">IFERROR(INDEX(EXCEPCIONES_FECHA!$D$2:$D$201,MATCH(1,(EXCEPCIONES_FECHA!$A$2:$A$201=$A1199)*(EXCEPCIONES_FECHA!$B$2:$B$201=$B1199),0)),IFERROR(INDEX(EXCEPCIONES_FECHA!$D$2:$D$201,MATCH(1,(EXCEPCIONES_FECHA!$A$2:$A$201=$A1199)*(EXCEPCIONES_FECHA!$B$2:$B$201=""),0)),IFERROR(INDEX(IF($I1199="FIN",HISTORIAL_HORARIOS!$J$2:$J$201,HISTORIAL_HORARIOS!$F$2:$F$201),MATCH(1,(HISTORIAL_HORARIOS!$A$2:$A$201=$B1199)*(HISTORIAL_HORARIOS!$C$2:$C$201&lt;=$A1199)*(HISTORIAL_HORARIOS!$D$2:$D$201&gt;=$A1199),0)),INDEX(IF($I1199="FIN",PERSONAL!$J$2:$J$80,PERSONAL!$F$2:$F$80),MATCH($B1199,PERSONAL!$A$2:$A$80,0)))))</f>
        <v/>
      </c>
      <c r="N1199" s="53">
        <f t="array" ref="N1199">IFERROR(INDEX(EXCEPCIONES_FECHA!$E$2:$E$201,MATCH(1,(EXCEPCIONES_FECHA!$A$2:$A$201=$A1199)*(EXCEPCIONES_FECHA!$B$2:$B$201=$B1199),0)),IFERROR(INDEX(EXCEPCIONES_FECHA!$E$2:$E$201,MATCH(1,(EXCEPCIONES_FECHA!$A$2:$A$201=$A1199)*(EXCEPCIONES_FECHA!$B$2:$B$201=""),0)),IFERROR(INDEX(IF($I1199="FIN",HISTORIAL_HORARIOS!$K$2:$K$201,HISTORIAL_HORARIOS!$G$2:$G$201),MATCH(1,(HISTORIAL_HORARIOS!$A$2:$A$201=$B1199)*(HISTORIAL_HORARIOS!$C$2:$C$201&lt;=$A1199)*(HISTORIAL_HORARIOS!$D$2:$D$201&gt;=$A1199),0)),INDEX(IF($I1199="FIN",PERSONAL!$K$2:$K$80,PERSONAL!$G$2:$G$80),MATCH($B1199,PERSONAL!$A$2:$A$80,0)))))</f>
        <v/>
      </c>
      <c r="O1199" s="53">
        <f t="array" ref="O1199">IFERROR(INDEX(EXCEPCIONES_FECHA!$F$2:$F$201,MATCH(1,(EXCEPCIONES_FECHA!$A$2:$A$201=$A1199)*(EXCEPCIONES_FECHA!$B$2:$B$201=$B1199),0)),IFERROR(INDEX(EXCEPCIONES_FECHA!$F$2:$F$201,MATCH(1,(EXCEPCIONES_FECHA!$A$2:$A$201=$A1199)*(EXCEPCIONES_FECHA!$B$2:$B$201=""),0)),IFERROR(INDEX(IF($I1199="FIN",HISTORIAL_HORARIOS!$L$2:$L$201,HISTORIAL_HORARIOS!$H$2:$H$201),MATCH(1,(HISTORIAL_HORARIOS!$A$2:$A$201=$B1199)*(HISTORIAL_HORARIOS!$C$2:$C$201&lt;=$A1199)*(HISTORIAL_HORARIOS!$D$2:$D$201&gt;=$A1199),0)),INDEX(IF($I1199="FIN",PERSONAL!$L$2:$L$80,PERSONAL!$H$2:$H$80),MATCH($B1199,PERSONAL!$A$2:$A$80,0)))))</f>
        <v/>
      </c>
    </row>
    <row r="1200" ht="15" customHeight="1" s="58">
      <c r="A1200" s="40" t="n"/>
      <c r="B1200" s="38" t="n"/>
      <c r="C1200" s="40" t="n"/>
      <c r="D1200" s="40" t="n"/>
      <c r="E1200" s="34">
        <f t="array" ref="E1200">IF($B1200="","",IFERROR(INDEX(PERSONAL!$B$2:$B$80,MATCH($B1200,PERSONAL!$A$2:$A$80,0)),"NO EXISTE"))</f>
        <v/>
      </c>
      <c r="F1200" s="34">
        <f t="array" ref="F1200">IF($B1200="","",IFERROR(INDEX(PERSONAL!$C$2:$C$80,MATCH($B1200,PERSONAL!$A$2:$A$80,0)),""))</f>
        <v/>
      </c>
      <c r="G1200" s="34">
        <f>IF($A1200="","",CHOOSE(WEEKDAY($A1200,2),"LUNES","MARTES","MIÉRCOLES","JUEVES","VIERNES","SÁBADO","DOMINGO"))</f>
        <v/>
      </c>
      <c r="H1200" s="34">
        <f>IF($A1200="","",CHOOSE(MONTH($A1200),"ENERO","FEBRERO","MARZO","ABRIL","MAYO","JUNIO","JULIO","AGOSTO","SEPTIEMBRE","OCTUBRE","NOVIEMBRE","DICIEMBRE"))</f>
        <v/>
      </c>
      <c r="I1200" s="34">
        <f>IF($A1200="","",IF(OR($G1200="SÁBADO",$G1200="DOMINGO"),"FIN","LV"))</f>
        <v/>
      </c>
      <c r="J1200" s="34">
        <f>IF(OR($A1200="",$B1200=""),"",IF($L1200&lt;&gt;"",UPPER($L1200),IF($C1200="","FALTA",IFERROR(IF($C1200&gt;=$O1200,"ROJO FUERTE",IF($C1200&gt;=$N1200,"ROJO",IF($C1200&gt;=$M1200,"AMARILLO","VERDE"))),"REVISAR"))))</f>
        <v/>
      </c>
      <c r="K1200" s="36">
        <f>IF(OR($C1200="",$D1200=""),"",IF($D1200&gt;=$C1200,($D1200-$C1200)*24,(1-$C1200+$D1200)*24))</f>
        <v/>
      </c>
      <c r="L1200" s="34" t="n"/>
      <c r="M1200" s="53">
        <f t="array" ref="M1200">IFERROR(INDEX(EXCEPCIONES_FECHA!$D$2:$D$201,MATCH(1,(EXCEPCIONES_FECHA!$A$2:$A$201=$A1200)*(EXCEPCIONES_FECHA!$B$2:$B$201=$B1200),0)),IFERROR(INDEX(EXCEPCIONES_FECHA!$D$2:$D$201,MATCH(1,(EXCEPCIONES_FECHA!$A$2:$A$201=$A1200)*(EXCEPCIONES_FECHA!$B$2:$B$201=""),0)),IFERROR(INDEX(IF($I1200="FIN",HISTORIAL_HORARIOS!$J$2:$J$201,HISTORIAL_HORARIOS!$F$2:$F$201),MATCH(1,(HISTORIAL_HORARIOS!$A$2:$A$201=$B1200)*(HISTORIAL_HORARIOS!$C$2:$C$201&lt;=$A1200)*(HISTORIAL_HORARIOS!$D$2:$D$201&gt;=$A1200),0)),INDEX(IF($I1200="FIN",PERSONAL!$J$2:$J$80,PERSONAL!$F$2:$F$80),MATCH($B1200,PERSONAL!$A$2:$A$80,0)))))</f>
        <v/>
      </c>
      <c r="N1200" s="53">
        <f t="array" ref="N1200">IFERROR(INDEX(EXCEPCIONES_FECHA!$E$2:$E$201,MATCH(1,(EXCEPCIONES_FECHA!$A$2:$A$201=$A1200)*(EXCEPCIONES_FECHA!$B$2:$B$201=$B1200),0)),IFERROR(INDEX(EXCEPCIONES_FECHA!$E$2:$E$201,MATCH(1,(EXCEPCIONES_FECHA!$A$2:$A$201=$A1200)*(EXCEPCIONES_FECHA!$B$2:$B$201=""),0)),IFERROR(INDEX(IF($I1200="FIN",HISTORIAL_HORARIOS!$K$2:$K$201,HISTORIAL_HORARIOS!$G$2:$G$201),MATCH(1,(HISTORIAL_HORARIOS!$A$2:$A$201=$B1200)*(HISTORIAL_HORARIOS!$C$2:$C$201&lt;=$A1200)*(HISTORIAL_HORARIOS!$D$2:$D$201&gt;=$A1200),0)),INDEX(IF($I1200="FIN",PERSONAL!$K$2:$K$80,PERSONAL!$G$2:$G$80),MATCH($B1200,PERSONAL!$A$2:$A$80,0)))))</f>
        <v/>
      </c>
      <c r="O1200" s="53">
        <f t="array" ref="O1200">IFERROR(INDEX(EXCEPCIONES_FECHA!$F$2:$F$201,MATCH(1,(EXCEPCIONES_FECHA!$A$2:$A$201=$A1200)*(EXCEPCIONES_FECHA!$B$2:$B$201=$B1200),0)),IFERROR(INDEX(EXCEPCIONES_FECHA!$F$2:$F$201,MATCH(1,(EXCEPCIONES_FECHA!$A$2:$A$201=$A1200)*(EXCEPCIONES_FECHA!$B$2:$B$201=""),0)),IFERROR(INDEX(IF($I1200="FIN",HISTORIAL_HORARIOS!$L$2:$L$201,HISTORIAL_HORARIOS!$H$2:$H$201),MATCH(1,(HISTORIAL_HORARIOS!$A$2:$A$201=$B1200)*(HISTORIAL_HORARIOS!$C$2:$C$201&lt;=$A1200)*(HISTORIAL_HORARIOS!$D$2:$D$201&gt;=$A1200),0)),INDEX(IF($I1200="FIN",PERSONAL!$L$2:$L$80,PERSONAL!$H$2:$H$80),MATCH($B1200,PERSONAL!$A$2:$A$80,0)))))</f>
        <v/>
      </c>
    </row>
    <row r="1201" ht="15" customHeight="1" s="58">
      <c r="A1201" s="40" t="n"/>
      <c r="B1201" s="38" t="n"/>
      <c r="C1201" s="40" t="n"/>
      <c r="D1201" s="40" t="n"/>
      <c r="E1201" s="34">
        <f t="array" ref="E1201">IF($B1201="","",IFERROR(INDEX(PERSONAL!$B$2:$B$80,MATCH($B1201,PERSONAL!$A$2:$A$80,0)),"NO EXISTE"))</f>
        <v/>
      </c>
      <c r="F1201" s="34">
        <f t="array" ref="F1201">IF($B1201="","",IFERROR(INDEX(PERSONAL!$C$2:$C$80,MATCH($B1201,PERSONAL!$A$2:$A$80,0)),""))</f>
        <v/>
      </c>
      <c r="G1201" s="34">
        <f>IF($A1201="","",CHOOSE(WEEKDAY($A1201,2),"LUNES","MARTES","MIÉRCOLES","JUEVES","VIERNES","SÁBADO","DOMINGO"))</f>
        <v/>
      </c>
      <c r="H1201" s="34">
        <f>IF($A1201="","",CHOOSE(MONTH($A1201),"ENERO","FEBRERO","MARZO","ABRIL","MAYO","JUNIO","JULIO","AGOSTO","SEPTIEMBRE","OCTUBRE","NOVIEMBRE","DICIEMBRE"))</f>
        <v/>
      </c>
      <c r="I1201" s="34">
        <f>IF($A1201="","",IF(OR($G1201="SÁBADO",$G1201="DOMINGO"),"FIN","LV"))</f>
        <v/>
      </c>
      <c r="J1201" s="34">
        <f>IF(OR($A1201="",$B1201=""),"",IF($L1201&lt;&gt;"",UPPER($L1201),IF($C1201="","FALTA",IFERROR(IF($C1201&gt;=$O1201,"ROJO FUERTE",IF($C1201&gt;=$N1201,"ROJO",IF($C1201&gt;=$M1201,"AMARILLO","VERDE"))),"REVISAR"))))</f>
        <v/>
      </c>
      <c r="K1201" s="36">
        <f>IF(OR($C1201="",$D1201=""),"",IF($D1201&gt;=$C1201,($D1201-$C1201)*24,(1-$C1201+$D1201)*24))</f>
        <v/>
      </c>
      <c r="L1201" s="34" t="n"/>
      <c r="M1201" s="53">
        <f t="array" ref="M1201">IFERROR(INDEX(EXCEPCIONES_FECHA!$D$2:$D$201,MATCH(1,(EXCEPCIONES_FECHA!$A$2:$A$201=$A1201)*(EXCEPCIONES_FECHA!$B$2:$B$201=$B1201),0)),IFERROR(INDEX(EXCEPCIONES_FECHA!$D$2:$D$201,MATCH(1,(EXCEPCIONES_FECHA!$A$2:$A$201=$A1201)*(EXCEPCIONES_FECHA!$B$2:$B$201=""),0)),IFERROR(INDEX(IF($I1201="FIN",HISTORIAL_HORARIOS!$J$2:$J$201,HISTORIAL_HORARIOS!$F$2:$F$201),MATCH(1,(HISTORIAL_HORARIOS!$A$2:$A$201=$B1201)*(HISTORIAL_HORARIOS!$C$2:$C$201&lt;=$A1201)*(HISTORIAL_HORARIOS!$D$2:$D$201&gt;=$A1201),0)),INDEX(IF($I1201="FIN",PERSONAL!$J$2:$J$80,PERSONAL!$F$2:$F$80),MATCH($B1201,PERSONAL!$A$2:$A$80,0)))))</f>
        <v/>
      </c>
      <c r="N1201" s="53">
        <f t="array" ref="N1201">IFERROR(INDEX(EXCEPCIONES_FECHA!$E$2:$E$201,MATCH(1,(EXCEPCIONES_FECHA!$A$2:$A$201=$A1201)*(EXCEPCIONES_FECHA!$B$2:$B$201=$B1201),0)),IFERROR(INDEX(EXCEPCIONES_FECHA!$E$2:$E$201,MATCH(1,(EXCEPCIONES_FECHA!$A$2:$A$201=$A1201)*(EXCEPCIONES_FECHA!$B$2:$B$201=""),0)),IFERROR(INDEX(IF($I1201="FIN",HISTORIAL_HORARIOS!$K$2:$K$201,HISTORIAL_HORARIOS!$G$2:$G$201),MATCH(1,(HISTORIAL_HORARIOS!$A$2:$A$201=$B1201)*(HISTORIAL_HORARIOS!$C$2:$C$201&lt;=$A1201)*(HISTORIAL_HORARIOS!$D$2:$D$201&gt;=$A1201),0)),INDEX(IF($I1201="FIN",PERSONAL!$K$2:$K$80,PERSONAL!$G$2:$G$80),MATCH($B1201,PERSONAL!$A$2:$A$80,0)))))</f>
        <v/>
      </c>
      <c r="O1201" s="53">
        <f t="array" ref="O1201">IFERROR(INDEX(EXCEPCIONES_FECHA!$F$2:$F$201,MATCH(1,(EXCEPCIONES_FECHA!$A$2:$A$201=$A1201)*(EXCEPCIONES_FECHA!$B$2:$B$201=$B1201),0)),IFERROR(INDEX(EXCEPCIONES_FECHA!$F$2:$F$201,MATCH(1,(EXCEPCIONES_FECHA!$A$2:$A$201=$A1201)*(EXCEPCIONES_FECHA!$B$2:$B$201=""),0)),IFERROR(INDEX(IF($I1201="FIN",HISTORIAL_HORARIOS!$L$2:$L$201,HISTORIAL_HORARIOS!$H$2:$H$201),MATCH(1,(HISTORIAL_HORARIOS!$A$2:$A$201=$B1201)*(HISTORIAL_HORARIOS!$C$2:$C$201&lt;=$A1201)*(HISTORIAL_HORARIOS!$D$2:$D$201&gt;=$A1201),0)),INDEX(IF($I1201="FIN",PERSONAL!$L$2:$L$80,PERSONAL!$H$2:$H$80),MATCH($B1201,PERSONAL!$A$2:$A$80,0)))))</f>
        <v/>
      </c>
    </row>
    <row r="1202" ht="15" customHeight="1" s="58">
      <c r="A1202" s="40" t="n"/>
      <c r="B1202" s="38" t="n"/>
      <c r="C1202" s="40" t="n"/>
      <c r="D1202" s="40" t="n"/>
      <c r="E1202" s="34">
        <f t="array" ref="E1202">IF($B1202="","",IFERROR(INDEX(PERSONAL!$B$2:$B$80,MATCH($B1202,PERSONAL!$A$2:$A$80,0)),"NO EXISTE"))</f>
        <v/>
      </c>
      <c r="F1202" s="34">
        <f t="array" ref="F1202">IF($B1202="","",IFERROR(INDEX(PERSONAL!$C$2:$C$80,MATCH($B1202,PERSONAL!$A$2:$A$80,0)),""))</f>
        <v/>
      </c>
      <c r="G1202" s="34">
        <f>IF($A1202="","",CHOOSE(WEEKDAY($A1202,2),"LUNES","MARTES","MIÉRCOLES","JUEVES","VIERNES","SÁBADO","DOMINGO"))</f>
        <v/>
      </c>
      <c r="H1202" s="34">
        <f>IF($A1202="","",CHOOSE(MONTH($A1202),"ENERO","FEBRERO","MARZO","ABRIL","MAYO","JUNIO","JULIO","AGOSTO","SEPTIEMBRE","OCTUBRE","NOVIEMBRE","DICIEMBRE"))</f>
        <v/>
      </c>
      <c r="I1202" s="34">
        <f>IF($A1202="","",IF(OR($G1202="SÁBADO",$G1202="DOMINGO"),"FIN","LV"))</f>
        <v/>
      </c>
      <c r="J1202" s="34">
        <f>IF(OR($A1202="",$B1202=""),"",IF($L1202&lt;&gt;"",UPPER($L1202),IF($C1202="","FALTA",IFERROR(IF($C1202&gt;=$O1202,"ROJO FUERTE",IF($C1202&gt;=$N1202,"ROJO",IF($C1202&gt;=$M1202,"AMARILLO","VERDE"))),"REVISAR"))))</f>
        <v/>
      </c>
      <c r="K1202" s="36">
        <f>IF(OR($C1202="",$D1202=""),"",IF($D1202&gt;=$C1202,($D1202-$C1202)*24,(1-$C1202+$D1202)*24))</f>
        <v/>
      </c>
      <c r="L1202" s="34" t="n"/>
      <c r="M1202" s="53">
        <f t="array" ref="M1202">IFERROR(INDEX(EXCEPCIONES_FECHA!$D$2:$D$201,MATCH(1,(EXCEPCIONES_FECHA!$A$2:$A$201=$A1202)*(EXCEPCIONES_FECHA!$B$2:$B$201=$B1202),0)),IFERROR(INDEX(EXCEPCIONES_FECHA!$D$2:$D$201,MATCH(1,(EXCEPCIONES_FECHA!$A$2:$A$201=$A1202)*(EXCEPCIONES_FECHA!$B$2:$B$201=""),0)),IFERROR(INDEX(IF($I1202="FIN",HISTORIAL_HORARIOS!$J$2:$J$201,HISTORIAL_HORARIOS!$F$2:$F$201),MATCH(1,(HISTORIAL_HORARIOS!$A$2:$A$201=$B1202)*(HISTORIAL_HORARIOS!$C$2:$C$201&lt;=$A1202)*(HISTORIAL_HORARIOS!$D$2:$D$201&gt;=$A1202),0)),INDEX(IF($I1202="FIN",PERSONAL!$J$2:$J$80,PERSONAL!$F$2:$F$80),MATCH($B1202,PERSONAL!$A$2:$A$80,0)))))</f>
        <v/>
      </c>
      <c r="N1202" s="53">
        <f t="array" ref="N1202">IFERROR(INDEX(EXCEPCIONES_FECHA!$E$2:$E$201,MATCH(1,(EXCEPCIONES_FECHA!$A$2:$A$201=$A1202)*(EXCEPCIONES_FECHA!$B$2:$B$201=$B1202),0)),IFERROR(INDEX(EXCEPCIONES_FECHA!$E$2:$E$201,MATCH(1,(EXCEPCIONES_FECHA!$A$2:$A$201=$A1202)*(EXCEPCIONES_FECHA!$B$2:$B$201=""),0)),IFERROR(INDEX(IF($I1202="FIN",HISTORIAL_HORARIOS!$K$2:$K$201,HISTORIAL_HORARIOS!$G$2:$G$201),MATCH(1,(HISTORIAL_HORARIOS!$A$2:$A$201=$B1202)*(HISTORIAL_HORARIOS!$C$2:$C$201&lt;=$A1202)*(HISTORIAL_HORARIOS!$D$2:$D$201&gt;=$A1202),0)),INDEX(IF($I1202="FIN",PERSONAL!$K$2:$K$80,PERSONAL!$G$2:$G$80),MATCH($B1202,PERSONAL!$A$2:$A$80,0)))))</f>
        <v/>
      </c>
      <c r="O1202" s="53">
        <f t="array" ref="O1202">IFERROR(INDEX(EXCEPCIONES_FECHA!$F$2:$F$201,MATCH(1,(EXCEPCIONES_FECHA!$A$2:$A$201=$A1202)*(EXCEPCIONES_FECHA!$B$2:$B$201=$B1202),0)),IFERROR(INDEX(EXCEPCIONES_FECHA!$F$2:$F$201,MATCH(1,(EXCEPCIONES_FECHA!$A$2:$A$201=$A1202)*(EXCEPCIONES_FECHA!$B$2:$B$201=""),0)),IFERROR(INDEX(IF($I1202="FIN",HISTORIAL_HORARIOS!$L$2:$L$201,HISTORIAL_HORARIOS!$H$2:$H$201),MATCH(1,(HISTORIAL_HORARIOS!$A$2:$A$201=$B1202)*(HISTORIAL_HORARIOS!$C$2:$C$201&lt;=$A1202)*(HISTORIAL_HORARIOS!$D$2:$D$201&gt;=$A1202),0)),INDEX(IF($I1202="FIN",PERSONAL!$L$2:$L$80,PERSONAL!$H$2:$H$80),MATCH($B1202,PERSONAL!$A$2:$A$80,0)))))</f>
        <v/>
      </c>
    </row>
    <row r="1203" ht="15" customHeight="1" s="58">
      <c r="A1203" s="40" t="n"/>
      <c r="B1203" s="38" t="n"/>
      <c r="C1203" s="40" t="n"/>
      <c r="D1203" s="40" t="n"/>
      <c r="E1203" s="34">
        <f t="array" ref="E1203">IF($B1203="","",IFERROR(INDEX(PERSONAL!$B$2:$B$80,MATCH($B1203,PERSONAL!$A$2:$A$80,0)),"NO EXISTE"))</f>
        <v/>
      </c>
      <c r="F1203" s="34">
        <f t="array" ref="F1203">IF($B1203="","",IFERROR(INDEX(PERSONAL!$C$2:$C$80,MATCH($B1203,PERSONAL!$A$2:$A$80,0)),""))</f>
        <v/>
      </c>
      <c r="G1203" s="34">
        <f>IF($A1203="","",CHOOSE(WEEKDAY($A1203,2),"LUNES","MARTES","MIÉRCOLES","JUEVES","VIERNES","SÁBADO","DOMINGO"))</f>
        <v/>
      </c>
      <c r="H1203" s="34">
        <f>IF($A1203="","",CHOOSE(MONTH($A1203),"ENERO","FEBRERO","MARZO","ABRIL","MAYO","JUNIO","JULIO","AGOSTO","SEPTIEMBRE","OCTUBRE","NOVIEMBRE","DICIEMBRE"))</f>
        <v/>
      </c>
      <c r="I1203" s="34">
        <f>IF($A1203="","",IF(OR($G1203="SÁBADO",$G1203="DOMINGO"),"FIN","LV"))</f>
        <v/>
      </c>
      <c r="J1203" s="34">
        <f>IF(OR($A1203="",$B1203=""),"",IF($L1203&lt;&gt;"",UPPER($L1203),IF($C1203="","FALTA",IFERROR(IF($C1203&gt;=$O1203,"ROJO FUERTE",IF($C1203&gt;=$N1203,"ROJO",IF($C1203&gt;=$M1203,"AMARILLO","VERDE"))),"REVISAR"))))</f>
        <v/>
      </c>
      <c r="K1203" s="36">
        <f>IF(OR($C1203="",$D1203=""),"",IF($D1203&gt;=$C1203,($D1203-$C1203)*24,(1-$C1203+$D1203)*24))</f>
        <v/>
      </c>
      <c r="L1203" s="34" t="n"/>
      <c r="M1203" s="53">
        <f t="array" ref="M1203">IFERROR(INDEX(EXCEPCIONES_FECHA!$D$2:$D$201,MATCH(1,(EXCEPCIONES_FECHA!$A$2:$A$201=$A1203)*(EXCEPCIONES_FECHA!$B$2:$B$201=$B1203),0)),IFERROR(INDEX(EXCEPCIONES_FECHA!$D$2:$D$201,MATCH(1,(EXCEPCIONES_FECHA!$A$2:$A$201=$A1203)*(EXCEPCIONES_FECHA!$B$2:$B$201=""),0)),IFERROR(INDEX(IF($I1203="FIN",HISTORIAL_HORARIOS!$J$2:$J$201,HISTORIAL_HORARIOS!$F$2:$F$201),MATCH(1,(HISTORIAL_HORARIOS!$A$2:$A$201=$B1203)*(HISTORIAL_HORARIOS!$C$2:$C$201&lt;=$A1203)*(HISTORIAL_HORARIOS!$D$2:$D$201&gt;=$A1203),0)),INDEX(IF($I1203="FIN",PERSONAL!$J$2:$J$80,PERSONAL!$F$2:$F$80),MATCH($B1203,PERSONAL!$A$2:$A$80,0)))))</f>
        <v/>
      </c>
      <c r="N1203" s="53">
        <f t="array" ref="N1203">IFERROR(INDEX(EXCEPCIONES_FECHA!$E$2:$E$201,MATCH(1,(EXCEPCIONES_FECHA!$A$2:$A$201=$A1203)*(EXCEPCIONES_FECHA!$B$2:$B$201=$B1203),0)),IFERROR(INDEX(EXCEPCIONES_FECHA!$E$2:$E$201,MATCH(1,(EXCEPCIONES_FECHA!$A$2:$A$201=$A1203)*(EXCEPCIONES_FECHA!$B$2:$B$201=""),0)),IFERROR(INDEX(IF($I1203="FIN",HISTORIAL_HORARIOS!$K$2:$K$201,HISTORIAL_HORARIOS!$G$2:$G$201),MATCH(1,(HISTORIAL_HORARIOS!$A$2:$A$201=$B1203)*(HISTORIAL_HORARIOS!$C$2:$C$201&lt;=$A1203)*(HISTORIAL_HORARIOS!$D$2:$D$201&gt;=$A1203),0)),INDEX(IF($I1203="FIN",PERSONAL!$K$2:$K$80,PERSONAL!$G$2:$G$80),MATCH($B1203,PERSONAL!$A$2:$A$80,0)))))</f>
        <v/>
      </c>
      <c r="O1203" s="53">
        <f t="array" ref="O1203">IFERROR(INDEX(EXCEPCIONES_FECHA!$F$2:$F$201,MATCH(1,(EXCEPCIONES_FECHA!$A$2:$A$201=$A1203)*(EXCEPCIONES_FECHA!$B$2:$B$201=$B1203),0)),IFERROR(INDEX(EXCEPCIONES_FECHA!$F$2:$F$201,MATCH(1,(EXCEPCIONES_FECHA!$A$2:$A$201=$A1203)*(EXCEPCIONES_FECHA!$B$2:$B$201=""),0)),IFERROR(INDEX(IF($I1203="FIN",HISTORIAL_HORARIOS!$L$2:$L$201,HISTORIAL_HORARIOS!$H$2:$H$201),MATCH(1,(HISTORIAL_HORARIOS!$A$2:$A$201=$B1203)*(HISTORIAL_HORARIOS!$C$2:$C$201&lt;=$A1203)*(HISTORIAL_HORARIOS!$D$2:$D$201&gt;=$A1203),0)),INDEX(IF($I1203="FIN",PERSONAL!$L$2:$L$80,PERSONAL!$H$2:$H$80),MATCH($B1203,PERSONAL!$A$2:$A$80,0)))))</f>
        <v/>
      </c>
    </row>
    <row r="1204" ht="15" customHeight="1" s="58">
      <c r="A1204" s="40" t="n"/>
      <c r="B1204" s="38" t="n"/>
      <c r="C1204" s="40" t="n"/>
      <c r="D1204" s="40" t="n"/>
      <c r="E1204" s="34">
        <f t="array" ref="E1204">IF($B1204="","",IFERROR(INDEX(PERSONAL!$B$2:$B$80,MATCH($B1204,PERSONAL!$A$2:$A$80,0)),"NO EXISTE"))</f>
        <v/>
      </c>
      <c r="F1204" s="34">
        <f t="array" ref="F1204">IF($B1204="","",IFERROR(INDEX(PERSONAL!$C$2:$C$80,MATCH($B1204,PERSONAL!$A$2:$A$80,0)),""))</f>
        <v/>
      </c>
      <c r="G1204" s="34">
        <f>IF($A1204="","",CHOOSE(WEEKDAY($A1204,2),"LUNES","MARTES","MIÉRCOLES","JUEVES","VIERNES","SÁBADO","DOMINGO"))</f>
        <v/>
      </c>
      <c r="H1204" s="34">
        <f>IF($A1204="","",CHOOSE(MONTH($A1204),"ENERO","FEBRERO","MARZO","ABRIL","MAYO","JUNIO","JULIO","AGOSTO","SEPTIEMBRE","OCTUBRE","NOVIEMBRE","DICIEMBRE"))</f>
        <v/>
      </c>
      <c r="I1204" s="34">
        <f>IF($A1204="","",IF(OR($G1204="SÁBADO",$G1204="DOMINGO"),"FIN","LV"))</f>
        <v/>
      </c>
      <c r="J1204" s="34">
        <f>IF(OR($A1204="",$B1204=""),"",IF($L1204&lt;&gt;"",UPPER($L1204),IF($C1204="","FALTA",IFERROR(IF($C1204&gt;=$O1204,"ROJO FUERTE",IF($C1204&gt;=$N1204,"ROJO",IF($C1204&gt;=$M1204,"AMARILLO","VERDE"))),"REVISAR"))))</f>
        <v/>
      </c>
      <c r="K1204" s="36">
        <f>IF(OR($C1204="",$D1204=""),"",IF($D1204&gt;=$C1204,($D1204-$C1204)*24,(1-$C1204+$D1204)*24))</f>
        <v/>
      </c>
      <c r="L1204" s="34" t="n"/>
      <c r="M1204" s="53">
        <f t="array" ref="M1204">IFERROR(INDEX(EXCEPCIONES_FECHA!$D$2:$D$201,MATCH(1,(EXCEPCIONES_FECHA!$A$2:$A$201=$A1204)*(EXCEPCIONES_FECHA!$B$2:$B$201=$B1204),0)),IFERROR(INDEX(EXCEPCIONES_FECHA!$D$2:$D$201,MATCH(1,(EXCEPCIONES_FECHA!$A$2:$A$201=$A1204)*(EXCEPCIONES_FECHA!$B$2:$B$201=""),0)),IFERROR(INDEX(IF($I1204="FIN",HISTORIAL_HORARIOS!$J$2:$J$201,HISTORIAL_HORARIOS!$F$2:$F$201),MATCH(1,(HISTORIAL_HORARIOS!$A$2:$A$201=$B1204)*(HISTORIAL_HORARIOS!$C$2:$C$201&lt;=$A1204)*(HISTORIAL_HORARIOS!$D$2:$D$201&gt;=$A1204),0)),INDEX(IF($I1204="FIN",PERSONAL!$J$2:$J$80,PERSONAL!$F$2:$F$80),MATCH($B1204,PERSONAL!$A$2:$A$80,0)))))</f>
        <v/>
      </c>
      <c r="N1204" s="53">
        <f t="array" ref="N1204">IFERROR(INDEX(EXCEPCIONES_FECHA!$E$2:$E$201,MATCH(1,(EXCEPCIONES_FECHA!$A$2:$A$201=$A1204)*(EXCEPCIONES_FECHA!$B$2:$B$201=$B1204),0)),IFERROR(INDEX(EXCEPCIONES_FECHA!$E$2:$E$201,MATCH(1,(EXCEPCIONES_FECHA!$A$2:$A$201=$A1204)*(EXCEPCIONES_FECHA!$B$2:$B$201=""),0)),IFERROR(INDEX(IF($I1204="FIN",HISTORIAL_HORARIOS!$K$2:$K$201,HISTORIAL_HORARIOS!$G$2:$G$201),MATCH(1,(HISTORIAL_HORARIOS!$A$2:$A$201=$B1204)*(HISTORIAL_HORARIOS!$C$2:$C$201&lt;=$A1204)*(HISTORIAL_HORARIOS!$D$2:$D$201&gt;=$A1204),0)),INDEX(IF($I1204="FIN",PERSONAL!$K$2:$K$80,PERSONAL!$G$2:$G$80),MATCH($B1204,PERSONAL!$A$2:$A$80,0)))))</f>
        <v/>
      </c>
      <c r="O1204" s="53">
        <f t="array" ref="O1204">IFERROR(INDEX(EXCEPCIONES_FECHA!$F$2:$F$201,MATCH(1,(EXCEPCIONES_FECHA!$A$2:$A$201=$A1204)*(EXCEPCIONES_FECHA!$B$2:$B$201=$B1204),0)),IFERROR(INDEX(EXCEPCIONES_FECHA!$F$2:$F$201,MATCH(1,(EXCEPCIONES_FECHA!$A$2:$A$201=$A1204)*(EXCEPCIONES_FECHA!$B$2:$B$201=""),0)),IFERROR(INDEX(IF($I1204="FIN",HISTORIAL_HORARIOS!$L$2:$L$201,HISTORIAL_HORARIOS!$H$2:$H$201),MATCH(1,(HISTORIAL_HORARIOS!$A$2:$A$201=$B1204)*(HISTORIAL_HORARIOS!$C$2:$C$201&lt;=$A1204)*(HISTORIAL_HORARIOS!$D$2:$D$201&gt;=$A1204),0)),INDEX(IF($I1204="FIN",PERSONAL!$L$2:$L$80,PERSONAL!$H$2:$H$80),MATCH($B1204,PERSONAL!$A$2:$A$80,0)))))</f>
        <v/>
      </c>
    </row>
    <row r="1205" ht="15" customHeight="1" s="58">
      <c r="A1205" s="40" t="n"/>
      <c r="B1205" s="38" t="n"/>
      <c r="C1205" s="40" t="n"/>
      <c r="D1205" s="40" t="n"/>
      <c r="E1205" s="34">
        <f t="array" ref="E1205">IF($B1205="","",IFERROR(INDEX(PERSONAL!$B$2:$B$80,MATCH($B1205,PERSONAL!$A$2:$A$80,0)),"NO EXISTE"))</f>
        <v/>
      </c>
      <c r="F1205" s="34">
        <f t="array" ref="F1205">IF($B1205="","",IFERROR(INDEX(PERSONAL!$C$2:$C$80,MATCH($B1205,PERSONAL!$A$2:$A$80,0)),""))</f>
        <v/>
      </c>
      <c r="G1205" s="34">
        <f>IF($A1205="","",CHOOSE(WEEKDAY($A1205,2),"LUNES","MARTES","MIÉRCOLES","JUEVES","VIERNES","SÁBADO","DOMINGO"))</f>
        <v/>
      </c>
      <c r="H1205" s="34">
        <f>IF($A1205="","",CHOOSE(MONTH($A1205),"ENERO","FEBRERO","MARZO","ABRIL","MAYO","JUNIO","JULIO","AGOSTO","SEPTIEMBRE","OCTUBRE","NOVIEMBRE","DICIEMBRE"))</f>
        <v/>
      </c>
      <c r="I1205" s="34">
        <f>IF($A1205="","",IF(OR($G1205="SÁBADO",$G1205="DOMINGO"),"FIN","LV"))</f>
        <v/>
      </c>
      <c r="J1205" s="34">
        <f>IF(OR($A1205="",$B1205=""),"",IF($L1205&lt;&gt;"",UPPER($L1205),IF($C1205="","FALTA",IFERROR(IF($C1205&gt;=$O1205,"ROJO FUERTE",IF($C1205&gt;=$N1205,"ROJO",IF($C1205&gt;=$M1205,"AMARILLO","VERDE"))),"REVISAR"))))</f>
        <v/>
      </c>
      <c r="K1205" s="36">
        <f>IF(OR($C1205="",$D1205=""),"",IF($D1205&gt;=$C1205,($D1205-$C1205)*24,(1-$C1205+$D1205)*24))</f>
        <v/>
      </c>
      <c r="L1205" s="34" t="n"/>
      <c r="M1205" s="53">
        <f t="array" ref="M1205">IFERROR(INDEX(EXCEPCIONES_FECHA!$D$2:$D$201,MATCH(1,(EXCEPCIONES_FECHA!$A$2:$A$201=$A1205)*(EXCEPCIONES_FECHA!$B$2:$B$201=$B1205),0)),IFERROR(INDEX(EXCEPCIONES_FECHA!$D$2:$D$201,MATCH(1,(EXCEPCIONES_FECHA!$A$2:$A$201=$A1205)*(EXCEPCIONES_FECHA!$B$2:$B$201=""),0)),IFERROR(INDEX(IF($I1205="FIN",HISTORIAL_HORARIOS!$J$2:$J$201,HISTORIAL_HORARIOS!$F$2:$F$201),MATCH(1,(HISTORIAL_HORARIOS!$A$2:$A$201=$B1205)*(HISTORIAL_HORARIOS!$C$2:$C$201&lt;=$A1205)*(HISTORIAL_HORARIOS!$D$2:$D$201&gt;=$A1205),0)),INDEX(IF($I1205="FIN",PERSONAL!$J$2:$J$80,PERSONAL!$F$2:$F$80),MATCH($B1205,PERSONAL!$A$2:$A$80,0)))))</f>
        <v/>
      </c>
      <c r="N1205" s="53">
        <f t="array" ref="N1205">IFERROR(INDEX(EXCEPCIONES_FECHA!$E$2:$E$201,MATCH(1,(EXCEPCIONES_FECHA!$A$2:$A$201=$A1205)*(EXCEPCIONES_FECHA!$B$2:$B$201=$B1205),0)),IFERROR(INDEX(EXCEPCIONES_FECHA!$E$2:$E$201,MATCH(1,(EXCEPCIONES_FECHA!$A$2:$A$201=$A1205)*(EXCEPCIONES_FECHA!$B$2:$B$201=""),0)),IFERROR(INDEX(IF($I1205="FIN",HISTORIAL_HORARIOS!$K$2:$K$201,HISTORIAL_HORARIOS!$G$2:$G$201),MATCH(1,(HISTORIAL_HORARIOS!$A$2:$A$201=$B1205)*(HISTORIAL_HORARIOS!$C$2:$C$201&lt;=$A1205)*(HISTORIAL_HORARIOS!$D$2:$D$201&gt;=$A1205),0)),INDEX(IF($I1205="FIN",PERSONAL!$K$2:$K$80,PERSONAL!$G$2:$G$80),MATCH($B1205,PERSONAL!$A$2:$A$80,0)))))</f>
        <v/>
      </c>
      <c r="O1205" s="53">
        <f t="array" ref="O1205">IFERROR(INDEX(EXCEPCIONES_FECHA!$F$2:$F$201,MATCH(1,(EXCEPCIONES_FECHA!$A$2:$A$201=$A1205)*(EXCEPCIONES_FECHA!$B$2:$B$201=$B1205),0)),IFERROR(INDEX(EXCEPCIONES_FECHA!$F$2:$F$201,MATCH(1,(EXCEPCIONES_FECHA!$A$2:$A$201=$A1205)*(EXCEPCIONES_FECHA!$B$2:$B$201=""),0)),IFERROR(INDEX(IF($I1205="FIN",HISTORIAL_HORARIOS!$L$2:$L$201,HISTORIAL_HORARIOS!$H$2:$H$201),MATCH(1,(HISTORIAL_HORARIOS!$A$2:$A$201=$B1205)*(HISTORIAL_HORARIOS!$C$2:$C$201&lt;=$A1205)*(HISTORIAL_HORARIOS!$D$2:$D$201&gt;=$A1205),0)),INDEX(IF($I1205="FIN",PERSONAL!$L$2:$L$80,PERSONAL!$H$2:$H$80),MATCH($B1205,PERSONAL!$A$2:$A$80,0)))))</f>
        <v/>
      </c>
    </row>
    <row r="1206" ht="15" customHeight="1" s="58">
      <c r="A1206" s="40" t="n"/>
      <c r="B1206" s="38" t="n"/>
      <c r="C1206" s="40" t="n"/>
      <c r="D1206" s="40" t="n"/>
      <c r="E1206" s="34">
        <f t="array" ref="E1206">IF($B1206="","",IFERROR(INDEX(PERSONAL!$B$2:$B$80,MATCH($B1206,PERSONAL!$A$2:$A$80,0)),"NO EXISTE"))</f>
        <v/>
      </c>
      <c r="F1206" s="34">
        <f t="array" ref="F1206">IF($B1206="","",IFERROR(INDEX(PERSONAL!$C$2:$C$80,MATCH($B1206,PERSONAL!$A$2:$A$80,0)),""))</f>
        <v/>
      </c>
      <c r="G1206" s="34">
        <f>IF($A1206="","",CHOOSE(WEEKDAY($A1206,2),"LUNES","MARTES","MIÉRCOLES","JUEVES","VIERNES","SÁBADO","DOMINGO"))</f>
        <v/>
      </c>
      <c r="H1206" s="34">
        <f>IF($A1206="","",CHOOSE(MONTH($A1206),"ENERO","FEBRERO","MARZO","ABRIL","MAYO","JUNIO","JULIO","AGOSTO","SEPTIEMBRE","OCTUBRE","NOVIEMBRE","DICIEMBRE"))</f>
        <v/>
      </c>
      <c r="I1206" s="34">
        <f>IF($A1206="","",IF(OR($G1206="SÁBADO",$G1206="DOMINGO"),"FIN","LV"))</f>
        <v/>
      </c>
      <c r="J1206" s="34">
        <f>IF(OR($A1206="",$B1206=""),"",IF($L1206&lt;&gt;"",UPPER($L1206),IF($C1206="","FALTA",IFERROR(IF($C1206&gt;=$O1206,"ROJO FUERTE",IF($C1206&gt;=$N1206,"ROJO",IF($C1206&gt;=$M1206,"AMARILLO","VERDE"))),"REVISAR"))))</f>
        <v/>
      </c>
      <c r="K1206" s="36">
        <f>IF(OR($C1206="",$D1206=""),"",IF($D1206&gt;=$C1206,($D1206-$C1206)*24,(1-$C1206+$D1206)*24))</f>
        <v/>
      </c>
      <c r="L1206" s="34" t="n"/>
      <c r="M1206" s="53">
        <f t="array" ref="M1206">IFERROR(INDEX(EXCEPCIONES_FECHA!$D$2:$D$201,MATCH(1,(EXCEPCIONES_FECHA!$A$2:$A$201=$A1206)*(EXCEPCIONES_FECHA!$B$2:$B$201=$B1206),0)),IFERROR(INDEX(EXCEPCIONES_FECHA!$D$2:$D$201,MATCH(1,(EXCEPCIONES_FECHA!$A$2:$A$201=$A1206)*(EXCEPCIONES_FECHA!$B$2:$B$201=""),0)),IFERROR(INDEX(IF($I1206="FIN",HISTORIAL_HORARIOS!$J$2:$J$201,HISTORIAL_HORARIOS!$F$2:$F$201),MATCH(1,(HISTORIAL_HORARIOS!$A$2:$A$201=$B1206)*(HISTORIAL_HORARIOS!$C$2:$C$201&lt;=$A1206)*(HISTORIAL_HORARIOS!$D$2:$D$201&gt;=$A1206),0)),INDEX(IF($I1206="FIN",PERSONAL!$J$2:$J$80,PERSONAL!$F$2:$F$80),MATCH($B1206,PERSONAL!$A$2:$A$80,0)))))</f>
        <v/>
      </c>
      <c r="N1206" s="53">
        <f t="array" ref="N1206">IFERROR(INDEX(EXCEPCIONES_FECHA!$E$2:$E$201,MATCH(1,(EXCEPCIONES_FECHA!$A$2:$A$201=$A1206)*(EXCEPCIONES_FECHA!$B$2:$B$201=$B1206),0)),IFERROR(INDEX(EXCEPCIONES_FECHA!$E$2:$E$201,MATCH(1,(EXCEPCIONES_FECHA!$A$2:$A$201=$A1206)*(EXCEPCIONES_FECHA!$B$2:$B$201=""),0)),IFERROR(INDEX(IF($I1206="FIN",HISTORIAL_HORARIOS!$K$2:$K$201,HISTORIAL_HORARIOS!$G$2:$G$201),MATCH(1,(HISTORIAL_HORARIOS!$A$2:$A$201=$B1206)*(HISTORIAL_HORARIOS!$C$2:$C$201&lt;=$A1206)*(HISTORIAL_HORARIOS!$D$2:$D$201&gt;=$A1206),0)),INDEX(IF($I1206="FIN",PERSONAL!$K$2:$K$80,PERSONAL!$G$2:$G$80),MATCH($B1206,PERSONAL!$A$2:$A$80,0)))))</f>
        <v/>
      </c>
      <c r="O1206" s="53">
        <f t="array" ref="O1206">IFERROR(INDEX(EXCEPCIONES_FECHA!$F$2:$F$201,MATCH(1,(EXCEPCIONES_FECHA!$A$2:$A$201=$A1206)*(EXCEPCIONES_FECHA!$B$2:$B$201=$B1206),0)),IFERROR(INDEX(EXCEPCIONES_FECHA!$F$2:$F$201,MATCH(1,(EXCEPCIONES_FECHA!$A$2:$A$201=$A1206)*(EXCEPCIONES_FECHA!$B$2:$B$201=""),0)),IFERROR(INDEX(IF($I1206="FIN",HISTORIAL_HORARIOS!$L$2:$L$201,HISTORIAL_HORARIOS!$H$2:$H$201),MATCH(1,(HISTORIAL_HORARIOS!$A$2:$A$201=$B1206)*(HISTORIAL_HORARIOS!$C$2:$C$201&lt;=$A1206)*(HISTORIAL_HORARIOS!$D$2:$D$201&gt;=$A1206),0)),INDEX(IF($I1206="FIN",PERSONAL!$L$2:$L$80,PERSONAL!$H$2:$H$80),MATCH($B1206,PERSONAL!$A$2:$A$80,0)))))</f>
        <v/>
      </c>
    </row>
    <row r="1207" ht="15" customHeight="1" s="58">
      <c r="A1207" s="40" t="n"/>
      <c r="B1207" s="38" t="n"/>
      <c r="C1207" s="40" t="n"/>
      <c r="D1207" s="40" t="n"/>
      <c r="E1207" s="34">
        <f t="array" ref="E1207">IF($B1207="","",IFERROR(INDEX(PERSONAL!$B$2:$B$80,MATCH($B1207,PERSONAL!$A$2:$A$80,0)),"NO EXISTE"))</f>
        <v/>
      </c>
      <c r="F1207" s="34">
        <f t="array" ref="F1207">IF($B1207="","",IFERROR(INDEX(PERSONAL!$C$2:$C$80,MATCH($B1207,PERSONAL!$A$2:$A$80,0)),""))</f>
        <v/>
      </c>
      <c r="G1207" s="34">
        <f>IF($A1207="","",CHOOSE(WEEKDAY($A1207,2),"LUNES","MARTES","MIÉRCOLES","JUEVES","VIERNES","SÁBADO","DOMINGO"))</f>
        <v/>
      </c>
      <c r="H1207" s="34">
        <f>IF($A1207="","",CHOOSE(MONTH($A1207),"ENERO","FEBRERO","MARZO","ABRIL","MAYO","JUNIO","JULIO","AGOSTO","SEPTIEMBRE","OCTUBRE","NOVIEMBRE","DICIEMBRE"))</f>
        <v/>
      </c>
      <c r="I1207" s="34">
        <f>IF($A1207="","",IF(OR($G1207="SÁBADO",$G1207="DOMINGO"),"FIN","LV"))</f>
        <v/>
      </c>
      <c r="J1207" s="34">
        <f>IF(OR($A1207="",$B1207=""),"",IF($L1207&lt;&gt;"",UPPER($L1207),IF($C1207="","FALTA",IFERROR(IF($C1207&gt;=$O1207,"ROJO FUERTE",IF($C1207&gt;=$N1207,"ROJO",IF($C1207&gt;=$M1207,"AMARILLO","VERDE"))),"REVISAR"))))</f>
        <v/>
      </c>
      <c r="K1207" s="36">
        <f>IF(OR($C1207="",$D1207=""),"",IF($D1207&gt;=$C1207,($D1207-$C1207)*24,(1-$C1207+$D1207)*24))</f>
        <v/>
      </c>
      <c r="L1207" s="34" t="n"/>
      <c r="M1207" s="53">
        <f t="array" ref="M1207">IFERROR(INDEX(EXCEPCIONES_FECHA!$D$2:$D$201,MATCH(1,(EXCEPCIONES_FECHA!$A$2:$A$201=$A1207)*(EXCEPCIONES_FECHA!$B$2:$B$201=$B1207),0)),IFERROR(INDEX(EXCEPCIONES_FECHA!$D$2:$D$201,MATCH(1,(EXCEPCIONES_FECHA!$A$2:$A$201=$A1207)*(EXCEPCIONES_FECHA!$B$2:$B$201=""),0)),IFERROR(INDEX(IF($I1207="FIN",HISTORIAL_HORARIOS!$J$2:$J$201,HISTORIAL_HORARIOS!$F$2:$F$201),MATCH(1,(HISTORIAL_HORARIOS!$A$2:$A$201=$B1207)*(HISTORIAL_HORARIOS!$C$2:$C$201&lt;=$A1207)*(HISTORIAL_HORARIOS!$D$2:$D$201&gt;=$A1207),0)),INDEX(IF($I1207="FIN",PERSONAL!$J$2:$J$80,PERSONAL!$F$2:$F$80),MATCH($B1207,PERSONAL!$A$2:$A$80,0)))))</f>
        <v/>
      </c>
      <c r="N1207" s="53">
        <f t="array" ref="N1207">IFERROR(INDEX(EXCEPCIONES_FECHA!$E$2:$E$201,MATCH(1,(EXCEPCIONES_FECHA!$A$2:$A$201=$A1207)*(EXCEPCIONES_FECHA!$B$2:$B$201=$B1207),0)),IFERROR(INDEX(EXCEPCIONES_FECHA!$E$2:$E$201,MATCH(1,(EXCEPCIONES_FECHA!$A$2:$A$201=$A1207)*(EXCEPCIONES_FECHA!$B$2:$B$201=""),0)),IFERROR(INDEX(IF($I1207="FIN",HISTORIAL_HORARIOS!$K$2:$K$201,HISTORIAL_HORARIOS!$G$2:$G$201),MATCH(1,(HISTORIAL_HORARIOS!$A$2:$A$201=$B1207)*(HISTORIAL_HORARIOS!$C$2:$C$201&lt;=$A1207)*(HISTORIAL_HORARIOS!$D$2:$D$201&gt;=$A1207),0)),INDEX(IF($I1207="FIN",PERSONAL!$K$2:$K$80,PERSONAL!$G$2:$G$80),MATCH($B1207,PERSONAL!$A$2:$A$80,0)))))</f>
        <v/>
      </c>
      <c r="O1207" s="53">
        <f t="array" ref="O1207">IFERROR(INDEX(EXCEPCIONES_FECHA!$F$2:$F$201,MATCH(1,(EXCEPCIONES_FECHA!$A$2:$A$201=$A1207)*(EXCEPCIONES_FECHA!$B$2:$B$201=$B1207),0)),IFERROR(INDEX(EXCEPCIONES_FECHA!$F$2:$F$201,MATCH(1,(EXCEPCIONES_FECHA!$A$2:$A$201=$A1207)*(EXCEPCIONES_FECHA!$B$2:$B$201=""),0)),IFERROR(INDEX(IF($I1207="FIN",HISTORIAL_HORARIOS!$L$2:$L$201,HISTORIAL_HORARIOS!$H$2:$H$201),MATCH(1,(HISTORIAL_HORARIOS!$A$2:$A$201=$B1207)*(HISTORIAL_HORARIOS!$C$2:$C$201&lt;=$A1207)*(HISTORIAL_HORARIOS!$D$2:$D$201&gt;=$A1207),0)),INDEX(IF($I1207="FIN",PERSONAL!$L$2:$L$80,PERSONAL!$H$2:$H$80),MATCH($B1207,PERSONAL!$A$2:$A$80,0)))))</f>
        <v/>
      </c>
    </row>
    <row r="1208" ht="15" customHeight="1" s="58">
      <c r="A1208" s="40" t="n"/>
      <c r="B1208" s="38" t="n"/>
      <c r="C1208" s="40" t="n"/>
      <c r="D1208" s="40" t="n"/>
      <c r="E1208" s="34">
        <f t="array" ref="E1208">IF($B1208="","",IFERROR(INDEX(PERSONAL!$B$2:$B$80,MATCH($B1208,PERSONAL!$A$2:$A$80,0)),"NO EXISTE"))</f>
        <v/>
      </c>
      <c r="F1208" s="34">
        <f t="array" ref="F1208">IF($B1208="","",IFERROR(INDEX(PERSONAL!$C$2:$C$80,MATCH($B1208,PERSONAL!$A$2:$A$80,0)),""))</f>
        <v/>
      </c>
      <c r="G1208" s="34">
        <f>IF($A1208="","",CHOOSE(WEEKDAY($A1208,2),"LUNES","MARTES","MIÉRCOLES","JUEVES","VIERNES","SÁBADO","DOMINGO"))</f>
        <v/>
      </c>
      <c r="H1208" s="34">
        <f>IF($A1208="","",CHOOSE(MONTH($A1208),"ENERO","FEBRERO","MARZO","ABRIL","MAYO","JUNIO","JULIO","AGOSTO","SEPTIEMBRE","OCTUBRE","NOVIEMBRE","DICIEMBRE"))</f>
        <v/>
      </c>
      <c r="I1208" s="34">
        <f>IF($A1208="","",IF(OR($G1208="SÁBADO",$G1208="DOMINGO"),"FIN","LV"))</f>
        <v/>
      </c>
      <c r="J1208" s="34">
        <f>IF(OR($A1208="",$B1208=""),"",IF($L1208&lt;&gt;"",UPPER($L1208),IF($C1208="","FALTA",IFERROR(IF($C1208&gt;=$O1208,"ROJO FUERTE",IF($C1208&gt;=$N1208,"ROJO",IF($C1208&gt;=$M1208,"AMARILLO","VERDE"))),"REVISAR"))))</f>
        <v/>
      </c>
      <c r="K1208" s="36">
        <f>IF(OR($C1208="",$D1208=""),"",IF($D1208&gt;=$C1208,($D1208-$C1208)*24,(1-$C1208+$D1208)*24))</f>
        <v/>
      </c>
      <c r="L1208" s="34" t="n"/>
      <c r="M1208" s="53">
        <f t="array" ref="M1208">IFERROR(INDEX(EXCEPCIONES_FECHA!$D$2:$D$201,MATCH(1,(EXCEPCIONES_FECHA!$A$2:$A$201=$A1208)*(EXCEPCIONES_FECHA!$B$2:$B$201=$B1208),0)),IFERROR(INDEX(EXCEPCIONES_FECHA!$D$2:$D$201,MATCH(1,(EXCEPCIONES_FECHA!$A$2:$A$201=$A1208)*(EXCEPCIONES_FECHA!$B$2:$B$201=""),0)),IFERROR(INDEX(IF($I1208="FIN",HISTORIAL_HORARIOS!$J$2:$J$201,HISTORIAL_HORARIOS!$F$2:$F$201),MATCH(1,(HISTORIAL_HORARIOS!$A$2:$A$201=$B1208)*(HISTORIAL_HORARIOS!$C$2:$C$201&lt;=$A1208)*(HISTORIAL_HORARIOS!$D$2:$D$201&gt;=$A1208),0)),INDEX(IF($I1208="FIN",PERSONAL!$J$2:$J$80,PERSONAL!$F$2:$F$80),MATCH($B1208,PERSONAL!$A$2:$A$80,0)))))</f>
        <v/>
      </c>
      <c r="N1208" s="53">
        <f t="array" ref="N1208">IFERROR(INDEX(EXCEPCIONES_FECHA!$E$2:$E$201,MATCH(1,(EXCEPCIONES_FECHA!$A$2:$A$201=$A1208)*(EXCEPCIONES_FECHA!$B$2:$B$201=$B1208),0)),IFERROR(INDEX(EXCEPCIONES_FECHA!$E$2:$E$201,MATCH(1,(EXCEPCIONES_FECHA!$A$2:$A$201=$A1208)*(EXCEPCIONES_FECHA!$B$2:$B$201=""),0)),IFERROR(INDEX(IF($I1208="FIN",HISTORIAL_HORARIOS!$K$2:$K$201,HISTORIAL_HORARIOS!$G$2:$G$201),MATCH(1,(HISTORIAL_HORARIOS!$A$2:$A$201=$B1208)*(HISTORIAL_HORARIOS!$C$2:$C$201&lt;=$A1208)*(HISTORIAL_HORARIOS!$D$2:$D$201&gt;=$A1208),0)),INDEX(IF($I1208="FIN",PERSONAL!$K$2:$K$80,PERSONAL!$G$2:$G$80),MATCH($B1208,PERSONAL!$A$2:$A$80,0)))))</f>
        <v/>
      </c>
      <c r="O1208" s="53">
        <f t="array" ref="O1208">IFERROR(INDEX(EXCEPCIONES_FECHA!$F$2:$F$201,MATCH(1,(EXCEPCIONES_FECHA!$A$2:$A$201=$A1208)*(EXCEPCIONES_FECHA!$B$2:$B$201=$B1208),0)),IFERROR(INDEX(EXCEPCIONES_FECHA!$F$2:$F$201,MATCH(1,(EXCEPCIONES_FECHA!$A$2:$A$201=$A1208)*(EXCEPCIONES_FECHA!$B$2:$B$201=""),0)),IFERROR(INDEX(IF($I1208="FIN",HISTORIAL_HORARIOS!$L$2:$L$201,HISTORIAL_HORARIOS!$H$2:$H$201),MATCH(1,(HISTORIAL_HORARIOS!$A$2:$A$201=$B1208)*(HISTORIAL_HORARIOS!$C$2:$C$201&lt;=$A1208)*(HISTORIAL_HORARIOS!$D$2:$D$201&gt;=$A1208),0)),INDEX(IF($I1208="FIN",PERSONAL!$L$2:$L$80,PERSONAL!$H$2:$H$80),MATCH($B1208,PERSONAL!$A$2:$A$80,0)))))</f>
        <v/>
      </c>
    </row>
    <row r="1209" ht="15" customHeight="1" s="58">
      <c r="A1209" s="40" t="n"/>
      <c r="B1209" s="38" t="n"/>
      <c r="C1209" s="40" t="n"/>
      <c r="D1209" s="40" t="n"/>
      <c r="E1209" s="34">
        <f t="array" ref="E1209">IF($B1209="","",IFERROR(INDEX(PERSONAL!$B$2:$B$80,MATCH($B1209,PERSONAL!$A$2:$A$80,0)),"NO EXISTE"))</f>
        <v/>
      </c>
      <c r="F1209" s="34">
        <f t="array" ref="F1209">IF($B1209="","",IFERROR(INDEX(PERSONAL!$C$2:$C$80,MATCH($B1209,PERSONAL!$A$2:$A$80,0)),""))</f>
        <v/>
      </c>
      <c r="G1209" s="34">
        <f>IF($A1209="","",CHOOSE(WEEKDAY($A1209,2),"LUNES","MARTES","MIÉRCOLES","JUEVES","VIERNES","SÁBADO","DOMINGO"))</f>
        <v/>
      </c>
      <c r="H1209" s="34">
        <f>IF($A1209="","",CHOOSE(MONTH($A1209),"ENERO","FEBRERO","MARZO","ABRIL","MAYO","JUNIO","JULIO","AGOSTO","SEPTIEMBRE","OCTUBRE","NOVIEMBRE","DICIEMBRE"))</f>
        <v/>
      </c>
      <c r="I1209" s="34">
        <f>IF($A1209="","",IF(OR($G1209="SÁBADO",$G1209="DOMINGO"),"FIN","LV"))</f>
        <v/>
      </c>
      <c r="J1209" s="34">
        <f>IF(OR($A1209="",$B1209=""),"",IF($L1209&lt;&gt;"",UPPER($L1209),IF($C1209="","FALTA",IFERROR(IF($C1209&gt;=$O1209,"ROJO FUERTE",IF($C1209&gt;=$N1209,"ROJO",IF($C1209&gt;=$M1209,"AMARILLO","VERDE"))),"REVISAR"))))</f>
        <v/>
      </c>
      <c r="K1209" s="36">
        <f>IF(OR($C1209="",$D1209=""),"",IF($D1209&gt;=$C1209,($D1209-$C1209)*24,(1-$C1209+$D1209)*24))</f>
        <v/>
      </c>
      <c r="L1209" s="34" t="n"/>
      <c r="M1209" s="53">
        <f t="array" ref="M1209">IFERROR(INDEX(EXCEPCIONES_FECHA!$D$2:$D$201,MATCH(1,(EXCEPCIONES_FECHA!$A$2:$A$201=$A1209)*(EXCEPCIONES_FECHA!$B$2:$B$201=$B1209),0)),IFERROR(INDEX(EXCEPCIONES_FECHA!$D$2:$D$201,MATCH(1,(EXCEPCIONES_FECHA!$A$2:$A$201=$A1209)*(EXCEPCIONES_FECHA!$B$2:$B$201=""),0)),IFERROR(INDEX(IF($I1209="FIN",HISTORIAL_HORARIOS!$J$2:$J$201,HISTORIAL_HORARIOS!$F$2:$F$201),MATCH(1,(HISTORIAL_HORARIOS!$A$2:$A$201=$B1209)*(HISTORIAL_HORARIOS!$C$2:$C$201&lt;=$A1209)*(HISTORIAL_HORARIOS!$D$2:$D$201&gt;=$A1209),0)),INDEX(IF($I1209="FIN",PERSONAL!$J$2:$J$80,PERSONAL!$F$2:$F$80),MATCH($B1209,PERSONAL!$A$2:$A$80,0)))))</f>
        <v/>
      </c>
      <c r="N1209" s="53">
        <f t="array" ref="N1209">IFERROR(INDEX(EXCEPCIONES_FECHA!$E$2:$E$201,MATCH(1,(EXCEPCIONES_FECHA!$A$2:$A$201=$A1209)*(EXCEPCIONES_FECHA!$B$2:$B$201=$B1209),0)),IFERROR(INDEX(EXCEPCIONES_FECHA!$E$2:$E$201,MATCH(1,(EXCEPCIONES_FECHA!$A$2:$A$201=$A1209)*(EXCEPCIONES_FECHA!$B$2:$B$201=""),0)),IFERROR(INDEX(IF($I1209="FIN",HISTORIAL_HORARIOS!$K$2:$K$201,HISTORIAL_HORARIOS!$G$2:$G$201),MATCH(1,(HISTORIAL_HORARIOS!$A$2:$A$201=$B1209)*(HISTORIAL_HORARIOS!$C$2:$C$201&lt;=$A1209)*(HISTORIAL_HORARIOS!$D$2:$D$201&gt;=$A1209),0)),INDEX(IF($I1209="FIN",PERSONAL!$K$2:$K$80,PERSONAL!$G$2:$G$80),MATCH($B1209,PERSONAL!$A$2:$A$80,0)))))</f>
        <v/>
      </c>
      <c r="O1209" s="53">
        <f t="array" ref="O1209">IFERROR(INDEX(EXCEPCIONES_FECHA!$F$2:$F$201,MATCH(1,(EXCEPCIONES_FECHA!$A$2:$A$201=$A1209)*(EXCEPCIONES_FECHA!$B$2:$B$201=$B1209),0)),IFERROR(INDEX(EXCEPCIONES_FECHA!$F$2:$F$201,MATCH(1,(EXCEPCIONES_FECHA!$A$2:$A$201=$A1209)*(EXCEPCIONES_FECHA!$B$2:$B$201=""),0)),IFERROR(INDEX(IF($I1209="FIN",HISTORIAL_HORARIOS!$L$2:$L$201,HISTORIAL_HORARIOS!$H$2:$H$201),MATCH(1,(HISTORIAL_HORARIOS!$A$2:$A$201=$B1209)*(HISTORIAL_HORARIOS!$C$2:$C$201&lt;=$A1209)*(HISTORIAL_HORARIOS!$D$2:$D$201&gt;=$A1209),0)),INDEX(IF($I1209="FIN",PERSONAL!$L$2:$L$80,PERSONAL!$H$2:$H$80),MATCH($B1209,PERSONAL!$A$2:$A$80,0)))))</f>
        <v/>
      </c>
    </row>
    <row r="1210" ht="15" customHeight="1" s="58">
      <c r="A1210" s="40" t="n"/>
      <c r="B1210" s="38" t="n"/>
      <c r="C1210" s="40" t="n"/>
      <c r="D1210" s="40" t="n"/>
      <c r="E1210" s="34">
        <f t="array" ref="E1210">IF($B1210="","",IFERROR(INDEX(PERSONAL!$B$2:$B$80,MATCH($B1210,PERSONAL!$A$2:$A$80,0)),"NO EXISTE"))</f>
        <v/>
      </c>
      <c r="F1210" s="34">
        <f t="array" ref="F1210">IF($B1210="","",IFERROR(INDEX(PERSONAL!$C$2:$C$80,MATCH($B1210,PERSONAL!$A$2:$A$80,0)),""))</f>
        <v/>
      </c>
      <c r="G1210" s="34">
        <f>IF($A1210="","",CHOOSE(WEEKDAY($A1210,2),"LUNES","MARTES","MIÉRCOLES","JUEVES","VIERNES","SÁBADO","DOMINGO"))</f>
        <v/>
      </c>
      <c r="H1210" s="34">
        <f>IF($A1210="","",CHOOSE(MONTH($A1210),"ENERO","FEBRERO","MARZO","ABRIL","MAYO","JUNIO","JULIO","AGOSTO","SEPTIEMBRE","OCTUBRE","NOVIEMBRE","DICIEMBRE"))</f>
        <v/>
      </c>
      <c r="I1210" s="34">
        <f>IF($A1210="","",IF(OR($G1210="SÁBADO",$G1210="DOMINGO"),"FIN","LV"))</f>
        <v/>
      </c>
      <c r="J1210" s="34">
        <f>IF(OR($A1210="",$B1210=""),"",IF($L1210&lt;&gt;"",UPPER($L1210),IF($C1210="","FALTA",IFERROR(IF($C1210&gt;=$O1210,"ROJO FUERTE",IF($C1210&gt;=$N1210,"ROJO",IF($C1210&gt;=$M1210,"AMARILLO","VERDE"))),"REVISAR"))))</f>
        <v/>
      </c>
      <c r="K1210" s="36">
        <f>IF(OR($C1210="",$D1210=""),"",IF($D1210&gt;=$C1210,($D1210-$C1210)*24,(1-$C1210+$D1210)*24))</f>
        <v/>
      </c>
      <c r="L1210" s="34" t="n"/>
      <c r="M1210" s="53">
        <f t="array" ref="M1210">IFERROR(INDEX(EXCEPCIONES_FECHA!$D$2:$D$201,MATCH(1,(EXCEPCIONES_FECHA!$A$2:$A$201=$A1210)*(EXCEPCIONES_FECHA!$B$2:$B$201=$B1210),0)),IFERROR(INDEX(EXCEPCIONES_FECHA!$D$2:$D$201,MATCH(1,(EXCEPCIONES_FECHA!$A$2:$A$201=$A1210)*(EXCEPCIONES_FECHA!$B$2:$B$201=""),0)),IFERROR(INDEX(IF($I1210="FIN",HISTORIAL_HORARIOS!$J$2:$J$201,HISTORIAL_HORARIOS!$F$2:$F$201),MATCH(1,(HISTORIAL_HORARIOS!$A$2:$A$201=$B1210)*(HISTORIAL_HORARIOS!$C$2:$C$201&lt;=$A1210)*(HISTORIAL_HORARIOS!$D$2:$D$201&gt;=$A1210),0)),INDEX(IF($I1210="FIN",PERSONAL!$J$2:$J$80,PERSONAL!$F$2:$F$80),MATCH($B1210,PERSONAL!$A$2:$A$80,0)))))</f>
        <v/>
      </c>
      <c r="N1210" s="53">
        <f t="array" ref="N1210">IFERROR(INDEX(EXCEPCIONES_FECHA!$E$2:$E$201,MATCH(1,(EXCEPCIONES_FECHA!$A$2:$A$201=$A1210)*(EXCEPCIONES_FECHA!$B$2:$B$201=$B1210),0)),IFERROR(INDEX(EXCEPCIONES_FECHA!$E$2:$E$201,MATCH(1,(EXCEPCIONES_FECHA!$A$2:$A$201=$A1210)*(EXCEPCIONES_FECHA!$B$2:$B$201=""),0)),IFERROR(INDEX(IF($I1210="FIN",HISTORIAL_HORARIOS!$K$2:$K$201,HISTORIAL_HORARIOS!$G$2:$G$201),MATCH(1,(HISTORIAL_HORARIOS!$A$2:$A$201=$B1210)*(HISTORIAL_HORARIOS!$C$2:$C$201&lt;=$A1210)*(HISTORIAL_HORARIOS!$D$2:$D$201&gt;=$A1210),0)),INDEX(IF($I1210="FIN",PERSONAL!$K$2:$K$80,PERSONAL!$G$2:$G$80),MATCH($B1210,PERSONAL!$A$2:$A$80,0)))))</f>
        <v/>
      </c>
      <c r="O1210" s="53">
        <f t="array" ref="O1210">IFERROR(INDEX(EXCEPCIONES_FECHA!$F$2:$F$201,MATCH(1,(EXCEPCIONES_FECHA!$A$2:$A$201=$A1210)*(EXCEPCIONES_FECHA!$B$2:$B$201=$B1210),0)),IFERROR(INDEX(EXCEPCIONES_FECHA!$F$2:$F$201,MATCH(1,(EXCEPCIONES_FECHA!$A$2:$A$201=$A1210)*(EXCEPCIONES_FECHA!$B$2:$B$201=""),0)),IFERROR(INDEX(IF($I1210="FIN",HISTORIAL_HORARIOS!$L$2:$L$201,HISTORIAL_HORARIOS!$H$2:$H$201),MATCH(1,(HISTORIAL_HORARIOS!$A$2:$A$201=$B1210)*(HISTORIAL_HORARIOS!$C$2:$C$201&lt;=$A1210)*(HISTORIAL_HORARIOS!$D$2:$D$201&gt;=$A1210),0)),INDEX(IF($I1210="FIN",PERSONAL!$L$2:$L$80,PERSONAL!$H$2:$H$80),MATCH($B1210,PERSONAL!$A$2:$A$80,0)))))</f>
        <v/>
      </c>
    </row>
    <row r="1211" ht="15" customHeight="1" s="58">
      <c r="A1211" s="40" t="n"/>
      <c r="B1211" s="38" t="n"/>
      <c r="C1211" s="40" t="n"/>
      <c r="D1211" s="40" t="n"/>
      <c r="E1211" s="34">
        <f t="array" ref="E1211">IF($B1211="","",IFERROR(INDEX(PERSONAL!$B$2:$B$80,MATCH($B1211,PERSONAL!$A$2:$A$80,0)),"NO EXISTE"))</f>
        <v/>
      </c>
      <c r="F1211" s="34">
        <f t="array" ref="F1211">IF($B1211="","",IFERROR(INDEX(PERSONAL!$C$2:$C$80,MATCH($B1211,PERSONAL!$A$2:$A$80,0)),""))</f>
        <v/>
      </c>
      <c r="G1211" s="34">
        <f>IF($A1211="","",CHOOSE(WEEKDAY($A1211,2),"LUNES","MARTES","MIÉRCOLES","JUEVES","VIERNES","SÁBADO","DOMINGO"))</f>
        <v/>
      </c>
      <c r="H1211" s="34">
        <f>IF($A1211="","",CHOOSE(MONTH($A1211),"ENERO","FEBRERO","MARZO","ABRIL","MAYO","JUNIO","JULIO","AGOSTO","SEPTIEMBRE","OCTUBRE","NOVIEMBRE","DICIEMBRE"))</f>
        <v/>
      </c>
      <c r="I1211" s="34">
        <f>IF($A1211="","",IF(OR($G1211="SÁBADO",$G1211="DOMINGO"),"FIN","LV"))</f>
        <v/>
      </c>
      <c r="J1211" s="34">
        <f>IF(OR($A1211="",$B1211=""),"",IF($L1211&lt;&gt;"",UPPER($L1211),IF($C1211="","FALTA",IFERROR(IF($C1211&gt;=$O1211,"ROJO FUERTE",IF($C1211&gt;=$N1211,"ROJO",IF($C1211&gt;=$M1211,"AMARILLO","VERDE"))),"REVISAR"))))</f>
        <v/>
      </c>
      <c r="K1211" s="36">
        <f>IF(OR($C1211="",$D1211=""),"",IF($D1211&gt;=$C1211,($D1211-$C1211)*24,(1-$C1211+$D1211)*24))</f>
        <v/>
      </c>
      <c r="L1211" s="34" t="n"/>
      <c r="M1211" s="53">
        <f t="array" ref="M1211">IFERROR(INDEX(EXCEPCIONES_FECHA!$D$2:$D$201,MATCH(1,(EXCEPCIONES_FECHA!$A$2:$A$201=$A1211)*(EXCEPCIONES_FECHA!$B$2:$B$201=$B1211),0)),IFERROR(INDEX(EXCEPCIONES_FECHA!$D$2:$D$201,MATCH(1,(EXCEPCIONES_FECHA!$A$2:$A$201=$A1211)*(EXCEPCIONES_FECHA!$B$2:$B$201=""),0)),IFERROR(INDEX(IF($I1211="FIN",HISTORIAL_HORARIOS!$J$2:$J$201,HISTORIAL_HORARIOS!$F$2:$F$201),MATCH(1,(HISTORIAL_HORARIOS!$A$2:$A$201=$B1211)*(HISTORIAL_HORARIOS!$C$2:$C$201&lt;=$A1211)*(HISTORIAL_HORARIOS!$D$2:$D$201&gt;=$A1211),0)),INDEX(IF($I1211="FIN",PERSONAL!$J$2:$J$80,PERSONAL!$F$2:$F$80),MATCH($B1211,PERSONAL!$A$2:$A$80,0)))))</f>
        <v/>
      </c>
      <c r="N1211" s="53">
        <f t="array" ref="N1211">IFERROR(INDEX(EXCEPCIONES_FECHA!$E$2:$E$201,MATCH(1,(EXCEPCIONES_FECHA!$A$2:$A$201=$A1211)*(EXCEPCIONES_FECHA!$B$2:$B$201=$B1211),0)),IFERROR(INDEX(EXCEPCIONES_FECHA!$E$2:$E$201,MATCH(1,(EXCEPCIONES_FECHA!$A$2:$A$201=$A1211)*(EXCEPCIONES_FECHA!$B$2:$B$201=""),0)),IFERROR(INDEX(IF($I1211="FIN",HISTORIAL_HORARIOS!$K$2:$K$201,HISTORIAL_HORARIOS!$G$2:$G$201),MATCH(1,(HISTORIAL_HORARIOS!$A$2:$A$201=$B1211)*(HISTORIAL_HORARIOS!$C$2:$C$201&lt;=$A1211)*(HISTORIAL_HORARIOS!$D$2:$D$201&gt;=$A1211),0)),INDEX(IF($I1211="FIN",PERSONAL!$K$2:$K$80,PERSONAL!$G$2:$G$80),MATCH($B1211,PERSONAL!$A$2:$A$80,0)))))</f>
        <v/>
      </c>
      <c r="O1211" s="53">
        <f t="array" ref="O1211">IFERROR(INDEX(EXCEPCIONES_FECHA!$F$2:$F$201,MATCH(1,(EXCEPCIONES_FECHA!$A$2:$A$201=$A1211)*(EXCEPCIONES_FECHA!$B$2:$B$201=$B1211),0)),IFERROR(INDEX(EXCEPCIONES_FECHA!$F$2:$F$201,MATCH(1,(EXCEPCIONES_FECHA!$A$2:$A$201=$A1211)*(EXCEPCIONES_FECHA!$B$2:$B$201=""),0)),IFERROR(INDEX(IF($I1211="FIN",HISTORIAL_HORARIOS!$L$2:$L$201,HISTORIAL_HORARIOS!$H$2:$H$201),MATCH(1,(HISTORIAL_HORARIOS!$A$2:$A$201=$B1211)*(HISTORIAL_HORARIOS!$C$2:$C$201&lt;=$A1211)*(HISTORIAL_HORARIOS!$D$2:$D$201&gt;=$A1211),0)),INDEX(IF($I1211="FIN",PERSONAL!$L$2:$L$80,PERSONAL!$H$2:$H$80),MATCH($B1211,PERSONAL!$A$2:$A$80,0)))))</f>
        <v/>
      </c>
    </row>
    <row r="1212" ht="15" customHeight="1" s="58">
      <c r="A1212" s="40" t="n"/>
      <c r="B1212" s="38" t="n"/>
      <c r="C1212" s="40" t="n"/>
      <c r="D1212" s="40" t="n"/>
      <c r="E1212" s="34">
        <f t="array" ref="E1212">IF($B1212="","",IFERROR(INDEX(PERSONAL!$B$2:$B$80,MATCH($B1212,PERSONAL!$A$2:$A$80,0)),"NO EXISTE"))</f>
        <v/>
      </c>
      <c r="F1212" s="34">
        <f t="array" ref="F1212">IF($B1212="","",IFERROR(INDEX(PERSONAL!$C$2:$C$80,MATCH($B1212,PERSONAL!$A$2:$A$80,0)),""))</f>
        <v/>
      </c>
      <c r="G1212" s="34">
        <f>IF($A1212="","",CHOOSE(WEEKDAY($A1212,2),"LUNES","MARTES","MIÉRCOLES","JUEVES","VIERNES","SÁBADO","DOMINGO"))</f>
        <v/>
      </c>
      <c r="H1212" s="34">
        <f>IF($A1212="","",CHOOSE(MONTH($A1212),"ENERO","FEBRERO","MARZO","ABRIL","MAYO","JUNIO","JULIO","AGOSTO","SEPTIEMBRE","OCTUBRE","NOVIEMBRE","DICIEMBRE"))</f>
        <v/>
      </c>
      <c r="I1212" s="34">
        <f>IF($A1212="","",IF(OR($G1212="SÁBADO",$G1212="DOMINGO"),"FIN","LV"))</f>
        <v/>
      </c>
      <c r="J1212" s="34">
        <f>IF(OR($A1212="",$B1212=""),"",IF($L1212&lt;&gt;"",UPPER($L1212),IF($C1212="","FALTA",IFERROR(IF($C1212&gt;=$O1212,"ROJO FUERTE",IF($C1212&gt;=$N1212,"ROJO",IF($C1212&gt;=$M1212,"AMARILLO","VERDE"))),"REVISAR"))))</f>
        <v/>
      </c>
      <c r="K1212" s="36">
        <f>IF(OR($C1212="",$D1212=""),"",IF($D1212&gt;=$C1212,($D1212-$C1212)*24,(1-$C1212+$D1212)*24))</f>
        <v/>
      </c>
      <c r="L1212" s="34" t="n"/>
      <c r="M1212" s="53">
        <f t="array" ref="M1212">IFERROR(INDEX(EXCEPCIONES_FECHA!$D$2:$D$201,MATCH(1,(EXCEPCIONES_FECHA!$A$2:$A$201=$A1212)*(EXCEPCIONES_FECHA!$B$2:$B$201=$B1212),0)),IFERROR(INDEX(EXCEPCIONES_FECHA!$D$2:$D$201,MATCH(1,(EXCEPCIONES_FECHA!$A$2:$A$201=$A1212)*(EXCEPCIONES_FECHA!$B$2:$B$201=""),0)),IFERROR(INDEX(IF($I1212="FIN",HISTORIAL_HORARIOS!$J$2:$J$201,HISTORIAL_HORARIOS!$F$2:$F$201),MATCH(1,(HISTORIAL_HORARIOS!$A$2:$A$201=$B1212)*(HISTORIAL_HORARIOS!$C$2:$C$201&lt;=$A1212)*(HISTORIAL_HORARIOS!$D$2:$D$201&gt;=$A1212),0)),INDEX(IF($I1212="FIN",PERSONAL!$J$2:$J$80,PERSONAL!$F$2:$F$80),MATCH($B1212,PERSONAL!$A$2:$A$80,0)))))</f>
        <v/>
      </c>
      <c r="N1212" s="53">
        <f t="array" ref="N1212">IFERROR(INDEX(EXCEPCIONES_FECHA!$E$2:$E$201,MATCH(1,(EXCEPCIONES_FECHA!$A$2:$A$201=$A1212)*(EXCEPCIONES_FECHA!$B$2:$B$201=$B1212),0)),IFERROR(INDEX(EXCEPCIONES_FECHA!$E$2:$E$201,MATCH(1,(EXCEPCIONES_FECHA!$A$2:$A$201=$A1212)*(EXCEPCIONES_FECHA!$B$2:$B$201=""),0)),IFERROR(INDEX(IF($I1212="FIN",HISTORIAL_HORARIOS!$K$2:$K$201,HISTORIAL_HORARIOS!$G$2:$G$201),MATCH(1,(HISTORIAL_HORARIOS!$A$2:$A$201=$B1212)*(HISTORIAL_HORARIOS!$C$2:$C$201&lt;=$A1212)*(HISTORIAL_HORARIOS!$D$2:$D$201&gt;=$A1212),0)),INDEX(IF($I1212="FIN",PERSONAL!$K$2:$K$80,PERSONAL!$G$2:$G$80),MATCH($B1212,PERSONAL!$A$2:$A$80,0)))))</f>
        <v/>
      </c>
      <c r="O1212" s="53">
        <f t="array" ref="O1212">IFERROR(INDEX(EXCEPCIONES_FECHA!$F$2:$F$201,MATCH(1,(EXCEPCIONES_FECHA!$A$2:$A$201=$A1212)*(EXCEPCIONES_FECHA!$B$2:$B$201=$B1212),0)),IFERROR(INDEX(EXCEPCIONES_FECHA!$F$2:$F$201,MATCH(1,(EXCEPCIONES_FECHA!$A$2:$A$201=$A1212)*(EXCEPCIONES_FECHA!$B$2:$B$201=""),0)),IFERROR(INDEX(IF($I1212="FIN",HISTORIAL_HORARIOS!$L$2:$L$201,HISTORIAL_HORARIOS!$H$2:$H$201),MATCH(1,(HISTORIAL_HORARIOS!$A$2:$A$201=$B1212)*(HISTORIAL_HORARIOS!$C$2:$C$201&lt;=$A1212)*(HISTORIAL_HORARIOS!$D$2:$D$201&gt;=$A1212),0)),INDEX(IF($I1212="FIN",PERSONAL!$L$2:$L$80,PERSONAL!$H$2:$H$80),MATCH($B1212,PERSONAL!$A$2:$A$80,0)))))</f>
        <v/>
      </c>
    </row>
    <row r="1213" ht="15" customHeight="1" s="58">
      <c r="A1213" s="40" t="n"/>
      <c r="B1213" s="38" t="n"/>
      <c r="C1213" s="40" t="n"/>
      <c r="D1213" s="40" t="n"/>
      <c r="E1213" s="34">
        <f t="array" ref="E1213">IF($B1213="","",IFERROR(INDEX(PERSONAL!$B$2:$B$80,MATCH($B1213,PERSONAL!$A$2:$A$80,0)),"NO EXISTE"))</f>
        <v/>
      </c>
      <c r="F1213" s="34">
        <f t="array" ref="F1213">IF($B1213="","",IFERROR(INDEX(PERSONAL!$C$2:$C$80,MATCH($B1213,PERSONAL!$A$2:$A$80,0)),""))</f>
        <v/>
      </c>
      <c r="G1213" s="34">
        <f>IF($A1213="","",CHOOSE(WEEKDAY($A1213,2),"LUNES","MARTES","MIÉRCOLES","JUEVES","VIERNES","SÁBADO","DOMINGO"))</f>
        <v/>
      </c>
      <c r="H1213" s="34">
        <f>IF($A1213="","",CHOOSE(MONTH($A1213),"ENERO","FEBRERO","MARZO","ABRIL","MAYO","JUNIO","JULIO","AGOSTO","SEPTIEMBRE","OCTUBRE","NOVIEMBRE","DICIEMBRE"))</f>
        <v/>
      </c>
      <c r="I1213" s="34">
        <f>IF($A1213="","",IF(OR($G1213="SÁBADO",$G1213="DOMINGO"),"FIN","LV"))</f>
        <v/>
      </c>
      <c r="J1213" s="34">
        <f>IF(OR($A1213="",$B1213=""),"",IF($L1213&lt;&gt;"",UPPER($L1213),IF($C1213="","FALTA",IFERROR(IF($C1213&gt;=$O1213,"ROJO FUERTE",IF($C1213&gt;=$N1213,"ROJO",IF($C1213&gt;=$M1213,"AMARILLO","VERDE"))),"REVISAR"))))</f>
        <v/>
      </c>
      <c r="K1213" s="36">
        <f>IF(OR($C1213="",$D1213=""),"",IF($D1213&gt;=$C1213,($D1213-$C1213)*24,(1-$C1213+$D1213)*24))</f>
        <v/>
      </c>
      <c r="L1213" s="34" t="n"/>
      <c r="M1213" s="53">
        <f t="array" ref="M1213">IFERROR(INDEX(EXCEPCIONES_FECHA!$D$2:$D$201,MATCH(1,(EXCEPCIONES_FECHA!$A$2:$A$201=$A1213)*(EXCEPCIONES_FECHA!$B$2:$B$201=$B1213),0)),IFERROR(INDEX(EXCEPCIONES_FECHA!$D$2:$D$201,MATCH(1,(EXCEPCIONES_FECHA!$A$2:$A$201=$A1213)*(EXCEPCIONES_FECHA!$B$2:$B$201=""),0)),IFERROR(INDEX(IF($I1213="FIN",HISTORIAL_HORARIOS!$J$2:$J$201,HISTORIAL_HORARIOS!$F$2:$F$201),MATCH(1,(HISTORIAL_HORARIOS!$A$2:$A$201=$B1213)*(HISTORIAL_HORARIOS!$C$2:$C$201&lt;=$A1213)*(HISTORIAL_HORARIOS!$D$2:$D$201&gt;=$A1213),0)),INDEX(IF($I1213="FIN",PERSONAL!$J$2:$J$80,PERSONAL!$F$2:$F$80),MATCH($B1213,PERSONAL!$A$2:$A$80,0)))))</f>
        <v/>
      </c>
      <c r="N1213" s="53">
        <f t="array" ref="N1213">IFERROR(INDEX(EXCEPCIONES_FECHA!$E$2:$E$201,MATCH(1,(EXCEPCIONES_FECHA!$A$2:$A$201=$A1213)*(EXCEPCIONES_FECHA!$B$2:$B$201=$B1213),0)),IFERROR(INDEX(EXCEPCIONES_FECHA!$E$2:$E$201,MATCH(1,(EXCEPCIONES_FECHA!$A$2:$A$201=$A1213)*(EXCEPCIONES_FECHA!$B$2:$B$201=""),0)),IFERROR(INDEX(IF($I1213="FIN",HISTORIAL_HORARIOS!$K$2:$K$201,HISTORIAL_HORARIOS!$G$2:$G$201),MATCH(1,(HISTORIAL_HORARIOS!$A$2:$A$201=$B1213)*(HISTORIAL_HORARIOS!$C$2:$C$201&lt;=$A1213)*(HISTORIAL_HORARIOS!$D$2:$D$201&gt;=$A1213),0)),INDEX(IF($I1213="FIN",PERSONAL!$K$2:$K$80,PERSONAL!$G$2:$G$80),MATCH($B1213,PERSONAL!$A$2:$A$80,0)))))</f>
        <v/>
      </c>
      <c r="O1213" s="53">
        <f t="array" ref="O1213">IFERROR(INDEX(EXCEPCIONES_FECHA!$F$2:$F$201,MATCH(1,(EXCEPCIONES_FECHA!$A$2:$A$201=$A1213)*(EXCEPCIONES_FECHA!$B$2:$B$201=$B1213),0)),IFERROR(INDEX(EXCEPCIONES_FECHA!$F$2:$F$201,MATCH(1,(EXCEPCIONES_FECHA!$A$2:$A$201=$A1213)*(EXCEPCIONES_FECHA!$B$2:$B$201=""),0)),IFERROR(INDEX(IF($I1213="FIN",HISTORIAL_HORARIOS!$L$2:$L$201,HISTORIAL_HORARIOS!$H$2:$H$201),MATCH(1,(HISTORIAL_HORARIOS!$A$2:$A$201=$B1213)*(HISTORIAL_HORARIOS!$C$2:$C$201&lt;=$A1213)*(HISTORIAL_HORARIOS!$D$2:$D$201&gt;=$A1213),0)),INDEX(IF($I1213="FIN",PERSONAL!$L$2:$L$80,PERSONAL!$H$2:$H$80),MATCH($B1213,PERSONAL!$A$2:$A$80,0)))))</f>
        <v/>
      </c>
    </row>
    <row r="1214" ht="15" customHeight="1" s="58">
      <c r="A1214" s="40" t="n"/>
      <c r="B1214" s="38" t="n"/>
      <c r="C1214" s="40" t="n"/>
      <c r="D1214" s="40" t="n"/>
      <c r="E1214" s="34">
        <f t="array" ref="E1214">IF($B1214="","",IFERROR(INDEX(PERSONAL!$B$2:$B$80,MATCH($B1214,PERSONAL!$A$2:$A$80,0)),"NO EXISTE"))</f>
        <v/>
      </c>
      <c r="F1214" s="34">
        <f t="array" ref="F1214">IF($B1214="","",IFERROR(INDEX(PERSONAL!$C$2:$C$80,MATCH($B1214,PERSONAL!$A$2:$A$80,0)),""))</f>
        <v/>
      </c>
      <c r="G1214" s="34">
        <f>IF($A1214="","",CHOOSE(WEEKDAY($A1214,2),"LUNES","MARTES","MIÉRCOLES","JUEVES","VIERNES","SÁBADO","DOMINGO"))</f>
        <v/>
      </c>
      <c r="H1214" s="34">
        <f>IF($A1214="","",CHOOSE(MONTH($A1214),"ENERO","FEBRERO","MARZO","ABRIL","MAYO","JUNIO","JULIO","AGOSTO","SEPTIEMBRE","OCTUBRE","NOVIEMBRE","DICIEMBRE"))</f>
        <v/>
      </c>
      <c r="I1214" s="34">
        <f>IF($A1214="","",IF(OR($G1214="SÁBADO",$G1214="DOMINGO"),"FIN","LV"))</f>
        <v/>
      </c>
      <c r="J1214" s="34">
        <f>IF(OR($A1214="",$B1214=""),"",IF($L1214&lt;&gt;"",UPPER($L1214),IF($C1214="","FALTA",IFERROR(IF($C1214&gt;=$O1214,"ROJO FUERTE",IF($C1214&gt;=$N1214,"ROJO",IF($C1214&gt;=$M1214,"AMARILLO","VERDE"))),"REVISAR"))))</f>
        <v/>
      </c>
      <c r="K1214" s="36">
        <f>IF(OR($C1214="",$D1214=""),"",IF($D1214&gt;=$C1214,($D1214-$C1214)*24,(1-$C1214+$D1214)*24))</f>
        <v/>
      </c>
      <c r="L1214" s="34" t="n"/>
      <c r="M1214" s="53">
        <f t="array" ref="M1214">IFERROR(INDEX(EXCEPCIONES_FECHA!$D$2:$D$201,MATCH(1,(EXCEPCIONES_FECHA!$A$2:$A$201=$A1214)*(EXCEPCIONES_FECHA!$B$2:$B$201=$B1214),0)),IFERROR(INDEX(EXCEPCIONES_FECHA!$D$2:$D$201,MATCH(1,(EXCEPCIONES_FECHA!$A$2:$A$201=$A1214)*(EXCEPCIONES_FECHA!$B$2:$B$201=""),0)),IFERROR(INDEX(IF($I1214="FIN",HISTORIAL_HORARIOS!$J$2:$J$201,HISTORIAL_HORARIOS!$F$2:$F$201),MATCH(1,(HISTORIAL_HORARIOS!$A$2:$A$201=$B1214)*(HISTORIAL_HORARIOS!$C$2:$C$201&lt;=$A1214)*(HISTORIAL_HORARIOS!$D$2:$D$201&gt;=$A1214),0)),INDEX(IF($I1214="FIN",PERSONAL!$J$2:$J$80,PERSONAL!$F$2:$F$80),MATCH($B1214,PERSONAL!$A$2:$A$80,0)))))</f>
        <v/>
      </c>
      <c r="N1214" s="53">
        <f t="array" ref="N1214">IFERROR(INDEX(EXCEPCIONES_FECHA!$E$2:$E$201,MATCH(1,(EXCEPCIONES_FECHA!$A$2:$A$201=$A1214)*(EXCEPCIONES_FECHA!$B$2:$B$201=$B1214),0)),IFERROR(INDEX(EXCEPCIONES_FECHA!$E$2:$E$201,MATCH(1,(EXCEPCIONES_FECHA!$A$2:$A$201=$A1214)*(EXCEPCIONES_FECHA!$B$2:$B$201=""),0)),IFERROR(INDEX(IF($I1214="FIN",HISTORIAL_HORARIOS!$K$2:$K$201,HISTORIAL_HORARIOS!$G$2:$G$201),MATCH(1,(HISTORIAL_HORARIOS!$A$2:$A$201=$B1214)*(HISTORIAL_HORARIOS!$C$2:$C$201&lt;=$A1214)*(HISTORIAL_HORARIOS!$D$2:$D$201&gt;=$A1214),0)),INDEX(IF($I1214="FIN",PERSONAL!$K$2:$K$80,PERSONAL!$G$2:$G$80),MATCH($B1214,PERSONAL!$A$2:$A$80,0)))))</f>
        <v/>
      </c>
      <c r="O1214" s="53">
        <f t="array" ref="O1214">IFERROR(INDEX(EXCEPCIONES_FECHA!$F$2:$F$201,MATCH(1,(EXCEPCIONES_FECHA!$A$2:$A$201=$A1214)*(EXCEPCIONES_FECHA!$B$2:$B$201=$B1214),0)),IFERROR(INDEX(EXCEPCIONES_FECHA!$F$2:$F$201,MATCH(1,(EXCEPCIONES_FECHA!$A$2:$A$201=$A1214)*(EXCEPCIONES_FECHA!$B$2:$B$201=""),0)),IFERROR(INDEX(IF($I1214="FIN",HISTORIAL_HORARIOS!$L$2:$L$201,HISTORIAL_HORARIOS!$H$2:$H$201),MATCH(1,(HISTORIAL_HORARIOS!$A$2:$A$201=$B1214)*(HISTORIAL_HORARIOS!$C$2:$C$201&lt;=$A1214)*(HISTORIAL_HORARIOS!$D$2:$D$201&gt;=$A1214),0)),INDEX(IF($I1214="FIN",PERSONAL!$L$2:$L$80,PERSONAL!$H$2:$H$80),MATCH($B1214,PERSONAL!$A$2:$A$80,0)))))</f>
        <v/>
      </c>
    </row>
    <row r="1215" ht="15" customHeight="1" s="58">
      <c r="A1215" s="40" t="n"/>
      <c r="B1215" s="38" t="n"/>
      <c r="C1215" s="40" t="n"/>
      <c r="D1215" s="40" t="n"/>
      <c r="E1215" s="34">
        <f t="array" ref="E1215">IF($B1215="","",IFERROR(INDEX(PERSONAL!$B$2:$B$80,MATCH($B1215,PERSONAL!$A$2:$A$80,0)),"NO EXISTE"))</f>
        <v/>
      </c>
      <c r="F1215" s="34">
        <f t="array" ref="F1215">IF($B1215="","",IFERROR(INDEX(PERSONAL!$C$2:$C$80,MATCH($B1215,PERSONAL!$A$2:$A$80,0)),""))</f>
        <v/>
      </c>
      <c r="G1215" s="34">
        <f>IF($A1215="","",CHOOSE(WEEKDAY($A1215,2),"LUNES","MARTES","MIÉRCOLES","JUEVES","VIERNES","SÁBADO","DOMINGO"))</f>
        <v/>
      </c>
      <c r="H1215" s="34">
        <f>IF($A1215="","",CHOOSE(MONTH($A1215),"ENERO","FEBRERO","MARZO","ABRIL","MAYO","JUNIO","JULIO","AGOSTO","SEPTIEMBRE","OCTUBRE","NOVIEMBRE","DICIEMBRE"))</f>
        <v/>
      </c>
      <c r="I1215" s="34">
        <f>IF($A1215="","",IF(OR($G1215="SÁBADO",$G1215="DOMINGO"),"FIN","LV"))</f>
        <v/>
      </c>
      <c r="J1215" s="34">
        <f>IF(OR($A1215="",$B1215=""),"",IF($L1215&lt;&gt;"",UPPER($L1215),IF($C1215="","FALTA",IFERROR(IF($C1215&gt;=$O1215,"ROJO FUERTE",IF($C1215&gt;=$N1215,"ROJO",IF($C1215&gt;=$M1215,"AMARILLO","VERDE"))),"REVISAR"))))</f>
        <v/>
      </c>
      <c r="K1215" s="36">
        <f>IF(OR($C1215="",$D1215=""),"",IF($D1215&gt;=$C1215,($D1215-$C1215)*24,(1-$C1215+$D1215)*24))</f>
        <v/>
      </c>
      <c r="L1215" s="34" t="n"/>
      <c r="M1215" s="53">
        <f t="array" ref="M1215">IFERROR(INDEX(EXCEPCIONES_FECHA!$D$2:$D$201,MATCH(1,(EXCEPCIONES_FECHA!$A$2:$A$201=$A1215)*(EXCEPCIONES_FECHA!$B$2:$B$201=$B1215),0)),IFERROR(INDEX(EXCEPCIONES_FECHA!$D$2:$D$201,MATCH(1,(EXCEPCIONES_FECHA!$A$2:$A$201=$A1215)*(EXCEPCIONES_FECHA!$B$2:$B$201=""),0)),IFERROR(INDEX(IF($I1215="FIN",HISTORIAL_HORARIOS!$J$2:$J$201,HISTORIAL_HORARIOS!$F$2:$F$201),MATCH(1,(HISTORIAL_HORARIOS!$A$2:$A$201=$B1215)*(HISTORIAL_HORARIOS!$C$2:$C$201&lt;=$A1215)*(HISTORIAL_HORARIOS!$D$2:$D$201&gt;=$A1215),0)),INDEX(IF($I1215="FIN",PERSONAL!$J$2:$J$80,PERSONAL!$F$2:$F$80),MATCH($B1215,PERSONAL!$A$2:$A$80,0)))))</f>
        <v/>
      </c>
      <c r="N1215" s="53">
        <f t="array" ref="N1215">IFERROR(INDEX(EXCEPCIONES_FECHA!$E$2:$E$201,MATCH(1,(EXCEPCIONES_FECHA!$A$2:$A$201=$A1215)*(EXCEPCIONES_FECHA!$B$2:$B$201=$B1215),0)),IFERROR(INDEX(EXCEPCIONES_FECHA!$E$2:$E$201,MATCH(1,(EXCEPCIONES_FECHA!$A$2:$A$201=$A1215)*(EXCEPCIONES_FECHA!$B$2:$B$201=""),0)),IFERROR(INDEX(IF($I1215="FIN",HISTORIAL_HORARIOS!$K$2:$K$201,HISTORIAL_HORARIOS!$G$2:$G$201),MATCH(1,(HISTORIAL_HORARIOS!$A$2:$A$201=$B1215)*(HISTORIAL_HORARIOS!$C$2:$C$201&lt;=$A1215)*(HISTORIAL_HORARIOS!$D$2:$D$201&gt;=$A1215),0)),INDEX(IF($I1215="FIN",PERSONAL!$K$2:$K$80,PERSONAL!$G$2:$G$80),MATCH($B1215,PERSONAL!$A$2:$A$80,0)))))</f>
        <v/>
      </c>
      <c r="O1215" s="53">
        <f t="array" ref="O1215">IFERROR(INDEX(EXCEPCIONES_FECHA!$F$2:$F$201,MATCH(1,(EXCEPCIONES_FECHA!$A$2:$A$201=$A1215)*(EXCEPCIONES_FECHA!$B$2:$B$201=$B1215),0)),IFERROR(INDEX(EXCEPCIONES_FECHA!$F$2:$F$201,MATCH(1,(EXCEPCIONES_FECHA!$A$2:$A$201=$A1215)*(EXCEPCIONES_FECHA!$B$2:$B$201=""),0)),IFERROR(INDEX(IF($I1215="FIN",HISTORIAL_HORARIOS!$L$2:$L$201,HISTORIAL_HORARIOS!$H$2:$H$201),MATCH(1,(HISTORIAL_HORARIOS!$A$2:$A$201=$B1215)*(HISTORIAL_HORARIOS!$C$2:$C$201&lt;=$A1215)*(HISTORIAL_HORARIOS!$D$2:$D$201&gt;=$A1215),0)),INDEX(IF($I1215="FIN",PERSONAL!$L$2:$L$80,PERSONAL!$H$2:$H$80),MATCH($B1215,PERSONAL!$A$2:$A$80,0)))))</f>
        <v/>
      </c>
    </row>
    <row r="1216" ht="15" customHeight="1" s="58">
      <c r="A1216" s="40" t="n"/>
      <c r="B1216" s="38" t="n"/>
      <c r="C1216" s="40" t="n"/>
      <c r="D1216" s="40" t="n"/>
      <c r="E1216" s="34">
        <f t="array" ref="E1216">IF($B1216="","",IFERROR(INDEX(PERSONAL!$B$2:$B$80,MATCH($B1216,PERSONAL!$A$2:$A$80,0)),"NO EXISTE"))</f>
        <v/>
      </c>
      <c r="F1216" s="34">
        <f t="array" ref="F1216">IF($B1216="","",IFERROR(INDEX(PERSONAL!$C$2:$C$80,MATCH($B1216,PERSONAL!$A$2:$A$80,0)),""))</f>
        <v/>
      </c>
      <c r="G1216" s="34">
        <f>IF($A1216="","",CHOOSE(WEEKDAY($A1216,2),"LUNES","MARTES","MIÉRCOLES","JUEVES","VIERNES","SÁBADO","DOMINGO"))</f>
        <v/>
      </c>
      <c r="H1216" s="34">
        <f>IF($A1216="","",CHOOSE(MONTH($A1216),"ENERO","FEBRERO","MARZO","ABRIL","MAYO","JUNIO","JULIO","AGOSTO","SEPTIEMBRE","OCTUBRE","NOVIEMBRE","DICIEMBRE"))</f>
        <v/>
      </c>
      <c r="I1216" s="34">
        <f>IF($A1216="","",IF(OR($G1216="SÁBADO",$G1216="DOMINGO"),"FIN","LV"))</f>
        <v/>
      </c>
      <c r="J1216" s="34">
        <f>IF(OR($A1216="",$B1216=""),"",IF($L1216&lt;&gt;"",UPPER($L1216),IF($C1216="","FALTA",IFERROR(IF($C1216&gt;=$O1216,"ROJO FUERTE",IF($C1216&gt;=$N1216,"ROJO",IF($C1216&gt;=$M1216,"AMARILLO","VERDE"))),"REVISAR"))))</f>
        <v/>
      </c>
      <c r="K1216" s="36">
        <f>IF(OR($C1216="",$D1216=""),"",IF($D1216&gt;=$C1216,($D1216-$C1216)*24,(1-$C1216+$D1216)*24))</f>
        <v/>
      </c>
      <c r="L1216" s="34" t="n"/>
      <c r="M1216" s="53">
        <f t="array" ref="M1216">IFERROR(INDEX(EXCEPCIONES_FECHA!$D$2:$D$201,MATCH(1,(EXCEPCIONES_FECHA!$A$2:$A$201=$A1216)*(EXCEPCIONES_FECHA!$B$2:$B$201=$B1216),0)),IFERROR(INDEX(EXCEPCIONES_FECHA!$D$2:$D$201,MATCH(1,(EXCEPCIONES_FECHA!$A$2:$A$201=$A1216)*(EXCEPCIONES_FECHA!$B$2:$B$201=""),0)),IFERROR(INDEX(IF($I1216="FIN",HISTORIAL_HORARIOS!$J$2:$J$201,HISTORIAL_HORARIOS!$F$2:$F$201),MATCH(1,(HISTORIAL_HORARIOS!$A$2:$A$201=$B1216)*(HISTORIAL_HORARIOS!$C$2:$C$201&lt;=$A1216)*(HISTORIAL_HORARIOS!$D$2:$D$201&gt;=$A1216),0)),INDEX(IF($I1216="FIN",PERSONAL!$J$2:$J$80,PERSONAL!$F$2:$F$80),MATCH($B1216,PERSONAL!$A$2:$A$80,0)))))</f>
        <v/>
      </c>
      <c r="N1216" s="53">
        <f t="array" ref="N1216">IFERROR(INDEX(EXCEPCIONES_FECHA!$E$2:$E$201,MATCH(1,(EXCEPCIONES_FECHA!$A$2:$A$201=$A1216)*(EXCEPCIONES_FECHA!$B$2:$B$201=$B1216),0)),IFERROR(INDEX(EXCEPCIONES_FECHA!$E$2:$E$201,MATCH(1,(EXCEPCIONES_FECHA!$A$2:$A$201=$A1216)*(EXCEPCIONES_FECHA!$B$2:$B$201=""),0)),IFERROR(INDEX(IF($I1216="FIN",HISTORIAL_HORARIOS!$K$2:$K$201,HISTORIAL_HORARIOS!$G$2:$G$201),MATCH(1,(HISTORIAL_HORARIOS!$A$2:$A$201=$B1216)*(HISTORIAL_HORARIOS!$C$2:$C$201&lt;=$A1216)*(HISTORIAL_HORARIOS!$D$2:$D$201&gt;=$A1216),0)),INDEX(IF($I1216="FIN",PERSONAL!$K$2:$K$80,PERSONAL!$G$2:$G$80),MATCH($B1216,PERSONAL!$A$2:$A$80,0)))))</f>
        <v/>
      </c>
      <c r="O1216" s="53">
        <f t="array" ref="O1216">IFERROR(INDEX(EXCEPCIONES_FECHA!$F$2:$F$201,MATCH(1,(EXCEPCIONES_FECHA!$A$2:$A$201=$A1216)*(EXCEPCIONES_FECHA!$B$2:$B$201=$B1216),0)),IFERROR(INDEX(EXCEPCIONES_FECHA!$F$2:$F$201,MATCH(1,(EXCEPCIONES_FECHA!$A$2:$A$201=$A1216)*(EXCEPCIONES_FECHA!$B$2:$B$201=""),0)),IFERROR(INDEX(IF($I1216="FIN",HISTORIAL_HORARIOS!$L$2:$L$201,HISTORIAL_HORARIOS!$H$2:$H$201),MATCH(1,(HISTORIAL_HORARIOS!$A$2:$A$201=$B1216)*(HISTORIAL_HORARIOS!$C$2:$C$201&lt;=$A1216)*(HISTORIAL_HORARIOS!$D$2:$D$201&gt;=$A1216),0)),INDEX(IF($I1216="FIN",PERSONAL!$L$2:$L$80,PERSONAL!$H$2:$H$80),MATCH($B1216,PERSONAL!$A$2:$A$80,0)))))</f>
        <v/>
      </c>
    </row>
    <row r="1217" ht="15" customHeight="1" s="58">
      <c r="A1217" s="40" t="n"/>
      <c r="B1217" s="38" t="n"/>
      <c r="C1217" s="40" t="n"/>
      <c r="D1217" s="40" t="n"/>
      <c r="E1217" s="34">
        <f t="array" ref="E1217">IF($B1217="","",IFERROR(INDEX(PERSONAL!$B$2:$B$80,MATCH($B1217,PERSONAL!$A$2:$A$80,0)),"NO EXISTE"))</f>
        <v/>
      </c>
      <c r="F1217" s="34">
        <f t="array" ref="F1217">IF($B1217="","",IFERROR(INDEX(PERSONAL!$C$2:$C$80,MATCH($B1217,PERSONAL!$A$2:$A$80,0)),""))</f>
        <v/>
      </c>
      <c r="G1217" s="34">
        <f>IF($A1217="","",CHOOSE(WEEKDAY($A1217,2),"LUNES","MARTES","MIÉRCOLES","JUEVES","VIERNES","SÁBADO","DOMINGO"))</f>
        <v/>
      </c>
      <c r="H1217" s="34">
        <f>IF($A1217="","",CHOOSE(MONTH($A1217),"ENERO","FEBRERO","MARZO","ABRIL","MAYO","JUNIO","JULIO","AGOSTO","SEPTIEMBRE","OCTUBRE","NOVIEMBRE","DICIEMBRE"))</f>
        <v/>
      </c>
      <c r="I1217" s="34">
        <f>IF($A1217="","",IF(OR($G1217="SÁBADO",$G1217="DOMINGO"),"FIN","LV"))</f>
        <v/>
      </c>
      <c r="J1217" s="34">
        <f>IF(OR($A1217="",$B1217=""),"",IF($L1217&lt;&gt;"",UPPER($L1217),IF($C1217="","FALTA",IFERROR(IF($C1217&gt;=$O1217,"ROJO FUERTE",IF($C1217&gt;=$N1217,"ROJO",IF($C1217&gt;=$M1217,"AMARILLO","VERDE"))),"REVISAR"))))</f>
        <v/>
      </c>
      <c r="K1217" s="36">
        <f>IF(OR($C1217="",$D1217=""),"",IF($D1217&gt;=$C1217,($D1217-$C1217)*24,(1-$C1217+$D1217)*24))</f>
        <v/>
      </c>
      <c r="L1217" s="34" t="n"/>
      <c r="M1217" s="53">
        <f t="array" ref="M1217">IFERROR(INDEX(EXCEPCIONES_FECHA!$D$2:$D$201,MATCH(1,(EXCEPCIONES_FECHA!$A$2:$A$201=$A1217)*(EXCEPCIONES_FECHA!$B$2:$B$201=$B1217),0)),IFERROR(INDEX(EXCEPCIONES_FECHA!$D$2:$D$201,MATCH(1,(EXCEPCIONES_FECHA!$A$2:$A$201=$A1217)*(EXCEPCIONES_FECHA!$B$2:$B$201=""),0)),IFERROR(INDEX(IF($I1217="FIN",HISTORIAL_HORARIOS!$J$2:$J$201,HISTORIAL_HORARIOS!$F$2:$F$201),MATCH(1,(HISTORIAL_HORARIOS!$A$2:$A$201=$B1217)*(HISTORIAL_HORARIOS!$C$2:$C$201&lt;=$A1217)*(HISTORIAL_HORARIOS!$D$2:$D$201&gt;=$A1217),0)),INDEX(IF($I1217="FIN",PERSONAL!$J$2:$J$80,PERSONAL!$F$2:$F$80),MATCH($B1217,PERSONAL!$A$2:$A$80,0)))))</f>
        <v/>
      </c>
      <c r="N1217" s="53">
        <f t="array" ref="N1217">IFERROR(INDEX(EXCEPCIONES_FECHA!$E$2:$E$201,MATCH(1,(EXCEPCIONES_FECHA!$A$2:$A$201=$A1217)*(EXCEPCIONES_FECHA!$B$2:$B$201=$B1217),0)),IFERROR(INDEX(EXCEPCIONES_FECHA!$E$2:$E$201,MATCH(1,(EXCEPCIONES_FECHA!$A$2:$A$201=$A1217)*(EXCEPCIONES_FECHA!$B$2:$B$201=""),0)),IFERROR(INDEX(IF($I1217="FIN",HISTORIAL_HORARIOS!$K$2:$K$201,HISTORIAL_HORARIOS!$G$2:$G$201),MATCH(1,(HISTORIAL_HORARIOS!$A$2:$A$201=$B1217)*(HISTORIAL_HORARIOS!$C$2:$C$201&lt;=$A1217)*(HISTORIAL_HORARIOS!$D$2:$D$201&gt;=$A1217),0)),INDEX(IF($I1217="FIN",PERSONAL!$K$2:$K$80,PERSONAL!$G$2:$G$80),MATCH($B1217,PERSONAL!$A$2:$A$80,0)))))</f>
        <v/>
      </c>
      <c r="O1217" s="53">
        <f t="array" ref="O1217">IFERROR(INDEX(EXCEPCIONES_FECHA!$F$2:$F$201,MATCH(1,(EXCEPCIONES_FECHA!$A$2:$A$201=$A1217)*(EXCEPCIONES_FECHA!$B$2:$B$201=$B1217),0)),IFERROR(INDEX(EXCEPCIONES_FECHA!$F$2:$F$201,MATCH(1,(EXCEPCIONES_FECHA!$A$2:$A$201=$A1217)*(EXCEPCIONES_FECHA!$B$2:$B$201=""),0)),IFERROR(INDEX(IF($I1217="FIN",HISTORIAL_HORARIOS!$L$2:$L$201,HISTORIAL_HORARIOS!$H$2:$H$201),MATCH(1,(HISTORIAL_HORARIOS!$A$2:$A$201=$B1217)*(HISTORIAL_HORARIOS!$C$2:$C$201&lt;=$A1217)*(HISTORIAL_HORARIOS!$D$2:$D$201&gt;=$A1217),0)),INDEX(IF($I1217="FIN",PERSONAL!$L$2:$L$80,PERSONAL!$H$2:$H$80),MATCH($B1217,PERSONAL!$A$2:$A$80,0)))))</f>
        <v/>
      </c>
    </row>
    <row r="1218" ht="15" customHeight="1" s="58">
      <c r="A1218" s="40" t="n"/>
      <c r="B1218" s="38" t="n"/>
      <c r="C1218" s="40" t="n"/>
      <c r="D1218" s="40" t="n"/>
      <c r="E1218" s="34">
        <f t="array" ref="E1218">IF($B1218="","",IFERROR(INDEX(PERSONAL!$B$2:$B$80,MATCH($B1218,PERSONAL!$A$2:$A$80,0)),"NO EXISTE"))</f>
        <v/>
      </c>
      <c r="F1218" s="34">
        <f t="array" ref="F1218">IF($B1218="","",IFERROR(INDEX(PERSONAL!$C$2:$C$80,MATCH($B1218,PERSONAL!$A$2:$A$80,0)),""))</f>
        <v/>
      </c>
      <c r="G1218" s="34">
        <f>IF($A1218="","",CHOOSE(WEEKDAY($A1218,2),"LUNES","MARTES","MIÉRCOLES","JUEVES","VIERNES","SÁBADO","DOMINGO"))</f>
        <v/>
      </c>
      <c r="H1218" s="34">
        <f>IF($A1218="","",CHOOSE(MONTH($A1218),"ENERO","FEBRERO","MARZO","ABRIL","MAYO","JUNIO","JULIO","AGOSTO","SEPTIEMBRE","OCTUBRE","NOVIEMBRE","DICIEMBRE"))</f>
        <v/>
      </c>
      <c r="I1218" s="34">
        <f>IF($A1218="","",IF(OR($G1218="SÁBADO",$G1218="DOMINGO"),"FIN","LV"))</f>
        <v/>
      </c>
      <c r="J1218" s="34">
        <f>IF(OR($A1218="",$B1218=""),"",IF($L1218&lt;&gt;"",UPPER($L1218),IF($C1218="","FALTA",IFERROR(IF($C1218&gt;=$O1218,"ROJO FUERTE",IF($C1218&gt;=$N1218,"ROJO",IF($C1218&gt;=$M1218,"AMARILLO","VERDE"))),"REVISAR"))))</f>
        <v/>
      </c>
      <c r="K1218" s="36">
        <f>IF(OR($C1218="",$D1218=""),"",IF($D1218&gt;=$C1218,($D1218-$C1218)*24,(1-$C1218+$D1218)*24))</f>
        <v/>
      </c>
      <c r="L1218" s="34" t="n"/>
      <c r="M1218" s="53">
        <f t="array" ref="M1218">IFERROR(INDEX(EXCEPCIONES_FECHA!$D$2:$D$201,MATCH(1,(EXCEPCIONES_FECHA!$A$2:$A$201=$A1218)*(EXCEPCIONES_FECHA!$B$2:$B$201=$B1218),0)),IFERROR(INDEX(EXCEPCIONES_FECHA!$D$2:$D$201,MATCH(1,(EXCEPCIONES_FECHA!$A$2:$A$201=$A1218)*(EXCEPCIONES_FECHA!$B$2:$B$201=""),0)),IFERROR(INDEX(IF($I1218="FIN",HISTORIAL_HORARIOS!$J$2:$J$201,HISTORIAL_HORARIOS!$F$2:$F$201),MATCH(1,(HISTORIAL_HORARIOS!$A$2:$A$201=$B1218)*(HISTORIAL_HORARIOS!$C$2:$C$201&lt;=$A1218)*(HISTORIAL_HORARIOS!$D$2:$D$201&gt;=$A1218),0)),INDEX(IF($I1218="FIN",PERSONAL!$J$2:$J$80,PERSONAL!$F$2:$F$80),MATCH($B1218,PERSONAL!$A$2:$A$80,0)))))</f>
        <v/>
      </c>
      <c r="N1218" s="53">
        <f t="array" ref="N1218">IFERROR(INDEX(EXCEPCIONES_FECHA!$E$2:$E$201,MATCH(1,(EXCEPCIONES_FECHA!$A$2:$A$201=$A1218)*(EXCEPCIONES_FECHA!$B$2:$B$201=$B1218),0)),IFERROR(INDEX(EXCEPCIONES_FECHA!$E$2:$E$201,MATCH(1,(EXCEPCIONES_FECHA!$A$2:$A$201=$A1218)*(EXCEPCIONES_FECHA!$B$2:$B$201=""),0)),IFERROR(INDEX(IF($I1218="FIN",HISTORIAL_HORARIOS!$K$2:$K$201,HISTORIAL_HORARIOS!$G$2:$G$201),MATCH(1,(HISTORIAL_HORARIOS!$A$2:$A$201=$B1218)*(HISTORIAL_HORARIOS!$C$2:$C$201&lt;=$A1218)*(HISTORIAL_HORARIOS!$D$2:$D$201&gt;=$A1218),0)),INDEX(IF($I1218="FIN",PERSONAL!$K$2:$K$80,PERSONAL!$G$2:$G$80),MATCH($B1218,PERSONAL!$A$2:$A$80,0)))))</f>
        <v/>
      </c>
      <c r="O1218" s="53">
        <f t="array" ref="O1218">IFERROR(INDEX(EXCEPCIONES_FECHA!$F$2:$F$201,MATCH(1,(EXCEPCIONES_FECHA!$A$2:$A$201=$A1218)*(EXCEPCIONES_FECHA!$B$2:$B$201=$B1218),0)),IFERROR(INDEX(EXCEPCIONES_FECHA!$F$2:$F$201,MATCH(1,(EXCEPCIONES_FECHA!$A$2:$A$201=$A1218)*(EXCEPCIONES_FECHA!$B$2:$B$201=""),0)),IFERROR(INDEX(IF($I1218="FIN",HISTORIAL_HORARIOS!$L$2:$L$201,HISTORIAL_HORARIOS!$H$2:$H$201),MATCH(1,(HISTORIAL_HORARIOS!$A$2:$A$201=$B1218)*(HISTORIAL_HORARIOS!$C$2:$C$201&lt;=$A1218)*(HISTORIAL_HORARIOS!$D$2:$D$201&gt;=$A1218),0)),INDEX(IF($I1218="FIN",PERSONAL!$L$2:$L$80,PERSONAL!$H$2:$H$80),MATCH($B1218,PERSONAL!$A$2:$A$80,0)))))</f>
        <v/>
      </c>
    </row>
    <row r="1219" ht="15" customHeight="1" s="58">
      <c r="A1219" s="40" t="n"/>
      <c r="B1219" s="38" t="n"/>
      <c r="C1219" s="40" t="n"/>
      <c r="D1219" s="40" t="n"/>
      <c r="E1219" s="34">
        <f t="array" ref="E1219">IF($B1219="","",IFERROR(INDEX(PERSONAL!$B$2:$B$80,MATCH($B1219,PERSONAL!$A$2:$A$80,0)),"NO EXISTE"))</f>
        <v/>
      </c>
      <c r="F1219" s="34">
        <f t="array" ref="F1219">IF($B1219="","",IFERROR(INDEX(PERSONAL!$C$2:$C$80,MATCH($B1219,PERSONAL!$A$2:$A$80,0)),""))</f>
        <v/>
      </c>
      <c r="G1219" s="34">
        <f>IF($A1219="","",CHOOSE(WEEKDAY($A1219,2),"LUNES","MARTES","MIÉRCOLES","JUEVES","VIERNES","SÁBADO","DOMINGO"))</f>
        <v/>
      </c>
      <c r="H1219" s="34">
        <f>IF($A1219="","",CHOOSE(MONTH($A1219),"ENERO","FEBRERO","MARZO","ABRIL","MAYO","JUNIO","JULIO","AGOSTO","SEPTIEMBRE","OCTUBRE","NOVIEMBRE","DICIEMBRE"))</f>
        <v/>
      </c>
      <c r="I1219" s="34">
        <f>IF($A1219="","",IF(OR($G1219="SÁBADO",$G1219="DOMINGO"),"FIN","LV"))</f>
        <v/>
      </c>
      <c r="J1219" s="34">
        <f>IF(OR($A1219="",$B1219=""),"",IF($L1219&lt;&gt;"",UPPER($L1219),IF($C1219="","FALTA",IFERROR(IF($C1219&gt;=$O1219,"ROJO FUERTE",IF($C1219&gt;=$N1219,"ROJO",IF($C1219&gt;=$M1219,"AMARILLO","VERDE"))),"REVISAR"))))</f>
        <v/>
      </c>
      <c r="K1219" s="36">
        <f>IF(OR($C1219="",$D1219=""),"",IF($D1219&gt;=$C1219,($D1219-$C1219)*24,(1-$C1219+$D1219)*24))</f>
        <v/>
      </c>
      <c r="L1219" s="34" t="n"/>
      <c r="M1219" s="53">
        <f t="array" ref="M1219">IFERROR(INDEX(EXCEPCIONES_FECHA!$D$2:$D$201,MATCH(1,(EXCEPCIONES_FECHA!$A$2:$A$201=$A1219)*(EXCEPCIONES_FECHA!$B$2:$B$201=$B1219),0)),IFERROR(INDEX(EXCEPCIONES_FECHA!$D$2:$D$201,MATCH(1,(EXCEPCIONES_FECHA!$A$2:$A$201=$A1219)*(EXCEPCIONES_FECHA!$B$2:$B$201=""),0)),IFERROR(INDEX(IF($I1219="FIN",HISTORIAL_HORARIOS!$J$2:$J$201,HISTORIAL_HORARIOS!$F$2:$F$201),MATCH(1,(HISTORIAL_HORARIOS!$A$2:$A$201=$B1219)*(HISTORIAL_HORARIOS!$C$2:$C$201&lt;=$A1219)*(HISTORIAL_HORARIOS!$D$2:$D$201&gt;=$A1219),0)),INDEX(IF($I1219="FIN",PERSONAL!$J$2:$J$80,PERSONAL!$F$2:$F$80),MATCH($B1219,PERSONAL!$A$2:$A$80,0)))))</f>
        <v/>
      </c>
      <c r="N1219" s="53">
        <f t="array" ref="N1219">IFERROR(INDEX(EXCEPCIONES_FECHA!$E$2:$E$201,MATCH(1,(EXCEPCIONES_FECHA!$A$2:$A$201=$A1219)*(EXCEPCIONES_FECHA!$B$2:$B$201=$B1219),0)),IFERROR(INDEX(EXCEPCIONES_FECHA!$E$2:$E$201,MATCH(1,(EXCEPCIONES_FECHA!$A$2:$A$201=$A1219)*(EXCEPCIONES_FECHA!$B$2:$B$201=""),0)),IFERROR(INDEX(IF($I1219="FIN",HISTORIAL_HORARIOS!$K$2:$K$201,HISTORIAL_HORARIOS!$G$2:$G$201),MATCH(1,(HISTORIAL_HORARIOS!$A$2:$A$201=$B1219)*(HISTORIAL_HORARIOS!$C$2:$C$201&lt;=$A1219)*(HISTORIAL_HORARIOS!$D$2:$D$201&gt;=$A1219),0)),INDEX(IF($I1219="FIN",PERSONAL!$K$2:$K$80,PERSONAL!$G$2:$G$80),MATCH($B1219,PERSONAL!$A$2:$A$80,0)))))</f>
        <v/>
      </c>
      <c r="O1219" s="53">
        <f t="array" ref="O1219">IFERROR(INDEX(EXCEPCIONES_FECHA!$F$2:$F$201,MATCH(1,(EXCEPCIONES_FECHA!$A$2:$A$201=$A1219)*(EXCEPCIONES_FECHA!$B$2:$B$201=$B1219),0)),IFERROR(INDEX(EXCEPCIONES_FECHA!$F$2:$F$201,MATCH(1,(EXCEPCIONES_FECHA!$A$2:$A$201=$A1219)*(EXCEPCIONES_FECHA!$B$2:$B$201=""),0)),IFERROR(INDEX(IF($I1219="FIN",HISTORIAL_HORARIOS!$L$2:$L$201,HISTORIAL_HORARIOS!$H$2:$H$201),MATCH(1,(HISTORIAL_HORARIOS!$A$2:$A$201=$B1219)*(HISTORIAL_HORARIOS!$C$2:$C$201&lt;=$A1219)*(HISTORIAL_HORARIOS!$D$2:$D$201&gt;=$A1219),0)),INDEX(IF($I1219="FIN",PERSONAL!$L$2:$L$80,PERSONAL!$H$2:$H$80),MATCH($B1219,PERSONAL!$A$2:$A$80,0)))))</f>
        <v/>
      </c>
    </row>
    <row r="1220" ht="15" customHeight="1" s="58">
      <c r="A1220" s="40" t="n"/>
      <c r="B1220" s="38" t="n"/>
      <c r="C1220" s="40" t="n"/>
      <c r="D1220" s="40" t="n"/>
      <c r="E1220" s="34">
        <f t="array" ref="E1220">IF($B1220="","",IFERROR(INDEX(PERSONAL!$B$2:$B$80,MATCH($B1220,PERSONAL!$A$2:$A$80,0)),"NO EXISTE"))</f>
        <v/>
      </c>
      <c r="F1220" s="34">
        <f t="array" ref="F1220">IF($B1220="","",IFERROR(INDEX(PERSONAL!$C$2:$C$80,MATCH($B1220,PERSONAL!$A$2:$A$80,0)),""))</f>
        <v/>
      </c>
      <c r="G1220" s="34">
        <f>IF($A1220="","",CHOOSE(WEEKDAY($A1220,2),"LUNES","MARTES","MIÉRCOLES","JUEVES","VIERNES","SÁBADO","DOMINGO"))</f>
        <v/>
      </c>
      <c r="H1220" s="34">
        <f>IF($A1220="","",CHOOSE(MONTH($A1220),"ENERO","FEBRERO","MARZO","ABRIL","MAYO","JUNIO","JULIO","AGOSTO","SEPTIEMBRE","OCTUBRE","NOVIEMBRE","DICIEMBRE"))</f>
        <v/>
      </c>
      <c r="I1220" s="34">
        <f>IF($A1220="","",IF(OR($G1220="SÁBADO",$G1220="DOMINGO"),"FIN","LV"))</f>
        <v/>
      </c>
      <c r="J1220" s="34">
        <f>IF(OR($A1220="",$B1220=""),"",IF($L1220&lt;&gt;"",UPPER($L1220),IF($C1220="","FALTA",IFERROR(IF($C1220&gt;=$O1220,"ROJO FUERTE",IF($C1220&gt;=$N1220,"ROJO",IF($C1220&gt;=$M1220,"AMARILLO","VERDE"))),"REVISAR"))))</f>
        <v/>
      </c>
      <c r="K1220" s="36">
        <f>IF(OR($C1220="",$D1220=""),"",IF($D1220&gt;=$C1220,($D1220-$C1220)*24,(1-$C1220+$D1220)*24))</f>
        <v/>
      </c>
      <c r="L1220" s="34" t="n"/>
      <c r="M1220" s="53">
        <f t="array" ref="M1220">IFERROR(INDEX(EXCEPCIONES_FECHA!$D$2:$D$201,MATCH(1,(EXCEPCIONES_FECHA!$A$2:$A$201=$A1220)*(EXCEPCIONES_FECHA!$B$2:$B$201=$B1220),0)),IFERROR(INDEX(EXCEPCIONES_FECHA!$D$2:$D$201,MATCH(1,(EXCEPCIONES_FECHA!$A$2:$A$201=$A1220)*(EXCEPCIONES_FECHA!$B$2:$B$201=""),0)),IFERROR(INDEX(IF($I1220="FIN",HISTORIAL_HORARIOS!$J$2:$J$201,HISTORIAL_HORARIOS!$F$2:$F$201),MATCH(1,(HISTORIAL_HORARIOS!$A$2:$A$201=$B1220)*(HISTORIAL_HORARIOS!$C$2:$C$201&lt;=$A1220)*(HISTORIAL_HORARIOS!$D$2:$D$201&gt;=$A1220),0)),INDEX(IF($I1220="FIN",PERSONAL!$J$2:$J$80,PERSONAL!$F$2:$F$80),MATCH($B1220,PERSONAL!$A$2:$A$80,0)))))</f>
        <v/>
      </c>
      <c r="N1220" s="53">
        <f t="array" ref="N1220">IFERROR(INDEX(EXCEPCIONES_FECHA!$E$2:$E$201,MATCH(1,(EXCEPCIONES_FECHA!$A$2:$A$201=$A1220)*(EXCEPCIONES_FECHA!$B$2:$B$201=$B1220),0)),IFERROR(INDEX(EXCEPCIONES_FECHA!$E$2:$E$201,MATCH(1,(EXCEPCIONES_FECHA!$A$2:$A$201=$A1220)*(EXCEPCIONES_FECHA!$B$2:$B$201=""),0)),IFERROR(INDEX(IF($I1220="FIN",HISTORIAL_HORARIOS!$K$2:$K$201,HISTORIAL_HORARIOS!$G$2:$G$201),MATCH(1,(HISTORIAL_HORARIOS!$A$2:$A$201=$B1220)*(HISTORIAL_HORARIOS!$C$2:$C$201&lt;=$A1220)*(HISTORIAL_HORARIOS!$D$2:$D$201&gt;=$A1220),0)),INDEX(IF($I1220="FIN",PERSONAL!$K$2:$K$80,PERSONAL!$G$2:$G$80),MATCH($B1220,PERSONAL!$A$2:$A$80,0)))))</f>
        <v/>
      </c>
      <c r="O1220" s="53">
        <f t="array" ref="O1220">IFERROR(INDEX(EXCEPCIONES_FECHA!$F$2:$F$201,MATCH(1,(EXCEPCIONES_FECHA!$A$2:$A$201=$A1220)*(EXCEPCIONES_FECHA!$B$2:$B$201=$B1220),0)),IFERROR(INDEX(EXCEPCIONES_FECHA!$F$2:$F$201,MATCH(1,(EXCEPCIONES_FECHA!$A$2:$A$201=$A1220)*(EXCEPCIONES_FECHA!$B$2:$B$201=""),0)),IFERROR(INDEX(IF($I1220="FIN",HISTORIAL_HORARIOS!$L$2:$L$201,HISTORIAL_HORARIOS!$H$2:$H$201),MATCH(1,(HISTORIAL_HORARIOS!$A$2:$A$201=$B1220)*(HISTORIAL_HORARIOS!$C$2:$C$201&lt;=$A1220)*(HISTORIAL_HORARIOS!$D$2:$D$201&gt;=$A1220),0)),INDEX(IF($I1220="FIN",PERSONAL!$L$2:$L$80,PERSONAL!$H$2:$H$80),MATCH($B1220,PERSONAL!$A$2:$A$80,0)))))</f>
        <v/>
      </c>
    </row>
    <row r="1221" ht="15" customHeight="1" s="58">
      <c r="A1221" s="40" t="n"/>
      <c r="B1221" s="38" t="n"/>
      <c r="C1221" s="40" t="n"/>
      <c r="D1221" s="40" t="n"/>
      <c r="E1221" s="34">
        <f t="array" ref="E1221">IF($B1221="","",IFERROR(INDEX(PERSONAL!$B$2:$B$80,MATCH($B1221,PERSONAL!$A$2:$A$80,0)),"NO EXISTE"))</f>
        <v/>
      </c>
      <c r="F1221" s="34">
        <f t="array" ref="F1221">IF($B1221="","",IFERROR(INDEX(PERSONAL!$C$2:$C$80,MATCH($B1221,PERSONAL!$A$2:$A$80,0)),""))</f>
        <v/>
      </c>
      <c r="G1221" s="34">
        <f>IF($A1221="","",CHOOSE(WEEKDAY($A1221,2),"LUNES","MARTES","MIÉRCOLES","JUEVES","VIERNES","SÁBADO","DOMINGO"))</f>
        <v/>
      </c>
      <c r="H1221" s="34">
        <f>IF($A1221="","",CHOOSE(MONTH($A1221),"ENERO","FEBRERO","MARZO","ABRIL","MAYO","JUNIO","JULIO","AGOSTO","SEPTIEMBRE","OCTUBRE","NOVIEMBRE","DICIEMBRE"))</f>
        <v/>
      </c>
      <c r="I1221" s="34">
        <f>IF($A1221="","",IF(OR($G1221="SÁBADO",$G1221="DOMINGO"),"FIN","LV"))</f>
        <v/>
      </c>
      <c r="J1221" s="34">
        <f>IF(OR($A1221="",$B1221=""),"",IF($L1221&lt;&gt;"",UPPER($L1221),IF($C1221="","FALTA",IFERROR(IF($C1221&gt;=$O1221,"ROJO FUERTE",IF($C1221&gt;=$N1221,"ROJO",IF($C1221&gt;=$M1221,"AMARILLO","VERDE"))),"REVISAR"))))</f>
        <v/>
      </c>
      <c r="K1221" s="36">
        <f>IF(OR($C1221="",$D1221=""),"",IF($D1221&gt;=$C1221,($D1221-$C1221)*24,(1-$C1221+$D1221)*24))</f>
        <v/>
      </c>
      <c r="L1221" s="34" t="n"/>
      <c r="M1221" s="53">
        <f t="array" ref="M1221">IFERROR(INDEX(EXCEPCIONES_FECHA!$D$2:$D$201,MATCH(1,(EXCEPCIONES_FECHA!$A$2:$A$201=$A1221)*(EXCEPCIONES_FECHA!$B$2:$B$201=$B1221),0)),IFERROR(INDEX(EXCEPCIONES_FECHA!$D$2:$D$201,MATCH(1,(EXCEPCIONES_FECHA!$A$2:$A$201=$A1221)*(EXCEPCIONES_FECHA!$B$2:$B$201=""),0)),IFERROR(INDEX(IF($I1221="FIN",HISTORIAL_HORARIOS!$J$2:$J$201,HISTORIAL_HORARIOS!$F$2:$F$201),MATCH(1,(HISTORIAL_HORARIOS!$A$2:$A$201=$B1221)*(HISTORIAL_HORARIOS!$C$2:$C$201&lt;=$A1221)*(HISTORIAL_HORARIOS!$D$2:$D$201&gt;=$A1221),0)),INDEX(IF($I1221="FIN",PERSONAL!$J$2:$J$80,PERSONAL!$F$2:$F$80),MATCH($B1221,PERSONAL!$A$2:$A$80,0)))))</f>
        <v/>
      </c>
      <c r="N1221" s="53">
        <f t="array" ref="N1221">IFERROR(INDEX(EXCEPCIONES_FECHA!$E$2:$E$201,MATCH(1,(EXCEPCIONES_FECHA!$A$2:$A$201=$A1221)*(EXCEPCIONES_FECHA!$B$2:$B$201=$B1221),0)),IFERROR(INDEX(EXCEPCIONES_FECHA!$E$2:$E$201,MATCH(1,(EXCEPCIONES_FECHA!$A$2:$A$201=$A1221)*(EXCEPCIONES_FECHA!$B$2:$B$201=""),0)),IFERROR(INDEX(IF($I1221="FIN",HISTORIAL_HORARIOS!$K$2:$K$201,HISTORIAL_HORARIOS!$G$2:$G$201),MATCH(1,(HISTORIAL_HORARIOS!$A$2:$A$201=$B1221)*(HISTORIAL_HORARIOS!$C$2:$C$201&lt;=$A1221)*(HISTORIAL_HORARIOS!$D$2:$D$201&gt;=$A1221),0)),INDEX(IF($I1221="FIN",PERSONAL!$K$2:$K$80,PERSONAL!$G$2:$G$80),MATCH($B1221,PERSONAL!$A$2:$A$80,0)))))</f>
        <v/>
      </c>
      <c r="O1221" s="53">
        <f t="array" ref="O1221">IFERROR(INDEX(EXCEPCIONES_FECHA!$F$2:$F$201,MATCH(1,(EXCEPCIONES_FECHA!$A$2:$A$201=$A1221)*(EXCEPCIONES_FECHA!$B$2:$B$201=$B1221),0)),IFERROR(INDEX(EXCEPCIONES_FECHA!$F$2:$F$201,MATCH(1,(EXCEPCIONES_FECHA!$A$2:$A$201=$A1221)*(EXCEPCIONES_FECHA!$B$2:$B$201=""),0)),IFERROR(INDEX(IF($I1221="FIN",HISTORIAL_HORARIOS!$L$2:$L$201,HISTORIAL_HORARIOS!$H$2:$H$201),MATCH(1,(HISTORIAL_HORARIOS!$A$2:$A$201=$B1221)*(HISTORIAL_HORARIOS!$C$2:$C$201&lt;=$A1221)*(HISTORIAL_HORARIOS!$D$2:$D$201&gt;=$A1221),0)),INDEX(IF($I1221="FIN",PERSONAL!$L$2:$L$80,PERSONAL!$H$2:$H$80),MATCH($B1221,PERSONAL!$A$2:$A$80,0)))))</f>
        <v/>
      </c>
    </row>
    <row r="1222" ht="15" customHeight="1" s="58">
      <c r="A1222" s="40" t="n"/>
      <c r="B1222" s="38" t="n"/>
      <c r="C1222" s="40" t="n"/>
      <c r="D1222" s="40" t="n"/>
      <c r="E1222" s="34">
        <f t="array" ref="E1222">IF($B1222="","",IFERROR(INDEX(PERSONAL!$B$2:$B$80,MATCH($B1222,PERSONAL!$A$2:$A$80,0)),"NO EXISTE"))</f>
        <v/>
      </c>
      <c r="F1222" s="34">
        <f t="array" ref="F1222">IF($B1222="","",IFERROR(INDEX(PERSONAL!$C$2:$C$80,MATCH($B1222,PERSONAL!$A$2:$A$80,0)),""))</f>
        <v/>
      </c>
      <c r="G1222" s="34">
        <f>IF($A1222="","",CHOOSE(WEEKDAY($A1222,2),"LUNES","MARTES","MIÉRCOLES","JUEVES","VIERNES","SÁBADO","DOMINGO"))</f>
        <v/>
      </c>
      <c r="H1222" s="34">
        <f>IF($A1222="","",CHOOSE(MONTH($A1222),"ENERO","FEBRERO","MARZO","ABRIL","MAYO","JUNIO","JULIO","AGOSTO","SEPTIEMBRE","OCTUBRE","NOVIEMBRE","DICIEMBRE"))</f>
        <v/>
      </c>
      <c r="I1222" s="34">
        <f>IF($A1222="","",IF(OR($G1222="SÁBADO",$G1222="DOMINGO"),"FIN","LV"))</f>
        <v/>
      </c>
      <c r="J1222" s="34">
        <f>IF(OR($A1222="",$B1222=""),"",IF($L1222&lt;&gt;"",UPPER($L1222),IF($C1222="","FALTA",IFERROR(IF($C1222&gt;=$O1222,"ROJO FUERTE",IF($C1222&gt;=$N1222,"ROJO",IF($C1222&gt;=$M1222,"AMARILLO","VERDE"))),"REVISAR"))))</f>
        <v/>
      </c>
      <c r="K1222" s="36">
        <f>IF(OR($C1222="",$D1222=""),"",IF($D1222&gt;=$C1222,($D1222-$C1222)*24,(1-$C1222+$D1222)*24))</f>
        <v/>
      </c>
      <c r="L1222" s="34" t="n"/>
      <c r="M1222" s="53">
        <f t="array" ref="M1222">IFERROR(INDEX(EXCEPCIONES_FECHA!$D$2:$D$201,MATCH(1,(EXCEPCIONES_FECHA!$A$2:$A$201=$A1222)*(EXCEPCIONES_FECHA!$B$2:$B$201=$B1222),0)),IFERROR(INDEX(EXCEPCIONES_FECHA!$D$2:$D$201,MATCH(1,(EXCEPCIONES_FECHA!$A$2:$A$201=$A1222)*(EXCEPCIONES_FECHA!$B$2:$B$201=""),0)),IFERROR(INDEX(IF($I1222="FIN",HISTORIAL_HORARIOS!$J$2:$J$201,HISTORIAL_HORARIOS!$F$2:$F$201),MATCH(1,(HISTORIAL_HORARIOS!$A$2:$A$201=$B1222)*(HISTORIAL_HORARIOS!$C$2:$C$201&lt;=$A1222)*(HISTORIAL_HORARIOS!$D$2:$D$201&gt;=$A1222),0)),INDEX(IF($I1222="FIN",PERSONAL!$J$2:$J$80,PERSONAL!$F$2:$F$80),MATCH($B1222,PERSONAL!$A$2:$A$80,0)))))</f>
        <v/>
      </c>
      <c r="N1222" s="53">
        <f t="array" ref="N1222">IFERROR(INDEX(EXCEPCIONES_FECHA!$E$2:$E$201,MATCH(1,(EXCEPCIONES_FECHA!$A$2:$A$201=$A1222)*(EXCEPCIONES_FECHA!$B$2:$B$201=$B1222),0)),IFERROR(INDEX(EXCEPCIONES_FECHA!$E$2:$E$201,MATCH(1,(EXCEPCIONES_FECHA!$A$2:$A$201=$A1222)*(EXCEPCIONES_FECHA!$B$2:$B$201=""),0)),IFERROR(INDEX(IF($I1222="FIN",HISTORIAL_HORARIOS!$K$2:$K$201,HISTORIAL_HORARIOS!$G$2:$G$201),MATCH(1,(HISTORIAL_HORARIOS!$A$2:$A$201=$B1222)*(HISTORIAL_HORARIOS!$C$2:$C$201&lt;=$A1222)*(HISTORIAL_HORARIOS!$D$2:$D$201&gt;=$A1222),0)),INDEX(IF($I1222="FIN",PERSONAL!$K$2:$K$80,PERSONAL!$G$2:$G$80),MATCH($B1222,PERSONAL!$A$2:$A$80,0)))))</f>
        <v/>
      </c>
      <c r="O1222" s="53">
        <f t="array" ref="O1222">IFERROR(INDEX(EXCEPCIONES_FECHA!$F$2:$F$201,MATCH(1,(EXCEPCIONES_FECHA!$A$2:$A$201=$A1222)*(EXCEPCIONES_FECHA!$B$2:$B$201=$B1222),0)),IFERROR(INDEX(EXCEPCIONES_FECHA!$F$2:$F$201,MATCH(1,(EXCEPCIONES_FECHA!$A$2:$A$201=$A1222)*(EXCEPCIONES_FECHA!$B$2:$B$201=""),0)),IFERROR(INDEX(IF($I1222="FIN",HISTORIAL_HORARIOS!$L$2:$L$201,HISTORIAL_HORARIOS!$H$2:$H$201),MATCH(1,(HISTORIAL_HORARIOS!$A$2:$A$201=$B1222)*(HISTORIAL_HORARIOS!$C$2:$C$201&lt;=$A1222)*(HISTORIAL_HORARIOS!$D$2:$D$201&gt;=$A1222),0)),INDEX(IF($I1222="FIN",PERSONAL!$L$2:$L$80,PERSONAL!$H$2:$H$80),MATCH($B1222,PERSONAL!$A$2:$A$80,0)))))</f>
        <v/>
      </c>
    </row>
    <row r="1223" ht="15" customHeight="1" s="58">
      <c r="A1223" s="40" t="n"/>
      <c r="B1223" s="38" t="n"/>
      <c r="C1223" s="40" t="n"/>
      <c r="D1223" s="40" t="n"/>
      <c r="E1223" s="34">
        <f t="array" ref="E1223">IF($B1223="","",IFERROR(INDEX(PERSONAL!$B$2:$B$80,MATCH($B1223,PERSONAL!$A$2:$A$80,0)),"NO EXISTE"))</f>
        <v/>
      </c>
      <c r="F1223" s="34">
        <f t="array" ref="F1223">IF($B1223="","",IFERROR(INDEX(PERSONAL!$C$2:$C$80,MATCH($B1223,PERSONAL!$A$2:$A$80,0)),""))</f>
        <v/>
      </c>
      <c r="G1223" s="34">
        <f>IF($A1223="","",CHOOSE(WEEKDAY($A1223,2),"LUNES","MARTES","MIÉRCOLES","JUEVES","VIERNES","SÁBADO","DOMINGO"))</f>
        <v/>
      </c>
      <c r="H1223" s="34">
        <f>IF($A1223="","",CHOOSE(MONTH($A1223),"ENERO","FEBRERO","MARZO","ABRIL","MAYO","JUNIO","JULIO","AGOSTO","SEPTIEMBRE","OCTUBRE","NOVIEMBRE","DICIEMBRE"))</f>
        <v/>
      </c>
      <c r="I1223" s="34">
        <f>IF($A1223="","",IF(OR($G1223="SÁBADO",$G1223="DOMINGO"),"FIN","LV"))</f>
        <v/>
      </c>
      <c r="J1223" s="34">
        <f>IF(OR($A1223="",$B1223=""),"",IF($L1223&lt;&gt;"",UPPER($L1223),IF($C1223="","FALTA",IFERROR(IF($C1223&gt;=$O1223,"ROJO FUERTE",IF($C1223&gt;=$N1223,"ROJO",IF($C1223&gt;=$M1223,"AMARILLO","VERDE"))),"REVISAR"))))</f>
        <v/>
      </c>
      <c r="K1223" s="36">
        <f>IF(OR($C1223="",$D1223=""),"",IF($D1223&gt;=$C1223,($D1223-$C1223)*24,(1-$C1223+$D1223)*24))</f>
        <v/>
      </c>
      <c r="L1223" s="34" t="n"/>
      <c r="M1223" s="53">
        <f t="array" ref="M1223">IFERROR(INDEX(EXCEPCIONES_FECHA!$D$2:$D$201,MATCH(1,(EXCEPCIONES_FECHA!$A$2:$A$201=$A1223)*(EXCEPCIONES_FECHA!$B$2:$B$201=$B1223),0)),IFERROR(INDEX(EXCEPCIONES_FECHA!$D$2:$D$201,MATCH(1,(EXCEPCIONES_FECHA!$A$2:$A$201=$A1223)*(EXCEPCIONES_FECHA!$B$2:$B$201=""),0)),IFERROR(INDEX(IF($I1223="FIN",HISTORIAL_HORARIOS!$J$2:$J$201,HISTORIAL_HORARIOS!$F$2:$F$201),MATCH(1,(HISTORIAL_HORARIOS!$A$2:$A$201=$B1223)*(HISTORIAL_HORARIOS!$C$2:$C$201&lt;=$A1223)*(HISTORIAL_HORARIOS!$D$2:$D$201&gt;=$A1223),0)),INDEX(IF($I1223="FIN",PERSONAL!$J$2:$J$80,PERSONAL!$F$2:$F$80),MATCH($B1223,PERSONAL!$A$2:$A$80,0)))))</f>
        <v/>
      </c>
      <c r="N1223" s="53">
        <f t="array" ref="N1223">IFERROR(INDEX(EXCEPCIONES_FECHA!$E$2:$E$201,MATCH(1,(EXCEPCIONES_FECHA!$A$2:$A$201=$A1223)*(EXCEPCIONES_FECHA!$B$2:$B$201=$B1223),0)),IFERROR(INDEX(EXCEPCIONES_FECHA!$E$2:$E$201,MATCH(1,(EXCEPCIONES_FECHA!$A$2:$A$201=$A1223)*(EXCEPCIONES_FECHA!$B$2:$B$201=""),0)),IFERROR(INDEX(IF($I1223="FIN",HISTORIAL_HORARIOS!$K$2:$K$201,HISTORIAL_HORARIOS!$G$2:$G$201),MATCH(1,(HISTORIAL_HORARIOS!$A$2:$A$201=$B1223)*(HISTORIAL_HORARIOS!$C$2:$C$201&lt;=$A1223)*(HISTORIAL_HORARIOS!$D$2:$D$201&gt;=$A1223),0)),INDEX(IF($I1223="FIN",PERSONAL!$K$2:$K$80,PERSONAL!$G$2:$G$80),MATCH($B1223,PERSONAL!$A$2:$A$80,0)))))</f>
        <v/>
      </c>
      <c r="O1223" s="53">
        <f t="array" ref="O1223">IFERROR(INDEX(EXCEPCIONES_FECHA!$F$2:$F$201,MATCH(1,(EXCEPCIONES_FECHA!$A$2:$A$201=$A1223)*(EXCEPCIONES_FECHA!$B$2:$B$201=$B1223),0)),IFERROR(INDEX(EXCEPCIONES_FECHA!$F$2:$F$201,MATCH(1,(EXCEPCIONES_FECHA!$A$2:$A$201=$A1223)*(EXCEPCIONES_FECHA!$B$2:$B$201=""),0)),IFERROR(INDEX(IF($I1223="FIN",HISTORIAL_HORARIOS!$L$2:$L$201,HISTORIAL_HORARIOS!$H$2:$H$201),MATCH(1,(HISTORIAL_HORARIOS!$A$2:$A$201=$B1223)*(HISTORIAL_HORARIOS!$C$2:$C$201&lt;=$A1223)*(HISTORIAL_HORARIOS!$D$2:$D$201&gt;=$A1223),0)),INDEX(IF($I1223="FIN",PERSONAL!$L$2:$L$80,PERSONAL!$H$2:$H$80),MATCH($B1223,PERSONAL!$A$2:$A$80,0)))))</f>
        <v/>
      </c>
    </row>
    <row r="1224" ht="15" customHeight="1" s="58">
      <c r="A1224" s="40" t="n"/>
      <c r="B1224" s="38" t="n"/>
      <c r="C1224" s="40" t="n"/>
      <c r="D1224" s="40" t="n"/>
      <c r="E1224" s="34">
        <f t="array" ref="E1224">IF($B1224="","",IFERROR(INDEX(PERSONAL!$B$2:$B$80,MATCH($B1224,PERSONAL!$A$2:$A$80,0)),"NO EXISTE"))</f>
        <v/>
      </c>
      <c r="F1224" s="34">
        <f t="array" ref="F1224">IF($B1224="","",IFERROR(INDEX(PERSONAL!$C$2:$C$80,MATCH($B1224,PERSONAL!$A$2:$A$80,0)),""))</f>
        <v/>
      </c>
      <c r="G1224" s="34">
        <f>IF($A1224="","",CHOOSE(WEEKDAY($A1224,2),"LUNES","MARTES","MIÉRCOLES","JUEVES","VIERNES","SÁBADO","DOMINGO"))</f>
        <v/>
      </c>
      <c r="H1224" s="34">
        <f>IF($A1224="","",CHOOSE(MONTH($A1224),"ENERO","FEBRERO","MARZO","ABRIL","MAYO","JUNIO","JULIO","AGOSTO","SEPTIEMBRE","OCTUBRE","NOVIEMBRE","DICIEMBRE"))</f>
        <v/>
      </c>
      <c r="I1224" s="34">
        <f>IF($A1224="","",IF(OR($G1224="SÁBADO",$G1224="DOMINGO"),"FIN","LV"))</f>
        <v/>
      </c>
      <c r="J1224" s="34">
        <f>IF(OR($A1224="",$B1224=""),"",IF($L1224&lt;&gt;"",UPPER($L1224),IF($C1224="","FALTA",IFERROR(IF($C1224&gt;=$O1224,"ROJO FUERTE",IF($C1224&gt;=$N1224,"ROJO",IF($C1224&gt;=$M1224,"AMARILLO","VERDE"))),"REVISAR"))))</f>
        <v/>
      </c>
      <c r="K1224" s="36">
        <f>IF(OR($C1224="",$D1224=""),"",IF($D1224&gt;=$C1224,($D1224-$C1224)*24,(1-$C1224+$D1224)*24))</f>
        <v/>
      </c>
      <c r="L1224" s="34" t="n"/>
      <c r="M1224" s="53">
        <f t="array" ref="M1224">IFERROR(INDEX(EXCEPCIONES_FECHA!$D$2:$D$201,MATCH(1,(EXCEPCIONES_FECHA!$A$2:$A$201=$A1224)*(EXCEPCIONES_FECHA!$B$2:$B$201=$B1224),0)),IFERROR(INDEX(EXCEPCIONES_FECHA!$D$2:$D$201,MATCH(1,(EXCEPCIONES_FECHA!$A$2:$A$201=$A1224)*(EXCEPCIONES_FECHA!$B$2:$B$201=""),0)),IFERROR(INDEX(IF($I1224="FIN",HISTORIAL_HORARIOS!$J$2:$J$201,HISTORIAL_HORARIOS!$F$2:$F$201),MATCH(1,(HISTORIAL_HORARIOS!$A$2:$A$201=$B1224)*(HISTORIAL_HORARIOS!$C$2:$C$201&lt;=$A1224)*(HISTORIAL_HORARIOS!$D$2:$D$201&gt;=$A1224),0)),INDEX(IF($I1224="FIN",PERSONAL!$J$2:$J$80,PERSONAL!$F$2:$F$80),MATCH($B1224,PERSONAL!$A$2:$A$80,0)))))</f>
        <v/>
      </c>
      <c r="N1224" s="53">
        <f t="array" ref="N1224">IFERROR(INDEX(EXCEPCIONES_FECHA!$E$2:$E$201,MATCH(1,(EXCEPCIONES_FECHA!$A$2:$A$201=$A1224)*(EXCEPCIONES_FECHA!$B$2:$B$201=$B1224),0)),IFERROR(INDEX(EXCEPCIONES_FECHA!$E$2:$E$201,MATCH(1,(EXCEPCIONES_FECHA!$A$2:$A$201=$A1224)*(EXCEPCIONES_FECHA!$B$2:$B$201=""),0)),IFERROR(INDEX(IF($I1224="FIN",HISTORIAL_HORARIOS!$K$2:$K$201,HISTORIAL_HORARIOS!$G$2:$G$201),MATCH(1,(HISTORIAL_HORARIOS!$A$2:$A$201=$B1224)*(HISTORIAL_HORARIOS!$C$2:$C$201&lt;=$A1224)*(HISTORIAL_HORARIOS!$D$2:$D$201&gt;=$A1224),0)),INDEX(IF($I1224="FIN",PERSONAL!$K$2:$K$80,PERSONAL!$G$2:$G$80),MATCH($B1224,PERSONAL!$A$2:$A$80,0)))))</f>
        <v/>
      </c>
      <c r="O1224" s="53">
        <f t="array" ref="O1224">IFERROR(INDEX(EXCEPCIONES_FECHA!$F$2:$F$201,MATCH(1,(EXCEPCIONES_FECHA!$A$2:$A$201=$A1224)*(EXCEPCIONES_FECHA!$B$2:$B$201=$B1224),0)),IFERROR(INDEX(EXCEPCIONES_FECHA!$F$2:$F$201,MATCH(1,(EXCEPCIONES_FECHA!$A$2:$A$201=$A1224)*(EXCEPCIONES_FECHA!$B$2:$B$201=""),0)),IFERROR(INDEX(IF($I1224="FIN",HISTORIAL_HORARIOS!$L$2:$L$201,HISTORIAL_HORARIOS!$H$2:$H$201),MATCH(1,(HISTORIAL_HORARIOS!$A$2:$A$201=$B1224)*(HISTORIAL_HORARIOS!$C$2:$C$201&lt;=$A1224)*(HISTORIAL_HORARIOS!$D$2:$D$201&gt;=$A1224),0)),INDEX(IF($I1224="FIN",PERSONAL!$L$2:$L$80,PERSONAL!$H$2:$H$80),MATCH($B1224,PERSONAL!$A$2:$A$80,0)))))</f>
        <v/>
      </c>
    </row>
    <row r="1225" ht="15" customHeight="1" s="58">
      <c r="A1225" s="40" t="n"/>
      <c r="B1225" s="38" t="n"/>
      <c r="C1225" s="40" t="n"/>
      <c r="D1225" s="40" t="n"/>
      <c r="E1225" s="34">
        <f t="array" ref="E1225">IF($B1225="","",IFERROR(INDEX(PERSONAL!$B$2:$B$80,MATCH($B1225,PERSONAL!$A$2:$A$80,0)),"NO EXISTE"))</f>
        <v/>
      </c>
      <c r="F1225" s="34">
        <f t="array" ref="F1225">IF($B1225="","",IFERROR(INDEX(PERSONAL!$C$2:$C$80,MATCH($B1225,PERSONAL!$A$2:$A$80,0)),""))</f>
        <v/>
      </c>
      <c r="G1225" s="34">
        <f>IF($A1225="","",CHOOSE(WEEKDAY($A1225,2),"LUNES","MARTES","MIÉRCOLES","JUEVES","VIERNES","SÁBADO","DOMINGO"))</f>
        <v/>
      </c>
      <c r="H1225" s="34">
        <f>IF($A1225="","",CHOOSE(MONTH($A1225),"ENERO","FEBRERO","MARZO","ABRIL","MAYO","JUNIO","JULIO","AGOSTO","SEPTIEMBRE","OCTUBRE","NOVIEMBRE","DICIEMBRE"))</f>
        <v/>
      </c>
      <c r="I1225" s="34">
        <f>IF($A1225="","",IF(OR($G1225="SÁBADO",$G1225="DOMINGO"),"FIN","LV"))</f>
        <v/>
      </c>
      <c r="J1225" s="34">
        <f>IF(OR($A1225="",$B1225=""),"",IF($L1225&lt;&gt;"",UPPER($L1225),IF($C1225="","FALTA",IFERROR(IF($C1225&gt;=$O1225,"ROJO FUERTE",IF($C1225&gt;=$N1225,"ROJO",IF($C1225&gt;=$M1225,"AMARILLO","VERDE"))),"REVISAR"))))</f>
        <v/>
      </c>
      <c r="K1225" s="36">
        <f>IF(OR($C1225="",$D1225=""),"",IF($D1225&gt;=$C1225,($D1225-$C1225)*24,(1-$C1225+$D1225)*24))</f>
        <v/>
      </c>
      <c r="L1225" s="34" t="n"/>
      <c r="M1225" s="53">
        <f t="array" ref="M1225">IFERROR(INDEX(EXCEPCIONES_FECHA!$D$2:$D$201,MATCH(1,(EXCEPCIONES_FECHA!$A$2:$A$201=$A1225)*(EXCEPCIONES_FECHA!$B$2:$B$201=$B1225),0)),IFERROR(INDEX(EXCEPCIONES_FECHA!$D$2:$D$201,MATCH(1,(EXCEPCIONES_FECHA!$A$2:$A$201=$A1225)*(EXCEPCIONES_FECHA!$B$2:$B$201=""),0)),IFERROR(INDEX(IF($I1225="FIN",HISTORIAL_HORARIOS!$J$2:$J$201,HISTORIAL_HORARIOS!$F$2:$F$201),MATCH(1,(HISTORIAL_HORARIOS!$A$2:$A$201=$B1225)*(HISTORIAL_HORARIOS!$C$2:$C$201&lt;=$A1225)*(HISTORIAL_HORARIOS!$D$2:$D$201&gt;=$A1225),0)),INDEX(IF($I1225="FIN",PERSONAL!$J$2:$J$80,PERSONAL!$F$2:$F$80),MATCH($B1225,PERSONAL!$A$2:$A$80,0)))))</f>
        <v/>
      </c>
      <c r="N1225" s="53">
        <f t="array" ref="N1225">IFERROR(INDEX(EXCEPCIONES_FECHA!$E$2:$E$201,MATCH(1,(EXCEPCIONES_FECHA!$A$2:$A$201=$A1225)*(EXCEPCIONES_FECHA!$B$2:$B$201=$B1225),0)),IFERROR(INDEX(EXCEPCIONES_FECHA!$E$2:$E$201,MATCH(1,(EXCEPCIONES_FECHA!$A$2:$A$201=$A1225)*(EXCEPCIONES_FECHA!$B$2:$B$201=""),0)),IFERROR(INDEX(IF($I1225="FIN",HISTORIAL_HORARIOS!$K$2:$K$201,HISTORIAL_HORARIOS!$G$2:$G$201),MATCH(1,(HISTORIAL_HORARIOS!$A$2:$A$201=$B1225)*(HISTORIAL_HORARIOS!$C$2:$C$201&lt;=$A1225)*(HISTORIAL_HORARIOS!$D$2:$D$201&gt;=$A1225),0)),INDEX(IF($I1225="FIN",PERSONAL!$K$2:$K$80,PERSONAL!$G$2:$G$80),MATCH($B1225,PERSONAL!$A$2:$A$80,0)))))</f>
        <v/>
      </c>
      <c r="O1225" s="53">
        <f t="array" ref="O1225">IFERROR(INDEX(EXCEPCIONES_FECHA!$F$2:$F$201,MATCH(1,(EXCEPCIONES_FECHA!$A$2:$A$201=$A1225)*(EXCEPCIONES_FECHA!$B$2:$B$201=$B1225),0)),IFERROR(INDEX(EXCEPCIONES_FECHA!$F$2:$F$201,MATCH(1,(EXCEPCIONES_FECHA!$A$2:$A$201=$A1225)*(EXCEPCIONES_FECHA!$B$2:$B$201=""),0)),IFERROR(INDEX(IF($I1225="FIN",HISTORIAL_HORARIOS!$L$2:$L$201,HISTORIAL_HORARIOS!$H$2:$H$201),MATCH(1,(HISTORIAL_HORARIOS!$A$2:$A$201=$B1225)*(HISTORIAL_HORARIOS!$C$2:$C$201&lt;=$A1225)*(HISTORIAL_HORARIOS!$D$2:$D$201&gt;=$A1225),0)),INDEX(IF($I1225="FIN",PERSONAL!$L$2:$L$80,PERSONAL!$H$2:$H$80),MATCH($B1225,PERSONAL!$A$2:$A$80,0)))))</f>
        <v/>
      </c>
    </row>
    <row r="1226" ht="15" customHeight="1" s="58">
      <c r="A1226" s="40" t="n"/>
      <c r="B1226" s="38" t="n"/>
      <c r="C1226" s="40" t="n"/>
      <c r="D1226" s="40" t="n"/>
      <c r="E1226" s="34">
        <f t="array" ref="E1226">IF($B1226="","",IFERROR(INDEX(PERSONAL!$B$2:$B$80,MATCH($B1226,PERSONAL!$A$2:$A$80,0)),"NO EXISTE"))</f>
        <v/>
      </c>
      <c r="F1226" s="34">
        <f t="array" ref="F1226">IF($B1226="","",IFERROR(INDEX(PERSONAL!$C$2:$C$80,MATCH($B1226,PERSONAL!$A$2:$A$80,0)),""))</f>
        <v/>
      </c>
      <c r="G1226" s="34">
        <f>IF($A1226="","",CHOOSE(WEEKDAY($A1226,2),"LUNES","MARTES","MIÉRCOLES","JUEVES","VIERNES","SÁBADO","DOMINGO"))</f>
        <v/>
      </c>
      <c r="H1226" s="34">
        <f>IF($A1226="","",CHOOSE(MONTH($A1226),"ENERO","FEBRERO","MARZO","ABRIL","MAYO","JUNIO","JULIO","AGOSTO","SEPTIEMBRE","OCTUBRE","NOVIEMBRE","DICIEMBRE"))</f>
        <v/>
      </c>
      <c r="I1226" s="34">
        <f>IF($A1226="","",IF(OR($G1226="SÁBADO",$G1226="DOMINGO"),"FIN","LV"))</f>
        <v/>
      </c>
      <c r="J1226" s="34">
        <f>IF(OR($A1226="",$B1226=""),"",IF($L1226&lt;&gt;"",UPPER($L1226),IF($C1226="","FALTA",IFERROR(IF($C1226&gt;=$O1226,"ROJO FUERTE",IF($C1226&gt;=$N1226,"ROJO",IF($C1226&gt;=$M1226,"AMARILLO","VERDE"))),"REVISAR"))))</f>
        <v/>
      </c>
      <c r="K1226" s="36">
        <f>IF(OR($C1226="",$D1226=""),"",IF($D1226&gt;=$C1226,($D1226-$C1226)*24,(1-$C1226+$D1226)*24))</f>
        <v/>
      </c>
      <c r="L1226" s="34" t="n"/>
      <c r="M1226" s="53">
        <f t="array" ref="M1226">IFERROR(INDEX(EXCEPCIONES_FECHA!$D$2:$D$201,MATCH(1,(EXCEPCIONES_FECHA!$A$2:$A$201=$A1226)*(EXCEPCIONES_FECHA!$B$2:$B$201=$B1226),0)),IFERROR(INDEX(EXCEPCIONES_FECHA!$D$2:$D$201,MATCH(1,(EXCEPCIONES_FECHA!$A$2:$A$201=$A1226)*(EXCEPCIONES_FECHA!$B$2:$B$201=""),0)),IFERROR(INDEX(IF($I1226="FIN",HISTORIAL_HORARIOS!$J$2:$J$201,HISTORIAL_HORARIOS!$F$2:$F$201),MATCH(1,(HISTORIAL_HORARIOS!$A$2:$A$201=$B1226)*(HISTORIAL_HORARIOS!$C$2:$C$201&lt;=$A1226)*(HISTORIAL_HORARIOS!$D$2:$D$201&gt;=$A1226),0)),INDEX(IF($I1226="FIN",PERSONAL!$J$2:$J$80,PERSONAL!$F$2:$F$80),MATCH($B1226,PERSONAL!$A$2:$A$80,0)))))</f>
        <v/>
      </c>
      <c r="N1226" s="53">
        <f t="array" ref="N1226">IFERROR(INDEX(EXCEPCIONES_FECHA!$E$2:$E$201,MATCH(1,(EXCEPCIONES_FECHA!$A$2:$A$201=$A1226)*(EXCEPCIONES_FECHA!$B$2:$B$201=$B1226),0)),IFERROR(INDEX(EXCEPCIONES_FECHA!$E$2:$E$201,MATCH(1,(EXCEPCIONES_FECHA!$A$2:$A$201=$A1226)*(EXCEPCIONES_FECHA!$B$2:$B$201=""),0)),IFERROR(INDEX(IF($I1226="FIN",HISTORIAL_HORARIOS!$K$2:$K$201,HISTORIAL_HORARIOS!$G$2:$G$201),MATCH(1,(HISTORIAL_HORARIOS!$A$2:$A$201=$B1226)*(HISTORIAL_HORARIOS!$C$2:$C$201&lt;=$A1226)*(HISTORIAL_HORARIOS!$D$2:$D$201&gt;=$A1226),0)),INDEX(IF($I1226="FIN",PERSONAL!$K$2:$K$80,PERSONAL!$G$2:$G$80),MATCH($B1226,PERSONAL!$A$2:$A$80,0)))))</f>
        <v/>
      </c>
      <c r="O1226" s="53">
        <f t="array" ref="O1226">IFERROR(INDEX(EXCEPCIONES_FECHA!$F$2:$F$201,MATCH(1,(EXCEPCIONES_FECHA!$A$2:$A$201=$A1226)*(EXCEPCIONES_FECHA!$B$2:$B$201=$B1226),0)),IFERROR(INDEX(EXCEPCIONES_FECHA!$F$2:$F$201,MATCH(1,(EXCEPCIONES_FECHA!$A$2:$A$201=$A1226)*(EXCEPCIONES_FECHA!$B$2:$B$201=""),0)),IFERROR(INDEX(IF($I1226="FIN",HISTORIAL_HORARIOS!$L$2:$L$201,HISTORIAL_HORARIOS!$H$2:$H$201),MATCH(1,(HISTORIAL_HORARIOS!$A$2:$A$201=$B1226)*(HISTORIAL_HORARIOS!$C$2:$C$201&lt;=$A1226)*(HISTORIAL_HORARIOS!$D$2:$D$201&gt;=$A1226),0)),INDEX(IF($I1226="FIN",PERSONAL!$L$2:$L$80,PERSONAL!$H$2:$H$80),MATCH($B1226,PERSONAL!$A$2:$A$80,0)))))</f>
        <v/>
      </c>
    </row>
    <row r="1227" ht="15" customHeight="1" s="58">
      <c r="A1227" s="40" t="n"/>
      <c r="B1227" s="38" t="n"/>
      <c r="C1227" s="40" t="n"/>
      <c r="D1227" s="40" t="n"/>
      <c r="E1227" s="34">
        <f t="array" ref="E1227">IF($B1227="","",IFERROR(INDEX(PERSONAL!$B$2:$B$80,MATCH($B1227,PERSONAL!$A$2:$A$80,0)),"NO EXISTE"))</f>
        <v/>
      </c>
      <c r="F1227" s="34">
        <f t="array" ref="F1227">IF($B1227="","",IFERROR(INDEX(PERSONAL!$C$2:$C$80,MATCH($B1227,PERSONAL!$A$2:$A$80,0)),""))</f>
        <v/>
      </c>
      <c r="G1227" s="34">
        <f>IF($A1227="","",CHOOSE(WEEKDAY($A1227,2),"LUNES","MARTES","MIÉRCOLES","JUEVES","VIERNES","SÁBADO","DOMINGO"))</f>
        <v/>
      </c>
      <c r="H1227" s="34">
        <f>IF($A1227="","",CHOOSE(MONTH($A1227),"ENERO","FEBRERO","MARZO","ABRIL","MAYO","JUNIO","JULIO","AGOSTO","SEPTIEMBRE","OCTUBRE","NOVIEMBRE","DICIEMBRE"))</f>
        <v/>
      </c>
      <c r="I1227" s="34">
        <f>IF($A1227="","",IF(OR($G1227="SÁBADO",$G1227="DOMINGO"),"FIN","LV"))</f>
        <v/>
      </c>
      <c r="J1227" s="34">
        <f>IF(OR($A1227="",$B1227=""),"",IF($L1227&lt;&gt;"",UPPER($L1227),IF($C1227="","FALTA",IFERROR(IF($C1227&gt;=$O1227,"ROJO FUERTE",IF($C1227&gt;=$N1227,"ROJO",IF($C1227&gt;=$M1227,"AMARILLO","VERDE"))),"REVISAR"))))</f>
        <v/>
      </c>
      <c r="K1227" s="36">
        <f>IF(OR($C1227="",$D1227=""),"",IF($D1227&gt;=$C1227,($D1227-$C1227)*24,(1-$C1227+$D1227)*24))</f>
        <v/>
      </c>
      <c r="L1227" s="34" t="n"/>
      <c r="M1227" s="53">
        <f t="array" ref="M1227">IFERROR(INDEX(EXCEPCIONES_FECHA!$D$2:$D$201,MATCH(1,(EXCEPCIONES_FECHA!$A$2:$A$201=$A1227)*(EXCEPCIONES_FECHA!$B$2:$B$201=$B1227),0)),IFERROR(INDEX(EXCEPCIONES_FECHA!$D$2:$D$201,MATCH(1,(EXCEPCIONES_FECHA!$A$2:$A$201=$A1227)*(EXCEPCIONES_FECHA!$B$2:$B$201=""),0)),IFERROR(INDEX(IF($I1227="FIN",HISTORIAL_HORARIOS!$J$2:$J$201,HISTORIAL_HORARIOS!$F$2:$F$201),MATCH(1,(HISTORIAL_HORARIOS!$A$2:$A$201=$B1227)*(HISTORIAL_HORARIOS!$C$2:$C$201&lt;=$A1227)*(HISTORIAL_HORARIOS!$D$2:$D$201&gt;=$A1227),0)),INDEX(IF($I1227="FIN",PERSONAL!$J$2:$J$80,PERSONAL!$F$2:$F$80),MATCH($B1227,PERSONAL!$A$2:$A$80,0)))))</f>
        <v/>
      </c>
      <c r="N1227" s="53">
        <f t="array" ref="N1227">IFERROR(INDEX(EXCEPCIONES_FECHA!$E$2:$E$201,MATCH(1,(EXCEPCIONES_FECHA!$A$2:$A$201=$A1227)*(EXCEPCIONES_FECHA!$B$2:$B$201=$B1227),0)),IFERROR(INDEX(EXCEPCIONES_FECHA!$E$2:$E$201,MATCH(1,(EXCEPCIONES_FECHA!$A$2:$A$201=$A1227)*(EXCEPCIONES_FECHA!$B$2:$B$201=""),0)),IFERROR(INDEX(IF($I1227="FIN",HISTORIAL_HORARIOS!$K$2:$K$201,HISTORIAL_HORARIOS!$G$2:$G$201),MATCH(1,(HISTORIAL_HORARIOS!$A$2:$A$201=$B1227)*(HISTORIAL_HORARIOS!$C$2:$C$201&lt;=$A1227)*(HISTORIAL_HORARIOS!$D$2:$D$201&gt;=$A1227),0)),INDEX(IF($I1227="FIN",PERSONAL!$K$2:$K$80,PERSONAL!$G$2:$G$80),MATCH($B1227,PERSONAL!$A$2:$A$80,0)))))</f>
        <v/>
      </c>
      <c r="O1227" s="53">
        <f t="array" ref="O1227">IFERROR(INDEX(EXCEPCIONES_FECHA!$F$2:$F$201,MATCH(1,(EXCEPCIONES_FECHA!$A$2:$A$201=$A1227)*(EXCEPCIONES_FECHA!$B$2:$B$201=$B1227),0)),IFERROR(INDEX(EXCEPCIONES_FECHA!$F$2:$F$201,MATCH(1,(EXCEPCIONES_FECHA!$A$2:$A$201=$A1227)*(EXCEPCIONES_FECHA!$B$2:$B$201=""),0)),IFERROR(INDEX(IF($I1227="FIN",HISTORIAL_HORARIOS!$L$2:$L$201,HISTORIAL_HORARIOS!$H$2:$H$201),MATCH(1,(HISTORIAL_HORARIOS!$A$2:$A$201=$B1227)*(HISTORIAL_HORARIOS!$C$2:$C$201&lt;=$A1227)*(HISTORIAL_HORARIOS!$D$2:$D$201&gt;=$A1227),0)),INDEX(IF($I1227="FIN",PERSONAL!$L$2:$L$80,PERSONAL!$H$2:$H$80),MATCH($B1227,PERSONAL!$A$2:$A$80,0)))))</f>
        <v/>
      </c>
    </row>
    <row r="1228" ht="15" customHeight="1" s="58">
      <c r="A1228" s="40" t="n"/>
      <c r="B1228" s="38" t="n"/>
      <c r="C1228" s="40" t="n"/>
      <c r="D1228" s="40" t="n"/>
      <c r="E1228" s="34">
        <f t="array" ref="E1228">IF($B1228="","",IFERROR(INDEX(PERSONAL!$B$2:$B$80,MATCH($B1228,PERSONAL!$A$2:$A$80,0)),"NO EXISTE"))</f>
        <v/>
      </c>
      <c r="F1228" s="34">
        <f t="array" ref="F1228">IF($B1228="","",IFERROR(INDEX(PERSONAL!$C$2:$C$80,MATCH($B1228,PERSONAL!$A$2:$A$80,0)),""))</f>
        <v/>
      </c>
      <c r="G1228" s="34">
        <f>IF($A1228="","",CHOOSE(WEEKDAY($A1228,2),"LUNES","MARTES","MIÉRCOLES","JUEVES","VIERNES","SÁBADO","DOMINGO"))</f>
        <v/>
      </c>
      <c r="H1228" s="34">
        <f>IF($A1228="","",CHOOSE(MONTH($A1228),"ENERO","FEBRERO","MARZO","ABRIL","MAYO","JUNIO","JULIO","AGOSTO","SEPTIEMBRE","OCTUBRE","NOVIEMBRE","DICIEMBRE"))</f>
        <v/>
      </c>
      <c r="I1228" s="34">
        <f>IF($A1228="","",IF(OR($G1228="SÁBADO",$G1228="DOMINGO"),"FIN","LV"))</f>
        <v/>
      </c>
      <c r="J1228" s="34">
        <f>IF(OR($A1228="",$B1228=""),"",IF($L1228&lt;&gt;"",UPPER($L1228),IF($C1228="","FALTA",IFERROR(IF($C1228&gt;=$O1228,"ROJO FUERTE",IF($C1228&gt;=$N1228,"ROJO",IF($C1228&gt;=$M1228,"AMARILLO","VERDE"))),"REVISAR"))))</f>
        <v/>
      </c>
      <c r="K1228" s="36">
        <f>IF(OR($C1228="",$D1228=""),"",IF($D1228&gt;=$C1228,($D1228-$C1228)*24,(1-$C1228+$D1228)*24))</f>
        <v/>
      </c>
      <c r="L1228" s="34" t="n"/>
      <c r="M1228" s="53">
        <f t="array" ref="M1228">IFERROR(INDEX(EXCEPCIONES_FECHA!$D$2:$D$201,MATCH(1,(EXCEPCIONES_FECHA!$A$2:$A$201=$A1228)*(EXCEPCIONES_FECHA!$B$2:$B$201=$B1228),0)),IFERROR(INDEX(EXCEPCIONES_FECHA!$D$2:$D$201,MATCH(1,(EXCEPCIONES_FECHA!$A$2:$A$201=$A1228)*(EXCEPCIONES_FECHA!$B$2:$B$201=""),0)),IFERROR(INDEX(IF($I1228="FIN",HISTORIAL_HORARIOS!$J$2:$J$201,HISTORIAL_HORARIOS!$F$2:$F$201),MATCH(1,(HISTORIAL_HORARIOS!$A$2:$A$201=$B1228)*(HISTORIAL_HORARIOS!$C$2:$C$201&lt;=$A1228)*(HISTORIAL_HORARIOS!$D$2:$D$201&gt;=$A1228),0)),INDEX(IF($I1228="FIN",PERSONAL!$J$2:$J$80,PERSONAL!$F$2:$F$80),MATCH($B1228,PERSONAL!$A$2:$A$80,0)))))</f>
        <v/>
      </c>
      <c r="N1228" s="53">
        <f t="array" ref="N1228">IFERROR(INDEX(EXCEPCIONES_FECHA!$E$2:$E$201,MATCH(1,(EXCEPCIONES_FECHA!$A$2:$A$201=$A1228)*(EXCEPCIONES_FECHA!$B$2:$B$201=$B1228),0)),IFERROR(INDEX(EXCEPCIONES_FECHA!$E$2:$E$201,MATCH(1,(EXCEPCIONES_FECHA!$A$2:$A$201=$A1228)*(EXCEPCIONES_FECHA!$B$2:$B$201=""),0)),IFERROR(INDEX(IF($I1228="FIN",HISTORIAL_HORARIOS!$K$2:$K$201,HISTORIAL_HORARIOS!$G$2:$G$201),MATCH(1,(HISTORIAL_HORARIOS!$A$2:$A$201=$B1228)*(HISTORIAL_HORARIOS!$C$2:$C$201&lt;=$A1228)*(HISTORIAL_HORARIOS!$D$2:$D$201&gt;=$A1228),0)),INDEX(IF($I1228="FIN",PERSONAL!$K$2:$K$80,PERSONAL!$G$2:$G$80),MATCH($B1228,PERSONAL!$A$2:$A$80,0)))))</f>
        <v/>
      </c>
      <c r="O1228" s="53">
        <f t="array" ref="O1228">IFERROR(INDEX(EXCEPCIONES_FECHA!$F$2:$F$201,MATCH(1,(EXCEPCIONES_FECHA!$A$2:$A$201=$A1228)*(EXCEPCIONES_FECHA!$B$2:$B$201=$B1228),0)),IFERROR(INDEX(EXCEPCIONES_FECHA!$F$2:$F$201,MATCH(1,(EXCEPCIONES_FECHA!$A$2:$A$201=$A1228)*(EXCEPCIONES_FECHA!$B$2:$B$201=""),0)),IFERROR(INDEX(IF($I1228="FIN",HISTORIAL_HORARIOS!$L$2:$L$201,HISTORIAL_HORARIOS!$H$2:$H$201),MATCH(1,(HISTORIAL_HORARIOS!$A$2:$A$201=$B1228)*(HISTORIAL_HORARIOS!$C$2:$C$201&lt;=$A1228)*(HISTORIAL_HORARIOS!$D$2:$D$201&gt;=$A1228),0)),INDEX(IF($I1228="FIN",PERSONAL!$L$2:$L$80,PERSONAL!$H$2:$H$80),MATCH($B1228,PERSONAL!$A$2:$A$80,0)))))</f>
        <v/>
      </c>
    </row>
    <row r="1229" ht="15" customHeight="1" s="58">
      <c r="A1229" s="40" t="n"/>
      <c r="B1229" s="38" t="n"/>
      <c r="C1229" s="40" t="n"/>
      <c r="D1229" s="40" t="n"/>
      <c r="E1229" s="34">
        <f t="array" ref="E1229">IF($B1229="","",IFERROR(INDEX(PERSONAL!$B$2:$B$80,MATCH($B1229,PERSONAL!$A$2:$A$80,0)),"NO EXISTE"))</f>
        <v/>
      </c>
      <c r="F1229" s="34">
        <f t="array" ref="F1229">IF($B1229="","",IFERROR(INDEX(PERSONAL!$C$2:$C$80,MATCH($B1229,PERSONAL!$A$2:$A$80,0)),""))</f>
        <v/>
      </c>
      <c r="G1229" s="34">
        <f>IF($A1229="","",CHOOSE(WEEKDAY($A1229,2),"LUNES","MARTES","MIÉRCOLES","JUEVES","VIERNES","SÁBADO","DOMINGO"))</f>
        <v/>
      </c>
      <c r="H1229" s="34">
        <f>IF($A1229="","",CHOOSE(MONTH($A1229),"ENERO","FEBRERO","MARZO","ABRIL","MAYO","JUNIO","JULIO","AGOSTO","SEPTIEMBRE","OCTUBRE","NOVIEMBRE","DICIEMBRE"))</f>
        <v/>
      </c>
      <c r="I1229" s="34">
        <f>IF($A1229="","",IF(OR($G1229="SÁBADO",$G1229="DOMINGO"),"FIN","LV"))</f>
        <v/>
      </c>
      <c r="J1229" s="34">
        <f>IF(OR($A1229="",$B1229=""),"",IF($L1229&lt;&gt;"",UPPER($L1229),IF($C1229="","FALTA",IFERROR(IF($C1229&gt;=$O1229,"ROJO FUERTE",IF($C1229&gt;=$N1229,"ROJO",IF($C1229&gt;=$M1229,"AMARILLO","VERDE"))),"REVISAR"))))</f>
        <v/>
      </c>
      <c r="K1229" s="36">
        <f>IF(OR($C1229="",$D1229=""),"",IF($D1229&gt;=$C1229,($D1229-$C1229)*24,(1-$C1229+$D1229)*24))</f>
        <v/>
      </c>
      <c r="L1229" s="34" t="n"/>
      <c r="M1229" s="53">
        <f t="array" ref="M1229">IFERROR(INDEX(EXCEPCIONES_FECHA!$D$2:$D$201,MATCH(1,(EXCEPCIONES_FECHA!$A$2:$A$201=$A1229)*(EXCEPCIONES_FECHA!$B$2:$B$201=$B1229),0)),IFERROR(INDEX(EXCEPCIONES_FECHA!$D$2:$D$201,MATCH(1,(EXCEPCIONES_FECHA!$A$2:$A$201=$A1229)*(EXCEPCIONES_FECHA!$B$2:$B$201=""),0)),IFERROR(INDEX(IF($I1229="FIN",HISTORIAL_HORARIOS!$J$2:$J$201,HISTORIAL_HORARIOS!$F$2:$F$201),MATCH(1,(HISTORIAL_HORARIOS!$A$2:$A$201=$B1229)*(HISTORIAL_HORARIOS!$C$2:$C$201&lt;=$A1229)*(HISTORIAL_HORARIOS!$D$2:$D$201&gt;=$A1229),0)),INDEX(IF($I1229="FIN",PERSONAL!$J$2:$J$80,PERSONAL!$F$2:$F$80),MATCH($B1229,PERSONAL!$A$2:$A$80,0)))))</f>
        <v/>
      </c>
      <c r="N1229" s="53">
        <f t="array" ref="N1229">IFERROR(INDEX(EXCEPCIONES_FECHA!$E$2:$E$201,MATCH(1,(EXCEPCIONES_FECHA!$A$2:$A$201=$A1229)*(EXCEPCIONES_FECHA!$B$2:$B$201=$B1229),0)),IFERROR(INDEX(EXCEPCIONES_FECHA!$E$2:$E$201,MATCH(1,(EXCEPCIONES_FECHA!$A$2:$A$201=$A1229)*(EXCEPCIONES_FECHA!$B$2:$B$201=""),0)),IFERROR(INDEX(IF($I1229="FIN",HISTORIAL_HORARIOS!$K$2:$K$201,HISTORIAL_HORARIOS!$G$2:$G$201),MATCH(1,(HISTORIAL_HORARIOS!$A$2:$A$201=$B1229)*(HISTORIAL_HORARIOS!$C$2:$C$201&lt;=$A1229)*(HISTORIAL_HORARIOS!$D$2:$D$201&gt;=$A1229),0)),INDEX(IF($I1229="FIN",PERSONAL!$K$2:$K$80,PERSONAL!$G$2:$G$80),MATCH($B1229,PERSONAL!$A$2:$A$80,0)))))</f>
        <v/>
      </c>
      <c r="O1229" s="53">
        <f t="array" ref="O1229">IFERROR(INDEX(EXCEPCIONES_FECHA!$F$2:$F$201,MATCH(1,(EXCEPCIONES_FECHA!$A$2:$A$201=$A1229)*(EXCEPCIONES_FECHA!$B$2:$B$201=$B1229),0)),IFERROR(INDEX(EXCEPCIONES_FECHA!$F$2:$F$201,MATCH(1,(EXCEPCIONES_FECHA!$A$2:$A$201=$A1229)*(EXCEPCIONES_FECHA!$B$2:$B$201=""),0)),IFERROR(INDEX(IF($I1229="FIN",HISTORIAL_HORARIOS!$L$2:$L$201,HISTORIAL_HORARIOS!$H$2:$H$201),MATCH(1,(HISTORIAL_HORARIOS!$A$2:$A$201=$B1229)*(HISTORIAL_HORARIOS!$C$2:$C$201&lt;=$A1229)*(HISTORIAL_HORARIOS!$D$2:$D$201&gt;=$A1229),0)),INDEX(IF($I1229="FIN",PERSONAL!$L$2:$L$80,PERSONAL!$H$2:$H$80),MATCH($B1229,PERSONAL!$A$2:$A$80,0)))))</f>
        <v/>
      </c>
    </row>
    <row r="1230" ht="15" customHeight="1" s="58">
      <c r="A1230" s="40" t="n"/>
      <c r="B1230" s="38" t="n"/>
      <c r="C1230" s="40" t="n"/>
      <c r="D1230" s="40" t="n"/>
      <c r="E1230" s="34">
        <f t="array" ref="E1230">IF($B1230="","",IFERROR(INDEX(PERSONAL!$B$2:$B$80,MATCH($B1230,PERSONAL!$A$2:$A$80,0)),"NO EXISTE"))</f>
        <v/>
      </c>
      <c r="F1230" s="34">
        <f t="array" ref="F1230">IF($B1230="","",IFERROR(INDEX(PERSONAL!$C$2:$C$80,MATCH($B1230,PERSONAL!$A$2:$A$80,0)),""))</f>
        <v/>
      </c>
      <c r="G1230" s="34">
        <f>IF($A1230="","",CHOOSE(WEEKDAY($A1230,2),"LUNES","MARTES","MIÉRCOLES","JUEVES","VIERNES","SÁBADO","DOMINGO"))</f>
        <v/>
      </c>
      <c r="H1230" s="34">
        <f>IF($A1230="","",CHOOSE(MONTH($A1230),"ENERO","FEBRERO","MARZO","ABRIL","MAYO","JUNIO","JULIO","AGOSTO","SEPTIEMBRE","OCTUBRE","NOVIEMBRE","DICIEMBRE"))</f>
        <v/>
      </c>
      <c r="I1230" s="34">
        <f>IF($A1230="","",IF(OR($G1230="SÁBADO",$G1230="DOMINGO"),"FIN","LV"))</f>
        <v/>
      </c>
      <c r="J1230" s="34">
        <f>IF(OR($A1230="",$B1230=""),"",IF($L1230&lt;&gt;"",UPPER($L1230),IF($C1230="","FALTA",IFERROR(IF($C1230&gt;=$O1230,"ROJO FUERTE",IF($C1230&gt;=$N1230,"ROJO",IF($C1230&gt;=$M1230,"AMARILLO","VERDE"))),"REVISAR"))))</f>
        <v/>
      </c>
      <c r="K1230" s="36">
        <f>IF(OR($C1230="",$D1230=""),"",IF($D1230&gt;=$C1230,($D1230-$C1230)*24,(1-$C1230+$D1230)*24))</f>
        <v/>
      </c>
      <c r="L1230" s="34" t="n"/>
      <c r="M1230" s="53">
        <f t="array" ref="M1230">IFERROR(INDEX(EXCEPCIONES_FECHA!$D$2:$D$201,MATCH(1,(EXCEPCIONES_FECHA!$A$2:$A$201=$A1230)*(EXCEPCIONES_FECHA!$B$2:$B$201=$B1230),0)),IFERROR(INDEX(EXCEPCIONES_FECHA!$D$2:$D$201,MATCH(1,(EXCEPCIONES_FECHA!$A$2:$A$201=$A1230)*(EXCEPCIONES_FECHA!$B$2:$B$201=""),0)),IFERROR(INDEX(IF($I1230="FIN",HISTORIAL_HORARIOS!$J$2:$J$201,HISTORIAL_HORARIOS!$F$2:$F$201),MATCH(1,(HISTORIAL_HORARIOS!$A$2:$A$201=$B1230)*(HISTORIAL_HORARIOS!$C$2:$C$201&lt;=$A1230)*(HISTORIAL_HORARIOS!$D$2:$D$201&gt;=$A1230),0)),INDEX(IF($I1230="FIN",PERSONAL!$J$2:$J$80,PERSONAL!$F$2:$F$80),MATCH($B1230,PERSONAL!$A$2:$A$80,0)))))</f>
        <v/>
      </c>
      <c r="N1230" s="53">
        <f t="array" ref="N1230">IFERROR(INDEX(EXCEPCIONES_FECHA!$E$2:$E$201,MATCH(1,(EXCEPCIONES_FECHA!$A$2:$A$201=$A1230)*(EXCEPCIONES_FECHA!$B$2:$B$201=$B1230),0)),IFERROR(INDEX(EXCEPCIONES_FECHA!$E$2:$E$201,MATCH(1,(EXCEPCIONES_FECHA!$A$2:$A$201=$A1230)*(EXCEPCIONES_FECHA!$B$2:$B$201=""),0)),IFERROR(INDEX(IF($I1230="FIN",HISTORIAL_HORARIOS!$K$2:$K$201,HISTORIAL_HORARIOS!$G$2:$G$201),MATCH(1,(HISTORIAL_HORARIOS!$A$2:$A$201=$B1230)*(HISTORIAL_HORARIOS!$C$2:$C$201&lt;=$A1230)*(HISTORIAL_HORARIOS!$D$2:$D$201&gt;=$A1230),0)),INDEX(IF($I1230="FIN",PERSONAL!$K$2:$K$80,PERSONAL!$G$2:$G$80),MATCH($B1230,PERSONAL!$A$2:$A$80,0)))))</f>
        <v/>
      </c>
      <c r="O1230" s="53">
        <f t="array" ref="O1230">IFERROR(INDEX(EXCEPCIONES_FECHA!$F$2:$F$201,MATCH(1,(EXCEPCIONES_FECHA!$A$2:$A$201=$A1230)*(EXCEPCIONES_FECHA!$B$2:$B$201=$B1230),0)),IFERROR(INDEX(EXCEPCIONES_FECHA!$F$2:$F$201,MATCH(1,(EXCEPCIONES_FECHA!$A$2:$A$201=$A1230)*(EXCEPCIONES_FECHA!$B$2:$B$201=""),0)),IFERROR(INDEX(IF($I1230="FIN",HISTORIAL_HORARIOS!$L$2:$L$201,HISTORIAL_HORARIOS!$H$2:$H$201),MATCH(1,(HISTORIAL_HORARIOS!$A$2:$A$201=$B1230)*(HISTORIAL_HORARIOS!$C$2:$C$201&lt;=$A1230)*(HISTORIAL_HORARIOS!$D$2:$D$201&gt;=$A1230),0)),INDEX(IF($I1230="FIN",PERSONAL!$L$2:$L$80,PERSONAL!$H$2:$H$80),MATCH($B1230,PERSONAL!$A$2:$A$80,0)))))</f>
        <v/>
      </c>
    </row>
    <row r="1231" ht="15" customHeight="1" s="58">
      <c r="A1231" s="40" t="n"/>
      <c r="B1231" s="38" t="n"/>
      <c r="C1231" s="40" t="n"/>
      <c r="D1231" s="40" t="n"/>
      <c r="E1231" s="34">
        <f t="array" ref="E1231">IF($B1231="","",IFERROR(INDEX(PERSONAL!$B$2:$B$80,MATCH($B1231,PERSONAL!$A$2:$A$80,0)),"NO EXISTE"))</f>
        <v/>
      </c>
      <c r="F1231" s="34">
        <f t="array" ref="F1231">IF($B1231="","",IFERROR(INDEX(PERSONAL!$C$2:$C$80,MATCH($B1231,PERSONAL!$A$2:$A$80,0)),""))</f>
        <v/>
      </c>
      <c r="G1231" s="34">
        <f>IF($A1231="","",CHOOSE(WEEKDAY($A1231,2),"LUNES","MARTES","MIÉRCOLES","JUEVES","VIERNES","SÁBADO","DOMINGO"))</f>
        <v/>
      </c>
      <c r="H1231" s="34">
        <f>IF($A1231="","",CHOOSE(MONTH($A1231),"ENERO","FEBRERO","MARZO","ABRIL","MAYO","JUNIO","JULIO","AGOSTO","SEPTIEMBRE","OCTUBRE","NOVIEMBRE","DICIEMBRE"))</f>
        <v/>
      </c>
      <c r="I1231" s="34">
        <f>IF($A1231="","",IF(OR($G1231="SÁBADO",$G1231="DOMINGO"),"FIN","LV"))</f>
        <v/>
      </c>
      <c r="J1231" s="34">
        <f>IF(OR($A1231="",$B1231=""),"",IF($L1231&lt;&gt;"",UPPER($L1231),IF($C1231="","FALTA",IFERROR(IF($C1231&gt;=$O1231,"ROJO FUERTE",IF($C1231&gt;=$N1231,"ROJO",IF($C1231&gt;=$M1231,"AMARILLO","VERDE"))),"REVISAR"))))</f>
        <v/>
      </c>
      <c r="K1231" s="36">
        <f>IF(OR($C1231="",$D1231=""),"",IF($D1231&gt;=$C1231,($D1231-$C1231)*24,(1-$C1231+$D1231)*24))</f>
        <v/>
      </c>
      <c r="L1231" s="34" t="n"/>
      <c r="M1231" s="53">
        <f t="array" ref="M1231">IFERROR(INDEX(EXCEPCIONES_FECHA!$D$2:$D$201,MATCH(1,(EXCEPCIONES_FECHA!$A$2:$A$201=$A1231)*(EXCEPCIONES_FECHA!$B$2:$B$201=$B1231),0)),IFERROR(INDEX(EXCEPCIONES_FECHA!$D$2:$D$201,MATCH(1,(EXCEPCIONES_FECHA!$A$2:$A$201=$A1231)*(EXCEPCIONES_FECHA!$B$2:$B$201=""),0)),IFERROR(INDEX(IF($I1231="FIN",HISTORIAL_HORARIOS!$J$2:$J$201,HISTORIAL_HORARIOS!$F$2:$F$201),MATCH(1,(HISTORIAL_HORARIOS!$A$2:$A$201=$B1231)*(HISTORIAL_HORARIOS!$C$2:$C$201&lt;=$A1231)*(HISTORIAL_HORARIOS!$D$2:$D$201&gt;=$A1231),0)),INDEX(IF($I1231="FIN",PERSONAL!$J$2:$J$80,PERSONAL!$F$2:$F$80),MATCH($B1231,PERSONAL!$A$2:$A$80,0)))))</f>
        <v/>
      </c>
      <c r="N1231" s="53">
        <f t="array" ref="N1231">IFERROR(INDEX(EXCEPCIONES_FECHA!$E$2:$E$201,MATCH(1,(EXCEPCIONES_FECHA!$A$2:$A$201=$A1231)*(EXCEPCIONES_FECHA!$B$2:$B$201=$B1231),0)),IFERROR(INDEX(EXCEPCIONES_FECHA!$E$2:$E$201,MATCH(1,(EXCEPCIONES_FECHA!$A$2:$A$201=$A1231)*(EXCEPCIONES_FECHA!$B$2:$B$201=""),0)),IFERROR(INDEX(IF($I1231="FIN",HISTORIAL_HORARIOS!$K$2:$K$201,HISTORIAL_HORARIOS!$G$2:$G$201),MATCH(1,(HISTORIAL_HORARIOS!$A$2:$A$201=$B1231)*(HISTORIAL_HORARIOS!$C$2:$C$201&lt;=$A1231)*(HISTORIAL_HORARIOS!$D$2:$D$201&gt;=$A1231),0)),INDEX(IF($I1231="FIN",PERSONAL!$K$2:$K$80,PERSONAL!$G$2:$G$80),MATCH($B1231,PERSONAL!$A$2:$A$80,0)))))</f>
        <v/>
      </c>
      <c r="O1231" s="53">
        <f t="array" ref="O1231">IFERROR(INDEX(EXCEPCIONES_FECHA!$F$2:$F$201,MATCH(1,(EXCEPCIONES_FECHA!$A$2:$A$201=$A1231)*(EXCEPCIONES_FECHA!$B$2:$B$201=$B1231),0)),IFERROR(INDEX(EXCEPCIONES_FECHA!$F$2:$F$201,MATCH(1,(EXCEPCIONES_FECHA!$A$2:$A$201=$A1231)*(EXCEPCIONES_FECHA!$B$2:$B$201=""),0)),IFERROR(INDEX(IF($I1231="FIN",HISTORIAL_HORARIOS!$L$2:$L$201,HISTORIAL_HORARIOS!$H$2:$H$201),MATCH(1,(HISTORIAL_HORARIOS!$A$2:$A$201=$B1231)*(HISTORIAL_HORARIOS!$C$2:$C$201&lt;=$A1231)*(HISTORIAL_HORARIOS!$D$2:$D$201&gt;=$A1231),0)),INDEX(IF($I1231="FIN",PERSONAL!$L$2:$L$80,PERSONAL!$H$2:$H$80),MATCH($B1231,PERSONAL!$A$2:$A$80,0)))))</f>
        <v/>
      </c>
    </row>
    <row r="1232" ht="15" customHeight="1" s="58">
      <c r="A1232" s="40" t="n"/>
      <c r="B1232" s="38" t="n"/>
      <c r="C1232" s="40" t="n"/>
      <c r="D1232" s="40" t="n"/>
      <c r="E1232" s="34">
        <f t="array" ref="E1232">IF($B1232="","",IFERROR(INDEX(PERSONAL!$B$2:$B$80,MATCH($B1232,PERSONAL!$A$2:$A$80,0)),"NO EXISTE"))</f>
        <v/>
      </c>
      <c r="F1232" s="34">
        <f t="array" ref="F1232">IF($B1232="","",IFERROR(INDEX(PERSONAL!$C$2:$C$80,MATCH($B1232,PERSONAL!$A$2:$A$80,0)),""))</f>
        <v/>
      </c>
      <c r="G1232" s="34">
        <f>IF($A1232="","",CHOOSE(WEEKDAY($A1232,2),"LUNES","MARTES","MIÉRCOLES","JUEVES","VIERNES","SÁBADO","DOMINGO"))</f>
        <v/>
      </c>
      <c r="H1232" s="34">
        <f>IF($A1232="","",CHOOSE(MONTH($A1232),"ENERO","FEBRERO","MARZO","ABRIL","MAYO","JUNIO","JULIO","AGOSTO","SEPTIEMBRE","OCTUBRE","NOVIEMBRE","DICIEMBRE"))</f>
        <v/>
      </c>
      <c r="I1232" s="34">
        <f>IF($A1232="","",IF(OR($G1232="SÁBADO",$G1232="DOMINGO"),"FIN","LV"))</f>
        <v/>
      </c>
      <c r="J1232" s="34">
        <f>IF(OR($A1232="",$B1232=""),"",IF($L1232&lt;&gt;"",UPPER($L1232),IF($C1232="","FALTA",IFERROR(IF($C1232&gt;=$O1232,"ROJO FUERTE",IF($C1232&gt;=$N1232,"ROJO",IF($C1232&gt;=$M1232,"AMARILLO","VERDE"))),"REVISAR"))))</f>
        <v/>
      </c>
      <c r="K1232" s="36">
        <f>IF(OR($C1232="",$D1232=""),"",IF($D1232&gt;=$C1232,($D1232-$C1232)*24,(1-$C1232+$D1232)*24))</f>
        <v/>
      </c>
      <c r="L1232" s="34" t="n"/>
      <c r="M1232" s="53">
        <f t="array" ref="M1232">IFERROR(INDEX(EXCEPCIONES_FECHA!$D$2:$D$201,MATCH(1,(EXCEPCIONES_FECHA!$A$2:$A$201=$A1232)*(EXCEPCIONES_FECHA!$B$2:$B$201=$B1232),0)),IFERROR(INDEX(EXCEPCIONES_FECHA!$D$2:$D$201,MATCH(1,(EXCEPCIONES_FECHA!$A$2:$A$201=$A1232)*(EXCEPCIONES_FECHA!$B$2:$B$201=""),0)),IFERROR(INDEX(IF($I1232="FIN",HISTORIAL_HORARIOS!$J$2:$J$201,HISTORIAL_HORARIOS!$F$2:$F$201),MATCH(1,(HISTORIAL_HORARIOS!$A$2:$A$201=$B1232)*(HISTORIAL_HORARIOS!$C$2:$C$201&lt;=$A1232)*(HISTORIAL_HORARIOS!$D$2:$D$201&gt;=$A1232),0)),INDEX(IF($I1232="FIN",PERSONAL!$J$2:$J$80,PERSONAL!$F$2:$F$80),MATCH($B1232,PERSONAL!$A$2:$A$80,0)))))</f>
        <v/>
      </c>
      <c r="N1232" s="53">
        <f t="array" ref="N1232">IFERROR(INDEX(EXCEPCIONES_FECHA!$E$2:$E$201,MATCH(1,(EXCEPCIONES_FECHA!$A$2:$A$201=$A1232)*(EXCEPCIONES_FECHA!$B$2:$B$201=$B1232),0)),IFERROR(INDEX(EXCEPCIONES_FECHA!$E$2:$E$201,MATCH(1,(EXCEPCIONES_FECHA!$A$2:$A$201=$A1232)*(EXCEPCIONES_FECHA!$B$2:$B$201=""),0)),IFERROR(INDEX(IF($I1232="FIN",HISTORIAL_HORARIOS!$K$2:$K$201,HISTORIAL_HORARIOS!$G$2:$G$201),MATCH(1,(HISTORIAL_HORARIOS!$A$2:$A$201=$B1232)*(HISTORIAL_HORARIOS!$C$2:$C$201&lt;=$A1232)*(HISTORIAL_HORARIOS!$D$2:$D$201&gt;=$A1232),0)),INDEX(IF($I1232="FIN",PERSONAL!$K$2:$K$80,PERSONAL!$G$2:$G$80),MATCH($B1232,PERSONAL!$A$2:$A$80,0)))))</f>
        <v/>
      </c>
      <c r="O1232" s="53">
        <f t="array" ref="O1232">IFERROR(INDEX(EXCEPCIONES_FECHA!$F$2:$F$201,MATCH(1,(EXCEPCIONES_FECHA!$A$2:$A$201=$A1232)*(EXCEPCIONES_FECHA!$B$2:$B$201=$B1232),0)),IFERROR(INDEX(EXCEPCIONES_FECHA!$F$2:$F$201,MATCH(1,(EXCEPCIONES_FECHA!$A$2:$A$201=$A1232)*(EXCEPCIONES_FECHA!$B$2:$B$201=""),0)),IFERROR(INDEX(IF($I1232="FIN",HISTORIAL_HORARIOS!$L$2:$L$201,HISTORIAL_HORARIOS!$H$2:$H$201),MATCH(1,(HISTORIAL_HORARIOS!$A$2:$A$201=$B1232)*(HISTORIAL_HORARIOS!$C$2:$C$201&lt;=$A1232)*(HISTORIAL_HORARIOS!$D$2:$D$201&gt;=$A1232),0)),INDEX(IF($I1232="FIN",PERSONAL!$L$2:$L$80,PERSONAL!$H$2:$H$80),MATCH($B1232,PERSONAL!$A$2:$A$80,0)))))</f>
        <v/>
      </c>
    </row>
    <row r="1233" ht="15" customHeight="1" s="58">
      <c r="A1233" s="40" t="n"/>
      <c r="B1233" s="38" t="n"/>
      <c r="C1233" s="40" t="n"/>
      <c r="D1233" s="40" t="n"/>
      <c r="E1233" s="34">
        <f t="array" ref="E1233">IF($B1233="","",IFERROR(INDEX(PERSONAL!$B$2:$B$80,MATCH($B1233,PERSONAL!$A$2:$A$80,0)),"NO EXISTE"))</f>
        <v/>
      </c>
      <c r="F1233" s="34">
        <f t="array" ref="F1233">IF($B1233="","",IFERROR(INDEX(PERSONAL!$C$2:$C$80,MATCH($B1233,PERSONAL!$A$2:$A$80,0)),""))</f>
        <v/>
      </c>
      <c r="G1233" s="34">
        <f>IF($A1233="","",CHOOSE(WEEKDAY($A1233,2),"LUNES","MARTES","MIÉRCOLES","JUEVES","VIERNES","SÁBADO","DOMINGO"))</f>
        <v/>
      </c>
      <c r="H1233" s="34">
        <f>IF($A1233="","",CHOOSE(MONTH($A1233),"ENERO","FEBRERO","MARZO","ABRIL","MAYO","JUNIO","JULIO","AGOSTO","SEPTIEMBRE","OCTUBRE","NOVIEMBRE","DICIEMBRE"))</f>
        <v/>
      </c>
      <c r="I1233" s="34">
        <f>IF($A1233="","",IF(OR($G1233="SÁBADO",$G1233="DOMINGO"),"FIN","LV"))</f>
        <v/>
      </c>
      <c r="J1233" s="34">
        <f>IF(OR($A1233="",$B1233=""),"",IF($L1233&lt;&gt;"",UPPER($L1233),IF($C1233="","FALTA",IFERROR(IF($C1233&gt;=$O1233,"ROJO FUERTE",IF($C1233&gt;=$N1233,"ROJO",IF($C1233&gt;=$M1233,"AMARILLO","VERDE"))),"REVISAR"))))</f>
        <v/>
      </c>
      <c r="K1233" s="36">
        <f>IF(OR($C1233="",$D1233=""),"",IF($D1233&gt;=$C1233,($D1233-$C1233)*24,(1-$C1233+$D1233)*24))</f>
        <v/>
      </c>
      <c r="L1233" s="34" t="n"/>
      <c r="M1233" s="53">
        <f t="array" ref="M1233">IFERROR(INDEX(EXCEPCIONES_FECHA!$D$2:$D$201,MATCH(1,(EXCEPCIONES_FECHA!$A$2:$A$201=$A1233)*(EXCEPCIONES_FECHA!$B$2:$B$201=$B1233),0)),IFERROR(INDEX(EXCEPCIONES_FECHA!$D$2:$D$201,MATCH(1,(EXCEPCIONES_FECHA!$A$2:$A$201=$A1233)*(EXCEPCIONES_FECHA!$B$2:$B$201=""),0)),IFERROR(INDEX(IF($I1233="FIN",HISTORIAL_HORARIOS!$J$2:$J$201,HISTORIAL_HORARIOS!$F$2:$F$201),MATCH(1,(HISTORIAL_HORARIOS!$A$2:$A$201=$B1233)*(HISTORIAL_HORARIOS!$C$2:$C$201&lt;=$A1233)*(HISTORIAL_HORARIOS!$D$2:$D$201&gt;=$A1233),0)),INDEX(IF($I1233="FIN",PERSONAL!$J$2:$J$80,PERSONAL!$F$2:$F$80),MATCH($B1233,PERSONAL!$A$2:$A$80,0)))))</f>
        <v/>
      </c>
      <c r="N1233" s="53">
        <f t="array" ref="N1233">IFERROR(INDEX(EXCEPCIONES_FECHA!$E$2:$E$201,MATCH(1,(EXCEPCIONES_FECHA!$A$2:$A$201=$A1233)*(EXCEPCIONES_FECHA!$B$2:$B$201=$B1233),0)),IFERROR(INDEX(EXCEPCIONES_FECHA!$E$2:$E$201,MATCH(1,(EXCEPCIONES_FECHA!$A$2:$A$201=$A1233)*(EXCEPCIONES_FECHA!$B$2:$B$201=""),0)),IFERROR(INDEX(IF($I1233="FIN",HISTORIAL_HORARIOS!$K$2:$K$201,HISTORIAL_HORARIOS!$G$2:$G$201),MATCH(1,(HISTORIAL_HORARIOS!$A$2:$A$201=$B1233)*(HISTORIAL_HORARIOS!$C$2:$C$201&lt;=$A1233)*(HISTORIAL_HORARIOS!$D$2:$D$201&gt;=$A1233),0)),INDEX(IF($I1233="FIN",PERSONAL!$K$2:$K$80,PERSONAL!$G$2:$G$80),MATCH($B1233,PERSONAL!$A$2:$A$80,0)))))</f>
        <v/>
      </c>
      <c r="O1233" s="53">
        <f t="array" ref="O1233">IFERROR(INDEX(EXCEPCIONES_FECHA!$F$2:$F$201,MATCH(1,(EXCEPCIONES_FECHA!$A$2:$A$201=$A1233)*(EXCEPCIONES_FECHA!$B$2:$B$201=$B1233),0)),IFERROR(INDEX(EXCEPCIONES_FECHA!$F$2:$F$201,MATCH(1,(EXCEPCIONES_FECHA!$A$2:$A$201=$A1233)*(EXCEPCIONES_FECHA!$B$2:$B$201=""),0)),IFERROR(INDEX(IF($I1233="FIN",HISTORIAL_HORARIOS!$L$2:$L$201,HISTORIAL_HORARIOS!$H$2:$H$201),MATCH(1,(HISTORIAL_HORARIOS!$A$2:$A$201=$B1233)*(HISTORIAL_HORARIOS!$C$2:$C$201&lt;=$A1233)*(HISTORIAL_HORARIOS!$D$2:$D$201&gt;=$A1233),0)),INDEX(IF($I1233="FIN",PERSONAL!$L$2:$L$80,PERSONAL!$H$2:$H$80),MATCH($B1233,PERSONAL!$A$2:$A$80,0)))))</f>
        <v/>
      </c>
    </row>
    <row r="1234" ht="15" customHeight="1" s="58">
      <c r="A1234" s="40" t="n"/>
      <c r="B1234" s="38" t="n"/>
      <c r="C1234" s="40" t="n"/>
      <c r="D1234" s="40" t="n"/>
      <c r="E1234" s="34">
        <f t="array" ref="E1234">IF($B1234="","",IFERROR(INDEX(PERSONAL!$B$2:$B$80,MATCH($B1234,PERSONAL!$A$2:$A$80,0)),"NO EXISTE"))</f>
        <v/>
      </c>
      <c r="F1234" s="34">
        <f t="array" ref="F1234">IF($B1234="","",IFERROR(INDEX(PERSONAL!$C$2:$C$80,MATCH($B1234,PERSONAL!$A$2:$A$80,0)),""))</f>
        <v/>
      </c>
      <c r="G1234" s="34">
        <f>IF($A1234="","",CHOOSE(WEEKDAY($A1234,2),"LUNES","MARTES","MIÉRCOLES","JUEVES","VIERNES","SÁBADO","DOMINGO"))</f>
        <v/>
      </c>
      <c r="H1234" s="34">
        <f>IF($A1234="","",CHOOSE(MONTH($A1234),"ENERO","FEBRERO","MARZO","ABRIL","MAYO","JUNIO","JULIO","AGOSTO","SEPTIEMBRE","OCTUBRE","NOVIEMBRE","DICIEMBRE"))</f>
        <v/>
      </c>
      <c r="I1234" s="34">
        <f>IF($A1234="","",IF(OR($G1234="SÁBADO",$G1234="DOMINGO"),"FIN","LV"))</f>
        <v/>
      </c>
      <c r="J1234" s="34">
        <f>IF(OR($A1234="",$B1234=""),"",IF($L1234&lt;&gt;"",UPPER($L1234),IF($C1234="","FALTA",IFERROR(IF($C1234&gt;=$O1234,"ROJO FUERTE",IF($C1234&gt;=$N1234,"ROJO",IF($C1234&gt;=$M1234,"AMARILLO","VERDE"))),"REVISAR"))))</f>
        <v/>
      </c>
      <c r="K1234" s="36">
        <f>IF(OR($C1234="",$D1234=""),"",IF($D1234&gt;=$C1234,($D1234-$C1234)*24,(1-$C1234+$D1234)*24))</f>
        <v/>
      </c>
      <c r="L1234" s="34" t="n"/>
      <c r="M1234" s="53">
        <f t="array" ref="M1234">IFERROR(INDEX(EXCEPCIONES_FECHA!$D$2:$D$201,MATCH(1,(EXCEPCIONES_FECHA!$A$2:$A$201=$A1234)*(EXCEPCIONES_FECHA!$B$2:$B$201=$B1234),0)),IFERROR(INDEX(EXCEPCIONES_FECHA!$D$2:$D$201,MATCH(1,(EXCEPCIONES_FECHA!$A$2:$A$201=$A1234)*(EXCEPCIONES_FECHA!$B$2:$B$201=""),0)),IFERROR(INDEX(IF($I1234="FIN",HISTORIAL_HORARIOS!$J$2:$J$201,HISTORIAL_HORARIOS!$F$2:$F$201),MATCH(1,(HISTORIAL_HORARIOS!$A$2:$A$201=$B1234)*(HISTORIAL_HORARIOS!$C$2:$C$201&lt;=$A1234)*(HISTORIAL_HORARIOS!$D$2:$D$201&gt;=$A1234),0)),INDEX(IF($I1234="FIN",PERSONAL!$J$2:$J$80,PERSONAL!$F$2:$F$80),MATCH($B1234,PERSONAL!$A$2:$A$80,0)))))</f>
        <v/>
      </c>
      <c r="N1234" s="53">
        <f t="array" ref="N1234">IFERROR(INDEX(EXCEPCIONES_FECHA!$E$2:$E$201,MATCH(1,(EXCEPCIONES_FECHA!$A$2:$A$201=$A1234)*(EXCEPCIONES_FECHA!$B$2:$B$201=$B1234),0)),IFERROR(INDEX(EXCEPCIONES_FECHA!$E$2:$E$201,MATCH(1,(EXCEPCIONES_FECHA!$A$2:$A$201=$A1234)*(EXCEPCIONES_FECHA!$B$2:$B$201=""),0)),IFERROR(INDEX(IF($I1234="FIN",HISTORIAL_HORARIOS!$K$2:$K$201,HISTORIAL_HORARIOS!$G$2:$G$201),MATCH(1,(HISTORIAL_HORARIOS!$A$2:$A$201=$B1234)*(HISTORIAL_HORARIOS!$C$2:$C$201&lt;=$A1234)*(HISTORIAL_HORARIOS!$D$2:$D$201&gt;=$A1234),0)),INDEX(IF($I1234="FIN",PERSONAL!$K$2:$K$80,PERSONAL!$G$2:$G$80),MATCH($B1234,PERSONAL!$A$2:$A$80,0)))))</f>
        <v/>
      </c>
      <c r="O1234" s="53">
        <f t="array" ref="O1234">IFERROR(INDEX(EXCEPCIONES_FECHA!$F$2:$F$201,MATCH(1,(EXCEPCIONES_FECHA!$A$2:$A$201=$A1234)*(EXCEPCIONES_FECHA!$B$2:$B$201=$B1234),0)),IFERROR(INDEX(EXCEPCIONES_FECHA!$F$2:$F$201,MATCH(1,(EXCEPCIONES_FECHA!$A$2:$A$201=$A1234)*(EXCEPCIONES_FECHA!$B$2:$B$201=""),0)),IFERROR(INDEX(IF($I1234="FIN",HISTORIAL_HORARIOS!$L$2:$L$201,HISTORIAL_HORARIOS!$H$2:$H$201),MATCH(1,(HISTORIAL_HORARIOS!$A$2:$A$201=$B1234)*(HISTORIAL_HORARIOS!$C$2:$C$201&lt;=$A1234)*(HISTORIAL_HORARIOS!$D$2:$D$201&gt;=$A1234),0)),INDEX(IF($I1234="FIN",PERSONAL!$L$2:$L$80,PERSONAL!$H$2:$H$80),MATCH($B1234,PERSONAL!$A$2:$A$80,0)))))</f>
        <v/>
      </c>
    </row>
    <row r="1235" ht="15" customHeight="1" s="58">
      <c r="A1235" s="40" t="n"/>
      <c r="B1235" s="38" t="n"/>
      <c r="C1235" s="40" t="n"/>
      <c r="D1235" s="40" t="n"/>
      <c r="E1235" s="34">
        <f t="array" ref="E1235">IF($B1235="","",IFERROR(INDEX(PERSONAL!$B$2:$B$80,MATCH($B1235,PERSONAL!$A$2:$A$80,0)),"NO EXISTE"))</f>
        <v/>
      </c>
      <c r="F1235" s="34">
        <f t="array" ref="F1235">IF($B1235="","",IFERROR(INDEX(PERSONAL!$C$2:$C$80,MATCH($B1235,PERSONAL!$A$2:$A$80,0)),""))</f>
        <v/>
      </c>
      <c r="G1235" s="34">
        <f>IF($A1235="","",CHOOSE(WEEKDAY($A1235,2),"LUNES","MARTES","MIÉRCOLES","JUEVES","VIERNES","SÁBADO","DOMINGO"))</f>
        <v/>
      </c>
      <c r="H1235" s="34">
        <f>IF($A1235="","",CHOOSE(MONTH($A1235),"ENERO","FEBRERO","MARZO","ABRIL","MAYO","JUNIO","JULIO","AGOSTO","SEPTIEMBRE","OCTUBRE","NOVIEMBRE","DICIEMBRE"))</f>
        <v/>
      </c>
      <c r="I1235" s="34">
        <f>IF($A1235="","",IF(OR($G1235="SÁBADO",$G1235="DOMINGO"),"FIN","LV"))</f>
        <v/>
      </c>
      <c r="J1235" s="34">
        <f>IF(OR($A1235="",$B1235=""),"",IF($L1235&lt;&gt;"",UPPER($L1235),IF($C1235="","FALTA",IFERROR(IF($C1235&gt;=$O1235,"ROJO FUERTE",IF($C1235&gt;=$N1235,"ROJO",IF($C1235&gt;=$M1235,"AMARILLO","VERDE"))),"REVISAR"))))</f>
        <v/>
      </c>
      <c r="K1235" s="36">
        <f>IF(OR($C1235="",$D1235=""),"",IF($D1235&gt;=$C1235,($D1235-$C1235)*24,(1-$C1235+$D1235)*24))</f>
        <v/>
      </c>
      <c r="L1235" s="34" t="n"/>
      <c r="M1235" s="53">
        <f t="array" ref="M1235">IFERROR(INDEX(EXCEPCIONES_FECHA!$D$2:$D$201,MATCH(1,(EXCEPCIONES_FECHA!$A$2:$A$201=$A1235)*(EXCEPCIONES_FECHA!$B$2:$B$201=$B1235),0)),IFERROR(INDEX(EXCEPCIONES_FECHA!$D$2:$D$201,MATCH(1,(EXCEPCIONES_FECHA!$A$2:$A$201=$A1235)*(EXCEPCIONES_FECHA!$B$2:$B$201=""),0)),IFERROR(INDEX(IF($I1235="FIN",HISTORIAL_HORARIOS!$J$2:$J$201,HISTORIAL_HORARIOS!$F$2:$F$201),MATCH(1,(HISTORIAL_HORARIOS!$A$2:$A$201=$B1235)*(HISTORIAL_HORARIOS!$C$2:$C$201&lt;=$A1235)*(HISTORIAL_HORARIOS!$D$2:$D$201&gt;=$A1235),0)),INDEX(IF($I1235="FIN",PERSONAL!$J$2:$J$80,PERSONAL!$F$2:$F$80),MATCH($B1235,PERSONAL!$A$2:$A$80,0)))))</f>
        <v/>
      </c>
      <c r="N1235" s="53">
        <f t="array" ref="N1235">IFERROR(INDEX(EXCEPCIONES_FECHA!$E$2:$E$201,MATCH(1,(EXCEPCIONES_FECHA!$A$2:$A$201=$A1235)*(EXCEPCIONES_FECHA!$B$2:$B$201=$B1235),0)),IFERROR(INDEX(EXCEPCIONES_FECHA!$E$2:$E$201,MATCH(1,(EXCEPCIONES_FECHA!$A$2:$A$201=$A1235)*(EXCEPCIONES_FECHA!$B$2:$B$201=""),0)),IFERROR(INDEX(IF($I1235="FIN",HISTORIAL_HORARIOS!$K$2:$K$201,HISTORIAL_HORARIOS!$G$2:$G$201),MATCH(1,(HISTORIAL_HORARIOS!$A$2:$A$201=$B1235)*(HISTORIAL_HORARIOS!$C$2:$C$201&lt;=$A1235)*(HISTORIAL_HORARIOS!$D$2:$D$201&gt;=$A1235),0)),INDEX(IF($I1235="FIN",PERSONAL!$K$2:$K$80,PERSONAL!$G$2:$G$80),MATCH($B1235,PERSONAL!$A$2:$A$80,0)))))</f>
        <v/>
      </c>
      <c r="O1235" s="53">
        <f t="array" ref="O1235">IFERROR(INDEX(EXCEPCIONES_FECHA!$F$2:$F$201,MATCH(1,(EXCEPCIONES_FECHA!$A$2:$A$201=$A1235)*(EXCEPCIONES_FECHA!$B$2:$B$201=$B1235),0)),IFERROR(INDEX(EXCEPCIONES_FECHA!$F$2:$F$201,MATCH(1,(EXCEPCIONES_FECHA!$A$2:$A$201=$A1235)*(EXCEPCIONES_FECHA!$B$2:$B$201=""),0)),IFERROR(INDEX(IF($I1235="FIN",HISTORIAL_HORARIOS!$L$2:$L$201,HISTORIAL_HORARIOS!$H$2:$H$201),MATCH(1,(HISTORIAL_HORARIOS!$A$2:$A$201=$B1235)*(HISTORIAL_HORARIOS!$C$2:$C$201&lt;=$A1235)*(HISTORIAL_HORARIOS!$D$2:$D$201&gt;=$A1235),0)),INDEX(IF($I1235="FIN",PERSONAL!$L$2:$L$80,PERSONAL!$H$2:$H$80),MATCH($B1235,PERSONAL!$A$2:$A$80,0)))))</f>
        <v/>
      </c>
    </row>
    <row r="1236" ht="15" customHeight="1" s="58">
      <c r="A1236" s="40" t="n"/>
      <c r="B1236" s="38" t="n"/>
      <c r="C1236" s="40" t="n"/>
      <c r="D1236" s="40" t="n"/>
      <c r="E1236" s="34">
        <f t="array" ref="E1236">IF($B1236="","",IFERROR(INDEX(PERSONAL!$B$2:$B$80,MATCH($B1236,PERSONAL!$A$2:$A$80,0)),"NO EXISTE"))</f>
        <v/>
      </c>
      <c r="F1236" s="34">
        <f t="array" ref="F1236">IF($B1236="","",IFERROR(INDEX(PERSONAL!$C$2:$C$80,MATCH($B1236,PERSONAL!$A$2:$A$80,0)),""))</f>
        <v/>
      </c>
      <c r="G1236" s="34">
        <f>IF($A1236="","",CHOOSE(WEEKDAY($A1236,2),"LUNES","MARTES","MIÉRCOLES","JUEVES","VIERNES","SÁBADO","DOMINGO"))</f>
        <v/>
      </c>
      <c r="H1236" s="34">
        <f>IF($A1236="","",CHOOSE(MONTH($A1236),"ENERO","FEBRERO","MARZO","ABRIL","MAYO","JUNIO","JULIO","AGOSTO","SEPTIEMBRE","OCTUBRE","NOVIEMBRE","DICIEMBRE"))</f>
        <v/>
      </c>
      <c r="I1236" s="34">
        <f>IF($A1236="","",IF(OR($G1236="SÁBADO",$G1236="DOMINGO"),"FIN","LV"))</f>
        <v/>
      </c>
      <c r="J1236" s="34">
        <f>IF(OR($A1236="",$B1236=""),"",IF($L1236&lt;&gt;"",UPPER($L1236),IF($C1236="","FALTA",IFERROR(IF($C1236&gt;=$O1236,"ROJO FUERTE",IF($C1236&gt;=$N1236,"ROJO",IF($C1236&gt;=$M1236,"AMARILLO","VERDE"))),"REVISAR"))))</f>
        <v/>
      </c>
      <c r="K1236" s="36">
        <f>IF(OR($C1236="",$D1236=""),"",IF($D1236&gt;=$C1236,($D1236-$C1236)*24,(1-$C1236+$D1236)*24))</f>
        <v/>
      </c>
      <c r="L1236" s="34" t="n"/>
      <c r="M1236" s="53">
        <f t="array" ref="M1236">IFERROR(INDEX(EXCEPCIONES_FECHA!$D$2:$D$201,MATCH(1,(EXCEPCIONES_FECHA!$A$2:$A$201=$A1236)*(EXCEPCIONES_FECHA!$B$2:$B$201=$B1236),0)),IFERROR(INDEX(EXCEPCIONES_FECHA!$D$2:$D$201,MATCH(1,(EXCEPCIONES_FECHA!$A$2:$A$201=$A1236)*(EXCEPCIONES_FECHA!$B$2:$B$201=""),0)),IFERROR(INDEX(IF($I1236="FIN",HISTORIAL_HORARIOS!$J$2:$J$201,HISTORIAL_HORARIOS!$F$2:$F$201),MATCH(1,(HISTORIAL_HORARIOS!$A$2:$A$201=$B1236)*(HISTORIAL_HORARIOS!$C$2:$C$201&lt;=$A1236)*(HISTORIAL_HORARIOS!$D$2:$D$201&gt;=$A1236),0)),INDEX(IF($I1236="FIN",PERSONAL!$J$2:$J$80,PERSONAL!$F$2:$F$80),MATCH($B1236,PERSONAL!$A$2:$A$80,0)))))</f>
        <v/>
      </c>
      <c r="N1236" s="53">
        <f t="array" ref="N1236">IFERROR(INDEX(EXCEPCIONES_FECHA!$E$2:$E$201,MATCH(1,(EXCEPCIONES_FECHA!$A$2:$A$201=$A1236)*(EXCEPCIONES_FECHA!$B$2:$B$201=$B1236),0)),IFERROR(INDEX(EXCEPCIONES_FECHA!$E$2:$E$201,MATCH(1,(EXCEPCIONES_FECHA!$A$2:$A$201=$A1236)*(EXCEPCIONES_FECHA!$B$2:$B$201=""),0)),IFERROR(INDEX(IF($I1236="FIN",HISTORIAL_HORARIOS!$K$2:$K$201,HISTORIAL_HORARIOS!$G$2:$G$201),MATCH(1,(HISTORIAL_HORARIOS!$A$2:$A$201=$B1236)*(HISTORIAL_HORARIOS!$C$2:$C$201&lt;=$A1236)*(HISTORIAL_HORARIOS!$D$2:$D$201&gt;=$A1236),0)),INDEX(IF($I1236="FIN",PERSONAL!$K$2:$K$80,PERSONAL!$G$2:$G$80),MATCH($B1236,PERSONAL!$A$2:$A$80,0)))))</f>
        <v/>
      </c>
      <c r="O1236" s="53">
        <f t="array" ref="O1236">IFERROR(INDEX(EXCEPCIONES_FECHA!$F$2:$F$201,MATCH(1,(EXCEPCIONES_FECHA!$A$2:$A$201=$A1236)*(EXCEPCIONES_FECHA!$B$2:$B$201=$B1236),0)),IFERROR(INDEX(EXCEPCIONES_FECHA!$F$2:$F$201,MATCH(1,(EXCEPCIONES_FECHA!$A$2:$A$201=$A1236)*(EXCEPCIONES_FECHA!$B$2:$B$201=""),0)),IFERROR(INDEX(IF($I1236="FIN",HISTORIAL_HORARIOS!$L$2:$L$201,HISTORIAL_HORARIOS!$H$2:$H$201),MATCH(1,(HISTORIAL_HORARIOS!$A$2:$A$201=$B1236)*(HISTORIAL_HORARIOS!$C$2:$C$201&lt;=$A1236)*(HISTORIAL_HORARIOS!$D$2:$D$201&gt;=$A1236),0)),INDEX(IF($I1236="FIN",PERSONAL!$L$2:$L$80,PERSONAL!$H$2:$H$80),MATCH($B1236,PERSONAL!$A$2:$A$80,0)))))</f>
        <v/>
      </c>
    </row>
    <row r="1237" ht="15" customHeight="1" s="58">
      <c r="A1237" s="40" t="n"/>
      <c r="B1237" s="38" t="n"/>
      <c r="C1237" s="40" t="n"/>
      <c r="D1237" s="40" t="n"/>
      <c r="E1237" s="34">
        <f t="array" ref="E1237">IF($B1237="","",IFERROR(INDEX(PERSONAL!$B$2:$B$80,MATCH($B1237,PERSONAL!$A$2:$A$80,0)),"NO EXISTE"))</f>
        <v/>
      </c>
      <c r="F1237" s="34">
        <f t="array" ref="F1237">IF($B1237="","",IFERROR(INDEX(PERSONAL!$C$2:$C$80,MATCH($B1237,PERSONAL!$A$2:$A$80,0)),""))</f>
        <v/>
      </c>
      <c r="G1237" s="34">
        <f>IF($A1237="","",CHOOSE(WEEKDAY($A1237,2),"LUNES","MARTES","MIÉRCOLES","JUEVES","VIERNES","SÁBADO","DOMINGO"))</f>
        <v/>
      </c>
      <c r="H1237" s="34">
        <f>IF($A1237="","",CHOOSE(MONTH($A1237),"ENERO","FEBRERO","MARZO","ABRIL","MAYO","JUNIO","JULIO","AGOSTO","SEPTIEMBRE","OCTUBRE","NOVIEMBRE","DICIEMBRE"))</f>
        <v/>
      </c>
      <c r="I1237" s="34">
        <f>IF($A1237="","",IF(OR($G1237="SÁBADO",$G1237="DOMINGO"),"FIN","LV"))</f>
        <v/>
      </c>
      <c r="J1237" s="34">
        <f>IF(OR($A1237="",$B1237=""),"",IF($L1237&lt;&gt;"",UPPER($L1237),IF($C1237="","FALTA",IFERROR(IF($C1237&gt;=$O1237,"ROJO FUERTE",IF($C1237&gt;=$N1237,"ROJO",IF($C1237&gt;=$M1237,"AMARILLO","VERDE"))),"REVISAR"))))</f>
        <v/>
      </c>
      <c r="K1237" s="36">
        <f>IF(OR($C1237="",$D1237=""),"",IF($D1237&gt;=$C1237,($D1237-$C1237)*24,(1-$C1237+$D1237)*24))</f>
        <v/>
      </c>
      <c r="L1237" s="34" t="n"/>
      <c r="M1237" s="53">
        <f t="array" ref="M1237">IFERROR(INDEX(EXCEPCIONES_FECHA!$D$2:$D$201,MATCH(1,(EXCEPCIONES_FECHA!$A$2:$A$201=$A1237)*(EXCEPCIONES_FECHA!$B$2:$B$201=$B1237),0)),IFERROR(INDEX(EXCEPCIONES_FECHA!$D$2:$D$201,MATCH(1,(EXCEPCIONES_FECHA!$A$2:$A$201=$A1237)*(EXCEPCIONES_FECHA!$B$2:$B$201=""),0)),IFERROR(INDEX(IF($I1237="FIN",HISTORIAL_HORARIOS!$J$2:$J$201,HISTORIAL_HORARIOS!$F$2:$F$201),MATCH(1,(HISTORIAL_HORARIOS!$A$2:$A$201=$B1237)*(HISTORIAL_HORARIOS!$C$2:$C$201&lt;=$A1237)*(HISTORIAL_HORARIOS!$D$2:$D$201&gt;=$A1237),0)),INDEX(IF($I1237="FIN",PERSONAL!$J$2:$J$80,PERSONAL!$F$2:$F$80),MATCH($B1237,PERSONAL!$A$2:$A$80,0)))))</f>
        <v/>
      </c>
      <c r="N1237" s="53">
        <f t="array" ref="N1237">IFERROR(INDEX(EXCEPCIONES_FECHA!$E$2:$E$201,MATCH(1,(EXCEPCIONES_FECHA!$A$2:$A$201=$A1237)*(EXCEPCIONES_FECHA!$B$2:$B$201=$B1237),0)),IFERROR(INDEX(EXCEPCIONES_FECHA!$E$2:$E$201,MATCH(1,(EXCEPCIONES_FECHA!$A$2:$A$201=$A1237)*(EXCEPCIONES_FECHA!$B$2:$B$201=""),0)),IFERROR(INDEX(IF($I1237="FIN",HISTORIAL_HORARIOS!$K$2:$K$201,HISTORIAL_HORARIOS!$G$2:$G$201),MATCH(1,(HISTORIAL_HORARIOS!$A$2:$A$201=$B1237)*(HISTORIAL_HORARIOS!$C$2:$C$201&lt;=$A1237)*(HISTORIAL_HORARIOS!$D$2:$D$201&gt;=$A1237),0)),INDEX(IF($I1237="FIN",PERSONAL!$K$2:$K$80,PERSONAL!$G$2:$G$80),MATCH($B1237,PERSONAL!$A$2:$A$80,0)))))</f>
        <v/>
      </c>
      <c r="O1237" s="53">
        <f t="array" ref="O1237">IFERROR(INDEX(EXCEPCIONES_FECHA!$F$2:$F$201,MATCH(1,(EXCEPCIONES_FECHA!$A$2:$A$201=$A1237)*(EXCEPCIONES_FECHA!$B$2:$B$201=$B1237),0)),IFERROR(INDEX(EXCEPCIONES_FECHA!$F$2:$F$201,MATCH(1,(EXCEPCIONES_FECHA!$A$2:$A$201=$A1237)*(EXCEPCIONES_FECHA!$B$2:$B$201=""),0)),IFERROR(INDEX(IF($I1237="FIN",HISTORIAL_HORARIOS!$L$2:$L$201,HISTORIAL_HORARIOS!$H$2:$H$201),MATCH(1,(HISTORIAL_HORARIOS!$A$2:$A$201=$B1237)*(HISTORIAL_HORARIOS!$C$2:$C$201&lt;=$A1237)*(HISTORIAL_HORARIOS!$D$2:$D$201&gt;=$A1237),0)),INDEX(IF($I1237="FIN",PERSONAL!$L$2:$L$80,PERSONAL!$H$2:$H$80),MATCH($B1237,PERSONAL!$A$2:$A$80,0)))))</f>
        <v/>
      </c>
    </row>
    <row r="1238" ht="15" customHeight="1" s="58">
      <c r="A1238" s="40" t="n"/>
      <c r="B1238" s="38" t="n"/>
      <c r="C1238" s="40" t="n"/>
      <c r="D1238" s="40" t="n"/>
      <c r="E1238" s="34">
        <f t="array" ref="E1238">IF($B1238="","",IFERROR(INDEX(PERSONAL!$B$2:$B$80,MATCH($B1238,PERSONAL!$A$2:$A$80,0)),"NO EXISTE"))</f>
        <v/>
      </c>
      <c r="F1238" s="34">
        <f t="array" ref="F1238">IF($B1238="","",IFERROR(INDEX(PERSONAL!$C$2:$C$80,MATCH($B1238,PERSONAL!$A$2:$A$80,0)),""))</f>
        <v/>
      </c>
      <c r="G1238" s="34">
        <f>IF($A1238="","",CHOOSE(WEEKDAY($A1238,2),"LUNES","MARTES","MIÉRCOLES","JUEVES","VIERNES","SÁBADO","DOMINGO"))</f>
        <v/>
      </c>
      <c r="H1238" s="34">
        <f>IF($A1238="","",CHOOSE(MONTH($A1238),"ENERO","FEBRERO","MARZO","ABRIL","MAYO","JUNIO","JULIO","AGOSTO","SEPTIEMBRE","OCTUBRE","NOVIEMBRE","DICIEMBRE"))</f>
        <v/>
      </c>
      <c r="I1238" s="34">
        <f>IF($A1238="","",IF(OR($G1238="SÁBADO",$G1238="DOMINGO"),"FIN","LV"))</f>
        <v/>
      </c>
      <c r="J1238" s="34">
        <f>IF(OR($A1238="",$B1238=""),"",IF($L1238&lt;&gt;"",UPPER($L1238),IF($C1238="","FALTA",IFERROR(IF($C1238&gt;=$O1238,"ROJO FUERTE",IF($C1238&gt;=$N1238,"ROJO",IF($C1238&gt;=$M1238,"AMARILLO","VERDE"))),"REVISAR"))))</f>
        <v/>
      </c>
      <c r="K1238" s="36">
        <f>IF(OR($C1238="",$D1238=""),"",IF($D1238&gt;=$C1238,($D1238-$C1238)*24,(1-$C1238+$D1238)*24))</f>
        <v/>
      </c>
      <c r="L1238" s="34" t="n"/>
      <c r="M1238" s="53">
        <f t="array" ref="M1238">IFERROR(INDEX(EXCEPCIONES_FECHA!$D$2:$D$201,MATCH(1,(EXCEPCIONES_FECHA!$A$2:$A$201=$A1238)*(EXCEPCIONES_FECHA!$B$2:$B$201=$B1238),0)),IFERROR(INDEX(EXCEPCIONES_FECHA!$D$2:$D$201,MATCH(1,(EXCEPCIONES_FECHA!$A$2:$A$201=$A1238)*(EXCEPCIONES_FECHA!$B$2:$B$201=""),0)),IFERROR(INDEX(IF($I1238="FIN",HISTORIAL_HORARIOS!$J$2:$J$201,HISTORIAL_HORARIOS!$F$2:$F$201),MATCH(1,(HISTORIAL_HORARIOS!$A$2:$A$201=$B1238)*(HISTORIAL_HORARIOS!$C$2:$C$201&lt;=$A1238)*(HISTORIAL_HORARIOS!$D$2:$D$201&gt;=$A1238),0)),INDEX(IF($I1238="FIN",PERSONAL!$J$2:$J$80,PERSONAL!$F$2:$F$80),MATCH($B1238,PERSONAL!$A$2:$A$80,0)))))</f>
        <v/>
      </c>
      <c r="N1238" s="53">
        <f t="array" ref="N1238">IFERROR(INDEX(EXCEPCIONES_FECHA!$E$2:$E$201,MATCH(1,(EXCEPCIONES_FECHA!$A$2:$A$201=$A1238)*(EXCEPCIONES_FECHA!$B$2:$B$201=$B1238),0)),IFERROR(INDEX(EXCEPCIONES_FECHA!$E$2:$E$201,MATCH(1,(EXCEPCIONES_FECHA!$A$2:$A$201=$A1238)*(EXCEPCIONES_FECHA!$B$2:$B$201=""),0)),IFERROR(INDEX(IF($I1238="FIN",HISTORIAL_HORARIOS!$K$2:$K$201,HISTORIAL_HORARIOS!$G$2:$G$201),MATCH(1,(HISTORIAL_HORARIOS!$A$2:$A$201=$B1238)*(HISTORIAL_HORARIOS!$C$2:$C$201&lt;=$A1238)*(HISTORIAL_HORARIOS!$D$2:$D$201&gt;=$A1238),0)),INDEX(IF($I1238="FIN",PERSONAL!$K$2:$K$80,PERSONAL!$G$2:$G$80),MATCH($B1238,PERSONAL!$A$2:$A$80,0)))))</f>
        <v/>
      </c>
      <c r="O1238" s="53">
        <f t="array" ref="O1238">IFERROR(INDEX(EXCEPCIONES_FECHA!$F$2:$F$201,MATCH(1,(EXCEPCIONES_FECHA!$A$2:$A$201=$A1238)*(EXCEPCIONES_FECHA!$B$2:$B$201=$B1238),0)),IFERROR(INDEX(EXCEPCIONES_FECHA!$F$2:$F$201,MATCH(1,(EXCEPCIONES_FECHA!$A$2:$A$201=$A1238)*(EXCEPCIONES_FECHA!$B$2:$B$201=""),0)),IFERROR(INDEX(IF($I1238="FIN",HISTORIAL_HORARIOS!$L$2:$L$201,HISTORIAL_HORARIOS!$H$2:$H$201),MATCH(1,(HISTORIAL_HORARIOS!$A$2:$A$201=$B1238)*(HISTORIAL_HORARIOS!$C$2:$C$201&lt;=$A1238)*(HISTORIAL_HORARIOS!$D$2:$D$201&gt;=$A1238),0)),INDEX(IF($I1238="FIN",PERSONAL!$L$2:$L$80,PERSONAL!$H$2:$H$80),MATCH($B1238,PERSONAL!$A$2:$A$80,0)))))</f>
        <v/>
      </c>
    </row>
    <row r="1239" ht="15" customHeight="1" s="58">
      <c r="A1239" s="40" t="n"/>
      <c r="B1239" s="38" t="n"/>
      <c r="C1239" s="40" t="n"/>
      <c r="D1239" s="40" t="n"/>
      <c r="E1239" s="34">
        <f t="array" ref="E1239">IF($B1239="","",IFERROR(INDEX(PERSONAL!$B$2:$B$80,MATCH($B1239,PERSONAL!$A$2:$A$80,0)),"NO EXISTE"))</f>
        <v/>
      </c>
      <c r="F1239" s="34">
        <f t="array" ref="F1239">IF($B1239="","",IFERROR(INDEX(PERSONAL!$C$2:$C$80,MATCH($B1239,PERSONAL!$A$2:$A$80,0)),""))</f>
        <v/>
      </c>
      <c r="G1239" s="34">
        <f>IF($A1239="","",CHOOSE(WEEKDAY($A1239,2),"LUNES","MARTES","MIÉRCOLES","JUEVES","VIERNES","SÁBADO","DOMINGO"))</f>
        <v/>
      </c>
      <c r="H1239" s="34">
        <f>IF($A1239="","",CHOOSE(MONTH($A1239),"ENERO","FEBRERO","MARZO","ABRIL","MAYO","JUNIO","JULIO","AGOSTO","SEPTIEMBRE","OCTUBRE","NOVIEMBRE","DICIEMBRE"))</f>
        <v/>
      </c>
      <c r="I1239" s="34">
        <f>IF($A1239="","",IF(OR($G1239="SÁBADO",$G1239="DOMINGO"),"FIN","LV"))</f>
        <v/>
      </c>
      <c r="J1239" s="34">
        <f>IF(OR($A1239="",$B1239=""),"",IF($L1239&lt;&gt;"",UPPER($L1239),IF($C1239="","FALTA",IFERROR(IF($C1239&gt;=$O1239,"ROJO FUERTE",IF($C1239&gt;=$N1239,"ROJO",IF($C1239&gt;=$M1239,"AMARILLO","VERDE"))),"REVISAR"))))</f>
        <v/>
      </c>
      <c r="K1239" s="36">
        <f>IF(OR($C1239="",$D1239=""),"",IF($D1239&gt;=$C1239,($D1239-$C1239)*24,(1-$C1239+$D1239)*24))</f>
        <v/>
      </c>
      <c r="L1239" s="34" t="n"/>
      <c r="M1239" s="53">
        <f t="array" ref="M1239">IFERROR(INDEX(EXCEPCIONES_FECHA!$D$2:$D$201,MATCH(1,(EXCEPCIONES_FECHA!$A$2:$A$201=$A1239)*(EXCEPCIONES_FECHA!$B$2:$B$201=$B1239),0)),IFERROR(INDEX(EXCEPCIONES_FECHA!$D$2:$D$201,MATCH(1,(EXCEPCIONES_FECHA!$A$2:$A$201=$A1239)*(EXCEPCIONES_FECHA!$B$2:$B$201=""),0)),IFERROR(INDEX(IF($I1239="FIN",HISTORIAL_HORARIOS!$J$2:$J$201,HISTORIAL_HORARIOS!$F$2:$F$201),MATCH(1,(HISTORIAL_HORARIOS!$A$2:$A$201=$B1239)*(HISTORIAL_HORARIOS!$C$2:$C$201&lt;=$A1239)*(HISTORIAL_HORARIOS!$D$2:$D$201&gt;=$A1239),0)),INDEX(IF($I1239="FIN",PERSONAL!$J$2:$J$80,PERSONAL!$F$2:$F$80),MATCH($B1239,PERSONAL!$A$2:$A$80,0)))))</f>
        <v/>
      </c>
      <c r="N1239" s="53">
        <f t="array" ref="N1239">IFERROR(INDEX(EXCEPCIONES_FECHA!$E$2:$E$201,MATCH(1,(EXCEPCIONES_FECHA!$A$2:$A$201=$A1239)*(EXCEPCIONES_FECHA!$B$2:$B$201=$B1239),0)),IFERROR(INDEX(EXCEPCIONES_FECHA!$E$2:$E$201,MATCH(1,(EXCEPCIONES_FECHA!$A$2:$A$201=$A1239)*(EXCEPCIONES_FECHA!$B$2:$B$201=""),0)),IFERROR(INDEX(IF($I1239="FIN",HISTORIAL_HORARIOS!$K$2:$K$201,HISTORIAL_HORARIOS!$G$2:$G$201),MATCH(1,(HISTORIAL_HORARIOS!$A$2:$A$201=$B1239)*(HISTORIAL_HORARIOS!$C$2:$C$201&lt;=$A1239)*(HISTORIAL_HORARIOS!$D$2:$D$201&gt;=$A1239),0)),INDEX(IF($I1239="FIN",PERSONAL!$K$2:$K$80,PERSONAL!$G$2:$G$80),MATCH($B1239,PERSONAL!$A$2:$A$80,0)))))</f>
        <v/>
      </c>
      <c r="O1239" s="53">
        <f t="array" ref="O1239">IFERROR(INDEX(EXCEPCIONES_FECHA!$F$2:$F$201,MATCH(1,(EXCEPCIONES_FECHA!$A$2:$A$201=$A1239)*(EXCEPCIONES_FECHA!$B$2:$B$201=$B1239),0)),IFERROR(INDEX(EXCEPCIONES_FECHA!$F$2:$F$201,MATCH(1,(EXCEPCIONES_FECHA!$A$2:$A$201=$A1239)*(EXCEPCIONES_FECHA!$B$2:$B$201=""),0)),IFERROR(INDEX(IF($I1239="FIN",HISTORIAL_HORARIOS!$L$2:$L$201,HISTORIAL_HORARIOS!$H$2:$H$201),MATCH(1,(HISTORIAL_HORARIOS!$A$2:$A$201=$B1239)*(HISTORIAL_HORARIOS!$C$2:$C$201&lt;=$A1239)*(HISTORIAL_HORARIOS!$D$2:$D$201&gt;=$A1239),0)),INDEX(IF($I1239="FIN",PERSONAL!$L$2:$L$80,PERSONAL!$H$2:$H$80),MATCH($B1239,PERSONAL!$A$2:$A$80,0)))))</f>
        <v/>
      </c>
    </row>
    <row r="1240" ht="15" customHeight="1" s="58">
      <c r="A1240" s="40" t="n"/>
      <c r="B1240" s="38" t="n"/>
      <c r="C1240" s="40" t="n"/>
      <c r="D1240" s="40" t="n"/>
      <c r="E1240" s="34">
        <f t="array" ref="E1240">IF($B1240="","",IFERROR(INDEX(PERSONAL!$B$2:$B$80,MATCH($B1240,PERSONAL!$A$2:$A$80,0)),"NO EXISTE"))</f>
        <v/>
      </c>
      <c r="F1240" s="34">
        <f t="array" ref="F1240">IF($B1240="","",IFERROR(INDEX(PERSONAL!$C$2:$C$80,MATCH($B1240,PERSONAL!$A$2:$A$80,0)),""))</f>
        <v/>
      </c>
      <c r="G1240" s="34">
        <f>IF($A1240="","",CHOOSE(WEEKDAY($A1240,2),"LUNES","MARTES","MIÉRCOLES","JUEVES","VIERNES","SÁBADO","DOMINGO"))</f>
        <v/>
      </c>
      <c r="H1240" s="34">
        <f>IF($A1240="","",CHOOSE(MONTH($A1240),"ENERO","FEBRERO","MARZO","ABRIL","MAYO","JUNIO","JULIO","AGOSTO","SEPTIEMBRE","OCTUBRE","NOVIEMBRE","DICIEMBRE"))</f>
        <v/>
      </c>
      <c r="I1240" s="34">
        <f>IF($A1240="","",IF(OR($G1240="SÁBADO",$G1240="DOMINGO"),"FIN","LV"))</f>
        <v/>
      </c>
      <c r="J1240" s="34">
        <f>IF(OR($A1240="",$B1240=""),"",IF($L1240&lt;&gt;"",UPPER($L1240),IF($C1240="","FALTA",IFERROR(IF($C1240&gt;=$O1240,"ROJO FUERTE",IF($C1240&gt;=$N1240,"ROJO",IF($C1240&gt;=$M1240,"AMARILLO","VERDE"))),"REVISAR"))))</f>
        <v/>
      </c>
      <c r="K1240" s="36">
        <f>IF(OR($C1240="",$D1240=""),"",IF($D1240&gt;=$C1240,($D1240-$C1240)*24,(1-$C1240+$D1240)*24))</f>
        <v/>
      </c>
      <c r="L1240" s="34" t="n"/>
      <c r="M1240" s="53">
        <f t="array" ref="M1240">IFERROR(INDEX(EXCEPCIONES_FECHA!$D$2:$D$201,MATCH(1,(EXCEPCIONES_FECHA!$A$2:$A$201=$A1240)*(EXCEPCIONES_FECHA!$B$2:$B$201=$B1240),0)),IFERROR(INDEX(EXCEPCIONES_FECHA!$D$2:$D$201,MATCH(1,(EXCEPCIONES_FECHA!$A$2:$A$201=$A1240)*(EXCEPCIONES_FECHA!$B$2:$B$201=""),0)),IFERROR(INDEX(IF($I1240="FIN",HISTORIAL_HORARIOS!$J$2:$J$201,HISTORIAL_HORARIOS!$F$2:$F$201),MATCH(1,(HISTORIAL_HORARIOS!$A$2:$A$201=$B1240)*(HISTORIAL_HORARIOS!$C$2:$C$201&lt;=$A1240)*(HISTORIAL_HORARIOS!$D$2:$D$201&gt;=$A1240),0)),INDEX(IF($I1240="FIN",PERSONAL!$J$2:$J$80,PERSONAL!$F$2:$F$80),MATCH($B1240,PERSONAL!$A$2:$A$80,0)))))</f>
        <v/>
      </c>
      <c r="N1240" s="53">
        <f t="array" ref="N1240">IFERROR(INDEX(EXCEPCIONES_FECHA!$E$2:$E$201,MATCH(1,(EXCEPCIONES_FECHA!$A$2:$A$201=$A1240)*(EXCEPCIONES_FECHA!$B$2:$B$201=$B1240),0)),IFERROR(INDEX(EXCEPCIONES_FECHA!$E$2:$E$201,MATCH(1,(EXCEPCIONES_FECHA!$A$2:$A$201=$A1240)*(EXCEPCIONES_FECHA!$B$2:$B$201=""),0)),IFERROR(INDEX(IF($I1240="FIN",HISTORIAL_HORARIOS!$K$2:$K$201,HISTORIAL_HORARIOS!$G$2:$G$201),MATCH(1,(HISTORIAL_HORARIOS!$A$2:$A$201=$B1240)*(HISTORIAL_HORARIOS!$C$2:$C$201&lt;=$A1240)*(HISTORIAL_HORARIOS!$D$2:$D$201&gt;=$A1240),0)),INDEX(IF($I1240="FIN",PERSONAL!$K$2:$K$80,PERSONAL!$G$2:$G$80),MATCH($B1240,PERSONAL!$A$2:$A$80,0)))))</f>
        <v/>
      </c>
      <c r="O1240" s="53">
        <f t="array" ref="O1240">IFERROR(INDEX(EXCEPCIONES_FECHA!$F$2:$F$201,MATCH(1,(EXCEPCIONES_FECHA!$A$2:$A$201=$A1240)*(EXCEPCIONES_FECHA!$B$2:$B$201=$B1240),0)),IFERROR(INDEX(EXCEPCIONES_FECHA!$F$2:$F$201,MATCH(1,(EXCEPCIONES_FECHA!$A$2:$A$201=$A1240)*(EXCEPCIONES_FECHA!$B$2:$B$201=""),0)),IFERROR(INDEX(IF($I1240="FIN",HISTORIAL_HORARIOS!$L$2:$L$201,HISTORIAL_HORARIOS!$H$2:$H$201),MATCH(1,(HISTORIAL_HORARIOS!$A$2:$A$201=$B1240)*(HISTORIAL_HORARIOS!$C$2:$C$201&lt;=$A1240)*(HISTORIAL_HORARIOS!$D$2:$D$201&gt;=$A1240),0)),INDEX(IF($I1240="FIN",PERSONAL!$L$2:$L$80,PERSONAL!$H$2:$H$80),MATCH($B1240,PERSONAL!$A$2:$A$80,0)))))</f>
        <v/>
      </c>
    </row>
    <row r="1241" ht="15" customHeight="1" s="58">
      <c r="A1241" s="40" t="n"/>
      <c r="B1241" s="38" t="n"/>
      <c r="C1241" s="40" t="n"/>
      <c r="D1241" s="40" t="n"/>
      <c r="E1241" s="34">
        <f t="array" ref="E1241">IF($B1241="","",IFERROR(INDEX(PERSONAL!$B$2:$B$80,MATCH($B1241,PERSONAL!$A$2:$A$80,0)),"NO EXISTE"))</f>
        <v/>
      </c>
      <c r="F1241" s="34">
        <f t="array" ref="F1241">IF($B1241="","",IFERROR(INDEX(PERSONAL!$C$2:$C$80,MATCH($B1241,PERSONAL!$A$2:$A$80,0)),""))</f>
        <v/>
      </c>
      <c r="G1241" s="34">
        <f>IF($A1241="","",CHOOSE(WEEKDAY($A1241,2),"LUNES","MARTES","MIÉRCOLES","JUEVES","VIERNES","SÁBADO","DOMINGO"))</f>
        <v/>
      </c>
      <c r="H1241" s="34">
        <f>IF($A1241="","",CHOOSE(MONTH($A1241),"ENERO","FEBRERO","MARZO","ABRIL","MAYO","JUNIO","JULIO","AGOSTO","SEPTIEMBRE","OCTUBRE","NOVIEMBRE","DICIEMBRE"))</f>
        <v/>
      </c>
      <c r="I1241" s="34">
        <f>IF($A1241="","",IF(OR($G1241="SÁBADO",$G1241="DOMINGO"),"FIN","LV"))</f>
        <v/>
      </c>
      <c r="J1241" s="34">
        <f>IF(OR($A1241="",$B1241=""),"",IF($L1241&lt;&gt;"",UPPER($L1241),IF($C1241="","FALTA",IFERROR(IF($C1241&gt;=$O1241,"ROJO FUERTE",IF($C1241&gt;=$N1241,"ROJO",IF($C1241&gt;=$M1241,"AMARILLO","VERDE"))),"REVISAR"))))</f>
        <v/>
      </c>
      <c r="K1241" s="36">
        <f>IF(OR($C1241="",$D1241=""),"",IF($D1241&gt;=$C1241,($D1241-$C1241)*24,(1-$C1241+$D1241)*24))</f>
        <v/>
      </c>
      <c r="L1241" s="34" t="n"/>
      <c r="M1241" s="53">
        <f t="array" ref="M1241">IFERROR(INDEX(EXCEPCIONES_FECHA!$D$2:$D$201,MATCH(1,(EXCEPCIONES_FECHA!$A$2:$A$201=$A1241)*(EXCEPCIONES_FECHA!$B$2:$B$201=$B1241),0)),IFERROR(INDEX(EXCEPCIONES_FECHA!$D$2:$D$201,MATCH(1,(EXCEPCIONES_FECHA!$A$2:$A$201=$A1241)*(EXCEPCIONES_FECHA!$B$2:$B$201=""),0)),IFERROR(INDEX(IF($I1241="FIN",HISTORIAL_HORARIOS!$J$2:$J$201,HISTORIAL_HORARIOS!$F$2:$F$201),MATCH(1,(HISTORIAL_HORARIOS!$A$2:$A$201=$B1241)*(HISTORIAL_HORARIOS!$C$2:$C$201&lt;=$A1241)*(HISTORIAL_HORARIOS!$D$2:$D$201&gt;=$A1241),0)),INDEX(IF($I1241="FIN",PERSONAL!$J$2:$J$80,PERSONAL!$F$2:$F$80),MATCH($B1241,PERSONAL!$A$2:$A$80,0)))))</f>
        <v/>
      </c>
      <c r="N1241" s="53">
        <f t="array" ref="N1241">IFERROR(INDEX(EXCEPCIONES_FECHA!$E$2:$E$201,MATCH(1,(EXCEPCIONES_FECHA!$A$2:$A$201=$A1241)*(EXCEPCIONES_FECHA!$B$2:$B$201=$B1241),0)),IFERROR(INDEX(EXCEPCIONES_FECHA!$E$2:$E$201,MATCH(1,(EXCEPCIONES_FECHA!$A$2:$A$201=$A1241)*(EXCEPCIONES_FECHA!$B$2:$B$201=""),0)),IFERROR(INDEX(IF($I1241="FIN",HISTORIAL_HORARIOS!$K$2:$K$201,HISTORIAL_HORARIOS!$G$2:$G$201),MATCH(1,(HISTORIAL_HORARIOS!$A$2:$A$201=$B1241)*(HISTORIAL_HORARIOS!$C$2:$C$201&lt;=$A1241)*(HISTORIAL_HORARIOS!$D$2:$D$201&gt;=$A1241),0)),INDEX(IF($I1241="FIN",PERSONAL!$K$2:$K$80,PERSONAL!$G$2:$G$80),MATCH($B1241,PERSONAL!$A$2:$A$80,0)))))</f>
        <v/>
      </c>
      <c r="O1241" s="53">
        <f t="array" ref="O1241">IFERROR(INDEX(EXCEPCIONES_FECHA!$F$2:$F$201,MATCH(1,(EXCEPCIONES_FECHA!$A$2:$A$201=$A1241)*(EXCEPCIONES_FECHA!$B$2:$B$201=$B1241),0)),IFERROR(INDEX(EXCEPCIONES_FECHA!$F$2:$F$201,MATCH(1,(EXCEPCIONES_FECHA!$A$2:$A$201=$A1241)*(EXCEPCIONES_FECHA!$B$2:$B$201=""),0)),IFERROR(INDEX(IF($I1241="FIN",HISTORIAL_HORARIOS!$L$2:$L$201,HISTORIAL_HORARIOS!$H$2:$H$201),MATCH(1,(HISTORIAL_HORARIOS!$A$2:$A$201=$B1241)*(HISTORIAL_HORARIOS!$C$2:$C$201&lt;=$A1241)*(HISTORIAL_HORARIOS!$D$2:$D$201&gt;=$A1241),0)),INDEX(IF($I1241="FIN",PERSONAL!$L$2:$L$80,PERSONAL!$H$2:$H$80),MATCH($B1241,PERSONAL!$A$2:$A$80,0)))))</f>
        <v/>
      </c>
    </row>
    <row r="1242" ht="15" customHeight="1" s="58">
      <c r="A1242" s="40" t="n"/>
      <c r="B1242" s="38" t="n"/>
      <c r="C1242" s="40" t="n"/>
      <c r="D1242" s="40" t="n"/>
      <c r="E1242" s="34">
        <f t="array" ref="E1242">IF($B1242="","",IFERROR(INDEX(PERSONAL!$B$2:$B$80,MATCH($B1242,PERSONAL!$A$2:$A$80,0)),"NO EXISTE"))</f>
        <v/>
      </c>
      <c r="F1242" s="34">
        <f t="array" ref="F1242">IF($B1242="","",IFERROR(INDEX(PERSONAL!$C$2:$C$80,MATCH($B1242,PERSONAL!$A$2:$A$80,0)),""))</f>
        <v/>
      </c>
      <c r="G1242" s="34">
        <f>IF($A1242="","",CHOOSE(WEEKDAY($A1242,2),"LUNES","MARTES","MIÉRCOLES","JUEVES","VIERNES","SÁBADO","DOMINGO"))</f>
        <v/>
      </c>
      <c r="H1242" s="34">
        <f>IF($A1242="","",CHOOSE(MONTH($A1242),"ENERO","FEBRERO","MARZO","ABRIL","MAYO","JUNIO","JULIO","AGOSTO","SEPTIEMBRE","OCTUBRE","NOVIEMBRE","DICIEMBRE"))</f>
        <v/>
      </c>
      <c r="I1242" s="34">
        <f>IF($A1242="","",IF(OR($G1242="SÁBADO",$G1242="DOMINGO"),"FIN","LV"))</f>
        <v/>
      </c>
      <c r="J1242" s="34">
        <f>IF(OR($A1242="",$B1242=""),"",IF($L1242&lt;&gt;"",UPPER($L1242),IF($C1242="","FALTA",IFERROR(IF($C1242&gt;=$O1242,"ROJO FUERTE",IF($C1242&gt;=$N1242,"ROJO",IF($C1242&gt;=$M1242,"AMARILLO","VERDE"))),"REVISAR"))))</f>
        <v/>
      </c>
      <c r="K1242" s="36">
        <f>IF(OR($C1242="",$D1242=""),"",IF($D1242&gt;=$C1242,($D1242-$C1242)*24,(1-$C1242+$D1242)*24))</f>
        <v/>
      </c>
      <c r="L1242" s="34" t="n"/>
      <c r="M1242" s="53">
        <f t="array" ref="M1242">IFERROR(INDEX(EXCEPCIONES_FECHA!$D$2:$D$201,MATCH(1,(EXCEPCIONES_FECHA!$A$2:$A$201=$A1242)*(EXCEPCIONES_FECHA!$B$2:$B$201=$B1242),0)),IFERROR(INDEX(EXCEPCIONES_FECHA!$D$2:$D$201,MATCH(1,(EXCEPCIONES_FECHA!$A$2:$A$201=$A1242)*(EXCEPCIONES_FECHA!$B$2:$B$201=""),0)),IFERROR(INDEX(IF($I1242="FIN",HISTORIAL_HORARIOS!$J$2:$J$201,HISTORIAL_HORARIOS!$F$2:$F$201),MATCH(1,(HISTORIAL_HORARIOS!$A$2:$A$201=$B1242)*(HISTORIAL_HORARIOS!$C$2:$C$201&lt;=$A1242)*(HISTORIAL_HORARIOS!$D$2:$D$201&gt;=$A1242),0)),INDEX(IF($I1242="FIN",PERSONAL!$J$2:$J$80,PERSONAL!$F$2:$F$80),MATCH($B1242,PERSONAL!$A$2:$A$80,0)))))</f>
        <v/>
      </c>
      <c r="N1242" s="53">
        <f t="array" ref="N1242">IFERROR(INDEX(EXCEPCIONES_FECHA!$E$2:$E$201,MATCH(1,(EXCEPCIONES_FECHA!$A$2:$A$201=$A1242)*(EXCEPCIONES_FECHA!$B$2:$B$201=$B1242),0)),IFERROR(INDEX(EXCEPCIONES_FECHA!$E$2:$E$201,MATCH(1,(EXCEPCIONES_FECHA!$A$2:$A$201=$A1242)*(EXCEPCIONES_FECHA!$B$2:$B$201=""),0)),IFERROR(INDEX(IF($I1242="FIN",HISTORIAL_HORARIOS!$K$2:$K$201,HISTORIAL_HORARIOS!$G$2:$G$201),MATCH(1,(HISTORIAL_HORARIOS!$A$2:$A$201=$B1242)*(HISTORIAL_HORARIOS!$C$2:$C$201&lt;=$A1242)*(HISTORIAL_HORARIOS!$D$2:$D$201&gt;=$A1242),0)),INDEX(IF($I1242="FIN",PERSONAL!$K$2:$K$80,PERSONAL!$G$2:$G$80),MATCH($B1242,PERSONAL!$A$2:$A$80,0)))))</f>
        <v/>
      </c>
      <c r="O1242" s="53">
        <f t="array" ref="O1242">IFERROR(INDEX(EXCEPCIONES_FECHA!$F$2:$F$201,MATCH(1,(EXCEPCIONES_FECHA!$A$2:$A$201=$A1242)*(EXCEPCIONES_FECHA!$B$2:$B$201=$B1242),0)),IFERROR(INDEX(EXCEPCIONES_FECHA!$F$2:$F$201,MATCH(1,(EXCEPCIONES_FECHA!$A$2:$A$201=$A1242)*(EXCEPCIONES_FECHA!$B$2:$B$201=""),0)),IFERROR(INDEX(IF($I1242="FIN",HISTORIAL_HORARIOS!$L$2:$L$201,HISTORIAL_HORARIOS!$H$2:$H$201),MATCH(1,(HISTORIAL_HORARIOS!$A$2:$A$201=$B1242)*(HISTORIAL_HORARIOS!$C$2:$C$201&lt;=$A1242)*(HISTORIAL_HORARIOS!$D$2:$D$201&gt;=$A1242),0)),INDEX(IF($I1242="FIN",PERSONAL!$L$2:$L$80,PERSONAL!$H$2:$H$80),MATCH($B1242,PERSONAL!$A$2:$A$80,0)))))</f>
        <v/>
      </c>
    </row>
    <row r="1243" ht="15" customHeight="1" s="58">
      <c r="A1243" s="40" t="n"/>
      <c r="B1243" s="38" t="n"/>
      <c r="C1243" s="40" t="n"/>
      <c r="D1243" s="40" t="n"/>
      <c r="E1243" s="34">
        <f t="array" ref="E1243">IF($B1243="","",IFERROR(INDEX(PERSONAL!$B$2:$B$80,MATCH($B1243,PERSONAL!$A$2:$A$80,0)),"NO EXISTE"))</f>
        <v/>
      </c>
      <c r="F1243" s="34">
        <f t="array" ref="F1243">IF($B1243="","",IFERROR(INDEX(PERSONAL!$C$2:$C$80,MATCH($B1243,PERSONAL!$A$2:$A$80,0)),""))</f>
        <v/>
      </c>
      <c r="G1243" s="34">
        <f>IF($A1243="","",CHOOSE(WEEKDAY($A1243,2),"LUNES","MARTES","MIÉRCOLES","JUEVES","VIERNES","SÁBADO","DOMINGO"))</f>
        <v/>
      </c>
      <c r="H1243" s="34">
        <f>IF($A1243="","",CHOOSE(MONTH($A1243),"ENERO","FEBRERO","MARZO","ABRIL","MAYO","JUNIO","JULIO","AGOSTO","SEPTIEMBRE","OCTUBRE","NOVIEMBRE","DICIEMBRE"))</f>
        <v/>
      </c>
      <c r="I1243" s="34">
        <f>IF($A1243="","",IF(OR($G1243="SÁBADO",$G1243="DOMINGO"),"FIN","LV"))</f>
        <v/>
      </c>
      <c r="J1243" s="34">
        <f>IF(OR($A1243="",$B1243=""),"",IF($L1243&lt;&gt;"",UPPER($L1243),IF($C1243="","FALTA",IFERROR(IF($C1243&gt;=$O1243,"ROJO FUERTE",IF($C1243&gt;=$N1243,"ROJO",IF($C1243&gt;=$M1243,"AMARILLO","VERDE"))),"REVISAR"))))</f>
        <v/>
      </c>
      <c r="K1243" s="36">
        <f>IF(OR($C1243="",$D1243=""),"",IF($D1243&gt;=$C1243,($D1243-$C1243)*24,(1-$C1243+$D1243)*24))</f>
        <v/>
      </c>
      <c r="L1243" s="34" t="n"/>
      <c r="M1243" s="53">
        <f t="array" ref="M1243">IFERROR(INDEX(EXCEPCIONES_FECHA!$D$2:$D$201,MATCH(1,(EXCEPCIONES_FECHA!$A$2:$A$201=$A1243)*(EXCEPCIONES_FECHA!$B$2:$B$201=$B1243),0)),IFERROR(INDEX(EXCEPCIONES_FECHA!$D$2:$D$201,MATCH(1,(EXCEPCIONES_FECHA!$A$2:$A$201=$A1243)*(EXCEPCIONES_FECHA!$B$2:$B$201=""),0)),IFERROR(INDEX(IF($I1243="FIN",HISTORIAL_HORARIOS!$J$2:$J$201,HISTORIAL_HORARIOS!$F$2:$F$201),MATCH(1,(HISTORIAL_HORARIOS!$A$2:$A$201=$B1243)*(HISTORIAL_HORARIOS!$C$2:$C$201&lt;=$A1243)*(HISTORIAL_HORARIOS!$D$2:$D$201&gt;=$A1243),0)),INDEX(IF($I1243="FIN",PERSONAL!$J$2:$J$80,PERSONAL!$F$2:$F$80),MATCH($B1243,PERSONAL!$A$2:$A$80,0)))))</f>
        <v/>
      </c>
      <c r="N1243" s="53">
        <f t="array" ref="N1243">IFERROR(INDEX(EXCEPCIONES_FECHA!$E$2:$E$201,MATCH(1,(EXCEPCIONES_FECHA!$A$2:$A$201=$A1243)*(EXCEPCIONES_FECHA!$B$2:$B$201=$B1243),0)),IFERROR(INDEX(EXCEPCIONES_FECHA!$E$2:$E$201,MATCH(1,(EXCEPCIONES_FECHA!$A$2:$A$201=$A1243)*(EXCEPCIONES_FECHA!$B$2:$B$201=""),0)),IFERROR(INDEX(IF($I1243="FIN",HISTORIAL_HORARIOS!$K$2:$K$201,HISTORIAL_HORARIOS!$G$2:$G$201),MATCH(1,(HISTORIAL_HORARIOS!$A$2:$A$201=$B1243)*(HISTORIAL_HORARIOS!$C$2:$C$201&lt;=$A1243)*(HISTORIAL_HORARIOS!$D$2:$D$201&gt;=$A1243),0)),INDEX(IF($I1243="FIN",PERSONAL!$K$2:$K$80,PERSONAL!$G$2:$G$80),MATCH($B1243,PERSONAL!$A$2:$A$80,0)))))</f>
        <v/>
      </c>
      <c r="O1243" s="53">
        <f t="array" ref="O1243">IFERROR(INDEX(EXCEPCIONES_FECHA!$F$2:$F$201,MATCH(1,(EXCEPCIONES_FECHA!$A$2:$A$201=$A1243)*(EXCEPCIONES_FECHA!$B$2:$B$201=$B1243),0)),IFERROR(INDEX(EXCEPCIONES_FECHA!$F$2:$F$201,MATCH(1,(EXCEPCIONES_FECHA!$A$2:$A$201=$A1243)*(EXCEPCIONES_FECHA!$B$2:$B$201=""),0)),IFERROR(INDEX(IF($I1243="FIN",HISTORIAL_HORARIOS!$L$2:$L$201,HISTORIAL_HORARIOS!$H$2:$H$201),MATCH(1,(HISTORIAL_HORARIOS!$A$2:$A$201=$B1243)*(HISTORIAL_HORARIOS!$C$2:$C$201&lt;=$A1243)*(HISTORIAL_HORARIOS!$D$2:$D$201&gt;=$A1243),0)),INDEX(IF($I1243="FIN",PERSONAL!$L$2:$L$80,PERSONAL!$H$2:$H$80),MATCH($B1243,PERSONAL!$A$2:$A$80,0)))))</f>
        <v/>
      </c>
    </row>
    <row r="1244" ht="15" customHeight="1" s="58">
      <c r="A1244" s="40" t="n"/>
      <c r="B1244" s="38" t="n"/>
      <c r="C1244" s="40" t="n"/>
      <c r="D1244" s="40" t="n"/>
      <c r="E1244" s="34">
        <f t="array" ref="E1244">IF($B1244="","",IFERROR(INDEX(PERSONAL!$B$2:$B$80,MATCH($B1244,PERSONAL!$A$2:$A$80,0)),"NO EXISTE"))</f>
        <v/>
      </c>
      <c r="F1244" s="34">
        <f t="array" ref="F1244">IF($B1244="","",IFERROR(INDEX(PERSONAL!$C$2:$C$80,MATCH($B1244,PERSONAL!$A$2:$A$80,0)),""))</f>
        <v/>
      </c>
      <c r="G1244" s="34">
        <f>IF($A1244="","",CHOOSE(WEEKDAY($A1244,2),"LUNES","MARTES","MIÉRCOLES","JUEVES","VIERNES","SÁBADO","DOMINGO"))</f>
        <v/>
      </c>
      <c r="H1244" s="34">
        <f>IF($A1244="","",CHOOSE(MONTH($A1244),"ENERO","FEBRERO","MARZO","ABRIL","MAYO","JUNIO","JULIO","AGOSTO","SEPTIEMBRE","OCTUBRE","NOVIEMBRE","DICIEMBRE"))</f>
        <v/>
      </c>
      <c r="I1244" s="34">
        <f>IF($A1244="","",IF(OR($G1244="SÁBADO",$G1244="DOMINGO"),"FIN","LV"))</f>
        <v/>
      </c>
      <c r="J1244" s="34">
        <f>IF(OR($A1244="",$B1244=""),"",IF($L1244&lt;&gt;"",UPPER($L1244),IF($C1244="","FALTA",IFERROR(IF($C1244&gt;=$O1244,"ROJO FUERTE",IF($C1244&gt;=$N1244,"ROJO",IF($C1244&gt;=$M1244,"AMARILLO","VERDE"))),"REVISAR"))))</f>
        <v/>
      </c>
      <c r="K1244" s="36">
        <f>IF(OR($C1244="",$D1244=""),"",IF($D1244&gt;=$C1244,($D1244-$C1244)*24,(1-$C1244+$D1244)*24))</f>
        <v/>
      </c>
      <c r="L1244" s="34" t="n"/>
      <c r="M1244" s="53">
        <f t="array" ref="M1244">IFERROR(INDEX(EXCEPCIONES_FECHA!$D$2:$D$201,MATCH(1,(EXCEPCIONES_FECHA!$A$2:$A$201=$A1244)*(EXCEPCIONES_FECHA!$B$2:$B$201=$B1244),0)),IFERROR(INDEX(EXCEPCIONES_FECHA!$D$2:$D$201,MATCH(1,(EXCEPCIONES_FECHA!$A$2:$A$201=$A1244)*(EXCEPCIONES_FECHA!$B$2:$B$201=""),0)),IFERROR(INDEX(IF($I1244="FIN",HISTORIAL_HORARIOS!$J$2:$J$201,HISTORIAL_HORARIOS!$F$2:$F$201),MATCH(1,(HISTORIAL_HORARIOS!$A$2:$A$201=$B1244)*(HISTORIAL_HORARIOS!$C$2:$C$201&lt;=$A1244)*(HISTORIAL_HORARIOS!$D$2:$D$201&gt;=$A1244),0)),INDEX(IF($I1244="FIN",PERSONAL!$J$2:$J$80,PERSONAL!$F$2:$F$80),MATCH($B1244,PERSONAL!$A$2:$A$80,0)))))</f>
        <v/>
      </c>
      <c r="N1244" s="53">
        <f t="array" ref="N1244">IFERROR(INDEX(EXCEPCIONES_FECHA!$E$2:$E$201,MATCH(1,(EXCEPCIONES_FECHA!$A$2:$A$201=$A1244)*(EXCEPCIONES_FECHA!$B$2:$B$201=$B1244),0)),IFERROR(INDEX(EXCEPCIONES_FECHA!$E$2:$E$201,MATCH(1,(EXCEPCIONES_FECHA!$A$2:$A$201=$A1244)*(EXCEPCIONES_FECHA!$B$2:$B$201=""),0)),IFERROR(INDEX(IF($I1244="FIN",HISTORIAL_HORARIOS!$K$2:$K$201,HISTORIAL_HORARIOS!$G$2:$G$201),MATCH(1,(HISTORIAL_HORARIOS!$A$2:$A$201=$B1244)*(HISTORIAL_HORARIOS!$C$2:$C$201&lt;=$A1244)*(HISTORIAL_HORARIOS!$D$2:$D$201&gt;=$A1244),0)),INDEX(IF($I1244="FIN",PERSONAL!$K$2:$K$80,PERSONAL!$G$2:$G$80),MATCH($B1244,PERSONAL!$A$2:$A$80,0)))))</f>
        <v/>
      </c>
      <c r="O1244" s="53">
        <f t="array" ref="O1244">IFERROR(INDEX(EXCEPCIONES_FECHA!$F$2:$F$201,MATCH(1,(EXCEPCIONES_FECHA!$A$2:$A$201=$A1244)*(EXCEPCIONES_FECHA!$B$2:$B$201=$B1244),0)),IFERROR(INDEX(EXCEPCIONES_FECHA!$F$2:$F$201,MATCH(1,(EXCEPCIONES_FECHA!$A$2:$A$201=$A1244)*(EXCEPCIONES_FECHA!$B$2:$B$201=""),0)),IFERROR(INDEX(IF($I1244="FIN",HISTORIAL_HORARIOS!$L$2:$L$201,HISTORIAL_HORARIOS!$H$2:$H$201),MATCH(1,(HISTORIAL_HORARIOS!$A$2:$A$201=$B1244)*(HISTORIAL_HORARIOS!$C$2:$C$201&lt;=$A1244)*(HISTORIAL_HORARIOS!$D$2:$D$201&gt;=$A1244),0)),INDEX(IF($I1244="FIN",PERSONAL!$L$2:$L$80,PERSONAL!$H$2:$H$80),MATCH($B1244,PERSONAL!$A$2:$A$80,0)))))</f>
        <v/>
      </c>
    </row>
    <row r="1245" ht="15" customHeight="1" s="58">
      <c r="A1245" s="40" t="n"/>
      <c r="B1245" s="38" t="n"/>
      <c r="C1245" s="40" t="n"/>
      <c r="D1245" s="40" t="n"/>
      <c r="E1245" s="34">
        <f t="array" ref="E1245">IF($B1245="","",IFERROR(INDEX(PERSONAL!$B$2:$B$80,MATCH($B1245,PERSONAL!$A$2:$A$80,0)),"NO EXISTE"))</f>
        <v/>
      </c>
      <c r="F1245" s="34">
        <f t="array" ref="F1245">IF($B1245="","",IFERROR(INDEX(PERSONAL!$C$2:$C$80,MATCH($B1245,PERSONAL!$A$2:$A$80,0)),""))</f>
        <v/>
      </c>
      <c r="G1245" s="34">
        <f>IF($A1245="","",CHOOSE(WEEKDAY($A1245,2),"LUNES","MARTES","MIÉRCOLES","JUEVES","VIERNES","SÁBADO","DOMINGO"))</f>
        <v/>
      </c>
      <c r="H1245" s="34">
        <f>IF($A1245="","",CHOOSE(MONTH($A1245),"ENERO","FEBRERO","MARZO","ABRIL","MAYO","JUNIO","JULIO","AGOSTO","SEPTIEMBRE","OCTUBRE","NOVIEMBRE","DICIEMBRE"))</f>
        <v/>
      </c>
      <c r="I1245" s="34">
        <f>IF($A1245="","",IF(OR($G1245="SÁBADO",$G1245="DOMINGO"),"FIN","LV"))</f>
        <v/>
      </c>
      <c r="J1245" s="34">
        <f>IF(OR($A1245="",$B1245=""),"",IF($L1245&lt;&gt;"",UPPER($L1245),IF($C1245="","FALTA",IFERROR(IF($C1245&gt;=$O1245,"ROJO FUERTE",IF($C1245&gt;=$N1245,"ROJO",IF($C1245&gt;=$M1245,"AMARILLO","VERDE"))),"REVISAR"))))</f>
        <v/>
      </c>
      <c r="K1245" s="36">
        <f>IF(OR($C1245="",$D1245=""),"",IF($D1245&gt;=$C1245,($D1245-$C1245)*24,(1-$C1245+$D1245)*24))</f>
        <v/>
      </c>
      <c r="L1245" s="34" t="n"/>
      <c r="M1245" s="53">
        <f t="array" ref="M1245">IFERROR(INDEX(EXCEPCIONES_FECHA!$D$2:$D$201,MATCH(1,(EXCEPCIONES_FECHA!$A$2:$A$201=$A1245)*(EXCEPCIONES_FECHA!$B$2:$B$201=$B1245),0)),IFERROR(INDEX(EXCEPCIONES_FECHA!$D$2:$D$201,MATCH(1,(EXCEPCIONES_FECHA!$A$2:$A$201=$A1245)*(EXCEPCIONES_FECHA!$B$2:$B$201=""),0)),IFERROR(INDEX(IF($I1245="FIN",HISTORIAL_HORARIOS!$J$2:$J$201,HISTORIAL_HORARIOS!$F$2:$F$201),MATCH(1,(HISTORIAL_HORARIOS!$A$2:$A$201=$B1245)*(HISTORIAL_HORARIOS!$C$2:$C$201&lt;=$A1245)*(HISTORIAL_HORARIOS!$D$2:$D$201&gt;=$A1245),0)),INDEX(IF($I1245="FIN",PERSONAL!$J$2:$J$80,PERSONAL!$F$2:$F$80),MATCH($B1245,PERSONAL!$A$2:$A$80,0)))))</f>
        <v/>
      </c>
      <c r="N1245" s="53">
        <f t="array" ref="N1245">IFERROR(INDEX(EXCEPCIONES_FECHA!$E$2:$E$201,MATCH(1,(EXCEPCIONES_FECHA!$A$2:$A$201=$A1245)*(EXCEPCIONES_FECHA!$B$2:$B$201=$B1245),0)),IFERROR(INDEX(EXCEPCIONES_FECHA!$E$2:$E$201,MATCH(1,(EXCEPCIONES_FECHA!$A$2:$A$201=$A1245)*(EXCEPCIONES_FECHA!$B$2:$B$201=""),0)),IFERROR(INDEX(IF($I1245="FIN",HISTORIAL_HORARIOS!$K$2:$K$201,HISTORIAL_HORARIOS!$G$2:$G$201),MATCH(1,(HISTORIAL_HORARIOS!$A$2:$A$201=$B1245)*(HISTORIAL_HORARIOS!$C$2:$C$201&lt;=$A1245)*(HISTORIAL_HORARIOS!$D$2:$D$201&gt;=$A1245),0)),INDEX(IF($I1245="FIN",PERSONAL!$K$2:$K$80,PERSONAL!$G$2:$G$80),MATCH($B1245,PERSONAL!$A$2:$A$80,0)))))</f>
        <v/>
      </c>
      <c r="O1245" s="53">
        <f t="array" ref="O1245">IFERROR(INDEX(EXCEPCIONES_FECHA!$F$2:$F$201,MATCH(1,(EXCEPCIONES_FECHA!$A$2:$A$201=$A1245)*(EXCEPCIONES_FECHA!$B$2:$B$201=$B1245),0)),IFERROR(INDEX(EXCEPCIONES_FECHA!$F$2:$F$201,MATCH(1,(EXCEPCIONES_FECHA!$A$2:$A$201=$A1245)*(EXCEPCIONES_FECHA!$B$2:$B$201=""),0)),IFERROR(INDEX(IF($I1245="FIN",HISTORIAL_HORARIOS!$L$2:$L$201,HISTORIAL_HORARIOS!$H$2:$H$201),MATCH(1,(HISTORIAL_HORARIOS!$A$2:$A$201=$B1245)*(HISTORIAL_HORARIOS!$C$2:$C$201&lt;=$A1245)*(HISTORIAL_HORARIOS!$D$2:$D$201&gt;=$A1245),0)),INDEX(IF($I1245="FIN",PERSONAL!$L$2:$L$80,PERSONAL!$H$2:$H$80),MATCH($B1245,PERSONAL!$A$2:$A$80,0)))))</f>
        <v/>
      </c>
    </row>
    <row r="1246" ht="15" customHeight="1" s="58">
      <c r="A1246" s="40" t="n"/>
      <c r="B1246" s="38" t="n"/>
      <c r="C1246" s="40" t="n"/>
      <c r="D1246" s="40" t="n"/>
      <c r="E1246" s="34">
        <f t="array" ref="E1246">IF($B1246="","",IFERROR(INDEX(PERSONAL!$B$2:$B$80,MATCH($B1246,PERSONAL!$A$2:$A$80,0)),"NO EXISTE"))</f>
        <v/>
      </c>
      <c r="F1246" s="34">
        <f t="array" ref="F1246">IF($B1246="","",IFERROR(INDEX(PERSONAL!$C$2:$C$80,MATCH($B1246,PERSONAL!$A$2:$A$80,0)),""))</f>
        <v/>
      </c>
      <c r="G1246" s="34">
        <f>IF($A1246="","",CHOOSE(WEEKDAY($A1246,2),"LUNES","MARTES","MIÉRCOLES","JUEVES","VIERNES","SÁBADO","DOMINGO"))</f>
        <v/>
      </c>
      <c r="H1246" s="34">
        <f>IF($A1246="","",CHOOSE(MONTH($A1246),"ENERO","FEBRERO","MARZO","ABRIL","MAYO","JUNIO","JULIO","AGOSTO","SEPTIEMBRE","OCTUBRE","NOVIEMBRE","DICIEMBRE"))</f>
        <v/>
      </c>
      <c r="I1246" s="34">
        <f>IF($A1246="","",IF(OR($G1246="SÁBADO",$G1246="DOMINGO"),"FIN","LV"))</f>
        <v/>
      </c>
      <c r="J1246" s="34">
        <f>IF(OR($A1246="",$B1246=""),"",IF($L1246&lt;&gt;"",UPPER($L1246),IF($C1246="","FALTA",IFERROR(IF($C1246&gt;=$O1246,"ROJO FUERTE",IF($C1246&gt;=$N1246,"ROJO",IF($C1246&gt;=$M1246,"AMARILLO","VERDE"))),"REVISAR"))))</f>
        <v/>
      </c>
      <c r="K1246" s="36">
        <f>IF(OR($C1246="",$D1246=""),"",IF($D1246&gt;=$C1246,($D1246-$C1246)*24,(1-$C1246+$D1246)*24))</f>
        <v/>
      </c>
      <c r="L1246" s="34" t="n"/>
      <c r="M1246" s="53">
        <f t="array" ref="M1246">IFERROR(INDEX(EXCEPCIONES_FECHA!$D$2:$D$201,MATCH(1,(EXCEPCIONES_FECHA!$A$2:$A$201=$A1246)*(EXCEPCIONES_FECHA!$B$2:$B$201=$B1246),0)),IFERROR(INDEX(EXCEPCIONES_FECHA!$D$2:$D$201,MATCH(1,(EXCEPCIONES_FECHA!$A$2:$A$201=$A1246)*(EXCEPCIONES_FECHA!$B$2:$B$201=""),0)),IFERROR(INDEX(IF($I1246="FIN",HISTORIAL_HORARIOS!$J$2:$J$201,HISTORIAL_HORARIOS!$F$2:$F$201),MATCH(1,(HISTORIAL_HORARIOS!$A$2:$A$201=$B1246)*(HISTORIAL_HORARIOS!$C$2:$C$201&lt;=$A1246)*(HISTORIAL_HORARIOS!$D$2:$D$201&gt;=$A1246),0)),INDEX(IF($I1246="FIN",PERSONAL!$J$2:$J$80,PERSONAL!$F$2:$F$80),MATCH($B1246,PERSONAL!$A$2:$A$80,0)))))</f>
        <v/>
      </c>
      <c r="N1246" s="53">
        <f t="array" ref="N1246">IFERROR(INDEX(EXCEPCIONES_FECHA!$E$2:$E$201,MATCH(1,(EXCEPCIONES_FECHA!$A$2:$A$201=$A1246)*(EXCEPCIONES_FECHA!$B$2:$B$201=$B1246),0)),IFERROR(INDEX(EXCEPCIONES_FECHA!$E$2:$E$201,MATCH(1,(EXCEPCIONES_FECHA!$A$2:$A$201=$A1246)*(EXCEPCIONES_FECHA!$B$2:$B$201=""),0)),IFERROR(INDEX(IF($I1246="FIN",HISTORIAL_HORARIOS!$K$2:$K$201,HISTORIAL_HORARIOS!$G$2:$G$201),MATCH(1,(HISTORIAL_HORARIOS!$A$2:$A$201=$B1246)*(HISTORIAL_HORARIOS!$C$2:$C$201&lt;=$A1246)*(HISTORIAL_HORARIOS!$D$2:$D$201&gt;=$A1246),0)),INDEX(IF($I1246="FIN",PERSONAL!$K$2:$K$80,PERSONAL!$G$2:$G$80),MATCH($B1246,PERSONAL!$A$2:$A$80,0)))))</f>
        <v/>
      </c>
      <c r="O1246" s="53">
        <f t="array" ref="O1246">IFERROR(INDEX(EXCEPCIONES_FECHA!$F$2:$F$201,MATCH(1,(EXCEPCIONES_FECHA!$A$2:$A$201=$A1246)*(EXCEPCIONES_FECHA!$B$2:$B$201=$B1246),0)),IFERROR(INDEX(EXCEPCIONES_FECHA!$F$2:$F$201,MATCH(1,(EXCEPCIONES_FECHA!$A$2:$A$201=$A1246)*(EXCEPCIONES_FECHA!$B$2:$B$201=""),0)),IFERROR(INDEX(IF($I1246="FIN",HISTORIAL_HORARIOS!$L$2:$L$201,HISTORIAL_HORARIOS!$H$2:$H$201),MATCH(1,(HISTORIAL_HORARIOS!$A$2:$A$201=$B1246)*(HISTORIAL_HORARIOS!$C$2:$C$201&lt;=$A1246)*(HISTORIAL_HORARIOS!$D$2:$D$201&gt;=$A1246),0)),INDEX(IF($I1246="FIN",PERSONAL!$L$2:$L$80,PERSONAL!$H$2:$H$80),MATCH($B1246,PERSONAL!$A$2:$A$80,0)))))</f>
        <v/>
      </c>
    </row>
    <row r="1247" ht="15" customHeight="1" s="58">
      <c r="A1247" s="40" t="n"/>
      <c r="B1247" s="38" t="n"/>
      <c r="C1247" s="40" t="n"/>
      <c r="D1247" s="40" t="n"/>
      <c r="E1247" s="34">
        <f t="array" ref="E1247">IF($B1247="","",IFERROR(INDEX(PERSONAL!$B$2:$B$80,MATCH($B1247,PERSONAL!$A$2:$A$80,0)),"NO EXISTE"))</f>
        <v/>
      </c>
      <c r="F1247" s="34">
        <f t="array" ref="F1247">IF($B1247="","",IFERROR(INDEX(PERSONAL!$C$2:$C$80,MATCH($B1247,PERSONAL!$A$2:$A$80,0)),""))</f>
        <v/>
      </c>
      <c r="G1247" s="34">
        <f>IF($A1247="","",CHOOSE(WEEKDAY($A1247,2),"LUNES","MARTES","MIÉRCOLES","JUEVES","VIERNES","SÁBADO","DOMINGO"))</f>
        <v/>
      </c>
      <c r="H1247" s="34">
        <f>IF($A1247="","",CHOOSE(MONTH($A1247),"ENERO","FEBRERO","MARZO","ABRIL","MAYO","JUNIO","JULIO","AGOSTO","SEPTIEMBRE","OCTUBRE","NOVIEMBRE","DICIEMBRE"))</f>
        <v/>
      </c>
      <c r="I1247" s="34">
        <f>IF($A1247="","",IF(OR($G1247="SÁBADO",$G1247="DOMINGO"),"FIN","LV"))</f>
        <v/>
      </c>
      <c r="J1247" s="34">
        <f>IF(OR($A1247="",$B1247=""),"",IF($L1247&lt;&gt;"",UPPER($L1247),IF($C1247="","FALTA",IFERROR(IF($C1247&gt;=$O1247,"ROJO FUERTE",IF($C1247&gt;=$N1247,"ROJO",IF($C1247&gt;=$M1247,"AMARILLO","VERDE"))),"REVISAR"))))</f>
        <v/>
      </c>
      <c r="K1247" s="36">
        <f>IF(OR($C1247="",$D1247=""),"",IF($D1247&gt;=$C1247,($D1247-$C1247)*24,(1-$C1247+$D1247)*24))</f>
        <v/>
      </c>
      <c r="L1247" s="34" t="n"/>
      <c r="M1247" s="53">
        <f t="array" ref="M1247">IFERROR(INDEX(EXCEPCIONES_FECHA!$D$2:$D$201,MATCH(1,(EXCEPCIONES_FECHA!$A$2:$A$201=$A1247)*(EXCEPCIONES_FECHA!$B$2:$B$201=$B1247),0)),IFERROR(INDEX(EXCEPCIONES_FECHA!$D$2:$D$201,MATCH(1,(EXCEPCIONES_FECHA!$A$2:$A$201=$A1247)*(EXCEPCIONES_FECHA!$B$2:$B$201=""),0)),IFERROR(INDEX(IF($I1247="FIN",HISTORIAL_HORARIOS!$J$2:$J$201,HISTORIAL_HORARIOS!$F$2:$F$201),MATCH(1,(HISTORIAL_HORARIOS!$A$2:$A$201=$B1247)*(HISTORIAL_HORARIOS!$C$2:$C$201&lt;=$A1247)*(HISTORIAL_HORARIOS!$D$2:$D$201&gt;=$A1247),0)),INDEX(IF($I1247="FIN",PERSONAL!$J$2:$J$80,PERSONAL!$F$2:$F$80),MATCH($B1247,PERSONAL!$A$2:$A$80,0)))))</f>
        <v/>
      </c>
      <c r="N1247" s="53">
        <f t="array" ref="N1247">IFERROR(INDEX(EXCEPCIONES_FECHA!$E$2:$E$201,MATCH(1,(EXCEPCIONES_FECHA!$A$2:$A$201=$A1247)*(EXCEPCIONES_FECHA!$B$2:$B$201=$B1247),0)),IFERROR(INDEX(EXCEPCIONES_FECHA!$E$2:$E$201,MATCH(1,(EXCEPCIONES_FECHA!$A$2:$A$201=$A1247)*(EXCEPCIONES_FECHA!$B$2:$B$201=""),0)),IFERROR(INDEX(IF($I1247="FIN",HISTORIAL_HORARIOS!$K$2:$K$201,HISTORIAL_HORARIOS!$G$2:$G$201),MATCH(1,(HISTORIAL_HORARIOS!$A$2:$A$201=$B1247)*(HISTORIAL_HORARIOS!$C$2:$C$201&lt;=$A1247)*(HISTORIAL_HORARIOS!$D$2:$D$201&gt;=$A1247),0)),INDEX(IF($I1247="FIN",PERSONAL!$K$2:$K$80,PERSONAL!$G$2:$G$80),MATCH($B1247,PERSONAL!$A$2:$A$80,0)))))</f>
        <v/>
      </c>
      <c r="O1247" s="53">
        <f t="array" ref="O1247">IFERROR(INDEX(EXCEPCIONES_FECHA!$F$2:$F$201,MATCH(1,(EXCEPCIONES_FECHA!$A$2:$A$201=$A1247)*(EXCEPCIONES_FECHA!$B$2:$B$201=$B1247),0)),IFERROR(INDEX(EXCEPCIONES_FECHA!$F$2:$F$201,MATCH(1,(EXCEPCIONES_FECHA!$A$2:$A$201=$A1247)*(EXCEPCIONES_FECHA!$B$2:$B$201=""),0)),IFERROR(INDEX(IF($I1247="FIN",HISTORIAL_HORARIOS!$L$2:$L$201,HISTORIAL_HORARIOS!$H$2:$H$201),MATCH(1,(HISTORIAL_HORARIOS!$A$2:$A$201=$B1247)*(HISTORIAL_HORARIOS!$C$2:$C$201&lt;=$A1247)*(HISTORIAL_HORARIOS!$D$2:$D$201&gt;=$A1247),0)),INDEX(IF($I1247="FIN",PERSONAL!$L$2:$L$80,PERSONAL!$H$2:$H$80),MATCH($B1247,PERSONAL!$A$2:$A$80,0)))))</f>
        <v/>
      </c>
    </row>
    <row r="1248" ht="15" customHeight="1" s="58">
      <c r="A1248" s="40" t="n"/>
      <c r="B1248" s="38" t="n"/>
      <c r="C1248" s="40" t="n"/>
      <c r="D1248" s="40" t="n"/>
      <c r="E1248" s="34">
        <f t="array" ref="E1248">IF($B1248="","",IFERROR(INDEX(PERSONAL!$B$2:$B$80,MATCH($B1248,PERSONAL!$A$2:$A$80,0)),"NO EXISTE"))</f>
        <v/>
      </c>
      <c r="F1248" s="34">
        <f t="array" ref="F1248">IF($B1248="","",IFERROR(INDEX(PERSONAL!$C$2:$C$80,MATCH($B1248,PERSONAL!$A$2:$A$80,0)),""))</f>
        <v/>
      </c>
      <c r="G1248" s="34">
        <f>IF($A1248="","",CHOOSE(WEEKDAY($A1248,2),"LUNES","MARTES","MIÉRCOLES","JUEVES","VIERNES","SÁBADO","DOMINGO"))</f>
        <v/>
      </c>
      <c r="H1248" s="34">
        <f>IF($A1248="","",CHOOSE(MONTH($A1248),"ENERO","FEBRERO","MARZO","ABRIL","MAYO","JUNIO","JULIO","AGOSTO","SEPTIEMBRE","OCTUBRE","NOVIEMBRE","DICIEMBRE"))</f>
        <v/>
      </c>
      <c r="I1248" s="34">
        <f>IF($A1248="","",IF(OR($G1248="SÁBADO",$G1248="DOMINGO"),"FIN","LV"))</f>
        <v/>
      </c>
      <c r="J1248" s="34">
        <f>IF(OR($A1248="",$B1248=""),"",IF($L1248&lt;&gt;"",UPPER($L1248),IF($C1248="","FALTA",IFERROR(IF($C1248&gt;=$O1248,"ROJO FUERTE",IF($C1248&gt;=$N1248,"ROJO",IF($C1248&gt;=$M1248,"AMARILLO","VERDE"))),"REVISAR"))))</f>
        <v/>
      </c>
      <c r="K1248" s="36">
        <f>IF(OR($C1248="",$D1248=""),"",IF($D1248&gt;=$C1248,($D1248-$C1248)*24,(1-$C1248+$D1248)*24))</f>
        <v/>
      </c>
      <c r="L1248" s="34" t="n"/>
      <c r="M1248" s="53">
        <f t="array" ref="M1248">IFERROR(INDEX(EXCEPCIONES_FECHA!$D$2:$D$201,MATCH(1,(EXCEPCIONES_FECHA!$A$2:$A$201=$A1248)*(EXCEPCIONES_FECHA!$B$2:$B$201=$B1248),0)),IFERROR(INDEX(EXCEPCIONES_FECHA!$D$2:$D$201,MATCH(1,(EXCEPCIONES_FECHA!$A$2:$A$201=$A1248)*(EXCEPCIONES_FECHA!$B$2:$B$201=""),0)),IFERROR(INDEX(IF($I1248="FIN",HISTORIAL_HORARIOS!$J$2:$J$201,HISTORIAL_HORARIOS!$F$2:$F$201),MATCH(1,(HISTORIAL_HORARIOS!$A$2:$A$201=$B1248)*(HISTORIAL_HORARIOS!$C$2:$C$201&lt;=$A1248)*(HISTORIAL_HORARIOS!$D$2:$D$201&gt;=$A1248),0)),INDEX(IF($I1248="FIN",PERSONAL!$J$2:$J$80,PERSONAL!$F$2:$F$80),MATCH($B1248,PERSONAL!$A$2:$A$80,0)))))</f>
        <v/>
      </c>
      <c r="N1248" s="53">
        <f t="array" ref="N1248">IFERROR(INDEX(EXCEPCIONES_FECHA!$E$2:$E$201,MATCH(1,(EXCEPCIONES_FECHA!$A$2:$A$201=$A1248)*(EXCEPCIONES_FECHA!$B$2:$B$201=$B1248),0)),IFERROR(INDEX(EXCEPCIONES_FECHA!$E$2:$E$201,MATCH(1,(EXCEPCIONES_FECHA!$A$2:$A$201=$A1248)*(EXCEPCIONES_FECHA!$B$2:$B$201=""),0)),IFERROR(INDEX(IF($I1248="FIN",HISTORIAL_HORARIOS!$K$2:$K$201,HISTORIAL_HORARIOS!$G$2:$G$201),MATCH(1,(HISTORIAL_HORARIOS!$A$2:$A$201=$B1248)*(HISTORIAL_HORARIOS!$C$2:$C$201&lt;=$A1248)*(HISTORIAL_HORARIOS!$D$2:$D$201&gt;=$A1248),0)),INDEX(IF($I1248="FIN",PERSONAL!$K$2:$K$80,PERSONAL!$G$2:$G$80),MATCH($B1248,PERSONAL!$A$2:$A$80,0)))))</f>
        <v/>
      </c>
      <c r="O1248" s="53">
        <f t="array" ref="O1248">IFERROR(INDEX(EXCEPCIONES_FECHA!$F$2:$F$201,MATCH(1,(EXCEPCIONES_FECHA!$A$2:$A$201=$A1248)*(EXCEPCIONES_FECHA!$B$2:$B$201=$B1248),0)),IFERROR(INDEX(EXCEPCIONES_FECHA!$F$2:$F$201,MATCH(1,(EXCEPCIONES_FECHA!$A$2:$A$201=$A1248)*(EXCEPCIONES_FECHA!$B$2:$B$201=""),0)),IFERROR(INDEX(IF($I1248="FIN",HISTORIAL_HORARIOS!$L$2:$L$201,HISTORIAL_HORARIOS!$H$2:$H$201),MATCH(1,(HISTORIAL_HORARIOS!$A$2:$A$201=$B1248)*(HISTORIAL_HORARIOS!$C$2:$C$201&lt;=$A1248)*(HISTORIAL_HORARIOS!$D$2:$D$201&gt;=$A1248),0)),INDEX(IF($I1248="FIN",PERSONAL!$L$2:$L$80,PERSONAL!$H$2:$H$80),MATCH($B1248,PERSONAL!$A$2:$A$80,0)))))</f>
        <v/>
      </c>
    </row>
    <row r="1249" ht="15" customHeight="1" s="58">
      <c r="A1249" s="40" t="n"/>
      <c r="B1249" s="38" t="n"/>
      <c r="C1249" s="40" t="n"/>
      <c r="D1249" s="40" t="n"/>
      <c r="E1249" s="34">
        <f t="array" ref="E1249">IF($B1249="","",IFERROR(INDEX(PERSONAL!$B$2:$B$80,MATCH($B1249,PERSONAL!$A$2:$A$80,0)),"NO EXISTE"))</f>
        <v/>
      </c>
      <c r="F1249" s="34">
        <f t="array" ref="F1249">IF($B1249="","",IFERROR(INDEX(PERSONAL!$C$2:$C$80,MATCH($B1249,PERSONAL!$A$2:$A$80,0)),""))</f>
        <v/>
      </c>
      <c r="G1249" s="34">
        <f>IF($A1249="","",CHOOSE(WEEKDAY($A1249,2),"LUNES","MARTES","MIÉRCOLES","JUEVES","VIERNES","SÁBADO","DOMINGO"))</f>
        <v/>
      </c>
      <c r="H1249" s="34">
        <f>IF($A1249="","",CHOOSE(MONTH($A1249),"ENERO","FEBRERO","MARZO","ABRIL","MAYO","JUNIO","JULIO","AGOSTO","SEPTIEMBRE","OCTUBRE","NOVIEMBRE","DICIEMBRE"))</f>
        <v/>
      </c>
      <c r="I1249" s="34">
        <f>IF($A1249="","",IF(OR($G1249="SÁBADO",$G1249="DOMINGO"),"FIN","LV"))</f>
        <v/>
      </c>
      <c r="J1249" s="34">
        <f>IF(OR($A1249="",$B1249=""),"",IF($L1249&lt;&gt;"",UPPER($L1249),IF($C1249="","FALTA",IFERROR(IF($C1249&gt;=$O1249,"ROJO FUERTE",IF($C1249&gt;=$N1249,"ROJO",IF($C1249&gt;=$M1249,"AMARILLO","VERDE"))),"REVISAR"))))</f>
        <v/>
      </c>
      <c r="K1249" s="36">
        <f>IF(OR($C1249="",$D1249=""),"",IF($D1249&gt;=$C1249,($D1249-$C1249)*24,(1-$C1249+$D1249)*24))</f>
        <v/>
      </c>
      <c r="L1249" s="34" t="n"/>
      <c r="M1249" s="53">
        <f t="array" ref="M1249">IFERROR(INDEX(EXCEPCIONES_FECHA!$D$2:$D$201,MATCH(1,(EXCEPCIONES_FECHA!$A$2:$A$201=$A1249)*(EXCEPCIONES_FECHA!$B$2:$B$201=$B1249),0)),IFERROR(INDEX(EXCEPCIONES_FECHA!$D$2:$D$201,MATCH(1,(EXCEPCIONES_FECHA!$A$2:$A$201=$A1249)*(EXCEPCIONES_FECHA!$B$2:$B$201=""),0)),IFERROR(INDEX(IF($I1249="FIN",HISTORIAL_HORARIOS!$J$2:$J$201,HISTORIAL_HORARIOS!$F$2:$F$201),MATCH(1,(HISTORIAL_HORARIOS!$A$2:$A$201=$B1249)*(HISTORIAL_HORARIOS!$C$2:$C$201&lt;=$A1249)*(HISTORIAL_HORARIOS!$D$2:$D$201&gt;=$A1249),0)),INDEX(IF($I1249="FIN",PERSONAL!$J$2:$J$80,PERSONAL!$F$2:$F$80),MATCH($B1249,PERSONAL!$A$2:$A$80,0)))))</f>
        <v/>
      </c>
      <c r="N1249" s="53">
        <f t="array" ref="N1249">IFERROR(INDEX(EXCEPCIONES_FECHA!$E$2:$E$201,MATCH(1,(EXCEPCIONES_FECHA!$A$2:$A$201=$A1249)*(EXCEPCIONES_FECHA!$B$2:$B$201=$B1249),0)),IFERROR(INDEX(EXCEPCIONES_FECHA!$E$2:$E$201,MATCH(1,(EXCEPCIONES_FECHA!$A$2:$A$201=$A1249)*(EXCEPCIONES_FECHA!$B$2:$B$201=""),0)),IFERROR(INDEX(IF($I1249="FIN",HISTORIAL_HORARIOS!$K$2:$K$201,HISTORIAL_HORARIOS!$G$2:$G$201),MATCH(1,(HISTORIAL_HORARIOS!$A$2:$A$201=$B1249)*(HISTORIAL_HORARIOS!$C$2:$C$201&lt;=$A1249)*(HISTORIAL_HORARIOS!$D$2:$D$201&gt;=$A1249),0)),INDEX(IF($I1249="FIN",PERSONAL!$K$2:$K$80,PERSONAL!$G$2:$G$80),MATCH($B1249,PERSONAL!$A$2:$A$80,0)))))</f>
        <v/>
      </c>
      <c r="O1249" s="53">
        <f t="array" ref="O1249">IFERROR(INDEX(EXCEPCIONES_FECHA!$F$2:$F$201,MATCH(1,(EXCEPCIONES_FECHA!$A$2:$A$201=$A1249)*(EXCEPCIONES_FECHA!$B$2:$B$201=$B1249),0)),IFERROR(INDEX(EXCEPCIONES_FECHA!$F$2:$F$201,MATCH(1,(EXCEPCIONES_FECHA!$A$2:$A$201=$A1249)*(EXCEPCIONES_FECHA!$B$2:$B$201=""),0)),IFERROR(INDEX(IF($I1249="FIN",HISTORIAL_HORARIOS!$L$2:$L$201,HISTORIAL_HORARIOS!$H$2:$H$201),MATCH(1,(HISTORIAL_HORARIOS!$A$2:$A$201=$B1249)*(HISTORIAL_HORARIOS!$C$2:$C$201&lt;=$A1249)*(HISTORIAL_HORARIOS!$D$2:$D$201&gt;=$A1249),0)),INDEX(IF($I1249="FIN",PERSONAL!$L$2:$L$80,PERSONAL!$H$2:$H$80),MATCH($B1249,PERSONAL!$A$2:$A$80,0)))))</f>
        <v/>
      </c>
    </row>
    <row r="1250" ht="15" customHeight="1" s="58">
      <c r="A1250" s="40" t="n"/>
      <c r="B1250" s="38" t="n"/>
      <c r="C1250" s="40" t="n"/>
      <c r="D1250" s="40" t="n"/>
      <c r="E1250" s="34">
        <f t="array" ref="E1250">IF($B1250="","",IFERROR(INDEX(PERSONAL!$B$2:$B$80,MATCH($B1250,PERSONAL!$A$2:$A$80,0)),"NO EXISTE"))</f>
        <v/>
      </c>
      <c r="F1250" s="34">
        <f t="array" ref="F1250">IF($B1250="","",IFERROR(INDEX(PERSONAL!$C$2:$C$80,MATCH($B1250,PERSONAL!$A$2:$A$80,0)),""))</f>
        <v/>
      </c>
      <c r="G1250" s="34">
        <f>IF($A1250="","",CHOOSE(WEEKDAY($A1250,2),"LUNES","MARTES","MIÉRCOLES","JUEVES","VIERNES","SÁBADO","DOMINGO"))</f>
        <v/>
      </c>
      <c r="H1250" s="34">
        <f>IF($A1250="","",CHOOSE(MONTH($A1250),"ENERO","FEBRERO","MARZO","ABRIL","MAYO","JUNIO","JULIO","AGOSTO","SEPTIEMBRE","OCTUBRE","NOVIEMBRE","DICIEMBRE"))</f>
        <v/>
      </c>
      <c r="I1250" s="34">
        <f>IF($A1250="","",IF(OR($G1250="SÁBADO",$G1250="DOMINGO"),"FIN","LV"))</f>
        <v/>
      </c>
      <c r="J1250" s="34">
        <f>IF(OR($A1250="",$B1250=""),"",IF($L1250&lt;&gt;"",UPPER($L1250),IF($C1250="","FALTA",IFERROR(IF($C1250&gt;=$O1250,"ROJO FUERTE",IF($C1250&gt;=$N1250,"ROJO",IF($C1250&gt;=$M1250,"AMARILLO","VERDE"))),"REVISAR"))))</f>
        <v/>
      </c>
      <c r="K1250" s="36">
        <f>IF(OR($C1250="",$D1250=""),"",IF($D1250&gt;=$C1250,($D1250-$C1250)*24,(1-$C1250+$D1250)*24))</f>
        <v/>
      </c>
      <c r="L1250" s="34" t="n"/>
      <c r="M1250" s="53">
        <f t="array" ref="M1250">IFERROR(INDEX(EXCEPCIONES_FECHA!$D$2:$D$201,MATCH(1,(EXCEPCIONES_FECHA!$A$2:$A$201=$A1250)*(EXCEPCIONES_FECHA!$B$2:$B$201=$B1250),0)),IFERROR(INDEX(EXCEPCIONES_FECHA!$D$2:$D$201,MATCH(1,(EXCEPCIONES_FECHA!$A$2:$A$201=$A1250)*(EXCEPCIONES_FECHA!$B$2:$B$201=""),0)),IFERROR(INDEX(IF($I1250="FIN",HISTORIAL_HORARIOS!$J$2:$J$201,HISTORIAL_HORARIOS!$F$2:$F$201),MATCH(1,(HISTORIAL_HORARIOS!$A$2:$A$201=$B1250)*(HISTORIAL_HORARIOS!$C$2:$C$201&lt;=$A1250)*(HISTORIAL_HORARIOS!$D$2:$D$201&gt;=$A1250),0)),INDEX(IF($I1250="FIN",PERSONAL!$J$2:$J$80,PERSONAL!$F$2:$F$80),MATCH($B1250,PERSONAL!$A$2:$A$80,0)))))</f>
        <v/>
      </c>
      <c r="N1250" s="53">
        <f t="array" ref="N1250">IFERROR(INDEX(EXCEPCIONES_FECHA!$E$2:$E$201,MATCH(1,(EXCEPCIONES_FECHA!$A$2:$A$201=$A1250)*(EXCEPCIONES_FECHA!$B$2:$B$201=$B1250),0)),IFERROR(INDEX(EXCEPCIONES_FECHA!$E$2:$E$201,MATCH(1,(EXCEPCIONES_FECHA!$A$2:$A$201=$A1250)*(EXCEPCIONES_FECHA!$B$2:$B$201=""),0)),IFERROR(INDEX(IF($I1250="FIN",HISTORIAL_HORARIOS!$K$2:$K$201,HISTORIAL_HORARIOS!$G$2:$G$201),MATCH(1,(HISTORIAL_HORARIOS!$A$2:$A$201=$B1250)*(HISTORIAL_HORARIOS!$C$2:$C$201&lt;=$A1250)*(HISTORIAL_HORARIOS!$D$2:$D$201&gt;=$A1250),0)),INDEX(IF($I1250="FIN",PERSONAL!$K$2:$K$80,PERSONAL!$G$2:$G$80),MATCH($B1250,PERSONAL!$A$2:$A$80,0)))))</f>
        <v/>
      </c>
      <c r="O1250" s="53">
        <f t="array" ref="O1250">IFERROR(INDEX(EXCEPCIONES_FECHA!$F$2:$F$201,MATCH(1,(EXCEPCIONES_FECHA!$A$2:$A$201=$A1250)*(EXCEPCIONES_FECHA!$B$2:$B$201=$B1250),0)),IFERROR(INDEX(EXCEPCIONES_FECHA!$F$2:$F$201,MATCH(1,(EXCEPCIONES_FECHA!$A$2:$A$201=$A1250)*(EXCEPCIONES_FECHA!$B$2:$B$201=""),0)),IFERROR(INDEX(IF($I1250="FIN",HISTORIAL_HORARIOS!$L$2:$L$201,HISTORIAL_HORARIOS!$H$2:$H$201),MATCH(1,(HISTORIAL_HORARIOS!$A$2:$A$201=$B1250)*(HISTORIAL_HORARIOS!$C$2:$C$201&lt;=$A1250)*(HISTORIAL_HORARIOS!$D$2:$D$201&gt;=$A1250),0)),INDEX(IF($I1250="FIN",PERSONAL!$L$2:$L$80,PERSONAL!$H$2:$H$80),MATCH($B1250,PERSONAL!$A$2:$A$80,0)))))</f>
        <v/>
      </c>
    </row>
    <row r="1251" ht="15" customHeight="1" s="58">
      <c r="A1251" s="40" t="n"/>
      <c r="B1251" s="38" t="n"/>
      <c r="C1251" s="40" t="n"/>
      <c r="D1251" s="40" t="n"/>
      <c r="E1251" s="34">
        <f t="array" ref="E1251">IF($B1251="","",IFERROR(INDEX(PERSONAL!$B$2:$B$80,MATCH($B1251,PERSONAL!$A$2:$A$80,0)),"NO EXISTE"))</f>
        <v/>
      </c>
      <c r="F1251" s="34">
        <f t="array" ref="F1251">IF($B1251="","",IFERROR(INDEX(PERSONAL!$C$2:$C$80,MATCH($B1251,PERSONAL!$A$2:$A$80,0)),""))</f>
        <v/>
      </c>
      <c r="G1251" s="34">
        <f>IF($A1251="","",CHOOSE(WEEKDAY($A1251,2),"LUNES","MARTES","MIÉRCOLES","JUEVES","VIERNES","SÁBADO","DOMINGO"))</f>
        <v/>
      </c>
      <c r="H1251" s="34">
        <f>IF($A1251="","",CHOOSE(MONTH($A1251),"ENERO","FEBRERO","MARZO","ABRIL","MAYO","JUNIO","JULIO","AGOSTO","SEPTIEMBRE","OCTUBRE","NOVIEMBRE","DICIEMBRE"))</f>
        <v/>
      </c>
      <c r="I1251" s="34">
        <f>IF($A1251="","",IF(OR($G1251="SÁBADO",$G1251="DOMINGO"),"FIN","LV"))</f>
        <v/>
      </c>
      <c r="J1251" s="34">
        <f>IF(OR($A1251="",$B1251=""),"",IF($L1251&lt;&gt;"",UPPER($L1251),IF($C1251="","FALTA",IFERROR(IF($C1251&gt;=$O1251,"ROJO FUERTE",IF($C1251&gt;=$N1251,"ROJO",IF($C1251&gt;=$M1251,"AMARILLO","VERDE"))),"REVISAR"))))</f>
        <v/>
      </c>
      <c r="K1251" s="36">
        <f>IF(OR($C1251="",$D1251=""),"",IF($D1251&gt;=$C1251,($D1251-$C1251)*24,(1-$C1251+$D1251)*24))</f>
        <v/>
      </c>
      <c r="L1251" s="34" t="n"/>
      <c r="M1251" s="53">
        <f t="array" ref="M1251">IFERROR(INDEX(EXCEPCIONES_FECHA!$D$2:$D$201,MATCH(1,(EXCEPCIONES_FECHA!$A$2:$A$201=$A1251)*(EXCEPCIONES_FECHA!$B$2:$B$201=$B1251),0)),IFERROR(INDEX(EXCEPCIONES_FECHA!$D$2:$D$201,MATCH(1,(EXCEPCIONES_FECHA!$A$2:$A$201=$A1251)*(EXCEPCIONES_FECHA!$B$2:$B$201=""),0)),IFERROR(INDEX(IF($I1251="FIN",HISTORIAL_HORARIOS!$J$2:$J$201,HISTORIAL_HORARIOS!$F$2:$F$201),MATCH(1,(HISTORIAL_HORARIOS!$A$2:$A$201=$B1251)*(HISTORIAL_HORARIOS!$C$2:$C$201&lt;=$A1251)*(HISTORIAL_HORARIOS!$D$2:$D$201&gt;=$A1251),0)),INDEX(IF($I1251="FIN",PERSONAL!$J$2:$J$80,PERSONAL!$F$2:$F$80),MATCH($B1251,PERSONAL!$A$2:$A$80,0)))))</f>
        <v/>
      </c>
      <c r="N1251" s="53">
        <f t="array" ref="N1251">IFERROR(INDEX(EXCEPCIONES_FECHA!$E$2:$E$201,MATCH(1,(EXCEPCIONES_FECHA!$A$2:$A$201=$A1251)*(EXCEPCIONES_FECHA!$B$2:$B$201=$B1251),0)),IFERROR(INDEX(EXCEPCIONES_FECHA!$E$2:$E$201,MATCH(1,(EXCEPCIONES_FECHA!$A$2:$A$201=$A1251)*(EXCEPCIONES_FECHA!$B$2:$B$201=""),0)),IFERROR(INDEX(IF($I1251="FIN",HISTORIAL_HORARIOS!$K$2:$K$201,HISTORIAL_HORARIOS!$G$2:$G$201),MATCH(1,(HISTORIAL_HORARIOS!$A$2:$A$201=$B1251)*(HISTORIAL_HORARIOS!$C$2:$C$201&lt;=$A1251)*(HISTORIAL_HORARIOS!$D$2:$D$201&gt;=$A1251),0)),INDEX(IF($I1251="FIN",PERSONAL!$K$2:$K$80,PERSONAL!$G$2:$G$80),MATCH($B1251,PERSONAL!$A$2:$A$80,0)))))</f>
        <v/>
      </c>
      <c r="O1251" s="53">
        <f t="array" ref="O1251">IFERROR(INDEX(EXCEPCIONES_FECHA!$F$2:$F$201,MATCH(1,(EXCEPCIONES_FECHA!$A$2:$A$201=$A1251)*(EXCEPCIONES_FECHA!$B$2:$B$201=$B1251),0)),IFERROR(INDEX(EXCEPCIONES_FECHA!$F$2:$F$201,MATCH(1,(EXCEPCIONES_FECHA!$A$2:$A$201=$A1251)*(EXCEPCIONES_FECHA!$B$2:$B$201=""),0)),IFERROR(INDEX(IF($I1251="FIN",HISTORIAL_HORARIOS!$L$2:$L$201,HISTORIAL_HORARIOS!$H$2:$H$201),MATCH(1,(HISTORIAL_HORARIOS!$A$2:$A$201=$B1251)*(HISTORIAL_HORARIOS!$C$2:$C$201&lt;=$A1251)*(HISTORIAL_HORARIOS!$D$2:$D$201&gt;=$A1251),0)),INDEX(IF($I1251="FIN",PERSONAL!$L$2:$L$80,PERSONAL!$H$2:$H$80),MATCH($B1251,PERSONAL!$A$2:$A$80,0)))))</f>
        <v/>
      </c>
    </row>
    <row r="1252" ht="15" customHeight="1" s="58">
      <c r="A1252" s="40" t="n"/>
      <c r="B1252" s="38" t="n"/>
      <c r="C1252" s="40" t="n"/>
      <c r="D1252" s="40" t="n"/>
      <c r="E1252" s="34">
        <f t="array" ref="E1252">IF($B1252="","",IFERROR(INDEX(PERSONAL!$B$2:$B$80,MATCH($B1252,PERSONAL!$A$2:$A$80,0)),"NO EXISTE"))</f>
        <v/>
      </c>
      <c r="F1252" s="34">
        <f t="array" ref="F1252">IF($B1252="","",IFERROR(INDEX(PERSONAL!$C$2:$C$80,MATCH($B1252,PERSONAL!$A$2:$A$80,0)),""))</f>
        <v/>
      </c>
      <c r="G1252" s="34">
        <f>IF($A1252="","",CHOOSE(WEEKDAY($A1252,2),"LUNES","MARTES","MIÉRCOLES","JUEVES","VIERNES","SÁBADO","DOMINGO"))</f>
        <v/>
      </c>
      <c r="H1252" s="34">
        <f>IF($A1252="","",CHOOSE(MONTH($A1252),"ENERO","FEBRERO","MARZO","ABRIL","MAYO","JUNIO","JULIO","AGOSTO","SEPTIEMBRE","OCTUBRE","NOVIEMBRE","DICIEMBRE"))</f>
        <v/>
      </c>
      <c r="I1252" s="34">
        <f>IF($A1252="","",IF(OR($G1252="SÁBADO",$G1252="DOMINGO"),"FIN","LV"))</f>
        <v/>
      </c>
      <c r="J1252" s="34">
        <f>IF(OR($A1252="",$B1252=""),"",IF($L1252&lt;&gt;"",UPPER($L1252),IF($C1252="","FALTA",IFERROR(IF($C1252&gt;=$O1252,"ROJO FUERTE",IF($C1252&gt;=$N1252,"ROJO",IF($C1252&gt;=$M1252,"AMARILLO","VERDE"))),"REVISAR"))))</f>
        <v/>
      </c>
      <c r="K1252" s="36">
        <f>IF(OR($C1252="",$D1252=""),"",IF($D1252&gt;=$C1252,($D1252-$C1252)*24,(1-$C1252+$D1252)*24))</f>
        <v/>
      </c>
      <c r="L1252" s="34" t="n"/>
      <c r="M1252" s="53">
        <f t="array" ref="M1252">IFERROR(INDEX(EXCEPCIONES_FECHA!$D$2:$D$201,MATCH(1,(EXCEPCIONES_FECHA!$A$2:$A$201=$A1252)*(EXCEPCIONES_FECHA!$B$2:$B$201=$B1252),0)),IFERROR(INDEX(EXCEPCIONES_FECHA!$D$2:$D$201,MATCH(1,(EXCEPCIONES_FECHA!$A$2:$A$201=$A1252)*(EXCEPCIONES_FECHA!$B$2:$B$201=""),0)),IFERROR(INDEX(IF($I1252="FIN",HISTORIAL_HORARIOS!$J$2:$J$201,HISTORIAL_HORARIOS!$F$2:$F$201),MATCH(1,(HISTORIAL_HORARIOS!$A$2:$A$201=$B1252)*(HISTORIAL_HORARIOS!$C$2:$C$201&lt;=$A1252)*(HISTORIAL_HORARIOS!$D$2:$D$201&gt;=$A1252),0)),INDEX(IF($I1252="FIN",PERSONAL!$J$2:$J$80,PERSONAL!$F$2:$F$80),MATCH($B1252,PERSONAL!$A$2:$A$80,0)))))</f>
        <v/>
      </c>
      <c r="N1252" s="53">
        <f t="array" ref="N1252">IFERROR(INDEX(EXCEPCIONES_FECHA!$E$2:$E$201,MATCH(1,(EXCEPCIONES_FECHA!$A$2:$A$201=$A1252)*(EXCEPCIONES_FECHA!$B$2:$B$201=$B1252),0)),IFERROR(INDEX(EXCEPCIONES_FECHA!$E$2:$E$201,MATCH(1,(EXCEPCIONES_FECHA!$A$2:$A$201=$A1252)*(EXCEPCIONES_FECHA!$B$2:$B$201=""),0)),IFERROR(INDEX(IF($I1252="FIN",HISTORIAL_HORARIOS!$K$2:$K$201,HISTORIAL_HORARIOS!$G$2:$G$201),MATCH(1,(HISTORIAL_HORARIOS!$A$2:$A$201=$B1252)*(HISTORIAL_HORARIOS!$C$2:$C$201&lt;=$A1252)*(HISTORIAL_HORARIOS!$D$2:$D$201&gt;=$A1252),0)),INDEX(IF($I1252="FIN",PERSONAL!$K$2:$K$80,PERSONAL!$G$2:$G$80),MATCH($B1252,PERSONAL!$A$2:$A$80,0)))))</f>
        <v/>
      </c>
      <c r="O1252" s="53">
        <f t="array" ref="O1252">IFERROR(INDEX(EXCEPCIONES_FECHA!$F$2:$F$201,MATCH(1,(EXCEPCIONES_FECHA!$A$2:$A$201=$A1252)*(EXCEPCIONES_FECHA!$B$2:$B$201=$B1252),0)),IFERROR(INDEX(EXCEPCIONES_FECHA!$F$2:$F$201,MATCH(1,(EXCEPCIONES_FECHA!$A$2:$A$201=$A1252)*(EXCEPCIONES_FECHA!$B$2:$B$201=""),0)),IFERROR(INDEX(IF($I1252="FIN",HISTORIAL_HORARIOS!$L$2:$L$201,HISTORIAL_HORARIOS!$H$2:$H$201),MATCH(1,(HISTORIAL_HORARIOS!$A$2:$A$201=$B1252)*(HISTORIAL_HORARIOS!$C$2:$C$201&lt;=$A1252)*(HISTORIAL_HORARIOS!$D$2:$D$201&gt;=$A1252),0)),INDEX(IF($I1252="FIN",PERSONAL!$L$2:$L$80,PERSONAL!$H$2:$H$80),MATCH($B1252,PERSONAL!$A$2:$A$80,0)))))</f>
        <v/>
      </c>
    </row>
    <row r="1253" ht="15" customHeight="1" s="58">
      <c r="A1253" s="40" t="n"/>
      <c r="B1253" s="38" t="n"/>
      <c r="C1253" s="40" t="n"/>
      <c r="D1253" s="40" t="n"/>
      <c r="E1253" s="34">
        <f t="array" ref="E1253">IF($B1253="","",IFERROR(INDEX(PERSONAL!$B$2:$B$80,MATCH($B1253,PERSONAL!$A$2:$A$80,0)),"NO EXISTE"))</f>
        <v/>
      </c>
      <c r="F1253" s="34">
        <f t="array" ref="F1253">IF($B1253="","",IFERROR(INDEX(PERSONAL!$C$2:$C$80,MATCH($B1253,PERSONAL!$A$2:$A$80,0)),""))</f>
        <v/>
      </c>
      <c r="G1253" s="34">
        <f>IF($A1253="","",CHOOSE(WEEKDAY($A1253,2),"LUNES","MARTES","MIÉRCOLES","JUEVES","VIERNES","SÁBADO","DOMINGO"))</f>
        <v/>
      </c>
      <c r="H1253" s="34">
        <f>IF($A1253="","",CHOOSE(MONTH($A1253),"ENERO","FEBRERO","MARZO","ABRIL","MAYO","JUNIO","JULIO","AGOSTO","SEPTIEMBRE","OCTUBRE","NOVIEMBRE","DICIEMBRE"))</f>
        <v/>
      </c>
      <c r="I1253" s="34">
        <f>IF($A1253="","",IF(OR($G1253="SÁBADO",$G1253="DOMINGO"),"FIN","LV"))</f>
        <v/>
      </c>
      <c r="J1253" s="34">
        <f>IF(OR($A1253="",$B1253=""),"",IF($L1253&lt;&gt;"",UPPER($L1253),IF($C1253="","FALTA",IFERROR(IF($C1253&gt;=$O1253,"ROJO FUERTE",IF($C1253&gt;=$N1253,"ROJO",IF($C1253&gt;=$M1253,"AMARILLO","VERDE"))),"REVISAR"))))</f>
        <v/>
      </c>
      <c r="K1253" s="36">
        <f>IF(OR($C1253="",$D1253=""),"",IF($D1253&gt;=$C1253,($D1253-$C1253)*24,(1-$C1253+$D1253)*24))</f>
        <v/>
      </c>
      <c r="L1253" s="34" t="n"/>
      <c r="M1253" s="53">
        <f t="array" ref="M1253">IFERROR(INDEX(EXCEPCIONES_FECHA!$D$2:$D$201,MATCH(1,(EXCEPCIONES_FECHA!$A$2:$A$201=$A1253)*(EXCEPCIONES_FECHA!$B$2:$B$201=$B1253),0)),IFERROR(INDEX(EXCEPCIONES_FECHA!$D$2:$D$201,MATCH(1,(EXCEPCIONES_FECHA!$A$2:$A$201=$A1253)*(EXCEPCIONES_FECHA!$B$2:$B$201=""),0)),IFERROR(INDEX(IF($I1253="FIN",HISTORIAL_HORARIOS!$J$2:$J$201,HISTORIAL_HORARIOS!$F$2:$F$201),MATCH(1,(HISTORIAL_HORARIOS!$A$2:$A$201=$B1253)*(HISTORIAL_HORARIOS!$C$2:$C$201&lt;=$A1253)*(HISTORIAL_HORARIOS!$D$2:$D$201&gt;=$A1253),0)),INDEX(IF($I1253="FIN",PERSONAL!$J$2:$J$80,PERSONAL!$F$2:$F$80),MATCH($B1253,PERSONAL!$A$2:$A$80,0)))))</f>
        <v/>
      </c>
      <c r="N1253" s="53">
        <f t="array" ref="N1253">IFERROR(INDEX(EXCEPCIONES_FECHA!$E$2:$E$201,MATCH(1,(EXCEPCIONES_FECHA!$A$2:$A$201=$A1253)*(EXCEPCIONES_FECHA!$B$2:$B$201=$B1253),0)),IFERROR(INDEX(EXCEPCIONES_FECHA!$E$2:$E$201,MATCH(1,(EXCEPCIONES_FECHA!$A$2:$A$201=$A1253)*(EXCEPCIONES_FECHA!$B$2:$B$201=""),0)),IFERROR(INDEX(IF($I1253="FIN",HISTORIAL_HORARIOS!$K$2:$K$201,HISTORIAL_HORARIOS!$G$2:$G$201),MATCH(1,(HISTORIAL_HORARIOS!$A$2:$A$201=$B1253)*(HISTORIAL_HORARIOS!$C$2:$C$201&lt;=$A1253)*(HISTORIAL_HORARIOS!$D$2:$D$201&gt;=$A1253),0)),INDEX(IF($I1253="FIN",PERSONAL!$K$2:$K$80,PERSONAL!$G$2:$G$80),MATCH($B1253,PERSONAL!$A$2:$A$80,0)))))</f>
        <v/>
      </c>
      <c r="O1253" s="53">
        <f t="array" ref="O1253">IFERROR(INDEX(EXCEPCIONES_FECHA!$F$2:$F$201,MATCH(1,(EXCEPCIONES_FECHA!$A$2:$A$201=$A1253)*(EXCEPCIONES_FECHA!$B$2:$B$201=$B1253),0)),IFERROR(INDEX(EXCEPCIONES_FECHA!$F$2:$F$201,MATCH(1,(EXCEPCIONES_FECHA!$A$2:$A$201=$A1253)*(EXCEPCIONES_FECHA!$B$2:$B$201=""),0)),IFERROR(INDEX(IF($I1253="FIN",HISTORIAL_HORARIOS!$L$2:$L$201,HISTORIAL_HORARIOS!$H$2:$H$201),MATCH(1,(HISTORIAL_HORARIOS!$A$2:$A$201=$B1253)*(HISTORIAL_HORARIOS!$C$2:$C$201&lt;=$A1253)*(HISTORIAL_HORARIOS!$D$2:$D$201&gt;=$A1253),0)),INDEX(IF($I1253="FIN",PERSONAL!$L$2:$L$80,PERSONAL!$H$2:$H$80),MATCH($B1253,PERSONAL!$A$2:$A$80,0)))))</f>
        <v/>
      </c>
    </row>
    <row r="1254" ht="15" customHeight="1" s="58">
      <c r="A1254" s="40" t="n"/>
      <c r="B1254" s="38" t="n"/>
      <c r="C1254" s="40" t="n"/>
      <c r="D1254" s="40" t="n"/>
      <c r="E1254" s="34">
        <f t="array" ref="E1254">IF($B1254="","",IFERROR(INDEX(PERSONAL!$B$2:$B$80,MATCH($B1254,PERSONAL!$A$2:$A$80,0)),"NO EXISTE"))</f>
        <v/>
      </c>
      <c r="F1254" s="34">
        <f t="array" ref="F1254">IF($B1254="","",IFERROR(INDEX(PERSONAL!$C$2:$C$80,MATCH($B1254,PERSONAL!$A$2:$A$80,0)),""))</f>
        <v/>
      </c>
      <c r="G1254" s="34">
        <f>IF($A1254="","",CHOOSE(WEEKDAY($A1254,2),"LUNES","MARTES","MIÉRCOLES","JUEVES","VIERNES","SÁBADO","DOMINGO"))</f>
        <v/>
      </c>
      <c r="H1254" s="34">
        <f>IF($A1254="","",CHOOSE(MONTH($A1254),"ENERO","FEBRERO","MARZO","ABRIL","MAYO","JUNIO","JULIO","AGOSTO","SEPTIEMBRE","OCTUBRE","NOVIEMBRE","DICIEMBRE"))</f>
        <v/>
      </c>
      <c r="I1254" s="34">
        <f>IF($A1254="","",IF(OR($G1254="SÁBADO",$G1254="DOMINGO"),"FIN","LV"))</f>
        <v/>
      </c>
      <c r="J1254" s="34">
        <f>IF(OR($A1254="",$B1254=""),"",IF($L1254&lt;&gt;"",UPPER($L1254),IF($C1254="","FALTA",IFERROR(IF($C1254&gt;=$O1254,"ROJO FUERTE",IF($C1254&gt;=$N1254,"ROJO",IF($C1254&gt;=$M1254,"AMARILLO","VERDE"))),"REVISAR"))))</f>
        <v/>
      </c>
      <c r="K1254" s="36">
        <f>IF(OR($C1254="",$D1254=""),"",IF($D1254&gt;=$C1254,($D1254-$C1254)*24,(1-$C1254+$D1254)*24))</f>
        <v/>
      </c>
      <c r="L1254" s="34" t="n"/>
      <c r="M1254" s="53">
        <f t="array" ref="M1254">IFERROR(INDEX(EXCEPCIONES_FECHA!$D$2:$D$201,MATCH(1,(EXCEPCIONES_FECHA!$A$2:$A$201=$A1254)*(EXCEPCIONES_FECHA!$B$2:$B$201=$B1254),0)),IFERROR(INDEX(EXCEPCIONES_FECHA!$D$2:$D$201,MATCH(1,(EXCEPCIONES_FECHA!$A$2:$A$201=$A1254)*(EXCEPCIONES_FECHA!$B$2:$B$201=""),0)),IFERROR(INDEX(IF($I1254="FIN",HISTORIAL_HORARIOS!$J$2:$J$201,HISTORIAL_HORARIOS!$F$2:$F$201),MATCH(1,(HISTORIAL_HORARIOS!$A$2:$A$201=$B1254)*(HISTORIAL_HORARIOS!$C$2:$C$201&lt;=$A1254)*(HISTORIAL_HORARIOS!$D$2:$D$201&gt;=$A1254),0)),INDEX(IF($I1254="FIN",PERSONAL!$J$2:$J$80,PERSONAL!$F$2:$F$80),MATCH($B1254,PERSONAL!$A$2:$A$80,0)))))</f>
        <v/>
      </c>
      <c r="N1254" s="53">
        <f t="array" ref="N1254">IFERROR(INDEX(EXCEPCIONES_FECHA!$E$2:$E$201,MATCH(1,(EXCEPCIONES_FECHA!$A$2:$A$201=$A1254)*(EXCEPCIONES_FECHA!$B$2:$B$201=$B1254),0)),IFERROR(INDEX(EXCEPCIONES_FECHA!$E$2:$E$201,MATCH(1,(EXCEPCIONES_FECHA!$A$2:$A$201=$A1254)*(EXCEPCIONES_FECHA!$B$2:$B$201=""),0)),IFERROR(INDEX(IF($I1254="FIN",HISTORIAL_HORARIOS!$K$2:$K$201,HISTORIAL_HORARIOS!$G$2:$G$201),MATCH(1,(HISTORIAL_HORARIOS!$A$2:$A$201=$B1254)*(HISTORIAL_HORARIOS!$C$2:$C$201&lt;=$A1254)*(HISTORIAL_HORARIOS!$D$2:$D$201&gt;=$A1254),0)),INDEX(IF($I1254="FIN",PERSONAL!$K$2:$K$80,PERSONAL!$G$2:$G$80),MATCH($B1254,PERSONAL!$A$2:$A$80,0)))))</f>
        <v/>
      </c>
      <c r="O1254" s="53">
        <f t="array" ref="O1254">IFERROR(INDEX(EXCEPCIONES_FECHA!$F$2:$F$201,MATCH(1,(EXCEPCIONES_FECHA!$A$2:$A$201=$A1254)*(EXCEPCIONES_FECHA!$B$2:$B$201=$B1254),0)),IFERROR(INDEX(EXCEPCIONES_FECHA!$F$2:$F$201,MATCH(1,(EXCEPCIONES_FECHA!$A$2:$A$201=$A1254)*(EXCEPCIONES_FECHA!$B$2:$B$201=""),0)),IFERROR(INDEX(IF($I1254="FIN",HISTORIAL_HORARIOS!$L$2:$L$201,HISTORIAL_HORARIOS!$H$2:$H$201),MATCH(1,(HISTORIAL_HORARIOS!$A$2:$A$201=$B1254)*(HISTORIAL_HORARIOS!$C$2:$C$201&lt;=$A1254)*(HISTORIAL_HORARIOS!$D$2:$D$201&gt;=$A1254),0)),INDEX(IF($I1254="FIN",PERSONAL!$L$2:$L$80,PERSONAL!$H$2:$H$80),MATCH($B1254,PERSONAL!$A$2:$A$80,0)))))</f>
        <v/>
      </c>
    </row>
    <row r="1255" ht="15" customHeight="1" s="58">
      <c r="A1255" s="40" t="n"/>
      <c r="B1255" s="38" t="n"/>
      <c r="C1255" s="40" t="n"/>
      <c r="D1255" s="40" t="n"/>
      <c r="E1255" s="34">
        <f t="array" ref="E1255">IF($B1255="","",IFERROR(INDEX(PERSONAL!$B$2:$B$80,MATCH($B1255,PERSONAL!$A$2:$A$80,0)),"NO EXISTE"))</f>
        <v/>
      </c>
      <c r="F1255" s="34">
        <f t="array" ref="F1255">IF($B1255="","",IFERROR(INDEX(PERSONAL!$C$2:$C$80,MATCH($B1255,PERSONAL!$A$2:$A$80,0)),""))</f>
        <v/>
      </c>
      <c r="G1255" s="34">
        <f>IF($A1255="","",CHOOSE(WEEKDAY($A1255,2),"LUNES","MARTES","MIÉRCOLES","JUEVES","VIERNES","SÁBADO","DOMINGO"))</f>
        <v/>
      </c>
      <c r="H1255" s="34">
        <f>IF($A1255="","",CHOOSE(MONTH($A1255),"ENERO","FEBRERO","MARZO","ABRIL","MAYO","JUNIO","JULIO","AGOSTO","SEPTIEMBRE","OCTUBRE","NOVIEMBRE","DICIEMBRE"))</f>
        <v/>
      </c>
      <c r="I1255" s="34">
        <f>IF($A1255="","",IF(OR($G1255="SÁBADO",$G1255="DOMINGO"),"FIN","LV"))</f>
        <v/>
      </c>
      <c r="J1255" s="34">
        <f>IF(OR($A1255="",$B1255=""),"",IF($L1255&lt;&gt;"",UPPER($L1255),IF($C1255="","FALTA",IFERROR(IF($C1255&gt;=$O1255,"ROJO FUERTE",IF($C1255&gt;=$N1255,"ROJO",IF($C1255&gt;=$M1255,"AMARILLO","VERDE"))),"REVISAR"))))</f>
        <v/>
      </c>
      <c r="K1255" s="36">
        <f>IF(OR($C1255="",$D1255=""),"",IF($D1255&gt;=$C1255,($D1255-$C1255)*24,(1-$C1255+$D1255)*24))</f>
        <v/>
      </c>
      <c r="L1255" s="34" t="n"/>
      <c r="M1255" s="53">
        <f t="array" ref="M1255">IFERROR(INDEX(EXCEPCIONES_FECHA!$D$2:$D$201,MATCH(1,(EXCEPCIONES_FECHA!$A$2:$A$201=$A1255)*(EXCEPCIONES_FECHA!$B$2:$B$201=$B1255),0)),IFERROR(INDEX(EXCEPCIONES_FECHA!$D$2:$D$201,MATCH(1,(EXCEPCIONES_FECHA!$A$2:$A$201=$A1255)*(EXCEPCIONES_FECHA!$B$2:$B$201=""),0)),IFERROR(INDEX(IF($I1255="FIN",HISTORIAL_HORARIOS!$J$2:$J$201,HISTORIAL_HORARIOS!$F$2:$F$201),MATCH(1,(HISTORIAL_HORARIOS!$A$2:$A$201=$B1255)*(HISTORIAL_HORARIOS!$C$2:$C$201&lt;=$A1255)*(HISTORIAL_HORARIOS!$D$2:$D$201&gt;=$A1255),0)),INDEX(IF($I1255="FIN",PERSONAL!$J$2:$J$80,PERSONAL!$F$2:$F$80),MATCH($B1255,PERSONAL!$A$2:$A$80,0)))))</f>
        <v/>
      </c>
      <c r="N1255" s="53">
        <f t="array" ref="N1255">IFERROR(INDEX(EXCEPCIONES_FECHA!$E$2:$E$201,MATCH(1,(EXCEPCIONES_FECHA!$A$2:$A$201=$A1255)*(EXCEPCIONES_FECHA!$B$2:$B$201=$B1255),0)),IFERROR(INDEX(EXCEPCIONES_FECHA!$E$2:$E$201,MATCH(1,(EXCEPCIONES_FECHA!$A$2:$A$201=$A1255)*(EXCEPCIONES_FECHA!$B$2:$B$201=""),0)),IFERROR(INDEX(IF($I1255="FIN",HISTORIAL_HORARIOS!$K$2:$K$201,HISTORIAL_HORARIOS!$G$2:$G$201),MATCH(1,(HISTORIAL_HORARIOS!$A$2:$A$201=$B1255)*(HISTORIAL_HORARIOS!$C$2:$C$201&lt;=$A1255)*(HISTORIAL_HORARIOS!$D$2:$D$201&gt;=$A1255),0)),INDEX(IF($I1255="FIN",PERSONAL!$K$2:$K$80,PERSONAL!$G$2:$G$80),MATCH($B1255,PERSONAL!$A$2:$A$80,0)))))</f>
        <v/>
      </c>
      <c r="O1255" s="53">
        <f t="array" ref="O1255">IFERROR(INDEX(EXCEPCIONES_FECHA!$F$2:$F$201,MATCH(1,(EXCEPCIONES_FECHA!$A$2:$A$201=$A1255)*(EXCEPCIONES_FECHA!$B$2:$B$201=$B1255),0)),IFERROR(INDEX(EXCEPCIONES_FECHA!$F$2:$F$201,MATCH(1,(EXCEPCIONES_FECHA!$A$2:$A$201=$A1255)*(EXCEPCIONES_FECHA!$B$2:$B$201=""),0)),IFERROR(INDEX(IF($I1255="FIN",HISTORIAL_HORARIOS!$L$2:$L$201,HISTORIAL_HORARIOS!$H$2:$H$201),MATCH(1,(HISTORIAL_HORARIOS!$A$2:$A$201=$B1255)*(HISTORIAL_HORARIOS!$C$2:$C$201&lt;=$A1255)*(HISTORIAL_HORARIOS!$D$2:$D$201&gt;=$A1255),0)),INDEX(IF($I1255="FIN",PERSONAL!$L$2:$L$80,PERSONAL!$H$2:$H$80),MATCH($B1255,PERSONAL!$A$2:$A$80,0)))))</f>
        <v/>
      </c>
    </row>
    <row r="1256" ht="15" customHeight="1" s="58">
      <c r="A1256" s="40" t="n"/>
      <c r="B1256" s="38" t="n"/>
      <c r="C1256" s="40" t="n"/>
      <c r="D1256" s="40" t="n"/>
      <c r="E1256" s="34">
        <f t="array" ref="E1256">IF($B1256="","",IFERROR(INDEX(PERSONAL!$B$2:$B$80,MATCH($B1256,PERSONAL!$A$2:$A$80,0)),"NO EXISTE"))</f>
        <v/>
      </c>
      <c r="F1256" s="34">
        <f t="array" ref="F1256">IF($B1256="","",IFERROR(INDEX(PERSONAL!$C$2:$C$80,MATCH($B1256,PERSONAL!$A$2:$A$80,0)),""))</f>
        <v/>
      </c>
      <c r="G1256" s="34">
        <f>IF($A1256="","",CHOOSE(WEEKDAY($A1256,2),"LUNES","MARTES","MIÉRCOLES","JUEVES","VIERNES","SÁBADO","DOMINGO"))</f>
        <v/>
      </c>
      <c r="H1256" s="34">
        <f>IF($A1256="","",CHOOSE(MONTH($A1256),"ENERO","FEBRERO","MARZO","ABRIL","MAYO","JUNIO","JULIO","AGOSTO","SEPTIEMBRE","OCTUBRE","NOVIEMBRE","DICIEMBRE"))</f>
        <v/>
      </c>
      <c r="I1256" s="34">
        <f>IF($A1256="","",IF(OR($G1256="SÁBADO",$G1256="DOMINGO"),"FIN","LV"))</f>
        <v/>
      </c>
      <c r="J1256" s="34">
        <f>IF(OR($A1256="",$B1256=""),"",IF($L1256&lt;&gt;"",UPPER($L1256),IF($C1256="","FALTA",IFERROR(IF($C1256&gt;=$O1256,"ROJO FUERTE",IF($C1256&gt;=$N1256,"ROJO",IF($C1256&gt;=$M1256,"AMARILLO","VERDE"))),"REVISAR"))))</f>
        <v/>
      </c>
      <c r="K1256" s="36">
        <f>IF(OR($C1256="",$D1256=""),"",IF($D1256&gt;=$C1256,($D1256-$C1256)*24,(1-$C1256+$D1256)*24))</f>
        <v/>
      </c>
      <c r="L1256" s="34" t="n"/>
      <c r="M1256" s="53">
        <f t="array" ref="M1256">IFERROR(INDEX(EXCEPCIONES_FECHA!$D$2:$D$201,MATCH(1,(EXCEPCIONES_FECHA!$A$2:$A$201=$A1256)*(EXCEPCIONES_FECHA!$B$2:$B$201=$B1256),0)),IFERROR(INDEX(EXCEPCIONES_FECHA!$D$2:$D$201,MATCH(1,(EXCEPCIONES_FECHA!$A$2:$A$201=$A1256)*(EXCEPCIONES_FECHA!$B$2:$B$201=""),0)),IFERROR(INDEX(IF($I1256="FIN",HISTORIAL_HORARIOS!$J$2:$J$201,HISTORIAL_HORARIOS!$F$2:$F$201),MATCH(1,(HISTORIAL_HORARIOS!$A$2:$A$201=$B1256)*(HISTORIAL_HORARIOS!$C$2:$C$201&lt;=$A1256)*(HISTORIAL_HORARIOS!$D$2:$D$201&gt;=$A1256),0)),INDEX(IF($I1256="FIN",PERSONAL!$J$2:$J$80,PERSONAL!$F$2:$F$80),MATCH($B1256,PERSONAL!$A$2:$A$80,0)))))</f>
        <v/>
      </c>
      <c r="N1256" s="53">
        <f t="array" ref="N1256">IFERROR(INDEX(EXCEPCIONES_FECHA!$E$2:$E$201,MATCH(1,(EXCEPCIONES_FECHA!$A$2:$A$201=$A1256)*(EXCEPCIONES_FECHA!$B$2:$B$201=$B1256),0)),IFERROR(INDEX(EXCEPCIONES_FECHA!$E$2:$E$201,MATCH(1,(EXCEPCIONES_FECHA!$A$2:$A$201=$A1256)*(EXCEPCIONES_FECHA!$B$2:$B$201=""),0)),IFERROR(INDEX(IF($I1256="FIN",HISTORIAL_HORARIOS!$K$2:$K$201,HISTORIAL_HORARIOS!$G$2:$G$201),MATCH(1,(HISTORIAL_HORARIOS!$A$2:$A$201=$B1256)*(HISTORIAL_HORARIOS!$C$2:$C$201&lt;=$A1256)*(HISTORIAL_HORARIOS!$D$2:$D$201&gt;=$A1256),0)),INDEX(IF($I1256="FIN",PERSONAL!$K$2:$K$80,PERSONAL!$G$2:$G$80),MATCH($B1256,PERSONAL!$A$2:$A$80,0)))))</f>
        <v/>
      </c>
      <c r="O1256" s="53">
        <f t="array" ref="O1256">IFERROR(INDEX(EXCEPCIONES_FECHA!$F$2:$F$201,MATCH(1,(EXCEPCIONES_FECHA!$A$2:$A$201=$A1256)*(EXCEPCIONES_FECHA!$B$2:$B$201=$B1256),0)),IFERROR(INDEX(EXCEPCIONES_FECHA!$F$2:$F$201,MATCH(1,(EXCEPCIONES_FECHA!$A$2:$A$201=$A1256)*(EXCEPCIONES_FECHA!$B$2:$B$201=""),0)),IFERROR(INDEX(IF($I1256="FIN",HISTORIAL_HORARIOS!$L$2:$L$201,HISTORIAL_HORARIOS!$H$2:$H$201),MATCH(1,(HISTORIAL_HORARIOS!$A$2:$A$201=$B1256)*(HISTORIAL_HORARIOS!$C$2:$C$201&lt;=$A1256)*(HISTORIAL_HORARIOS!$D$2:$D$201&gt;=$A1256),0)),INDEX(IF($I1256="FIN",PERSONAL!$L$2:$L$80,PERSONAL!$H$2:$H$80),MATCH($B1256,PERSONAL!$A$2:$A$80,0)))))</f>
        <v/>
      </c>
    </row>
    <row r="1257" ht="15" customHeight="1" s="58">
      <c r="A1257" s="40" t="n"/>
      <c r="B1257" s="38" t="n"/>
      <c r="C1257" s="40" t="n"/>
      <c r="D1257" s="40" t="n"/>
      <c r="E1257" s="34">
        <f t="array" ref="E1257">IF($B1257="","",IFERROR(INDEX(PERSONAL!$B$2:$B$80,MATCH($B1257,PERSONAL!$A$2:$A$80,0)),"NO EXISTE"))</f>
        <v/>
      </c>
      <c r="F1257" s="34">
        <f t="array" ref="F1257">IF($B1257="","",IFERROR(INDEX(PERSONAL!$C$2:$C$80,MATCH($B1257,PERSONAL!$A$2:$A$80,0)),""))</f>
        <v/>
      </c>
      <c r="G1257" s="34">
        <f>IF($A1257="","",CHOOSE(WEEKDAY($A1257,2),"LUNES","MARTES","MIÉRCOLES","JUEVES","VIERNES","SÁBADO","DOMINGO"))</f>
        <v/>
      </c>
      <c r="H1257" s="34">
        <f>IF($A1257="","",CHOOSE(MONTH($A1257),"ENERO","FEBRERO","MARZO","ABRIL","MAYO","JUNIO","JULIO","AGOSTO","SEPTIEMBRE","OCTUBRE","NOVIEMBRE","DICIEMBRE"))</f>
        <v/>
      </c>
      <c r="I1257" s="34">
        <f>IF($A1257="","",IF(OR($G1257="SÁBADO",$G1257="DOMINGO"),"FIN","LV"))</f>
        <v/>
      </c>
      <c r="J1257" s="34">
        <f>IF(OR($A1257="",$B1257=""),"",IF($L1257&lt;&gt;"",UPPER($L1257),IF($C1257="","FALTA",IFERROR(IF($C1257&gt;=$O1257,"ROJO FUERTE",IF($C1257&gt;=$N1257,"ROJO",IF($C1257&gt;=$M1257,"AMARILLO","VERDE"))),"REVISAR"))))</f>
        <v/>
      </c>
      <c r="K1257" s="36">
        <f>IF(OR($C1257="",$D1257=""),"",IF($D1257&gt;=$C1257,($D1257-$C1257)*24,(1-$C1257+$D1257)*24))</f>
        <v/>
      </c>
      <c r="L1257" s="34" t="n"/>
      <c r="M1257" s="53">
        <f t="array" ref="M1257">IFERROR(INDEX(EXCEPCIONES_FECHA!$D$2:$D$201,MATCH(1,(EXCEPCIONES_FECHA!$A$2:$A$201=$A1257)*(EXCEPCIONES_FECHA!$B$2:$B$201=$B1257),0)),IFERROR(INDEX(EXCEPCIONES_FECHA!$D$2:$D$201,MATCH(1,(EXCEPCIONES_FECHA!$A$2:$A$201=$A1257)*(EXCEPCIONES_FECHA!$B$2:$B$201=""),0)),IFERROR(INDEX(IF($I1257="FIN",HISTORIAL_HORARIOS!$J$2:$J$201,HISTORIAL_HORARIOS!$F$2:$F$201),MATCH(1,(HISTORIAL_HORARIOS!$A$2:$A$201=$B1257)*(HISTORIAL_HORARIOS!$C$2:$C$201&lt;=$A1257)*(HISTORIAL_HORARIOS!$D$2:$D$201&gt;=$A1257),0)),INDEX(IF($I1257="FIN",PERSONAL!$J$2:$J$80,PERSONAL!$F$2:$F$80),MATCH($B1257,PERSONAL!$A$2:$A$80,0)))))</f>
        <v/>
      </c>
      <c r="N1257" s="53">
        <f t="array" ref="N1257">IFERROR(INDEX(EXCEPCIONES_FECHA!$E$2:$E$201,MATCH(1,(EXCEPCIONES_FECHA!$A$2:$A$201=$A1257)*(EXCEPCIONES_FECHA!$B$2:$B$201=$B1257),0)),IFERROR(INDEX(EXCEPCIONES_FECHA!$E$2:$E$201,MATCH(1,(EXCEPCIONES_FECHA!$A$2:$A$201=$A1257)*(EXCEPCIONES_FECHA!$B$2:$B$201=""),0)),IFERROR(INDEX(IF($I1257="FIN",HISTORIAL_HORARIOS!$K$2:$K$201,HISTORIAL_HORARIOS!$G$2:$G$201),MATCH(1,(HISTORIAL_HORARIOS!$A$2:$A$201=$B1257)*(HISTORIAL_HORARIOS!$C$2:$C$201&lt;=$A1257)*(HISTORIAL_HORARIOS!$D$2:$D$201&gt;=$A1257),0)),INDEX(IF($I1257="FIN",PERSONAL!$K$2:$K$80,PERSONAL!$G$2:$G$80),MATCH($B1257,PERSONAL!$A$2:$A$80,0)))))</f>
        <v/>
      </c>
      <c r="O1257" s="53">
        <f t="array" ref="O1257">IFERROR(INDEX(EXCEPCIONES_FECHA!$F$2:$F$201,MATCH(1,(EXCEPCIONES_FECHA!$A$2:$A$201=$A1257)*(EXCEPCIONES_FECHA!$B$2:$B$201=$B1257),0)),IFERROR(INDEX(EXCEPCIONES_FECHA!$F$2:$F$201,MATCH(1,(EXCEPCIONES_FECHA!$A$2:$A$201=$A1257)*(EXCEPCIONES_FECHA!$B$2:$B$201=""),0)),IFERROR(INDEX(IF($I1257="FIN",HISTORIAL_HORARIOS!$L$2:$L$201,HISTORIAL_HORARIOS!$H$2:$H$201),MATCH(1,(HISTORIAL_HORARIOS!$A$2:$A$201=$B1257)*(HISTORIAL_HORARIOS!$C$2:$C$201&lt;=$A1257)*(HISTORIAL_HORARIOS!$D$2:$D$201&gt;=$A1257),0)),INDEX(IF($I1257="FIN",PERSONAL!$L$2:$L$80,PERSONAL!$H$2:$H$80),MATCH($B1257,PERSONAL!$A$2:$A$80,0)))))</f>
        <v/>
      </c>
    </row>
    <row r="1258" ht="15" customHeight="1" s="58">
      <c r="A1258" s="40" t="n"/>
      <c r="B1258" s="38" t="n"/>
      <c r="C1258" s="40" t="n"/>
      <c r="D1258" s="40" t="n"/>
      <c r="E1258" s="34">
        <f t="array" ref="E1258">IF($B1258="","",IFERROR(INDEX(PERSONAL!$B$2:$B$80,MATCH($B1258,PERSONAL!$A$2:$A$80,0)),"NO EXISTE"))</f>
        <v/>
      </c>
      <c r="F1258" s="34">
        <f t="array" ref="F1258">IF($B1258="","",IFERROR(INDEX(PERSONAL!$C$2:$C$80,MATCH($B1258,PERSONAL!$A$2:$A$80,0)),""))</f>
        <v/>
      </c>
      <c r="G1258" s="34">
        <f>IF($A1258="","",CHOOSE(WEEKDAY($A1258,2),"LUNES","MARTES","MIÉRCOLES","JUEVES","VIERNES","SÁBADO","DOMINGO"))</f>
        <v/>
      </c>
      <c r="H1258" s="34">
        <f>IF($A1258="","",CHOOSE(MONTH($A1258),"ENERO","FEBRERO","MARZO","ABRIL","MAYO","JUNIO","JULIO","AGOSTO","SEPTIEMBRE","OCTUBRE","NOVIEMBRE","DICIEMBRE"))</f>
        <v/>
      </c>
      <c r="I1258" s="34">
        <f>IF($A1258="","",IF(OR($G1258="SÁBADO",$G1258="DOMINGO"),"FIN","LV"))</f>
        <v/>
      </c>
      <c r="J1258" s="34">
        <f>IF(OR($A1258="",$B1258=""),"",IF($L1258&lt;&gt;"",UPPER($L1258),IF($C1258="","FALTA",IFERROR(IF($C1258&gt;=$O1258,"ROJO FUERTE",IF($C1258&gt;=$N1258,"ROJO",IF($C1258&gt;=$M1258,"AMARILLO","VERDE"))),"REVISAR"))))</f>
        <v/>
      </c>
      <c r="K1258" s="36">
        <f>IF(OR($C1258="",$D1258=""),"",IF($D1258&gt;=$C1258,($D1258-$C1258)*24,(1-$C1258+$D1258)*24))</f>
        <v/>
      </c>
      <c r="L1258" s="34" t="n"/>
      <c r="M1258" s="53">
        <f t="array" ref="M1258">IFERROR(INDEX(EXCEPCIONES_FECHA!$D$2:$D$201,MATCH(1,(EXCEPCIONES_FECHA!$A$2:$A$201=$A1258)*(EXCEPCIONES_FECHA!$B$2:$B$201=$B1258),0)),IFERROR(INDEX(EXCEPCIONES_FECHA!$D$2:$D$201,MATCH(1,(EXCEPCIONES_FECHA!$A$2:$A$201=$A1258)*(EXCEPCIONES_FECHA!$B$2:$B$201=""),0)),IFERROR(INDEX(IF($I1258="FIN",HISTORIAL_HORARIOS!$J$2:$J$201,HISTORIAL_HORARIOS!$F$2:$F$201),MATCH(1,(HISTORIAL_HORARIOS!$A$2:$A$201=$B1258)*(HISTORIAL_HORARIOS!$C$2:$C$201&lt;=$A1258)*(HISTORIAL_HORARIOS!$D$2:$D$201&gt;=$A1258),0)),INDEX(IF($I1258="FIN",PERSONAL!$J$2:$J$80,PERSONAL!$F$2:$F$80),MATCH($B1258,PERSONAL!$A$2:$A$80,0)))))</f>
        <v/>
      </c>
      <c r="N1258" s="53">
        <f t="array" ref="N1258">IFERROR(INDEX(EXCEPCIONES_FECHA!$E$2:$E$201,MATCH(1,(EXCEPCIONES_FECHA!$A$2:$A$201=$A1258)*(EXCEPCIONES_FECHA!$B$2:$B$201=$B1258),0)),IFERROR(INDEX(EXCEPCIONES_FECHA!$E$2:$E$201,MATCH(1,(EXCEPCIONES_FECHA!$A$2:$A$201=$A1258)*(EXCEPCIONES_FECHA!$B$2:$B$201=""),0)),IFERROR(INDEX(IF($I1258="FIN",HISTORIAL_HORARIOS!$K$2:$K$201,HISTORIAL_HORARIOS!$G$2:$G$201),MATCH(1,(HISTORIAL_HORARIOS!$A$2:$A$201=$B1258)*(HISTORIAL_HORARIOS!$C$2:$C$201&lt;=$A1258)*(HISTORIAL_HORARIOS!$D$2:$D$201&gt;=$A1258),0)),INDEX(IF($I1258="FIN",PERSONAL!$K$2:$K$80,PERSONAL!$G$2:$G$80),MATCH($B1258,PERSONAL!$A$2:$A$80,0)))))</f>
        <v/>
      </c>
      <c r="O1258" s="53">
        <f t="array" ref="O1258">IFERROR(INDEX(EXCEPCIONES_FECHA!$F$2:$F$201,MATCH(1,(EXCEPCIONES_FECHA!$A$2:$A$201=$A1258)*(EXCEPCIONES_FECHA!$B$2:$B$201=$B1258),0)),IFERROR(INDEX(EXCEPCIONES_FECHA!$F$2:$F$201,MATCH(1,(EXCEPCIONES_FECHA!$A$2:$A$201=$A1258)*(EXCEPCIONES_FECHA!$B$2:$B$201=""),0)),IFERROR(INDEX(IF($I1258="FIN",HISTORIAL_HORARIOS!$L$2:$L$201,HISTORIAL_HORARIOS!$H$2:$H$201),MATCH(1,(HISTORIAL_HORARIOS!$A$2:$A$201=$B1258)*(HISTORIAL_HORARIOS!$C$2:$C$201&lt;=$A1258)*(HISTORIAL_HORARIOS!$D$2:$D$201&gt;=$A1258),0)),INDEX(IF($I1258="FIN",PERSONAL!$L$2:$L$80,PERSONAL!$H$2:$H$80),MATCH($B1258,PERSONAL!$A$2:$A$80,0)))))</f>
        <v/>
      </c>
    </row>
    <row r="1259" ht="15" customHeight="1" s="58">
      <c r="A1259" s="40" t="n"/>
      <c r="B1259" s="38" t="n"/>
      <c r="C1259" s="40" t="n"/>
      <c r="D1259" s="40" t="n"/>
      <c r="E1259" s="34">
        <f t="array" ref="E1259">IF($B1259="","",IFERROR(INDEX(PERSONAL!$B$2:$B$80,MATCH($B1259,PERSONAL!$A$2:$A$80,0)),"NO EXISTE"))</f>
        <v/>
      </c>
      <c r="F1259" s="34">
        <f t="array" ref="F1259">IF($B1259="","",IFERROR(INDEX(PERSONAL!$C$2:$C$80,MATCH($B1259,PERSONAL!$A$2:$A$80,0)),""))</f>
        <v/>
      </c>
      <c r="G1259" s="34">
        <f>IF($A1259="","",CHOOSE(WEEKDAY($A1259,2),"LUNES","MARTES","MIÉRCOLES","JUEVES","VIERNES","SÁBADO","DOMINGO"))</f>
        <v/>
      </c>
      <c r="H1259" s="34">
        <f>IF($A1259="","",CHOOSE(MONTH($A1259),"ENERO","FEBRERO","MARZO","ABRIL","MAYO","JUNIO","JULIO","AGOSTO","SEPTIEMBRE","OCTUBRE","NOVIEMBRE","DICIEMBRE"))</f>
        <v/>
      </c>
      <c r="I1259" s="34">
        <f>IF($A1259="","",IF(OR($G1259="SÁBADO",$G1259="DOMINGO"),"FIN","LV"))</f>
        <v/>
      </c>
      <c r="J1259" s="34">
        <f>IF(OR($A1259="",$B1259=""),"",IF($L1259&lt;&gt;"",UPPER($L1259),IF($C1259="","FALTA",IFERROR(IF($C1259&gt;=$O1259,"ROJO FUERTE",IF($C1259&gt;=$N1259,"ROJO",IF($C1259&gt;=$M1259,"AMARILLO","VERDE"))),"REVISAR"))))</f>
        <v/>
      </c>
      <c r="K1259" s="36">
        <f>IF(OR($C1259="",$D1259=""),"",IF($D1259&gt;=$C1259,($D1259-$C1259)*24,(1-$C1259+$D1259)*24))</f>
        <v/>
      </c>
      <c r="L1259" s="34" t="n"/>
      <c r="M1259" s="53">
        <f t="array" ref="M1259">IFERROR(INDEX(EXCEPCIONES_FECHA!$D$2:$D$201,MATCH(1,(EXCEPCIONES_FECHA!$A$2:$A$201=$A1259)*(EXCEPCIONES_FECHA!$B$2:$B$201=$B1259),0)),IFERROR(INDEX(EXCEPCIONES_FECHA!$D$2:$D$201,MATCH(1,(EXCEPCIONES_FECHA!$A$2:$A$201=$A1259)*(EXCEPCIONES_FECHA!$B$2:$B$201=""),0)),IFERROR(INDEX(IF($I1259="FIN",HISTORIAL_HORARIOS!$J$2:$J$201,HISTORIAL_HORARIOS!$F$2:$F$201),MATCH(1,(HISTORIAL_HORARIOS!$A$2:$A$201=$B1259)*(HISTORIAL_HORARIOS!$C$2:$C$201&lt;=$A1259)*(HISTORIAL_HORARIOS!$D$2:$D$201&gt;=$A1259),0)),INDEX(IF($I1259="FIN",PERSONAL!$J$2:$J$80,PERSONAL!$F$2:$F$80),MATCH($B1259,PERSONAL!$A$2:$A$80,0)))))</f>
        <v/>
      </c>
      <c r="N1259" s="53">
        <f t="array" ref="N1259">IFERROR(INDEX(EXCEPCIONES_FECHA!$E$2:$E$201,MATCH(1,(EXCEPCIONES_FECHA!$A$2:$A$201=$A1259)*(EXCEPCIONES_FECHA!$B$2:$B$201=$B1259),0)),IFERROR(INDEX(EXCEPCIONES_FECHA!$E$2:$E$201,MATCH(1,(EXCEPCIONES_FECHA!$A$2:$A$201=$A1259)*(EXCEPCIONES_FECHA!$B$2:$B$201=""),0)),IFERROR(INDEX(IF($I1259="FIN",HISTORIAL_HORARIOS!$K$2:$K$201,HISTORIAL_HORARIOS!$G$2:$G$201),MATCH(1,(HISTORIAL_HORARIOS!$A$2:$A$201=$B1259)*(HISTORIAL_HORARIOS!$C$2:$C$201&lt;=$A1259)*(HISTORIAL_HORARIOS!$D$2:$D$201&gt;=$A1259),0)),INDEX(IF($I1259="FIN",PERSONAL!$K$2:$K$80,PERSONAL!$G$2:$G$80),MATCH($B1259,PERSONAL!$A$2:$A$80,0)))))</f>
        <v/>
      </c>
      <c r="O1259" s="53">
        <f t="array" ref="O1259">IFERROR(INDEX(EXCEPCIONES_FECHA!$F$2:$F$201,MATCH(1,(EXCEPCIONES_FECHA!$A$2:$A$201=$A1259)*(EXCEPCIONES_FECHA!$B$2:$B$201=$B1259),0)),IFERROR(INDEX(EXCEPCIONES_FECHA!$F$2:$F$201,MATCH(1,(EXCEPCIONES_FECHA!$A$2:$A$201=$A1259)*(EXCEPCIONES_FECHA!$B$2:$B$201=""),0)),IFERROR(INDEX(IF($I1259="FIN",HISTORIAL_HORARIOS!$L$2:$L$201,HISTORIAL_HORARIOS!$H$2:$H$201),MATCH(1,(HISTORIAL_HORARIOS!$A$2:$A$201=$B1259)*(HISTORIAL_HORARIOS!$C$2:$C$201&lt;=$A1259)*(HISTORIAL_HORARIOS!$D$2:$D$201&gt;=$A1259),0)),INDEX(IF($I1259="FIN",PERSONAL!$L$2:$L$80,PERSONAL!$H$2:$H$80),MATCH($B1259,PERSONAL!$A$2:$A$80,0)))))</f>
        <v/>
      </c>
    </row>
    <row r="1260" ht="15" customHeight="1" s="58">
      <c r="A1260" s="40" t="n"/>
      <c r="B1260" s="38" t="n"/>
      <c r="C1260" s="40" t="n"/>
      <c r="D1260" s="40" t="n"/>
      <c r="E1260" s="34">
        <f t="array" ref="E1260">IF($B1260="","",IFERROR(INDEX(PERSONAL!$B$2:$B$80,MATCH($B1260,PERSONAL!$A$2:$A$80,0)),"NO EXISTE"))</f>
        <v/>
      </c>
      <c r="F1260" s="34">
        <f t="array" ref="F1260">IF($B1260="","",IFERROR(INDEX(PERSONAL!$C$2:$C$80,MATCH($B1260,PERSONAL!$A$2:$A$80,0)),""))</f>
        <v/>
      </c>
      <c r="G1260" s="34">
        <f>IF($A1260="","",CHOOSE(WEEKDAY($A1260,2),"LUNES","MARTES","MIÉRCOLES","JUEVES","VIERNES","SÁBADO","DOMINGO"))</f>
        <v/>
      </c>
      <c r="H1260" s="34">
        <f>IF($A1260="","",CHOOSE(MONTH($A1260),"ENERO","FEBRERO","MARZO","ABRIL","MAYO","JUNIO","JULIO","AGOSTO","SEPTIEMBRE","OCTUBRE","NOVIEMBRE","DICIEMBRE"))</f>
        <v/>
      </c>
      <c r="I1260" s="34">
        <f>IF($A1260="","",IF(OR($G1260="SÁBADO",$G1260="DOMINGO"),"FIN","LV"))</f>
        <v/>
      </c>
      <c r="J1260" s="34">
        <f>IF(OR($A1260="",$B1260=""),"",IF($L1260&lt;&gt;"",UPPER($L1260),IF($C1260="","FALTA",IFERROR(IF($C1260&gt;=$O1260,"ROJO FUERTE",IF($C1260&gt;=$N1260,"ROJO",IF($C1260&gt;=$M1260,"AMARILLO","VERDE"))),"REVISAR"))))</f>
        <v/>
      </c>
      <c r="K1260" s="36">
        <f>IF(OR($C1260="",$D1260=""),"",IF($D1260&gt;=$C1260,($D1260-$C1260)*24,(1-$C1260+$D1260)*24))</f>
        <v/>
      </c>
      <c r="L1260" s="34" t="n"/>
      <c r="M1260" s="53">
        <f t="array" ref="M1260">IFERROR(INDEX(EXCEPCIONES_FECHA!$D$2:$D$201,MATCH(1,(EXCEPCIONES_FECHA!$A$2:$A$201=$A1260)*(EXCEPCIONES_FECHA!$B$2:$B$201=$B1260),0)),IFERROR(INDEX(EXCEPCIONES_FECHA!$D$2:$D$201,MATCH(1,(EXCEPCIONES_FECHA!$A$2:$A$201=$A1260)*(EXCEPCIONES_FECHA!$B$2:$B$201=""),0)),IFERROR(INDEX(IF($I1260="FIN",HISTORIAL_HORARIOS!$J$2:$J$201,HISTORIAL_HORARIOS!$F$2:$F$201),MATCH(1,(HISTORIAL_HORARIOS!$A$2:$A$201=$B1260)*(HISTORIAL_HORARIOS!$C$2:$C$201&lt;=$A1260)*(HISTORIAL_HORARIOS!$D$2:$D$201&gt;=$A1260),0)),INDEX(IF($I1260="FIN",PERSONAL!$J$2:$J$80,PERSONAL!$F$2:$F$80),MATCH($B1260,PERSONAL!$A$2:$A$80,0)))))</f>
        <v/>
      </c>
      <c r="N1260" s="53">
        <f t="array" ref="N1260">IFERROR(INDEX(EXCEPCIONES_FECHA!$E$2:$E$201,MATCH(1,(EXCEPCIONES_FECHA!$A$2:$A$201=$A1260)*(EXCEPCIONES_FECHA!$B$2:$B$201=$B1260),0)),IFERROR(INDEX(EXCEPCIONES_FECHA!$E$2:$E$201,MATCH(1,(EXCEPCIONES_FECHA!$A$2:$A$201=$A1260)*(EXCEPCIONES_FECHA!$B$2:$B$201=""),0)),IFERROR(INDEX(IF($I1260="FIN",HISTORIAL_HORARIOS!$K$2:$K$201,HISTORIAL_HORARIOS!$G$2:$G$201),MATCH(1,(HISTORIAL_HORARIOS!$A$2:$A$201=$B1260)*(HISTORIAL_HORARIOS!$C$2:$C$201&lt;=$A1260)*(HISTORIAL_HORARIOS!$D$2:$D$201&gt;=$A1260),0)),INDEX(IF($I1260="FIN",PERSONAL!$K$2:$K$80,PERSONAL!$G$2:$G$80),MATCH($B1260,PERSONAL!$A$2:$A$80,0)))))</f>
        <v/>
      </c>
      <c r="O1260" s="53">
        <f t="array" ref="O1260">IFERROR(INDEX(EXCEPCIONES_FECHA!$F$2:$F$201,MATCH(1,(EXCEPCIONES_FECHA!$A$2:$A$201=$A1260)*(EXCEPCIONES_FECHA!$B$2:$B$201=$B1260),0)),IFERROR(INDEX(EXCEPCIONES_FECHA!$F$2:$F$201,MATCH(1,(EXCEPCIONES_FECHA!$A$2:$A$201=$A1260)*(EXCEPCIONES_FECHA!$B$2:$B$201=""),0)),IFERROR(INDEX(IF($I1260="FIN",HISTORIAL_HORARIOS!$L$2:$L$201,HISTORIAL_HORARIOS!$H$2:$H$201),MATCH(1,(HISTORIAL_HORARIOS!$A$2:$A$201=$B1260)*(HISTORIAL_HORARIOS!$C$2:$C$201&lt;=$A1260)*(HISTORIAL_HORARIOS!$D$2:$D$201&gt;=$A1260),0)),INDEX(IF($I1260="FIN",PERSONAL!$L$2:$L$80,PERSONAL!$H$2:$H$80),MATCH($B1260,PERSONAL!$A$2:$A$80,0)))))</f>
        <v/>
      </c>
    </row>
    <row r="1261" ht="15" customHeight="1" s="58">
      <c r="A1261" s="40" t="n"/>
      <c r="B1261" s="38" t="n"/>
      <c r="C1261" s="40" t="n"/>
      <c r="D1261" s="40" t="n"/>
      <c r="E1261" s="34">
        <f t="array" ref="E1261">IF($B1261="","",IFERROR(INDEX(PERSONAL!$B$2:$B$80,MATCH($B1261,PERSONAL!$A$2:$A$80,0)),"NO EXISTE"))</f>
        <v/>
      </c>
      <c r="F1261" s="34">
        <f t="array" ref="F1261">IF($B1261="","",IFERROR(INDEX(PERSONAL!$C$2:$C$80,MATCH($B1261,PERSONAL!$A$2:$A$80,0)),""))</f>
        <v/>
      </c>
      <c r="G1261" s="34">
        <f>IF($A1261="","",CHOOSE(WEEKDAY($A1261,2),"LUNES","MARTES","MIÉRCOLES","JUEVES","VIERNES","SÁBADO","DOMINGO"))</f>
        <v/>
      </c>
      <c r="H1261" s="34">
        <f>IF($A1261="","",CHOOSE(MONTH($A1261),"ENERO","FEBRERO","MARZO","ABRIL","MAYO","JUNIO","JULIO","AGOSTO","SEPTIEMBRE","OCTUBRE","NOVIEMBRE","DICIEMBRE"))</f>
        <v/>
      </c>
      <c r="I1261" s="34">
        <f>IF($A1261="","",IF(OR($G1261="SÁBADO",$G1261="DOMINGO"),"FIN","LV"))</f>
        <v/>
      </c>
      <c r="J1261" s="34">
        <f>IF(OR($A1261="",$B1261=""),"",IF($L1261&lt;&gt;"",UPPER($L1261),IF($C1261="","FALTA",IFERROR(IF($C1261&gt;=$O1261,"ROJO FUERTE",IF($C1261&gt;=$N1261,"ROJO",IF($C1261&gt;=$M1261,"AMARILLO","VERDE"))),"REVISAR"))))</f>
        <v/>
      </c>
      <c r="K1261" s="36">
        <f>IF(OR($C1261="",$D1261=""),"",IF($D1261&gt;=$C1261,($D1261-$C1261)*24,(1-$C1261+$D1261)*24))</f>
        <v/>
      </c>
      <c r="L1261" s="34" t="n"/>
      <c r="M1261" s="53">
        <f t="array" ref="M1261">IFERROR(INDEX(EXCEPCIONES_FECHA!$D$2:$D$201,MATCH(1,(EXCEPCIONES_FECHA!$A$2:$A$201=$A1261)*(EXCEPCIONES_FECHA!$B$2:$B$201=$B1261),0)),IFERROR(INDEX(EXCEPCIONES_FECHA!$D$2:$D$201,MATCH(1,(EXCEPCIONES_FECHA!$A$2:$A$201=$A1261)*(EXCEPCIONES_FECHA!$B$2:$B$201=""),0)),IFERROR(INDEX(IF($I1261="FIN",HISTORIAL_HORARIOS!$J$2:$J$201,HISTORIAL_HORARIOS!$F$2:$F$201),MATCH(1,(HISTORIAL_HORARIOS!$A$2:$A$201=$B1261)*(HISTORIAL_HORARIOS!$C$2:$C$201&lt;=$A1261)*(HISTORIAL_HORARIOS!$D$2:$D$201&gt;=$A1261),0)),INDEX(IF($I1261="FIN",PERSONAL!$J$2:$J$80,PERSONAL!$F$2:$F$80),MATCH($B1261,PERSONAL!$A$2:$A$80,0)))))</f>
        <v/>
      </c>
      <c r="N1261" s="53">
        <f t="array" ref="N1261">IFERROR(INDEX(EXCEPCIONES_FECHA!$E$2:$E$201,MATCH(1,(EXCEPCIONES_FECHA!$A$2:$A$201=$A1261)*(EXCEPCIONES_FECHA!$B$2:$B$201=$B1261),0)),IFERROR(INDEX(EXCEPCIONES_FECHA!$E$2:$E$201,MATCH(1,(EXCEPCIONES_FECHA!$A$2:$A$201=$A1261)*(EXCEPCIONES_FECHA!$B$2:$B$201=""),0)),IFERROR(INDEX(IF($I1261="FIN",HISTORIAL_HORARIOS!$K$2:$K$201,HISTORIAL_HORARIOS!$G$2:$G$201),MATCH(1,(HISTORIAL_HORARIOS!$A$2:$A$201=$B1261)*(HISTORIAL_HORARIOS!$C$2:$C$201&lt;=$A1261)*(HISTORIAL_HORARIOS!$D$2:$D$201&gt;=$A1261),0)),INDEX(IF($I1261="FIN",PERSONAL!$K$2:$K$80,PERSONAL!$G$2:$G$80),MATCH($B1261,PERSONAL!$A$2:$A$80,0)))))</f>
        <v/>
      </c>
      <c r="O1261" s="53">
        <f t="array" ref="O1261">IFERROR(INDEX(EXCEPCIONES_FECHA!$F$2:$F$201,MATCH(1,(EXCEPCIONES_FECHA!$A$2:$A$201=$A1261)*(EXCEPCIONES_FECHA!$B$2:$B$201=$B1261),0)),IFERROR(INDEX(EXCEPCIONES_FECHA!$F$2:$F$201,MATCH(1,(EXCEPCIONES_FECHA!$A$2:$A$201=$A1261)*(EXCEPCIONES_FECHA!$B$2:$B$201=""),0)),IFERROR(INDEX(IF($I1261="FIN",HISTORIAL_HORARIOS!$L$2:$L$201,HISTORIAL_HORARIOS!$H$2:$H$201),MATCH(1,(HISTORIAL_HORARIOS!$A$2:$A$201=$B1261)*(HISTORIAL_HORARIOS!$C$2:$C$201&lt;=$A1261)*(HISTORIAL_HORARIOS!$D$2:$D$201&gt;=$A1261),0)),INDEX(IF($I1261="FIN",PERSONAL!$L$2:$L$80,PERSONAL!$H$2:$H$80),MATCH($B1261,PERSONAL!$A$2:$A$80,0)))))</f>
        <v/>
      </c>
    </row>
    <row r="1262" ht="15" customHeight="1" s="58">
      <c r="A1262" s="40" t="n"/>
      <c r="B1262" s="38" t="n"/>
      <c r="C1262" s="40" t="n"/>
      <c r="D1262" s="40" t="n"/>
      <c r="E1262" s="34">
        <f t="array" ref="E1262">IF($B1262="","",IFERROR(INDEX(PERSONAL!$B$2:$B$80,MATCH($B1262,PERSONAL!$A$2:$A$80,0)),"NO EXISTE"))</f>
        <v/>
      </c>
      <c r="F1262" s="34">
        <f t="array" ref="F1262">IF($B1262="","",IFERROR(INDEX(PERSONAL!$C$2:$C$80,MATCH($B1262,PERSONAL!$A$2:$A$80,0)),""))</f>
        <v/>
      </c>
      <c r="G1262" s="34">
        <f>IF($A1262="","",CHOOSE(WEEKDAY($A1262,2),"LUNES","MARTES","MIÉRCOLES","JUEVES","VIERNES","SÁBADO","DOMINGO"))</f>
        <v/>
      </c>
      <c r="H1262" s="34">
        <f>IF($A1262="","",CHOOSE(MONTH($A1262),"ENERO","FEBRERO","MARZO","ABRIL","MAYO","JUNIO","JULIO","AGOSTO","SEPTIEMBRE","OCTUBRE","NOVIEMBRE","DICIEMBRE"))</f>
        <v/>
      </c>
      <c r="I1262" s="34">
        <f>IF($A1262="","",IF(OR($G1262="SÁBADO",$G1262="DOMINGO"),"FIN","LV"))</f>
        <v/>
      </c>
      <c r="J1262" s="34">
        <f>IF(OR($A1262="",$B1262=""),"",IF($L1262&lt;&gt;"",UPPER($L1262),IF($C1262="","FALTA",IFERROR(IF($C1262&gt;=$O1262,"ROJO FUERTE",IF($C1262&gt;=$N1262,"ROJO",IF($C1262&gt;=$M1262,"AMARILLO","VERDE"))),"REVISAR"))))</f>
        <v/>
      </c>
      <c r="K1262" s="36">
        <f>IF(OR($C1262="",$D1262=""),"",IF($D1262&gt;=$C1262,($D1262-$C1262)*24,(1-$C1262+$D1262)*24))</f>
        <v/>
      </c>
      <c r="L1262" s="34" t="n"/>
      <c r="M1262" s="53">
        <f t="array" ref="M1262">IFERROR(INDEX(EXCEPCIONES_FECHA!$D$2:$D$201,MATCH(1,(EXCEPCIONES_FECHA!$A$2:$A$201=$A1262)*(EXCEPCIONES_FECHA!$B$2:$B$201=$B1262),0)),IFERROR(INDEX(EXCEPCIONES_FECHA!$D$2:$D$201,MATCH(1,(EXCEPCIONES_FECHA!$A$2:$A$201=$A1262)*(EXCEPCIONES_FECHA!$B$2:$B$201=""),0)),IFERROR(INDEX(IF($I1262="FIN",HISTORIAL_HORARIOS!$J$2:$J$201,HISTORIAL_HORARIOS!$F$2:$F$201),MATCH(1,(HISTORIAL_HORARIOS!$A$2:$A$201=$B1262)*(HISTORIAL_HORARIOS!$C$2:$C$201&lt;=$A1262)*(HISTORIAL_HORARIOS!$D$2:$D$201&gt;=$A1262),0)),INDEX(IF($I1262="FIN",PERSONAL!$J$2:$J$80,PERSONAL!$F$2:$F$80),MATCH($B1262,PERSONAL!$A$2:$A$80,0)))))</f>
        <v/>
      </c>
      <c r="N1262" s="53">
        <f t="array" ref="N1262">IFERROR(INDEX(EXCEPCIONES_FECHA!$E$2:$E$201,MATCH(1,(EXCEPCIONES_FECHA!$A$2:$A$201=$A1262)*(EXCEPCIONES_FECHA!$B$2:$B$201=$B1262),0)),IFERROR(INDEX(EXCEPCIONES_FECHA!$E$2:$E$201,MATCH(1,(EXCEPCIONES_FECHA!$A$2:$A$201=$A1262)*(EXCEPCIONES_FECHA!$B$2:$B$201=""),0)),IFERROR(INDEX(IF($I1262="FIN",HISTORIAL_HORARIOS!$K$2:$K$201,HISTORIAL_HORARIOS!$G$2:$G$201),MATCH(1,(HISTORIAL_HORARIOS!$A$2:$A$201=$B1262)*(HISTORIAL_HORARIOS!$C$2:$C$201&lt;=$A1262)*(HISTORIAL_HORARIOS!$D$2:$D$201&gt;=$A1262),0)),INDEX(IF($I1262="FIN",PERSONAL!$K$2:$K$80,PERSONAL!$G$2:$G$80),MATCH($B1262,PERSONAL!$A$2:$A$80,0)))))</f>
        <v/>
      </c>
      <c r="O1262" s="53">
        <f t="array" ref="O1262">IFERROR(INDEX(EXCEPCIONES_FECHA!$F$2:$F$201,MATCH(1,(EXCEPCIONES_FECHA!$A$2:$A$201=$A1262)*(EXCEPCIONES_FECHA!$B$2:$B$201=$B1262),0)),IFERROR(INDEX(EXCEPCIONES_FECHA!$F$2:$F$201,MATCH(1,(EXCEPCIONES_FECHA!$A$2:$A$201=$A1262)*(EXCEPCIONES_FECHA!$B$2:$B$201=""),0)),IFERROR(INDEX(IF($I1262="FIN",HISTORIAL_HORARIOS!$L$2:$L$201,HISTORIAL_HORARIOS!$H$2:$H$201),MATCH(1,(HISTORIAL_HORARIOS!$A$2:$A$201=$B1262)*(HISTORIAL_HORARIOS!$C$2:$C$201&lt;=$A1262)*(HISTORIAL_HORARIOS!$D$2:$D$201&gt;=$A1262),0)),INDEX(IF($I1262="FIN",PERSONAL!$L$2:$L$80,PERSONAL!$H$2:$H$80),MATCH($B1262,PERSONAL!$A$2:$A$80,0)))))</f>
        <v/>
      </c>
    </row>
    <row r="1263" ht="15" customHeight="1" s="58">
      <c r="A1263" s="40" t="n"/>
      <c r="B1263" s="38" t="n"/>
      <c r="C1263" s="40" t="n"/>
      <c r="D1263" s="40" t="n"/>
      <c r="E1263" s="34">
        <f t="array" ref="E1263">IF($B1263="","",IFERROR(INDEX(PERSONAL!$B$2:$B$80,MATCH($B1263,PERSONAL!$A$2:$A$80,0)),"NO EXISTE"))</f>
        <v/>
      </c>
      <c r="F1263" s="34">
        <f t="array" ref="F1263">IF($B1263="","",IFERROR(INDEX(PERSONAL!$C$2:$C$80,MATCH($B1263,PERSONAL!$A$2:$A$80,0)),""))</f>
        <v/>
      </c>
      <c r="G1263" s="34">
        <f>IF($A1263="","",CHOOSE(WEEKDAY($A1263,2),"LUNES","MARTES","MIÉRCOLES","JUEVES","VIERNES","SÁBADO","DOMINGO"))</f>
        <v/>
      </c>
      <c r="H1263" s="34">
        <f>IF($A1263="","",CHOOSE(MONTH($A1263),"ENERO","FEBRERO","MARZO","ABRIL","MAYO","JUNIO","JULIO","AGOSTO","SEPTIEMBRE","OCTUBRE","NOVIEMBRE","DICIEMBRE"))</f>
        <v/>
      </c>
      <c r="I1263" s="34">
        <f>IF($A1263="","",IF(OR($G1263="SÁBADO",$G1263="DOMINGO"),"FIN","LV"))</f>
        <v/>
      </c>
      <c r="J1263" s="34">
        <f>IF(OR($A1263="",$B1263=""),"",IF($L1263&lt;&gt;"",UPPER($L1263),IF($C1263="","FALTA",IFERROR(IF($C1263&gt;=$O1263,"ROJO FUERTE",IF($C1263&gt;=$N1263,"ROJO",IF($C1263&gt;=$M1263,"AMARILLO","VERDE"))),"REVISAR"))))</f>
        <v/>
      </c>
      <c r="K1263" s="36">
        <f>IF(OR($C1263="",$D1263=""),"",IF($D1263&gt;=$C1263,($D1263-$C1263)*24,(1-$C1263+$D1263)*24))</f>
        <v/>
      </c>
      <c r="L1263" s="34" t="n"/>
      <c r="M1263" s="53">
        <f t="array" ref="M1263">IFERROR(INDEX(EXCEPCIONES_FECHA!$D$2:$D$201,MATCH(1,(EXCEPCIONES_FECHA!$A$2:$A$201=$A1263)*(EXCEPCIONES_FECHA!$B$2:$B$201=$B1263),0)),IFERROR(INDEX(EXCEPCIONES_FECHA!$D$2:$D$201,MATCH(1,(EXCEPCIONES_FECHA!$A$2:$A$201=$A1263)*(EXCEPCIONES_FECHA!$B$2:$B$201=""),0)),IFERROR(INDEX(IF($I1263="FIN",HISTORIAL_HORARIOS!$J$2:$J$201,HISTORIAL_HORARIOS!$F$2:$F$201),MATCH(1,(HISTORIAL_HORARIOS!$A$2:$A$201=$B1263)*(HISTORIAL_HORARIOS!$C$2:$C$201&lt;=$A1263)*(HISTORIAL_HORARIOS!$D$2:$D$201&gt;=$A1263),0)),INDEX(IF($I1263="FIN",PERSONAL!$J$2:$J$80,PERSONAL!$F$2:$F$80),MATCH($B1263,PERSONAL!$A$2:$A$80,0)))))</f>
        <v/>
      </c>
      <c r="N1263" s="53">
        <f t="array" ref="N1263">IFERROR(INDEX(EXCEPCIONES_FECHA!$E$2:$E$201,MATCH(1,(EXCEPCIONES_FECHA!$A$2:$A$201=$A1263)*(EXCEPCIONES_FECHA!$B$2:$B$201=$B1263),0)),IFERROR(INDEX(EXCEPCIONES_FECHA!$E$2:$E$201,MATCH(1,(EXCEPCIONES_FECHA!$A$2:$A$201=$A1263)*(EXCEPCIONES_FECHA!$B$2:$B$201=""),0)),IFERROR(INDEX(IF($I1263="FIN",HISTORIAL_HORARIOS!$K$2:$K$201,HISTORIAL_HORARIOS!$G$2:$G$201),MATCH(1,(HISTORIAL_HORARIOS!$A$2:$A$201=$B1263)*(HISTORIAL_HORARIOS!$C$2:$C$201&lt;=$A1263)*(HISTORIAL_HORARIOS!$D$2:$D$201&gt;=$A1263),0)),INDEX(IF($I1263="FIN",PERSONAL!$K$2:$K$80,PERSONAL!$G$2:$G$80),MATCH($B1263,PERSONAL!$A$2:$A$80,0)))))</f>
        <v/>
      </c>
      <c r="O1263" s="53">
        <f t="array" ref="O1263">IFERROR(INDEX(EXCEPCIONES_FECHA!$F$2:$F$201,MATCH(1,(EXCEPCIONES_FECHA!$A$2:$A$201=$A1263)*(EXCEPCIONES_FECHA!$B$2:$B$201=$B1263),0)),IFERROR(INDEX(EXCEPCIONES_FECHA!$F$2:$F$201,MATCH(1,(EXCEPCIONES_FECHA!$A$2:$A$201=$A1263)*(EXCEPCIONES_FECHA!$B$2:$B$201=""),0)),IFERROR(INDEX(IF($I1263="FIN",HISTORIAL_HORARIOS!$L$2:$L$201,HISTORIAL_HORARIOS!$H$2:$H$201),MATCH(1,(HISTORIAL_HORARIOS!$A$2:$A$201=$B1263)*(HISTORIAL_HORARIOS!$C$2:$C$201&lt;=$A1263)*(HISTORIAL_HORARIOS!$D$2:$D$201&gt;=$A1263),0)),INDEX(IF($I1263="FIN",PERSONAL!$L$2:$L$80,PERSONAL!$H$2:$H$80),MATCH($B1263,PERSONAL!$A$2:$A$80,0)))))</f>
        <v/>
      </c>
    </row>
    <row r="1264" ht="15" customHeight="1" s="58">
      <c r="A1264" s="40" t="n"/>
      <c r="B1264" s="38" t="n"/>
      <c r="C1264" s="40" t="n"/>
      <c r="D1264" s="40" t="n"/>
      <c r="E1264" s="34">
        <f t="array" ref="E1264">IF($B1264="","",IFERROR(INDEX(PERSONAL!$B$2:$B$80,MATCH($B1264,PERSONAL!$A$2:$A$80,0)),"NO EXISTE"))</f>
        <v/>
      </c>
      <c r="F1264" s="34">
        <f t="array" ref="F1264">IF($B1264="","",IFERROR(INDEX(PERSONAL!$C$2:$C$80,MATCH($B1264,PERSONAL!$A$2:$A$80,0)),""))</f>
        <v/>
      </c>
      <c r="G1264" s="34">
        <f>IF($A1264="","",CHOOSE(WEEKDAY($A1264,2),"LUNES","MARTES","MIÉRCOLES","JUEVES","VIERNES","SÁBADO","DOMINGO"))</f>
        <v/>
      </c>
      <c r="H1264" s="34">
        <f>IF($A1264="","",CHOOSE(MONTH($A1264),"ENERO","FEBRERO","MARZO","ABRIL","MAYO","JUNIO","JULIO","AGOSTO","SEPTIEMBRE","OCTUBRE","NOVIEMBRE","DICIEMBRE"))</f>
        <v/>
      </c>
      <c r="I1264" s="34">
        <f>IF($A1264="","",IF(OR($G1264="SÁBADO",$G1264="DOMINGO"),"FIN","LV"))</f>
        <v/>
      </c>
      <c r="J1264" s="34">
        <f>IF(OR($A1264="",$B1264=""),"",IF($L1264&lt;&gt;"",UPPER($L1264),IF($C1264="","FALTA",IFERROR(IF($C1264&gt;=$O1264,"ROJO FUERTE",IF($C1264&gt;=$N1264,"ROJO",IF($C1264&gt;=$M1264,"AMARILLO","VERDE"))),"REVISAR"))))</f>
        <v/>
      </c>
      <c r="K1264" s="36">
        <f>IF(OR($C1264="",$D1264=""),"",IF($D1264&gt;=$C1264,($D1264-$C1264)*24,(1-$C1264+$D1264)*24))</f>
        <v/>
      </c>
      <c r="L1264" s="34" t="n"/>
      <c r="M1264" s="53">
        <f t="array" ref="M1264">IFERROR(INDEX(EXCEPCIONES_FECHA!$D$2:$D$201,MATCH(1,(EXCEPCIONES_FECHA!$A$2:$A$201=$A1264)*(EXCEPCIONES_FECHA!$B$2:$B$201=$B1264),0)),IFERROR(INDEX(EXCEPCIONES_FECHA!$D$2:$D$201,MATCH(1,(EXCEPCIONES_FECHA!$A$2:$A$201=$A1264)*(EXCEPCIONES_FECHA!$B$2:$B$201=""),0)),IFERROR(INDEX(IF($I1264="FIN",HISTORIAL_HORARIOS!$J$2:$J$201,HISTORIAL_HORARIOS!$F$2:$F$201),MATCH(1,(HISTORIAL_HORARIOS!$A$2:$A$201=$B1264)*(HISTORIAL_HORARIOS!$C$2:$C$201&lt;=$A1264)*(HISTORIAL_HORARIOS!$D$2:$D$201&gt;=$A1264),0)),INDEX(IF($I1264="FIN",PERSONAL!$J$2:$J$80,PERSONAL!$F$2:$F$80),MATCH($B1264,PERSONAL!$A$2:$A$80,0)))))</f>
        <v/>
      </c>
      <c r="N1264" s="53">
        <f t="array" ref="N1264">IFERROR(INDEX(EXCEPCIONES_FECHA!$E$2:$E$201,MATCH(1,(EXCEPCIONES_FECHA!$A$2:$A$201=$A1264)*(EXCEPCIONES_FECHA!$B$2:$B$201=$B1264),0)),IFERROR(INDEX(EXCEPCIONES_FECHA!$E$2:$E$201,MATCH(1,(EXCEPCIONES_FECHA!$A$2:$A$201=$A1264)*(EXCEPCIONES_FECHA!$B$2:$B$201=""),0)),IFERROR(INDEX(IF($I1264="FIN",HISTORIAL_HORARIOS!$K$2:$K$201,HISTORIAL_HORARIOS!$G$2:$G$201),MATCH(1,(HISTORIAL_HORARIOS!$A$2:$A$201=$B1264)*(HISTORIAL_HORARIOS!$C$2:$C$201&lt;=$A1264)*(HISTORIAL_HORARIOS!$D$2:$D$201&gt;=$A1264),0)),INDEX(IF($I1264="FIN",PERSONAL!$K$2:$K$80,PERSONAL!$G$2:$G$80),MATCH($B1264,PERSONAL!$A$2:$A$80,0)))))</f>
        <v/>
      </c>
      <c r="O1264" s="53">
        <f t="array" ref="O1264">IFERROR(INDEX(EXCEPCIONES_FECHA!$F$2:$F$201,MATCH(1,(EXCEPCIONES_FECHA!$A$2:$A$201=$A1264)*(EXCEPCIONES_FECHA!$B$2:$B$201=$B1264),0)),IFERROR(INDEX(EXCEPCIONES_FECHA!$F$2:$F$201,MATCH(1,(EXCEPCIONES_FECHA!$A$2:$A$201=$A1264)*(EXCEPCIONES_FECHA!$B$2:$B$201=""),0)),IFERROR(INDEX(IF($I1264="FIN",HISTORIAL_HORARIOS!$L$2:$L$201,HISTORIAL_HORARIOS!$H$2:$H$201),MATCH(1,(HISTORIAL_HORARIOS!$A$2:$A$201=$B1264)*(HISTORIAL_HORARIOS!$C$2:$C$201&lt;=$A1264)*(HISTORIAL_HORARIOS!$D$2:$D$201&gt;=$A1264),0)),INDEX(IF($I1264="FIN",PERSONAL!$L$2:$L$80,PERSONAL!$H$2:$H$80),MATCH($B1264,PERSONAL!$A$2:$A$80,0)))))</f>
        <v/>
      </c>
    </row>
    <row r="1265" ht="15" customHeight="1" s="58">
      <c r="A1265" s="40" t="n"/>
      <c r="B1265" s="38" t="n"/>
      <c r="C1265" s="40" t="n"/>
      <c r="D1265" s="40" t="n"/>
      <c r="E1265" s="34">
        <f t="array" ref="E1265">IF($B1265="","",IFERROR(INDEX(PERSONAL!$B$2:$B$80,MATCH($B1265,PERSONAL!$A$2:$A$80,0)),"NO EXISTE"))</f>
        <v/>
      </c>
      <c r="F1265" s="34">
        <f t="array" ref="F1265">IF($B1265="","",IFERROR(INDEX(PERSONAL!$C$2:$C$80,MATCH($B1265,PERSONAL!$A$2:$A$80,0)),""))</f>
        <v/>
      </c>
      <c r="G1265" s="34">
        <f>IF($A1265="","",CHOOSE(WEEKDAY($A1265,2),"LUNES","MARTES","MIÉRCOLES","JUEVES","VIERNES","SÁBADO","DOMINGO"))</f>
        <v/>
      </c>
      <c r="H1265" s="34">
        <f>IF($A1265="","",CHOOSE(MONTH($A1265),"ENERO","FEBRERO","MARZO","ABRIL","MAYO","JUNIO","JULIO","AGOSTO","SEPTIEMBRE","OCTUBRE","NOVIEMBRE","DICIEMBRE"))</f>
        <v/>
      </c>
      <c r="I1265" s="34">
        <f>IF($A1265="","",IF(OR($G1265="SÁBADO",$G1265="DOMINGO"),"FIN","LV"))</f>
        <v/>
      </c>
      <c r="J1265" s="34">
        <f>IF(OR($A1265="",$B1265=""),"",IF($L1265&lt;&gt;"",UPPER($L1265),IF($C1265="","FALTA",IFERROR(IF($C1265&gt;=$O1265,"ROJO FUERTE",IF($C1265&gt;=$N1265,"ROJO",IF($C1265&gt;=$M1265,"AMARILLO","VERDE"))),"REVISAR"))))</f>
        <v/>
      </c>
      <c r="K1265" s="36">
        <f>IF(OR($C1265="",$D1265=""),"",IF($D1265&gt;=$C1265,($D1265-$C1265)*24,(1-$C1265+$D1265)*24))</f>
        <v/>
      </c>
      <c r="L1265" s="34" t="n"/>
      <c r="M1265" s="53">
        <f t="array" ref="M1265">IFERROR(INDEX(EXCEPCIONES_FECHA!$D$2:$D$201,MATCH(1,(EXCEPCIONES_FECHA!$A$2:$A$201=$A1265)*(EXCEPCIONES_FECHA!$B$2:$B$201=$B1265),0)),IFERROR(INDEX(EXCEPCIONES_FECHA!$D$2:$D$201,MATCH(1,(EXCEPCIONES_FECHA!$A$2:$A$201=$A1265)*(EXCEPCIONES_FECHA!$B$2:$B$201=""),0)),IFERROR(INDEX(IF($I1265="FIN",HISTORIAL_HORARIOS!$J$2:$J$201,HISTORIAL_HORARIOS!$F$2:$F$201),MATCH(1,(HISTORIAL_HORARIOS!$A$2:$A$201=$B1265)*(HISTORIAL_HORARIOS!$C$2:$C$201&lt;=$A1265)*(HISTORIAL_HORARIOS!$D$2:$D$201&gt;=$A1265),0)),INDEX(IF($I1265="FIN",PERSONAL!$J$2:$J$80,PERSONAL!$F$2:$F$80),MATCH($B1265,PERSONAL!$A$2:$A$80,0)))))</f>
        <v/>
      </c>
      <c r="N1265" s="53">
        <f t="array" ref="N1265">IFERROR(INDEX(EXCEPCIONES_FECHA!$E$2:$E$201,MATCH(1,(EXCEPCIONES_FECHA!$A$2:$A$201=$A1265)*(EXCEPCIONES_FECHA!$B$2:$B$201=$B1265),0)),IFERROR(INDEX(EXCEPCIONES_FECHA!$E$2:$E$201,MATCH(1,(EXCEPCIONES_FECHA!$A$2:$A$201=$A1265)*(EXCEPCIONES_FECHA!$B$2:$B$201=""),0)),IFERROR(INDEX(IF($I1265="FIN",HISTORIAL_HORARIOS!$K$2:$K$201,HISTORIAL_HORARIOS!$G$2:$G$201),MATCH(1,(HISTORIAL_HORARIOS!$A$2:$A$201=$B1265)*(HISTORIAL_HORARIOS!$C$2:$C$201&lt;=$A1265)*(HISTORIAL_HORARIOS!$D$2:$D$201&gt;=$A1265),0)),INDEX(IF($I1265="FIN",PERSONAL!$K$2:$K$80,PERSONAL!$G$2:$G$80),MATCH($B1265,PERSONAL!$A$2:$A$80,0)))))</f>
        <v/>
      </c>
      <c r="O1265" s="53">
        <f t="array" ref="O1265">IFERROR(INDEX(EXCEPCIONES_FECHA!$F$2:$F$201,MATCH(1,(EXCEPCIONES_FECHA!$A$2:$A$201=$A1265)*(EXCEPCIONES_FECHA!$B$2:$B$201=$B1265),0)),IFERROR(INDEX(EXCEPCIONES_FECHA!$F$2:$F$201,MATCH(1,(EXCEPCIONES_FECHA!$A$2:$A$201=$A1265)*(EXCEPCIONES_FECHA!$B$2:$B$201=""),0)),IFERROR(INDEX(IF($I1265="FIN",HISTORIAL_HORARIOS!$L$2:$L$201,HISTORIAL_HORARIOS!$H$2:$H$201),MATCH(1,(HISTORIAL_HORARIOS!$A$2:$A$201=$B1265)*(HISTORIAL_HORARIOS!$C$2:$C$201&lt;=$A1265)*(HISTORIAL_HORARIOS!$D$2:$D$201&gt;=$A1265),0)),INDEX(IF($I1265="FIN",PERSONAL!$L$2:$L$80,PERSONAL!$H$2:$H$80),MATCH($B1265,PERSONAL!$A$2:$A$80,0)))))</f>
        <v/>
      </c>
    </row>
    <row r="1266" ht="15" customHeight="1" s="58">
      <c r="A1266" s="40" t="n"/>
      <c r="B1266" s="38" t="n"/>
      <c r="C1266" s="40" t="n"/>
      <c r="D1266" s="40" t="n"/>
      <c r="E1266" s="34">
        <f t="array" ref="E1266">IF($B1266="","",IFERROR(INDEX(PERSONAL!$B$2:$B$80,MATCH($B1266,PERSONAL!$A$2:$A$80,0)),"NO EXISTE"))</f>
        <v/>
      </c>
      <c r="F1266" s="34">
        <f t="array" ref="F1266">IF($B1266="","",IFERROR(INDEX(PERSONAL!$C$2:$C$80,MATCH($B1266,PERSONAL!$A$2:$A$80,0)),""))</f>
        <v/>
      </c>
      <c r="G1266" s="34">
        <f>IF($A1266="","",CHOOSE(WEEKDAY($A1266,2),"LUNES","MARTES","MIÉRCOLES","JUEVES","VIERNES","SÁBADO","DOMINGO"))</f>
        <v/>
      </c>
      <c r="H1266" s="34">
        <f>IF($A1266="","",CHOOSE(MONTH($A1266),"ENERO","FEBRERO","MARZO","ABRIL","MAYO","JUNIO","JULIO","AGOSTO","SEPTIEMBRE","OCTUBRE","NOVIEMBRE","DICIEMBRE"))</f>
        <v/>
      </c>
      <c r="I1266" s="34">
        <f>IF($A1266="","",IF(OR($G1266="SÁBADO",$G1266="DOMINGO"),"FIN","LV"))</f>
        <v/>
      </c>
      <c r="J1266" s="34">
        <f>IF(OR($A1266="",$B1266=""),"",IF($L1266&lt;&gt;"",UPPER($L1266),IF($C1266="","FALTA",IFERROR(IF($C1266&gt;=$O1266,"ROJO FUERTE",IF($C1266&gt;=$N1266,"ROJO",IF($C1266&gt;=$M1266,"AMARILLO","VERDE"))),"REVISAR"))))</f>
        <v/>
      </c>
      <c r="K1266" s="36">
        <f>IF(OR($C1266="",$D1266=""),"",IF($D1266&gt;=$C1266,($D1266-$C1266)*24,(1-$C1266+$D1266)*24))</f>
        <v/>
      </c>
      <c r="L1266" s="34" t="n"/>
      <c r="M1266" s="53">
        <f t="array" ref="M1266">IFERROR(INDEX(EXCEPCIONES_FECHA!$D$2:$D$201,MATCH(1,(EXCEPCIONES_FECHA!$A$2:$A$201=$A1266)*(EXCEPCIONES_FECHA!$B$2:$B$201=$B1266),0)),IFERROR(INDEX(EXCEPCIONES_FECHA!$D$2:$D$201,MATCH(1,(EXCEPCIONES_FECHA!$A$2:$A$201=$A1266)*(EXCEPCIONES_FECHA!$B$2:$B$201=""),0)),IFERROR(INDEX(IF($I1266="FIN",HISTORIAL_HORARIOS!$J$2:$J$201,HISTORIAL_HORARIOS!$F$2:$F$201),MATCH(1,(HISTORIAL_HORARIOS!$A$2:$A$201=$B1266)*(HISTORIAL_HORARIOS!$C$2:$C$201&lt;=$A1266)*(HISTORIAL_HORARIOS!$D$2:$D$201&gt;=$A1266),0)),INDEX(IF($I1266="FIN",PERSONAL!$J$2:$J$80,PERSONAL!$F$2:$F$80),MATCH($B1266,PERSONAL!$A$2:$A$80,0)))))</f>
        <v/>
      </c>
      <c r="N1266" s="53">
        <f t="array" ref="N1266">IFERROR(INDEX(EXCEPCIONES_FECHA!$E$2:$E$201,MATCH(1,(EXCEPCIONES_FECHA!$A$2:$A$201=$A1266)*(EXCEPCIONES_FECHA!$B$2:$B$201=$B1266),0)),IFERROR(INDEX(EXCEPCIONES_FECHA!$E$2:$E$201,MATCH(1,(EXCEPCIONES_FECHA!$A$2:$A$201=$A1266)*(EXCEPCIONES_FECHA!$B$2:$B$201=""),0)),IFERROR(INDEX(IF($I1266="FIN",HISTORIAL_HORARIOS!$K$2:$K$201,HISTORIAL_HORARIOS!$G$2:$G$201),MATCH(1,(HISTORIAL_HORARIOS!$A$2:$A$201=$B1266)*(HISTORIAL_HORARIOS!$C$2:$C$201&lt;=$A1266)*(HISTORIAL_HORARIOS!$D$2:$D$201&gt;=$A1266),0)),INDEX(IF($I1266="FIN",PERSONAL!$K$2:$K$80,PERSONAL!$G$2:$G$80),MATCH($B1266,PERSONAL!$A$2:$A$80,0)))))</f>
        <v/>
      </c>
      <c r="O1266" s="53">
        <f t="array" ref="O1266">IFERROR(INDEX(EXCEPCIONES_FECHA!$F$2:$F$201,MATCH(1,(EXCEPCIONES_FECHA!$A$2:$A$201=$A1266)*(EXCEPCIONES_FECHA!$B$2:$B$201=$B1266),0)),IFERROR(INDEX(EXCEPCIONES_FECHA!$F$2:$F$201,MATCH(1,(EXCEPCIONES_FECHA!$A$2:$A$201=$A1266)*(EXCEPCIONES_FECHA!$B$2:$B$201=""),0)),IFERROR(INDEX(IF($I1266="FIN",HISTORIAL_HORARIOS!$L$2:$L$201,HISTORIAL_HORARIOS!$H$2:$H$201),MATCH(1,(HISTORIAL_HORARIOS!$A$2:$A$201=$B1266)*(HISTORIAL_HORARIOS!$C$2:$C$201&lt;=$A1266)*(HISTORIAL_HORARIOS!$D$2:$D$201&gt;=$A1266),0)),INDEX(IF($I1266="FIN",PERSONAL!$L$2:$L$80,PERSONAL!$H$2:$H$80),MATCH($B1266,PERSONAL!$A$2:$A$80,0)))))</f>
        <v/>
      </c>
    </row>
    <row r="1267" ht="15" customHeight="1" s="58">
      <c r="A1267" s="40" t="n"/>
      <c r="B1267" s="38" t="n"/>
      <c r="C1267" s="40" t="n"/>
      <c r="D1267" s="40" t="n"/>
      <c r="E1267" s="34">
        <f t="array" ref="E1267">IF($B1267="","",IFERROR(INDEX(PERSONAL!$B$2:$B$80,MATCH($B1267,PERSONAL!$A$2:$A$80,0)),"NO EXISTE"))</f>
        <v/>
      </c>
      <c r="F1267" s="34">
        <f t="array" ref="F1267">IF($B1267="","",IFERROR(INDEX(PERSONAL!$C$2:$C$80,MATCH($B1267,PERSONAL!$A$2:$A$80,0)),""))</f>
        <v/>
      </c>
      <c r="G1267" s="34">
        <f>IF($A1267="","",CHOOSE(WEEKDAY($A1267,2),"LUNES","MARTES","MIÉRCOLES","JUEVES","VIERNES","SÁBADO","DOMINGO"))</f>
        <v/>
      </c>
      <c r="H1267" s="34">
        <f>IF($A1267="","",CHOOSE(MONTH($A1267),"ENERO","FEBRERO","MARZO","ABRIL","MAYO","JUNIO","JULIO","AGOSTO","SEPTIEMBRE","OCTUBRE","NOVIEMBRE","DICIEMBRE"))</f>
        <v/>
      </c>
      <c r="I1267" s="34">
        <f>IF($A1267="","",IF(OR($G1267="SÁBADO",$G1267="DOMINGO"),"FIN","LV"))</f>
        <v/>
      </c>
      <c r="J1267" s="34">
        <f>IF(OR($A1267="",$B1267=""),"",IF($L1267&lt;&gt;"",UPPER($L1267),IF($C1267="","FALTA",IFERROR(IF($C1267&gt;=$O1267,"ROJO FUERTE",IF($C1267&gt;=$N1267,"ROJO",IF($C1267&gt;=$M1267,"AMARILLO","VERDE"))),"REVISAR"))))</f>
        <v/>
      </c>
      <c r="K1267" s="36">
        <f>IF(OR($C1267="",$D1267=""),"",IF($D1267&gt;=$C1267,($D1267-$C1267)*24,(1-$C1267+$D1267)*24))</f>
        <v/>
      </c>
      <c r="L1267" s="34" t="n"/>
      <c r="M1267" s="53">
        <f t="array" ref="M1267">IFERROR(INDEX(EXCEPCIONES_FECHA!$D$2:$D$201,MATCH(1,(EXCEPCIONES_FECHA!$A$2:$A$201=$A1267)*(EXCEPCIONES_FECHA!$B$2:$B$201=$B1267),0)),IFERROR(INDEX(EXCEPCIONES_FECHA!$D$2:$D$201,MATCH(1,(EXCEPCIONES_FECHA!$A$2:$A$201=$A1267)*(EXCEPCIONES_FECHA!$B$2:$B$201=""),0)),IFERROR(INDEX(IF($I1267="FIN",HISTORIAL_HORARIOS!$J$2:$J$201,HISTORIAL_HORARIOS!$F$2:$F$201),MATCH(1,(HISTORIAL_HORARIOS!$A$2:$A$201=$B1267)*(HISTORIAL_HORARIOS!$C$2:$C$201&lt;=$A1267)*(HISTORIAL_HORARIOS!$D$2:$D$201&gt;=$A1267),0)),INDEX(IF($I1267="FIN",PERSONAL!$J$2:$J$80,PERSONAL!$F$2:$F$80),MATCH($B1267,PERSONAL!$A$2:$A$80,0)))))</f>
        <v/>
      </c>
      <c r="N1267" s="53">
        <f t="array" ref="N1267">IFERROR(INDEX(EXCEPCIONES_FECHA!$E$2:$E$201,MATCH(1,(EXCEPCIONES_FECHA!$A$2:$A$201=$A1267)*(EXCEPCIONES_FECHA!$B$2:$B$201=$B1267),0)),IFERROR(INDEX(EXCEPCIONES_FECHA!$E$2:$E$201,MATCH(1,(EXCEPCIONES_FECHA!$A$2:$A$201=$A1267)*(EXCEPCIONES_FECHA!$B$2:$B$201=""),0)),IFERROR(INDEX(IF($I1267="FIN",HISTORIAL_HORARIOS!$K$2:$K$201,HISTORIAL_HORARIOS!$G$2:$G$201),MATCH(1,(HISTORIAL_HORARIOS!$A$2:$A$201=$B1267)*(HISTORIAL_HORARIOS!$C$2:$C$201&lt;=$A1267)*(HISTORIAL_HORARIOS!$D$2:$D$201&gt;=$A1267),0)),INDEX(IF($I1267="FIN",PERSONAL!$K$2:$K$80,PERSONAL!$G$2:$G$80),MATCH($B1267,PERSONAL!$A$2:$A$80,0)))))</f>
        <v/>
      </c>
      <c r="O1267" s="53">
        <f t="array" ref="O1267">IFERROR(INDEX(EXCEPCIONES_FECHA!$F$2:$F$201,MATCH(1,(EXCEPCIONES_FECHA!$A$2:$A$201=$A1267)*(EXCEPCIONES_FECHA!$B$2:$B$201=$B1267),0)),IFERROR(INDEX(EXCEPCIONES_FECHA!$F$2:$F$201,MATCH(1,(EXCEPCIONES_FECHA!$A$2:$A$201=$A1267)*(EXCEPCIONES_FECHA!$B$2:$B$201=""),0)),IFERROR(INDEX(IF($I1267="FIN",HISTORIAL_HORARIOS!$L$2:$L$201,HISTORIAL_HORARIOS!$H$2:$H$201),MATCH(1,(HISTORIAL_HORARIOS!$A$2:$A$201=$B1267)*(HISTORIAL_HORARIOS!$C$2:$C$201&lt;=$A1267)*(HISTORIAL_HORARIOS!$D$2:$D$201&gt;=$A1267),0)),INDEX(IF($I1267="FIN",PERSONAL!$L$2:$L$80,PERSONAL!$H$2:$H$80),MATCH($B1267,PERSONAL!$A$2:$A$80,0)))))</f>
        <v/>
      </c>
    </row>
    <row r="1268" ht="15" customHeight="1" s="58">
      <c r="A1268" s="40" t="n"/>
      <c r="B1268" s="38" t="n"/>
      <c r="C1268" s="40" t="n"/>
      <c r="D1268" s="40" t="n"/>
      <c r="E1268" s="34">
        <f t="array" ref="E1268">IF($B1268="","",IFERROR(INDEX(PERSONAL!$B$2:$B$80,MATCH($B1268,PERSONAL!$A$2:$A$80,0)),"NO EXISTE"))</f>
        <v/>
      </c>
      <c r="F1268" s="34">
        <f t="array" ref="F1268">IF($B1268="","",IFERROR(INDEX(PERSONAL!$C$2:$C$80,MATCH($B1268,PERSONAL!$A$2:$A$80,0)),""))</f>
        <v/>
      </c>
      <c r="G1268" s="34">
        <f>IF($A1268="","",CHOOSE(WEEKDAY($A1268,2),"LUNES","MARTES","MIÉRCOLES","JUEVES","VIERNES","SÁBADO","DOMINGO"))</f>
        <v/>
      </c>
      <c r="H1268" s="34">
        <f>IF($A1268="","",CHOOSE(MONTH($A1268),"ENERO","FEBRERO","MARZO","ABRIL","MAYO","JUNIO","JULIO","AGOSTO","SEPTIEMBRE","OCTUBRE","NOVIEMBRE","DICIEMBRE"))</f>
        <v/>
      </c>
      <c r="I1268" s="34">
        <f>IF($A1268="","",IF(OR($G1268="SÁBADO",$G1268="DOMINGO"),"FIN","LV"))</f>
        <v/>
      </c>
      <c r="J1268" s="34">
        <f>IF(OR($A1268="",$B1268=""),"",IF($L1268&lt;&gt;"",UPPER($L1268),IF($C1268="","FALTA",IFERROR(IF($C1268&gt;=$O1268,"ROJO FUERTE",IF($C1268&gt;=$N1268,"ROJO",IF($C1268&gt;=$M1268,"AMARILLO","VERDE"))),"REVISAR"))))</f>
        <v/>
      </c>
      <c r="K1268" s="36">
        <f>IF(OR($C1268="",$D1268=""),"",IF($D1268&gt;=$C1268,($D1268-$C1268)*24,(1-$C1268+$D1268)*24))</f>
        <v/>
      </c>
      <c r="L1268" s="34" t="n"/>
      <c r="M1268" s="53">
        <f t="array" ref="M1268">IFERROR(INDEX(EXCEPCIONES_FECHA!$D$2:$D$201,MATCH(1,(EXCEPCIONES_FECHA!$A$2:$A$201=$A1268)*(EXCEPCIONES_FECHA!$B$2:$B$201=$B1268),0)),IFERROR(INDEX(EXCEPCIONES_FECHA!$D$2:$D$201,MATCH(1,(EXCEPCIONES_FECHA!$A$2:$A$201=$A1268)*(EXCEPCIONES_FECHA!$B$2:$B$201=""),0)),IFERROR(INDEX(IF($I1268="FIN",HISTORIAL_HORARIOS!$J$2:$J$201,HISTORIAL_HORARIOS!$F$2:$F$201),MATCH(1,(HISTORIAL_HORARIOS!$A$2:$A$201=$B1268)*(HISTORIAL_HORARIOS!$C$2:$C$201&lt;=$A1268)*(HISTORIAL_HORARIOS!$D$2:$D$201&gt;=$A1268),0)),INDEX(IF($I1268="FIN",PERSONAL!$J$2:$J$80,PERSONAL!$F$2:$F$80),MATCH($B1268,PERSONAL!$A$2:$A$80,0)))))</f>
        <v/>
      </c>
      <c r="N1268" s="53">
        <f t="array" ref="N1268">IFERROR(INDEX(EXCEPCIONES_FECHA!$E$2:$E$201,MATCH(1,(EXCEPCIONES_FECHA!$A$2:$A$201=$A1268)*(EXCEPCIONES_FECHA!$B$2:$B$201=$B1268),0)),IFERROR(INDEX(EXCEPCIONES_FECHA!$E$2:$E$201,MATCH(1,(EXCEPCIONES_FECHA!$A$2:$A$201=$A1268)*(EXCEPCIONES_FECHA!$B$2:$B$201=""),0)),IFERROR(INDEX(IF($I1268="FIN",HISTORIAL_HORARIOS!$K$2:$K$201,HISTORIAL_HORARIOS!$G$2:$G$201),MATCH(1,(HISTORIAL_HORARIOS!$A$2:$A$201=$B1268)*(HISTORIAL_HORARIOS!$C$2:$C$201&lt;=$A1268)*(HISTORIAL_HORARIOS!$D$2:$D$201&gt;=$A1268),0)),INDEX(IF($I1268="FIN",PERSONAL!$K$2:$K$80,PERSONAL!$G$2:$G$80),MATCH($B1268,PERSONAL!$A$2:$A$80,0)))))</f>
        <v/>
      </c>
      <c r="O1268" s="53">
        <f t="array" ref="O1268">IFERROR(INDEX(EXCEPCIONES_FECHA!$F$2:$F$201,MATCH(1,(EXCEPCIONES_FECHA!$A$2:$A$201=$A1268)*(EXCEPCIONES_FECHA!$B$2:$B$201=$B1268),0)),IFERROR(INDEX(EXCEPCIONES_FECHA!$F$2:$F$201,MATCH(1,(EXCEPCIONES_FECHA!$A$2:$A$201=$A1268)*(EXCEPCIONES_FECHA!$B$2:$B$201=""),0)),IFERROR(INDEX(IF($I1268="FIN",HISTORIAL_HORARIOS!$L$2:$L$201,HISTORIAL_HORARIOS!$H$2:$H$201),MATCH(1,(HISTORIAL_HORARIOS!$A$2:$A$201=$B1268)*(HISTORIAL_HORARIOS!$C$2:$C$201&lt;=$A1268)*(HISTORIAL_HORARIOS!$D$2:$D$201&gt;=$A1268),0)),INDEX(IF($I1268="FIN",PERSONAL!$L$2:$L$80,PERSONAL!$H$2:$H$80),MATCH($B1268,PERSONAL!$A$2:$A$80,0)))))</f>
        <v/>
      </c>
    </row>
    <row r="1269" ht="15" customHeight="1" s="58">
      <c r="A1269" s="40" t="n"/>
      <c r="B1269" s="38" t="n"/>
      <c r="C1269" s="40" t="n"/>
      <c r="D1269" s="40" t="n"/>
      <c r="E1269" s="34">
        <f t="array" ref="E1269">IF($B1269="","",IFERROR(INDEX(PERSONAL!$B$2:$B$80,MATCH($B1269,PERSONAL!$A$2:$A$80,0)),"NO EXISTE"))</f>
        <v/>
      </c>
      <c r="F1269" s="34">
        <f t="array" ref="F1269">IF($B1269="","",IFERROR(INDEX(PERSONAL!$C$2:$C$80,MATCH($B1269,PERSONAL!$A$2:$A$80,0)),""))</f>
        <v/>
      </c>
      <c r="G1269" s="34">
        <f>IF($A1269="","",CHOOSE(WEEKDAY($A1269,2),"LUNES","MARTES","MIÉRCOLES","JUEVES","VIERNES","SÁBADO","DOMINGO"))</f>
        <v/>
      </c>
      <c r="H1269" s="34">
        <f>IF($A1269="","",CHOOSE(MONTH($A1269),"ENERO","FEBRERO","MARZO","ABRIL","MAYO","JUNIO","JULIO","AGOSTO","SEPTIEMBRE","OCTUBRE","NOVIEMBRE","DICIEMBRE"))</f>
        <v/>
      </c>
      <c r="I1269" s="34">
        <f>IF($A1269="","",IF(OR($G1269="SÁBADO",$G1269="DOMINGO"),"FIN","LV"))</f>
        <v/>
      </c>
      <c r="J1269" s="34">
        <f>IF(OR($A1269="",$B1269=""),"",IF($L1269&lt;&gt;"",UPPER($L1269),IF($C1269="","FALTA",IFERROR(IF($C1269&gt;=$O1269,"ROJO FUERTE",IF($C1269&gt;=$N1269,"ROJO",IF($C1269&gt;=$M1269,"AMARILLO","VERDE"))),"REVISAR"))))</f>
        <v/>
      </c>
      <c r="K1269" s="36">
        <f>IF(OR($C1269="",$D1269=""),"",IF($D1269&gt;=$C1269,($D1269-$C1269)*24,(1-$C1269+$D1269)*24))</f>
        <v/>
      </c>
      <c r="L1269" s="34" t="n"/>
      <c r="M1269" s="53">
        <f t="array" ref="M1269">IFERROR(INDEX(EXCEPCIONES_FECHA!$D$2:$D$201,MATCH(1,(EXCEPCIONES_FECHA!$A$2:$A$201=$A1269)*(EXCEPCIONES_FECHA!$B$2:$B$201=$B1269),0)),IFERROR(INDEX(EXCEPCIONES_FECHA!$D$2:$D$201,MATCH(1,(EXCEPCIONES_FECHA!$A$2:$A$201=$A1269)*(EXCEPCIONES_FECHA!$B$2:$B$201=""),0)),IFERROR(INDEX(IF($I1269="FIN",HISTORIAL_HORARIOS!$J$2:$J$201,HISTORIAL_HORARIOS!$F$2:$F$201),MATCH(1,(HISTORIAL_HORARIOS!$A$2:$A$201=$B1269)*(HISTORIAL_HORARIOS!$C$2:$C$201&lt;=$A1269)*(HISTORIAL_HORARIOS!$D$2:$D$201&gt;=$A1269),0)),INDEX(IF($I1269="FIN",PERSONAL!$J$2:$J$80,PERSONAL!$F$2:$F$80),MATCH($B1269,PERSONAL!$A$2:$A$80,0)))))</f>
        <v/>
      </c>
      <c r="N1269" s="53">
        <f t="array" ref="N1269">IFERROR(INDEX(EXCEPCIONES_FECHA!$E$2:$E$201,MATCH(1,(EXCEPCIONES_FECHA!$A$2:$A$201=$A1269)*(EXCEPCIONES_FECHA!$B$2:$B$201=$B1269),0)),IFERROR(INDEX(EXCEPCIONES_FECHA!$E$2:$E$201,MATCH(1,(EXCEPCIONES_FECHA!$A$2:$A$201=$A1269)*(EXCEPCIONES_FECHA!$B$2:$B$201=""),0)),IFERROR(INDEX(IF($I1269="FIN",HISTORIAL_HORARIOS!$K$2:$K$201,HISTORIAL_HORARIOS!$G$2:$G$201),MATCH(1,(HISTORIAL_HORARIOS!$A$2:$A$201=$B1269)*(HISTORIAL_HORARIOS!$C$2:$C$201&lt;=$A1269)*(HISTORIAL_HORARIOS!$D$2:$D$201&gt;=$A1269),0)),INDEX(IF($I1269="FIN",PERSONAL!$K$2:$K$80,PERSONAL!$G$2:$G$80),MATCH($B1269,PERSONAL!$A$2:$A$80,0)))))</f>
        <v/>
      </c>
      <c r="O1269" s="53">
        <f t="array" ref="O1269">IFERROR(INDEX(EXCEPCIONES_FECHA!$F$2:$F$201,MATCH(1,(EXCEPCIONES_FECHA!$A$2:$A$201=$A1269)*(EXCEPCIONES_FECHA!$B$2:$B$201=$B1269),0)),IFERROR(INDEX(EXCEPCIONES_FECHA!$F$2:$F$201,MATCH(1,(EXCEPCIONES_FECHA!$A$2:$A$201=$A1269)*(EXCEPCIONES_FECHA!$B$2:$B$201=""),0)),IFERROR(INDEX(IF($I1269="FIN",HISTORIAL_HORARIOS!$L$2:$L$201,HISTORIAL_HORARIOS!$H$2:$H$201),MATCH(1,(HISTORIAL_HORARIOS!$A$2:$A$201=$B1269)*(HISTORIAL_HORARIOS!$C$2:$C$201&lt;=$A1269)*(HISTORIAL_HORARIOS!$D$2:$D$201&gt;=$A1269),0)),INDEX(IF($I1269="FIN",PERSONAL!$L$2:$L$80,PERSONAL!$H$2:$H$80),MATCH($B1269,PERSONAL!$A$2:$A$80,0)))))</f>
        <v/>
      </c>
    </row>
    <row r="1270" ht="15" customHeight="1" s="58">
      <c r="A1270" s="40" t="n"/>
      <c r="B1270" s="38" t="n"/>
      <c r="C1270" s="40" t="n"/>
      <c r="D1270" s="40" t="n"/>
      <c r="E1270" s="34">
        <f t="array" ref="E1270">IF($B1270="","",IFERROR(INDEX(PERSONAL!$B$2:$B$80,MATCH($B1270,PERSONAL!$A$2:$A$80,0)),"NO EXISTE"))</f>
        <v/>
      </c>
      <c r="F1270" s="34">
        <f t="array" ref="F1270">IF($B1270="","",IFERROR(INDEX(PERSONAL!$C$2:$C$80,MATCH($B1270,PERSONAL!$A$2:$A$80,0)),""))</f>
        <v/>
      </c>
      <c r="G1270" s="34">
        <f>IF($A1270="","",CHOOSE(WEEKDAY($A1270,2),"LUNES","MARTES","MIÉRCOLES","JUEVES","VIERNES","SÁBADO","DOMINGO"))</f>
        <v/>
      </c>
      <c r="H1270" s="34">
        <f>IF($A1270="","",CHOOSE(MONTH($A1270),"ENERO","FEBRERO","MARZO","ABRIL","MAYO","JUNIO","JULIO","AGOSTO","SEPTIEMBRE","OCTUBRE","NOVIEMBRE","DICIEMBRE"))</f>
        <v/>
      </c>
      <c r="I1270" s="34">
        <f>IF($A1270="","",IF(OR($G1270="SÁBADO",$G1270="DOMINGO"),"FIN","LV"))</f>
        <v/>
      </c>
      <c r="J1270" s="34">
        <f>IF(OR($A1270="",$B1270=""),"",IF($L1270&lt;&gt;"",UPPER($L1270),IF($C1270="","FALTA",IFERROR(IF($C1270&gt;=$O1270,"ROJO FUERTE",IF($C1270&gt;=$N1270,"ROJO",IF($C1270&gt;=$M1270,"AMARILLO","VERDE"))),"REVISAR"))))</f>
        <v/>
      </c>
      <c r="K1270" s="36">
        <f>IF(OR($C1270="",$D1270=""),"",IF($D1270&gt;=$C1270,($D1270-$C1270)*24,(1-$C1270+$D1270)*24))</f>
        <v/>
      </c>
      <c r="L1270" s="34" t="n"/>
      <c r="M1270" s="53">
        <f t="array" ref="M1270">IFERROR(INDEX(EXCEPCIONES_FECHA!$D$2:$D$201,MATCH(1,(EXCEPCIONES_FECHA!$A$2:$A$201=$A1270)*(EXCEPCIONES_FECHA!$B$2:$B$201=$B1270),0)),IFERROR(INDEX(EXCEPCIONES_FECHA!$D$2:$D$201,MATCH(1,(EXCEPCIONES_FECHA!$A$2:$A$201=$A1270)*(EXCEPCIONES_FECHA!$B$2:$B$201=""),0)),IFERROR(INDEX(IF($I1270="FIN",HISTORIAL_HORARIOS!$J$2:$J$201,HISTORIAL_HORARIOS!$F$2:$F$201),MATCH(1,(HISTORIAL_HORARIOS!$A$2:$A$201=$B1270)*(HISTORIAL_HORARIOS!$C$2:$C$201&lt;=$A1270)*(HISTORIAL_HORARIOS!$D$2:$D$201&gt;=$A1270),0)),INDEX(IF($I1270="FIN",PERSONAL!$J$2:$J$80,PERSONAL!$F$2:$F$80),MATCH($B1270,PERSONAL!$A$2:$A$80,0)))))</f>
        <v/>
      </c>
      <c r="N1270" s="53">
        <f t="array" ref="N1270">IFERROR(INDEX(EXCEPCIONES_FECHA!$E$2:$E$201,MATCH(1,(EXCEPCIONES_FECHA!$A$2:$A$201=$A1270)*(EXCEPCIONES_FECHA!$B$2:$B$201=$B1270),0)),IFERROR(INDEX(EXCEPCIONES_FECHA!$E$2:$E$201,MATCH(1,(EXCEPCIONES_FECHA!$A$2:$A$201=$A1270)*(EXCEPCIONES_FECHA!$B$2:$B$201=""),0)),IFERROR(INDEX(IF($I1270="FIN",HISTORIAL_HORARIOS!$K$2:$K$201,HISTORIAL_HORARIOS!$G$2:$G$201),MATCH(1,(HISTORIAL_HORARIOS!$A$2:$A$201=$B1270)*(HISTORIAL_HORARIOS!$C$2:$C$201&lt;=$A1270)*(HISTORIAL_HORARIOS!$D$2:$D$201&gt;=$A1270),0)),INDEX(IF($I1270="FIN",PERSONAL!$K$2:$K$80,PERSONAL!$G$2:$G$80),MATCH($B1270,PERSONAL!$A$2:$A$80,0)))))</f>
        <v/>
      </c>
      <c r="O1270" s="53">
        <f t="array" ref="O1270">IFERROR(INDEX(EXCEPCIONES_FECHA!$F$2:$F$201,MATCH(1,(EXCEPCIONES_FECHA!$A$2:$A$201=$A1270)*(EXCEPCIONES_FECHA!$B$2:$B$201=$B1270),0)),IFERROR(INDEX(EXCEPCIONES_FECHA!$F$2:$F$201,MATCH(1,(EXCEPCIONES_FECHA!$A$2:$A$201=$A1270)*(EXCEPCIONES_FECHA!$B$2:$B$201=""),0)),IFERROR(INDEX(IF($I1270="FIN",HISTORIAL_HORARIOS!$L$2:$L$201,HISTORIAL_HORARIOS!$H$2:$H$201),MATCH(1,(HISTORIAL_HORARIOS!$A$2:$A$201=$B1270)*(HISTORIAL_HORARIOS!$C$2:$C$201&lt;=$A1270)*(HISTORIAL_HORARIOS!$D$2:$D$201&gt;=$A1270),0)),INDEX(IF($I1270="FIN",PERSONAL!$L$2:$L$80,PERSONAL!$H$2:$H$80),MATCH($B1270,PERSONAL!$A$2:$A$80,0)))))</f>
        <v/>
      </c>
    </row>
    <row r="1271" ht="15" customHeight="1" s="58">
      <c r="A1271" s="40" t="n"/>
      <c r="B1271" s="38" t="n"/>
      <c r="C1271" s="40" t="n"/>
      <c r="D1271" s="40" t="n"/>
      <c r="E1271" s="34">
        <f t="array" ref="E1271">IF($B1271="","",IFERROR(INDEX(PERSONAL!$B$2:$B$80,MATCH($B1271,PERSONAL!$A$2:$A$80,0)),"NO EXISTE"))</f>
        <v/>
      </c>
      <c r="F1271" s="34">
        <f t="array" ref="F1271">IF($B1271="","",IFERROR(INDEX(PERSONAL!$C$2:$C$80,MATCH($B1271,PERSONAL!$A$2:$A$80,0)),""))</f>
        <v/>
      </c>
      <c r="G1271" s="34">
        <f>IF($A1271="","",CHOOSE(WEEKDAY($A1271,2),"LUNES","MARTES","MIÉRCOLES","JUEVES","VIERNES","SÁBADO","DOMINGO"))</f>
        <v/>
      </c>
      <c r="H1271" s="34">
        <f>IF($A1271="","",CHOOSE(MONTH($A1271),"ENERO","FEBRERO","MARZO","ABRIL","MAYO","JUNIO","JULIO","AGOSTO","SEPTIEMBRE","OCTUBRE","NOVIEMBRE","DICIEMBRE"))</f>
        <v/>
      </c>
      <c r="I1271" s="34">
        <f>IF($A1271="","",IF(OR($G1271="SÁBADO",$G1271="DOMINGO"),"FIN","LV"))</f>
        <v/>
      </c>
      <c r="J1271" s="34">
        <f>IF(OR($A1271="",$B1271=""),"",IF($L1271&lt;&gt;"",UPPER($L1271),IF($C1271="","FALTA",IFERROR(IF($C1271&gt;=$O1271,"ROJO FUERTE",IF($C1271&gt;=$N1271,"ROJO",IF($C1271&gt;=$M1271,"AMARILLO","VERDE"))),"REVISAR"))))</f>
        <v/>
      </c>
      <c r="K1271" s="36">
        <f>IF(OR($C1271="",$D1271=""),"",IF($D1271&gt;=$C1271,($D1271-$C1271)*24,(1-$C1271+$D1271)*24))</f>
        <v/>
      </c>
      <c r="L1271" s="34" t="n"/>
      <c r="M1271" s="53">
        <f t="array" ref="M1271">IFERROR(INDEX(EXCEPCIONES_FECHA!$D$2:$D$201,MATCH(1,(EXCEPCIONES_FECHA!$A$2:$A$201=$A1271)*(EXCEPCIONES_FECHA!$B$2:$B$201=$B1271),0)),IFERROR(INDEX(EXCEPCIONES_FECHA!$D$2:$D$201,MATCH(1,(EXCEPCIONES_FECHA!$A$2:$A$201=$A1271)*(EXCEPCIONES_FECHA!$B$2:$B$201=""),0)),IFERROR(INDEX(IF($I1271="FIN",HISTORIAL_HORARIOS!$J$2:$J$201,HISTORIAL_HORARIOS!$F$2:$F$201),MATCH(1,(HISTORIAL_HORARIOS!$A$2:$A$201=$B1271)*(HISTORIAL_HORARIOS!$C$2:$C$201&lt;=$A1271)*(HISTORIAL_HORARIOS!$D$2:$D$201&gt;=$A1271),0)),INDEX(IF($I1271="FIN",PERSONAL!$J$2:$J$80,PERSONAL!$F$2:$F$80),MATCH($B1271,PERSONAL!$A$2:$A$80,0)))))</f>
        <v/>
      </c>
      <c r="N1271" s="53">
        <f t="array" ref="N1271">IFERROR(INDEX(EXCEPCIONES_FECHA!$E$2:$E$201,MATCH(1,(EXCEPCIONES_FECHA!$A$2:$A$201=$A1271)*(EXCEPCIONES_FECHA!$B$2:$B$201=$B1271),0)),IFERROR(INDEX(EXCEPCIONES_FECHA!$E$2:$E$201,MATCH(1,(EXCEPCIONES_FECHA!$A$2:$A$201=$A1271)*(EXCEPCIONES_FECHA!$B$2:$B$201=""),0)),IFERROR(INDEX(IF($I1271="FIN",HISTORIAL_HORARIOS!$K$2:$K$201,HISTORIAL_HORARIOS!$G$2:$G$201),MATCH(1,(HISTORIAL_HORARIOS!$A$2:$A$201=$B1271)*(HISTORIAL_HORARIOS!$C$2:$C$201&lt;=$A1271)*(HISTORIAL_HORARIOS!$D$2:$D$201&gt;=$A1271),0)),INDEX(IF($I1271="FIN",PERSONAL!$K$2:$K$80,PERSONAL!$G$2:$G$80),MATCH($B1271,PERSONAL!$A$2:$A$80,0)))))</f>
        <v/>
      </c>
      <c r="O1271" s="53">
        <f t="array" ref="O1271">IFERROR(INDEX(EXCEPCIONES_FECHA!$F$2:$F$201,MATCH(1,(EXCEPCIONES_FECHA!$A$2:$A$201=$A1271)*(EXCEPCIONES_FECHA!$B$2:$B$201=$B1271),0)),IFERROR(INDEX(EXCEPCIONES_FECHA!$F$2:$F$201,MATCH(1,(EXCEPCIONES_FECHA!$A$2:$A$201=$A1271)*(EXCEPCIONES_FECHA!$B$2:$B$201=""),0)),IFERROR(INDEX(IF($I1271="FIN",HISTORIAL_HORARIOS!$L$2:$L$201,HISTORIAL_HORARIOS!$H$2:$H$201),MATCH(1,(HISTORIAL_HORARIOS!$A$2:$A$201=$B1271)*(HISTORIAL_HORARIOS!$C$2:$C$201&lt;=$A1271)*(HISTORIAL_HORARIOS!$D$2:$D$201&gt;=$A1271),0)),INDEX(IF($I1271="FIN",PERSONAL!$L$2:$L$80,PERSONAL!$H$2:$H$80),MATCH($B1271,PERSONAL!$A$2:$A$80,0)))))</f>
        <v/>
      </c>
    </row>
    <row r="1272" ht="15" customHeight="1" s="58">
      <c r="A1272" s="40" t="n"/>
      <c r="B1272" s="38" t="n"/>
      <c r="C1272" s="40" t="n"/>
      <c r="D1272" s="40" t="n"/>
      <c r="E1272" s="34">
        <f t="array" ref="E1272">IF($B1272="","",IFERROR(INDEX(PERSONAL!$B$2:$B$80,MATCH($B1272,PERSONAL!$A$2:$A$80,0)),"NO EXISTE"))</f>
        <v/>
      </c>
      <c r="F1272" s="34">
        <f t="array" ref="F1272">IF($B1272="","",IFERROR(INDEX(PERSONAL!$C$2:$C$80,MATCH($B1272,PERSONAL!$A$2:$A$80,0)),""))</f>
        <v/>
      </c>
      <c r="G1272" s="34">
        <f>IF($A1272="","",CHOOSE(WEEKDAY($A1272,2),"LUNES","MARTES","MIÉRCOLES","JUEVES","VIERNES","SÁBADO","DOMINGO"))</f>
        <v/>
      </c>
      <c r="H1272" s="34">
        <f>IF($A1272="","",CHOOSE(MONTH($A1272),"ENERO","FEBRERO","MARZO","ABRIL","MAYO","JUNIO","JULIO","AGOSTO","SEPTIEMBRE","OCTUBRE","NOVIEMBRE","DICIEMBRE"))</f>
        <v/>
      </c>
      <c r="I1272" s="34">
        <f>IF($A1272="","",IF(OR($G1272="SÁBADO",$G1272="DOMINGO"),"FIN","LV"))</f>
        <v/>
      </c>
      <c r="J1272" s="34">
        <f>IF(OR($A1272="",$B1272=""),"",IF($L1272&lt;&gt;"",UPPER($L1272),IF($C1272="","FALTA",IFERROR(IF($C1272&gt;=$O1272,"ROJO FUERTE",IF($C1272&gt;=$N1272,"ROJO",IF($C1272&gt;=$M1272,"AMARILLO","VERDE"))),"REVISAR"))))</f>
        <v/>
      </c>
      <c r="K1272" s="36">
        <f>IF(OR($C1272="",$D1272=""),"",IF($D1272&gt;=$C1272,($D1272-$C1272)*24,(1-$C1272+$D1272)*24))</f>
        <v/>
      </c>
      <c r="L1272" s="34" t="n"/>
      <c r="M1272" s="53">
        <f t="array" ref="M1272">IFERROR(INDEX(EXCEPCIONES_FECHA!$D$2:$D$201,MATCH(1,(EXCEPCIONES_FECHA!$A$2:$A$201=$A1272)*(EXCEPCIONES_FECHA!$B$2:$B$201=$B1272),0)),IFERROR(INDEX(EXCEPCIONES_FECHA!$D$2:$D$201,MATCH(1,(EXCEPCIONES_FECHA!$A$2:$A$201=$A1272)*(EXCEPCIONES_FECHA!$B$2:$B$201=""),0)),IFERROR(INDEX(IF($I1272="FIN",HISTORIAL_HORARIOS!$J$2:$J$201,HISTORIAL_HORARIOS!$F$2:$F$201),MATCH(1,(HISTORIAL_HORARIOS!$A$2:$A$201=$B1272)*(HISTORIAL_HORARIOS!$C$2:$C$201&lt;=$A1272)*(HISTORIAL_HORARIOS!$D$2:$D$201&gt;=$A1272),0)),INDEX(IF($I1272="FIN",PERSONAL!$J$2:$J$80,PERSONAL!$F$2:$F$80),MATCH($B1272,PERSONAL!$A$2:$A$80,0)))))</f>
        <v/>
      </c>
      <c r="N1272" s="53">
        <f t="array" ref="N1272">IFERROR(INDEX(EXCEPCIONES_FECHA!$E$2:$E$201,MATCH(1,(EXCEPCIONES_FECHA!$A$2:$A$201=$A1272)*(EXCEPCIONES_FECHA!$B$2:$B$201=$B1272),0)),IFERROR(INDEX(EXCEPCIONES_FECHA!$E$2:$E$201,MATCH(1,(EXCEPCIONES_FECHA!$A$2:$A$201=$A1272)*(EXCEPCIONES_FECHA!$B$2:$B$201=""),0)),IFERROR(INDEX(IF($I1272="FIN",HISTORIAL_HORARIOS!$K$2:$K$201,HISTORIAL_HORARIOS!$G$2:$G$201),MATCH(1,(HISTORIAL_HORARIOS!$A$2:$A$201=$B1272)*(HISTORIAL_HORARIOS!$C$2:$C$201&lt;=$A1272)*(HISTORIAL_HORARIOS!$D$2:$D$201&gt;=$A1272),0)),INDEX(IF($I1272="FIN",PERSONAL!$K$2:$K$80,PERSONAL!$G$2:$G$80),MATCH($B1272,PERSONAL!$A$2:$A$80,0)))))</f>
        <v/>
      </c>
      <c r="O1272" s="53">
        <f t="array" ref="O1272">IFERROR(INDEX(EXCEPCIONES_FECHA!$F$2:$F$201,MATCH(1,(EXCEPCIONES_FECHA!$A$2:$A$201=$A1272)*(EXCEPCIONES_FECHA!$B$2:$B$201=$B1272),0)),IFERROR(INDEX(EXCEPCIONES_FECHA!$F$2:$F$201,MATCH(1,(EXCEPCIONES_FECHA!$A$2:$A$201=$A1272)*(EXCEPCIONES_FECHA!$B$2:$B$201=""),0)),IFERROR(INDEX(IF($I1272="FIN",HISTORIAL_HORARIOS!$L$2:$L$201,HISTORIAL_HORARIOS!$H$2:$H$201),MATCH(1,(HISTORIAL_HORARIOS!$A$2:$A$201=$B1272)*(HISTORIAL_HORARIOS!$C$2:$C$201&lt;=$A1272)*(HISTORIAL_HORARIOS!$D$2:$D$201&gt;=$A1272),0)),INDEX(IF($I1272="FIN",PERSONAL!$L$2:$L$80,PERSONAL!$H$2:$H$80),MATCH($B1272,PERSONAL!$A$2:$A$80,0)))))</f>
        <v/>
      </c>
    </row>
    <row r="1273" ht="15" customHeight="1" s="58">
      <c r="A1273" s="40" t="n"/>
      <c r="B1273" s="38" t="n"/>
      <c r="C1273" s="40" t="n"/>
      <c r="D1273" s="40" t="n"/>
      <c r="E1273" s="34">
        <f t="array" ref="E1273">IF($B1273="","",IFERROR(INDEX(PERSONAL!$B$2:$B$80,MATCH($B1273,PERSONAL!$A$2:$A$80,0)),"NO EXISTE"))</f>
        <v/>
      </c>
      <c r="F1273" s="34">
        <f t="array" ref="F1273">IF($B1273="","",IFERROR(INDEX(PERSONAL!$C$2:$C$80,MATCH($B1273,PERSONAL!$A$2:$A$80,0)),""))</f>
        <v/>
      </c>
      <c r="G1273" s="34">
        <f>IF($A1273="","",CHOOSE(WEEKDAY($A1273,2),"LUNES","MARTES","MIÉRCOLES","JUEVES","VIERNES","SÁBADO","DOMINGO"))</f>
        <v/>
      </c>
      <c r="H1273" s="34">
        <f>IF($A1273="","",CHOOSE(MONTH($A1273),"ENERO","FEBRERO","MARZO","ABRIL","MAYO","JUNIO","JULIO","AGOSTO","SEPTIEMBRE","OCTUBRE","NOVIEMBRE","DICIEMBRE"))</f>
        <v/>
      </c>
      <c r="I1273" s="34">
        <f>IF($A1273="","",IF(OR($G1273="SÁBADO",$G1273="DOMINGO"),"FIN","LV"))</f>
        <v/>
      </c>
      <c r="J1273" s="34">
        <f>IF(OR($A1273="",$B1273=""),"",IF($L1273&lt;&gt;"",UPPER($L1273),IF($C1273="","FALTA",IFERROR(IF($C1273&gt;=$O1273,"ROJO FUERTE",IF($C1273&gt;=$N1273,"ROJO",IF($C1273&gt;=$M1273,"AMARILLO","VERDE"))),"REVISAR"))))</f>
        <v/>
      </c>
      <c r="K1273" s="36">
        <f>IF(OR($C1273="",$D1273=""),"",IF($D1273&gt;=$C1273,($D1273-$C1273)*24,(1-$C1273+$D1273)*24))</f>
        <v/>
      </c>
      <c r="L1273" s="34" t="n"/>
      <c r="M1273" s="53">
        <f t="array" ref="M1273">IFERROR(INDEX(EXCEPCIONES_FECHA!$D$2:$D$201,MATCH(1,(EXCEPCIONES_FECHA!$A$2:$A$201=$A1273)*(EXCEPCIONES_FECHA!$B$2:$B$201=$B1273),0)),IFERROR(INDEX(EXCEPCIONES_FECHA!$D$2:$D$201,MATCH(1,(EXCEPCIONES_FECHA!$A$2:$A$201=$A1273)*(EXCEPCIONES_FECHA!$B$2:$B$201=""),0)),IFERROR(INDEX(IF($I1273="FIN",HISTORIAL_HORARIOS!$J$2:$J$201,HISTORIAL_HORARIOS!$F$2:$F$201),MATCH(1,(HISTORIAL_HORARIOS!$A$2:$A$201=$B1273)*(HISTORIAL_HORARIOS!$C$2:$C$201&lt;=$A1273)*(HISTORIAL_HORARIOS!$D$2:$D$201&gt;=$A1273),0)),INDEX(IF($I1273="FIN",PERSONAL!$J$2:$J$80,PERSONAL!$F$2:$F$80),MATCH($B1273,PERSONAL!$A$2:$A$80,0)))))</f>
        <v/>
      </c>
      <c r="N1273" s="53">
        <f t="array" ref="N1273">IFERROR(INDEX(EXCEPCIONES_FECHA!$E$2:$E$201,MATCH(1,(EXCEPCIONES_FECHA!$A$2:$A$201=$A1273)*(EXCEPCIONES_FECHA!$B$2:$B$201=$B1273),0)),IFERROR(INDEX(EXCEPCIONES_FECHA!$E$2:$E$201,MATCH(1,(EXCEPCIONES_FECHA!$A$2:$A$201=$A1273)*(EXCEPCIONES_FECHA!$B$2:$B$201=""),0)),IFERROR(INDEX(IF($I1273="FIN",HISTORIAL_HORARIOS!$K$2:$K$201,HISTORIAL_HORARIOS!$G$2:$G$201),MATCH(1,(HISTORIAL_HORARIOS!$A$2:$A$201=$B1273)*(HISTORIAL_HORARIOS!$C$2:$C$201&lt;=$A1273)*(HISTORIAL_HORARIOS!$D$2:$D$201&gt;=$A1273),0)),INDEX(IF($I1273="FIN",PERSONAL!$K$2:$K$80,PERSONAL!$G$2:$G$80),MATCH($B1273,PERSONAL!$A$2:$A$80,0)))))</f>
        <v/>
      </c>
      <c r="O1273" s="53">
        <f t="array" ref="O1273">IFERROR(INDEX(EXCEPCIONES_FECHA!$F$2:$F$201,MATCH(1,(EXCEPCIONES_FECHA!$A$2:$A$201=$A1273)*(EXCEPCIONES_FECHA!$B$2:$B$201=$B1273),0)),IFERROR(INDEX(EXCEPCIONES_FECHA!$F$2:$F$201,MATCH(1,(EXCEPCIONES_FECHA!$A$2:$A$201=$A1273)*(EXCEPCIONES_FECHA!$B$2:$B$201=""),0)),IFERROR(INDEX(IF($I1273="FIN",HISTORIAL_HORARIOS!$L$2:$L$201,HISTORIAL_HORARIOS!$H$2:$H$201),MATCH(1,(HISTORIAL_HORARIOS!$A$2:$A$201=$B1273)*(HISTORIAL_HORARIOS!$C$2:$C$201&lt;=$A1273)*(HISTORIAL_HORARIOS!$D$2:$D$201&gt;=$A1273),0)),INDEX(IF($I1273="FIN",PERSONAL!$L$2:$L$80,PERSONAL!$H$2:$H$80),MATCH($B1273,PERSONAL!$A$2:$A$80,0)))))</f>
        <v/>
      </c>
    </row>
    <row r="1274" ht="15" customHeight="1" s="58">
      <c r="A1274" s="40" t="n"/>
      <c r="B1274" s="38" t="n"/>
      <c r="C1274" s="40" t="n"/>
      <c r="D1274" s="40" t="n"/>
      <c r="E1274" s="34">
        <f t="array" ref="E1274">IF($B1274="","",IFERROR(INDEX(PERSONAL!$B$2:$B$80,MATCH($B1274,PERSONAL!$A$2:$A$80,0)),"NO EXISTE"))</f>
        <v/>
      </c>
      <c r="F1274" s="34">
        <f t="array" ref="F1274">IF($B1274="","",IFERROR(INDEX(PERSONAL!$C$2:$C$80,MATCH($B1274,PERSONAL!$A$2:$A$80,0)),""))</f>
        <v/>
      </c>
      <c r="G1274" s="34">
        <f>IF($A1274="","",CHOOSE(WEEKDAY($A1274,2),"LUNES","MARTES","MIÉRCOLES","JUEVES","VIERNES","SÁBADO","DOMINGO"))</f>
        <v/>
      </c>
      <c r="H1274" s="34">
        <f>IF($A1274="","",CHOOSE(MONTH($A1274),"ENERO","FEBRERO","MARZO","ABRIL","MAYO","JUNIO","JULIO","AGOSTO","SEPTIEMBRE","OCTUBRE","NOVIEMBRE","DICIEMBRE"))</f>
        <v/>
      </c>
      <c r="I1274" s="34">
        <f>IF($A1274="","",IF(OR($G1274="SÁBADO",$G1274="DOMINGO"),"FIN","LV"))</f>
        <v/>
      </c>
      <c r="J1274" s="34">
        <f>IF(OR($A1274="",$B1274=""),"",IF($L1274&lt;&gt;"",UPPER($L1274),IF($C1274="","FALTA",IFERROR(IF($C1274&gt;=$O1274,"ROJO FUERTE",IF($C1274&gt;=$N1274,"ROJO",IF($C1274&gt;=$M1274,"AMARILLO","VERDE"))),"REVISAR"))))</f>
        <v/>
      </c>
      <c r="K1274" s="36">
        <f>IF(OR($C1274="",$D1274=""),"",IF($D1274&gt;=$C1274,($D1274-$C1274)*24,(1-$C1274+$D1274)*24))</f>
        <v/>
      </c>
      <c r="L1274" s="34" t="n"/>
      <c r="M1274" s="53">
        <f t="array" ref="M1274">IFERROR(INDEX(EXCEPCIONES_FECHA!$D$2:$D$201,MATCH(1,(EXCEPCIONES_FECHA!$A$2:$A$201=$A1274)*(EXCEPCIONES_FECHA!$B$2:$B$201=$B1274),0)),IFERROR(INDEX(EXCEPCIONES_FECHA!$D$2:$D$201,MATCH(1,(EXCEPCIONES_FECHA!$A$2:$A$201=$A1274)*(EXCEPCIONES_FECHA!$B$2:$B$201=""),0)),IFERROR(INDEX(IF($I1274="FIN",HISTORIAL_HORARIOS!$J$2:$J$201,HISTORIAL_HORARIOS!$F$2:$F$201),MATCH(1,(HISTORIAL_HORARIOS!$A$2:$A$201=$B1274)*(HISTORIAL_HORARIOS!$C$2:$C$201&lt;=$A1274)*(HISTORIAL_HORARIOS!$D$2:$D$201&gt;=$A1274),0)),INDEX(IF($I1274="FIN",PERSONAL!$J$2:$J$80,PERSONAL!$F$2:$F$80),MATCH($B1274,PERSONAL!$A$2:$A$80,0)))))</f>
        <v/>
      </c>
      <c r="N1274" s="53">
        <f t="array" ref="N1274">IFERROR(INDEX(EXCEPCIONES_FECHA!$E$2:$E$201,MATCH(1,(EXCEPCIONES_FECHA!$A$2:$A$201=$A1274)*(EXCEPCIONES_FECHA!$B$2:$B$201=$B1274),0)),IFERROR(INDEX(EXCEPCIONES_FECHA!$E$2:$E$201,MATCH(1,(EXCEPCIONES_FECHA!$A$2:$A$201=$A1274)*(EXCEPCIONES_FECHA!$B$2:$B$201=""),0)),IFERROR(INDEX(IF($I1274="FIN",HISTORIAL_HORARIOS!$K$2:$K$201,HISTORIAL_HORARIOS!$G$2:$G$201),MATCH(1,(HISTORIAL_HORARIOS!$A$2:$A$201=$B1274)*(HISTORIAL_HORARIOS!$C$2:$C$201&lt;=$A1274)*(HISTORIAL_HORARIOS!$D$2:$D$201&gt;=$A1274),0)),INDEX(IF($I1274="FIN",PERSONAL!$K$2:$K$80,PERSONAL!$G$2:$G$80),MATCH($B1274,PERSONAL!$A$2:$A$80,0)))))</f>
        <v/>
      </c>
      <c r="O1274" s="53">
        <f t="array" ref="O1274">IFERROR(INDEX(EXCEPCIONES_FECHA!$F$2:$F$201,MATCH(1,(EXCEPCIONES_FECHA!$A$2:$A$201=$A1274)*(EXCEPCIONES_FECHA!$B$2:$B$201=$B1274),0)),IFERROR(INDEX(EXCEPCIONES_FECHA!$F$2:$F$201,MATCH(1,(EXCEPCIONES_FECHA!$A$2:$A$201=$A1274)*(EXCEPCIONES_FECHA!$B$2:$B$201=""),0)),IFERROR(INDEX(IF($I1274="FIN",HISTORIAL_HORARIOS!$L$2:$L$201,HISTORIAL_HORARIOS!$H$2:$H$201),MATCH(1,(HISTORIAL_HORARIOS!$A$2:$A$201=$B1274)*(HISTORIAL_HORARIOS!$C$2:$C$201&lt;=$A1274)*(HISTORIAL_HORARIOS!$D$2:$D$201&gt;=$A1274),0)),INDEX(IF($I1274="FIN",PERSONAL!$L$2:$L$80,PERSONAL!$H$2:$H$80),MATCH($B1274,PERSONAL!$A$2:$A$80,0)))))</f>
        <v/>
      </c>
    </row>
    <row r="1275" ht="15" customHeight="1" s="58">
      <c r="A1275" s="40" t="n"/>
      <c r="B1275" s="38" t="n"/>
      <c r="C1275" s="40" t="n"/>
      <c r="D1275" s="40" t="n"/>
      <c r="E1275" s="34">
        <f t="array" ref="E1275">IF($B1275="","",IFERROR(INDEX(PERSONAL!$B$2:$B$80,MATCH($B1275,PERSONAL!$A$2:$A$80,0)),"NO EXISTE"))</f>
        <v/>
      </c>
      <c r="F1275" s="34">
        <f t="array" ref="F1275">IF($B1275="","",IFERROR(INDEX(PERSONAL!$C$2:$C$80,MATCH($B1275,PERSONAL!$A$2:$A$80,0)),""))</f>
        <v/>
      </c>
      <c r="G1275" s="34">
        <f>IF($A1275="","",CHOOSE(WEEKDAY($A1275,2),"LUNES","MARTES","MIÉRCOLES","JUEVES","VIERNES","SÁBADO","DOMINGO"))</f>
        <v/>
      </c>
      <c r="H1275" s="34">
        <f>IF($A1275="","",CHOOSE(MONTH($A1275),"ENERO","FEBRERO","MARZO","ABRIL","MAYO","JUNIO","JULIO","AGOSTO","SEPTIEMBRE","OCTUBRE","NOVIEMBRE","DICIEMBRE"))</f>
        <v/>
      </c>
      <c r="I1275" s="34">
        <f>IF($A1275="","",IF(OR($G1275="SÁBADO",$G1275="DOMINGO"),"FIN","LV"))</f>
        <v/>
      </c>
      <c r="J1275" s="34">
        <f>IF(OR($A1275="",$B1275=""),"",IF($L1275&lt;&gt;"",UPPER($L1275),IF($C1275="","FALTA",IFERROR(IF($C1275&gt;=$O1275,"ROJO FUERTE",IF($C1275&gt;=$N1275,"ROJO",IF($C1275&gt;=$M1275,"AMARILLO","VERDE"))),"REVISAR"))))</f>
        <v/>
      </c>
      <c r="K1275" s="36">
        <f>IF(OR($C1275="",$D1275=""),"",IF($D1275&gt;=$C1275,($D1275-$C1275)*24,(1-$C1275+$D1275)*24))</f>
        <v/>
      </c>
      <c r="L1275" s="34" t="n"/>
      <c r="M1275" s="53">
        <f t="array" ref="M1275">IFERROR(INDEX(EXCEPCIONES_FECHA!$D$2:$D$201,MATCH(1,(EXCEPCIONES_FECHA!$A$2:$A$201=$A1275)*(EXCEPCIONES_FECHA!$B$2:$B$201=$B1275),0)),IFERROR(INDEX(EXCEPCIONES_FECHA!$D$2:$D$201,MATCH(1,(EXCEPCIONES_FECHA!$A$2:$A$201=$A1275)*(EXCEPCIONES_FECHA!$B$2:$B$201=""),0)),IFERROR(INDEX(IF($I1275="FIN",HISTORIAL_HORARIOS!$J$2:$J$201,HISTORIAL_HORARIOS!$F$2:$F$201),MATCH(1,(HISTORIAL_HORARIOS!$A$2:$A$201=$B1275)*(HISTORIAL_HORARIOS!$C$2:$C$201&lt;=$A1275)*(HISTORIAL_HORARIOS!$D$2:$D$201&gt;=$A1275),0)),INDEX(IF($I1275="FIN",PERSONAL!$J$2:$J$80,PERSONAL!$F$2:$F$80),MATCH($B1275,PERSONAL!$A$2:$A$80,0)))))</f>
        <v/>
      </c>
      <c r="N1275" s="53">
        <f t="array" ref="N1275">IFERROR(INDEX(EXCEPCIONES_FECHA!$E$2:$E$201,MATCH(1,(EXCEPCIONES_FECHA!$A$2:$A$201=$A1275)*(EXCEPCIONES_FECHA!$B$2:$B$201=$B1275),0)),IFERROR(INDEX(EXCEPCIONES_FECHA!$E$2:$E$201,MATCH(1,(EXCEPCIONES_FECHA!$A$2:$A$201=$A1275)*(EXCEPCIONES_FECHA!$B$2:$B$201=""),0)),IFERROR(INDEX(IF($I1275="FIN",HISTORIAL_HORARIOS!$K$2:$K$201,HISTORIAL_HORARIOS!$G$2:$G$201),MATCH(1,(HISTORIAL_HORARIOS!$A$2:$A$201=$B1275)*(HISTORIAL_HORARIOS!$C$2:$C$201&lt;=$A1275)*(HISTORIAL_HORARIOS!$D$2:$D$201&gt;=$A1275),0)),INDEX(IF($I1275="FIN",PERSONAL!$K$2:$K$80,PERSONAL!$G$2:$G$80),MATCH($B1275,PERSONAL!$A$2:$A$80,0)))))</f>
        <v/>
      </c>
      <c r="O1275" s="53">
        <f t="array" ref="O1275">IFERROR(INDEX(EXCEPCIONES_FECHA!$F$2:$F$201,MATCH(1,(EXCEPCIONES_FECHA!$A$2:$A$201=$A1275)*(EXCEPCIONES_FECHA!$B$2:$B$201=$B1275),0)),IFERROR(INDEX(EXCEPCIONES_FECHA!$F$2:$F$201,MATCH(1,(EXCEPCIONES_FECHA!$A$2:$A$201=$A1275)*(EXCEPCIONES_FECHA!$B$2:$B$201=""),0)),IFERROR(INDEX(IF($I1275="FIN",HISTORIAL_HORARIOS!$L$2:$L$201,HISTORIAL_HORARIOS!$H$2:$H$201),MATCH(1,(HISTORIAL_HORARIOS!$A$2:$A$201=$B1275)*(HISTORIAL_HORARIOS!$C$2:$C$201&lt;=$A1275)*(HISTORIAL_HORARIOS!$D$2:$D$201&gt;=$A1275),0)),INDEX(IF($I1275="FIN",PERSONAL!$L$2:$L$80,PERSONAL!$H$2:$H$80),MATCH($B1275,PERSONAL!$A$2:$A$80,0)))))</f>
        <v/>
      </c>
    </row>
    <row r="1276" ht="15" customHeight="1" s="58">
      <c r="A1276" s="40" t="n"/>
      <c r="B1276" s="38" t="n"/>
      <c r="C1276" s="40" t="n"/>
      <c r="D1276" s="40" t="n"/>
      <c r="E1276" s="34">
        <f t="array" ref="E1276">IF($B1276="","",IFERROR(INDEX(PERSONAL!$B$2:$B$80,MATCH($B1276,PERSONAL!$A$2:$A$80,0)),"NO EXISTE"))</f>
        <v/>
      </c>
      <c r="F1276" s="34">
        <f t="array" ref="F1276">IF($B1276="","",IFERROR(INDEX(PERSONAL!$C$2:$C$80,MATCH($B1276,PERSONAL!$A$2:$A$80,0)),""))</f>
        <v/>
      </c>
      <c r="G1276" s="34">
        <f>IF($A1276="","",CHOOSE(WEEKDAY($A1276,2),"LUNES","MARTES","MIÉRCOLES","JUEVES","VIERNES","SÁBADO","DOMINGO"))</f>
        <v/>
      </c>
      <c r="H1276" s="34">
        <f>IF($A1276="","",CHOOSE(MONTH($A1276),"ENERO","FEBRERO","MARZO","ABRIL","MAYO","JUNIO","JULIO","AGOSTO","SEPTIEMBRE","OCTUBRE","NOVIEMBRE","DICIEMBRE"))</f>
        <v/>
      </c>
      <c r="I1276" s="34">
        <f>IF($A1276="","",IF(OR($G1276="SÁBADO",$G1276="DOMINGO"),"FIN","LV"))</f>
        <v/>
      </c>
      <c r="J1276" s="34">
        <f>IF(OR($A1276="",$B1276=""),"",IF($L1276&lt;&gt;"",UPPER($L1276),IF($C1276="","FALTA",IFERROR(IF($C1276&gt;=$O1276,"ROJO FUERTE",IF($C1276&gt;=$N1276,"ROJO",IF($C1276&gt;=$M1276,"AMARILLO","VERDE"))),"REVISAR"))))</f>
        <v/>
      </c>
      <c r="K1276" s="36">
        <f>IF(OR($C1276="",$D1276=""),"",IF($D1276&gt;=$C1276,($D1276-$C1276)*24,(1-$C1276+$D1276)*24))</f>
        <v/>
      </c>
      <c r="L1276" s="34" t="n"/>
      <c r="M1276" s="53">
        <f t="array" ref="M1276">IFERROR(INDEX(EXCEPCIONES_FECHA!$D$2:$D$201,MATCH(1,(EXCEPCIONES_FECHA!$A$2:$A$201=$A1276)*(EXCEPCIONES_FECHA!$B$2:$B$201=$B1276),0)),IFERROR(INDEX(EXCEPCIONES_FECHA!$D$2:$D$201,MATCH(1,(EXCEPCIONES_FECHA!$A$2:$A$201=$A1276)*(EXCEPCIONES_FECHA!$B$2:$B$201=""),0)),IFERROR(INDEX(IF($I1276="FIN",HISTORIAL_HORARIOS!$J$2:$J$201,HISTORIAL_HORARIOS!$F$2:$F$201),MATCH(1,(HISTORIAL_HORARIOS!$A$2:$A$201=$B1276)*(HISTORIAL_HORARIOS!$C$2:$C$201&lt;=$A1276)*(HISTORIAL_HORARIOS!$D$2:$D$201&gt;=$A1276),0)),INDEX(IF($I1276="FIN",PERSONAL!$J$2:$J$80,PERSONAL!$F$2:$F$80),MATCH($B1276,PERSONAL!$A$2:$A$80,0)))))</f>
        <v/>
      </c>
      <c r="N1276" s="53">
        <f t="array" ref="N1276">IFERROR(INDEX(EXCEPCIONES_FECHA!$E$2:$E$201,MATCH(1,(EXCEPCIONES_FECHA!$A$2:$A$201=$A1276)*(EXCEPCIONES_FECHA!$B$2:$B$201=$B1276),0)),IFERROR(INDEX(EXCEPCIONES_FECHA!$E$2:$E$201,MATCH(1,(EXCEPCIONES_FECHA!$A$2:$A$201=$A1276)*(EXCEPCIONES_FECHA!$B$2:$B$201=""),0)),IFERROR(INDEX(IF($I1276="FIN",HISTORIAL_HORARIOS!$K$2:$K$201,HISTORIAL_HORARIOS!$G$2:$G$201),MATCH(1,(HISTORIAL_HORARIOS!$A$2:$A$201=$B1276)*(HISTORIAL_HORARIOS!$C$2:$C$201&lt;=$A1276)*(HISTORIAL_HORARIOS!$D$2:$D$201&gt;=$A1276),0)),INDEX(IF($I1276="FIN",PERSONAL!$K$2:$K$80,PERSONAL!$G$2:$G$80),MATCH($B1276,PERSONAL!$A$2:$A$80,0)))))</f>
        <v/>
      </c>
      <c r="O1276" s="53">
        <f t="array" ref="O1276">IFERROR(INDEX(EXCEPCIONES_FECHA!$F$2:$F$201,MATCH(1,(EXCEPCIONES_FECHA!$A$2:$A$201=$A1276)*(EXCEPCIONES_FECHA!$B$2:$B$201=$B1276),0)),IFERROR(INDEX(EXCEPCIONES_FECHA!$F$2:$F$201,MATCH(1,(EXCEPCIONES_FECHA!$A$2:$A$201=$A1276)*(EXCEPCIONES_FECHA!$B$2:$B$201=""),0)),IFERROR(INDEX(IF($I1276="FIN",HISTORIAL_HORARIOS!$L$2:$L$201,HISTORIAL_HORARIOS!$H$2:$H$201),MATCH(1,(HISTORIAL_HORARIOS!$A$2:$A$201=$B1276)*(HISTORIAL_HORARIOS!$C$2:$C$201&lt;=$A1276)*(HISTORIAL_HORARIOS!$D$2:$D$201&gt;=$A1276),0)),INDEX(IF($I1276="FIN",PERSONAL!$L$2:$L$80,PERSONAL!$H$2:$H$80),MATCH($B1276,PERSONAL!$A$2:$A$80,0)))))</f>
        <v/>
      </c>
    </row>
    <row r="1277" ht="15" customHeight="1" s="58">
      <c r="A1277" s="40" t="n"/>
      <c r="B1277" s="38" t="n"/>
      <c r="C1277" s="40" t="n"/>
      <c r="D1277" s="40" t="n"/>
      <c r="E1277" s="34">
        <f t="array" ref="E1277">IF($B1277="","",IFERROR(INDEX(PERSONAL!$B$2:$B$80,MATCH($B1277,PERSONAL!$A$2:$A$80,0)),"NO EXISTE"))</f>
        <v/>
      </c>
      <c r="F1277" s="34">
        <f t="array" ref="F1277">IF($B1277="","",IFERROR(INDEX(PERSONAL!$C$2:$C$80,MATCH($B1277,PERSONAL!$A$2:$A$80,0)),""))</f>
        <v/>
      </c>
      <c r="G1277" s="34">
        <f>IF($A1277="","",CHOOSE(WEEKDAY($A1277,2),"LUNES","MARTES","MIÉRCOLES","JUEVES","VIERNES","SÁBADO","DOMINGO"))</f>
        <v/>
      </c>
      <c r="H1277" s="34">
        <f>IF($A1277="","",CHOOSE(MONTH($A1277),"ENERO","FEBRERO","MARZO","ABRIL","MAYO","JUNIO","JULIO","AGOSTO","SEPTIEMBRE","OCTUBRE","NOVIEMBRE","DICIEMBRE"))</f>
        <v/>
      </c>
      <c r="I1277" s="34">
        <f>IF($A1277="","",IF(OR($G1277="SÁBADO",$G1277="DOMINGO"),"FIN","LV"))</f>
        <v/>
      </c>
      <c r="J1277" s="34">
        <f>IF(OR($A1277="",$B1277=""),"",IF($L1277&lt;&gt;"",UPPER($L1277),IF($C1277="","FALTA",IFERROR(IF($C1277&gt;=$O1277,"ROJO FUERTE",IF($C1277&gt;=$N1277,"ROJO",IF($C1277&gt;=$M1277,"AMARILLO","VERDE"))),"REVISAR"))))</f>
        <v/>
      </c>
      <c r="K1277" s="36">
        <f>IF(OR($C1277="",$D1277=""),"",IF($D1277&gt;=$C1277,($D1277-$C1277)*24,(1-$C1277+$D1277)*24))</f>
        <v/>
      </c>
      <c r="L1277" s="34" t="n"/>
      <c r="M1277" s="53">
        <f t="array" ref="M1277">IFERROR(INDEX(EXCEPCIONES_FECHA!$D$2:$D$201,MATCH(1,(EXCEPCIONES_FECHA!$A$2:$A$201=$A1277)*(EXCEPCIONES_FECHA!$B$2:$B$201=$B1277),0)),IFERROR(INDEX(EXCEPCIONES_FECHA!$D$2:$D$201,MATCH(1,(EXCEPCIONES_FECHA!$A$2:$A$201=$A1277)*(EXCEPCIONES_FECHA!$B$2:$B$201=""),0)),IFERROR(INDEX(IF($I1277="FIN",HISTORIAL_HORARIOS!$J$2:$J$201,HISTORIAL_HORARIOS!$F$2:$F$201),MATCH(1,(HISTORIAL_HORARIOS!$A$2:$A$201=$B1277)*(HISTORIAL_HORARIOS!$C$2:$C$201&lt;=$A1277)*(HISTORIAL_HORARIOS!$D$2:$D$201&gt;=$A1277),0)),INDEX(IF($I1277="FIN",PERSONAL!$J$2:$J$80,PERSONAL!$F$2:$F$80),MATCH($B1277,PERSONAL!$A$2:$A$80,0)))))</f>
        <v/>
      </c>
      <c r="N1277" s="53">
        <f t="array" ref="N1277">IFERROR(INDEX(EXCEPCIONES_FECHA!$E$2:$E$201,MATCH(1,(EXCEPCIONES_FECHA!$A$2:$A$201=$A1277)*(EXCEPCIONES_FECHA!$B$2:$B$201=$B1277),0)),IFERROR(INDEX(EXCEPCIONES_FECHA!$E$2:$E$201,MATCH(1,(EXCEPCIONES_FECHA!$A$2:$A$201=$A1277)*(EXCEPCIONES_FECHA!$B$2:$B$201=""),0)),IFERROR(INDEX(IF($I1277="FIN",HISTORIAL_HORARIOS!$K$2:$K$201,HISTORIAL_HORARIOS!$G$2:$G$201),MATCH(1,(HISTORIAL_HORARIOS!$A$2:$A$201=$B1277)*(HISTORIAL_HORARIOS!$C$2:$C$201&lt;=$A1277)*(HISTORIAL_HORARIOS!$D$2:$D$201&gt;=$A1277),0)),INDEX(IF($I1277="FIN",PERSONAL!$K$2:$K$80,PERSONAL!$G$2:$G$80),MATCH($B1277,PERSONAL!$A$2:$A$80,0)))))</f>
        <v/>
      </c>
      <c r="O1277" s="53">
        <f t="array" ref="O1277">IFERROR(INDEX(EXCEPCIONES_FECHA!$F$2:$F$201,MATCH(1,(EXCEPCIONES_FECHA!$A$2:$A$201=$A1277)*(EXCEPCIONES_FECHA!$B$2:$B$201=$B1277),0)),IFERROR(INDEX(EXCEPCIONES_FECHA!$F$2:$F$201,MATCH(1,(EXCEPCIONES_FECHA!$A$2:$A$201=$A1277)*(EXCEPCIONES_FECHA!$B$2:$B$201=""),0)),IFERROR(INDEX(IF($I1277="FIN",HISTORIAL_HORARIOS!$L$2:$L$201,HISTORIAL_HORARIOS!$H$2:$H$201),MATCH(1,(HISTORIAL_HORARIOS!$A$2:$A$201=$B1277)*(HISTORIAL_HORARIOS!$C$2:$C$201&lt;=$A1277)*(HISTORIAL_HORARIOS!$D$2:$D$201&gt;=$A1277),0)),INDEX(IF($I1277="FIN",PERSONAL!$L$2:$L$80,PERSONAL!$H$2:$H$80),MATCH($B1277,PERSONAL!$A$2:$A$80,0)))))</f>
        <v/>
      </c>
    </row>
    <row r="1278" ht="15" customHeight="1" s="58">
      <c r="A1278" s="40" t="n"/>
      <c r="B1278" s="38" t="n"/>
      <c r="C1278" s="40" t="n"/>
      <c r="D1278" s="40" t="n"/>
      <c r="E1278" s="34">
        <f t="array" ref="E1278">IF($B1278="","",IFERROR(INDEX(PERSONAL!$B$2:$B$80,MATCH($B1278,PERSONAL!$A$2:$A$80,0)),"NO EXISTE"))</f>
        <v/>
      </c>
      <c r="F1278" s="34">
        <f t="array" ref="F1278">IF($B1278="","",IFERROR(INDEX(PERSONAL!$C$2:$C$80,MATCH($B1278,PERSONAL!$A$2:$A$80,0)),""))</f>
        <v/>
      </c>
      <c r="G1278" s="34">
        <f>IF($A1278="","",CHOOSE(WEEKDAY($A1278,2),"LUNES","MARTES","MIÉRCOLES","JUEVES","VIERNES","SÁBADO","DOMINGO"))</f>
        <v/>
      </c>
      <c r="H1278" s="34">
        <f>IF($A1278="","",CHOOSE(MONTH($A1278),"ENERO","FEBRERO","MARZO","ABRIL","MAYO","JUNIO","JULIO","AGOSTO","SEPTIEMBRE","OCTUBRE","NOVIEMBRE","DICIEMBRE"))</f>
        <v/>
      </c>
      <c r="I1278" s="34">
        <f>IF($A1278="","",IF(OR($G1278="SÁBADO",$G1278="DOMINGO"),"FIN","LV"))</f>
        <v/>
      </c>
      <c r="J1278" s="34">
        <f>IF(OR($A1278="",$B1278=""),"",IF($L1278&lt;&gt;"",UPPER($L1278),IF($C1278="","FALTA",IFERROR(IF($C1278&gt;=$O1278,"ROJO FUERTE",IF($C1278&gt;=$N1278,"ROJO",IF($C1278&gt;=$M1278,"AMARILLO","VERDE"))),"REVISAR"))))</f>
        <v/>
      </c>
      <c r="K1278" s="36">
        <f>IF(OR($C1278="",$D1278=""),"",IF($D1278&gt;=$C1278,($D1278-$C1278)*24,(1-$C1278+$D1278)*24))</f>
        <v/>
      </c>
      <c r="L1278" s="34" t="n"/>
      <c r="M1278" s="53">
        <f t="array" ref="M1278">IFERROR(INDEX(EXCEPCIONES_FECHA!$D$2:$D$201,MATCH(1,(EXCEPCIONES_FECHA!$A$2:$A$201=$A1278)*(EXCEPCIONES_FECHA!$B$2:$B$201=$B1278),0)),IFERROR(INDEX(EXCEPCIONES_FECHA!$D$2:$D$201,MATCH(1,(EXCEPCIONES_FECHA!$A$2:$A$201=$A1278)*(EXCEPCIONES_FECHA!$B$2:$B$201=""),0)),IFERROR(INDEX(IF($I1278="FIN",HISTORIAL_HORARIOS!$J$2:$J$201,HISTORIAL_HORARIOS!$F$2:$F$201),MATCH(1,(HISTORIAL_HORARIOS!$A$2:$A$201=$B1278)*(HISTORIAL_HORARIOS!$C$2:$C$201&lt;=$A1278)*(HISTORIAL_HORARIOS!$D$2:$D$201&gt;=$A1278),0)),INDEX(IF($I1278="FIN",PERSONAL!$J$2:$J$80,PERSONAL!$F$2:$F$80),MATCH($B1278,PERSONAL!$A$2:$A$80,0)))))</f>
        <v/>
      </c>
      <c r="N1278" s="53">
        <f t="array" ref="N1278">IFERROR(INDEX(EXCEPCIONES_FECHA!$E$2:$E$201,MATCH(1,(EXCEPCIONES_FECHA!$A$2:$A$201=$A1278)*(EXCEPCIONES_FECHA!$B$2:$B$201=$B1278),0)),IFERROR(INDEX(EXCEPCIONES_FECHA!$E$2:$E$201,MATCH(1,(EXCEPCIONES_FECHA!$A$2:$A$201=$A1278)*(EXCEPCIONES_FECHA!$B$2:$B$201=""),0)),IFERROR(INDEX(IF($I1278="FIN",HISTORIAL_HORARIOS!$K$2:$K$201,HISTORIAL_HORARIOS!$G$2:$G$201),MATCH(1,(HISTORIAL_HORARIOS!$A$2:$A$201=$B1278)*(HISTORIAL_HORARIOS!$C$2:$C$201&lt;=$A1278)*(HISTORIAL_HORARIOS!$D$2:$D$201&gt;=$A1278),0)),INDEX(IF($I1278="FIN",PERSONAL!$K$2:$K$80,PERSONAL!$G$2:$G$80),MATCH($B1278,PERSONAL!$A$2:$A$80,0)))))</f>
        <v/>
      </c>
      <c r="O1278" s="53">
        <f t="array" ref="O1278">IFERROR(INDEX(EXCEPCIONES_FECHA!$F$2:$F$201,MATCH(1,(EXCEPCIONES_FECHA!$A$2:$A$201=$A1278)*(EXCEPCIONES_FECHA!$B$2:$B$201=$B1278),0)),IFERROR(INDEX(EXCEPCIONES_FECHA!$F$2:$F$201,MATCH(1,(EXCEPCIONES_FECHA!$A$2:$A$201=$A1278)*(EXCEPCIONES_FECHA!$B$2:$B$201=""),0)),IFERROR(INDEX(IF($I1278="FIN",HISTORIAL_HORARIOS!$L$2:$L$201,HISTORIAL_HORARIOS!$H$2:$H$201),MATCH(1,(HISTORIAL_HORARIOS!$A$2:$A$201=$B1278)*(HISTORIAL_HORARIOS!$C$2:$C$201&lt;=$A1278)*(HISTORIAL_HORARIOS!$D$2:$D$201&gt;=$A1278),0)),INDEX(IF($I1278="FIN",PERSONAL!$L$2:$L$80,PERSONAL!$H$2:$H$80),MATCH($B1278,PERSONAL!$A$2:$A$80,0)))))</f>
        <v/>
      </c>
    </row>
    <row r="1279" ht="15" customHeight="1" s="58">
      <c r="A1279" s="40" t="n"/>
      <c r="B1279" s="38" t="n"/>
      <c r="C1279" s="40" t="n"/>
      <c r="D1279" s="40" t="n"/>
      <c r="E1279" s="34">
        <f t="array" ref="E1279">IF($B1279="","",IFERROR(INDEX(PERSONAL!$B$2:$B$80,MATCH($B1279,PERSONAL!$A$2:$A$80,0)),"NO EXISTE"))</f>
        <v/>
      </c>
      <c r="F1279" s="34">
        <f t="array" ref="F1279">IF($B1279="","",IFERROR(INDEX(PERSONAL!$C$2:$C$80,MATCH($B1279,PERSONAL!$A$2:$A$80,0)),""))</f>
        <v/>
      </c>
      <c r="G1279" s="34">
        <f>IF($A1279="","",CHOOSE(WEEKDAY($A1279,2),"LUNES","MARTES","MIÉRCOLES","JUEVES","VIERNES","SÁBADO","DOMINGO"))</f>
        <v/>
      </c>
      <c r="H1279" s="34">
        <f>IF($A1279="","",CHOOSE(MONTH($A1279),"ENERO","FEBRERO","MARZO","ABRIL","MAYO","JUNIO","JULIO","AGOSTO","SEPTIEMBRE","OCTUBRE","NOVIEMBRE","DICIEMBRE"))</f>
        <v/>
      </c>
      <c r="I1279" s="34">
        <f>IF($A1279="","",IF(OR($G1279="SÁBADO",$G1279="DOMINGO"),"FIN","LV"))</f>
        <v/>
      </c>
      <c r="J1279" s="34">
        <f>IF(OR($A1279="",$B1279=""),"",IF($L1279&lt;&gt;"",UPPER($L1279),IF($C1279="","FALTA",IFERROR(IF($C1279&gt;=$O1279,"ROJO FUERTE",IF($C1279&gt;=$N1279,"ROJO",IF($C1279&gt;=$M1279,"AMARILLO","VERDE"))),"REVISAR"))))</f>
        <v/>
      </c>
      <c r="K1279" s="36">
        <f>IF(OR($C1279="",$D1279=""),"",IF($D1279&gt;=$C1279,($D1279-$C1279)*24,(1-$C1279+$D1279)*24))</f>
        <v/>
      </c>
      <c r="L1279" s="34" t="n"/>
      <c r="M1279" s="53">
        <f t="array" ref="M1279">IFERROR(INDEX(EXCEPCIONES_FECHA!$D$2:$D$201,MATCH(1,(EXCEPCIONES_FECHA!$A$2:$A$201=$A1279)*(EXCEPCIONES_FECHA!$B$2:$B$201=$B1279),0)),IFERROR(INDEX(EXCEPCIONES_FECHA!$D$2:$D$201,MATCH(1,(EXCEPCIONES_FECHA!$A$2:$A$201=$A1279)*(EXCEPCIONES_FECHA!$B$2:$B$201=""),0)),IFERROR(INDEX(IF($I1279="FIN",HISTORIAL_HORARIOS!$J$2:$J$201,HISTORIAL_HORARIOS!$F$2:$F$201),MATCH(1,(HISTORIAL_HORARIOS!$A$2:$A$201=$B1279)*(HISTORIAL_HORARIOS!$C$2:$C$201&lt;=$A1279)*(HISTORIAL_HORARIOS!$D$2:$D$201&gt;=$A1279),0)),INDEX(IF($I1279="FIN",PERSONAL!$J$2:$J$80,PERSONAL!$F$2:$F$80),MATCH($B1279,PERSONAL!$A$2:$A$80,0)))))</f>
        <v/>
      </c>
      <c r="N1279" s="53">
        <f t="array" ref="N1279">IFERROR(INDEX(EXCEPCIONES_FECHA!$E$2:$E$201,MATCH(1,(EXCEPCIONES_FECHA!$A$2:$A$201=$A1279)*(EXCEPCIONES_FECHA!$B$2:$B$201=$B1279),0)),IFERROR(INDEX(EXCEPCIONES_FECHA!$E$2:$E$201,MATCH(1,(EXCEPCIONES_FECHA!$A$2:$A$201=$A1279)*(EXCEPCIONES_FECHA!$B$2:$B$201=""),0)),IFERROR(INDEX(IF($I1279="FIN",HISTORIAL_HORARIOS!$K$2:$K$201,HISTORIAL_HORARIOS!$G$2:$G$201),MATCH(1,(HISTORIAL_HORARIOS!$A$2:$A$201=$B1279)*(HISTORIAL_HORARIOS!$C$2:$C$201&lt;=$A1279)*(HISTORIAL_HORARIOS!$D$2:$D$201&gt;=$A1279),0)),INDEX(IF($I1279="FIN",PERSONAL!$K$2:$K$80,PERSONAL!$G$2:$G$80),MATCH($B1279,PERSONAL!$A$2:$A$80,0)))))</f>
        <v/>
      </c>
      <c r="O1279" s="53">
        <f t="array" ref="O1279">IFERROR(INDEX(EXCEPCIONES_FECHA!$F$2:$F$201,MATCH(1,(EXCEPCIONES_FECHA!$A$2:$A$201=$A1279)*(EXCEPCIONES_FECHA!$B$2:$B$201=$B1279),0)),IFERROR(INDEX(EXCEPCIONES_FECHA!$F$2:$F$201,MATCH(1,(EXCEPCIONES_FECHA!$A$2:$A$201=$A1279)*(EXCEPCIONES_FECHA!$B$2:$B$201=""),0)),IFERROR(INDEX(IF($I1279="FIN",HISTORIAL_HORARIOS!$L$2:$L$201,HISTORIAL_HORARIOS!$H$2:$H$201),MATCH(1,(HISTORIAL_HORARIOS!$A$2:$A$201=$B1279)*(HISTORIAL_HORARIOS!$C$2:$C$201&lt;=$A1279)*(HISTORIAL_HORARIOS!$D$2:$D$201&gt;=$A1279),0)),INDEX(IF($I1279="FIN",PERSONAL!$L$2:$L$80,PERSONAL!$H$2:$H$80),MATCH($B1279,PERSONAL!$A$2:$A$80,0)))))</f>
        <v/>
      </c>
    </row>
    <row r="1280" ht="15" customHeight="1" s="58">
      <c r="A1280" s="40" t="n"/>
      <c r="B1280" s="38" t="n"/>
      <c r="C1280" s="40" t="n"/>
      <c r="D1280" s="40" t="n"/>
      <c r="E1280" s="34">
        <f t="array" ref="E1280">IF($B1280="","",IFERROR(INDEX(PERSONAL!$B$2:$B$80,MATCH($B1280,PERSONAL!$A$2:$A$80,0)),"NO EXISTE"))</f>
        <v/>
      </c>
      <c r="F1280" s="34">
        <f t="array" ref="F1280">IF($B1280="","",IFERROR(INDEX(PERSONAL!$C$2:$C$80,MATCH($B1280,PERSONAL!$A$2:$A$80,0)),""))</f>
        <v/>
      </c>
      <c r="G1280" s="34">
        <f>IF($A1280="","",CHOOSE(WEEKDAY($A1280,2),"LUNES","MARTES","MIÉRCOLES","JUEVES","VIERNES","SÁBADO","DOMINGO"))</f>
        <v/>
      </c>
      <c r="H1280" s="34">
        <f>IF($A1280="","",CHOOSE(MONTH($A1280),"ENERO","FEBRERO","MARZO","ABRIL","MAYO","JUNIO","JULIO","AGOSTO","SEPTIEMBRE","OCTUBRE","NOVIEMBRE","DICIEMBRE"))</f>
        <v/>
      </c>
      <c r="I1280" s="34">
        <f>IF($A1280="","",IF(OR($G1280="SÁBADO",$G1280="DOMINGO"),"FIN","LV"))</f>
        <v/>
      </c>
      <c r="J1280" s="34">
        <f>IF(OR($A1280="",$B1280=""),"",IF($L1280&lt;&gt;"",UPPER($L1280),IF($C1280="","FALTA",IFERROR(IF($C1280&gt;=$O1280,"ROJO FUERTE",IF($C1280&gt;=$N1280,"ROJO",IF($C1280&gt;=$M1280,"AMARILLO","VERDE"))),"REVISAR"))))</f>
        <v/>
      </c>
      <c r="K1280" s="36">
        <f>IF(OR($C1280="",$D1280=""),"",IF($D1280&gt;=$C1280,($D1280-$C1280)*24,(1-$C1280+$D1280)*24))</f>
        <v/>
      </c>
      <c r="L1280" s="34" t="n"/>
      <c r="M1280" s="53">
        <f t="array" ref="M1280">IFERROR(INDEX(EXCEPCIONES_FECHA!$D$2:$D$201,MATCH(1,(EXCEPCIONES_FECHA!$A$2:$A$201=$A1280)*(EXCEPCIONES_FECHA!$B$2:$B$201=$B1280),0)),IFERROR(INDEX(EXCEPCIONES_FECHA!$D$2:$D$201,MATCH(1,(EXCEPCIONES_FECHA!$A$2:$A$201=$A1280)*(EXCEPCIONES_FECHA!$B$2:$B$201=""),0)),IFERROR(INDEX(IF($I1280="FIN",HISTORIAL_HORARIOS!$J$2:$J$201,HISTORIAL_HORARIOS!$F$2:$F$201),MATCH(1,(HISTORIAL_HORARIOS!$A$2:$A$201=$B1280)*(HISTORIAL_HORARIOS!$C$2:$C$201&lt;=$A1280)*(HISTORIAL_HORARIOS!$D$2:$D$201&gt;=$A1280),0)),INDEX(IF($I1280="FIN",PERSONAL!$J$2:$J$80,PERSONAL!$F$2:$F$80),MATCH($B1280,PERSONAL!$A$2:$A$80,0)))))</f>
        <v/>
      </c>
      <c r="N1280" s="53">
        <f t="array" ref="N1280">IFERROR(INDEX(EXCEPCIONES_FECHA!$E$2:$E$201,MATCH(1,(EXCEPCIONES_FECHA!$A$2:$A$201=$A1280)*(EXCEPCIONES_FECHA!$B$2:$B$201=$B1280),0)),IFERROR(INDEX(EXCEPCIONES_FECHA!$E$2:$E$201,MATCH(1,(EXCEPCIONES_FECHA!$A$2:$A$201=$A1280)*(EXCEPCIONES_FECHA!$B$2:$B$201=""),0)),IFERROR(INDEX(IF($I1280="FIN",HISTORIAL_HORARIOS!$K$2:$K$201,HISTORIAL_HORARIOS!$G$2:$G$201),MATCH(1,(HISTORIAL_HORARIOS!$A$2:$A$201=$B1280)*(HISTORIAL_HORARIOS!$C$2:$C$201&lt;=$A1280)*(HISTORIAL_HORARIOS!$D$2:$D$201&gt;=$A1280),0)),INDEX(IF($I1280="FIN",PERSONAL!$K$2:$K$80,PERSONAL!$G$2:$G$80),MATCH($B1280,PERSONAL!$A$2:$A$80,0)))))</f>
        <v/>
      </c>
      <c r="O1280" s="53">
        <f t="array" ref="O1280">IFERROR(INDEX(EXCEPCIONES_FECHA!$F$2:$F$201,MATCH(1,(EXCEPCIONES_FECHA!$A$2:$A$201=$A1280)*(EXCEPCIONES_FECHA!$B$2:$B$201=$B1280),0)),IFERROR(INDEX(EXCEPCIONES_FECHA!$F$2:$F$201,MATCH(1,(EXCEPCIONES_FECHA!$A$2:$A$201=$A1280)*(EXCEPCIONES_FECHA!$B$2:$B$201=""),0)),IFERROR(INDEX(IF($I1280="FIN",HISTORIAL_HORARIOS!$L$2:$L$201,HISTORIAL_HORARIOS!$H$2:$H$201),MATCH(1,(HISTORIAL_HORARIOS!$A$2:$A$201=$B1280)*(HISTORIAL_HORARIOS!$C$2:$C$201&lt;=$A1280)*(HISTORIAL_HORARIOS!$D$2:$D$201&gt;=$A1280),0)),INDEX(IF($I1280="FIN",PERSONAL!$L$2:$L$80,PERSONAL!$H$2:$H$80),MATCH($B1280,PERSONAL!$A$2:$A$80,0)))))</f>
        <v/>
      </c>
    </row>
    <row r="1281" ht="15" customHeight="1" s="58">
      <c r="A1281" s="40" t="n"/>
      <c r="B1281" s="38" t="n"/>
      <c r="C1281" s="40" t="n"/>
      <c r="D1281" s="40" t="n"/>
      <c r="E1281" s="34">
        <f t="array" ref="E1281">IF($B1281="","",IFERROR(INDEX(PERSONAL!$B$2:$B$80,MATCH($B1281,PERSONAL!$A$2:$A$80,0)),"NO EXISTE"))</f>
        <v/>
      </c>
      <c r="F1281" s="34">
        <f t="array" ref="F1281">IF($B1281="","",IFERROR(INDEX(PERSONAL!$C$2:$C$80,MATCH($B1281,PERSONAL!$A$2:$A$80,0)),""))</f>
        <v/>
      </c>
      <c r="G1281" s="34">
        <f>IF($A1281="","",CHOOSE(WEEKDAY($A1281,2),"LUNES","MARTES","MIÉRCOLES","JUEVES","VIERNES","SÁBADO","DOMINGO"))</f>
        <v/>
      </c>
      <c r="H1281" s="34">
        <f>IF($A1281="","",CHOOSE(MONTH($A1281),"ENERO","FEBRERO","MARZO","ABRIL","MAYO","JUNIO","JULIO","AGOSTO","SEPTIEMBRE","OCTUBRE","NOVIEMBRE","DICIEMBRE"))</f>
        <v/>
      </c>
      <c r="I1281" s="34">
        <f>IF($A1281="","",IF(OR($G1281="SÁBADO",$G1281="DOMINGO"),"FIN","LV"))</f>
        <v/>
      </c>
      <c r="J1281" s="34">
        <f>IF(OR($A1281="",$B1281=""),"",IF($L1281&lt;&gt;"",UPPER($L1281),IF($C1281="","FALTA",IFERROR(IF($C1281&gt;=$O1281,"ROJO FUERTE",IF($C1281&gt;=$N1281,"ROJO",IF($C1281&gt;=$M1281,"AMARILLO","VERDE"))),"REVISAR"))))</f>
        <v/>
      </c>
      <c r="K1281" s="36">
        <f>IF(OR($C1281="",$D1281=""),"",IF($D1281&gt;=$C1281,($D1281-$C1281)*24,(1-$C1281+$D1281)*24))</f>
        <v/>
      </c>
      <c r="L1281" s="34" t="n"/>
      <c r="M1281" s="53">
        <f t="array" ref="M1281">IFERROR(INDEX(EXCEPCIONES_FECHA!$D$2:$D$201,MATCH(1,(EXCEPCIONES_FECHA!$A$2:$A$201=$A1281)*(EXCEPCIONES_FECHA!$B$2:$B$201=$B1281),0)),IFERROR(INDEX(EXCEPCIONES_FECHA!$D$2:$D$201,MATCH(1,(EXCEPCIONES_FECHA!$A$2:$A$201=$A1281)*(EXCEPCIONES_FECHA!$B$2:$B$201=""),0)),IFERROR(INDEX(IF($I1281="FIN",HISTORIAL_HORARIOS!$J$2:$J$201,HISTORIAL_HORARIOS!$F$2:$F$201),MATCH(1,(HISTORIAL_HORARIOS!$A$2:$A$201=$B1281)*(HISTORIAL_HORARIOS!$C$2:$C$201&lt;=$A1281)*(HISTORIAL_HORARIOS!$D$2:$D$201&gt;=$A1281),0)),INDEX(IF($I1281="FIN",PERSONAL!$J$2:$J$80,PERSONAL!$F$2:$F$80),MATCH($B1281,PERSONAL!$A$2:$A$80,0)))))</f>
        <v/>
      </c>
      <c r="N1281" s="53">
        <f t="array" ref="N1281">IFERROR(INDEX(EXCEPCIONES_FECHA!$E$2:$E$201,MATCH(1,(EXCEPCIONES_FECHA!$A$2:$A$201=$A1281)*(EXCEPCIONES_FECHA!$B$2:$B$201=$B1281),0)),IFERROR(INDEX(EXCEPCIONES_FECHA!$E$2:$E$201,MATCH(1,(EXCEPCIONES_FECHA!$A$2:$A$201=$A1281)*(EXCEPCIONES_FECHA!$B$2:$B$201=""),0)),IFERROR(INDEX(IF($I1281="FIN",HISTORIAL_HORARIOS!$K$2:$K$201,HISTORIAL_HORARIOS!$G$2:$G$201),MATCH(1,(HISTORIAL_HORARIOS!$A$2:$A$201=$B1281)*(HISTORIAL_HORARIOS!$C$2:$C$201&lt;=$A1281)*(HISTORIAL_HORARIOS!$D$2:$D$201&gt;=$A1281),0)),INDEX(IF($I1281="FIN",PERSONAL!$K$2:$K$80,PERSONAL!$G$2:$G$80),MATCH($B1281,PERSONAL!$A$2:$A$80,0)))))</f>
        <v/>
      </c>
      <c r="O1281" s="53">
        <f t="array" ref="O1281">IFERROR(INDEX(EXCEPCIONES_FECHA!$F$2:$F$201,MATCH(1,(EXCEPCIONES_FECHA!$A$2:$A$201=$A1281)*(EXCEPCIONES_FECHA!$B$2:$B$201=$B1281),0)),IFERROR(INDEX(EXCEPCIONES_FECHA!$F$2:$F$201,MATCH(1,(EXCEPCIONES_FECHA!$A$2:$A$201=$A1281)*(EXCEPCIONES_FECHA!$B$2:$B$201=""),0)),IFERROR(INDEX(IF($I1281="FIN",HISTORIAL_HORARIOS!$L$2:$L$201,HISTORIAL_HORARIOS!$H$2:$H$201),MATCH(1,(HISTORIAL_HORARIOS!$A$2:$A$201=$B1281)*(HISTORIAL_HORARIOS!$C$2:$C$201&lt;=$A1281)*(HISTORIAL_HORARIOS!$D$2:$D$201&gt;=$A1281),0)),INDEX(IF($I1281="FIN",PERSONAL!$L$2:$L$80,PERSONAL!$H$2:$H$80),MATCH($B1281,PERSONAL!$A$2:$A$80,0)))))</f>
        <v/>
      </c>
    </row>
    <row r="1282" ht="15" customHeight="1" s="58">
      <c r="A1282" s="40" t="n"/>
      <c r="B1282" s="38" t="n"/>
      <c r="C1282" s="40" t="n"/>
      <c r="D1282" s="40" t="n"/>
      <c r="E1282" s="34">
        <f t="array" ref="E1282">IF($B1282="","",IFERROR(INDEX(PERSONAL!$B$2:$B$80,MATCH($B1282,PERSONAL!$A$2:$A$80,0)),"NO EXISTE"))</f>
        <v/>
      </c>
      <c r="F1282" s="34">
        <f t="array" ref="F1282">IF($B1282="","",IFERROR(INDEX(PERSONAL!$C$2:$C$80,MATCH($B1282,PERSONAL!$A$2:$A$80,0)),""))</f>
        <v/>
      </c>
      <c r="G1282" s="34">
        <f>IF($A1282="","",CHOOSE(WEEKDAY($A1282,2),"LUNES","MARTES","MIÉRCOLES","JUEVES","VIERNES","SÁBADO","DOMINGO"))</f>
        <v/>
      </c>
      <c r="H1282" s="34">
        <f>IF($A1282="","",CHOOSE(MONTH($A1282),"ENERO","FEBRERO","MARZO","ABRIL","MAYO","JUNIO","JULIO","AGOSTO","SEPTIEMBRE","OCTUBRE","NOVIEMBRE","DICIEMBRE"))</f>
        <v/>
      </c>
      <c r="I1282" s="34">
        <f>IF($A1282="","",IF(OR($G1282="SÁBADO",$G1282="DOMINGO"),"FIN","LV"))</f>
        <v/>
      </c>
      <c r="J1282" s="34">
        <f>IF(OR($A1282="",$B1282=""),"",IF($L1282&lt;&gt;"",UPPER($L1282),IF($C1282="","FALTA",IFERROR(IF($C1282&gt;=$O1282,"ROJO FUERTE",IF($C1282&gt;=$N1282,"ROJO",IF($C1282&gt;=$M1282,"AMARILLO","VERDE"))),"REVISAR"))))</f>
        <v/>
      </c>
      <c r="K1282" s="36">
        <f>IF(OR($C1282="",$D1282=""),"",IF($D1282&gt;=$C1282,($D1282-$C1282)*24,(1-$C1282+$D1282)*24))</f>
        <v/>
      </c>
      <c r="L1282" s="34" t="n"/>
      <c r="M1282" s="53">
        <f t="array" ref="M1282">IFERROR(INDEX(EXCEPCIONES_FECHA!$D$2:$D$201,MATCH(1,(EXCEPCIONES_FECHA!$A$2:$A$201=$A1282)*(EXCEPCIONES_FECHA!$B$2:$B$201=$B1282),0)),IFERROR(INDEX(EXCEPCIONES_FECHA!$D$2:$D$201,MATCH(1,(EXCEPCIONES_FECHA!$A$2:$A$201=$A1282)*(EXCEPCIONES_FECHA!$B$2:$B$201=""),0)),IFERROR(INDEX(IF($I1282="FIN",HISTORIAL_HORARIOS!$J$2:$J$201,HISTORIAL_HORARIOS!$F$2:$F$201),MATCH(1,(HISTORIAL_HORARIOS!$A$2:$A$201=$B1282)*(HISTORIAL_HORARIOS!$C$2:$C$201&lt;=$A1282)*(HISTORIAL_HORARIOS!$D$2:$D$201&gt;=$A1282),0)),INDEX(IF($I1282="FIN",PERSONAL!$J$2:$J$80,PERSONAL!$F$2:$F$80),MATCH($B1282,PERSONAL!$A$2:$A$80,0)))))</f>
        <v/>
      </c>
      <c r="N1282" s="53">
        <f t="array" ref="N1282">IFERROR(INDEX(EXCEPCIONES_FECHA!$E$2:$E$201,MATCH(1,(EXCEPCIONES_FECHA!$A$2:$A$201=$A1282)*(EXCEPCIONES_FECHA!$B$2:$B$201=$B1282),0)),IFERROR(INDEX(EXCEPCIONES_FECHA!$E$2:$E$201,MATCH(1,(EXCEPCIONES_FECHA!$A$2:$A$201=$A1282)*(EXCEPCIONES_FECHA!$B$2:$B$201=""),0)),IFERROR(INDEX(IF($I1282="FIN",HISTORIAL_HORARIOS!$K$2:$K$201,HISTORIAL_HORARIOS!$G$2:$G$201),MATCH(1,(HISTORIAL_HORARIOS!$A$2:$A$201=$B1282)*(HISTORIAL_HORARIOS!$C$2:$C$201&lt;=$A1282)*(HISTORIAL_HORARIOS!$D$2:$D$201&gt;=$A1282),0)),INDEX(IF($I1282="FIN",PERSONAL!$K$2:$K$80,PERSONAL!$G$2:$G$80),MATCH($B1282,PERSONAL!$A$2:$A$80,0)))))</f>
        <v/>
      </c>
      <c r="O1282" s="53">
        <f t="array" ref="O1282">IFERROR(INDEX(EXCEPCIONES_FECHA!$F$2:$F$201,MATCH(1,(EXCEPCIONES_FECHA!$A$2:$A$201=$A1282)*(EXCEPCIONES_FECHA!$B$2:$B$201=$B1282),0)),IFERROR(INDEX(EXCEPCIONES_FECHA!$F$2:$F$201,MATCH(1,(EXCEPCIONES_FECHA!$A$2:$A$201=$A1282)*(EXCEPCIONES_FECHA!$B$2:$B$201=""),0)),IFERROR(INDEX(IF($I1282="FIN",HISTORIAL_HORARIOS!$L$2:$L$201,HISTORIAL_HORARIOS!$H$2:$H$201),MATCH(1,(HISTORIAL_HORARIOS!$A$2:$A$201=$B1282)*(HISTORIAL_HORARIOS!$C$2:$C$201&lt;=$A1282)*(HISTORIAL_HORARIOS!$D$2:$D$201&gt;=$A1282),0)),INDEX(IF($I1282="FIN",PERSONAL!$L$2:$L$80,PERSONAL!$H$2:$H$80),MATCH($B1282,PERSONAL!$A$2:$A$80,0)))))</f>
        <v/>
      </c>
    </row>
    <row r="1283" ht="15" customHeight="1" s="58">
      <c r="A1283" s="40" t="n"/>
      <c r="B1283" s="38" t="n"/>
      <c r="C1283" s="40" t="n"/>
      <c r="D1283" s="40" t="n"/>
      <c r="E1283" s="34">
        <f t="array" ref="E1283">IF($B1283="","",IFERROR(INDEX(PERSONAL!$B$2:$B$80,MATCH($B1283,PERSONAL!$A$2:$A$80,0)),"NO EXISTE"))</f>
        <v/>
      </c>
      <c r="F1283" s="34">
        <f t="array" ref="F1283">IF($B1283="","",IFERROR(INDEX(PERSONAL!$C$2:$C$80,MATCH($B1283,PERSONAL!$A$2:$A$80,0)),""))</f>
        <v/>
      </c>
      <c r="G1283" s="34">
        <f>IF($A1283="","",CHOOSE(WEEKDAY($A1283,2),"LUNES","MARTES","MIÉRCOLES","JUEVES","VIERNES","SÁBADO","DOMINGO"))</f>
        <v/>
      </c>
      <c r="H1283" s="34">
        <f>IF($A1283="","",CHOOSE(MONTH($A1283),"ENERO","FEBRERO","MARZO","ABRIL","MAYO","JUNIO","JULIO","AGOSTO","SEPTIEMBRE","OCTUBRE","NOVIEMBRE","DICIEMBRE"))</f>
        <v/>
      </c>
      <c r="I1283" s="34">
        <f>IF($A1283="","",IF(OR($G1283="SÁBADO",$G1283="DOMINGO"),"FIN","LV"))</f>
        <v/>
      </c>
      <c r="J1283" s="34">
        <f>IF(OR($A1283="",$B1283=""),"",IF($L1283&lt;&gt;"",UPPER($L1283),IF($C1283="","FALTA",IFERROR(IF($C1283&gt;=$O1283,"ROJO FUERTE",IF($C1283&gt;=$N1283,"ROJO",IF($C1283&gt;=$M1283,"AMARILLO","VERDE"))),"REVISAR"))))</f>
        <v/>
      </c>
      <c r="K1283" s="36">
        <f>IF(OR($C1283="",$D1283=""),"",IF($D1283&gt;=$C1283,($D1283-$C1283)*24,(1-$C1283+$D1283)*24))</f>
        <v/>
      </c>
      <c r="L1283" s="34" t="n"/>
      <c r="M1283" s="53">
        <f t="array" ref="M1283">IFERROR(INDEX(EXCEPCIONES_FECHA!$D$2:$D$201,MATCH(1,(EXCEPCIONES_FECHA!$A$2:$A$201=$A1283)*(EXCEPCIONES_FECHA!$B$2:$B$201=$B1283),0)),IFERROR(INDEX(EXCEPCIONES_FECHA!$D$2:$D$201,MATCH(1,(EXCEPCIONES_FECHA!$A$2:$A$201=$A1283)*(EXCEPCIONES_FECHA!$B$2:$B$201=""),0)),IFERROR(INDEX(IF($I1283="FIN",HISTORIAL_HORARIOS!$J$2:$J$201,HISTORIAL_HORARIOS!$F$2:$F$201),MATCH(1,(HISTORIAL_HORARIOS!$A$2:$A$201=$B1283)*(HISTORIAL_HORARIOS!$C$2:$C$201&lt;=$A1283)*(HISTORIAL_HORARIOS!$D$2:$D$201&gt;=$A1283),0)),INDEX(IF($I1283="FIN",PERSONAL!$J$2:$J$80,PERSONAL!$F$2:$F$80),MATCH($B1283,PERSONAL!$A$2:$A$80,0)))))</f>
        <v/>
      </c>
      <c r="N1283" s="53">
        <f t="array" ref="N1283">IFERROR(INDEX(EXCEPCIONES_FECHA!$E$2:$E$201,MATCH(1,(EXCEPCIONES_FECHA!$A$2:$A$201=$A1283)*(EXCEPCIONES_FECHA!$B$2:$B$201=$B1283),0)),IFERROR(INDEX(EXCEPCIONES_FECHA!$E$2:$E$201,MATCH(1,(EXCEPCIONES_FECHA!$A$2:$A$201=$A1283)*(EXCEPCIONES_FECHA!$B$2:$B$201=""),0)),IFERROR(INDEX(IF($I1283="FIN",HISTORIAL_HORARIOS!$K$2:$K$201,HISTORIAL_HORARIOS!$G$2:$G$201),MATCH(1,(HISTORIAL_HORARIOS!$A$2:$A$201=$B1283)*(HISTORIAL_HORARIOS!$C$2:$C$201&lt;=$A1283)*(HISTORIAL_HORARIOS!$D$2:$D$201&gt;=$A1283),0)),INDEX(IF($I1283="FIN",PERSONAL!$K$2:$K$80,PERSONAL!$G$2:$G$80),MATCH($B1283,PERSONAL!$A$2:$A$80,0)))))</f>
        <v/>
      </c>
      <c r="O1283" s="53">
        <f t="array" ref="O1283">IFERROR(INDEX(EXCEPCIONES_FECHA!$F$2:$F$201,MATCH(1,(EXCEPCIONES_FECHA!$A$2:$A$201=$A1283)*(EXCEPCIONES_FECHA!$B$2:$B$201=$B1283),0)),IFERROR(INDEX(EXCEPCIONES_FECHA!$F$2:$F$201,MATCH(1,(EXCEPCIONES_FECHA!$A$2:$A$201=$A1283)*(EXCEPCIONES_FECHA!$B$2:$B$201=""),0)),IFERROR(INDEX(IF($I1283="FIN",HISTORIAL_HORARIOS!$L$2:$L$201,HISTORIAL_HORARIOS!$H$2:$H$201),MATCH(1,(HISTORIAL_HORARIOS!$A$2:$A$201=$B1283)*(HISTORIAL_HORARIOS!$C$2:$C$201&lt;=$A1283)*(HISTORIAL_HORARIOS!$D$2:$D$201&gt;=$A1283),0)),INDEX(IF($I1283="FIN",PERSONAL!$L$2:$L$80,PERSONAL!$H$2:$H$80),MATCH($B1283,PERSONAL!$A$2:$A$80,0)))))</f>
        <v/>
      </c>
    </row>
    <row r="1284" ht="15" customHeight="1" s="58">
      <c r="A1284" s="40" t="n"/>
      <c r="B1284" s="38" t="n"/>
      <c r="C1284" s="40" t="n"/>
      <c r="D1284" s="40" t="n"/>
      <c r="E1284" s="34">
        <f t="array" ref="E1284">IF($B1284="","",IFERROR(INDEX(PERSONAL!$B$2:$B$80,MATCH($B1284,PERSONAL!$A$2:$A$80,0)),"NO EXISTE"))</f>
        <v/>
      </c>
      <c r="F1284" s="34">
        <f t="array" ref="F1284">IF($B1284="","",IFERROR(INDEX(PERSONAL!$C$2:$C$80,MATCH($B1284,PERSONAL!$A$2:$A$80,0)),""))</f>
        <v/>
      </c>
      <c r="G1284" s="34">
        <f>IF($A1284="","",CHOOSE(WEEKDAY($A1284,2),"LUNES","MARTES","MIÉRCOLES","JUEVES","VIERNES","SÁBADO","DOMINGO"))</f>
        <v/>
      </c>
      <c r="H1284" s="34">
        <f>IF($A1284="","",CHOOSE(MONTH($A1284),"ENERO","FEBRERO","MARZO","ABRIL","MAYO","JUNIO","JULIO","AGOSTO","SEPTIEMBRE","OCTUBRE","NOVIEMBRE","DICIEMBRE"))</f>
        <v/>
      </c>
      <c r="I1284" s="34">
        <f>IF($A1284="","",IF(OR($G1284="SÁBADO",$G1284="DOMINGO"),"FIN","LV"))</f>
        <v/>
      </c>
      <c r="J1284" s="34">
        <f>IF(OR($A1284="",$B1284=""),"",IF($L1284&lt;&gt;"",UPPER($L1284),IF($C1284="","FALTA",IFERROR(IF($C1284&gt;=$O1284,"ROJO FUERTE",IF($C1284&gt;=$N1284,"ROJO",IF($C1284&gt;=$M1284,"AMARILLO","VERDE"))),"REVISAR"))))</f>
        <v/>
      </c>
      <c r="K1284" s="36">
        <f>IF(OR($C1284="",$D1284=""),"",IF($D1284&gt;=$C1284,($D1284-$C1284)*24,(1-$C1284+$D1284)*24))</f>
        <v/>
      </c>
      <c r="L1284" s="34" t="n"/>
      <c r="M1284" s="53">
        <f t="array" ref="M1284">IFERROR(INDEX(EXCEPCIONES_FECHA!$D$2:$D$201,MATCH(1,(EXCEPCIONES_FECHA!$A$2:$A$201=$A1284)*(EXCEPCIONES_FECHA!$B$2:$B$201=$B1284),0)),IFERROR(INDEX(EXCEPCIONES_FECHA!$D$2:$D$201,MATCH(1,(EXCEPCIONES_FECHA!$A$2:$A$201=$A1284)*(EXCEPCIONES_FECHA!$B$2:$B$201=""),0)),IFERROR(INDEX(IF($I1284="FIN",HISTORIAL_HORARIOS!$J$2:$J$201,HISTORIAL_HORARIOS!$F$2:$F$201),MATCH(1,(HISTORIAL_HORARIOS!$A$2:$A$201=$B1284)*(HISTORIAL_HORARIOS!$C$2:$C$201&lt;=$A1284)*(HISTORIAL_HORARIOS!$D$2:$D$201&gt;=$A1284),0)),INDEX(IF($I1284="FIN",PERSONAL!$J$2:$J$80,PERSONAL!$F$2:$F$80),MATCH($B1284,PERSONAL!$A$2:$A$80,0)))))</f>
        <v/>
      </c>
      <c r="N1284" s="53">
        <f t="array" ref="N1284">IFERROR(INDEX(EXCEPCIONES_FECHA!$E$2:$E$201,MATCH(1,(EXCEPCIONES_FECHA!$A$2:$A$201=$A1284)*(EXCEPCIONES_FECHA!$B$2:$B$201=$B1284),0)),IFERROR(INDEX(EXCEPCIONES_FECHA!$E$2:$E$201,MATCH(1,(EXCEPCIONES_FECHA!$A$2:$A$201=$A1284)*(EXCEPCIONES_FECHA!$B$2:$B$201=""),0)),IFERROR(INDEX(IF($I1284="FIN",HISTORIAL_HORARIOS!$K$2:$K$201,HISTORIAL_HORARIOS!$G$2:$G$201),MATCH(1,(HISTORIAL_HORARIOS!$A$2:$A$201=$B1284)*(HISTORIAL_HORARIOS!$C$2:$C$201&lt;=$A1284)*(HISTORIAL_HORARIOS!$D$2:$D$201&gt;=$A1284),0)),INDEX(IF($I1284="FIN",PERSONAL!$K$2:$K$80,PERSONAL!$G$2:$G$80),MATCH($B1284,PERSONAL!$A$2:$A$80,0)))))</f>
        <v/>
      </c>
      <c r="O1284" s="53">
        <f t="array" ref="O1284">IFERROR(INDEX(EXCEPCIONES_FECHA!$F$2:$F$201,MATCH(1,(EXCEPCIONES_FECHA!$A$2:$A$201=$A1284)*(EXCEPCIONES_FECHA!$B$2:$B$201=$B1284),0)),IFERROR(INDEX(EXCEPCIONES_FECHA!$F$2:$F$201,MATCH(1,(EXCEPCIONES_FECHA!$A$2:$A$201=$A1284)*(EXCEPCIONES_FECHA!$B$2:$B$201=""),0)),IFERROR(INDEX(IF($I1284="FIN",HISTORIAL_HORARIOS!$L$2:$L$201,HISTORIAL_HORARIOS!$H$2:$H$201),MATCH(1,(HISTORIAL_HORARIOS!$A$2:$A$201=$B1284)*(HISTORIAL_HORARIOS!$C$2:$C$201&lt;=$A1284)*(HISTORIAL_HORARIOS!$D$2:$D$201&gt;=$A1284),0)),INDEX(IF($I1284="FIN",PERSONAL!$L$2:$L$80,PERSONAL!$H$2:$H$80),MATCH($B1284,PERSONAL!$A$2:$A$80,0)))))</f>
        <v/>
      </c>
    </row>
    <row r="1285" ht="15" customHeight="1" s="58">
      <c r="A1285" s="40" t="n"/>
      <c r="B1285" s="38" t="n"/>
      <c r="C1285" s="40" t="n"/>
      <c r="D1285" s="40" t="n"/>
      <c r="E1285" s="34">
        <f t="array" ref="E1285">IF($B1285="","",IFERROR(INDEX(PERSONAL!$B$2:$B$80,MATCH($B1285,PERSONAL!$A$2:$A$80,0)),"NO EXISTE"))</f>
        <v/>
      </c>
      <c r="F1285" s="34">
        <f t="array" ref="F1285">IF($B1285="","",IFERROR(INDEX(PERSONAL!$C$2:$C$80,MATCH($B1285,PERSONAL!$A$2:$A$80,0)),""))</f>
        <v/>
      </c>
      <c r="G1285" s="34">
        <f>IF($A1285="","",CHOOSE(WEEKDAY($A1285,2),"LUNES","MARTES","MIÉRCOLES","JUEVES","VIERNES","SÁBADO","DOMINGO"))</f>
        <v/>
      </c>
      <c r="H1285" s="34">
        <f>IF($A1285="","",CHOOSE(MONTH($A1285),"ENERO","FEBRERO","MARZO","ABRIL","MAYO","JUNIO","JULIO","AGOSTO","SEPTIEMBRE","OCTUBRE","NOVIEMBRE","DICIEMBRE"))</f>
        <v/>
      </c>
      <c r="I1285" s="34">
        <f>IF($A1285="","",IF(OR($G1285="SÁBADO",$G1285="DOMINGO"),"FIN","LV"))</f>
        <v/>
      </c>
      <c r="J1285" s="34">
        <f>IF(OR($A1285="",$B1285=""),"",IF($L1285&lt;&gt;"",UPPER($L1285),IF($C1285="","FALTA",IFERROR(IF($C1285&gt;=$O1285,"ROJO FUERTE",IF($C1285&gt;=$N1285,"ROJO",IF($C1285&gt;=$M1285,"AMARILLO","VERDE"))),"REVISAR"))))</f>
        <v/>
      </c>
      <c r="K1285" s="36">
        <f>IF(OR($C1285="",$D1285=""),"",IF($D1285&gt;=$C1285,($D1285-$C1285)*24,(1-$C1285+$D1285)*24))</f>
        <v/>
      </c>
      <c r="L1285" s="34" t="n"/>
      <c r="M1285" s="53">
        <f t="array" ref="M1285">IFERROR(INDEX(EXCEPCIONES_FECHA!$D$2:$D$201,MATCH(1,(EXCEPCIONES_FECHA!$A$2:$A$201=$A1285)*(EXCEPCIONES_FECHA!$B$2:$B$201=$B1285),0)),IFERROR(INDEX(EXCEPCIONES_FECHA!$D$2:$D$201,MATCH(1,(EXCEPCIONES_FECHA!$A$2:$A$201=$A1285)*(EXCEPCIONES_FECHA!$B$2:$B$201=""),0)),IFERROR(INDEX(IF($I1285="FIN",HISTORIAL_HORARIOS!$J$2:$J$201,HISTORIAL_HORARIOS!$F$2:$F$201),MATCH(1,(HISTORIAL_HORARIOS!$A$2:$A$201=$B1285)*(HISTORIAL_HORARIOS!$C$2:$C$201&lt;=$A1285)*(HISTORIAL_HORARIOS!$D$2:$D$201&gt;=$A1285),0)),INDEX(IF($I1285="FIN",PERSONAL!$J$2:$J$80,PERSONAL!$F$2:$F$80),MATCH($B1285,PERSONAL!$A$2:$A$80,0)))))</f>
        <v/>
      </c>
      <c r="N1285" s="53">
        <f t="array" ref="N1285">IFERROR(INDEX(EXCEPCIONES_FECHA!$E$2:$E$201,MATCH(1,(EXCEPCIONES_FECHA!$A$2:$A$201=$A1285)*(EXCEPCIONES_FECHA!$B$2:$B$201=$B1285),0)),IFERROR(INDEX(EXCEPCIONES_FECHA!$E$2:$E$201,MATCH(1,(EXCEPCIONES_FECHA!$A$2:$A$201=$A1285)*(EXCEPCIONES_FECHA!$B$2:$B$201=""),0)),IFERROR(INDEX(IF($I1285="FIN",HISTORIAL_HORARIOS!$K$2:$K$201,HISTORIAL_HORARIOS!$G$2:$G$201),MATCH(1,(HISTORIAL_HORARIOS!$A$2:$A$201=$B1285)*(HISTORIAL_HORARIOS!$C$2:$C$201&lt;=$A1285)*(HISTORIAL_HORARIOS!$D$2:$D$201&gt;=$A1285),0)),INDEX(IF($I1285="FIN",PERSONAL!$K$2:$K$80,PERSONAL!$G$2:$G$80),MATCH($B1285,PERSONAL!$A$2:$A$80,0)))))</f>
        <v/>
      </c>
      <c r="O1285" s="53">
        <f t="array" ref="O1285">IFERROR(INDEX(EXCEPCIONES_FECHA!$F$2:$F$201,MATCH(1,(EXCEPCIONES_FECHA!$A$2:$A$201=$A1285)*(EXCEPCIONES_FECHA!$B$2:$B$201=$B1285),0)),IFERROR(INDEX(EXCEPCIONES_FECHA!$F$2:$F$201,MATCH(1,(EXCEPCIONES_FECHA!$A$2:$A$201=$A1285)*(EXCEPCIONES_FECHA!$B$2:$B$201=""),0)),IFERROR(INDEX(IF($I1285="FIN",HISTORIAL_HORARIOS!$L$2:$L$201,HISTORIAL_HORARIOS!$H$2:$H$201),MATCH(1,(HISTORIAL_HORARIOS!$A$2:$A$201=$B1285)*(HISTORIAL_HORARIOS!$C$2:$C$201&lt;=$A1285)*(HISTORIAL_HORARIOS!$D$2:$D$201&gt;=$A1285),0)),INDEX(IF($I1285="FIN",PERSONAL!$L$2:$L$80,PERSONAL!$H$2:$H$80),MATCH($B1285,PERSONAL!$A$2:$A$80,0)))))</f>
        <v/>
      </c>
    </row>
    <row r="1286" ht="15" customHeight="1" s="58">
      <c r="A1286" s="40" t="n"/>
      <c r="B1286" s="38" t="n"/>
      <c r="C1286" s="40" t="n"/>
      <c r="D1286" s="40" t="n"/>
      <c r="E1286" s="34">
        <f t="array" ref="E1286">IF($B1286="","",IFERROR(INDEX(PERSONAL!$B$2:$B$80,MATCH($B1286,PERSONAL!$A$2:$A$80,0)),"NO EXISTE"))</f>
        <v/>
      </c>
      <c r="F1286" s="34">
        <f t="array" ref="F1286">IF($B1286="","",IFERROR(INDEX(PERSONAL!$C$2:$C$80,MATCH($B1286,PERSONAL!$A$2:$A$80,0)),""))</f>
        <v/>
      </c>
      <c r="G1286" s="34">
        <f>IF($A1286="","",CHOOSE(WEEKDAY($A1286,2),"LUNES","MARTES","MIÉRCOLES","JUEVES","VIERNES","SÁBADO","DOMINGO"))</f>
        <v/>
      </c>
      <c r="H1286" s="34">
        <f>IF($A1286="","",CHOOSE(MONTH($A1286),"ENERO","FEBRERO","MARZO","ABRIL","MAYO","JUNIO","JULIO","AGOSTO","SEPTIEMBRE","OCTUBRE","NOVIEMBRE","DICIEMBRE"))</f>
        <v/>
      </c>
      <c r="I1286" s="34">
        <f>IF($A1286="","",IF(OR($G1286="SÁBADO",$G1286="DOMINGO"),"FIN","LV"))</f>
        <v/>
      </c>
      <c r="J1286" s="34">
        <f>IF(OR($A1286="",$B1286=""),"",IF($L1286&lt;&gt;"",UPPER($L1286),IF($C1286="","FALTA",IFERROR(IF($C1286&gt;=$O1286,"ROJO FUERTE",IF($C1286&gt;=$N1286,"ROJO",IF($C1286&gt;=$M1286,"AMARILLO","VERDE"))),"REVISAR"))))</f>
        <v/>
      </c>
      <c r="K1286" s="36">
        <f>IF(OR($C1286="",$D1286=""),"",IF($D1286&gt;=$C1286,($D1286-$C1286)*24,(1-$C1286+$D1286)*24))</f>
        <v/>
      </c>
      <c r="L1286" s="34" t="n"/>
      <c r="M1286" s="53">
        <f t="array" ref="M1286">IFERROR(INDEX(EXCEPCIONES_FECHA!$D$2:$D$201,MATCH(1,(EXCEPCIONES_FECHA!$A$2:$A$201=$A1286)*(EXCEPCIONES_FECHA!$B$2:$B$201=$B1286),0)),IFERROR(INDEX(EXCEPCIONES_FECHA!$D$2:$D$201,MATCH(1,(EXCEPCIONES_FECHA!$A$2:$A$201=$A1286)*(EXCEPCIONES_FECHA!$B$2:$B$201=""),0)),IFERROR(INDEX(IF($I1286="FIN",HISTORIAL_HORARIOS!$J$2:$J$201,HISTORIAL_HORARIOS!$F$2:$F$201),MATCH(1,(HISTORIAL_HORARIOS!$A$2:$A$201=$B1286)*(HISTORIAL_HORARIOS!$C$2:$C$201&lt;=$A1286)*(HISTORIAL_HORARIOS!$D$2:$D$201&gt;=$A1286),0)),INDEX(IF($I1286="FIN",PERSONAL!$J$2:$J$80,PERSONAL!$F$2:$F$80),MATCH($B1286,PERSONAL!$A$2:$A$80,0)))))</f>
        <v/>
      </c>
      <c r="N1286" s="53">
        <f t="array" ref="N1286">IFERROR(INDEX(EXCEPCIONES_FECHA!$E$2:$E$201,MATCH(1,(EXCEPCIONES_FECHA!$A$2:$A$201=$A1286)*(EXCEPCIONES_FECHA!$B$2:$B$201=$B1286),0)),IFERROR(INDEX(EXCEPCIONES_FECHA!$E$2:$E$201,MATCH(1,(EXCEPCIONES_FECHA!$A$2:$A$201=$A1286)*(EXCEPCIONES_FECHA!$B$2:$B$201=""),0)),IFERROR(INDEX(IF($I1286="FIN",HISTORIAL_HORARIOS!$K$2:$K$201,HISTORIAL_HORARIOS!$G$2:$G$201),MATCH(1,(HISTORIAL_HORARIOS!$A$2:$A$201=$B1286)*(HISTORIAL_HORARIOS!$C$2:$C$201&lt;=$A1286)*(HISTORIAL_HORARIOS!$D$2:$D$201&gt;=$A1286),0)),INDEX(IF($I1286="FIN",PERSONAL!$K$2:$K$80,PERSONAL!$G$2:$G$80),MATCH($B1286,PERSONAL!$A$2:$A$80,0)))))</f>
        <v/>
      </c>
      <c r="O1286" s="53">
        <f t="array" ref="O1286">IFERROR(INDEX(EXCEPCIONES_FECHA!$F$2:$F$201,MATCH(1,(EXCEPCIONES_FECHA!$A$2:$A$201=$A1286)*(EXCEPCIONES_FECHA!$B$2:$B$201=$B1286),0)),IFERROR(INDEX(EXCEPCIONES_FECHA!$F$2:$F$201,MATCH(1,(EXCEPCIONES_FECHA!$A$2:$A$201=$A1286)*(EXCEPCIONES_FECHA!$B$2:$B$201=""),0)),IFERROR(INDEX(IF($I1286="FIN",HISTORIAL_HORARIOS!$L$2:$L$201,HISTORIAL_HORARIOS!$H$2:$H$201),MATCH(1,(HISTORIAL_HORARIOS!$A$2:$A$201=$B1286)*(HISTORIAL_HORARIOS!$C$2:$C$201&lt;=$A1286)*(HISTORIAL_HORARIOS!$D$2:$D$201&gt;=$A1286),0)),INDEX(IF($I1286="FIN",PERSONAL!$L$2:$L$80,PERSONAL!$H$2:$H$80),MATCH($B1286,PERSONAL!$A$2:$A$80,0)))))</f>
        <v/>
      </c>
    </row>
    <row r="1287" ht="15" customHeight="1" s="58">
      <c r="A1287" s="40" t="n"/>
      <c r="B1287" s="38" t="n"/>
      <c r="C1287" s="40" t="n"/>
      <c r="D1287" s="40" t="n"/>
      <c r="E1287" s="34">
        <f t="array" ref="E1287">IF($B1287="","",IFERROR(INDEX(PERSONAL!$B$2:$B$80,MATCH($B1287,PERSONAL!$A$2:$A$80,0)),"NO EXISTE"))</f>
        <v/>
      </c>
      <c r="F1287" s="34">
        <f t="array" ref="F1287">IF($B1287="","",IFERROR(INDEX(PERSONAL!$C$2:$C$80,MATCH($B1287,PERSONAL!$A$2:$A$80,0)),""))</f>
        <v/>
      </c>
      <c r="G1287" s="34">
        <f>IF($A1287="","",CHOOSE(WEEKDAY($A1287,2),"LUNES","MARTES","MIÉRCOLES","JUEVES","VIERNES","SÁBADO","DOMINGO"))</f>
        <v/>
      </c>
      <c r="H1287" s="34">
        <f>IF($A1287="","",CHOOSE(MONTH($A1287),"ENERO","FEBRERO","MARZO","ABRIL","MAYO","JUNIO","JULIO","AGOSTO","SEPTIEMBRE","OCTUBRE","NOVIEMBRE","DICIEMBRE"))</f>
        <v/>
      </c>
      <c r="I1287" s="34">
        <f>IF($A1287="","",IF(OR($G1287="SÁBADO",$G1287="DOMINGO"),"FIN","LV"))</f>
        <v/>
      </c>
      <c r="J1287" s="34">
        <f>IF(OR($A1287="",$B1287=""),"",IF($L1287&lt;&gt;"",UPPER($L1287),IF($C1287="","FALTA",IFERROR(IF($C1287&gt;=$O1287,"ROJO FUERTE",IF($C1287&gt;=$N1287,"ROJO",IF($C1287&gt;=$M1287,"AMARILLO","VERDE"))),"REVISAR"))))</f>
        <v/>
      </c>
      <c r="K1287" s="36">
        <f>IF(OR($C1287="",$D1287=""),"",IF($D1287&gt;=$C1287,($D1287-$C1287)*24,(1-$C1287+$D1287)*24))</f>
        <v/>
      </c>
      <c r="L1287" s="34" t="n"/>
      <c r="M1287" s="53">
        <f t="array" ref="M1287">IFERROR(INDEX(EXCEPCIONES_FECHA!$D$2:$D$201,MATCH(1,(EXCEPCIONES_FECHA!$A$2:$A$201=$A1287)*(EXCEPCIONES_FECHA!$B$2:$B$201=$B1287),0)),IFERROR(INDEX(EXCEPCIONES_FECHA!$D$2:$D$201,MATCH(1,(EXCEPCIONES_FECHA!$A$2:$A$201=$A1287)*(EXCEPCIONES_FECHA!$B$2:$B$201=""),0)),IFERROR(INDEX(IF($I1287="FIN",HISTORIAL_HORARIOS!$J$2:$J$201,HISTORIAL_HORARIOS!$F$2:$F$201),MATCH(1,(HISTORIAL_HORARIOS!$A$2:$A$201=$B1287)*(HISTORIAL_HORARIOS!$C$2:$C$201&lt;=$A1287)*(HISTORIAL_HORARIOS!$D$2:$D$201&gt;=$A1287),0)),INDEX(IF($I1287="FIN",PERSONAL!$J$2:$J$80,PERSONAL!$F$2:$F$80),MATCH($B1287,PERSONAL!$A$2:$A$80,0)))))</f>
        <v/>
      </c>
      <c r="N1287" s="53">
        <f t="array" ref="N1287">IFERROR(INDEX(EXCEPCIONES_FECHA!$E$2:$E$201,MATCH(1,(EXCEPCIONES_FECHA!$A$2:$A$201=$A1287)*(EXCEPCIONES_FECHA!$B$2:$B$201=$B1287),0)),IFERROR(INDEX(EXCEPCIONES_FECHA!$E$2:$E$201,MATCH(1,(EXCEPCIONES_FECHA!$A$2:$A$201=$A1287)*(EXCEPCIONES_FECHA!$B$2:$B$201=""),0)),IFERROR(INDEX(IF($I1287="FIN",HISTORIAL_HORARIOS!$K$2:$K$201,HISTORIAL_HORARIOS!$G$2:$G$201),MATCH(1,(HISTORIAL_HORARIOS!$A$2:$A$201=$B1287)*(HISTORIAL_HORARIOS!$C$2:$C$201&lt;=$A1287)*(HISTORIAL_HORARIOS!$D$2:$D$201&gt;=$A1287),0)),INDEX(IF($I1287="FIN",PERSONAL!$K$2:$K$80,PERSONAL!$G$2:$G$80),MATCH($B1287,PERSONAL!$A$2:$A$80,0)))))</f>
        <v/>
      </c>
      <c r="O1287" s="53">
        <f t="array" ref="O1287">IFERROR(INDEX(EXCEPCIONES_FECHA!$F$2:$F$201,MATCH(1,(EXCEPCIONES_FECHA!$A$2:$A$201=$A1287)*(EXCEPCIONES_FECHA!$B$2:$B$201=$B1287),0)),IFERROR(INDEX(EXCEPCIONES_FECHA!$F$2:$F$201,MATCH(1,(EXCEPCIONES_FECHA!$A$2:$A$201=$A1287)*(EXCEPCIONES_FECHA!$B$2:$B$201=""),0)),IFERROR(INDEX(IF($I1287="FIN",HISTORIAL_HORARIOS!$L$2:$L$201,HISTORIAL_HORARIOS!$H$2:$H$201),MATCH(1,(HISTORIAL_HORARIOS!$A$2:$A$201=$B1287)*(HISTORIAL_HORARIOS!$C$2:$C$201&lt;=$A1287)*(HISTORIAL_HORARIOS!$D$2:$D$201&gt;=$A1287),0)),INDEX(IF($I1287="FIN",PERSONAL!$L$2:$L$80,PERSONAL!$H$2:$H$80),MATCH($B1287,PERSONAL!$A$2:$A$80,0)))))</f>
        <v/>
      </c>
    </row>
    <row r="1288" ht="15" customHeight="1" s="58">
      <c r="A1288" s="40" t="n"/>
      <c r="B1288" s="38" t="n"/>
      <c r="C1288" s="40" t="n"/>
      <c r="D1288" s="40" t="n"/>
      <c r="E1288" s="34">
        <f t="array" ref="E1288">IF($B1288="","",IFERROR(INDEX(PERSONAL!$B$2:$B$80,MATCH($B1288,PERSONAL!$A$2:$A$80,0)),"NO EXISTE"))</f>
        <v/>
      </c>
      <c r="F1288" s="34">
        <f t="array" ref="F1288">IF($B1288="","",IFERROR(INDEX(PERSONAL!$C$2:$C$80,MATCH($B1288,PERSONAL!$A$2:$A$80,0)),""))</f>
        <v/>
      </c>
      <c r="G1288" s="34">
        <f>IF($A1288="","",CHOOSE(WEEKDAY($A1288,2),"LUNES","MARTES","MIÉRCOLES","JUEVES","VIERNES","SÁBADO","DOMINGO"))</f>
        <v/>
      </c>
      <c r="H1288" s="34">
        <f>IF($A1288="","",CHOOSE(MONTH($A1288),"ENERO","FEBRERO","MARZO","ABRIL","MAYO","JUNIO","JULIO","AGOSTO","SEPTIEMBRE","OCTUBRE","NOVIEMBRE","DICIEMBRE"))</f>
        <v/>
      </c>
      <c r="I1288" s="34">
        <f>IF($A1288="","",IF(OR($G1288="SÁBADO",$G1288="DOMINGO"),"FIN","LV"))</f>
        <v/>
      </c>
      <c r="J1288" s="34">
        <f>IF(OR($A1288="",$B1288=""),"",IF($L1288&lt;&gt;"",UPPER($L1288),IF($C1288="","FALTA",IFERROR(IF($C1288&gt;=$O1288,"ROJO FUERTE",IF($C1288&gt;=$N1288,"ROJO",IF($C1288&gt;=$M1288,"AMARILLO","VERDE"))),"REVISAR"))))</f>
        <v/>
      </c>
      <c r="K1288" s="36">
        <f>IF(OR($C1288="",$D1288=""),"",IF($D1288&gt;=$C1288,($D1288-$C1288)*24,(1-$C1288+$D1288)*24))</f>
        <v/>
      </c>
      <c r="L1288" s="34" t="n"/>
      <c r="M1288" s="53">
        <f t="array" ref="M1288">IFERROR(INDEX(EXCEPCIONES_FECHA!$D$2:$D$201,MATCH(1,(EXCEPCIONES_FECHA!$A$2:$A$201=$A1288)*(EXCEPCIONES_FECHA!$B$2:$B$201=$B1288),0)),IFERROR(INDEX(EXCEPCIONES_FECHA!$D$2:$D$201,MATCH(1,(EXCEPCIONES_FECHA!$A$2:$A$201=$A1288)*(EXCEPCIONES_FECHA!$B$2:$B$201=""),0)),IFERROR(INDEX(IF($I1288="FIN",HISTORIAL_HORARIOS!$J$2:$J$201,HISTORIAL_HORARIOS!$F$2:$F$201),MATCH(1,(HISTORIAL_HORARIOS!$A$2:$A$201=$B1288)*(HISTORIAL_HORARIOS!$C$2:$C$201&lt;=$A1288)*(HISTORIAL_HORARIOS!$D$2:$D$201&gt;=$A1288),0)),INDEX(IF($I1288="FIN",PERSONAL!$J$2:$J$80,PERSONAL!$F$2:$F$80),MATCH($B1288,PERSONAL!$A$2:$A$80,0)))))</f>
        <v/>
      </c>
      <c r="N1288" s="53">
        <f t="array" ref="N1288">IFERROR(INDEX(EXCEPCIONES_FECHA!$E$2:$E$201,MATCH(1,(EXCEPCIONES_FECHA!$A$2:$A$201=$A1288)*(EXCEPCIONES_FECHA!$B$2:$B$201=$B1288),0)),IFERROR(INDEX(EXCEPCIONES_FECHA!$E$2:$E$201,MATCH(1,(EXCEPCIONES_FECHA!$A$2:$A$201=$A1288)*(EXCEPCIONES_FECHA!$B$2:$B$201=""),0)),IFERROR(INDEX(IF($I1288="FIN",HISTORIAL_HORARIOS!$K$2:$K$201,HISTORIAL_HORARIOS!$G$2:$G$201),MATCH(1,(HISTORIAL_HORARIOS!$A$2:$A$201=$B1288)*(HISTORIAL_HORARIOS!$C$2:$C$201&lt;=$A1288)*(HISTORIAL_HORARIOS!$D$2:$D$201&gt;=$A1288),0)),INDEX(IF($I1288="FIN",PERSONAL!$K$2:$K$80,PERSONAL!$G$2:$G$80),MATCH($B1288,PERSONAL!$A$2:$A$80,0)))))</f>
        <v/>
      </c>
      <c r="O1288" s="53">
        <f t="array" ref="O1288">IFERROR(INDEX(EXCEPCIONES_FECHA!$F$2:$F$201,MATCH(1,(EXCEPCIONES_FECHA!$A$2:$A$201=$A1288)*(EXCEPCIONES_FECHA!$B$2:$B$201=$B1288),0)),IFERROR(INDEX(EXCEPCIONES_FECHA!$F$2:$F$201,MATCH(1,(EXCEPCIONES_FECHA!$A$2:$A$201=$A1288)*(EXCEPCIONES_FECHA!$B$2:$B$201=""),0)),IFERROR(INDEX(IF($I1288="FIN",HISTORIAL_HORARIOS!$L$2:$L$201,HISTORIAL_HORARIOS!$H$2:$H$201),MATCH(1,(HISTORIAL_HORARIOS!$A$2:$A$201=$B1288)*(HISTORIAL_HORARIOS!$C$2:$C$201&lt;=$A1288)*(HISTORIAL_HORARIOS!$D$2:$D$201&gt;=$A1288),0)),INDEX(IF($I1288="FIN",PERSONAL!$L$2:$L$80,PERSONAL!$H$2:$H$80),MATCH($B1288,PERSONAL!$A$2:$A$80,0)))))</f>
        <v/>
      </c>
    </row>
    <row r="1289" ht="15" customHeight="1" s="58">
      <c r="A1289" s="40" t="n"/>
      <c r="B1289" s="38" t="n"/>
      <c r="C1289" s="40" t="n"/>
      <c r="D1289" s="40" t="n"/>
      <c r="E1289" s="34">
        <f t="array" ref="E1289">IF($B1289="","",IFERROR(INDEX(PERSONAL!$B$2:$B$80,MATCH($B1289,PERSONAL!$A$2:$A$80,0)),"NO EXISTE"))</f>
        <v/>
      </c>
      <c r="F1289" s="34">
        <f t="array" ref="F1289">IF($B1289="","",IFERROR(INDEX(PERSONAL!$C$2:$C$80,MATCH($B1289,PERSONAL!$A$2:$A$80,0)),""))</f>
        <v/>
      </c>
      <c r="G1289" s="34">
        <f>IF($A1289="","",CHOOSE(WEEKDAY($A1289,2),"LUNES","MARTES","MIÉRCOLES","JUEVES","VIERNES","SÁBADO","DOMINGO"))</f>
        <v/>
      </c>
      <c r="H1289" s="34">
        <f>IF($A1289="","",CHOOSE(MONTH($A1289),"ENERO","FEBRERO","MARZO","ABRIL","MAYO","JUNIO","JULIO","AGOSTO","SEPTIEMBRE","OCTUBRE","NOVIEMBRE","DICIEMBRE"))</f>
        <v/>
      </c>
      <c r="I1289" s="34">
        <f>IF($A1289="","",IF(OR($G1289="SÁBADO",$G1289="DOMINGO"),"FIN","LV"))</f>
        <v/>
      </c>
      <c r="J1289" s="34">
        <f>IF(OR($A1289="",$B1289=""),"",IF($L1289&lt;&gt;"",UPPER($L1289),IF($C1289="","FALTA",IFERROR(IF($C1289&gt;=$O1289,"ROJO FUERTE",IF($C1289&gt;=$N1289,"ROJO",IF($C1289&gt;=$M1289,"AMARILLO","VERDE"))),"REVISAR"))))</f>
        <v/>
      </c>
      <c r="K1289" s="36">
        <f>IF(OR($C1289="",$D1289=""),"",IF($D1289&gt;=$C1289,($D1289-$C1289)*24,(1-$C1289+$D1289)*24))</f>
        <v/>
      </c>
      <c r="L1289" s="34" t="n"/>
      <c r="M1289" s="53">
        <f t="array" ref="M1289">IFERROR(INDEX(EXCEPCIONES_FECHA!$D$2:$D$201,MATCH(1,(EXCEPCIONES_FECHA!$A$2:$A$201=$A1289)*(EXCEPCIONES_FECHA!$B$2:$B$201=$B1289),0)),IFERROR(INDEX(EXCEPCIONES_FECHA!$D$2:$D$201,MATCH(1,(EXCEPCIONES_FECHA!$A$2:$A$201=$A1289)*(EXCEPCIONES_FECHA!$B$2:$B$201=""),0)),IFERROR(INDEX(IF($I1289="FIN",HISTORIAL_HORARIOS!$J$2:$J$201,HISTORIAL_HORARIOS!$F$2:$F$201),MATCH(1,(HISTORIAL_HORARIOS!$A$2:$A$201=$B1289)*(HISTORIAL_HORARIOS!$C$2:$C$201&lt;=$A1289)*(HISTORIAL_HORARIOS!$D$2:$D$201&gt;=$A1289),0)),INDEX(IF($I1289="FIN",PERSONAL!$J$2:$J$80,PERSONAL!$F$2:$F$80),MATCH($B1289,PERSONAL!$A$2:$A$80,0)))))</f>
        <v/>
      </c>
      <c r="N1289" s="53">
        <f t="array" ref="N1289">IFERROR(INDEX(EXCEPCIONES_FECHA!$E$2:$E$201,MATCH(1,(EXCEPCIONES_FECHA!$A$2:$A$201=$A1289)*(EXCEPCIONES_FECHA!$B$2:$B$201=$B1289),0)),IFERROR(INDEX(EXCEPCIONES_FECHA!$E$2:$E$201,MATCH(1,(EXCEPCIONES_FECHA!$A$2:$A$201=$A1289)*(EXCEPCIONES_FECHA!$B$2:$B$201=""),0)),IFERROR(INDEX(IF($I1289="FIN",HISTORIAL_HORARIOS!$K$2:$K$201,HISTORIAL_HORARIOS!$G$2:$G$201),MATCH(1,(HISTORIAL_HORARIOS!$A$2:$A$201=$B1289)*(HISTORIAL_HORARIOS!$C$2:$C$201&lt;=$A1289)*(HISTORIAL_HORARIOS!$D$2:$D$201&gt;=$A1289),0)),INDEX(IF($I1289="FIN",PERSONAL!$K$2:$K$80,PERSONAL!$G$2:$G$80),MATCH($B1289,PERSONAL!$A$2:$A$80,0)))))</f>
        <v/>
      </c>
      <c r="O1289" s="53">
        <f t="array" ref="O1289">IFERROR(INDEX(EXCEPCIONES_FECHA!$F$2:$F$201,MATCH(1,(EXCEPCIONES_FECHA!$A$2:$A$201=$A1289)*(EXCEPCIONES_FECHA!$B$2:$B$201=$B1289),0)),IFERROR(INDEX(EXCEPCIONES_FECHA!$F$2:$F$201,MATCH(1,(EXCEPCIONES_FECHA!$A$2:$A$201=$A1289)*(EXCEPCIONES_FECHA!$B$2:$B$201=""),0)),IFERROR(INDEX(IF($I1289="FIN",HISTORIAL_HORARIOS!$L$2:$L$201,HISTORIAL_HORARIOS!$H$2:$H$201),MATCH(1,(HISTORIAL_HORARIOS!$A$2:$A$201=$B1289)*(HISTORIAL_HORARIOS!$C$2:$C$201&lt;=$A1289)*(HISTORIAL_HORARIOS!$D$2:$D$201&gt;=$A1289),0)),INDEX(IF($I1289="FIN",PERSONAL!$L$2:$L$80,PERSONAL!$H$2:$H$80),MATCH($B1289,PERSONAL!$A$2:$A$80,0)))))</f>
        <v/>
      </c>
    </row>
    <row r="1290" ht="15" customHeight="1" s="58">
      <c r="A1290" s="40" t="n"/>
      <c r="B1290" s="38" t="n"/>
      <c r="C1290" s="40" t="n"/>
      <c r="D1290" s="40" t="n"/>
      <c r="E1290" s="34">
        <f t="array" ref="E1290">IF($B1290="","",IFERROR(INDEX(PERSONAL!$B$2:$B$80,MATCH($B1290,PERSONAL!$A$2:$A$80,0)),"NO EXISTE"))</f>
        <v/>
      </c>
      <c r="F1290" s="34">
        <f t="array" ref="F1290">IF($B1290="","",IFERROR(INDEX(PERSONAL!$C$2:$C$80,MATCH($B1290,PERSONAL!$A$2:$A$80,0)),""))</f>
        <v/>
      </c>
      <c r="G1290" s="34">
        <f>IF($A1290="","",CHOOSE(WEEKDAY($A1290,2),"LUNES","MARTES","MIÉRCOLES","JUEVES","VIERNES","SÁBADO","DOMINGO"))</f>
        <v/>
      </c>
      <c r="H1290" s="34">
        <f>IF($A1290="","",CHOOSE(MONTH($A1290),"ENERO","FEBRERO","MARZO","ABRIL","MAYO","JUNIO","JULIO","AGOSTO","SEPTIEMBRE","OCTUBRE","NOVIEMBRE","DICIEMBRE"))</f>
        <v/>
      </c>
      <c r="I1290" s="34">
        <f>IF($A1290="","",IF(OR($G1290="SÁBADO",$G1290="DOMINGO"),"FIN","LV"))</f>
        <v/>
      </c>
      <c r="J1290" s="34">
        <f>IF(OR($A1290="",$B1290=""),"",IF($L1290&lt;&gt;"",UPPER($L1290),IF($C1290="","FALTA",IFERROR(IF($C1290&gt;=$O1290,"ROJO FUERTE",IF($C1290&gt;=$N1290,"ROJO",IF($C1290&gt;=$M1290,"AMARILLO","VERDE"))),"REVISAR"))))</f>
        <v/>
      </c>
      <c r="K1290" s="36">
        <f>IF(OR($C1290="",$D1290=""),"",IF($D1290&gt;=$C1290,($D1290-$C1290)*24,(1-$C1290+$D1290)*24))</f>
        <v/>
      </c>
      <c r="L1290" s="34" t="n"/>
      <c r="M1290" s="53">
        <f t="array" ref="M1290">IFERROR(INDEX(EXCEPCIONES_FECHA!$D$2:$D$201,MATCH(1,(EXCEPCIONES_FECHA!$A$2:$A$201=$A1290)*(EXCEPCIONES_FECHA!$B$2:$B$201=$B1290),0)),IFERROR(INDEX(EXCEPCIONES_FECHA!$D$2:$D$201,MATCH(1,(EXCEPCIONES_FECHA!$A$2:$A$201=$A1290)*(EXCEPCIONES_FECHA!$B$2:$B$201=""),0)),IFERROR(INDEX(IF($I1290="FIN",HISTORIAL_HORARIOS!$J$2:$J$201,HISTORIAL_HORARIOS!$F$2:$F$201),MATCH(1,(HISTORIAL_HORARIOS!$A$2:$A$201=$B1290)*(HISTORIAL_HORARIOS!$C$2:$C$201&lt;=$A1290)*(HISTORIAL_HORARIOS!$D$2:$D$201&gt;=$A1290),0)),INDEX(IF($I1290="FIN",PERSONAL!$J$2:$J$80,PERSONAL!$F$2:$F$80),MATCH($B1290,PERSONAL!$A$2:$A$80,0)))))</f>
        <v/>
      </c>
      <c r="N1290" s="53">
        <f t="array" ref="N1290">IFERROR(INDEX(EXCEPCIONES_FECHA!$E$2:$E$201,MATCH(1,(EXCEPCIONES_FECHA!$A$2:$A$201=$A1290)*(EXCEPCIONES_FECHA!$B$2:$B$201=$B1290),0)),IFERROR(INDEX(EXCEPCIONES_FECHA!$E$2:$E$201,MATCH(1,(EXCEPCIONES_FECHA!$A$2:$A$201=$A1290)*(EXCEPCIONES_FECHA!$B$2:$B$201=""),0)),IFERROR(INDEX(IF($I1290="FIN",HISTORIAL_HORARIOS!$K$2:$K$201,HISTORIAL_HORARIOS!$G$2:$G$201),MATCH(1,(HISTORIAL_HORARIOS!$A$2:$A$201=$B1290)*(HISTORIAL_HORARIOS!$C$2:$C$201&lt;=$A1290)*(HISTORIAL_HORARIOS!$D$2:$D$201&gt;=$A1290),0)),INDEX(IF($I1290="FIN",PERSONAL!$K$2:$K$80,PERSONAL!$G$2:$G$80),MATCH($B1290,PERSONAL!$A$2:$A$80,0)))))</f>
        <v/>
      </c>
      <c r="O1290" s="53">
        <f t="array" ref="O1290">IFERROR(INDEX(EXCEPCIONES_FECHA!$F$2:$F$201,MATCH(1,(EXCEPCIONES_FECHA!$A$2:$A$201=$A1290)*(EXCEPCIONES_FECHA!$B$2:$B$201=$B1290),0)),IFERROR(INDEX(EXCEPCIONES_FECHA!$F$2:$F$201,MATCH(1,(EXCEPCIONES_FECHA!$A$2:$A$201=$A1290)*(EXCEPCIONES_FECHA!$B$2:$B$201=""),0)),IFERROR(INDEX(IF($I1290="FIN",HISTORIAL_HORARIOS!$L$2:$L$201,HISTORIAL_HORARIOS!$H$2:$H$201),MATCH(1,(HISTORIAL_HORARIOS!$A$2:$A$201=$B1290)*(HISTORIAL_HORARIOS!$C$2:$C$201&lt;=$A1290)*(HISTORIAL_HORARIOS!$D$2:$D$201&gt;=$A1290),0)),INDEX(IF($I1290="FIN",PERSONAL!$L$2:$L$80,PERSONAL!$H$2:$H$80),MATCH($B1290,PERSONAL!$A$2:$A$80,0)))))</f>
        <v/>
      </c>
    </row>
    <row r="1291" ht="15" customHeight="1" s="58">
      <c r="A1291" s="40" t="n"/>
      <c r="B1291" s="38" t="n"/>
      <c r="C1291" s="40" t="n"/>
      <c r="D1291" s="40" t="n"/>
      <c r="E1291" s="34">
        <f t="array" ref="E1291">IF($B1291="","",IFERROR(INDEX(PERSONAL!$B$2:$B$80,MATCH($B1291,PERSONAL!$A$2:$A$80,0)),"NO EXISTE"))</f>
        <v/>
      </c>
      <c r="F1291" s="34">
        <f t="array" ref="F1291">IF($B1291="","",IFERROR(INDEX(PERSONAL!$C$2:$C$80,MATCH($B1291,PERSONAL!$A$2:$A$80,0)),""))</f>
        <v/>
      </c>
      <c r="G1291" s="34">
        <f>IF($A1291="","",CHOOSE(WEEKDAY($A1291,2),"LUNES","MARTES","MIÉRCOLES","JUEVES","VIERNES","SÁBADO","DOMINGO"))</f>
        <v/>
      </c>
      <c r="H1291" s="34">
        <f>IF($A1291="","",CHOOSE(MONTH($A1291),"ENERO","FEBRERO","MARZO","ABRIL","MAYO","JUNIO","JULIO","AGOSTO","SEPTIEMBRE","OCTUBRE","NOVIEMBRE","DICIEMBRE"))</f>
        <v/>
      </c>
      <c r="I1291" s="34">
        <f>IF($A1291="","",IF(OR($G1291="SÁBADO",$G1291="DOMINGO"),"FIN","LV"))</f>
        <v/>
      </c>
      <c r="J1291" s="34">
        <f>IF(OR($A1291="",$B1291=""),"",IF($L1291&lt;&gt;"",UPPER($L1291),IF($C1291="","FALTA",IFERROR(IF($C1291&gt;=$O1291,"ROJO FUERTE",IF($C1291&gt;=$N1291,"ROJO",IF($C1291&gt;=$M1291,"AMARILLO","VERDE"))),"REVISAR"))))</f>
        <v/>
      </c>
      <c r="K1291" s="36">
        <f>IF(OR($C1291="",$D1291=""),"",IF($D1291&gt;=$C1291,($D1291-$C1291)*24,(1-$C1291+$D1291)*24))</f>
        <v/>
      </c>
      <c r="L1291" s="34" t="n"/>
      <c r="M1291" s="53">
        <f t="array" ref="M1291">IFERROR(INDEX(EXCEPCIONES_FECHA!$D$2:$D$201,MATCH(1,(EXCEPCIONES_FECHA!$A$2:$A$201=$A1291)*(EXCEPCIONES_FECHA!$B$2:$B$201=$B1291),0)),IFERROR(INDEX(EXCEPCIONES_FECHA!$D$2:$D$201,MATCH(1,(EXCEPCIONES_FECHA!$A$2:$A$201=$A1291)*(EXCEPCIONES_FECHA!$B$2:$B$201=""),0)),IFERROR(INDEX(IF($I1291="FIN",HISTORIAL_HORARIOS!$J$2:$J$201,HISTORIAL_HORARIOS!$F$2:$F$201),MATCH(1,(HISTORIAL_HORARIOS!$A$2:$A$201=$B1291)*(HISTORIAL_HORARIOS!$C$2:$C$201&lt;=$A1291)*(HISTORIAL_HORARIOS!$D$2:$D$201&gt;=$A1291),0)),INDEX(IF($I1291="FIN",PERSONAL!$J$2:$J$80,PERSONAL!$F$2:$F$80),MATCH($B1291,PERSONAL!$A$2:$A$80,0)))))</f>
        <v/>
      </c>
      <c r="N1291" s="53">
        <f t="array" ref="N1291">IFERROR(INDEX(EXCEPCIONES_FECHA!$E$2:$E$201,MATCH(1,(EXCEPCIONES_FECHA!$A$2:$A$201=$A1291)*(EXCEPCIONES_FECHA!$B$2:$B$201=$B1291),0)),IFERROR(INDEX(EXCEPCIONES_FECHA!$E$2:$E$201,MATCH(1,(EXCEPCIONES_FECHA!$A$2:$A$201=$A1291)*(EXCEPCIONES_FECHA!$B$2:$B$201=""),0)),IFERROR(INDEX(IF($I1291="FIN",HISTORIAL_HORARIOS!$K$2:$K$201,HISTORIAL_HORARIOS!$G$2:$G$201),MATCH(1,(HISTORIAL_HORARIOS!$A$2:$A$201=$B1291)*(HISTORIAL_HORARIOS!$C$2:$C$201&lt;=$A1291)*(HISTORIAL_HORARIOS!$D$2:$D$201&gt;=$A1291),0)),INDEX(IF($I1291="FIN",PERSONAL!$K$2:$K$80,PERSONAL!$G$2:$G$80),MATCH($B1291,PERSONAL!$A$2:$A$80,0)))))</f>
        <v/>
      </c>
      <c r="O1291" s="53">
        <f t="array" ref="O1291">IFERROR(INDEX(EXCEPCIONES_FECHA!$F$2:$F$201,MATCH(1,(EXCEPCIONES_FECHA!$A$2:$A$201=$A1291)*(EXCEPCIONES_FECHA!$B$2:$B$201=$B1291),0)),IFERROR(INDEX(EXCEPCIONES_FECHA!$F$2:$F$201,MATCH(1,(EXCEPCIONES_FECHA!$A$2:$A$201=$A1291)*(EXCEPCIONES_FECHA!$B$2:$B$201=""),0)),IFERROR(INDEX(IF($I1291="FIN",HISTORIAL_HORARIOS!$L$2:$L$201,HISTORIAL_HORARIOS!$H$2:$H$201),MATCH(1,(HISTORIAL_HORARIOS!$A$2:$A$201=$B1291)*(HISTORIAL_HORARIOS!$C$2:$C$201&lt;=$A1291)*(HISTORIAL_HORARIOS!$D$2:$D$201&gt;=$A1291),0)),INDEX(IF($I1291="FIN",PERSONAL!$L$2:$L$80,PERSONAL!$H$2:$H$80),MATCH($B1291,PERSONAL!$A$2:$A$80,0)))))</f>
        <v/>
      </c>
    </row>
    <row r="1292" ht="15" customHeight="1" s="58">
      <c r="A1292" s="40" t="n"/>
      <c r="B1292" s="38" t="n"/>
      <c r="C1292" s="40" t="n"/>
      <c r="D1292" s="40" t="n"/>
      <c r="E1292" s="34">
        <f t="array" ref="E1292">IF($B1292="","",IFERROR(INDEX(PERSONAL!$B$2:$B$80,MATCH($B1292,PERSONAL!$A$2:$A$80,0)),"NO EXISTE"))</f>
        <v/>
      </c>
      <c r="F1292" s="34">
        <f t="array" ref="F1292">IF($B1292="","",IFERROR(INDEX(PERSONAL!$C$2:$C$80,MATCH($B1292,PERSONAL!$A$2:$A$80,0)),""))</f>
        <v/>
      </c>
      <c r="G1292" s="34">
        <f>IF($A1292="","",CHOOSE(WEEKDAY($A1292,2),"LUNES","MARTES","MIÉRCOLES","JUEVES","VIERNES","SÁBADO","DOMINGO"))</f>
        <v/>
      </c>
      <c r="H1292" s="34">
        <f>IF($A1292="","",CHOOSE(MONTH($A1292),"ENERO","FEBRERO","MARZO","ABRIL","MAYO","JUNIO","JULIO","AGOSTO","SEPTIEMBRE","OCTUBRE","NOVIEMBRE","DICIEMBRE"))</f>
        <v/>
      </c>
      <c r="I1292" s="34">
        <f>IF($A1292="","",IF(OR($G1292="SÁBADO",$G1292="DOMINGO"),"FIN","LV"))</f>
        <v/>
      </c>
      <c r="J1292" s="34">
        <f>IF(OR($A1292="",$B1292=""),"",IF($L1292&lt;&gt;"",UPPER($L1292),IF($C1292="","FALTA",IFERROR(IF($C1292&gt;=$O1292,"ROJO FUERTE",IF($C1292&gt;=$N1292,"ROJO",IF($C1292&gt;=$M1292,"AMARILLO","VERDE"))),"REVISAR"))))</f>
        <v/>
      </c>
      <c r="K1292" s="36">
        <f>IF(OR($C1292="",$D1292=""),"",IF($D1292&gt;=$C1292,($D1292-$C1292)*24,(1-$C1292+$D1292)*24))</f>
        <v/>
      </c>
      <c r="L1292" s="34" t="n"/>
      <c r="M1292" s="53">
        <f t="array" ref="M1292">IFERROR(INDEX(EXCEPCIONES_FECHA!$D$2:$D$201,MATCH(1,(EXCEPCIONES_FECHA!$A$2:$A$201=$A1292)*(EXCEPCIONES_FECHA!$B$2:$B$201=$B1292),0)),IFERROR(INDEX(EXCEPCIONES_FECHA!$D$2:$D$201,MATCH(1,(EXCEPCIONES_FECHA!$A$2:$A$201=$A1292)*(EXCEPCIONES_FECHA!$B$2:$B$201=""),0)),IFERROR(INDEX(IF($I1292="FIN",HISTORIAL_HORARIOS!$J$2:$J$201,HISTORIAL_HORARIOS!$F$2:$F$201),MATCH(1,(HISTORIAL_HORARIOS!$A$2:$A$201=$B1292)*(HISTORIAL_HORARIOS!$C$2:$C$201&lt;=$A1292)*(HISTORIAL_HORARIOS!$D$2:$D$201&gt;=$A1292),0)),INDEX(IF($I1292="FIN",PERSONAL!$J$2:$J$80,PERSONAL!$F$2:$F$80),MATCH($B1292,PERSONAL!$A$2:$A$80,0)))))</f>
        <v/>
      </c>
      <c r="N1292" s="53">
        <f t="array" ref="N1292">IFERROR(INDEX(EXCEPCIONES_FECHA!$E$2:$E$201,MATCH(1,(EXCEPCIONES_FECHA!$A$2:$A$201=$A1292)*(EXCEPCIONES_FECHA!$B$2:$B$201=$B1292),0)),IFERROR(INDEX(EXCEPCIONES_FECHA!$E$2:$E$201,MATCH(1,(EXCEPCIONES_FECHA!$A$2:$A$201=$A1292)*(EXCEPCIONES_FECHA!$B$2:$B$201=""),0)),IFERROR(INDEX(IF($I1292="FIN",HISTORIAL_HORARIOS!$K$2:$K$201,HISTORIAL_HORARIOS!$G$2:$G$201),MATCH(1,(HISTORIAL_HORARIOS!$A$2:$A$201=$B1292)*(HISTORIAL_HORARIOS!$C$2:$C$201&lt;=$A1292)*(HISTORIAL_HORARIOS!$D$2:$D$201&gt;=$A1292),0)),INDEX(IF($I1292="FIN",PERSONAL!$K$2:$K$80,PERSONAL!$G$2:$G$80),MATCH($B1292,PERSONAL!$A$2:$A$80,0)))))</f>
        <v/>
      </c>
      <c r="O1292" s="53">
        <f t="array" ref="O1292">IFERROR(INDEX(EXCEPCIONES_FECHA!$F$2:$F$201,MATCH(1,(EXCEPCIONES_FECHA!$A$2:$A$201=$A1292)*(EXCEPCIONES_FECHA!$B$2:$B$201=$B1292),0)),IFERROR(INDEX(EXCEPCIONES_FECHA!$F$2:$F$201,MATCH(1,(EXCEPCIONES_FECHA!$A$2:$A$201=$A1292)*(EXCEPCIONES_FECHA!$B$2:$B$201=""),0)),IFERROR(INDEX(IF($I1292="FIN",HISTORIAL_HORARIOS!$L$2:$L$201,HISTORIAL_HORARIOS!$H$2:$H$201),MATCH(1,(HISTORIAL_HORARIOS!$A$2:$A$201=$B1292)*(HISTORIAL_HORARIOS!$C$2:$C$201&lt;=$A1292)*(HISTORIAL_HORARIOS!$D$2:$D$201&gt;=$A1292),0)),INDEX(IF($I1292="FIN",PERSONAL!$L$2:$L$80,PERSONAL!$H$2:$H$80),MATCH($B1292,PERSONAL!$A$2:$A$80,0)))))</f>
        <v/>
      </c>
    </row>
    <row r="1293" ht="15" customHeight="1" s="58">
      <c r="A1293" s="40" t="n"/>
      <c r="B1293" s="38" t="n"/>
      <c r="C1293" s="40" t="n"/>
      <c r="D1293" s="40" t="n"/>
      <c r="E1293" s="34">
        <f t="array" ref="E1293">IF($B1293="","",IFERROR(INDEX(PERSONAL!$B$2:$B$80,MATCH($B1293,PERSONAL!$A$2:$A$80,0)),"NO EXISTE"))</f>
        <v/>
      </c>
      <c r="F1293" s="34">
        <f t="array" ref="F1293">IF($B1293="","",IFERROR(INDEX(PERSONAL!$C$2:$C$80,MATCH($B1293,PERSONAL!$A$2:$A$80,0)),""))</f>
        <v/>
      </c>
      <c r="G1293" s="34">
        <f>IF($A1293="","",CHOOSE(WEEKDAY($A1293,2),"LUNES","MARTES","MIÉRCOLES","JUEVES","VIERNES","SÁBADO","DOMINGO"))</f>
        <v/>
      </c>
      <c r="H1293" s="34">
        <f>IF($A1293="","",CHOOSE(MONTH($A1293),"ENERO","FEBRERO","MARZO","ABRIL","MAYO","JUNIO","JULIO","AGOSTO","SEPTIEMBRE","OCTUBRE","NOVIEMBRE","DICIEMBRE"))</f>
        <v/>
      </c>
      <c r="I1293" s="34">
        <f>IF($A1293="","",IF(OR($G1293="SÁBADO",$G1293="DOMINGO"),"FIN","LV"))</f>
        <v/>
      </c>
      <c r="J1293" s="34">
        <f>IF(OR($A1293="",$B1293=""),"",IF($L1293&lt;&gt;"",UPPER($L1293),IF($C1293="","FALTA",IFERROR(IF($C1293&gt;=$O1293,"ROJO FUERTE",IF($C1293&gt;=$N1293,"ROJO",IF($C1293&gt;=$M1293,"AMARILLO","VERDE"))),"REVISAR"))))</f>
        <v/>
      </c>
      <c r="K1293" s="36">
        <f>IF(OR($C1293="",$D1293=""),"",IF($D1293&gt;=$C1293,($D1293-$C1293)*24,(1-$C1293+$D1293)*24))</f>
        <v/>
      </c>
      <c r="L1293" s="34" t="n"/>
      <c r="M1293" s="53">
        <f t="array" ref="M1293">IFERROR(INDEX(EXCEPCIONES_FECHA!$D$2:$D$201,MATCH(1,(EXCEPCIONES_FECHA!$A$2:$A$201=$A1293)*(EXCEPCIONES_FECHA!$B$2:$B$201=$B1293),0)),IFERROR(INDEX(EXCEPCIONES_FECHA!$D$2:$D$201,MATCH(1,(EXCEPCIONES_FECHA!$A$2:$A$201=$A1293)*(EXCEPCIONES_FECHA!$B$2:$B$201=""),0)),IFERROR(INDEX(IF($I1293="FIN",HISTORIAL_HORARIOS!$J$2:$J$201,HISTORIAL_HORARIOS!$F$2:$F$201),MATCH(1,(HISTORIAL_HORARIOS!$A$2:$A$201=$B1293)*(HISTORIAL_HORARIOS!$C$2:$C$201&lt;=$A1293)*(HISTORIAL_HORARIOS!$D$2:$D$201&gt;=$A1293),0)),INDEX(IF($I1293="FIN",PERSONAL!$J$2:$J$80,PERSONAL!$F$2:$F$80),MATCH($B1293,PERSONAL!$A$2:$A$80,0)))))</f>
        <v/>
      </c>
      <c r="N1293" s="53">
        <f t="array" ref="N1293">IFERROR(INDEX(EXCEPCIONES_FECHA!$E$2:$E$201,MATCH(1,(EXCEPCIONES_FECHA!$A$2:$A$201=$A1293)*(EXCEPCIONES_FECHA!$B$2:$B$201=$B1293),0)),IFERROR(INDEX(EXCEPCIONES_FECHA!$E$2:$E$201,MATCH(1,(EXCEPCIONES_FECHA!$A$2:$A$201=$A1293)*(EXCEPCIONES_FECHA!$B$2:$B$201=""),0)),IFERROR(INDEX(IF($I1293="FIN",HISTORIAL_HORARIOS!$K$2:$K$201,HISTORIAL_HORARIOS!$G$2:$G$201),MATCH(1,(HISTORIAL_HORARIOS!$A$2:$A$201=$B1293)*(HISTORIAL_HORARIOS!$C$2:$C$201&lt;=$A1293)*(HISTORIAL_HORARIOS!$D$2:$D$201&gt;=$A1293),0)),INDEX(IF($I1293="FIN",PERSONAL!$K$2:$K$80,PERSONAL!$G$2:$G$80),MATCH($B1293,PERSONAL!$A$2:$A$80,0)))))</f>
        <v/>
      </c>
      <c r="O1293" s="53">
        <f t="array" ref="O1293">IFERROR(INDEX(EXCEPCIONES_FECHA!$F$2:$F$201,MATCH(1,(EXCEPCIONES_FECHA!$A$2:$A$201=$A1293)*(EXCEPCIONES_FECHA!$B$2:$B$201=$B1293),0)),IFERROR(INDEX(EXCEPCIONES_FECHA!$F$2:$F$201,MATCH(1,(EXCEPCIONES_FECHA!$A$2:$A$201=$A1293)*(EXCEPCIONES_FECHA!$B$2:$B$201=""),0)),IFERROR(INDEX(IF($I1293="FIN",HISTORIAL_HORARIOS!$L$2:$L$201,HISTORIAL_HORARIOS!$H$2:$H$201),MATCH(1,(HISTORIAL_HORARIOS!$A$2:$A$201=$B1293)*(HISTORIAL_HORARIOS!$C$2:$C$201&lt;=$A1293)*(HISTORIAL_HORARIOS!$D$2:$D$201&gt;=$A1293),0)),INDEX(IF($I1293="FIN",PERSONAL!$L$2:$L$80,PERSONAL!$H$2:$H$80),MATCH($B1293,PERSONAL!$A$2:$A$80,0)))))</f>
        <v/>
      </c>
    </row>
    <row r="1294" ht="15" customHeight="1" s="58">
      <c r="A1294" s="40" t="n"/>
      <c r="B1294" s="38" t="n"/>
      <c r="C1294" s="40" t="n"/>
      <c r="D1294" s="40" t="n"/>
      <c r="E1294" s="34">
        <f t="array" ref="E1294">IF($B1294="","",IFERROR(INDEX(PERSONAL!$B$2:$B$80,MATCH($B1294,PERSONAL!$A$2:$A$80,0)),"NO EXISTE"))</f>
        <v/>
      </c>
      <c r="F1294" s="34">
        <f t="array" ref="F1294">IF($B1294="","",IFERROR(INDEX(PERSONAL!$C$2:$C$80,MATCH($B1294,PERSONAL!$A$2:$A$80,0)),""))</f>
        <v/>
      </c>
      <c r="G1294" s="34">
        <f>IF($A1294="","",CHOOSE(WEEKDAY($A1294,2),"LUNES","MARTES","MIÉRCOLES","JUEVES","VIERNES","SÁBADO","DOMINGO"))</f>
        <v/>
      </c>
      <c r="H1294" s="34">
        <f>IF($A1294="","",CHOOSE(MONTH($A1294),"ENERO","FEBRERO","MARZO","ABRIL","MAYO","JUNIO","JULIO","AGOSTO","SEPTIEMBRE","OCTUBRE","NOVIEMBRE","DICIEMBRE"))</f>
        <v/>
      </c>
      <c r="I1294" s="34">
        <f>IF($A1294="","",IF(OR($G1294="SÁBADO",$G1294="DOMINGO"),"FIN","LV"))</f>
        <v/>
      </c>
      <c r="J1294" s="34">
        <f>IF(OR($A1294="",$B1294=""),"",IF($L1294&lt;&gt;"",UPPER($L1294),IF($C1294="","FALTA",IFERROR(IF($C1294&gt;=$O1294,"ROJO FUERTE",IF($C1294&gt;=$N1294,"ROJO",IF($C1294&gt;=$M1294,"AMARILLO","VERDE"))),"REVISAR"))))</f>
        <v/>
      </c>
      <c r="K1294" s="36">
        <f>IF(OR($C1294="",$D1294=""),"",IF($D1294&gt;=$C1294,($D1294-$C1294)*24,(1-$C1294+$D1294)*24))</f>
        <v/>
      </c>
      <c r="L1294" s="34" t="n"/>
      <c r="M1294" s="53">
        <f t="array" ref="M1294">IFERROR(INDEX(EXCEPCIONES_FECHA!$D$2:$D$201,MATCH(1,(EXCEPCIONES_FECHA!$A$2:$A$201=$A1294)*(EXCEPCIONES_FECHA!$B$2:$B$201=$B1294),0)),IFERROR(INDEX(EXCEPCIONES_FECHA!$D$2:$D$201,MATCH(1,(EXCEPCIONES_FECHA!$A$2:$A$201=$A1294)*(EXCEPCIONES_FECHA!$B$2:$B$201=""),0)),IFERROR(INDEX(IF($I1294="FIN",HISTORIAL_HORARIOS!$J$2:$J$201,HISTORIAL_HORARIOS!$F$2:$F$201),MATCH(1,(HISTORIAL_HORARIOS!$A$2:$A$201=$B1294)*(HISTORIAL_HORARIOS!$C$2:$C$201&lt;=$A1294)*(HISTORIAL_HORARIOS!$D$2:$D$201&gt;=$A1294),0)),INDEX(IF($I1294="FIN",PERSONAL!$J$2:$J$80,PERSONAL!$F$2:$F$80),MATCH($B1294,PERSONAL!$A$2:$A$80,0)))))</f>
        <v/>
      </c>
      <c r="N1294" s="53">
        <f t="array" ref="N1294">IFERROR(INDEX(EXCEPCIONES_FECHA!$E$2:$E$201,MATCH(1,(EXCEPCIONES_FECHA!$A$2:$A$201=$A1294)*(EXCEPCIONES_FECHA!$B$2:$B$201=$B1294),0)),IFERROR(INDEX(EXCEPCIONES_FECHA!$E$2:$E$201,MATCH(1,(EXCEPCIONES_FECHA!$A$2:$A$201=$A1294)*(EXCEPCIONES_FECHA!$B$2:$B$201=""),0)),IFERROR(INDEX(IF($I1294="FIN",HISTORIAL_HORARIOS!$K$2:$K$201,HISTORIAL_HORARIOS!$G$2:$G$201),MATCH(1,(HISTORIAL_HORARIOS!$A$2:$A$201=$B1294)*(HISTORIAL_HORARIOS!$C$2:$C$201&lt;=$A1294)*(HISTORIAL_HORARIOS!$D$2:$D$201&gt;=$A1294),0)),INDEX(IF($I1294="FIN",PERSONAL!$K$2:$K$80,PERSONAL!$G$2:$G$80),MATCH($B1294,PERSONAL!$A$2:$A$80,0)))))</f>
        <v/>
      </c>
      <c r="O1294" s="53">
        <f t="array" ref="O1294">IFERROR(INDEX(EXCEPCIONES_FECHA!$F$2:$F$201,MATCH(1,(EXCEPCIONES_FECHA!$A$2:$A$201=$A1294)*(EXCEPCIONES_FECHA!$B$2:$B$201=$B1294),0)),IFERROR(INDEX(EXCEPCIONES_FECHA!$F$2:$F$201,MATCH(1,(EXCEPCIONES_FECHA!$A$2:$A$201=$A1294)*(EXCEPCIONES_FECHA!$B$2:$B$201=""),0)),IFERROR(INDEX(IF($I1294="FIN",HISTORIAL_HORARIOS!$L$2:$L$201,HISTORIAL_HORARIOS!$H$2:$H$201),MATCH(1,(HISTORIAL_HORARIOS!$A$2:$A$201=$B1294)*(HISTORIAL_HORARIOS!$C$2:$C$201&lt;=$A1294)*(HISTORIAL_HORARIOS!$D$2:$D$201&gt;=$A1294),0)),INDEX(IF($I1294="FIN",PERSONAL!$L$2:$L$80,PERSONAL!$H$2:$H$80),MATCH($B1294,PERSONAL!$A$2:$A$80,0)))))</f>
        <v/>
      </c>
    </row>
    <row r="1295" ht="15" customHeight="1" s="58">
      <c r="A1295" s="40" t="n"/>
      <c r="B1295" s="38" t="n"/>
      <c r="C1295" s="40" t="n"/>
      <c r="D1295" s="40" t="n"/>
      <c r="E1295" s="34">
        <f t="array" ref="E1295">IF($B1295="","",IFERROR(INDEX(PERSONAL!$B$2:$B$80,MATCH($B1295,PERSONAL!$A$2:$A$80,0)),"NO EXISTE"))</f>
        <v/>
      </c>
      <c r="F1295" s="34">
        <f t="array" ref="F1295">IF($B1295="","",IFERROR(INDEX(PERSONAL!$C$2:$C$80,MATCH($B1295,PERSONAL!$A$2:$A$80,0)),""))</f>
        <v/>
      </c>
      <c r="G1295" s="34">
        <f>IF($A1295="","",CHOOSE(WEEKDAY($A1295,2),"LUNES","MARTES","MIÉRCOLES","JUEVES","VIERNES","SÁBADO","DOMINGO"))</f>
        <v/>
      </c>
      <c r="H1295" s="34">
        <f>IF($A1295="","",CHOOSE(MONTH($A1295),"ENERO","FEBRERO","MARZO","ABRIL","MAYO","JUNIO","JULIO","AGOSTO","SEPTIEMBRE","OCTUBRE","NOVIEMBRE","DICIEMBRE"))</f>
        <v/>
      </c>
      <c r="I1295" s="34">
        <f>IF($A1295="","",IF(OR($G1295="SÁBADO",$G1295="DOMINGO"),"FIN","LV"))</f>
        <v/>
      </c>
      <c r="J1295" s="34">
        <f>IF(OR($A1295="",$B1295=""),"",IF($L1295&lt;&gt;"",UPPER($L1295),IF($C1295="","FALTA",IFERROR(IF($C1295&gt;=$O1295,"ROJO FUERTE",IF($C1295&gt;=$N1295,"ROJO",IF($C1295&gt;=$M1295,"AMARILLO","VERDE"))),"REVISAR"))))</f>
        <v/>
      </c>
      <c r="K1295" s="36">
        <f>IF(OR($C1295="",$D1295=""),"",IF($D1295&gt;=$C1295,($D1295-$C1295)*24,(1-$C1295+$D1295)*24))</f>
        <v/>
      </c>
      <c r="L1295" s="34" t="n"/>
      <c r="M1295" s="53">
        <f t="array" ref="M1295">IFERROR(INDEX(EXCEPCIONES_FECHA!$D$2:$D$201,MATCH(1,(EXCEPCIONES_FECHA!$A$2:$A$201=$A1295)*(EXCEPCIONES_FECHA!$B$2:$B$201=$B1295),0)),IFERROR(INDEX(EXCEPCIONES_FECHA!$D$2:$D$201,MATCH(1,(EXCEPCIONES_FECHA!$A$2:$A$201=$A1295)*(EXCEPCIONES_FECHA!$B$2:$B$201=""),0)),IFERROR(INDEX(IF($I1295="FIN",HISTORIAL_HORARIOS!$J$2:$J$201,HISTORIAL_HORARIOS!$F$2:$F$201),MATCH(1,(HISTORIAL_HORARIOS!$A$2:$A$201=$B1295)*(HISTORIAL_HORARIOS!$C$2:$C$201&lt;=$A1295)*(HISTORIAL_HORARIOS!$D$2:$D$201&gt;=$A1295),0)),INDEX(IF($I1295="FIN",PERSONAL!$J$2:$J$80,PERSONAL!$F$2:$F$80),MATCH($B1295,PERSONAL!$A$2:$A$80,0)))))</f>
        <v/>
      </c>
      <c r="N1295" s="53">
        <f t="array" ref="N1295">IFERROR(INDEX(EXCEPCIONES_FECHA!$E$2:$E$201,MATCH(1,(EXCEPCIONES_FECHA!$A$2:$A$201=$A1295)*(EXCEPCIONES_FECHA!$B$2:$B$201=$B1295),0)),IFERROR(INDEX(EXCEPCIONES_FECHA!$E$2:$E$201,MATCH(1,(EXCEPCIONES_FECHA!$A$2:$A$201=$A1295)*(EXCEPCIONES_FECHA!$B$2:$B$201=""),0)),IFERROR(INDEX(IF($I1295="FIN",HISTORIAL_HORARIOS!$K$2:$K$201,HISTORIAL_HORARIOS!$G$2:$G$201),MATCH(1,(HISTORIAL_HORARIOS!$A$2:$A$201=$B1295)*(HISTORIAL_HORARIOS!$C$2:$C$201&lt;=$A1295)*(HISTORIAL_HORARIOS!$D$2:$D$201&gt;=$A1295),0)),INDEX(IF($I1295="FIN",PERSONAL!$K$2:$K$80,PERSONAL!$G$2:$G$80),MATCH($B1295,PERSONAL!$A$2:$A$80,0)))))</f>
        <v/>
      </c>
      <c r="O1295" s="53">
        <f t="array" ref="O1295">IFERROR(INDEX(EXCEPCIONES_FECHA!$F$2:$F$201,MATCH(1,(EXCEPCIONES_FECHA!$A$2:$A$201=$A1295)*(EXCEPCIONES_FECHA!$B$2:$B$201=$B1295),0)),IFERROR(INDEX(EXCEPCIONES_FECHA!$F$2:$F$201,MATCH(1,(EXCEPCIONES_FECHA!$A$2:$A$201=$A1295)*(EXCEPCIONES_FECHA!$B$2:$B$201=""),0)),IFERROR(INDEX(IF($I1295="FIN",HISTORIAL_HORARIOS!$L$2:$L$201,HISTORIAL_HORARIOS!$H$2:$H$201),MATCH(1,(HISTORIAL_HORARIOS!$A$2:$A$201=$B1295)*(HISTORIAL_HORARIOS!$C$2:$C$201&lt;=$A1295)*(HISTORIAL_HORARIOS!$D$2:$D$201&gt;=$A1295),0)),INDEX(IF($I1295="FIN",PERSONAL!$L$2:$L$80,PERSONAL!$H$2:$H$80),MATCH($B1295,PERSONAL!$A$2:$A$80,0)))))</f>
        <v/>
      </c>
    </row>
    <row r="1296" ht="15" customHeight="1" s="58">
      <c r="A1296" s="40" t="n"/>
      <c r="B1296" s="38" t="n"/>
      <c r="C1296" s="40" t="n"/>
      <c r="D1296" s="40" t="n"/>
      <c r="E1296" s="34">
        <f t="array" ref="E1296">IF($B1296="","",IFERROR(INDEX(PERSONAL!$B$2:$B$80,MATCH($B1296,PERSONAL!$A$2:$A$80,0)),"NO EXISTE"))</f>
        <v/>
      </c>
      <c r="F1296" s="34">
        <f t="array" ref="F1296">IF($B1296="","",IFERROR(INDEX(PERSONAL!$C$2:$C$80,MATCH($B1296,PERSONAL!$A$2:$A$80,0)),""))</f>
        <v/>
      </c>
      <c r="G1296" s="34">
        <f>IF($A1296="","",CHOOSE(WEEKDAY($A1296,2),"LUNES","MARTES","MIÉRCOLES","JUEVES","VIERNES","SÁBADO","DOMINGO"))</f>
        <v/>
      </c>
      <c r="H1296" s="34">
        <f>IF($A1296="","",CHOOSE(MONTH($A1296),"ENERO","FEBRERO","MARZO","ABRIL","MAYO","JUNIO","JULIO","AGOSTO","SEPTIEMBRE","OCTUBRE","NOVIEMBRE","DICIEMBRE"))</f>
        <v/>
      </c>
      <c r="I1296" s="34">
        <f>IF($A1296="","",IF(OR($G1296="SÁBADO",$G1296="DOMINGO"),"FIN","LV"))</f>
        <v/>
      </c>
      <c r="J1296" s="34">
        <f>IF(OR($A1296="",$B1296=""),"",IF($L1296&lt;&gt;"",UPPER($L1296),IF($C1296="","FALTA",IFERROR(IF($C1296&gt;=$O1296,"ROJO FUERTE",IF($C1296&gt;=$N1296,"ROJO",IF($C1296&gt;=$M1296,"AMARILLO","VERDE"))),"REVISAR"))))</f>
        <v/>
      </c>
      <c r="K1296" s="36">
        <f>IF(OR($C1296="",$D1296=""),"",IF($D1296&gt;=$C1296,($D1296-$C1296)*24,(1-$C1296+$D1296)*24))</f>
        <v/>
      </c>
      <c r="L1296" s="34" t="n"/>
      <c r="M1296" s="53">
        <f t="array" ref="M1296">IFERROR(INDEX(EXCEPCIONES_FECHA!$D$2:$D$201,MATCH(1,(EXCEPCIONES_FECHA!$A$2:$A$201=$A1296)*(EXCEPCIONES_FECHA!$B$2:$B$201=$B1296),0)),IFERROR(INDEX(EXCEPCIONES_FECHA!$D$2:$D$201,MATCH(1,(EXCEPCIONES_FECHA!$A$2:$A$201=$A1296)*(EXCEPCIONES_FECHA!$B$2:$B$201=""),0)),IFERROR(INDEX(IF($I1296="FIN",HISTORIAL_HORARIOS!$J$2:$J$201,HISTORIAL_HORARIOS!$F$2:$F$201),MATCH(1,(HISTORIAL_HORARIOS!$A$2:$A$201=$B1296)*(HISTORIAL_HORARIOS!$C$2:$C$201&lt;=$A1296)*(HISTORIAL_HORARIOS!$D$2:$D$201&gt;=$A1296),0)),INDEX(IF($I1296="FIN",PERSONAL!$J$2:$J$80,PERSONAL!$F$2:$F$80),MATCH($B1296,PERSONAL!$A$2:$A$80,0)))))</f>
        <v/>
      </c>
      <c r="N1296" s="53">
        <f t="array" ref="N1296">IFERROR(INDEX(EXCEPCIONES_FECHA!$E$2:$E$201,MATCH(1,(EXCEPCIONES_FECHA!$A$2:$A$201=$A1296)*(EXCEPCIONES_FECHA!$B$2:$B$201=$B1296),0)),IFERROR(INDEX(EXCEPCIONES_FECHA!$E$2:$E$201,MATCH(1,(EXCEPCIONES_FECHA!$A$2:$A$201=$A1296)*(EXCEPCIONES_FECHA!$B$2:$B$201=""),0)),IFERROR(INDEX(IF($I1296="FIN",HISTORIAL_HORARIOS!$K$2:$K$201,HISTORIAL_HORARIOS!$G$2:$G$201),MATCH(1,(HISTORIAL_HORARIOS!$A$2:$A$201=$B1296)*(HISTORIAL_HORARIOS!$C$2:$C$201&lt;=$A1296)*(HISTORIAL_HORARIOS!$D$2:$D$201&gt;=$A1296),0)),INDEX(IF($I1296="FIN",PERSONAL!$K$2:$K$80,PERSONAL!$G$2:$G$80),MATCH($B1296,PERSONAL!$A$2:$A$80,0)))))</f>
        <v/>
      </c>
      <c r="O1296" s="53">
        <f t="array" ref="O1296">IFERROR(INDEX(EXCEPCIONES_FECHA!$F$2:$F$201,MATCH(1,(EXCEPCIONES_FECHA!$A$2:$A$201=$A1296)*(EXCEPCIONES_FECHA!$B$2:$B$201=$B1296),0)),IFERROR(INDEX(EXCEPCIONES_FECHA!$F$2:$F$201,MATCH(1,(EXCEPCIONES_FECHA!$A$2:$A$201=$A1296)*(EXCEPCIONES_FECHA!$B$2:$B$201=""),0)),IFERROR(INDEX(IF($I1296="FIN",HISTORIAL_HORARIOS!$L$2:$L$201,HISTORIAL_HORARIOS!$H$2:$H$201),MATCH(1,(HISTORIAL_HORARIOS!$A$2:$A$201=$B1296)*(HISTORIAL_HORARIOS!$C$2:$C$201&lt;=$A1296)*(HISTORIAL_HORARIOS!$D$2:$D$201&gt;=$A1296),0)),INDEX(IF($I1296="FIN",PERSONAL!$L$2:$L$80,PERSONAL!$H$2:$H$80),MATCH($B1296,PERSONAL!$A$2:$A$80,0)))))</f>
        <v/>
      </c>
    </row>
    <row r="1297" ht="15" customHeight="1" s="58">
      <c r="A1297" s="40" t="n"/>
      <c r="B1297" s="38" t="n"/>
      <c r="C1297" s="40" t="n"/>
      <c r="D1297" s="40" t="n"/>
      <c r="E1297" s="34">
        <f t="array" ref="E1297">IF($B1297="","",IFERROR(INDEX(PERSONAL!$B$2:$B$80,MATCH($B1297,PERSONAL!$A$2:$A$80,0)),"NO EXISTE"))</f>
        <v/>
      </c>
      <c r="F1297" s="34">
        <f t="array" ref="F1297">IF($B1297="","",IFERROR(INDEX(PERSONAL!$C$2:$C$80,MATCH($B1297,PERSONAL!$A$2:$A$80,0)),""))</f>
        <v/>
      </c>
      <c r="G1297" s="34">
        <f>IF($A1297="","",CHOOSE(WEEKDAY($A1297,2),"LUNES","MARTES","MIÉRCOLES","JUEVES","VIERNES","SÁBADO","DOMINGO"))</f>
        <v/>
      </c>
      <c r="H1297" s="34">
        <f>IF($A1297="","",CHOOSE(MONTH($A1297),"ENERO","FEBRERO","MARZO","ABRIL","MAYO","JUNIO","JULIO","AGOSTO","SEPTIEMBRE","OCTUBRE","NOVIEMBRE","DICIEMBRE"))</f>
        <v/>
      </c>
      <c r="I1297" s="34">
        <f>IF($A1297="","",IF(OR($G1297="SÁBADO",$G1297="DOMINGO"),"FIN","LV"))</f>
        <v/>
      </c>
      <c r="J1297" s="34">
        <f>IF(OR($A1297="",$B1297=""),"",IF($L1297&lt;&gt;"",UPPER($L1297),IF($C1297="","FALTA",IFERROR(IF($C1297&gt;=$O1297,"ROJO FUERTE",IF($C1297&gt;=$N1297,"ROJO",IF($C1297&gt;=$M1297,"AMARILLO","VERDE"))),"REVISAR"))))</f>
        <v/>
      </c>
      <c r="K1297" s="36">
        <f>IF(OR($C1297="",$D1297=""),"",IF($D1297&gt;=$C1297,($D1297-$C1297)*24,(1-$C1297+$D1297)*24))</f>
        <v/>
      </c>
      <c r="L1297" s="34" t="n"/>
      <c r="M1297" s="53">
        <f t="array" ref="M1297">IFERROR(INDEX(EXCEPCIONES_FECHA!$D$2:$D$201,MATCH(1,(EXCEPCIONES_FECHA!$A$2:$A$201=$A1297)*(EXCEPCIONES_FECHA!$B$2:$B$201=$B1297),0)),IFERROR(INDEX(EXCEPCIONES_FECHA!$D$2:$D$201,MATCH(1,(EXCEPCIONES_FECHA!$A$2:$A$201=$A1297)*(EXCEPCIONES_FECHA!$B$2:$B$201=""),0)),IFERROR(INDEX(IF($I1297="FIN",HISTORIAL_HORARIOS!$J$2:$J$201,HISTORIAL_HORARIOS!$F$2:$F$201),MATCH(1,(HISTORIAL_HORARIOS!$A$2:$A$201=$B1297)*(HISTORIAL_HORARIOS!$C$2:$C$201&lt;=$A1297)*(HISTORIAL_HORARIOS!$D$2:$D$201&gt;=$A1297),0)),INDEX(IF($I1297="FIN",PERSONAL!$J$2:$J$80,PERSONAL!$F$2:$F$80),MATCH($B1297,PERSONAL!$A$2:$A$80,0)))))</f>
        <v/>
      </c>
      <c r="N1297" s="53">
        <f t="array" ref="N1297">IFERROR(INDEX(EXCEPCIONES_FECHA!$E$2:$E$201,MATCH(1,(EXCEPCIONES_FECHA!$A$2:$A$201=$A1297)*(EXCEPCIONES_FECHA!$B$2:$B$201=$B1297),0)),IFERROR(INDEX(EXCEPCIONES_FECHA!$E$2:$E$201,MATCH(1,(EXCEPCIONES_FECHA!$A$2:$A$201=$A1297)*(EXCEPCIONES_FECHA!$B$2:$B$201=""),0)),IFERROR(INDEX(IF($I1297="FIN",HISTORIAL_HORARIOS!$K$2:$K$201,HISTORIAL_HORARIOS!$G$2:$G$201),MATCH(1,(HISTORIAL_HORARIOS!$A$2:$A$201=$B1297)*(HISTORIAL_HORARIOS!$C$2:$C$201&lt;=$A1297)*(HISTORIAL_HORARIOS!$D$2:$D$201&gt;=$A1297),0)),INDEX(IF($I1297="FIN",PERSONAL!$K$2:$K$80,PERSONAL!$G$2:$G$80),MATCH($B1297,PERSONAL!$A$2:$A$80,0)))))</f>
        <v/>
      </c>
      <c r="O1297" s="53">
        <f t="array" ref="O1297">IFERROR(INDEX(EXCEPCIONES_FECHA!$F$2:$F$201,MATCH(1,(EXCEPCIONES_FECHA!$A$2:$A$201=$A1297)*(EXCEPCIONES_FECHA!$B$2:$B$201=$B1297),0)),IFERROR(INDEX(EXCEPCIONES_FECHA!$F$2:$F$201,MATCH(1,(EXCEPCIONES_FECHA!$A$2:$A$201=$A1297)*(EXCEPCIONES_FECHA!$B$2:$B$201=""),0)),IFERROR(INDEX(IF($I1297="FIN",HISTORIAL_HORARIOS!$L$2:$L$201,HISTORIAL_HORARIOS!$H$2:$H$201),MATCH(1,(HISTORIAL_HORARIOS!$A$2:$A$201=$B1297)*(HISTORIAL_HORARIOS!$C$2:$C$201&lt;=$A1297)*(HISTORIAL_HORARIOS!$D$2:$D$201&gt;=$A1297),0)),INDEX(IF($I1297="FIN",PERSONAL!$L$2:$L$80,PERSONAL!$H$2:$H$80),MATCH($B1297,PERSONAL!$A$2:$A$80,0)))))</f>
        <v/>
      </c>
    </row>
    <row r="1298" ht="15" customHeight="1" s="58">
      <c r="A1298" s="40" t="n"/>
      <c r="B1298" s="38" t="n"/>
      <c r="C1298" s="40" t="n"/>
      <c r="D1298" s="40" t="n"/>
      <c r="E1298" s="34">
        <f t="array" ref="E1298">IF($B1298="","",IFERROR(INDEX(PERSONAL!$B$2:$B$80,MATCH($B1298,PERSONAL!$A$2:$A$80,0)),"NO EXISTE"))</f>
        <v/>
      </c>
      <c r="F1298" s="34">
        <f t="array" ref="F1298">IF($B1298="","",IFERROR(INDEX(PERSONAL!$C$2:$C$80,MATCH($B1298,PERSONAL!$A$2:$A$80,0)),""))</f>
        <v/>
      </c>
      <c r="G1298" s="34">
        <f>IF($A1298="","",CHOOSE(WEEKDAY($A1298,2),"LUNES","MARTES","MIÉRCOLES","JUEVES","VIERNES","SÁBADO","DOMINGO"))</f>
        <v/>
      </c>
      <c r="H1298" s="34">
        <f>IF($A1298="","",CHOOSE(MONTH($A1298),"ENERO","FEBRERO","MARZO","ABRIL","MAYO","JUNIO","JULIO","AGOSTO","SEPTIEMBRE","OCTUBRE","NOVIEMBRE","DICIEMBRE"))</f>
        <v/>
      </c>
      <c r="I1298" s="34">
        <f>IF($A1298="","",IF(OR($G1298="SÁBADO",$G1298="DOMINGO"),"FIN","LV"))</f>
        <v/>
      </c>
      <c r="J1298" s="34">
        <f>IF(OR($A1298="",$B1298=""),"",IF($L1298&lt;&gt;"",UPPER($L1298),IF($C1298="","FALTA",IFERROR(IF($C1298&gt;=$O1298,"ROJO FUERTE",IF($C1298&gt;=$N1298,"ROJO",IF($C1298&gt;=$M1298,"AMARILLO","VERDE"))),"REVISAR"))))</f>
        <v/>
      </c>
      <c r="K1298" s="36">
        <f>IF(OR($C1298="",$D1298=""),"",IF($D1298&gt;=$C1298,($D1298-$C1298)*24,(1-$C1298+$D1298)*24))</f>
        <v/>
      </c>
      <c r="L1298" s="34" t="n"/>
      <c r="M1298" s="53">
        <f t="array" ref="M1298">IFERROR(INDEX(EXCEPCIONES_FECHA!$D$2:$D$201,MATCH(1,(EXCEPCIONES_FECHA!$A$2:$A$201=$A1298)*(EXCEPCIONES_FECHA!$B$2:$B$201=$B1298),0)),IFERROR(INDEX(EXCEPCIONES_FECHA!$D$2:$D$201,MATCH(1,(EXCEPCIONES_FECHA!$A$2:$A$201=$A1298)*(EXCEPCIONES_FECHA!$B$2:$B$201=""),0)),IFERROR(INDEX(IF($I1298="FIN",HISTORIAL_HORARIOS!$J$2:$J$201,HISTORIAL_HORARIOS!$F$2:$F$201),MATCH(1,(HISTORIAL_HORARIOS!$A$2:$A$201=$B1298)*(HISTORIAL_HORARIOS!$C$2:$C$201&lt;=$A1298)*(HISTORIAL_HORARIOS!$D$2:$D$201&gt;=$A1298),0)),INDEX(IF($I1298="FIN",PERSONAL!$J$2:$J$80,PERSONAL!$F$2:$F$80),MATCH($B1298,PERSONAL!$A$2:$A$80,0)))))</f>
        <v/>
      </c>
      <c r="N1298" s="53">
        <f t="array" ref="N1298">IFERROR(INDEX(EXCEPCIONES_FECHA!$E$2:$E$201,MATCH(1,(EXCEPCIONES_FECHA!$A$2:$A$201=$A1298)*(EXCEPCIONES_FECHA!$B$2:$B$201=$B1298),0)),IFERROR(INDEX(EXCEPCIONES_FECHA!$E$2:$E$201,MATCH(1,(EXCEPCIONES_FECHA!$A$2:$A$201=$A1298)*(EXCEPCIONES_FECHA!$B$2:$B$201=""),0)),IFERROR(INDEX(IF($I1298="FIN",HISTORIAL_HORARIOS!$K$2:$K$201,HISTORIAL_HORARIOS!$G$2:$G$201),MATCH(1,(HISTORIAL_HORARIOS!$A$2:$A$201=$B1298)*(HISTORIAL_HORARIOS!$C$2:$C$201&lt;=$A1298)*(HISTORIAL_HORARIOS!$D$2:$D$201&gt;=$A1298),0)),INDEX(IF($I1298="FIN",PERSONAL!$K$2:$K$80,PERSONAL!$G$2:$G$80),MATCH($B1298,PERSONAL!$A$2:$A$80,0)))))</f>
        <v/>
      </c>
      <c r="O1298" s="53">
        <f t="array" ref="O1298">IFERROR(INDEX(EXCEPCIONES_FECHA!$F$2:$F$201,MATCH(1,(EXCEPCIONES_FECHA!$A$2:$A$201=$A1298)*(EXCEPCIONES_FECHA!$B$2:$B$201=$B1298),0)),IFERROR(INDEX(EXCEPCIONES_FECHA!$F$2:$F$201,MATCH(1,(EXCEPCIONES_FECHA!$A$2:$A$201=$A1298)*(EXCEPCIONES_FECHA!$B$2:$B$201=""),0)),IFERROR(INDEX(IF($I1298="FIN",HISTORIAL_HORARIOS!$L$2:$L$201,HISTORIAL_HORARIOS!$H$2:$H$201),MATCH(1,(HISTORIAL_HORARIOS!$A$2:$A$201=$B1298)*(HISTORIAL_HORARIOS!$C$2:$C$201&lt;=$A1298)*(HISTORIAL_HORARIOS!$D$2:$D$201&gt;=$A1298),0)),INDEX(IF($I1298="FIN",PERSONAL!$L$2:$L$80,PERSONAL!$H$2:$H$80),MATCH($B1298,PERSONAL!$A$2:$A$80,0)))))</f>
        <v/>
      </c>
    </row>
    <row r="1299" ht="15" customHeight="1" s="58">
      <c r="A1299" s="40" t="n"/>
      <c r="B1299" s="38" t="n"/>
      <c r="C1299" s="40" t="n"/>
      <c r="D1299" s="40" t="n"/>
      <c r="E1299" s="34">
        <f t="array" ref="E1299">IF($B1299="","",IFERROR(INDEX(PERSONAL!$B$2:$B$80,MATCH($B1299,PERSONAL!$A$2:$A$80,0)),"NO EXISTE"))</f>
        <v/>
      </c>
      <c r="F1299" s="34">
        <f t="array" ref="F1299">IF($B1299="","",IFERROR(INDEX(PERSONAL!$C$2:$C$80,MATCH($B1299,PERSONAL!$A$2:$A$80,0)),""))</f>
        <v/>
      </c>
      <c r="G1299" s="34">
        <f>IF($A1299="","",CHOOSE(WEEKDAY($A1299,2),"LUNES","MARTES","MIÉRCOLES","JUEVES","VIERNES","SÁBADO","DOMINGO"))</f>
        <v/>
      </c>
      <c r="H1299" s="34">
        <f>IF($A1299="","",CHOOSE(MONTH($A1299),"ENERO","FEBRERO","MARZO","ABRIL","MAYO","JUNIO","JULIO","AGOSTO","SEPTIEMBRE","OCTUBRE","NOVIEMBRE","DICIEMBRE"))</f>
        <v/>
      </c>
      <c r="I1299" s="34">
        <f>IF($A1299="","",IF(OR($G1299="SÁBADO",$G1299="DOMINGO"),"FIN","LV"))</f>
        <v/>
      </c>
      <c r="J1299" s="34">
        <f>IF(OR($A1299="",$B1299=""),"",IF($L1299&lt;&gt;"",UPPER($L1299),IF($C1299="","FALTA",IFERROR(IF($C1299&gt;=$O1299,"ROJO FUERTE",IF($C1299&gt;=$N1299,"ROJO",IF($C1299&gt;=$M1299,"AMARILLO","VERDE"))),"REVISAR"))))</f>
        <v/>
      </c>
      <c r="K1299" s="36">
        <f>IF(OR($C1299="",$D1299=""),"",IF($D1299&gt;=$C1299,($D1299-$C1299)*24,(1-$C1299+$D1299)*24))</f>
        <v/>
      </c>
      <c r="L1299" s="34" t="n"/>
      <c r="M1299" s="53">
        <f t="array" ref="M1299">IFERROR(INDEX(EXCEPCIONES_FECHA!$D$2:$D$201,MATCH(1,(EXCEPCIONES_FECHA!$A$2:$A$201=$A1299)*(EXCEPCIONES_FECHA!$B$2:$B$201=$B1299),0)),IFERROR(INDEX(EXCEPCIONES_FECHA!$D$2:$D$201,MATCH(1,(EXCEPCIONES_FECHA!$A$2:$A$201=$A1299)*(EXCEPCIONES_FECHA!$B$2:$B$201=""),0)),IFERROR(INDEX(IF($I1299="FIN",HISTORIAL_HORARIOS!$J$2:$J$201,HISTORIAL_HORARIOS!$F$2:$F$201),MATCH(1,(HISTORIAL_HORARIOS!$A$2:$A$201=$B1299)*(HISTORIAL_HORARIOS!$C$2:$C$201&lt;=$A1299)*(HISTORIAL_HORARIOS!$D$2:$D$201&gt;=$A1299),0)),INDEX(IF($I1299="FIN",PERSONAL!$J$2:$J$80,PERSONAL!$F$2:$F$80),MATCH($B1299,PERSONAL!$A$2:$A$80,0)))))</f>
        <v/>
      </c>
      <c r="N1299" s="53">
        <f t="array" ref="N1299">IFERROR(INDEX(EXCEPCIONES_FECHA!$E$2:$E$201,MATCH(1,(EXCEPCIONES_FECHA!$A$2:$A$201=$A1299)*(EXCEPCIONES_FECHA!$B$2:$B$201=$B1299),0)),IFERROR(INDEX(EXCEPCIONES_FECHA!$E$2:$E$201,MATCH(1,(EXCEPCIONES_FECHA!$A$2:$A$201=$A1299)*(EXCEPCIONES_FECHA!$B$2:$B$201=""),0)),IFERROR(INDEX(IF($I1299="FIN",HISTORIAL_HORARIOS!$K$2:$K$201,HISTORIAL_HORARIOS!$G$2:$G$201),MATCH(1,(HISTORIAL_HORARIOS!$A$2:$A$201=$B1299)*(HISTORIAL_HORARIOS!$C$2:$C$201&lt;=$A1299)*(HISTORIAL_HORARIOS!$D$2:$D$201&gt;=$A1299),0)),INDEX(IF($I1299="FIN",PERSONAL!$K$2:$K$80,PERSONAL!$G$2:$G$80),MATCH($B1299,PERSONAL!$A$2:$A$80,0)))))</f>
        <v/>
      </c>
      <c r="O1299" s="53">
        <f t="array" ref="O1299">IFERROR(INDEX(EXCEPCIONES_FECHA!$F$2:$F$201,MATCH(1,(EXCEPCIONES_FECHA!$A$2:$A$201=$A1299)*(EXCEPCIONES_FECHA!$B$2:$B$201=$B1299),0)),IFERROR(INDEX(EXCEPCIONES_FECHA!$F$2:$F$201,MATCH(1,(EXCEPCIONES_FECHA!$A$2:$A$201=$A1299)*(EXCEPCIONES_FECHA!$B$2:$B$201=""),0)),IFERROR(INDEX(IF($I1299="FIN",HISTORIAL_HORARIOS!$L$2:$L$201,HISTORIAL_HORARIOS!$H$2:$H$201),MATCH(1,(HISTORIAL_HORARIOS!$A$2:$A$201=$B1299)*(HISTORIAL_HORARIOS!$C$2:$C$201&lt;=$A1299)*(HISTORIAL_HORARIOS!$D$2:$D$201&gt;=$A1299),0)),INDEX(IF($I1299="FIN",PERSONAL!$L$2:$L$80,PERSONAL!$H$2:$H$80),MATCH($B1299,PERSONAL!$A$2:$A$80,0)))))</f>
        <v/>
      </c>
    </row>
    <row r="1300" ht="15" customHeight="1" s="58">
      <c r="A1300" s="40" t="n"/>
      <c r="B1300" s="38" t="n"/>
      <c r="C1300" s="40" t="n"/>
      <c r="D1300" s="40" t="n"/>
      <c r="E1300" s="34">
        <f t="array" ref="E1300">IF($B1300="","",IFERROR(INDEX(PERSONAL!$B$2:$B$80,MATCH($B1300,PERSONAL!$A$2:$A$80,0)),"NO EXISTE"))</f>
        <v/>
      </c>
      <c r="F1300" s="34">
        <f t="array" ref="F1300">IF($B1300="","",IFERROR(INDEX(PERSONAL!$C$2:$C$80,MATCH($B1300,PERSONAL!$A$2:$A$80,0)),""))</f>
        <v/>
      </c>
      <c r="G1300" s="34">
        <f>IF($A1300="","",CHOOSE(WEEKDAY($A1300,2),"LUNES","MARTES","MIÉRCOLES","JUEVES","VIERNES","SÁBADO","DOMINGO"))</f>
        <v/>
      </c>
      <c r="H1300" s="34">
        <f>IF($A1300="","",CHOOSE(MONTH($A1300),"ENERO","FEBRERO","MARZO","ABRIL","MAYO","JUNIO","JULIO","AGOSTO","SEPTIEMBRE","OCTUBRE","NOVIEMBRE","DICIEMBRE"))</f>
        <v/>
      </c>
      <c r="I1300" s="34">
        <f>IF($A1300="","",IF(OR($G1300="SÁBADO",$G1300="DOMINGO"),"FIN","LV"))</f>
        <v/>
      </c>
      <c r="J1300" s="34">
        <f>IF(OR($A1300="",$B1300=""),"",IF($L1300&lt;&gt;"",UPPER($L1300),IF($C1300="","FALTA",IFERROR(IF($C1300&gt;=$O1300,"ROJO FUERTE",IF($C1300&gt;=$N1300,"ROJO",IF($C1300&gt;=$M1300,"AMARILLO","VERDE"))),"REVISAR"))))</f>
        <v/>
      </c>
      <c r="K1300" s="36">
        <f>IF(OR($C1300="",$D1300=""),"",IF($D1300&gt;=$C1300,($D1300-$C1300)*24,(1-$C1300+$D1300)*24))</f>
        <v/>
      </c>
      <c r="L1300" s="34" t="n"/>
      <c r="M1300" s="53">
        <f t="array" ref="M1300">IFERROR(INDEX(EXCEPCIONES_FECHA!$D$2:$D$201,MATCH(1,(EXCEPCIONES_FECHA!$A$2:$A$201=$A1300)*(EXCEPCIONES_FECHA!$B$2:$B$201=$B1300),0)),IFERROR(INDEX(EXCEPCIONES_FECHA!$D$2:$D$201,MATCH(1,(EXCEPCIONES_FECHA!$A$2:$A$201=$A1300)*(EXCEPCIONES_FECHA!$B$2:$B$201=""),0)),IFERROR(INDEX(IF($I1300="FIN",HISTORIAL_HORARIOS!$J$2:$J$201,HISTORIAL_HORARIOS!$F$2:$F$201),MATCH(1,(HISTORIAL_HORARIOS!$A$2:$A$201=$B1300)*(HISTORIAL_HORARIOS!$C$2:$C$201&lt;=$A1300)*(HISTORIAL_HORARIOS!$D$2:$D$201&gt;=$A1300),0)),INDEX(IF($I1300="FIN",PERSONAL!$J$2:$J$80,PERSONAL!$F$2:$F$80),MATCH($B1300,PERSONAL!$A$2:$A$80,0)))))</f>
        <v/>
      </c>
      <c r="N1300" s="53">
        <f t="array" ref="N1300">IFERROR(INDEX(EXCEPCIONES_FECHA!$E$2:$E$201,MATCH(1,(EXCEPCIONES_FECHA!$A$2:$A$201=$A1300)*(EXCEPCIONES_FECHA!$B$2:$B$201=$B1300),0)),IFERROR(INDEX(EXCEPCIONES_FECHA!$E$2:$E$201,MATCH(1,(EXCEPCIONES_FECHA!$A$2:$A$201=$A1300)*(EXCEPCIONES_FECHA!$B$2:$B$201=""),0)),IFERROR(INDEX(IF($I1300="FIN",HISTORIAL_HORARIOS!$K$2:$K$201,HISTORIAL_HORARIOS!$G$2:$G$201),MATCH(1,(HISTORIAL_HORARIOS!$A$2:$A$201=$B1300)*(HISTORIAL_HORARIOS!$C$2:$C$201&lt;=$A1300)*(HISTORIAL_HORARIOS!$D$2:$D$201&gt;=$A1300),0)),INDEX(IF($I1300="FIN",PERSONAL!$K$2:$K$80,PERSONAL!$G$2:$G$80),MATCH($B1300,PERSONAL!$A$2:$A$80,0)))))</f>
        <v/>
      </c>
      <c r="O1300" s="53">
        <f t="array" ref="O1300">IFERROR(INDEX(EXCEPCIONES_FECHA!$F$2:$F$201,MATCH(1,(EXCEPCIONES_FECHA!$A$2:$A$201=$A1300)*(EXCEPCIONES_FECHA!$B$2:$B$201=$B1300),0)),IFERROR(INDEX(EXCEPCIONES_FECHA!$F$2:$F$201,MATCH(1,(EXCEPCIONES_FECHA!$A$2:$A$201=$A1300)*(EXCEPCIONES_FECHA!$B$2:$B$201=""),0)),IFERROR(INDEX(IF($I1300="FIN",HISTORIAL_HORARIOS!$L$2:$L$201,HISTORIAL_HORARIOS!$H$2:$H$201),MATCH(1,(HISTORIAL_HORARIOS!$A$2:$A$201=$B1300)*(HISTORIAL_HORARIOS!$C$2:$C$201&lt;=$A1300)*(HISTORIAL_HORARIOS!$D$2:$D$201&gt;=$A1300),0)),INDEX(IF($I1300="FIN",PERSONAL!$L$2:$L$80,PERSONAL!$H$2:$H$80),MATCH($B1300,PERSONAL!$A$2:$A$80,0)))))</f>
        <v/>
      </c>
    </row>
    <row r="1301" ht="15" customHeight="1" s="58">
      <c r="A1301" s="40" t="n"/>
      <c r="B1301" s="38" t="n"/>
      <c r="C1301" s="40" t="n"/>
      <c r="D1301" s="40" t="n"/>
      <c r="E1301" s="34">
        <f t="array" ref="E1301">IF($B1301="","",IFERROR(INDEX(PERSONAL!$B$2:$B$80,MATCH($B1301,PERSONAL!$A$2:$A$80,0)),"NO EXISTE"))</f>
        <v/>
      </c>
      <c r="F1301" s="34">
        <f t="array" ref="F1301">IF($B1301="","",IFERROR(INDEX(PERSONAL!$C$2:$C$80,MATCH($B1301,PERSONAL!$A$2:$A$80,0)),""))</f>
        <v/>
      </c>
      <c r="G1301" s="34">
        <f>IF($A1301="","",CHOOSE(WEEKDAY($A1301,2),"LUNES","MARTES","MIÉRCOLES","JUEVES","VIERNES","SÁBADO","DOMINGO"))</f>
        <v/>
      </c>
      <c r="H1301" s="34">
        <f>IF($A1301="","",CHOOSE(MONTH($A1301),"ENERO","FEBRERO","MARZO","ABRIL","MAYO","JUNIO","JULIO","AGOSTO","SEPTIEMBRE","OCTUBRE","NOVIEMBRE","DICIEMBRE"))</f>
        <v/>
      </c>
      <c r="I1301" s="34">
        <f>IF($A1301="","",IF(OR($G1301="SÁBADO",$G1301="DOMINGO"),"FIN","LV"))</f>
        <v/>
      </c>
      <c r="J1301" s="34">
        <f>IF(OR($A1301="",$B1301=""),"",IF($L1301&lt;&gt;"",UPPER($L1301),IF($C1301="","FALTA",IFERROR(IF($C1301&gt;=$O1301,"ROJO FUERTE",IF($C1301&gt;=$N1301,"ROJO",IF($C1301&gt;=$M1301,"AMARILLO","VERDE"))),"REVISAR"))))</f>
        <v/>
      </c>
      <c r="K1301" s="36">
        <f>IF(OR($C1301="",$D1301=""),"",IF($D1301&gt;=$C1301,($D1301-$C1301)*24,(1-$C1301+$D1301)*24))</f>
        <v/>
      </c>
      <c r="L1301" s="34" t="n"/>
      <c r="M1301" s="53">
        <f t="array" ref="M1301">IFERROR(INDEX(EXCEPCIONES_FECHA!$D$2:$D$201,MATCH(1,(EXCEPCIONES_FECHA!$A$2:$A$201=$A1301)*(EXCEPCIONES_FECHA!$B$2:$B$201=$B1301),0)),IFERROR(INDEX(EXCEPCIONES_FECHA!$D$2:$D$201,MATCH(1,(EXCEPCIONES_FECHA!$A$2:$A$201=$A1301)*(EXCEPCIONES_FECHA!$B$2:$B$201=""),0)),IFERROR(INDEX(IF($I1301="FIN",HISTORIAL_HORARIOS!$J$2:$J$201,HISTORIAL_HORARIOS!$F$2:$F$201),MATCH(1,(HISTORIAL_HORARIOS!$A$2:$A$201=$B1301)*(HISTORIAL_HORARIOS!$C$2:$C$201&lt;=$A1301)*(HISTORIAL_HORARIOS!$D$2:$D$201&gt;=$A1301),0)),INDEX(IF($I1301="FIN",PERSONAL!$J$2:$J$80,PERSONAL!$F$2:$F$80),MATCH($B1301,PERSONAL!$A$2:$A$80,0)))))</f>
        <v/>
      </c>
      <c r="N1301" s="53">
        <f t="array" ref="N1301">IFERROR(INDEX(EXCEPCIONES_FECHA!$E$2:$E$201,MATCH(1,(EXCEPCIONES_FECHA!$A$2:$A$201=$A1301)*(EXCEPCIONES_FECHA!$B$2:$B$201=$B1301),0)),IFERROR(INDEX(EXCEPCIONES_FECHA!$E$2:$E$201,MATCH(1,(EXCEPCIONES_FECHA!$A$2:$A$201=$A1301)*(EXCEPCIONES_FECHA!$B$2:$B$201=""),0)),IFERROR(INDEX(IF($I1301="FIN",HISTORIAL_HORARIOS!$K$2:$K$201,HISTORIAL_HORARIOS!$G$2:$G$201),MATCH(1,(HISTORIAL_HORARIOS!$A$2:$A$201=$B1301)*(HISTORIAL_HORARIOS!$C$2:$C$201&lt;=$A1301)*(HISTORIAL_HORARIOS!$D$2:$D$201&gt;=$A1301),0)),INDEX(IF($I1301="FIN",PERSONAL!$K$2:$K$80,PERSONAL!$G$2:$G$80),MATCH($B1301,PERSONAL!$A$2:$A$80,0)))))</f>
        <v/>
      </c>
      <c r="O1301" s="53">
        <f t="array" ref="O1301">IFERROR(INDEX(EXCEPCIONES_FECHA!$F$2:$F$201,MATCH(1,(EXCEPCIONES_FECHA!$A$2:$A$201=$A1301)*(EXCEPCIONES_FECHA!$B$2:$B$201=$B1301),0)),IFERROR(INDEX(EXCEPCIONES_FECHA!$F$2:$F$201,MATCH(1,(EXCEPCIONES_FECHA!$A$2:$A$201=$A1301)*(EXCEPCIONES_FECHA!$B$2:$B$201=""),0)),IFERROR(INDEX(IF($I1301="FIN",HISTORIAL_HORARIOS!$L$2:$L$201,HISTORIAL_HORARIOS!$H$2:$H$201),MATCH(1,(HISTORIAL_HORARIOS!$A$2:$A$201=$B1301)*(HISTORIAL_HORARIOS!$C$2:$C$201&lt;=$A1301)*(HISTORIAL_HORARIOS!$D$2:$D$201&gt;=$A1301),0)),INDEX(IF($I1301="FIN",PERSONAL!$L$2:$L$80,PERSONAL!$H$2:$H$80),MATCH($B1301,PERSONAL!$A$2:$A$80,0)))))</f>
        <v/>
      </c>
    </row>
    <row r="1302" ht="15" customHeight="1" s="58">
      <c r="A1302" s="40" t="n"/>
      <c r="B1302" s="38" t="n"/>
      <c r="C1302" s="40" t="n"/>
      <c r="D1302" s="40" t="n"/>
      <c r="E1302" s="34">
        <f t="array" ref="E1302">IF($B1302="","",IFERROR(INDEX(PERSONAL!$B$2:$B$80,MATCH($B1302,PERSONAL!$A$2:$A$80,0)),"NO EXISTE"))</f>
        <v/>
      </c>
      <c r="F1302" s="34">
        <f t="array" ref="F1302">IF($B1302="","",IFERROR(INDEX(PERSONAL!$C$2:$C$80,MATCH($B1302,PERSONAL!$A$2:$A$80,0)),""))</f>
        <v/>
      </c>
      <c r="G1302" s="34">
        <f>IF($A1302="","",CHOOSE(WEEKDAY($A1302,2),"LUNES","MARTES","MIÉRCOLES","JUEVES","VIERNES","SÁBADO","DOMINGO"))</f>
        <v/>
      </c>
      <c r="H1302" s="34">
        <f>IF($A1302="","",CHOOSE(MONTH($A1302),"ENERO","FEBRERO","MARZO","ABRIL","MAYO","JUNIO","JULIO","AGOSTO","SEPTIEMBRE","OCTUBRE","NOVIEMBRE","DICIEMBRE"))</f>
        <v/>
      </c>
      <c r="I1302" s="34">
        <f>IF($A1302="","",IF(OR($G1302="SÁBADO",$G1302="DOMINGO"),"FIN","LV"))</f>
        <v/>
      </c>
      <c r="J1302" s="34">
        <f>IF(OR($A1302="",$B1302=""),"",IF($L1302&lt;&gt;"",UPPER($L1302),IF($C1302="","FALTA",IFERROR(IF($C1302&gt;=$O1302,"ROJO FUERTE",IF($C1302&gt;=$N1302,"ROJO",IF($C1302&gt;=$M1302,"AMARILLO","VERDE"))),"REVISAR"))))</f>
        <v/>
      </c>
      <c r="K1302" s="36">
        <f>IF(OR($C1302="",$D1302=""),"",IF($D1302&gt;=$C1302,($D1302-$C1302)*24,(1-$C1302+$D1302)*24))</f>
        <v/>
      </c>
      <c r="L1302" s="34" t="n"/>
      <c r="M1302" s="53">
        <f t="array" ref="M1302">IFERROR(INDEX(EXCEPCIONES_FECHA!$D$2:$D$201,MATCH(1,(EXCEPCIONES_FECHA!$A$2:$A$201=$A1302)*(EXCEPCIONES_FECHA!$B$2:$B$201=$B1302),0)),IFERROR(INDEX(EXCEPCIONES_FECHA!$D$2:$D$201,MATCH(1,(EXCEPCIONES_FECHA!$A$2:$A$201=$A1302)*(EXCEPCIONES_FECHA!$B$2:$B$201=""),0)),IFERROR(INDEX(IF($I1302="FIN",HISTORIAL_HORARIOS!$J$2:$J$201,HISTORIAL_HORARIOS!$F$2:$F$201),MATCH(1,(HISTORIAL_HORARIOS!$A$2:$A$201=$B1302)*(HISTORIAL_HORARIOS!$C$2:$C$201&lt;=$A1302)*(HISTORIAL_HORARIOS!$D$2:$D$201&gt;=$A1302),0)),INDEX(IF($I1302="FIN",PERSONAL!$J$2:$J$80,PERSONAL!$F$2:$F$80),MATCH($B1302,PERSONAL!$A$2:$A$80,0)))))</f>
        <v/>
      </c>
      <c r="N1302" s="53">
        <f t="array" ref="N1302">IFERROR(INDEX(EXCEPCIONES_FECHA!$E$2:$E$201,MATCH(1,(EXCEPCIONES_FECHA!$A$2:$A$201=$A1302)*(EXCEPCIONES_FECHA!$B$2:$B$201=$B1302),0)),IFERROR(INDEX(EXCEPCIONES_FECHA!$E$2:$E$201,MATCH(1,(EXCEPCIONES_FECHA!$A$2:$A$201=$A1302)*(EXCEPCIONES_FECHA!$B$2:$B$201=""),0)),IFERROR(INDEX(IF($I1302="FIN",HISTORIAL_HORARIOS!$K$2:$K$201,HISTORIAL_HORARIOS!$G$2:$G$201),MATCH(1,(HISTORIAL_HORARIOS!$A$2:$A$201=$B1302)*(HISTORIAL_HORARIOS!$C$2:$C$201&lt;=$A1302)*(HISTORIAL_HORARIOS!$D$2:$D$201&gt;=$A1302),0)),INDEX(IF($I1302="FIN",PERSONAL!$K$2:$K$80,PERSONAL!$G$2:$G$80),MATCH($B1302,PERSONAL!$A$2:$A$80,0)))))</f>
        <v/>
      </c>
      <c r="O1302" s="53">
        <f t="array" ref="O1302">IFERROR(INDEX(EXCEPCIONES_FECHA!$F$2:$F$201,MATCH(1,(EXCEPCIONES_FECHA!$A$2:$A$201=$A1302)*(EXCEPCIONES_FECHA!$B$2:$B$201=$B1302),0)),IFERROR(INDEX(EXCEPCIONES_FECHA!$F$2:$F$201,MATCH(1,(EXCEPCIONES_FECHA!$A$2:$A$201=$A1302)*(EXCEPCIONES_FECHA!$B$2:$B$201=""),0)),IFERROR(INDEX(IF($I1302="FIN",HISTORIAL_HORARIOS!$L$2:$L$201,HISTORIAL_HORARIOS!$H$2:$H$201),MATCH(1,(HISTORIAL_HORARIOS!$A$2:$A$201=$B1302)*(HISTORIAL_HORARIOS!$C$2:$C$201&lt;=$A1302)*(HISTORIAL_HORARIOS!$D$2:$D$201&gt;=$A1302),0)),INDEX(IF($I1302="FIN",PERSONAL!$L$2:$L$80,PERSONAL!$H$2:$H$80),MATCH($B1302,PERSONAL!$A$2:$A$80,0)))))</f>
        <v/>
      </c>
    </row>
    <row r="1303" ht="15" customHeight="1" s="58">
      <c r="A1303" s="40" t="n"/>
      <c r="B1303" s="38" t="n"/>
      <c r="C1303" s="40" t="n"/>
      <c r="D1303" s="40" t="n"/>
      <c r="E1303" s="34">
        <f t="array" ref="E1303">IF($B1303="","",IFERROR(INDEX(PERSONAL!$B$2:$B$80,MATCH($B1303,PERSONAL!$A$2:$A$80,0)),"NO EXISTE"))</f>
        <v/>
      </c>
      <c r="F1303" s="34">
        <f t="array" ref="F1303">IF($B1303="","",IFERROR(INDEX(PERSONAL!$C$2:$C$80,MATCH($B1303,PERSONAL!$A$2:$A$80,0)),""))</f>
        <v/>
      </c>
      <c r="G1303" s="34">
        <f>IF($A1303="","",CHOOSE(WEEKDAY($A1303,2),"LUNES","MARTES","MIÉRCOLES","JUEVES","VIERNES","SÁBADO","DOMINGO"))</f>
        <v/>
      </c>
      <c r="H1303" s="34">
        <f>IF($A1303="","",CHOOSE(MONTH($A1303),"ENERO","FEBRERO","MARZO","ABRIL","MAYO","JUNIO","JULIO","AGOSTO","SEPTIEMBRE","OCTUBRE","NOVIEMBRE","DICIEMBRE"))</f>
        <v/>
      </c>
      <c r="I1303" s="34">
        <f>IF($A1303="","",IF(OR($G1303="SÁBADO",$G1303="DOMINGO"),"FIN","LV"))</f>
        <v/>
      </c>
      <c r="J1303" s="34">
        <f>IF(OR($A1303="",$B1303=""),"",IF($L1303&lt;&gt;"",UPPER($L1303),IF($C1303="","FALTA",IFERROR(IF($C1303&gt;=$O1303,"ROJO FUERTE",IF($C1303&gt;=$N1303,"ROJO",IF($C1303&gt;=$M1303,"AMARILLO","VERDE"))),"REVISAR"))))</f>
        <v/>
      </c>
      <c r="K1303" s="36">
        <f>IF(OR($C1303="",$D1303=""),"",IF($D1303&gt;=$C1303,($D1303-$C1303)*24,(1-$C1303+$D1303)*24))</f>
        <v/>
      </c>
      <c r="L1303" s="34" t="n"/>
      <c r="M1303" s="53">
        <f t="array" ref="M1303">IFERROR(INDEX(EXCEPCIONES_FECHA!$D$2:$D$201,MATCH(1,(EXCEPCIONES_FECHA!$A$2:$A$201=$A1303)*(EXCEPCIONES_FECHA!$B$2:$B$201=$B1303),0)),IFERROR(INDEX(EXCEPCIONES_FECHA!$D$2:$D$201,MATCH(1,(EXCEPCIONES_FECHA!$A$2:$A$201=$A1303)*(EXCEPCIONES_FECHA!$B$2:$B$201=""),0)),IFERROR(INDEX(IF($I1303="FIN",HISTORIAL_HORARIOS!$J$2:$J$201,HISTORIAL_HORARIOS!$F$2:$F$201),MATCH(1,(HISTORIAL_HORARIOS!$A$2:$A$201=$B1303)*(HISTORIAL_HORARIOS!$C$2:$C$201&lt;=$A1303)*(HISTORIAL_HORARIOS!$D$2:$D$201&gt;=$A1303),0)),INDEX(IF($I1303="FIN",PERSONAL!$J$2:$J$80,PERSONAL!$F$2:$F$80),MATCH($B1303,PERSONAL!$A$2:$A$80,0)))))</f>
        <v/>
      </c>
      <c r="N1303" s="53">
        <f t="array" ref="N1303">IFERROR(INDEX(EXCEPCIONES_FECHA!$E$2:$E$201,MATCH(1,(EXCEPCIONES_FECHA!$A$2:$A$201=$A1303)*(EXCEPCIONES_FECHA!$B$2:$B$201=$B1303),0)),IFERROR(INDEX(EXCEPCIONES_FECHA!$E$2:$E$201,MATCH(1,(EXCEPCIONES_FECHA!$A$2:$A$201=$A1303)*(EXCEPCIONES_FECHA!$B$2:$B$201=""),0)),IFERROR(INDEX(IF($I1303="FIN",HISTORIAL_HORARIOS!$K$2:$K$201,HISTORIAL_HORARIOS!$G$2:$G$201),MATCH(1,(HISTORIAL_HORARIOS!$A$2:$A$201=$B1303)*(HISTORIAL_HORARIOS!$C$2:$C$201&lt;=$A1303)*(HISTORIAL_HORARIOS!$D$2:$D$201&gt;=$A1303),0)),INDEX(IF($I1303="FIN",PERSONAL!$K$2:$K$80,PERSONAL!$G$2:$G$80),MATCH($B1303,PERSONAL!$A$2:$A$80,0)))))</f>
        <v/>
      </c>
      <c r="O1303" s="53">
        <f t="array" ref="O1303">IFERROR(INDEX(EXCEPCIONES_FECHA!$F$2:$F$201,MATCH(1,(EXCEPCIONES_FECHA!$A$2:$A$201=$A1303)*(EXCEPCIONES_FECHA!$B$2:$B$201=$B1303),0)),IFERROR(INDEX(EXCEPCIONES_FECHA!$F$2:$F$201,MATCH(1,(EXCEPCIONES_FECHA!$A$2:$A$201=$A1303)*(EXCEPCIONES_FECHA!$B$2:$B$201=""),0)),IFERROR(INDEX(IF($I1303="FIN",HISTORIAL_HORARIOS!$L$2:$L$201,HISTORIAL_HORARIOS!$H$2:$H$201),MATCH(1,(HISTORIAL_HORARIOS!$A$2:$A$201=$B1303)*(HISTORIAL_HORARIOS!$C$2:$C$201&lt;=$A1303)*(HISTORIAL_HORARIOS!$D$2:$D$201&gt;=$A1303),0)),INDEX(IF($I1303="FIN",PERSONAL!$L$2:$L$80,PERSONAL!$H$2:$H$80),MATCH($B1303,PERSONAL!$A$2:$A$80,0)))))</f>
        <v/>
      </c>
    </row>
    <row r="1304" ht="15" customHeight="1" s="58">
      <c r="A1304" s="40" t="n"/>
      <c r="B1304" s="38" t="n"/>
      <c r="C1304" s="40" t="n"/>
      <c r="D1304" s="40" t="n"/>
      <c r="E1304" s="34">
        <f t="array" ref="E1304">IF($B1304="","",IFERROR(INDEX(PERSONAL!$B$2:$B$80,MATCH($B1304,PERSONAL!$A$2:$A$80,0)),"NO EXISTE"))</f>
        <v/>
      </c>
      <c r="F1304" s="34">
        <f t="array" ref="F1304">IF($B1304="","",IFERROR(INDEX(PERSONAL!$C$2:$C$80,MATCH($B1304,PERSONAL!$A$2:$A$80,0)),""))</f>
        <v/>
      </c>
      <c r="G1304" s="34">
        <f>IF($A1304="","",CHOOSE(WEEKDAY($A1304,2),"LUNES","MARTES","MIÉRCOLES","JUEVES","VIERNES","SÁBADO","DOMINGO"))</f>
        <v/>
      </c>
      <c r="H1304" s="34">
        <f>IF($A1304="","",CHOOSE(MONTH($A1304),"ENERO","FEBRERO","MARZO","ABRIL","MAYO","JUNIO","JULIO","AGOSTO","SEPTIEMBRE","OCTUBRE","NOVIEMBRE","DICIEMBRE"))</f>
        <v/>
      </c>
      <c r="I1304" s="34">
        <f>IF($A1304="","",IF(OR($G1304="SÁBADO",$G1304="DOMINGO"),"FIN","LV"))</f>
        <v/>
      </c>
      <c r="J1304" s="34">
        <f>IF(OR($A1304="",$B1304=""),"",IF($L1304&lt;&gt;"",UPPER($L1304),IF($C1304="","FALTA",IFERROR(IF($C1304&gt;=$O1304,"ROJO FUERTE",IF($C1304&gt;=$N1304,"ROJO",IF($C1304&gt;=$M1304,"AMARILLO","VERDE"))),"REVISAR"))))</f>
        <v/>
      </c>
      <c r="K1304" s="36">
        <f>IF(OR($C1304="",$D1304=""),"",IF($D1304&gt;=$C1304,($D1304-$C1304)*24,(1-$C1304+$D1304)*24))</f>
        <v/>
      </c>
      <c r="L1304" s="34" t="n"/>
      <c r="M1304" s="53">
        <f t="array" ref="M1304">IFERROR(INDEX(EXCEPCIONES_FECHA!$D$2:$D$201,MATCH(1,(EXCEPCIONES_FECHA!$A$2:$A$201=$A1304)*(EXCEPCIONES_FECHA!$B$2:$B$201=$B1304),0)),IFERROR(INDEX(EXCEPCIONES_FECHA!$D$2:$D$201,MATCH(1,(EXCEPCIONES_FECHA!$A$2:$A$201=$A1304)*(EXCEPCIONES_FECHA!$B$2:$B$201=""),0)),IFERROR(INDEX(IF($I1304="FIN",HISTORIAL_HORARIOS!$J$2:$J$201,HISTORIAL_HORARIOS!$F$2:$F$201),MATCH(1,(HISTORIAL_HORARIOS!$A$2:$A$201=$B1304)*(HISTORIAL_HORARIOS!$C$2:$C$201&lt;=$A1304)*(HISTORIAL_HORARIOS!$D$2:$D$201&gt;=$A1304),0)),INDEX(IF($I1304="FIN",PERSONAL!$J$2:$J$80,PERSONAL!$F$2:$F$80),MATCH($B1304,PERSONAL!$A$2:$A$80,0)))))</f>
        <v/>
      </c>
      <c r="N1304" s="53">
        <f t="array" ref="N1304">IFERROR(INDEX(EXCEPCIONES_FECHA!$E$2:$E$201,MATCH(1,(EXCEPCIONES_FECHA!$A$2:$A$201=$A1304)*(EXCEPCIONES_FECHA!$B$2:$B$201=$B1304),0)),IFERROR(INDEX(EXCEPCIONES_FECHA!$E$2:$E$201,MATCH(1,(EXCEPCIONES_FECHA!$A$2:$A$201=$A1304)*(EXCEPCIONES_FECHA!$B$2:$B$201=""),0)),IFERROR(INDEX(IF($I1304="FIN",HISTORIAL_HORARIOS!$K$2:$K$201,HISTORIAL_HORARIOS!$G$2:$G$201),MATCH(1,(HISTORIAL_HORARIOS!$A$2:$A$201=$B1304)*(HISTORIAL_HORARIOS!$C$2:$C$201&lt;=$A1304)*(HISTORIAL_HORARIOS!$D$2:$D$201&gt;=$A1304),0)),INDEX(IF($I1304="FIN",PERSONAL!$K$2:$K$80,PERSONAL!$G$2:$G$80),MATCH($B1304,PERSONAL!$A$2:$A$80,0)))))</f>
        <v/>
      </c>
      <c r="O1304" s="53">
        <f t="array" ref="O1304">IFERROR(INDEX(EXCEPCIONES_FECHA!$F$2:$F$201,MATCH(1,(EXCEPCIONES_FECHA!$A$2:$A$201=$A1304)*(EXCEPCIONES_FECHA!$B$2:$B$201=$B1304),0)),IFERROR(INDEX(EXCEPCIONES_FECHA!$F$2:$F$201,MATCH(1,(EXCEPCIONES_FECHA!$A$2:$A$201=$A1304)*(EXCEPCIONES_FECHA!$B$2:$B$201=""),0)),IFERROR(INDEX(IF($I1304="FIN",HISTORIAL_HORARIOS!$L$2:$L$201,HISTORIAL_HORARIOS!$H$2:$H$201),MATCH(1,(HISTORIAL_HORARIOS!$A$2:$A$201=$B1304)*(HISTORIAL_HORARIOS!$C$2:$C$201&lt;=$A1304)*(HISTORIAL_HORARIOS!$D$2:$D$201&gt;=$A1304),0)),INDEX(IF($I1304="FIN",PERSONAL!$L$2:$L$80,PERSONAL!$H$2:$H$80),MATCH($B1304,PERSONAL!$A$2:$A$80,0)))))</f>
        <v/>
      </c>
    </row>
    <row r="1305" ht="15" customHeight="1" s="58">
      <c r="A1305" s="40" t="n"/>
      <c r="B1305" s="38" t="n"/>
      <c r="C1305" s="40" t="n"/>
      <c r="D1305" s="40" t="n"/>
      <c r="E1305" s="34">
        <f t="array" ref="E1305">IF($B1305="","",IFERROR(INDEX(PERSONAL!$B$2:$B$80,MATCH($B1305,PERSONAL!$A$2:$A$80,0)),"NO EXISTE"))</f>
        <v/>
      </c>
      <c r="F1305" s="34">
        <f t="array" ref="F1305">IF($B1305="","",IFERROR(INDEX(PERSONAL!$C$2:$C$80,MATCH($B1305,PERSONAL!$A$2:$A$80,0)),""))</f>
        <v/>
      </c>
      <c r="G1305" s="34">
        <f>IF($A1305="","",CHOOSE(WEEKDAY($A1305,2),"LUNES","MARTES","MIÉRCOLES","JUEVES","VIERNES","SÁBADO","DOMINGO"))</f>
        <v/>
      </c>
      <c r="H1305" s="34">
        <f>IF($A1305="","",CHOOSE(MONTH($A1305),"ENERO","FEBRERO","MARZO","ABRIL","MAYO","JUNIO","JULIO","AGOSTO","SEPTIEMBRE","OCTUBRE","NOVIEMBRE","DICIEMBRE"))</f>
        <v/>
      </c>
      <c r="I1305" s="34">
        <f>IF($A1305="","",IF(OR($G1305="SÁBADO",$G1305="DOMINGO"),"FIN","LV"))</f>
        <v/>
      </c>
      <c r="J1305" s="34">
        <f>IF(OR($A1305="",$B1305=""),"",IF($L1305&lt;&gt;"",UPPER($L1305),IF($C1305="","FALTA",IFERROR(IF($C1305&gt;=$O1305,"ROJO FUERTE",IF($C1305&gt;=$N1305,"ROJO",IF($C1305&gt;=$M1305,"AMARILLO","VERDE"))),"REVISAR"))))</f>
        <v/>
      </c>
      <c r="K1305" s="36">
        <f>IF(OR($C1305="",$D1305=""),"",IF($D1305&gt;=$C1305,($D1305-$C1305)*24,(1-$C1305+$D1305)*24))</f>
        <v/>
      </c>
      <c r="L1305" s="34" t="n"/>
      <c r="M1305" s="53">
        <f t="array" ref="M1305">IFERROR(INDEX(EXCEPCIONES_FECHA!$D$2:$D$201,MATCH(1,(EXCEPCIONES_FECHA!$A$2:$A$201=$A1305)*(EXCEPCIONES_FECHA!$B$2:$B$201=$B1305),0)),IFERROR(INDEX(EXCEPCIONES_FECHA!$D$2:$D$201,MATCH(1,(EXCEPCIONES_FECHA!$A$2:$A$201=$A1305)*(EXCEPCIONES_FECHA!$B$2:$B$201=""),0)),IFERROR(INDEX(IF($I1305="FIN",HISTORIAL_HORARIOS!$J$2:$J$201,HISTORIAL_HORARIOS!$F$2:$F$201),MATCH(1,(HISTORIAL_HORARIOS!$A$2:$A$201=$B1305)*(HISTORIAL_HORARIOS!$C$2:$C$201&lt;=$A1305)*(HISTORIAL_HORARIOS!$D$2:$D$201&gt;=$A1305),0)),INDEX(IF($I1305="FIN",PERSONAL!$J$2:$J$80,PERSONAL!$F$2:$F$80),MATCH($B1305,PERSONAL!$A$2:$A$80,0)))))</f>
        <v/>
      </c>
      <c r="N1305" s="53">
        <f t="array" ref="N1305">IFERROR(INDEX(EXCEPCIONES_FECHA!$E$2:$E$201,MATCH(1,(EXCEPCIONES_FECHA!$A$2:$A$201=$A1305)*(EXCEPCIONES_FECHA!$B$2:$B$201=$B1305),0)),IFERROR(INDEX(EXCEPCIONES_FECHA!$E$2:$E$201,MATCH(1,(EXCEPCIONES_FECHA!$A$2:$A$201=$A1305)*(EXCEPCIONES_FECHA!$B$2:$B$201=""),0)),IFERROR(INDEX(IF($I1305="FIN",HISTORIAL_HORARIOS!$K$2:$K$201,HISTORIAL_HORARIOS!$G$2:$G$201),MATCH(1,(HISTORIAL_HORARIOS!$A$2:$A$201=$B1305)*(HISTORIAL_HORARIOS!$C$2:$C$201&lt;=$A1305)*(HISTORIAL_HORARIOS!$D$2:$D$201&gt;=$A1305),0)),INDEX(IF($I1305="FIN",PERSONAL!$K$2:$K$80,PERSONAL!$G$2:$G$80),MATCH($B1305,PERSONAL!$A$2:$A$80,0)))))</f>
        <v/>
      </c>
      <c r="O1305" s="53">
        <f t="array" ref="O1305">IFERROR(INDEX(EXCEPCIONES_FECHA!$F$2:$F$201,MATCH(1,(EXCEPCIONES_FECHA!$A$2:$A$201=$A1305)*(EXCEPCIONES_FECHA!$B$2:$B$201=$B1305),0)),IFERROR(INDEX(EXCEPCIONES_FECHA!$F$2:$F$201,MATCH(1,(EXCEPCIONES_FECHA!$A$2:$A$201=$A1305)*(EXCEPCIONES_FECHA!$B$2:$B$201=""),0)),IFERROR(INDEX(IF($I1305="FIN",HISTORIAL_HORARIOS!$L$2:$L$201,HISTORIAL_HORARIOS!$H$2:$H$201),MATCH(1,(HISTORIAL_HORARIOS!$A$2:$A$201=$B1305)*(HISTORIAL_HORARIOS!$C$2:$C$201&lt;=$A1305)*(HISTORIAL_HORARIOS!$D$2:$D$201&gt;=$A1305),0)),INDEX(IF($I1305="FIN",PERSONAL!$L$2:$L$80,PERSONAL!$H$2:$H$80),MATCH($B1305,PERSONAL!$A$2:$A$80,0)))))</f>
        <v/>
      </c>
    </row>
    <row r="1306" ht="15" customHeight="1" s="58">
      <c r="A1306" s="40" t="n"/>
      <c r="B1306" s="38" t="n"/>
      <c r="C1306" s="40" t="n"/>
      <c r="D1306" s="40" t="n"/>
      <c r="E1306" s="34">
        <f t="array" ref="E1306">IF($B1306="","",IFERROR(INDEX(PERSONAL!$B$2:$B$80,MATCH($B1306,PERSONAL!$A$2:$A$80,0)),"NO EXISTE"))</f>
        <v/>
      </c>
      <c r="F1306" s="34">
        <f t="array" ref="F1306">IF($B1306="","",IFERROR(INDEX(PERSONAL!$C$2:$C$80,MATCH($B1306,PERSONAL!$A$2:$A$80,0)),""))</f>
        <v/>
      </c>
      <c r="G1306" s="34">
        <f>IF($A1306="","",CHOOSE(WEEKDAY($A1306,2),"LUNES","MARTES","MIÉRCOLES","JUEVES","VIERNES","SÁBADO","DOMINGO"))</f>
        <v/>
      </c>
      <c r="H1306" s="34">
        <f>IF($A1306="","",CHOOSE(MONTH($A1306),"ENERO","FEBRERO","MARZO","ABRIL","MAYO","JUNIO","JULIO","AGOSTO","SEPTIEMBRE","OCTUBRE","NOVIEMBRE","DICIEMBRE"))</f>
        <v/>
      </c>
      <c r="I1306" s="34">
        <f>IF($A1306="","",IF(OR($G1306="SÁBADO",$G1306="DOMINGO"),"FIN","LV"))</f>
        <v/>
      </c>
      <c r="J1306" s="34">
        <f>IF(OR($A1306="",$B1306=""),"",IF($L1306&lt;&gt;"",UPPER($L1306),IF($C1306="","FALTA",IFERROR(IF($C1306&gt;=$O1306,"ROJO FUERTE",IF($C1306&gt;=$N1306,"ROJO",IF($C1306&gt;=$M1306,"AMARILLO","VERDE"))),"REVISAR"))))</f>
        <v/>
      </c>
      <c r="K1306" s="36">
        <f>IF(OR($C1306="",$D1306=""),"",IF($D1306&gt;=$C1306,($D1306-$C1306)*24,(1-$C1306+$D1306)*24))</f>
        <v/>
      </c>
      <c r="L1306" s="34" t="n"/>
      <c r="M1306" s="53">
        <f t="array" ref="M1306">IFERROR(INDEX(EXCEPCIONES_FECHA!$D$2:$D$201,MATCH(1,(EXCEPCIONES_FECHA!$A$2:$A$201=$A1306)*(EXCEPCIONES_FECHA!$B$2:$B$201=$B1306),0)),IFERROR(INDEX(EXCEPCIONES_FECHA!$D$2:$D$201,MATCH(1,(EXCEPCIONES_FECHA!$A$2:$A$201=$A1306)*(EXCEPCIONES_FECHA!$B$2:$B$201=""),0)),IFERROR(INDEX(IF($I1306="FIN",HISTORIAL_HORARIOS!$J$2:$J$201,HISTORIAL_HORARIOS!$F$2:$F$201),MATCH(1,(HISTORIAL_HORARIOS!$A$2:$A$201=$B1306)*(HISTORIAL_HORARIOS!$C$2:$C$201&lt;=$A1306)*(HISTORIAL_HORARIOS!$D$2:$D$201&gt;=$A1306),0)),INDEX(IF($I1306="FIN",PERSONAL!$J$2:$J$80,PERSONAL!$F$2:$F$80),MATCH($B1306,PERSONAL!$A$2:$A$80,0)))))</f>
        <v/>
      </c>
      <c r="N1306" s="53">
        <f t="array" ref="N1306">IFERROR(INDEX(EXCEPCIONES_FECHA!$E$2:$E$201,MATCH(1,(EXCEPCIONES_FECHA!$A$2:$A$201=$A1306)*(EXCEPCIONES_FECHA!$B$2:$B$201=$B1306),0)),IFERROR(INDEX(EXCEPCIONES_FECHA!$E$2:$E$201,MATCH(1,(EXCEPCIONES_FECHA!$A$2:$A$201=$A1306)*(EXCEPCIONES_FECHA!$B$2:$B$201=""),0)),IFERROR(INDEX(IF($I1306="FIN",HISTORIAL_HORARIOS!$K$2:$K$201,HISTORIAL_HORARIOS!$G$2:$G$201),MATCH(1,(HISTORIAL_HORARIOS!$A$2:$A$201=$B1306)*(HISTORIAL_HORARIOS!$C$2:$C$201&lt;=$A1306)*(HISTORIAL_HORARIOS!$D$2:$D$201&gt;=$A1306),0)),INDEX(IF($I1306="FIN",PERSONAL!$K$2:$K$80,PERSONAL!$G$2:$G$80),MATCH($B1306,PERSONAL!$A$2:$A$80,0)))))</f>
        <v/>
      </c>
      <c r="O1306" s="53">
        <f t="array" ref="O1306">IFERROR(INDEX(EXCEPCIONES_FECHA!$F$2:$F$201,MATCH(1,(EXCEPCIONES_FECHA!$A$2:$A$201=$A1306)*(EXCEPCIONES_FECHA!$B$2:$B$201=$B1306),0)),IFERROR(INDEX(EXCEPCIONES_FECHA!$F$2:$F$201,MATCH(1,(EXCEPCIONES_FECHA!$A$2:$A$201=$A1306)*(EXCEPCIONES_FECHA!$B$2:$B$201=""),0)),IFERROR(INDEX(IF($I1306="FIN",HISTORIAL_HORARIOS!$L$2:$L$201,HISTORIAL_HORARIOS!$H$2:$H$201),MATCH(1,(HISTORIAL_HORARIOS!$A$2:$A$201=$B1306)*(HISTORIAL_HORARIOS!$C$2:$C$201&lt;=$A1306)*(HISTORIAL_HORARIOS!$D$2:$D$201&gt;=$A1306),0)),INDEX(IF($I1306="FIN",PERSONAL!$L$2:$L$80,PERSONAL!$H$2:$H$80),MATCH($B1306,PERSONAL!$A$2:$A$80,0)))))</f>
        <v/>
      </c>
    </row>
    <row r="1307" ht="15" customHeight="1" s="58">
      <c r="A1307" s="40" t="n"/>
      <c r="B1307" s="38" t="n"/>
      <c r="C1307" s="40" t="n"/>
      <c r="D1307" s="40" t="n"/>
      <c r="E1307" s="34">
        <f t="array" ref="E1307">IF($B1307="","",IFERROR(INDEX(PERSONAL!$B$2:$B$80,MATCH($B1307,PERSONAL!$A$2:$A$80,0)),"NO EXISTE"))</f>
        <v/>
      </c>
      <c r="F1307" s="34">
        <f t="array" ref="F1307">IF($B1307="","",IFERROR(INDEX(PERSONAL!$C$2:$C$80,MATCH($B1307,PERSONAL!$A$2:$A$80,0)),""))</f>
        <v/>
      </c>
      <c r="G1307" s="34">
        <f>IF($A1307="","",CHOOSE(WEEKDAY($A1307,2),"LUNES","MARTES","MIÉRCOLES","JUEVES","VIERNES","SÁBADO","DOMINGO"))</f>
        <v/>
      </c>
      <c r="H1307" s="34">
        <f>IF($A1307="","",CHOOSE(MONTH($A1307),"ENERO","FEBRERO","MARZO","ABRIL","MAYO","JUNIO","JULIO","AGOSTO","SEPTIEMBRE","OCTUBRE","NOVIEMBRE","DICIEMBRE"))</f>
        <v/>
      </c>
      <c r="I1307" s="34">
        <f>IF($A1307="","",IF(OR($G1307="SÁBADO",$G1307="DOMINGO"),"FIN","LV"))</f>
        <v/>
      </c>
      <c r="J1307" s="34">
        <f>IF(OR($A1307="",$B1307=""),"",IF($L1307&lt;&gt;"",UPPER($L1307),IF($C1307="","FALTA",IFERROR(IF($C1307&gt;=$O1307,"ROJO FUERTE",IF($C1307&gt;=$N1307,"ROJO",IF($C1307&gt;=$M1307,"AMARILLO","VERDE"))),"REVISAR"))))</f>
        <v/>
      </c>
      <c r="K1307" s="36">
        <f>IF(OR($C1307="",$D1307=""),"",IF($D1307&gt;=$C1307,($D1307-$C1307)*24,(1-$C1307+$D1307)*24))</f>
        <v/>
      </c>
      <c r="L1307" s="34" t="n"/>
      <c r="M1307" s="53">
        <f t="array" ref="M1307">IFERROR(INDEX(EXCEPCIONES_FECHA!$D$2:$D$201,MATCH(1,(EXCEPCIONES_FECHA!$A$2:$A$201=$A1307)*(EXCEPCIONES_FECHA!$B$2:$B$201=$B1307),0)),IFERROR(INDEX(EXCEPCIONES_FECHA!$D$2:$D$201,MATCH(1,(EXCEPCIONES_FECHA!$A$2:$A$201=$A1307)*(EXCEPCIONES_FECHA!$B$2:$B$201=""),0)),IFERROR(INDEX(IF($I1307="FIN",HISTORIAL_HORARIOS!$J$2:$J$201,HISTORIAL_HORARIOS!$F$2:$F$201),MATCH(1,(HISTORIAL_HORARIOS!$A$2:$A$201=$B1307)*(HISTORIAL_HORARIOS!$C$2:$C$201&lt;=$A1307)*(HISTORIAL_HORARIOS!$D$2:$D$201&gt;=$A1307),0)),INDEX(IF($I1307="FIN",PERSONAL!$J$2:$J$80,PERSONAL!$F$2:$F$80),MATCH($B1307,PERSONAL!$A$2:$A$80,0)))))</f>
        <v/>
      </c>
      <c r="N1307" s="53">
        <f t="array" ref="N1307">IFERROR(INDEX(EXCEPCIONES_FECHA!$E$2:$E$201,MATCH(1,(EXCEPCIONES_FECHA!$A$2:$A$201=$A1307)*(EXCEPCIONES_FECHA!$B$2:$B$201=$B1307),0)),IFERROR(INDEX(EXCEPCIONES_FECHA!$E$2:$E$201,MATCH(1,(EXCEPCIONES_FECHA!$A$2:$A$201=$A1307)*(EXCEPCIONES_FECHA!$B$2:$B$201=""),0)),IFERROR(INDEX(IF($I1307="FIN",HISTORIAL_HORARIOS!$K$2:$K$201,HISTORIAL_HORARIOS!$G$2:$G$201),MATCH(1,(HISTORIAL_HORARIOS!$A$2:$A$201=$B1307)*(HISTORIAL_HORARIOS!$C$2:$C$201&lt;=$A1307)*(HISTORIAL_HORARIOS!$D$2:$D$201&gt;=$A1307),0)),INDEX(IF($I1307="FIN",PERSONAL!$K$2:$K$80,PERSONAL!$G$2:$G$80),MATCH($B1307,PERSONAL!$A$2:$A$80,0)))))</f>
        <v/>
      </c>
      <c r="O1307" s="53">
        <f t="array" ref="O1307">IFERROR(INDEX(EXCEPCIONES_FECHA!$F$2:$F$201,MATCH(1,(EXCEPCIONES_FECHA!$A$2:$A$201=$A1307)*(EXCEPCIONES_FECHA!$B$2:$B$201=$B1307),0)),IFERROR(INDEX(EXCEPCIONES_FECHA!$F$2:$F$201,MATCH(1,(EXCEPCIONES_FECHA!$A$2:$A$201=$A1307)*(EXCEPCIONES_FECHA!$B$2:$B$201=""),0)),IFERROR(INDEX(IF($I1307="FIN",HISTORIAL_HORARIOS!$L$2:$L$201,HISTORIAL_HORARIOS!$H$2:$H$201),MATCH(1,(HISTORIAL_HORARIOS!$A$2:$A$201=$B1307)*(HISTORIAL_HORARIOS!$C$2:$C$201&lt;=$A1307)*(HISTORIAL_HORARIOS!$D$2:$D$201&gt;=$A1307),0)),INDEX(IF($I1307="FIN",PERSONAL!$L$2:$L$80,PERSONAL!$H$2:$H$80),MATCH($B1307,PERSONAL!$A$2:$A$80,0)))))</f>
        <v/>
      </c>
    </row>
    <row r="1308" ht="15" customHeight="1" s="58">
      <c r="A1308" s="40" t="n"/>
      <c r="B1308" s="38" t="n"/>
      <c r="C1308" s="40" t="n"/>
      <c r="D1308" s="40" t="n"/>
      <c r="E1308" s="34">
        <f t="array" ref="E1308">IF($B1308="","",IFERROR(INDEX(PERSONAL!$B$2:$B$80,MATCH($B1308,PERSONAL!$A$2:$A$80,0)),"NO EXISTE"))</f>
        <v/>
      </c>
      <c r="F1308" s="34">
        <f t="array" ref="F1308">IF($B1308="","",IFERROR(INDEX(PERSONAL!$C$2:$C$80,MATCH($B1308,PERSONAL!$A$2:$A$80,0)),""))</f>
        <v/>
      </c>
      <c r="G1308" s="34">
        <f>IF($A1308="","",CHOOSE(WEEKDAY($A1308,2),"LUNES","MARTES","MIÉRCOLES","JUEVES","VIERNES","SÁBADO","DOMINGO"))</f>
        <v/>
      </c>
      <c r="H1308" s="34">
        <f>IF($A1308="","",CHOOSE(MONTH($A1308),"ENERO","FEBRERO","MARZO","ABRIL","MAYO","JUNIO","JULIO","AGOSTO","SEPTIEMBRE","OCTUBRE","NOVIEMBRE","DICIEMBRE"))</f>
        <v/>
      </c>
      <c r="I1308" s="34">
        <f>IF($A1308="","",IF(OR($G1308="SÁBADO",$G1308="DOMINGO"),"FIN","LV"))</f>
        <v/>
      </c>
      <c r="J1308" s="34">
        <f>IF(OR($A1308="",$B1308=""),"",IF($L1308&lt;&gt;"",UPPER($L1308),IF($C1308="","FALTA",IFERROR(IF($C1308&gt;=$O1308,"ROJO FUERTE",IF($C1308&gt;=$N1308,"ROJO",IF($C1308&gt;=$M1308,"AMARILLO","VERDE"))),"REVISAR"))))</f>
        <v/>
      </c>
      <c r="K1308" s="36">
        <f>IF(OR($C1308="",$D1308=""),"",IF($D1308&gt;=$C1308,($D1308-$C1308)*24,(1-$C1308+$D1308)*24))</f>
        <v/>
      </c>
      <c r="L1308" s="34" t="n"/>
      <c r="M1308" s="53">
        <f t="array" ref="M1308">IFERROR(INDEX(EXCEPCIONES_FECHA!$D$2:$D$201,MATCH(1,(EXCEPCIONES_FECHA!$A$2:$A$201=$A1308)*(EXCEPCIONES_FECHA!$B$2:$B$201=$B1308),0)),IFERROR(INDEX(EXCEPCIONES_FECHA!$D$2:$D$201,MATCH(1,(EXCEPCIONES_FECHA!$A$2:$A$201=$A1308)*(EXCEPCIONES_FECHA!$B$2:$B$201=""),0)),IFERROR(INDEX(IF($I1308="FIN",HISTORIAL_HORARIOS!$J$2:$J$201,HISTORIAL_HORARIOS!$F$2:$F$201),MATCH(1,(HISTORIAL_HORARIOS!$A$2:$A$201=$B1308)*(HISTORIAL_HORARIOS!$C$2:$C$201&lt;=$A1308)*(HISTORIAL_HORARIOS!$D$2:$D$201&gt;=$A1308),0)),INDEX(IF($I1308="FIN",PERSONAL!$J$2:$J$80,PERSONAL!$F$2:$F$80),MATCH($B1308,PERSONAL!$A$2:$A$80,0)))))</f>
        <v/>
      </c>
      <c r="N1308" s="53">
        <f t="array" ref="N1308">IFERROR(INDEX(EXCEPCIONES_FECHA!$E$2:$E$201,MATCH(1,(EXCEPCIONES_FECHA!$A$2:$A$201=$A1308)*(EXCEPCIONES_FECHA!$B$2:$B$201=$B1308),0)),IFERROR(INDEX(EXCEPCIONES_FECHA!$E$2:$E$201,MATCH(1,(EXCEPCIONES_FECHA!$A$2:$A$201=$A1308)*(EXCEPCIONES_FECHA!$B$2:$B$201=""),0)),IFERROR(INDEX(IF($I1308="FIN",HISTORIAL_HORARIOS!$K$2:$K$201,HISTORIAL_HORARIOS!$G$2:$G$201),MATCH(1,(HISTORIAL_HORARIOS!$A$2:$A$201=$B1308)*(HISTORIAL_HORARIOS!$C$2:$C$201&lt;=$A1308)*(HISTORIAL_HORARIOS!$D$2:$D$201&gt;=$A1308),0)),INDEX(IF($I1308="FIN",PERSONAL!$K$2:$K$80,PERSONAL!$G$2:$G$80),MATCH($B1308,PERSONAL!$A$2:$A$80,0)))))</f>
        <v/>
      </c>
      <c r="O1308" s="53">
        <f t="array" ref="O1308">IFERROR(INDEX(EXCEPCIONES_FECHA!$F$2:$F$201,MATCH(1,(EXCEPCIONES_FECHA!$A$2:$A$201=$A1308)*(EXCEPCIONES_FECHA!$B$2:$B$201=$B1308),0)),IFERROR(INDEX(EXCEPCIONES_FECHA!$F$2:$F$201,MATCH(1,(EXCEPCIONES_FECHA!$A$2:$A$201=$A1308)*(EXCEPCIONES_FECHA!$B$2:$B$201=""),0)),IFERROR(INDEX(IF($I1308="FIN",HISTORIAL_HORARIOS!$L$2:$L$201,HISTORIAL_HORARIOS!$H$2:$H$201),MATCH(1,(HISTORIAL_HORARIOS!$A$2:$A$201=$B1308)*(HISTORIAL_HORARIOS!$C$2:$C$201&lt;=$A1308)*(HISTORIAL_HORARIOS!$D$2:$D$201&gt;=$A1308),0)),INDEX(IF($I1308="FIN",PERSONAL!$L$2:$L$80,PERSONAL!$H$2:$H$80),MATCH($B1308,PERSONAL!$A$2:$A$80,0)))))</f>
        <v/>
      </c>
    </row>
    <row r="1309" ht="15" customHeight="1" s="58">
      <c r="A1309" s="40" t="n"/>
      <c r="B1309" s="38" t="n"/>
      <c r="C1309" s="40" t="n"/>
      <c r="D1309" s="40" t="n"/>
      <c r="E1309" s="34">
        <f t="array" ref="E1309">IF($B1309="","",IFERROR(INDEX(PERSONAL!$B$2:$B$80,MATCH($B1309,PERSONAL!$A$2:$A$80,0)),"NO EXISTE"))</f>
        <v/>
      </c>
      <c r="F1309" s="34">
        <f t="array" ref="F1309">IF($B1309="","",IFERROR(INDEX(PERSONAL!$C$2:$C$80,MATCH($B1309,PERSONAL!$A$2:$A$80,0)),""))</f>
        <v/>
      </c>
      <c r="G1309" s="34">
        <f>IF($A1309="","",CHOOSE(WEEKDAY($A1309,2),"LUNES","MARTES","MIÉRCOLES","JUEVES","VIERNES","SÁBADO","DOMINGO"))</f>
        <v/>
      </c>
      <c r="H1309" s="34">
        <f>IF($A1309="","",CHOOSE(MONTH($A1309),"ENERO","FEBRERO","MARZO","ABRIL","MAYO","JUNIO","JULIO","AGOSTO","SEPTIEMBRE","OCTUBRE","NOVIEMBRE","DICIEMBRE"))</f>
        <v/>
      </c>
      <c r="I1309" s="34">
        <f>IF($A1309="","",IF(OR($G1309="SÁBADO",$G1309="DOMINGO"),"FIN","LV"))</f>
        <v/>
      </c>
      <c r="J1309" s="34">
        <f>IF(OR($A1309="",$B1309=""),"",IF($L1309&lt;&gt;"",UPPER($L1309),IF($C1309="","FALTA",IFERROR(IF($C1309&gt;=$O1309,"ROJO FUERTE",IF($C1309&gt;=$N1309,"ROJO",IF($C1309&gt;=$M1309,"AMARILLO","VERDE"))),"REVISAR"))))</f>
        <v/>
      </c>
      <c r="K1309" s="36">
        <f>IF(OR($C1309="",$D1309=""),"",IF($D1309&gt;=$C1309,($D1309-$C1309)*24,(1-$C1309+$D1309)*24))</f>
        <v/>
      </c>
      <c r="L1309" s="34" t="n"/>
      <c r="M1309" s="53">
        <f t="array" ref="M1309">IFERROR(INDEX(EXCEPCIONES_FECHA!$D$2:$D$201,MATCH(1,(EXCEPCIONES_FECHA!$A$2:$A$201=$A1309)*(EXCEPCIONES_FECHA!$B$2:$B$201=$B1309),0)),IFERROR(INDEX(EXCEPCIONES_FECHA!$D$2:$D$201,MATCH(1,(EXCEPCIONES_FECHA!$A$2:$A$201=$A1309)*(EXCEPCIONES_FECHA!$B$2:$B$201=""),0)),IFERROR(INDEX(IF($I1309="FIN",HISTORIAL_HORARIOS!$J$2:$J$201,HISTORIAL_HORARIOS!$F$2:$F$201),MATCH(1,(HISTORIAL_HORARIOS!$A$2:$A$201=$B1309)*(HISTORIAL_HORARIOS!$C$2:$C$201&lt;=$A1309)*(HISTORIAL_HORARIOS!$D$2:$D$201&gt;=$A1309),0)),INDEX(IF($I1309="FIN",PERSONAL!$J$2:$J$80,PERSONAL!$F$2:$F$80),MATCH($B1309,PERSONAL!$A$2:$A$80,0)))))</f>
        <v/>
      </c>
      <c r="N1309" s="53">
        <f t="array" ref="N1309">IFERROR(INDEX(EXCEPCIONES_FECHA!$E$2:$E$201,MATCH(1,(EXCEPCIONES_FECHA!$A$2:$A$201=$A1309)*(EXCEPCIONES_FECHA!$B$2:$B$201=$B1309),0)),IFERROR(INDEX(EXCEPCIONES_FECHA!$E$2:$E$201,MATCH(1,(EXCEPCIONES_FECHA!$A$2:$A$201=$A1309)*(EXCEPCIONES_FECHA!$B$2:$B$201=""),0)),IFERROR(INDEX(IF($I1309="FIN",HISTORIAL_HORARIOS!$K$2:$K$201,HISTORIAL_HORARIOS!$G$2:$G$201),MATCH(1,(HISTORIAL_HORARIOS!$A$2:$A$201=$B1309)*(HISTORIAL_HORARIOS!$C$2:$C$201&lt;=$A1309)*(HISTORIAL_HORARIOS!$D$2:$D$201&gt;=$A1309),0)),INDEX(IF($I1309="FIN",PERSONAL!$K$2:$K$80,PERSONAL!$G$2:$G$80),MATCH($B1309,PERSONAL!$A$2:$A$80,0)))))</f>
        <v/>
      </c>
      <c r="O1309" s="53">
        <f t="array" ref="O1309">IFERROR(INDEX(EXCEPCIONES_FECHA!$F$2:$F$201,MATCH(1,(EXCEPCIONES_FECHA!$A$2:$A$201=$A1309)*(EXCEPCIONES_FECHA!$B$2:$B$201=$B1309),0)),IFERROR(INDEX(EXCEPCIONES_FECHA!$F$2:$F$201,MATCH(1,(EXCEPCIONES_FECHA!$A$2:$A$201=$A1309)*(EXCEPCIONES_FECHA!$B$2:$B$201=""),0)),IFERROR(INDEX(IF($I1309="FIN",HISTORIAL_HORARIOS!$L$2:$L$201,HISTORIAL_HORARIOS!$H$2:$H$201),MATCH(1,(HISTORIAL_HORARIOS!$A$2:$A$201=$B1309)*(HISTORIAL_HORARIOS!$C$2:$C$201&lt;=$A1309)*(HISTORIAL_HORARIOS!$D$2:$D$201&gt;=$A1309),0)),INDEX(IF($I1309="FIN",PERSONAL!$L$2:$L$80,PERSONAL!$H$2:$H$80),MATCH($B1309,PERSONAL!$A$2:$A$80,0)))))</f>
        <v/>
      </c>
    </row>
    <row r="1310" ht="15" customHeight="1" s="58">
      <c r="A1310" s="40" t="n"/>
      <c r="B1310" s="38" t="n"/>
      <c r="C1310" s="40" t="n"/>
      <c r="D1310" s="40" t="n"/>
      <c r="E1310" s="34">
        <f t="array" ref="E1310">IF($B1310="","",IFERROR(INDEX(PERSONAL!$B$2:$B$80,MATCH($B1310,PERSONAL!$A$2:$A$80,0)),"NO EXISTE"))</f>
        <v/>
      </c>
      <c r="F1310" s="34">
        <f t="array" ref="F1310">IF($B1310="","",IFERROR(INDEX(PERSONAL!$C$2:$C$80,MATCH($B1310,PERSONAL!$A$2:$A$80,0)),""))</f>
        <v/>
      </c>
      <c r="G1310" s="34">
        <f>IF($A1310="","",CHOOSE(WEEKDAY($A1310,2),"LUNES","MARTES","MIÉRCOLES","JUEVES","VIERNES","SÁBADO","DOMINGO"))</f>
        <v/>
      </c>
      <c r="H1310" s="34">
        <f>IF($A1310="","",CHOOSE(MONTH($A1310),"ENERO","FEBRERO","MARZO","ABRIL","MAYO","JUNIO","JULIO","AGOSTO","SEPTIEMBRE","OCTUBRE","NOVIEMBRE","DICIEMBRE"))</f>
        <v/>
      </c>
      <c r="I1310" s="34">
        <f>IF($A1310="","",IF(OR($G1310="SÁBADO",$G1310="DOMINGO"),"FIN","LV"))</f>
        <v/>
      </c>
      <c r="J1310" s="34">
        <f>IF(OR($A1310="",$B1310=""),"",IF($L1310&lt;&gt;"",UPPER($L1310),IF($C1310="","FALTA",IFERROR(IF($C1310&gt;=$O1310,"ROJO FUERTE",IF($C1310&gt;=$N1310,"ROJO",IF($C1310&gt;=$M1310,"AMARILLO","VERDE"))),"REVISAR"))))</f>
        <v/>
      </c>
      <c r="K1310" s="36">
        <f>IF(OR($C1310="",$D1310=""),"",IF($D1310&gt;=$C1310,($D1310-$C1310)*24,(1-$C1310+$D1310)*24))</f>
        <v/>
      </c>
      <c r="L1310" s="34" t="n"/>
      <c r="M1310" s="53">
        <f t="array" ref="M1310">IFERROR(INDEX(EXCEPCIONES_FECHA!$D$2:$D$201,MATCH(1,(EXCEPCIONES_FECHA!$A$2:$A$201=$A1310)*(EXCEPCIONES_FECHA!$B$2:$B$201=$B1310),0)),IFERROR(INDEX(EXCEPCIONES_FECHA!$D$2:$D$201,MATCH(1,(EXCEPCIONES_FECHA!$A$2:$A$201=$A1310)*(EXCEPCIONES_FECHA!$B$2:$B$201=""),0)),IFERROR(INDEX(IF($I1310="FIN",HISTORIAL_HORARIOS!$J$2:$J$201,HISTORIAL_HORARIOS!$F$2:$F$201),MATCH(1,(HISTORIAL_HORARIOS!$A$2:$A$201=$B1310)*(HISTORIAL_HORARIOS!$C$2:$C$201&lt;=$A1310)*(HISTORIAL_HORARIOS!$D$2:$D$201&gt;=$A1310),0)),INDEX(IF($I1310="FIN",PERSONAL!$J$2:$J$80,PERSONAL!$F$2:$F$80),MATCH($B1310,PERSONAL!$A$2:$A$80,0)))))</f>
        <v/>
      </c>
      <c r="N1310" s="53">
        <f t="array" ref="N1310">IFERROR(INDEX(EXCEPCIONES_FECHA!$E$2:$E$201,MATCH(1,(EXCEPCIONES_FECHA!$A$2:$A$201=$A1310)*(EXCEPCIONES_FECHA!$B$2:$B$201=$B1310),0)),IFERROR(INDEX(EXCEPCIONES_FECHA!$E$2:$E$201,MATCH(1,(EXCEPCIONES_FECHA!$A$2:$A$201=$A1310)*(EXCEPCIONES_FECHA!$B$2:$B$201=""),0)),IFERROR(INDEX(IF($I1310="FIN",HISTORIAL_HORARIOS!$K$2:$K$201,HISTORIAL_HORARIOS!$G$2:$G$201),MATCH(1,(HISTORIAL_HORARIOS!$A$2:$A$201=$B1310)*(HISTORIAL_HORARIOS!$C$2:$C$201&lt;=$A1310)*(HISTORIAL_HORARIOS!$D$2:$D$201&gt;=$A1310),0)),INDEX(IF($I1310="FIN",PERSONAL!$K$2:$K$80,PERSONAL!$G$2:$G$80),MATCH($B1310,PERSONAL!$A$2:$A$80,0)))))</f>
        <v/>
      </c>
      <c r="O1310" s="53">
        <f t="array" ref="O1310">IFERROR(INDEX(EXCEPCIONES_FECHA!$F$2:$F$201,MATCH(1,(EXCEPCIONES_FECHA!$A$2:$A$201=$A1310)*(EXCEPCIONES_FECHA!$B$2:$B$201=$B1310),0)),IFERROR(INDEX(EXCEPCIONES_FECHA!$F$2:$F$201,MATCH(1,(EXCEPCIONES_FECHA!$A$2:$A$201=$A1310)*(EXCEPCIONES_FECHA!$B$2:$B$201=""),0)),IFERROR(INDEX(IF($I1310="FIN",HISTORIAL_HORARIOS!$L$2:$L$201,HISTORIAL_HORARIOS!$H$2:$H$201),MATCH(1,(HISTORIAL_HORARIOS!$A$2:$A$201=$B1310)*(HISTORIAL_HORARIOS!$C$2:$C$201&lt;=$A1310)*(HISTORIAL_HORARIOS!$D$2:$D$201&gt;=$A1310),0)),INDEX(IF($I1310="FIN",PERSONAL!$L$2:$L$80,PERSONAL!$H$2:$H$80),MATCH($B1310,PERSONAL!$A$2:$A$80,0)))))</f>
        <v/>
      </c>
    </row>
    <row r="1311" ht="15" customHeight="1" s="58">
      <c r="A1311" s="40" t="n"/>
      <c r="B1311" s="38" t="n"/>
      <c r="C1311" s="40" t="n"/>
      <c r="D1311" s="40" t="n"/>
      <c r="E1311" s="34">
        <f t="array" ref="E1311">IF($B1311="","",IFERROR(INDEX(PERSONAL!$B$2:$B$80,MATCH($B1311,PERSONAL!$A$2:$A$80,0)),"NO EXISTE"))</f>
        <v/>
      </c>
      <c r="F1311" s="34">
        <f t="array" ref="F1311">IF($B1311="","",IFERROR(INDEX(PERSONAL!$C$2:$C$80,MATCH($B1311,PERSONAL!$A$2:$A$80,0)),""))</f>
        <v/>
      </c>
      <c r="G1311" s="34">
        <f>IF($A1311="","",CHOOSE(WEEKDAY($A1311,2),"LUNES","MARTES","MIÉRCOLES","JUEVES","VIERNES","SÁBADO","DOMINGO"))</f>
        <v/>
      </c>
      <c r="H1311" s="34">
        <f>IF($A1311="","",CHOOSE(MONTH($A1311),"ENERO","FEBRERO","MARZO","ABRIL","MAYO","JUNIO","JULIO","AGOSTO","SEPTIEMBRE","OCTUBRE","NOVIEMBRE","DICIEMBRE"))</f>
        <v/>
      </c>
      <c r="I1311" s="34">
        <f>IF($A1311="","",IF(OR($G1311="SÁBADO",$G1311="DOMINGO"),"FIN","LV"))</f>
        <v/>
      </c>
      <c r="J1311" s="34">
        <f>IF(OR($A1311="",$B1311=""),"",IF($L1311&lt;&gt;"",UPPER($L1311),IF($C1311="","FALTA",IFERROR(IF($C1311&gt;=$O1311,"ROJO FUERTE",IF($C1311&gt;=$N1311,"ROJO",IF($C1311&gt;=$M1311,"AMARILLO","VERDE"))),"REVISAR"))))</f>
        <v/>
      </c>
      <c r="K1311" s="36">
        <f>IF(OR($C1311="",$D1311=""),"",IF($D1311&gt;=$C1311,($D1311-$C1311)*24,(1-$C1311+$D1311)*24))</f>
        <v/>
      </c>
      <c r="L1311" s="34" t="n"/>
      <c r="M1311" s="53">
        <f t="array" ref="M1311">IFERROR(INDEX(EXCEPCIONES_FECHA!$D$2:$D$201,MATCH(1,(EXCEPCIONES_FECHA!$A$2:$A$201=$A1311)*(EXCEPCIONES_FECHA!$B$2:$B$201=$B1311),0)),IFERROR(INDEX(EXCEPCIONES_FECHA!$D$2:$D$201,MATCH(1,(EXCEPCIONES_FECHA!$A$2:$A$201=$A1311)*(EXCEPCIONES_FECHA!$B$2:$B$201=""),0)),IFERROR(INDEX(IF($I1311="FIN",HISTORIAL_HORARIOS!$J$2:$J$201,HISTORIAL_HORARIOS!$F$2:$F$201),MATCH(1,(HISTORIAL_HORARIOS!$A$2:$A$201=$B1311)*(HISTORIAL_HORARIOS!$C$2:$C$201&lt;=$A1311)*(HISTORIAL_HORARIOS!$D$2:$D$201&gt;=$A1311),0)),INDEX(IF($I1311="FIN",PERSONAL!$J$2:$J$80,PERSONAL!$F$2:$F$80),MATCH($B1311,PERSONAL!$A$2:$A$80,0)))))</f>
        <v/>
      </c>
      <c r="N1311" s="53">
        <f t="array" ref="N1311">IFERROR(INDEX(EXCEPCIONES_FECHA!$E$2:$E$201,MATCH(1,(EXCEPCIONES_FECHA!$A$2:$A$201=$A1311)*(EXCEPCIONES_FECHA!$B$2:$B$201=$B1311),0)),IFERROR(INDEX(EXCEPCIONES_FECHA!$E$2:$E$201,MATCH(1,(EXCEPCIONES_FECHA!$A$2:$A$201=$A1311)*(EXCEPCIONES_FECHA!$B$2:$B$201=""),0)),IFERROR(INDEX(IF($I1311="FIN",HISTORIAL_HORARIOS!$K$2:$K$201,HISTORIAL_HORARIOS!$G$2:$G$201),MATCH(1,(HISTORIAL_HORARIOS!$A$2:$A$201=$B1311)*(HISTORIAL_HORARIOS!$C$2:$C$201&lt;=$A1311)*(HISTORIAL_HORARIOS!$D$2:$D$201&gt;=$A1311),0)),INDEX(IF($I1311="FIN",PERSONAL!$K$2:$K$80,PERSONAL!$G$2:$G$80),MATCH($B1311,PERSONAL!$A$2:$A$80,0)))))</f>
        <v/>
      </c>
      <c r="O1311" s="53">
        <f t="array" ref="O1311">IFERROR(INDEX(EXCEPCIONES_FECHA!$F$2:$F$201,MATCH(1,(EXCEPCIONES_FECHA!$A$2:$A$201=$A1311)*(EXCEPCIONES_FECHA!$B$2:$B$201=$B1311),0)),IFERROR(INDEX(EXCEPCIONES_FECHA!$F$2:$F$201,MATCH(1,(EXCEPCIONES_FECHA!$A$2:$A$201=$A1311)*(EXCEPCIONES_FECHA!$B$2:$B$201=""),0)),IFERROR(INDEX(IF($I1311="FIN",HISTORIAL_HORARIOS!$L$2:$L$201,HISTORIAL_HORARIOS!$H$2:$H$201),MATCH(1,(HISTORIAL_HORARIOS!$A$2:$A$201=$B1311)*(HISTORIAL_HORARIOS!$C$2:$C$201&lt;=$A1311)*(HISTORIAL_HORARIOS!$D$2:$D$201&gt;=$A1311),0)),INDEX(IF($I1311="FIN",PERSONAL!$L$2:$L$80,PERSONAL!$H$2:$H$80),MATCH($B1311,PERSONAL!$A$2:$A$80,0)))))</f>
        <v/>
      </c>
    </row>
    <row r="1312" ht="15" customHeight="1" s="58">
      <c r="A1312" s="40" t="n"/>
      <c r="B1312" s="38" t="n"/>
      <c r="C1312" s="40" t="n"/>
      <c r="D1312" s="40" t="n"/>
      <c r="E1312" s="34">
        <f t="array" ref="E1312">IF($B1312="","",IFERROR(INDEX(PERSONAL!$B$2:$B$80,MATCH($B1312,PERSONAL!$A$2:$A$80,0)),"NO EXISTE"))</f>
        <v/>
      </c>
      <c r="F1312" s="34">
        <f t="array" ref="F1312">IF($B1312="","",IFERROR(INDEX(PERSONAL!$C$2:$C$80,MATCH($B1312,PERSONAL!$A$2:$A$80,0)),""))</f>
        <v/>
      </c>
      <c r="G1312" s="34">
        <f>IF($A1312="","",CHOOSE(WEEKDAY($A1312,2),"LUNES","MARTES","MIÉRCOLES","JUEVES","VIERNES","SÁBADO","DOMINGO"))</f>
        <v/>
      </c>
      <c r="H1312" s="34">
        <f>IF($A1312="","",CHOOSE(MONTH($A1312),"ENERO","FEBRERO","MARZO","ABRIL","MAYO","JUNIO","JULIO","AGOSTO","SEPTIEMBRE","OCTUBRE","NOVIEMBRE","DICIEMBRE"))</f>
        <v/>
      </c>
      <c r="I1312" s="34">
        <f>IF($A1312="","",IF(OR($G1312="SÁBADO",$G1312="DOMINGO"),"FIN","LV"))</f>
        <v/>
      </c>
      <c r="J1312" s="34">
        <f>IF(OR($A1312="",$B1312=""),"",IF($L1312&lt;&gt;"",UPPER($L1312),IF($C1312="","FALTA",IFERROR(IF($C1312&gt;=$O1312,"ROJO FUERTE",IF($C1312&gt;=$N1312,"ROJO",IF($C1312&gt;=$M1312,"AMARILLO","VERDE"))),"REVISAR"))))</f>
        <v/>
      </c>
      <c r="K1312" s="36">
        <f>IF(OR($C1312="",$D1312=""),"",IF($D1312&gt;=$C1312,($D1312-$C1312)*24,(1-$C1312+$D1312)*24))</f>
        <v/>
      </c>
      <c r="L1312" s="34" t="n"/>
      <c r="M1312" s="53">
        <f t="array" ref="M1312">IFERROR(INDEX(EXCEPCIONES_FECHA!$D$2:$D$201,MATCH(1,(EXCEPCIONES_FECHA!$A$2:$A$201=$A1312)*(EXCEPCIONES_FECHA!$B$2:$B$201=$B1312),0)),IFERROR(INDEX(EXCEPCIONES_FECHA!$D$2:$D$201,MATCH(1,(EXCEPCIONES_FECHA!$A$2:$A$201=$A1312)*(EXCEPCIONES_FECHA!$B$2:$B$201=""),0)),IFERROR(INDEX(IF($I1312="FIN",HISTORIAL_HORARIOS!$J$2:$J$201,HISTORIAL_HORARIOS!$F$2:$F$201),MATCH(1,(HISTORIAL_HORARIOS!$A$2:$A$201=$B1312)*(HISTORIAL_HORARIOS!$C$2:$C$201&lt;=$A1312)*(HISTORIAL_HORARIOS!$D$2:$D$201&gt;=$A1312),0)),INDEX(IF($I1312="FIN",PERSONAL!$J$2:$J$80,PERSONAL!$F$2:$F$80),MATCH($B1312,PERSONAL!$A$2:$A$80,0)))))</f>
        <v/>
      </c>
      <c r="N1312" s="53">
        <f t="array" ref="N1312">IFERROR(INDEX(EXCEPCIONES_FECHA!$E$2:$E$201,MATCH(1,(EXCEPCIONES_FECHA!$A$2:$A$201=$A1312)*(EXCEPCIONES_FECHA!$B$2:$B$201=$B1312),0)),IFERROR(INDEX(EXCEPCIONES_FECHA!$E$2:$E$201,MATCH(1,(EXCEPCIONES_FECHA!$A$2:$A$201=$A1312)*(EXCEPCIONES_FECHA!$B$2:$B$201=""),0)),IFERROR(INDEX(IF($I1312="FIN",HISTORIAL_HORARIOS!$K$2:$K$201,HISTORIAL_HORARIOS!$G$2:$G$201),MATCH(1,(HISTORIAL_HORARIOS!$A$2:$A$201=$B1312)*(HISTORIAL_HORARIOS!$C$2:$C$201&lt;=$A1312)*(HISTORIAL_HORARIOS!$D$2:$D$201&gt;=$A1312),0)),INDEX(IF($I1312="FIN",PERSONAL!$K$2:$K$80,PERSONAL!$G$2:$G$80),MATCH($B1312,PERSONAL!$A$2:$A$80,0)))))</f>
        <v/>
      </c>
      <c r="O1312" s="53">
        <f t="array" ref="O1312">IFERROR(INDEX(EXCEPCIONES_FECHA!$F$2:$F$201,MATCH(1,(EXCEPCIONES_FECHA!$A$2:$A$201=$A1312)*(EXCEPCIONES_FECHA!$B$2:$B$201=$B1312),0)),IFERROR(INDEX(EXCEPCIONES_FECHA!$F$2:$F$201,MATCH(1,(EXCEPCIONES_FECHA!$A$2:$A$201=$A1312)*(EXCEPCIONES_FECHA!$B$2:$B$201=""),0)),IFERROR(INDEX(IF($I1312="FIN",HISTORIAL_HORARIOS!$L$2:$L$201,HISTORIAL_HORARIOS!$H$2:$H$201),MATCH(1,(HISTORIAL_HORARIOS!$A$2:$A$201=$B1312)*(HISTORIAL_HORARIOS!$C$2:$C$201&lt;=$A1312)*(HISTORIAL_HORARIOS!$D$2:$D$201&gt;=$A1312),0)),INDEX(IF($I1312="FIN",PERSONAL!$L$2:$L$80,PERSONAL!$H$2:$H$80),MATCH($B1312,PERSONAL!$A$2:$A$80,0)))))</f>
        <v/>
      </c>
    </row>
    <row r="1313" ht="15" customHeight="1" s="58">
      <c r="A1313" s="40" t="n"/>
      <c r="B1313" s="38" t="n"/>
      <c r="C1313" s="40" t="n"/>
      <c r="D1313" s="40" t="n"/>
      <c r="E1313" s="34">
        <f t="array" ref="E1313">IF($B1313="","",IFERROR(INDEX(PERSONAL!$B$2:$B$80,MATCH($B1313,PERSONAL!$A$2:$A$80,0)),"NO EXISTE"))</f>
        <v/>
      </c>
      <c r="F1313" s="34">
        <f t="array" ref="F1313">IF($B1313="","",IFERROR(INDEX(PERSONAL!$C$2:$C$80,MATCH($B1313,PERSONAL!$A$2:$A$80,0)),""))</f>
        <v/>
      </c>
      <c r="G1313" s="34">
        <f>IF($A1313="","",CHOOSE(WEEKDAY($A1313,2),"LUNES","MARTES","MIÉRCOLES","JUEVES","VIERNES","SÁBADO","DOMINGO"))</f>
        <v/>
      </c>
      <c r="H1313" s="34">
        <f>IF($A1313="","",CHOOSE(MONTH($A1313),"ENERO","FEBRERO","MARZO","ABRIL","MAYO","JUNIO","JULIO","AGOSTO","SEPTIEMBRE","OCTUBRE","NOVIEMBRE","DICIEMBRE"))</f>
        <v/>
      </c>
      <c r="I1313" s="34">
        <f>IF($A1313="","",IF(OR($G1313="SÁBADO",$G1313="DOMINGO"),"FIN","LV"))</f>
        <v/>
      </c>
      <c r="J1313" s="34">
        <f>IF(OR($A1313="",$B1313=""),"",IF($L1313&lt;&gt;"",UPPER($L1313),IF($C1313="","FALTA",IFERROR(IF($C1313&gt;=$O1313,"ROJO FUERTE",IF($C1313&gt;=$N1313,"ROJO",IF($C1313&gt;=$M1313,"AMARILLO","VERDE"))),"REVISAR"))))</f>
        <v/>
      </c>
      <c r="K1313" s="36">
        <f>IF(OR($C1313="",$D1313=""),"",IF($D1313&gt;=$C1313,($D1313-$C1313)*24,(1-$C1313+$D1313)*24))</f>
        <v/>
      </c>
      <c r="L1313" s="34" t="n"/>
      <c r="M1313" s="53">
        <f t="array" ref="M1313">IFERROR(INDEX(EXCEPCIONES_FECHA!$D$2:$D$201,MATCH(1,(EXCEPCIONES_FECHA!$A$2:$A$201=$A1313)*(EXCEPCIONES_FECHA!$B$2:$B$201=$B1313),0)),IFERROR(INDEX(EXCEPCIONES_FECHA!$D$2:$D$201,MATCH(1,(EXCEPCIONES_FECHA!$A$2:$A$201=$A1313)*(EXCEPCIONES_FECHA!$B$2:$B$201=""),0)),IFERROR(INDEX(IF($I1313="FIN",HISTORIAL_HORARIOS!$J$2:$J$201,HISTORIAL_HORARIOS!$F$2:$F$201),MATCH(1,(HISTORIAL_HORARIOS!$A$2:$A$201=$B1313)*(HISTORIAL_HORARIOS!$C$2:$C$201&lt;=$A1313)*(HISTORIAL_HORARIOS!$D$2:$D$201&gt;=$A1313),0)),INDEX(IF($I1313="FIN",PERSONAL!$J$2:$J$80,PERSONAL!$F$2:$F$80),MATCH($B1313,PERSONAL!$A$2:$A$80,0)))))</f>
        <v/>
      </c>
      <c r="N1313" s="53">
        <f t="array" ref="N1313">IFERROR(INDEX(EXCEPCIONES_FECHA!$E$2:$E$201,MATCH(1,(EXCEPCIONES_FECHA!$A$2:$A$201=$A1313)*(EXCEPCIONES_FECHA!$B$2:$B$201=$B1313),0)),IFERROR(INDEX(EXCEPCIONES_FECHA!$E$2:$E$201,MATCH(1,(EXCEPCIONES_FECHA!$A$2:$A$201=$A1313)*(EXCEPCIONES_FECHA!$B$2:$B$201=""),0)),IFERROR(INDEX(IF($I1313="FIN",HISTORIAL_HORARIOS!$K$2:$K$201,HISTORIAL_HORARIOS!$G$2:$G$201),MATCH(1,(HISTORIAL_HORARIOS!$A$2:$A$201=$B1313)*(HISTORIAL_HORARIOS!$C$2:$C$201&lt;=$A1313)*(HISTORIAL_HORARIOS!$D$2:$D$201&gt;=$A1313),0)),INDEX(IF($I1313="FIN",PERSONAL!$K$2:$K$80,PERSONAL!$G$2:$G$80),MATCH($B1313,PERSONAL!$A$2:$A$80,0)))))</f>
        <v/>
      </c>
      <c r="O1313" s="53">
        <f t="array" ref="O1313">IFERROR(INDEX(EXCEPCIONES_FECHA!$F$2:$F$201,MATCH(1,(EXCEPCIONES_FECHA!$A$2:$A$201=$A1313)*(EXCEPCIONES_FECHA!$B$2:$B$201=$B1313),0)),IFERROR(INDEX(EXCEPCIONES_FECHA!$F$2:$F$201,MATCH(1,(EXCEPCIONES_FECHA!$A$2:$A$201=$A1313)*(EXCEPCIONES_FECHA!$B$2:$B$201=""),0)),IFERROR(INDEX(IF($I1313="FIN",HISTORIAL_HORARIOS!$L$2:$L$201,HISTORIAL_HORARIOS!$H$2:$H$201),MATCH(1,(HISTORIAL_HORARIOS!$A$2:$A$201=$B1313)*(HISTORIAL_HORARIOS!$C$2:$C$201&lt;=$A1313)*(HISTORIAL_HORARIOS!$D$2:$D$201&gt;=$A1313),0)),INDEX(IF($I1313="FIN",PERSONAL!$L$2:$L$80,PERSONAL!$H$2:$H$80),MATCH($B1313,PERSONAL!$A$2:$A$80,0)))))</f>
        <v/>
      </c>
    </row>
    <row r="1314" ht="15" customHeight="1" s="58">
      <c r="A1314" s="40" t="n"/>
      <c r="B1314" s="38" t="n"/>
      <c r="C1314" s="40" t="n"/>
      <c r="D1314" s="40" t="n"/>
      <c r="E1314" s="34">
        <f t="array" ref="E1314">IF($B1314="","",IFERROR(INDEX(PERSONAL!$B$2:$B$80,MATCH($B1314,PERSONAL!$A$2:$A$80,0)),"NO EXISTE"))</f>
        <v/>
      </c>
      <c r="F1314" s="34">
        <f t="array" ref="F1314">IF($B1314="","",IFERROR(INDEX(PERSONAL!$C$2:$C$80,MATCH($B1314,PERSONAL!$A$2:$A$80,0)),""))</f>
        <v/>
      </c>
      <c r="G1314" s="34">
        <f>IF($A1314="","",CHOOSE(WEEKDAY($A1314,2),"LUNES","MARTES","MIÉRCOLES","JUEVES","VIERNES","SÁBADO","DOMINGO"))</f>
        <v/>
      </c>
      <c r="H1314" s="34">
        <f>IF($A1314="","",CHOOSE(MONTH($A1314),"ENERO","FEBRERO","MARZO","ABRIL","MAYO","JUNIO","JULIO","AGOSTO","SEPTIEMBRE","OCTUBRE","NOVIEMBRE","DICIEMBRE"))</f>
        <v/>
      </c>
      <c r="I1314" s="34">
        <f>IF($A1314="","",IF(OR($G1314="SÁBADO",$G1314="DOMINGO"),"FIN","LV"))</f>
        <v/>
      </c>
      <c r="J1314" s="34">
        <f>IF(OR($A1314="",$B1314=""),"",IF($L1314&lt;&gt;"",UPPER($L1314),IF($C1314="","FALTA",IFERROR(IF($C1314&gt;=$O1314,"ROJO FUERTE",IF($C1314&gt;=$N1314,"ROJO",IF($C1314&gt;=$M1314,"AMARILLO","VERDE"))),"REVISAR"))))</f>
        <v/>
      </c>
      <c r="K1314" s="36">
        <f>IF(OR($C1314="",$D1314=""),"",IF($D1314&gt;=$C1314,($D1314-$C1314)*24,(1-$C1314+$D1314)*24))</f>
        <v/>
      </c>
      <c r="L1314" s="34" t="n"/>
      <c r="M1314" s="53">
        <f t="array" ref="M1314">IFERROR(INDEX(EXCEPCIONES_FECHA!$D$2:$D$201,MATCH(1,(EXCEPCIONES_FECHA!$A$2:$A$201=$A1314)*(EXCEPCIONES_FECHA!$B$2:$B$201=$B1314),0)),IFERROR(INDEX(EXCEPCIONES_FECHA!$D$2:$D$201,MATCH(1,(EXCEPCIONES_FECHA!$A$2:$A$201=$A1314)*(EXCEPCIONES_FECHA!$B$2:$B$201=""),0)),IFERROR(INDEX(IF($I1314="FIN",HISTORIAL_HORARIOS!$J$2:$J$201,HISTORIAL_HORARIOS!$F$2:$F$201),MATCH(1,(HISTORIAL_HORARIOS!$A$2:$A$201=$B1314)*(HISTORIAL_HORARIOS!$C$2:$C$201&lt;=$A1314)*(HISTORIAL_HORARIOS!$D$2:$D$201&gt;=$A1314),0)),INDEX(IF($I1314="FIN",PERSONAL!$J$2:$J$80,PERSONAL!$F$2:$F$80),MATCH($B1314,PERSONAL!$A$2:$A$80,0)))))</f>
        <v/>
      </c>
      <c r="N1314" s="53">
        <f t="array" ref="N1314">IFERROR(INDEX(EXCEPCIONES_FECHA!$E$2:$E$201,MATCH(1,(EXCEPCIONES_FECHA!$A$2:$A$201=$A1314)*(EXCEPCIONES_FECHA!$B$2:$B$201=$B1314),0)),IFERROR(INDEX(EXCEPCIONES_FECHA!$E$2:$E$201,MATCH(1,(EXCEPCIONES_FECHA!$A$2:$A$201=$A1314)*(EXCEPCIONES_FECHA!$B$2:$B$201=""),0)),IFERROR(INDEX(IF($I1314="FIN",HISTORIAL_HORARIOS!$K$2:$K$201,HISTORIAL_HORARIOS!$G$2:$G$201),MATCH(1,(HISTORIAL_HORARIOS!$A$2:$A$201=$B1314)*(HISTORIAL_HORARIOS!$C$2:$C$201&lt;=$A1314)*(HISTORIAL_HORARIOS!$D$2:$D$201&gt;=$A1314),0)),INDEX(IF($I1314="FIN",PERSONAL!$K$2:$K$80,PERSONAL!$G$2:$G$80),MATCH($B1314,PERSONAL!$A$2:$A$80,0)))))</f>
        <v/>
      </c>
      <c r="O1314" s="53">
        <f t="array" ref="O1314">IFERROR(INDEX(EXCEPCIONES_FECHA!$F$2:$F$201,MATCH(1,(EXCEPCIONES_FECHA!$A$2:$A$201=$A1314)*(EXCEPCIONES_FECHA!$B$2:$B$201=$B1314),0)),IFERROR(INDEX(EXCEPCIONES_FECHA!$F$2:$F$201,MATCH(1,(EXCEPCIONES_FECHA!$A$2:$A$201=$A1314)*(EXCEPCIONES_FECHA!$B$2:$B$201=""),0)),IFERROR(INDEX(IF($I1314="FIN",HISTORIAL_HORARIOS!$L$2:$L$201,HISTORIAL_HORARIOS!$H$2:$H$201),MATCH(1,(HISTORIAL_HORARIOS!$A$2:$A$201=$B1314)*(HISTORIAL_HORARIOS!$C$2:$C$201&lt;=$A1314)*(HISTORIAL_HORARIOS!$D$2:$D$201&gt;=$A1314),0)),INDEX(IF($I1314="FIN",PERSONAL!$L$2:$L$80,PERSONAL!$H$2:$H$80),MATCH($B1314,PERSONAL!$A$2:$A$80,0)))))</f>
        <v/>
      </c>
    </row>
    <row r="1315" ht="15" customHeight="1" s="58">
      <c r="A1315" s="40" t="n"/>
      <c r="B1315" s="38" t="n"/>
      <c r="C1315" s="40" t="n"/>
      <c r="D1315" s="40" t="n"/>
      <c r="E1315" s="34">
        <f t="array" ref="E1315">IF($B1315="","",IFERROR(INDEX(PERSONAL!$B$2:$B$80,MATCH($B1315,PERSONAL!$A$2:$A$80,0)),"NO EXISTE"))</f>
        <v/>
      </c>
      <c r="F1315" s="34">
        <f t="array" ref="F1315">IF($B1315="","",IFERROR(INDEX(PERSONAL!$C$2:$C$80,MATCH($B1315,PERSONAL!$A$2:$A$80,0)),""))</f>
        <v/>
      </c>
      <c r="G1315" s="34">
        <f>IF($A1315="","",CHOOSE(WEEKDAY($A1315,2),"LUNES","MARTES","MIÉRCOLES","JUEVES","VIERNES","SÁBADO","DOMINGO"))</f>
        <v/>
      </c>
      <c r="H1315" s="34">
        <f>IF($A1315="","",CHOOSE(MONTH($A1315),"ENERO","FEBRERO","MARZO","ABRIL","MAYO","JUNIO","JULIO","AGOSTO","SEPTIEMBRE","OCTUBRE","NOVIEMBRE","DICIEMBRE"))</f>
        <v/>
      </c>
      <c r="I1315" s="34">
        <f>IF($A1315="","",IF(OR($G1315="SÁBADO",$G1315="DOMINGO"),"FIN","LV"))</f>
        <v/>
      </c>
      <c r="J1315" s="34">
        <f>IF(OR($A1315="",$B1315=""),"",IF($L1315&lt;&gt;"",UPPER($L1315),IF($C1315="","FALTA",IFERROR(IF($C1315&gt;=$O1315,"ROJO FUERTE",IF($C1315&gt;=$N1315,"ROJO",IF($C1315&gt;=$M1315,"AMARILLO","VERDE"))),"REVISAR"))))</f>
        <v/>
      </c>
      <c r="K1315" s="36">
        <f>IF(OR($C1315="",$D1315=""),"",IF($D1315&gt;=$C1315,($D1315-$C1315)*24,(1-$C1315+$D1315)*24))</f>
        <v/>
      </c>
      <c r="L1315" s="34" t="n"/>
      <c r="M1315" s="53">
        <f t="array" ref="M1315">IFERROR(INDEX(EXCEPCIONES_FECHA!$D$2:$D$201,MATCH(1,(EXCEPCIONES_FECHA!$A$2:$A$201=$A1315)*(EXCEPCIONES_FECHA!$B$2:$B$201=$B1315),0)),IFERROR(INDEX(EXCEPCIONES_FECHA!$D$2:$D$201,MATCH(1,(EXCEPCIONES_FECHA!$A$2:$A$201=$A1315)*(EXCEPCIONES_FECHA!$B$2:$B$201=""),0)),IFERROR(INDEX(IF($I1315="FIN",HISTORIAL_HORARIOS!$J$2:$J$201,HISTORIAL_HORARIOS!$F$2:$F$201),MATCH(1,(HISTORIAL_HORARIOS!$A$2:$A$201=$B1315)*(HISTORIAL_HORARIOS!$C$2:$C$201&lt;=$A1315)*(HISTORIAL_HORARIOS!$D$2:$D$201&gt;=$A1315),0)),INDEX(IF($I1315="FIN",PERSONAL!$J$2:$J$80,PERSONAL!$F$2:$F$80),MATCH($B1315,PERSONAL!$A$2:$A$80,0)))))</f>
        <v/>
      </c>
      <c r="N1315" s="53">
        <f t="array" ref="N1315">IFERROR(INDEX(EXCEPCIONES_FECHA!$E$2:$E$201,MATCH(1,(EXCEPCIONES_FECHA!$A$2:$A$201=$A1315)*(EXCEPCIONES_FECHA!$B$2:$B$201=$B1315),0)),IFERROR(INDEX(EXCEPCIONES_FECHA!$E$2:$E$201,MATCH(1,(EXCEPCIONES_FECHA!$A$2:$A$201=$A1315)*(EXCEPCIONES_FECHA!$B$2:$B$201=""),0)),IFERROR(INDEX(IF($I1315="FIN",HISTORIAL_HORARIOS!$K$2:$K$201,HISTORIAL_HORARIOS!$G$2:$G$201),MATCH(1,(HISTORIAL_HORARIOS!$A$2:$A$201=$B1315)*(HISTORIAL_HORARIOS!$C$2:$C$201&lt;=$A1315)*(HISTORIAL_HORARIOS!$D$2:$D$201&gt;=$A1315),0)),INDEX(IF($I1315="FIN",PERSONAL!$K$2:$K$80,PERSONAL!$G$2:$G$80),MATCH($B1315,PERSONAL!$A$2:$A$80,0)))))</f>
        <v/>
      </c>
      <c r="O1315" s="53">
        <f t="array" ref="O1315">IFERROR(INDEX(EXCEPCIONES_FECHA!$F$2:$F$201,MATCH(1,(EXCEPCIONES_FECHA!$A$2:$A$201=$A1315)*(EXCEPCIONES_FECHA!$B$2:$B$201=$B1315),0)),IFERROR(INDEX(EXCEPCIONES_FECHA!$F$2:$F$201,MATCH(1,(EXCEPCIONES_FECHA!$A$2:$A$201=$A1315)*(EXCEPCIONES_FECHA!$B$2:$B$201=""),0)),IFERROR(INDEX(IF($I1315="FIN",HISTORIAL_HORARIOS!$L$2:$L$201,HISTORIAL_HORARIOS!$H$2:$H$201),MATCH(1,(HISTORIAL_HORARIOS!$A$2:$A$201=$B1315)*(HISTORIAL_HORARIOS!$C$2:$C$201&lt;=$A1315)*(HISTORIAL_HORARIOS!$D$2:$D$201&gt;=$A1315),0)),INDEX(IF($I1315="FIN",PERSONAL!$L$2:$L$80,PERSONAL!$H$2:$H$80),MATCH($B1315,PERSONAL!$A$2:$A$80,0)))))</f>
        <v/>
      </c>
    </row>
    <row r="1316" ht="15" customHeight="1" s="58">
      <c r="A1316" s="40" t="n"/>
      <c r="B1316" s="38" t="n"/>
      <c r="C1316" s="40" t="n"/>
      <c r="D1316" s="40" t="n"/>
      <c r="E1316" s="34">
        <f t="array" ref="E1316">IF($B1316="","",IFERROR(INDEX(PERSONAL!$B$2:$B$80,MATCH($B1316,PERSONAL!$A$2:$A$80,0)),"NO EXISTE"))</f>
        <v/>
      </c>
      <c r="F1316" s="34">
        <f t="array" ref="F1316">IF($B1316="","",IFERROR(INDEX(PERSONAL!$C$2:$C$80,MATCH($B1316,PERSONAL!$A$2:$A$80,0)),""))</f>
        <v/>
      </c>
      <c r="G1316" s="34">
        <f>IF($A1316="","",CHOOSE(WEEKDAY($A1316,2),"LUNES","MARTES","MIÉRCOLES","JUEVES","VIERNES","SÁBADO","DOMINGO"))</f>
        <v/>
      </c>
      <c r="H1316" s="34">
        <f>IF($A1316="","",CHOOSE(MONTH($A1316),"ENERO","FEBRERO","MARZO","ABRIL","MAYO","JUNIO","JULIO","AGOSTO","SEPTIEMBRE","OCTUBRE","NOVIEMBRE","DICIEMBRE"))</f>
        <v/>
      </c>
      <c r="I1316" s="34">
        <f>IF($A1316="","",IF(OR($G1316="SÁBADO",$G1316="DOMINGO"),"FIN","LV"))</f>
        <v/>
      </c>
      <c r="J1316" s="34">
        <f>IF(OR($A1316="",$B1316=""),"",IF($L1316&lt;&gt;"",UPPER($L1316),IF($C1316="","FALTA",IFERROR(IF($C1316&gt;=$O1316,"ROJO FUERTE",IF($C1316&gt;=$N1316,"ROJO",IF($C1316&gt;=$M1316,"AMARILLO","VERDE"))),"REVISAR"))))</f>
        <v/>
      </c>
      <c r="K1316" s="36">
        <f>IF(OR($C1316="",$D1316=""),"",IF($D1316&gt;=$C1316,($D1316-$C1316)*24,(1-$C1316+$D1316)*24))</f>
        <v/>
      </c>
      <c r="L1316" s="34" t="n"/>
      <c r="M1316" s="53">
        <f t="array" ref="M1316">IFERROR(INDEX(EXCEPCIONES_FECHA!$D$2:$D$201,MATCH(1,(EXCEPCIONES_FECHA!$A$2:$A$201=$A1316)*(EXCEPCIONES_FECHA!$B$2:$B$201=$B1316),0)),IFERROR(INDEX(EXCEPCIONES_FECHA!$D$2:$D$201,MATCH(1,(EXCEPCIONES_FECHA!$A$2:$A$201=$A1316)*(EXCEPCIONES_FECHA!$B$2:$B$201=""),0)),IFERROR(INDEX(IF($I1316="FIN",HISTORIAL_HORARIOS!$J$2:$J$201,HISTORIAL_HORARIOS!$F$2:$F$201),MATCH(1,(HISTORIAL_HORARIOS!$A$2:$A$201=$B1316)*(HISTORIAL_HORARIOS!$C$2:$C$201&lt;=$A1316)*(HISTORIAL_HORARIOS!$D$2:$D$201&gt;=$A1316),0)),INDEX(IF($I1316="FIN",PERSONAL!$J$2:$J$80,PERSONAL!$F$2:$F$80),MATCH($B1316,PERSONAL!$A$2:$A$80,0)))))</f>
        <v/>
      </c>
      <c r="N1316" s="53">
        <f t="array" ref="N1316">IFERROR(INDEX(EXCEPCIONES_FECHA!$E$2:$E$201,MATCH(1,(EXCEPCIONES_FECHA!$A$2:$A$201=$A1316)*(EXCEPCIONES_FECHA!$B$2:$B$201=$B1316),0)),IFERROR(INDEX(EXCEPCIONES_FECHA!$E$2:$E$201,MATCH(1,(EXCEPCIONES_FECHA!$A$2:$A$201=$A1316)*(EXCEPCIONES_FECHA!$B$2:$B$201=""),0)),IFERROR(INDEX(IF($I1316="FIN",HISTORIAL_HORARIOS!$K$2:$K$201,HISTORIAL_HORARIOS!$G$2:$G$201),MATCH(1,(HISTORIAL_HORARIOS!$A$2:$A$201=$B1316)*(HISTORIAL_HORARIOS!$C$2:$C$201&lt;=$A1316)*(HISTORIAL_HORARIOS!$D$2:$D$201&gt;=$A1316),0)),INDEX(IF($I1316="FIN",PERSONAL!$K$2:$K$80,PERSONAL!$G$2:$G$80),MATCH($B1316,PERSONAL!$A$2:$A$80,0)))))</f>
        <v/>
      </c>
      <c r="O1316" s="53">
        <f t="array" ref="O1316">IFERROR(INDEX(EXCEPCIONES_FECHA!$F$2:$F$201,MATCH(1,(EXCEPCIONES_FECHA!$A$2:$A$201=$A1316)*(EXCEPCIONES_FECHA!$B$2:$B$201=$B1316),0)),IFERROR(INDEX(EXCEPCIONES_FECHA!$F$2:$F$201,MATCH(1,(EXCEPCIONES_FECHA!$A$2:$A$201=$A1316)*(EXCEPCIONES_FECHA!$B$2:$B$201=""),0)),IFERROR(INDEX(IF($I1316="FIN",HISTORIAL_HORARIOS!$L$2:$L$201,HISTORIAL_HORARIOS!$H$2:$H$201),MATCH(1,(HISTORIAL_HORARIOS!$A$2:$A$201=$B1316)*(HISTORIAL_HORARIOS!$C$2:$C$201&lt;=$A1316)*(HISTORIAL_HORARIOS!$D$2:$D$201&gt;=$A1316),0)),INDEX(IF($I1316="FIN",PERSONAL!$L$2:$L$80,PERSONAL!$H$2:$H$80),MATCH($B1316,PERSONAL!$A$2:$A$80,0)))))</f>
        <v/>
      </c>
    </row>
    <row r="1317" ht="15" customHeight="1" s="58">
      <c r="A1317" s="40" t="n"/>
      <c r="B1317" s="38" t="n"/>
      <c r="C1317" s="40" t="n"/>
      <c r="D1317" s="40" t="n"/>
      <c r="E1317" s="34">
        <f t="array" ref="E1317">IF($B1317="","",IFERROR(INDEX(PERSONAL!$B$2:$B$80,MATCH($B1317,PERSONAL!$A$2:$A$80,0)),"NO EXISTE"))</f>
        <v/>
      </c>
      <c r="F1317" s="34">
        <f t="array" ref="F1317">IF($B1317="","",IFERROR(INDEX(PERSONAL!$C$2:$C$80,MATCH($B1317,PERSONAL!$A$2:$A$80,0)),""))</f>
        <v/>
      </c>
      <c r="G1317" s="34">
        <f>IF($A1317="","",CHOOSE(WEEKDAY($A1317,2),"LUNES","MARTES","MIÉRCOLES","JUEVES","VIERNES","SÁBADO","DOMINGO"))</f>
        <v/>
      </c>
      <c r="H1317" s="34">
        <f>IF($A1317="","",CHOOSE(MONTH($A1317),"ENERO","FEBRERO","MARZO","ABRIL","MAYO","JUNIO","JULIO","AGOSTO","SEPTIEMBRE","OCTUBRE","NOVIEMBRE","DICIEMBRE"))</f>
        <v/>
      </c>
      <c r="I1317" s="34">
        <f>IF($A1317="","",IF(OR($G1317="SÁBADO",$G1317="DOMINGO"),"FIN","LV"))</f>
        <v/>
      </c>
      <c r="J1317" s="34">
        <f>IF(OR($A1317="",$B1317=""),"",IF($L1317&lt;&gt;"",UPPER($L1317),IF($C1317="","FALTA",IFERROR(IF($C1317&gt;=$O1317,"ROJO FUERTE",IF($C1317&gt;=$N1317,"ROJO",IF($C1317&gt;=$M1317,"AMARILLO","VERDE"))),"REVISAR"))))</f>
        <v/>
      </c>
      <c r="K1317" s="36">
        <f>IF(OR($C1317="",$D1317=""),"",IF($D1317&gt;=$C1317,($D1317-$C1317)*24,(1-$C1317+$D1317)*24))</f>
        <v/>
      </c>
      <c r="L1317" s="34" t="n"/>
      <c r="M1317" s="53">
        <f t="array" ref="M1317">IFERROR(INDEX(EXCEPCIONES_FECHA!$D$2:$D$201,MATCH(1,(EXCEPCIONES_FECHA!$A$2:$A$201=$A1317)*(EXCEPCIONES_FECHA!$B$2:$B$201=$B1317),0)),IFERROR(INDEX(EXCEPCIONES_FECHA!$D$2:$D$201,MATCH(1,(EXCEPCIONES_FECHA!$A$2:$A$201=$A1317)*(EXCEPCIONES_FECHA!$B$2:$B$201=""),0)),IFERROR(INDEX(IF($I1317="FIN",HISTORIAL_HORARIOS!$J$2:$J$201,HISTORIAL_HORARIOS!$F$2:$F$201),MATCH(1,(HISTORIAL_HORARIOS!$A$2:$A$201=$B1317)*(HISTORIAL_HORARIOS!$C$2:$C$201&lt;=$A1317)*(HISTORIAL_HORARIOS!$D$2:$D$201&gt;=$A1317),0)),INDEX(IF($I1317="FIN",PERSONAL!$J$2:$J$80,PERSONAL!$F$2:$F$80),MATCH($B1317,PERSONAL!$A$2:$A$80,0)))))</f>
        <v/>
      </c>
      <c r="N1317" s="53">
        <f t="array" ref="N1317">IFERROR(INDEX(EXCEPCIONES_FECHA!$E$2:$E$201,MATCH(1,(EXCEPCIONES_FECHA!$A$2:$A$201=$A1317)*(EXCEPCIONES_FECHA!$B$2:$B$201=$B1317),0)),IFERROR(INDEX(EXCEPCIONES_FECHA!$E$2:$E$201,MATCH(1,(EXCEPCIONES_FECHA!$A$2:$A$201=$A1317)*(EXCEPCIONES_FECHA!$B$2:$B$201=""),0)),IFERROR(INDEX(IF($I1317="FIN",HISTORIAL_HORARIOS!$K$2:$K$201,HISTORIAL_HORARIOS!$G$2:$G$201),MATCH(1,(HISTORIAL_HORARIOS!$A$2:$A$201=$B1317)*(HISTORIAL_HORARIOS!$C$2:$C$201&lt;=$A1317)*(HISTORIAL_HORARIOS!$D$2:$D$201&gt;=$A1317),0)),INDEX(IF($I1317="FIN",PERSONAL!$K$2:$K$80,PERSONAL!$G$2:$G$80),MATCH($B1317,PERSONAL!$A$2:$A$80,0)))))</f>
        <v/>
      </c>
      <c r="O1317" s="53">
        <f t="array" ref="O1317">IFERROR(INDEX(EXCEPCIONES_FECHA!$F$2:$F$201,MATCH(1,(EXCEPCIONES_FECHA!$A$2:$A$201=$A1317)*(EXCEPCIONES_FECHA!$B$2:$B$201=$B1317),0)),IFERROR(INDEX(EXCEPCIONES_FECHA!$F$2:$F$201,MATCH(1,(EXCEPCIONES_FECHA!$A$2:$A$201=$A1317)*(EXCEPCIONES_FECHA!$B$2:$B$201=""),0)),IFERROR(INDEX(IF($I1317="FIN",HISTORIAL_HORARIOS!$L$2:$L$201,HISTORIAL_HORARIOS!$H$2:$H$201),MATCH(1,(HISTORIAL_HORARIOS!$A$2:$A$201=$B1317)*(HISTORIAL_HORARIOS!$C$2:$C$201&lt;=$A1317)*(HISTORIAL_HORARIOS!$D$2:$D$201&gt;=$A1317),0)),INDEX(IF($I1317="FIN",PERSONAL!$L$2:$L$80,PERSONAL!$H$2:$H$80),MATCH($B1317,PERSONAL!$A$2:$A$80,0)))))</f>
        <v/>
      </c>
    </row>
    <row r="1318" ht="15" customHeight="1" s="58">
      <c r="A1318" s="40" t="n"/>
      <c r="B1318" s="38" t="n"/>
      <c r="C1318" s="40" t="n"/>
      <c r="D1318" s="40" t="n"/>
      <c r="E1318" s="34">
        <f t="array" ref="E1318">IF($B1318="","",IFERROR(INDEX(PERSONAL!$B$2:$B$80,MATCH($B1318,PERSONAL!$A$2:$A$80,0)),"NO EXISTE"))</f>
        <v/>
      </c>
      <c r="F1318" s="34">
        <f t="array" ref="F1318">IF($B1318="","",IFERROR(INDEX(PERSONAL!$C$2:$C$80,MATCH($B1318,PERSONAL!$A$2:$A$80,0)),""))</f>
        <v/>
      </c>
      <c r="G1318" s="34">
        <f>IF($A1318="","",CHOOSE(WEEKDAY($A1318,2),"LUNES","MARTES","MIÉRCOLES","JUEVES","VIERNES","SÁBADO","DOMINGO"))</f>
        <v/>
      </c>
      <c r="H1318" s="34">
        <f>IF($A1318="","",CHOOSE(MONTH($A1318),"ENERO","FEBRERO","MARZO","ABRIL","MAYO","JUNIO","JULIO","AGOSTO","SEPTIEMBRE","OCTUBRE","NOVIEMBRE","DICIEMBRE"))</f>
        <v/>
      </c>
      <c r="I1318" s="34">
        <f>IF($A1318="","",IF(OR($G1318="SÁBADO",$G1318="DOMINGO"),"FIN","LV"))</f>
        <v/>
      </c>
      <c r="J1318" s="34">
        <f>IF(OR($A1318="",$B1318=""),"",IF($L1318&lt;&gt;"",UPPER($L1318),IF($C1318="","FALTA",IFERROR(IF($C1318&gt;=$O1318,"ROJO FUERTE",IF($C1318&gt;=$N1318,"ROJO",IF($C1318&gt;=$M1318,"AMARILLO","VERDE"))),"REVISAR"))))</f>
        <v/>
      </c>
      <c r="K1318" s="36">
        <f>IF(OR($C1318="",$D1318=""),"",IF($D1318&gt;=$C1318,($D1318-$C1318)*24,(1-$C1318+$D1318)*24))</f>
        <v/>
      </c>
      <c r="L1318" s="34" t="n"/>
      <c r="M1318" s="53">
        <f t="array" ref="M1318">IFERROR(INDEX(EXCEPCIONES_FECHA!$D$2:$D$201,MATCH(1,(EXCEPCIONES_FECHA!$A$2:$A$201=$A1318)*(EXCEPCIONES_FECHA!$B$2:$B$201=$B1318),0)),IFERROR(INDEX(EXCEPCIONES_FECHA!$D$2:$D$201,MATCH(1,(EXCEPCIONES_FECHA!$A$2:$A$201=$A1318)*(EXCEPCIONES_FECHA!$B$2:$B$201=""),0)),IFERROR(INDEX(IF($I1318="FIN",HISTORIAL_HORARIOS!$J$2:$J$201,HISTORIAL_HORARIOS!$F$2:$F$201),MATCH(1,(HISTORIAL_HORARIOS!$A$2:$A$201=$B1318)*(HISTORIAL_HORARIOS!$C$2:$C$201&lt;=$A1318)*(HISTORIAL_HORARIOS!$D$2:$D$201&gt;=$A1318),0)),INDEX(IF($I1318="FIN",PERSONAL!$J$2:$J$80,PERSONAL!$F$2:$F$80),MATCH($B1318,PERSONAL!$A$2:$A$80,0)))))</f>
        <v/>
      </c>
      <c r="N1318" s="53">
        <f t="array" ref="N1318">IFERROR(INDEX(EXCEPCIONES_FECHA!$E$2:$E$201,MATCH(1,(EXCEPCIONES_FECHA!$A$2:$A$201=$A1318)*(EXCEPCIONES_FECHA!$B$2:$B$201=$B1318),0)),IFERROR(INDEX(EXCEPCIONES_FECHA!$E$2:$E$201,MATCH(1,(EXCEPCIONES_FECHA!$A$2:$A$201=$A1318)*(EXCEPCIONES_FECHA!$B$2:$B$201=""),0)),IFERROR(INDEX(IF($I1318="FIN",HISTORIAL_HORARIOS!$K$2:$K$201,HISTORIAL_HORARIOS!$G$2:$G$201),MATCH(1,(HISTORIAL_HORARIOS!$A$2:$A$201=$B1318)*(HISTORIAL_HORARIOS!$C$2:$C$201&lt;=$A1318)*(HISTORIAL_HORARIOS!$D$2:$D$201&gt;=$A1318),0)),INDEX(IF($I1318="FIN",PERSONAL!$K$2:$K$80,PERSONAL!$G$2:$G$80),MATCH($B1318,PERSONAL!$A$2:$A$80,0)))))</f>
        <v/>
      </c>
      <c r="O1318" s="53">
        <f t="array" ref="O1318">IFERROR(INDEX(EXCEPCIONES_FECHA!$F$2:$F$201,MATCH(1,(EXCEPCIONES_FECHA!$A$2:$A$201=$A1318)*(EXCEPCIONES_FECHA!$B$2:$B$201=$B1318),0)),IFERROR(INDEX(EXCEPCIONES_FECHA!$F$2:$F$201,MATCH(1,(EXCEPCIONES_FECHA!$A$2:$A$201=$A1318)*(EXCEPCIONES_FECHA!$B$2:$B$201=""),0)),IFERROR(INDEX(IF($I1318="FIN",HISTORIAL_HORARIOS!$L$2:$L$201,HISTORIAL_HORARIOS!$H$2:$H$201),MATCH(1,(HISTORIAL_HORARIOS!$A$2:$A$201=$B1318)*(HISTORIAL_HORARIOS!$C$2:$C$201&lt;=$A1318)*(HISTORIAL_HORARIOS!$D$2:$D$201&gt;=$A1318),0)),INDEX(IF($I1318="FIN",PERSONAL!$L$2:$L$80,PERSONAL!$H$2:$H$80),MATCH($B1318,PERSONAL!$A$2:$A$80,0)))))</f>
        <v/>
      </c>
    </row>
    <row r="1319" ht="15" customHeight="1" s="58">
      <c r="A1319" s="40" t="n"/>
      <c r="B1319" s="38" t="n"/>
      <c r="C1319" s="40" t="n"/>
      <c r="D1319" s="40" t="n"/>
      <c r="E1319" s="34">
        <f t="array" ref="E1319">IF($B1319="","",IFERROR(INDEX(PERSONAL!$B$2:$B$80,MATCH($B1319,PERSONAL!$A$2:$A$80,0)),"NO EXISTE"))</f>
        <v/>
      </c>
      <c r="F1319" s="34">
        <f t="array" ref="F1319">IF($B1319="","",IFERROR(INDEX(PERSONAL!$C$2:$C$80,MATCH($B1319,PERSONAL!$A$2:$A$80,0)),""))</f>
        <v/>
      </c>
      <c r="G1319" s="34">
        <f>IF($A1319="","",CHOOSE(WEEKDAY($A1319,2),"LUNES","MARTES","MIÉRCOLES","JUEVES","VIERNES","SÁBADO","DOMINGO"))</f>
        <v/>
      </c>
      <c r="H1319" s="34">
        <f>IF($A1319="","",CHOOSE(MONTH($A1319),"ENERO","FEBRERO","MARZO","ABRIL","MAYO","JUNIO","JULIO","AGOSTO","SEPTIEMBRE","OCTUBRE","NOVIEMBRE","DICIEMBRE"))</f>
        <v/>
      </c>
      <c r="I1319" s="34">
        <f>IF($A1319="","",IF(OR($G1319="SÁBADO",$G1319="DOMINGO"),"FIN","LV"))</f>
        <v/>
      </c>
      <c r="J1319" s="34">
        <f>IF(OR($A1319="",$B1319=""),"",IF($L1319&lt;&gt;"",UPPER($L1319),IF($C1319="","FALTA",IFERROR(IF($C1319&gt;=$O1319,"ROJO FUERTE",IF($C1319&gt;=$N1319,"ROJO",IF($C1319&gt;=$M1319,"AMARILLO","VERDE"))),"REVISAR"))))</f>
        <v/>
      </c>
      <c r="K1319" s="36">
        <f>IF(OR($C1319="",$D1319=""),"",IF($D1319&gt;=$C1319,($D1319-$C1319)*24,(1-$C1319+$D1319)*24))</f>
        <v/>
      </c>
      <c r="L1319" s="34" t="n"/>
      <c r="M1319" s="53">
        <f t="array" ref="M1319">IFERROR(INDEX(EXCEPCIONES_FECHA!$D$2:$D$201,MATCH(1,(EXCEPCIONES_FECHA!$A$2:$A$201=$A1319)*(EXCEPCIONES_FECHA!$B$2:$B$201=$B1319),0)),IFERROR(INDEX(EXCEPCIONES_FECHA!$D$2:$D$201,MATCH(1,(EXCEPCIONES_FECHA!$A$2:$A$201=$A1319)*(EXCEPCIONES_FECHA!$B$2:$B$201=""),0)),IFERROR(INDEX(IF($I1319="FIN",HISTORIAL_HORARIOS!$J$2:$J$201,HISTORIAL_HORARIOS!$F$2:$F$201),MATCH(1,(HISTORIAL_HORARIOS!$A$2:$A$201=$B1319)*(HISTORIAL_HORARIOS!$C$2:$C$201&lt;=$A1319)*(HISTORIAL_HORARIOS!$D$2:$D$201&gt;=$A1319),0)),INDEX(IF($I1319="FIN",PERSONAL!$J$2:$J$80,PERSONAL!$F$2:$F$80),MATCH($B1319,PERSONAL!$A$2:$A$80,0)))))</f>
        <v/>
      </c>
      <c r="N1319" s="53">
        <f t="array" ref="N1319">IFERROR(INDEX(EXCEPCIONES_FECHA!$E$2:$E$201,MATCH(1,(EXCEPCIONES_FECHA!$A$2:$A$201=$A1319)*(EXCEPCIONES_FECHA!$B$2:$B$201=$B1319),0)),IFERROR(INDEX(EXCEPCIONES_FECHA!$E$2:$E$201,MATCH(1,(EXCEPCIONES_FECHA!$A$2:$A$201=$A1319)*(EXCEPCIONES_FECHA!$B$2:$B$201=""),0)),IFERROR(INDEX(IF($I1319="FIN",HISTORIAL_HORARIOS!$K$2:$K$201,HISTORIAL_HORARIOS!$G$2:$G$201),MATCH(1,(HISTORIAL_HORARIOS!$A$2:$A$201=$B1319)*(HISTORIAL_HORARIOS!$C$2:$C$201&lt;=$A1319)*(HISTORIAL_HORARIOS!$D$2:$D$201&gt;=$A1319),0)),INDEX(IF($I1319="FIN",PERSONAL!$K$2:$K$80,PERSONAL!$G$2:$G$80),MATCH($B1319,PERSONAL!$A$2:$A$80,0)))))</f>
        <v/>
      </c>
      <c r="O1319" s="53">
        <f t="array" ref="O1319">IFERROR(INDEX(EXCEPCIONES_FECHA!$F$2:$F$201,MATCH(1,(EXCEPCIONES_FECHA!$A$2:$A$201=$A1319)*(EXCEPCIONES_FECHA!$B$2:$B$201=$B1319),0)),IFERROR(INDEX(EXCEPCIONES_FECHA!$F$2:$F$201,MATCH(1,(EXCEPCIONES_FECHA!$A$2:$A$201=$A1319)*(EXCEPCIONES_FECHA!$B$2:$B$201=""),0)),IFERROR(INDEX(IF($I1319="FIN",HISTORIAL_HORARIOS!$L$2:$L$201,HISTORIAL_HORARIOS!$H$2:$H$201),MATCH(1,(HISTORIAL_HORARIOS!$A$2:$A$201=$B1319)*(HISTORIAL_HORARIOS!$C$2:$C$201&lt;=$A1319)*(HISTORIAL_HORARIOS!$D$2:$D$201&gt;=$A1319),0)),INDEX(IF($I1319="FIN",PERSONAL!$L$2:$L$80,PERSONAL!$H$2:$H$80),MATCH($B1319,PERSONAL!$A$2:$A$80,0)))))</f>
        <v/>
      </c>
    </row>
    <row r="1320" ht="15" customHeight="1" s="58">
      <c r="A1320" s="40" t="n"/>
      <c r="B1320" s="38" t="n"/>
      <c r="C1320" s="40" t="n"/>
      <c r="D1320" s="40" t="n"/>
      <c r="E1320" s="34">
        <f t="array" ref="E1320">IF($B1320="","",IFERROR(INDEX(PERSONAL!$B$2:$B$80,MATCH($B1320,PERSONAL!$A$2:$A$80,0)),"NO EXISTE"))</f>
        <v/>
      </c>
      <c r="F1320" s="34">
        <f t="array" ref="F1320">IF($B1320="","",IFERROR(INDEX(PERSONAL!$C$2:$C$80,MATCH($B1320,PERSONAL!$A$2:$A$80,0)),""))</f>
        <v/>
      </c>
      <c r="G1320" s="34">
        <f>IF($A1320="","",CHOOSE(WEEKDAY($A1320,2),"LUNES","MARTES","MIÉRCOLES","JUEVES","VIERNES","SÁBADO","DOMINGO"))</f>
        <v/>
      </c>
      <c r="H1320" s="34">
        <f>IF($A1320="","",CHOOSE(MONTH($A1320),"ENERO","FEBRERO","MARZO","ABRIL","MAYO","JUNIO","JULIO","AGOSTO","SEPTIEMBRE","OCTUBRE","NOVIEMBRE","DICIEMBRE"))</f>
        <v/>
      </c>
      <c r="I1320" s="34">
        <f>IF($A1320="","",IF(OR($G1320="SÁBADO",$G1320="DOMINGO"),"FIN","LV"))</f>
        <v/>
      </c>
      <c r="J1320" s="34">
        <f>IF(OR($A1320="",$B1320=""),"",IF($L1320&lt;&gt;"",UPPER($L1320),IF($C1320="","FALTA",IFERROR(IF($C1320&gt;=$O1320,"ROJO FUERTE",IF($C1320&gt;=$N1320,"ROJO",IF($C1320&gt;=$M1320,"AMARILLO","VERDE"))),"REVISAR"))))</f>
        <v/>
      </c>
      <c r="K1320" s="36">
        <f>IF(OR($C1320="",$D1320=""),"",IF($D1320&gt;=$C1320,($D1320-$C1320)*24,(1-$C1320+$D1320)*24))</f>
        <v/>
      </c>
      <c r="L1320" s="34" t="n"/>
      <c r="M1320" s="53">
        <f t="array" ref="M1320">IFERROR(INDEX(EXCEPCIONES_FECHA!$D$2:$D$201,MATCH(1,(EXCEPCIONES_FECHA!$A$2:$A$201=$A1320)*(EXCEPCIONES_FECHA!$B$2:$B$201=$B1320),0)),IFERROR(INDEX(EXCEPCIONES_FECHA!$D$2:$D$201,MATCH(1,(EXCEPCIONES_FECHA!$A$2:$A$201=$A1320)*(EXCEPCIONES_FECHA!$B$2:$B$201=""),0)),IFERROR(INDEX(IF($I1320="FIN",HISTORIAL_HORARIOS!$J$2:$J$201,HISTORIAL_HORARIOS!$F$2:$F$201),MATCH(1,(HISTORIAL_HORARIOS!$A$2:$A$201=$B1320)*(HISTORIAL_HORARIOS!$C$2:$C$201&lt;=$A1320)*(HISTORIAL_HORARIOS!$D$2:$D$201&gt;=$A1320),0)),INDEX(IF($I1320="FIN",PERSONAL!$J$2:$J$80,PERSONAL!$F$2:$F$80),MATCH($B1320,PERSONAL!$A$2:$A$80,0)))))</f>
        <v/>
      </c>
      <c r="N1320" s="53">
        <f t="array" ref="N1320">IFERROR(INDEX(EXCEPCIONES_FECHA!$E$2:$E$201,MATCH(1,(EXCEPCIONES_FECHA!$A$2:$A$201=$A1320)*(EXCEPCIONES_FECHA!$B$2:$B$201=$B1320),0)),IFERROR(INDEX(EXCEPCIONES_FECHA!$E$2:$E$201,MATCH(1,(EXCEPCIONES_FECHA!$A$2:$A$201=$A1320)*(EXCEPCIONES_FECHA!$B$2:$B$201=""),0)),IFERROR(INDEX(IF($I1320="FIN",HISTORIAL_HORARIOS!$K$2:$K$201,HISTORIAL_HORARIOS!$G$2:$G$201),MATCH(1,(HISTORIAL_HORARIOS!$A$2:$A$201=$B1320)*(HISTORIAL_HORARIOS!$C$2:$C$201&lt;=$A1320)*(HISTORIAL_HORARIOS!$D$2:$D$201&gt;=$A1320),0)),INDEX(IF($I1320="FIN",PERSONAL!$K$2:$K$80,PERSONAL!$G$2:$G$80),MATCH($B1320,PERSONAL!$A$2:$A$80,0)))))</f>
        <v/>
      </c>
      <c r="O1320" s="53">
        <f t="array" ref="O1320">IFERROR(INDEX(EXCEPCIONES_FECHA!$F$2:$F$201,MATCH(1,(EXCEPCIONES_FECHA!$A$2:$A$201=$A1320)*(EXCEPCIONES_FECHA!$B$2:$B$201=$B1320),0)),IFERROR(INDEX(EXCEPCIONES_FECHA!$F$2:$F$201,MATCH(1,(EXCEPCIONES_FECHA!$A$2:$A$201=$A1320)*(EXCEPCIONES_FECHA!$B$2:$B$201=""),0)),IFERROR(INDEX(IF($I1320="FIN",HISTORIAL_HORARIOS!$L$2:$L$201,HISTORIAL_HORARIOS!$H$2:$H$201),MATCH(1,(HISTORIAL_HORARIOS!$A$2:$A$201=$B1320)*(HISTORIAL_HORARIOS!$C$2:$C$201&lt;=$A1320)*(HISTORIAL_HORARIOS!$D$2:$D$201&gt;=$A1320),0)),INDEX(IF($I1320="FIN",PERSONAL!$L$2:$L$80,PERSONAL!$H$2:$H$80),MATCH($B1320,PERSONAL!$A$2:$A$80,0)))))</f>
        <v/>
      </c>
    </row>
    <row r="1321" ht="15" customHeight="1" s="58">
      <c r="A1321" s="40" t="n"/>
      <c r="B1321" s="38" t="n"/>
      <c r="C1321" s="40" t="n"/>
      <c r="D1321" s="40" t="n"/>
      <c r="E1321" s="34">
        <f t="array" ref="E1321">IF($B1321="","",IFERROR(INDEX(PERSONAL!$B$2:$B$80,MATCH($B1321,PERSONAL!$A$2:$A$80,0)),"NO EXISTE"))</f>
        <v/>
      </c>
      <c r="F1321" s="34">
        <f t="array" ref="F1321">IF($B1321="","",IFERROR(INDEX(PERSONAL!$C$2:$C$80,MATCH($B1321,PERSONAL!$A$2:$A$80,0)),""))</f>
        <v/>
      </c>
      <c r="G1321" s="34">
        <f>IF($A1321="","",CHOOSE(WEEKDAY($A1321,2),"LUNES","MARTES","MIÉRCOLES","JUEVES","VIERNES","SÁBADO","DOMINGO"))</f>
        <v/>
      </c>
      <c r="H1321" s="34">
        <f>IF($A1321="","",CHOOSE(MONTH($A1321),"ENERO","FEBRERO","MARZO","ABRIL","MAYO","JUNIO","JULIO","AGOSTO","SEPTIEMBRE","OCTUBRE","NOVIEMBRE","DICIEMBRE"))</f>
        <v/>
      </c>
      <c r="I1321" s="34">
        <f>IF($A1321="","",IF(OR($G1321="SÁBADO",$G1321="DOMINGO"),"FIN","LV"))</f>
        <v/>
      </c>
      <c r="J1321" s="34">
        <f>IF(OR($A1321="",$B1321=""),"",IF($L1321&lt;&gt;"",UPPER($L1321),IF($C1321="","FALTA",IFERROR(IF($C1321&gt;=$O1321,"ROJO FUERTE",IF($C1321&gt;=$N1321,"ROJO",IF($C1321&gt;=$M1321,"AMARILLO","VERDE"))),"REVISAR"))))</f>
        <v/>
      </c>
      <c r="K1321" s="36">
        <f>IF(OR($C1321="",$D1321=""),"",IF($D1321&gt;=$C1321,($D1321-$C1321)*24,(1-$C1321+$D1321)*24))</f>
        <v/>
      </c>
      <c r="L1321" s="34" t="n"/>
      <c r="M1321" s="53">
        <f t="array" ref="M1321">IFERROR(INDEX(EXCEPCIONES_FECHA!$D$2:$D$201,MATCH(1,(EXCEPCIONES_FECHA!$A$2:$A$201=$A1321)*(EXCEPCIONES_FECHA!$B$2:$B$201=$B1321),0)),IFERROR(INDEX(EXCEPCIONES_FECHA!$D$2:$D$201,MATCH(1,(EXCEPCIONES_FECHA!$A$2:$A$201=$A1321)*(EXCEPCIONES_FECHA!$B$2:$B$201=""),0)),IFERROR(INDEX(IF($I1321="FIN",HISTORIAL_HORARIOS!$J$2:$J$201,HISTORIAL_HORARIOS!$F$2:$F$201),MATCH(1,(HISTORIAL_HORARIOS!$A$2:$A$201=$B1321)*(HISTORIAL_HORARIOS!$C$2:$C$201&lt;=$A1321)*(HISTORIAL_HORARIOS!$D$2:$D$201&gt;=$A1321),0)),INDEX(IF($I1321="FIN",PERSONAL!$J$2:$J$80,PERSONAL!$F$2:$F$80),MATCH($B1321,PERSONAL!$A$2:$A$80,0)))))</f>
        <v/>
      </c>
      <c r="N1321" s="53">
        <f t="array" ref="N1321">IFERROR(INDEX(EXCEPCIONES_FECHA!$E$2:$E$201,MATCH(1,(EXCEPCIONES_FECHA!$A$2:$A$201=$A1321)*(EXCEPCIONES_FECHA!$B$2:$B$201=$B1321),0)),IFERROR(INDEX(EXCEPCIONES_FECHA!$E$2:$E$201,MATCH(1,(EXCEPCIONES_FECHA!$A$2:$A$201=$A1321)*(EXCEPCIONES_FECHA!$B$2:$B$201=""),0)),IFERROR(INDEX(IF($I1321="FIN",HISTORIAL_HORARIOS!$K$2:$K$201,HISTORIAL_HORARIOS!$G$2:$G$201),MATCH(1,(HISTORIAL_HORARIOS!$A$2:$A$201=$B1321)*(HISTORIAL_HORARIOS!$C$2:$C$201&lt;=$A1321)*(HISTORIAL_HORARIOS!$D$2:$D$201&gt;=$A1321),0)),INDEX(IF($I1321="FIN",PERSONAL!$K$2:$K$80,PERSONAL!$G$2:$G$80),MATCH($B1321,PERSONAL!$A$2:$A$80,0)))))</f>
        <v/>
      </c>
      <c r="O1321" s="53">
        <f t="array" ref="O1321">IFERROR(INDEX(EXCEPCIONES_FECHA!$F$2:$F$201,MATCH(1,(EXCEPCIONES_FECHA!$A$2:$A$201=$A1321)*(EXCEPCIONES_FECHA!$B$2:$B$201=$B1321),0)),IFERROR(INDEX(EXCEPCIONES_FECHA!$F$2:$F$201,MATCH(1,(EXCEPCIONES_FECHA!$A$2:$A$201=$A1321)*(EXCEPCIONES_FECHA!$B$2:$B$201=""),0)),IFERROR(INDEX(IF($I1321="FIN",HISTORIAL_HORARIOS!$L$2:$L$201,HISTORIAL_HORARIOS!$H$2:$H$201),MATCH(1,(HISTORIAL_HORARIOS!$A$2:$A$201=$B1321)*(HISTORIAL_HORARIOS!$C$2:$C$201&lt;=$A1321)*(HISTORIAL_HORARIOS!$D$2:$D$201&gt;=$A1321),0)),INDEX(IF($I1321="FIN",PERSONAL!$L$2:$L$80,PERSONAL!$H$2:$H$80),MATCH($B1321,PERSONAL!$A$2:$A$80,0)))))</f>
        <v/>
      </c>
    </row>
    <row r="1322" ht="15" customHeight="1" s="58">
      <c r="A1322" s="40" t="n"/>
      <c r="B1322" s="38" t="n"/>
      <c r="C1322" s="40" t="n"/>
      <c r="D1322" s="40" t="n"/>
      <c r="E1322" s="34">
        <f t="array" ref="E1322">IF($B1322="","",IFERROR(INDEX(PERSONAL!$B$2:$B$80,MATCH($B1322,PERSONAL!$A$2:$A$80,0)),"NO EXISTE"))</f>
        <v/>
      </c>
      <c r="F1322" s="34">
        <f t="array" ref="F1322">IF($B1322="","",IFERROR(INDEX(PERSONAL!$C$2:$C$80,MATCH($B1322,PERSONAL!$A$2:$A$80,0)),""))</f>
        <v/>
      </c>
      <c r="G1322" s="34">
        <f>IF($A1322="","",CHOOSE(WEEKDAY($A1322,2),"LUNES","MARTES","MIÉRCOLES","JUEVES","VIERNES","SÁBADO","DOMINGO"))</f>
        <v/>
      </c>
      <c r="H1322" s="34">
        <f>IF($A1322="","",CHOOSE(MONTH($A1322),"ENERO","FEBRERO","MARZO","ABRIL","MAYO","JUNIO","JULIO","AGOSTO","SEPTIEMBRE","OCTUBRE","NOVIEMBRE","DICIEMBRE"))</f>
        <v/>
      </c>
      <c r="I1322" s="34">
        <f>IF($A1322="","",IF(OR($G1322="SÁBADO",$G1322="DOMINGO"),"FIN","LV"))</f>
        <v/>
      </c>
      <c r="J1322" s="34">
        <f>IF(OR($A1322="",$B1322=""),"",IF($L1322&lt;&gt;"",UPPER($L1322),IF($C1322="","FALTA",IFERROR(IF($C1322&gt;=$O1322,"ROJO FUERTE",IF($C1322&gt;=$N1322,"ROJO",IF($C1322&gt;=$M1322,"AMARILLO","VERDE"))),"REVISAR"))))</f>
        <v/>
      </c>
      <c r="K1322" s="36">
        <f>IF(OR($C1322="",$D1322=""),"",IF($D1322&gt;=$C1322,($D1322-$C1322)*24,(1-$C1322+$D1322)*24))</f>
        <v/>
      </c>
      <c r="L1322" s="34" t="n"/>
      <c r="M1322" s="53">
        <f t="array" ref="M1322">IFERROR(INDEX(EXCEPCIONES_FECHA!$D$2:$D$201,MATCH(1,(EXCEPCIONES_FECHA!$A$2:$A$201=$A1322)*(EXCEPCIONES_FECHA!$B$2:$B$201=$B1322),0)),IFERROR(INDEX(EXCEPCIONES_FECHA!$D$2:$D$201,MATCH(1,(EXCEPCIONES_FECHA!$A$2:$A$201=$A1322)*(EXCEPCIONES_FECHA!$B$2:$B$201=""),0)),IFERROR(INDEX(IF($I1322="FIN",HISTORIAL_HORARIOS!$J$2:$J$201,HISTORIAL_HORARIOS!$F$2:$F$201),MATCH(1,(HISTORIAL_HORARIOS!$A$2:$A$201=$B1322)*(HISTORIAL_HORARIOS!$C$2:$C$201&lt;=$A1322)*(HISTORIAL_HORARIOS!$D$2:$D$201&gt;=$A1322),0)),INDEX(IF($I1322="FIN",PERSONAL!$J$2:$J$80,PERSONAL!$F$2:$F$80),MATCH($B1322,PERSONAL!$A$2:$A$80,0)))))</f>
        <v/>
      </c>
      <c r="N1322" s="53">
        <f t="array" ref="N1322">IFERROR(INDEX(EXCEPCIONES_FECHA!$E$2:$E$201,MATCH(1,(EXCEPCIONES_FECHA!$A$2:$A$201=$A1322)*(EXCEPCIONES_FECHA!$B$2:$B$201=$B1322),0)),IFERROR(INDEX(EXCEPCIONES_FECHA!$E$2:$E$201,MATCH(1,(EXCEPCIONES_FECHA!$A$2:$A$201=$A1322)*(EXCEPCIONES_FECHA!$B$2:$B$201=""),0)),IFERROR(INDEX(IF($I1322="FIN",HISTORIAL_HORARIOS!$K$2:$K$201,HISTORIAL_HORARIOS!$G$2:$G$201),MATCH(1,(HISTORIAL_HORARIOS!$A$2:$A$201=$B1322)*(HISTORIAL_HORARIOS!$C$2:$C$201&lt;=$A1322)*(HISTORIAL_HORARIOS!$D$2:$D$201&gt;=$A1322),0)),INDEX(IF($I1322="FIN",PERSONAL!$K$2:$K$80,PERSONAL!$G$2:$G$80),MATCH($B1322,PERSONAL!$A$2:$A$80,0)))))</f>
        <v/>
      </c>
      <c r="O1322" s="53">
        <f t="array" ref="O1322">IFERROR(INDEX(EXCEPCIONES_FECHA!$F$2:$F$201,MATCH(1,(EXCEPCIONES_FECHA!$A$2:$A$201=$A1322)*(EXCEPCIONES_FECHA!$B$2:$B$201=$B1322),0)),IFERROR(INDEX(EXCEPCIONES_FECHA!$F$2:$F$201,MATCH(1,(EXCEPCIONES_FECHA!$A$2:$A$201=$A1322)*(EXCEPCIONES_FECHA!$B$2:$B$201=""),0)),IFERROR(INDEX(IF($I1322="FIN",HISTORIAL_HORARIOS!$L$2:$L$201,HISTORIAL_HORARIOS!$H$2:$H$201),MATCH(1,(HISTORIAL_HORARIOS!$A$2:$A$201=$B1322)*(HISTORIAL_HORARIOS!$C$2:$C$201&lt;=$A1322)*(HISTORIAL_HORARIOS!$D$2:$D$201&gt;=$A1322),0)),INDEX(IF($I1322="FIN",PERSONAL!$L$2:$L$80,PERSONAL!$H$2:$H$80),MATCH($B1322,PERSONAL!$A$2:$A$80,0)))))</f>
        <v/>
      </c>
    </row>
    <row r="1323" ht="15" customHeight="1" s="58">
      <c r="A1323" s="40" t="n"/>
      <c r="B1323" s="38" t="n"/>
      <c r="C1323" s="40" t="n"/>
      <c r="D1323" s="40" t="n"/>
      <c r="E1323" s="34">
        <f t="array" ref="E1323">IF($B1323="","",IFERROR(INDEX(PERSONAL!$B$2:$B$80,MATCH($B1323,PERSONAL!$A$2:$A$80,0)),"NO EXISTE"))</f>
        <v/>
      </c>
      <c r="F1323" s="34">
        <f t="array" ref="F1323">IF($B1323="","",IFERROR(INDEX(PERSONAL!$C$2:$C$80,MATCH($B1323,PERSONAL!$A$2:$A$80,0)),""))</f>
        <v/>
      </c>
      <c r="G1323" s="34">
        <f>IF($A1323="","",CHOOSE(WEEKDAY($A1323,2),"LUNES","MARTES","MIÉRCOLES","JUEVES","VIERNES","SÁBADO","DOMINGO"))</f>
        <v/>
      </c>
      <c r="H1323" s="34">
        <f>IF($A1323="","",CHOOSE(MONTH($A1323),"ENERO","FEBRERO","MARZO","ABRIL","MAYO","JUNIO","JULIO","AGOSTO","SEPTIEMBRE","OCTUBRE","NOVIEMBRE","DICIEMBRE"))</f>
        <v/>
      </c>
      <c r="I1323" s="34">
        <f>IF($A1323="","",IF(OR($G1323="SÁBADO",$G1323="DOMINGO"),"FIN","LV"))</f>
        <v/>
      </c>
      <c r="J1323" s="34">
        <f>IF(OR($A1323="",$B1323=""),"",IF($L1323&lt;&gt;"",UPPER($L1323),IF($C1323="","FALTA",IFERROR(IF($C1323&gt;=$O1323,"ROJO FUERTE",IF($C1323&gt;=$N1323,"ROJO",IF($C1323&gt;=$M1323,"AMARILLO","VERDE"))),"REVISAR"))))</f>
        <v/>
      </c>
      <c r="K1323" s="36">
        <f>IF(OR($C1323="",$D1323=""),"",IF($D1323&gt;=$C1323,($D1323-$C1323)*24,(1-$C1323+$D1323)*24))</f>
        <v/>
      </c>
      <c r="L1323" s="34" t="n"/>
      <c r="M1323" s="53">
        <f t="array" ref="M1323">IFERROR(INDEX(EXCEPCIONES_FECHA!$D$2:$D$201,MATCH(1,(EXCEPCIONES_FECHA!$A$2:$A$201=$A1323)*(EXCEPCIONES_FECHA!$B$2:$B$201=$B1323),0)),IFERROR(INDEX(EXCEPCIONES_FECHA!$D$2:$D$201,MATCH(1,(EXCEPCIONES_FECHA!$A$2:$A$201=$A1323)*(EXCEPCIONES_FECHA!$B$2:$B$201=""),0)),IFERROR(INDEX(IF($I1323="FIN",HISTORIAL_HORARIOS!$J$2:$J$201,HISTORIAL_HORARIOS!$F$2:$F$201),MATCH(1,(HISTORIAL_HORARIOS!$A$2:$A$201=$B1323)*(HISTORIAL_HORARIOS!$C$2:$C$201&lt;=$A1323)*(HISTORIAL_HORARIOS!$D$2:$D$201&gt;=$A1323),0)),INDEX(IF($I1323="FIN",PERSONAL!$J$2:$J$80,PERSONAL!$F$2:$F$80),MATCH($B1323,PERSONAL!$A$2:$A$80,0)))))</f>
        <v/>
      </c>
      <c r="N1323" s="53">
        <f t="array" ref="N1323">IFERROR(INDEX(EXCEPCIONES_FECHA!$E$2:$E$201,MATCH(1,(EXCEPCIONES_FECHA!$A$2:$A$201=$A1323)*(EXCEPCIONES_FECHA!$B$2:$B$201=$B1323),0)),IFERROR(INDEX(EXCEPCIONES_FECHA!$E$2:$E$201,MATCH(1,(EXCEPCIONES_FECHA!$A$2:$A$201=$A1323)*(EXCEPCIONES_FECHA!$B$2:$B$201=""),0)),IFERROR(INDEX(IF($I1323="FIN",HISTORIAL_HORARIOS!$K$2:$K$201,HISTORIAL_HORARIOS!$G$2:$G$201),MATCH(1,(HISTORIAL_HORARIOS!$A$2:$A$201=$B1323)*(HISTORIAL_HORARIOS!$C$2:$C$201&lt;=$A1323)*(HISTORIAL_HORARIOS!$D$2:$D$201&gt;=$A1323),0)),INDEX(IF($I1323="FIN",PERSONAL!$K$2:$K$80,PERSONAL!$G$2:$G$80),MATCH($B1323,PERSONAL!$A$2:$A$80,0)))))</f>
        <v/>
      </c>
      <c r="O1323" s="53">
        <f t="array" ref="O1323">IFERROR(INDEX(EXCEPCIONES_FECHA!$F$2:$F$201,MATCH(1,(EXCEPCIONES_FECHA!$A$2:$A$201=$A1323)*(EXCEPCIONES_FECHA!$B$2:$B$201=$B1323),0)),IFERROR(INDEX(EXCEPCIONES_FECHA!$F$2:$F$201,MATCH(1,(EXCEPCIONES_FECHA!$A$2:$A$201=$A1323)*(EXCEPCIONES_FECHA!$B$2:$B$201=""),0)),IFERROR(INDEX(IF($I1323="FIN",HISTORIAL_HORARIOS!$L$2:$L$201,HISTORIAL_HORARIOS!$H$2:$H$201),MATCH(1,(HISTORIAL_HORARIOS!$A$2:$A$201=$B1323)*(HISTORIAL_HORARIOS!$C$2:$C$201&lt;=$A1323)*(HISTORIAL_HORARIOS!$D$2:$D$201&gt;=$A1323),0)),INDEX(IF($I1323="FIN",PERSONAL!$L$2:$L$80,PERSONAL!$H$2:$H$80),MATCH($B1323,PERSONAL!$A$2:$A$80,0)))))</f>
        <v/>
      </c>
    </row>
    <row r="1324" ht="15" customHeight="1" s="58">
      <c r="A1324" s="40" t="n"/>
      <c r="B1324" s="38" t="n"/>
      <c r="C1324" s="40" t="n"/>
      <c r="D1324" s="40" t="n"/>
      <c r="E1324" s="34">
        <f t="array" ref="E1324">IF($B1324="","",IFERROR(INDEX(PERSONAL!$B$2:$B$80,MATCH($B1324,PERSONAL!$A$2:$A$80,0)),"NO EXISTE"))</f>
        <v/>
      </c>
      <c r="F1324" s="34">
        <f t="array" ref="F1324">IF($B1324="","",IFERROR(INDEX(PERSONAL!$C$2:$C$80,MATCH($B1324,PERSONAL!$A$2:$A$80,0)),""))</f>
        <v/>
      </c>
      <c r="G1324" s="34">
        <f>IF($A1324="","",CHOOSE(WEEKDAY($A1324,2),"LUNES","MARTES","MIÉRCOLES","JUEVES","VIERNES","SÁBADO","DOMINGO"))</f>
        <v/>
      </c>
      <c r="H1324" s="34">
        <f>IF($A1324="","",CHOOSE(MONTH($A1324),"ENERO","FEBRERO","MARZO","ABRIL","MAYO","JUNIO","JULIO","AGOSTO","SEPTIEMBRE","OCTUBRE","NOVIEMBRE","DICIEMBRE"))</f>
        <v/>
      </c>
      <c r="I1324" s="34">
        <f>IF($A1324="","",IF(OR($G1324="SÁBADO",$G1324="DOMINGO"),"FIN","LV"))</f>
        <v/>
      </c>
      <c r="J1324" s="34">
        <f>IF(OR($A1324="",$B1324=""),"",IF($L1324&lt;&gt;"",UPPER($L1324),IF($C1324="","FALTA",IFERROR(IF($C1324&gt;=$O1324,"ROJO FUERTE",IF($C1324&gt;=$N1324,"ROJO",IF($C1324&gt;=$M1324,"AMARILLO","VERDE"))),"REVISAR"))))</f>
        <v/>
      </c>
      <c r="K1324" s="36">
        <f>IF(OR($C1324="",$D1324=""),"",IF($D1324&gt;=$C1324,($D1324-$C1324)*24,(1-$C1324+$D1324)*24))</f>
        <v/>
      </c>
      <c r="L1324" s="34" t="n"/>
      <c r="M1324" s="53">
        <f t="array" ref="M1324">IFERROR(INDEX(EXCEPCIONES_FECHA!$D$2:$D$201,MATCH(1,(EXCEPCIONES_FECHA!$A$2:$A$201=$A1324)*(EXCEPCIONES_FECHA!$B$2:$B$201=$B1324),0)),IFERROR(INDEX(EXCEPCIONES_FECHA!$D$2:$D$201,MATCH(1,(EXCEPCIONES_FECHA!$A$2:$A$201=$A1324)*(EXCEPCIONES_FECHA!$B$2:$B$201=""),0)),IFERROR(INDEX(IF($I1324="FIN",HISTORIAL_HORARIOS!$J$2:$J$201,HISTORIAL_HORARIOS!$F$2:$F$201),MATCH(1,(HISTORIAL_HORARIOS!$A$2:$A$201=$B1324)*(HISTORIAL_HORARIOS!$C$2:$C$201&lt;=$A1324)*(HISTORIAL_HORARIOS!$D$2:$D$201&gt;=$A1324),0)),INDEX(IF($I1324="FIN",PERSONAL!$J$2:$J$80,PERSONAL!$F$2:$F$80),MATCH($B1324,PERSONAL!$A$2:$A$80,0)))))</f>
        <v/>
      </c>
      <c r="N1324" s="53">
        <f t="array" ref="N1324">IFERROR(INDEX(EXCEPCIONES_FECHA!$E$2:$E$201,MATCH(1,(EXCEPCIONES_FECHA!$A$2:$A$201=$A1324)*(EXCEPCIONES_FECHA!$B$2:$B$201=$B1324),0)),IFERROR(INDEX(EXCEPCIONES_FECHA!$E$2:$E$201,MATCH(1,(EXCEPCIONES_FECHA!$A$2:$A$201=$A1324)*(EXCEPCIONES_FECHA!$B$2:$B$201=""),0)),IFERROR(INDEX(IF($I1324="FIN",HISTORIAL_HORARIOS!$K$2:$K$201,HISTORIAL_HORARIOS!$G$2:$G$201),MATCH(1,(HISTORIAL_HORARIOS!$A$2:$A$201=$B1324)*(HISTORIAL_HORARIOS!$C$2:$C$201&lt;=$A1324)*(HISTORIAL_HORARIOS!$D$2:$D$201&gt;=$A1324),0)),INDEX(IF($I1324="FIN",PERSONAL!$K$2:$K$80,PERSONAL!$G$2:$G$80),MATCH($B1324,PERSONAL!$A$2:$A$80,0)))))</f>
        <v/>
      </c>
      <c r="O1324" s="53">
        <f t="array" ref="O1324">IFERROR(INDEX(EXCEPCIONES_FECHA!$F$2:$F$201,MATCH(1,(EXCEPCIONES_FECHA!$A$2:$A$201=$A1324)*(EXCEPCIONES_FECHA!$B$2:$B$201=$B1324),0)),IFERROR(INDEX(EXCEPCIONES_FECHA!$F$2:$F$201,MATCH(1,(EXCEPCIONES_FECHA!$A$2:$A$201=$A1324)*(EXCEPCIONES_FECHA!$B$2:$B$201=""),0)),IFERROR(INDEX(IF($I1324="FIN",HISTORIAL_HORARIOS!$L$2:$L$201,HISTORIAL_HORARIOS!$H$2:$H$201),MATCH(1,(HISTORIAL_HORARIOS!$A$2:$A$201=$B1324)*(HISTORIAL_HORARIOS!$C$2:$C$201&lt;=$A1324)*(HISTORIAL_HORARIOS!$D$2:$D$201&gt;=$A1324),0)),INDEX(IF($I1324="FIN",PERSONAL!$L$2:$L$80,PERSONAL!$H$2:$H$80),MATCH($B1324,PERSONAL!$A$2:$A$80,0)))))</f>
        <v/>
      </c>
    </row>
    <row r="1325" ht="15" customHeight="1" s="58">
      <c r="A1325" s="40" t="n"/>
      <c r="B1325" s="38" t="n"/>
      <c r="C1325" s="40" t="n"/>
      <c r="D1325" s="40" t="n"/>
      <c r="E1325" s="34">
        <f t="array" ref="E1325">IF($B1325="","",IFERROR(INDEX(PERSONAL!$B$2:$B$80,MATCH($B1325,PERSONAL!$A$2:$A$80,0)),"NO EXISTE"))</f>
        <v/>
      </c>
      <c r="F1325" s="34">
        <f t="array" ref="F1325">IF($B1325="","",IFERROR(INDEX(PERSONAL!$C$2:$C$80,MATCH($B1325,PERSONAL!$A$2:$A$80,0)),""))</f>
        <v/>
      </c>
      <c r="G1325" s="34">
        <f>IF($A1325="","",CHOOSE(WEEKDAY($A1325,2),"LUNES","MARTES","MIÉRCOLES","JUEVES","VIERNES","SÁBADO","DOMINGO"))</f>
        <v/>
      </c>
      <c r="H1325" s="34">
        <f>IF($A1325="","",CHOOSE(MONTH($A1325),"ENERO","FEBRERO","MARZO","ABRIL","MAYO","JUNIO","JULIO","AGOSTO","SEPTIEMBRE","OCTUBRE","NOVIEMBRE","DICIEMBRE"))</f>
        <v/>
      </c>
      <c r="I1325" s="34">
        <f>IF($A1325="","",IF(OR($G1325="SÁBADO",$G1325="DOMINGO"),"FIN","LV"))</f>
        <v/>
      </c>
      <c r="J1325" s="34">
        <f>IF(OR($A1325="",$B1325=""),"",IF($L1325&lt;&gt;"",UPPER($L1325),IF($C1325="","FALTA",IFERROR(IF($C1325&gt;=$O1325,"ROJO FUERTE",IF($C1325&gt;=$N1325,"ROJO",IF($C1325&gt;=$M1325,"AMARILLO","VERDE"))),"REVISAR"))))</f>
        <v/>
      </c>
      <c r="K1325" s="36">
        <f>IF(OR($C1325="",$D1325=""),"",IF($D1325&gt;=$C1325,($D1325-$C1325)*24,(1-$C1325+$D1325)*24))</f>
        <v/>
      </c>
      <c r="L1325" s="34" t="n"/>
      <c r="M1325" s="53">
        <f t="array" ref="M1325">IFERROR(INDEX(EXCEPCIONES_FECHA!$D$2:$D$201,MATCH(1,(EXCEPCIONES_FECHA!$A$2:$A$201=$A1325)*(EXCEPCIONES_FECHA!$B$2:$B$201=$B1325),0)),IFERROR(INDEX(EXCEPCIONES_FECHA!$D$2:$D$201,MATCH(1,(EXCEPCIONES_FECHA!$A$2:$A$201=$A1325)*(EXCEPCIONES_FECHA!$B$2:$B$201=""),0)),IFERROR(INDEX(IF($I1325="FIN",HISTORIAL_HORARIOS!$J$2:$J$201,HISTORIAL_HORARIOS!$F$2:$F$201),MATCH(1,(HISTORIAL_HORARIOS!$A$2:$A$201=$B1325)*(HISTORIAL_HORARIOS!$C$2:$C$201&lt;=$A1325)*(HISTORIAL_HORARIOS!$D$2:$D$201&gt;=$A1325),0)),INDEX(IF($I1325="FIN",PERSONAL!$J$2:$J$80,PERSONAL!$F$2:$F$80),MATCH($B1325,PERSONAL!$A$2:$A$80,0)))))</f>
        <v/>
      </c>
      <c r="N1325" s="53">
        <f t="array" ref="N1325">IFERROR(INDEX(EXCEPCIONES_FECHA!$E$2:$E$201,MATCH(1,(EXCEPCIONES_FECHA!$A$2:$A$201=$A1325)*(EXCEPCIONES_FECHA!$B$2:$B$201=$B1325),0)),IFERROR(INDEX(EXCEPCIONES_FECHA!$E$2:$E$201,MATCH(1,(EXCEPCIONES_FECHA!$A$2:$A$201=$A1325)*(EXCEPCIONES_FECHA!$B$2:$B$201=""),0)),IFERROR(INDEX(IF($I1325="FIN",HISTORIAL_HORARIOS!$K$2:$K$201,HISTORIAL_HORARIOS!$G$2:$G$201),MATCH(1,(HISTORIAL_HORARIOS!$A$2:$A$201=$B1325)*(HISTORIAL_HORARIOS!$C$2:$C$201&lt;=$A1325)*(HISTORIAL_HORARIOS!$D$2:$D$201&gt;=$A1325),0)),INDEX(IF($I1325="FIN",PERSONAL!$K$2:$K$80,PERSONAL!$G$2:$G$80),MATCH($B1325,PERSONAL!$A$2:$A$80,0)))))</f>
        <v/>
      </c>
      <c r="O1325" s="53">
        <f t="array" ref="O1325">IFERROR(INDEX(EXCEPCIONES_FECHA!$F$2:$F$201,MATCH(1,(EXCEPCIONES_FECHA!$A$2:$A$201=$A1325)*(EXCEPCIONES_FECHA!$B$2:$B$201=$B1325),0)),IFERROR(INDEX(EXCEPCIONES_FECHA!$F$2:$F$201,MATCH(1,(EXCEPCIONES_FECHA!$A$2:$A$201=$A1325)*(EXCEPCIONES_FECHA!$B$2:$B$201=""),0)),IFERROR(INDEX(IF($I1325="FIN",HISTORIAL_HORARIOS!$L$2:$L$201,HISTORIAL_HORARIOS!$H$2:$H$201),MATCH(1,(HISTORIAL_HORARIOS!$A$2:$A$201=$B1325)*(HISTORIAL_HORARIOS!$C$2:$C$201&lt;=$A1325)*(HISTORIAL_HORARIOS!$D$2:$D$201&gt;=$A1325),0)),INDEX(IF($I1325="FIN",PERSONAL!$L$2:$L$80,PERSONAL!$H$2:$H$80),MATCH($B1325,PERSONAL!$A$2:$A$80,0)))))</f>
        <v/>
      </c>
    </row>
    <row r="1326" ht="15" customHeight="1" s="58">
      <c r="A1326" s="40" t="n"/>
      <c r="B1326" s="38" t="n"/>
      <c r="C1326" s="40" t="n"/>
      <c r="D1326" s="40" t="n"/>
      <c r="E1326" s="34">
        <f t="array" ref="E1326">IF($B1326="","",IFERROR(INDEX(PERSONAL!$B$2:$B$80,MATCH($B1326,PERSONAL!$A$2:$A$80,0)),"NO EXISTE"))</f>
        <v/>
      </c>
      <c r="F1326" s="34">
        <f t="array" ref="F1326">IF($B1326="","",IFERROR(INDEX(PERSONAL!$C$2:$C$80,MATCH($B1326,PERSONAL!$A$2:$A$80,0)),""))</f>
        <v/>
      </c>
      <c r="G1326" s="34">
        <f>IF($A1326="","",CHOOSE(WEEKDAY($A1326,2),"LUNES","MARTES","MIÉRCOLES","JUEVES","VIERNES","SÁBADO","DOMINGO"))</f>
        <v/>
      </c>
      <c r="H1326" s="34">
        <f>IF($A1326="","",CHOOSE(MONTH($A1326),"ENERO","FEBRERO","MARZO","ABRIL","MAYO","JUNIO","JULIO","AGOSTO","SEPTIEMBRE","OCTUBRE","NOVIEMBRE","DICIEMBRE"))</f>
        <v/>
      </c>
      <c r="I1326" s="34">
        <f>IF($A1326="","",IF(OR($G1326="SÁBADO",$G1326="DOMINGO"),"FIN","LV"))</f>
        <v/>
      </c>
      <c r="J1326" s="34">
        <f>IF(OR($A1326="",$B1326=""),"",IF($L1326&lt;&gt;"",UPPER($L1326),IF($C1326="","FALTA",IFERROR(IF($C1326&gt;=$O1326,"ROJO FUERTE",IF($C1326&gt;=$N1326,"ROJO",IF($C1326&gt;=$M1326,"AMARILLO","VERDE"))),"REVISAR"))))</f>
        <v/>
      </c>
      <c r="K1326" s="36">
        <f>IF(OR($C1326="",$D1326=""),"",IF($D1326&gt;=$C1326,($D1326-$C1326)*24,(1-$C1326+$D1326)*24))</f>
        <v/>
      </c>
      <c r="L1326" s="34" t="n"/>
      <c r="M1326" s="53">
        <f t="array" ref="M1326">IFERROR(INDEX(EXCEPCIONES_FECHA!$D$2:$D$201,MATCH(1,(EXCEPCIONES_FECHA!$A$2:$A$201=$A1326)*(EXCEPCIONES_FECHA!$B$2:$B$201=$B1326),0)),IFERROR(INDEX(EXCEPCIONES_FECHA!$D$2:$D$201,MATCH(1,(EXCEPCIONES_FECHA!$A$2:$A$201=$A1326)*(EXCEPCIONES_FECHA!$B$2:$B$201=""),0)),IFERROR(INDEX(IF($I1326="FIN",HISTORIAL_HORARIOS!$J$2:$J$201,HISTORIAL_HORARIOS!$F$2:$F$201),MATCH(1,(HISTORIAL_HORARIOS!$A$2:$A$201=$B1326)*(HISTORIAL_HORARIOS!$C$2:$C$201&lt;=$A1326)*(HISTORIAL_HORARIOS!$D$2:$D$201&gt;=$A1326),0)),INDEX(IF($I1326="FIN",PERSONAL!$J$2:$J$80,PERSONAL!$F$2:$F$80),MATCH($B1326,PERSONAL!$A$2:$A$80,0)))))</f>
        <v/>
      </c>
      <c r="N1326" s="53">
        <f t="array" ref="N1326">IFERROR(INDEX(EXCEPCIONES_FECHA!$E$2:$E$201,MATCH(1,(EXCEPCIONES_FECHA!$A$2:$A$201=$A1326)*(EXCEPCIONES_FECHA!$B$2:$B$201=$B1326),0)),IFERROR(INDEX(EXCEPCIONES_FECHA!$E$2:$E$201,MATCH(1,(EXCEPCIONES_FECHA!$A$2:$A$201=$A1326)*(EXCEPCIONES_FECHA!$B$2:$B$201=""),0)),IFERROR(INDEX(IF($I1326="FIN",HISTORIAL_HORARIOS!$K$2:$K$201,HISTORIAL_HORARIOS!$G$2:$G$201),MATCH(1,(HISTORIAL_HORARIOS!$A$2:$A$201=$B1326)*(HISTORIAL_HORARIOS!$C$2:$C$201&lt;=$A1326)*(HISTORIAL_HORARIOS!$D$2:$D$201&gt;=$A1326),0)),INDEX(IF($I1326="FIN",PERSONAL!$K$2:$K$80,PERSONAL!$G$2:$G$80),MATCH($B1326,PERSONAL!$A$2:$A$80,0)))))</f>
        <v/>
      </c>
      <c r="O1326" s="53">
        <f t="array" ref="O1326">IFERROR(INDEX(EXCEPCIONES_FECHA!$F$2:$F$201,MATCH(1,(EXCEPCIONES_FECHA!$A$2:$A$201=$A1326)*(EXCEPCIONES_FECHA!$B$2:$B$201=$B1326),0)),IFERROR(INDEX(EXCEPCIONES_FECHA!$F$2:$F$201,MATCH(1,(EXCEPCIONES_FECHA!$A$2:$A$201=$A1326)*(EXCEPCIONES_FECHA!$B$2:$B$201=""),0)),IFERROR(INDEX(IF($I1326="FIN",HISTORIAL_HORARIOS!$L$2:$L$201,HISTORIAL_HORARIOS!$H$2:$H$201),MATCH(1,(HISTORIAL_HORARIOS!$A$2:$A$201=$B1326)*(HISTORIAL_HORARIOS!$C$2:$C$201&lt;=$A1326)*(HISTORIAL_HORARIOS!$D$2:$D$201&gt;=$A1326),0)),INDEX(IF($I1326="FIN",PERSONAL!$L$2:$L$80,PERSONAL!$H$2:$H$80),MATCH($B1326,PERSONAL!$A$2:$A$80,0)))))</f>
        <v/>
      </c>
    </row>
    <row r="1327" ht="15" customHeight="1" s="58">
      <c r="A1327" s="40" t="n"/>
      <c r="B1327" s="38" t="n"/>
      <c r="C1327" s="40" t="n"/>
      <c r="D1327" s="40" t="n"/>
      <c r="E1327" s="34">
        <f t="array" ref="E1327">IF($B1327="","",IFERROR(INDEX(PERSONAL!$B$2:$B$80,MATCH($B1327,PERSONAL!$A$2:$A$80,0)),"NO EXISTE"))</f>
        <v/>
      </c>
      <c r="F1327" s="34">
        <f t="array" ref="F1327">IF($B1327="","",IFERROR(INDEX(PERSONAL!$C$2:$C$80,MATCH($B1327,PERSONAL!$A$2:$A$80,0)),""))</f>
        <v/>
      </c>
      <c r="G1327" s="34">
        <f>IF($A1327="","",CHOOSE(WEEKDAY($A1327,2),"LUNES","MARTES","MIÉRCOLES","JUEVES","VIERNES","SÁBADO","DOMINGO"))</f>
        <v/>
      </c>
      <c r="H1327" s="34">
        <f>IF($A1327="","",CHOOSE(MONTH($A1327),"ENERO","FEBRERO","MARZO","ABRIL","MAYO","JUNIO","JULIO","AGOSTO","SEPTIEMBRE","OCTUBRE","NOVIEMBRE","DICIEMBRE"))</f>
        <v/>
      </c>
      <c r="I1327" s="34">
        <f>IF($A1327="","",IF(OR($G1327="SÁBADO",$G1327="DOMINGO"),"FIN","LV"))</f>
        <v/>
      </c>
      <c r="J1327" s="34">
        <f>IF(OR($A1327="",$B1327=""),"",IF($L1327&lt;&gt;"",UPPER($L1327),IF($C1327="","FALTA",IFERROR(IF($C1327&gt;=$O1327,"ROJO FUERTE",IF($C1327&gt;=$N1327,"ROJO",IF($C1327&gt;=$M1327,"AMARILLO","VERDE"))),"REVISAR"))))</f>
        <v/>
      </c>
      <c r="K1327" s="36">
        <f>IF(OR($C1327="",$D1327=""),"",IF($D1327&gt;=$C1327,($D1327-$C1327)*24,(1-$C1327+$D1327)*24))</f>
        <v/>
      </c>
      <c r="L1327" s="34" t="n"/>
      <c r="M1327" s="53">
        <f t="array" ref="M1327">IFERROR(INDEX(EXCEPCIONES_FECHA!$D$2:$D$201,MATCH(1,(EXCEPCIONES_FECHA!$A$2:$A$201=$A1327)*(EXCEPCIONES_FECHA!$B$2:$B$201=$B1327),0)),IFERROR(INDEX(EXCEPCIONES_FECHA!$D$2:$D$201,MATCH(1,(EXCEPCIONES_FECHA!$A$2:$A$201=$A1327)*(EXCEPCIONES_FECHA!$B$2:$B$201=""),0)),IFERROR(INDEX(IF($I1327="FIN",HISTORIAL_HORARIOS!$J$2:$J$201,HISTORIAL_HORARIOS!$F$2:$F$201),MATCH(1,(HISTORIAL_HORARIOS!$A$2:$A$201=$B1327)*(HISTORIAL_HORARIOS!$C$2:$C$201&lt;=$A1327)*(HISTORIAL_HORARIOS!$D$2:$D$201&gt;=$A1327),0)),INDEX(IF($I1327="FIN",PERSONAL!$J$2:$J$80,PERSONAL!$F$2:$F$80),MATCH($B1327,PERSONAL!$A$2:$A$80,0)))))</f>
        <v/>
      </c>
      <c r="N1327" s="53">
        <f t="array" ref="N1327">IFERROR(INDEX(EXCEPCIONES_FECHA!$E$2:$E$201,MATCH(1,(EXCEPCIONES_FECHA!$A$2:$A$201=$A1327)*(EXCEPCIONES_FECHA!$B$2:$B$201=$B1327),0)),IFERROR(INDEX(EXCEPCIONES_FECHA!$E$2:$E$201,MATCH(1,(EXCEPCIONES_FECHA!$A$2:$A$201=$A1327)*(EXCEPCIONES_FECHA!$B$2:$B$201=""),0)),IFERROR(INDEX(IF($I1327="FIN",HISTORIAL_HORARIOS!$K$2:$K$201,HISTORIAL_HORARIOS!$G$2:$G$201),MATCH(1,(HISTORIAL_HORARIOS!$A$2:$A$201=$B1327)*(HISTORIAL_HORARIOS!$C$2:$C$201&lt;=$A1327)*(HISTORIAL_HORARIOS!$D$2:$D$201&gt;=$A1327),0)),INDEX(IF($I1327="FIN",PERSONAL!$K$2:$K$80,PERSONAL!$G$2:$G$80),MATCH($B1327,PERSONAL!$A$2:$A$80,0)))))</f>
        <v/>
      </c>
      <c r="O1327" s="53">
        <f t="array" ref="O1327">IFERROR(INDEX(EXCEPCIONES_FECHA!$F$2:$F$201,MATCH(1,(EXCEPCIONES_FECHA!$A$2:$A$201=$A1327)*(EXCEPCIONES_FECHA!$B$2:$B$201=$B1327),0)),IFERROR(INDEX(EXCEPCIONES_FECHA!$F$2:$F$201,MATCH(1,(EXCEPCIONES_FECHA!$A$2:$A$201=$A1327)*(EXCEPCIONES_FECHA!$B$2:$B$201=""),0)),IFERROR(INDEX(IF($I1327="FIN",HISTORIAL_HORARIOS!$L$2:$L$201,HISTORIAL_HORARIOS!$H$2:$H$201),MATCH(1,(HISTORIAL_HORARIOS!$A$2:$A$201=$B1327)*(HISTORIAL_HORARIOS!$C$2:$C$201&lt;=$A1327)*(HISTORIAL_HORARIOS!$D$2:$D$201&gt;=$A1327),0)),INDEX(IF($I1327="FIN",PERSONAL!$L$2:$L$80,PERSONAL!$H$2:$H$80),MATCH($B1327,PERSONAL!$A$2:$A$80,0)))))</f>
        <v/>
      </c>
    </row>
    <row r="1328" ht="15" customHeight="1" s="58">
      <c r="A1328" s="40" t="n"/>
      <c r="B1328" s="38" t="n"/>
      <c r="C1328" s="40" t="n"/>
      <c r="D1328" s="40" t="n"/>
      <c r="E1328" s="34">
        <f t="array" ref="E1328">IF($B1328="","",IFERROR(INDEX(PERSONAL!$B$2:$B$80,MATCH($B1328,PERSONAL!$A$2:$A$80,0)),"NO EXISTE"))</f>
        <v/>
      </c>
      <c r="F1328" s="34">
        <f t="array" ref="F1328">IF($B1328="","",IFERROR(INDEX(PERSONAL!$C$2:$C$80,MATCH($B1328,PERSONAL!$A$2:$A$80,0)),""))</f>
        <v/>
      </c>
      <c r="G1328" s="34">
        <f>IF($A1328="","",CHOOSE(WEEKDAY($A1328,2),"LUNES","MARTES","MIÉRCOLES","JUEVES","VIERNES","SÁBADO","DOMINGO"))</f>
        <v/>
      </c>
      <c r="H1328" s="34">
        <f>IF($A1328="","",CHOOSE(MONTH($A1328),"ENERO","FEBRERO","MARZO","ABRIL","MAYO","JUNIO","JULIO","AGOSTO","SEPTIEMBRE","OCTUBRE","NOVIEMBRE","DICIEMBRE"))</f>
        <v/>
      </c>
      <c r="I1328" s="34">
        <f>IF($A1328="","",IF(OR($G1328="SÁBADO",$G1328="DOMINGO"),"FIN","LV"))</f>
        <v/>
      </c>
      <c r="J1328" s="34">
        <f>IF(OR($A1328="",$B1328=""),"",IF($L1328&lt;&gt;"",UPPER($L1328),IF($C1328="","FALTA",IFERROR(IF($C1328&gt;=$O1328,"ROJO FUERTE",IF($C1328&gt;=$N1328,"ROJO",IF($C1328&gt;=$M1328,"AMARILLO","VERDE"))),"REVISAR"))))</f>
        <v/>
      </c>
      <c r="K1328" s="36">
        <f>IF(OR($C1328="",$D1328=""),"",IF($D1328&gt;=$C1328,($D1328-$C1328)*24,(1-$C1328+$D1328)*24))</f>
        <v/>
      </c>
      <c r="L1328" s="34" t="n"/>
      <c r="M1328" s="53">
        <f t="array" ref="M1328">IFERROR(INDEX(EXCEPCIONES_FECHA!$D$2:$D$201,MATCH(1,(EXCEPCIONES_FECHA!$A$2:$A$201=$A1328)*(EXCEPCIONES_FECHA!$B$2:$B$201=$B1328),0)),IFERROR(INDEX(EXCEPCIONES_FECHA!$D$2:$D$201,MATCH(1,(EXCEPCIONES_FECHA!$A$2:$A$201=$A1328)*(EXCEPCIONES_FECHA!$B$2:$B$201=""),0)),IFERROR(INDEX(IF($I1328="FIN",HISTORIAL_HORARIOS!$J$2:$J$201,HISTORIAL_HORARIOS!$F$2:$F$201),MATCH(1,(HISTORIAL_HORARIOS!$A$2:$A$201=$B1328)*(HISTORIAL_HORARIOS!$C$2:$C$201&lt;=$A1328)*(HISTORIAL_HORARIOS!$D$2:$D$201&gt;=$A1328),0)),INDEX(IF($I1328="FIN",PERSONAL!$J$2:$J$80,PERSONAL!$F$2:$F$80),MATCH($B1328,PERSONAL!$A$2:$A$80,0)))))</f>
        <v/>
      </c>
      <c r="N1328" s="53">
        <f t="array" ref="N1328">IFERROR(INDEX(EXCEPCIONES_FECHA!$E$2:$E$201,MATCH(1,(EXCEPCIONES_FECHA!$A$2:$A$201=$A1328)*(EXCEPCIONES_FECHA!$B$2:$B$201=$B1328),0)),IFERROR(INDEX(EXCEPCIONES_FECHA!$E$2:$E$201,MATCH(1,(EXCEPCIONES_FECHA!$A$2:$A$201=$A1328)*(EXCEPCIONES_FECHA!$B$2:$B$201=""),0)),IFERROR(INDEX(IF($I1328="FIN",HISTORIAL_HORARIOS!$K$2:$K$201,HISTORIAL_HORARIOS!$G$2:$G$201),MATCH(1,(HISTORIAL_HORARIOS!$A$2:$A$201=$B1328)*(HISTORIAL_HORARIOS!$C$2:$C$201&lt;=$A1328)*(HISTORIAL_HORARIOS!$D$2:$D$201&gt;=$A1328),0)),INDEX(IF($I1328="FIN",PERSONAL!$K$2:$K$80,PERSONAL!$G$2:$G$80),MATCH($B1328,PERSONAL!$A$2:$A$80,0)))))</f>
        <v/>
      </c>
      <c r="O1328" s="53">
        <f t="array" ref="O1328">IFERROR(INDEX(EXCEPCIONES_FECHA!$F$2:$F$201,MATCH(1,(EXCEPCIONES_FECHA!$A$2:$A$201=$A1328)*(EXCEPCIONES_FECHA!$B$2:$B$201=$B1328),0)),IFERROR(INDEX(EXCEPCIONES_FECHA!$F$2:$F$201,MATCH(1,(EXCEPCIONES_FECHA!$A$2:$A$201=$A1328)*(EXCEPCIONES_FECHA!$B$2:$B$201=""),0)),IFERROR(INDEX(IF($I1328="FIN",HISTORIAL_HORARIOS!$L$2:$L$201,HISTORIAL_HORARIOS!$H$2:$H$201),MATCH(1,(HISTORIAL_HORARIOS!$A$2:$A$201=$B1328)*(HISTORIAL_HORARIOS!$C$2:$C$201&lt;=$A1328)*(HISTORIAL_HORARIOS!$D$2:$D$201&gt;=$A1328),0)),INDEX(IF($I1328="FIN",PERSONAL!$L$2:$L$80,PERSONAL!$H$2:$H$80),MATCH($B1328,PERSONAL!$A$2:$A$80,0)))))</f>
        <v/>
      </c>
    </row>
    <row r="1329" ht="15" customHeight="1" s="58">
      <c r="A1329" s="40" t="n"/>
      <c r="B1329" s="38" t="n"/>
      <c r="C1329" s="40" t="n"/>
      <c r="D1329" s="40" t="n"/>
      <c r="E1329" s="34">
        <f t="array" ref="E1329">IF($B1329="","",IFERROR(INDEX(PERSONAL!$B$2:$B$80,MATCH($B1329,PERSONAL!$A$2:$A$80,0)),"NO EXISTE"))</f>
        <v/>
      </c>
      <c r="F1329" s="34">
        <f t="array" ref="F1329">IF($B1329="","",IFERROR(INDEX(PERSONAL!$C$2:$C$80,MATCH($B1329,PERSONAL!$A$2:$A$80,0)),""))</f>
        <v/>
      </c>
      <c r="G1329" s="34">
        <f>IF($A1329="","",CHOOSE(WEEKDAY($A1329,2),"LUNES","MARTES","MIÉRCOLES","JUEVES","VIERNES","SÁBADO","DOMINGO"))</f>
        <v/>
      </c>
      <c r="H1329" s="34">
        <f>IF($A1329="","",CHOOSE(MONTH($A1329),"ENERO","FEBRERO","MARZO","ABRIL","MAYO","JUNIO","JULIO","AGOSTO","SEPTIEMBRE","OCTUBRE","NOVIEMBRE","DICIEMBRE"))</f>
        <v/>
      </c>
      <c r="I1329" s="34">
        <f>IF($A1329="","",IF(OR($G1329="SÁBADO",$G1329="DOMINGO"),"FIN","LV"))</f>
        <v/>
      </c>
      <c r="J1329" s="34">
        <f>IF(OR($A1329="",$B1329=""),"",IF($L1329&lt;&gt;"",UPPER($L1329),IF($C1329="","FALTA",IFERROR(IF($C1329&gt;=$O1329,"ROJO FUERTE",IF($C1329&gt;=$N1329,"ROJO",IF($C1329&gt;=$M1329,"AMARILLO","VERDE"))),"REVISAR"))))</f>
        <v/>
      </c>
      <c r="K1329" s="36">
        <f>IF(OR($C1329="",$D1329=""),"",IF($D1329&gt;=$C1329,($D1329-$C1329)*24,(1-$C1329+$D1329)*24))</f>
        <v/>
      </c>
      <c r="L1329" s="34" t="n"/>
      <c r="M1329" s="53">
        <f t="array" ref="M1329">IFERROR(INDEX(EXCEPCIONES_FECHA!$D$2:$D$201,MATCH(1,(EXCEPCIONES_FECHA!$A$2:$A$201=$A1329)*(EXCEPCIONES_FECHA!$B$2:$B$201=$B1329),0)),IFERROR(INDEX(EXCEPCIONES_FECHA!$D$2:$D$201,MATCH(1,(EXCEPCIONES_FECHA!$A$2:$A$201=$A1329)*(EXCEPCIONES_FECHA!$B$2:$B$201=""),0)),IFERROR(INDEX(IF($I1329="FIN",HISTORIAL_HORARIOS!$J$2:$J$201,HISTORIAL_HORARIOS!$F$2:$F$201),MATCH(1,(HISTORIAL_HORARIOS!$A$2:$A$201=$B1329)*(HISTORIAL_HORARIOS!$C$2:$C$201&lt;=$A1329)*(HISTORIAL_HORARIOS!$D$2:$D$201&gt;=$A1329),0)),INDEX(IF($I1329="FIN",PERSONAL!$J$2:$J$80,PERSONAL!$F$2:$F$80),MATCH($B1329,PERSONAL!$A$2:$A$80,0)))))</f>
        <v/>
      </c>
      <c r="N1329" s="53">
        <f t="array" ref="N1329">IFERROR(INDEX(EXCEPCIONES_FECHA!$E$2:$E$201,MATCH(1,(EXCEPCIONES_FECHA!$A$2:$A$201=$A1329)*(EXCEPCIONES_FECHA!$B$2:$B$201=$B1329),0)),IFERROR(INDEX(EXCEPCIONES_FECHA!$E$2:$E$201,MATCH(1,(EXCEPCIONES_FECHA!$A$2:$A$201=$A1329)*(EXCEPCIONES_FECHA!$B$2:$B$201=""),0)),IFERROR(INDEX(IF($I1329="FIN",HISTORIAL_HORARIOS!$K$2:$K$201,HISTORIAL_HORARIOS!$G$2:$G$201),MATCH(1,(HISTORIAL_HORARIOS!$A$2:$A$201=$B1329)*(HISTORIAL_HORARIOS!$C$2:$C$201&lt;=$A1329)*(HISTORIAL_HORARIOS!$D$2:$D$201&gt;=$A1329),0)),INDEX(IF($I1329="FIN",PERSONAL!$K$2:$K$80,PERSONAL!$G$2:$G$80),MATCH($B1329,PERSONAL!$A$2:$A$80,0)))))</f>
        <v/>
      </c>
      <c r="O1329" s="53">
        <f t="array" ref="O1329">IFERROR(INDEX(EXCEPCIONES_FECHA!$F$2:$F$201,MATCH(1,(EXCEPCIONES_FECHA!$A$2:$A$201=$A1329)*(EXCEPCIONES_FECHA!$B$2:$B$201=$B1329),0)),IFERROR(INDEX(EXCEPCIONES_FECHA!$F$2:$F$201,MATCH(1,(EXCEPCIONES_FECHA!$A$2:$A$201=$A1329)*(EXCEPCIONES_FECHA!$B$2:$B$201=""),0)),IFERROR(INDEX(IF($I1329="FIN",HISTORIAL_HORARIOS!$L$2:$L$201,HISTORIAL_HORARIOS!$H$2:$H$201),MATCH(1,(HISTORIAL_HORARIOS!$A$2:$A$201=$B1329)*(HISTORIAL_HORARIOS!$C$2:$C$201&lt;=$A1329)*(HISTORIAL_HORARIOS!$D$2:$D$201&gt;=$A1329),0)),INDEX(IF($I1329="FIN",PERSONAL!$L$2:$L$80,PERSONAL!$H$2:$H$80),MATCH($B1329,PERSONAL!$A$2:$A$80,0)))))</f>
        <v/>
      </c>
    </row>
    <row r="1330" ht="15" customHeight="1" s="58">
      <c r="A1330" s="40" t="n"/>
      <c r="B1330" s="38" t="n"/>
      <c r="C1330" s="40" t="n"/>
      <c r="D1330" s="40" t="n"/>
      <c r="E1330" s="34">
        <f t="array" ref="E1330">IF($B1330="","",IFERROR(INDEX(PERSONAL!$B$2:$B$80,MATCH($B1330,PERSONAL!$A$2:$A$80,0)),"NO EXISTE"))</f>
        <v/>
      </c>
      <c r="F1330" s="34">
        <f t="array" ref="F1330">IF($B1330="","",IFERROR(INDEX(PERSONAL!$C$2:$C$80,MATCH($B1330,PERSONAL!$A$2:$A$80,0)),""))</f>
        <v/>
      </c>
      <c r="G1330" s="34">
        <f>IF($A1330="","",CHOOSE(WEEKDAY($A1330,2),"LUNES","MARTES","MIÉRCOLES","JUEVES","VIERNES","SÁBADO","DOMINGO"))</f>
        <v/>
      </c>
      <c r="H1330" s="34">
        <f>IF($A1330="","",CHOOSE(MONTH($A1330),"ENERO","FEBRERO","MARZO","ABRIL","MAYO","JUNIO","JULIO","AGOSTO","SEPTIEMBRE","OCTUBRE","NOVIEMBRE","DICIEMBRE"))</f>
        <v/>
      </c>
      <c r="I1330" s="34">
        <f>IF($A1330="","",IF(OR($G1330="SÁBADO",$G1330="DOMINGO"),"FIN","LV"))</f>
        <v/>
      </c>
      <c r="J1330" s="34">
        <f>IF(OR($A1330="",$B1330=""),"",IF($L1330&lt;&gt;"",UPPER($L1330),IF($C1330="","FALTA",IFERROR(IF($C1330&gt;=$O1330,"ROJO FUERTE",IF($C1330&gt;=$N1330,"ROJO",IF($C1330&gt;=$M1330,"AMARILLO","VERDE"))),"REVISAR"))))</f>
        <v/>
      </c>
      <c r="K1330" s="36">
        <f>IF(OR($C1330="",$D1330=""),"",IF($D1330&gt;=$C1330,($D1330-$C1330)*24,(1-$C1330+$D1330)*24))</f>
        <v/>
      </c>
      <c r="L1330" s="34" t="n"/>
      <c r="M1330" s="53">
        <f t="array" ref="M1330">IFERROR(INDEX(EXCEPCIONES_FECHA!$D$2:$D$201,MATCH(1,(EXCEPCIONES_FECHA!$A$2:$A$201=$A1330)*(EXCEPCIONES_FECHA!$B$2:$B$201=$B1330),0)),IFERROR(INDEX(EXCEPCIONES_FECHA!$D$2:$D$201,MATCH(1,(EXCEPCIONES_FECHA!$A$2:$A$201=$A1330)*(EXCEPCIONES_FECHA!$B$2:$B$201=""),0)),IFERROR(INDEX(IF($I1330="FIN",HISTORIAL_HORARIOS!$J$2:$J$201,HISTORIAL_HORARIOS!$F$2:$F$201),MATCH(1,(HISTORIAL_HORARIOS!$A$2:$A$201=$B1330)*(HISTORIAL_HORARIOS!$C$2:$C$201&lt;=$A1330)*(HISTORIAL_HORARIOS!$D$2:$D$201&gt;=$A1330),0)),INDEX(IF($I1330="FIN",PERSONAL!$J$2:$J$80,PERSONAL!$F$2:$F$80),MATCH($B1330,PERSONAL!$A$2:$A$80,0)))))</f>
        <v/>
      </c>
      <c r="N1330" s="53">
        <f t="array" ref="N1330">IFERROR(INDEX(EXCEPCIONES_FECHA!$E$2:$E$201,MATCH(1,(EXCEPCIONES_FECHA!$A$2:$A$201=$A1330)*(EXCEPCIONES_FECHA!$B$2:$B$201=$B1330),0)),IFERROR(INDEX(EXCEPCIONES_FECHA!$E$2:$E$201,MATCH(1,(EXCEPCIONES_FECHA!$A$2:$A$201=$A1330)*(EXCEPCIONES_FECHA!$B$2:$B$201=""),0)),IFERROR(INDEX(IF($I1330="FIN",HISTORIAL_HORARIOS!$K$2:$K$201,HISTORIAL_HORARIOS!$G$2:$G$201),MATCH(1,(HISTORIAL_HORARIOS!$A$2:$A$201=$B1330)*(HISTORIAL_HORARIOS!$C$2:$C$201&lt;=$A1330)*(HISTORIAL_HORARIOS!$D$2:$D$201&gt;=$A1330),0)),INDEX(IF($I1330="FIN",PERSONAL!$K$2:$K$80,PERSONAL!$G$2:$G$80),MATCH($B1330,PERSONAL!$A$2:$A$80,0)))))</f>
        <v/>
      </c>
      <c r="O1330" s="53">
        <f t="array" ref="O1330">IFERROR(INDEX(EXCEPCIONES_FECHA!$F$2:$F$201,MATCH(1,(EXCEPCIONES_FECHA!$A$2:$A$201=$A1330)*(EXCEPCIONES_FECHA!$B$2:$B$201=$B1330),0)),IFERROR(INDEX(EXCEPCIONES_FECHA!$F$2:$F$201,MATCH(1,(EXCEPCIONES_FECHA!$A$2:$A$201=$A1330)*(EXCEPCIONES_FECHA!$B$2:$B$201=""),0)),IFERROR(INDEX(IF($I1330="FIN",HISTORIAL_HORARIOS!$L$2:$L$201,HISTORIAL_HORARIOS!$H$2:$H$201),MATCH(1,(HISTORIAL_HORARIOS!$A$2:$A$201=$B1330)*(HISTORIAL_HORARIOS!$C$2:$C$201&lt;=$A1330)*(HISTORIAL_HORARIOS!$D$2:$D$201&gt;=$A1330),0)),INDEX(IF($I1330="FIN",PERSONAL!$L$2:$L$80,PERSONAL!$H$2:$H$80),MATCH($B1330,PERSONAL!$A$2:$A$80,0)))))</f>
        <v/>
      </c>
    </row>
    <row r="1331" ht="15" customHeight="1" s="58">
      <c r="A1331" s="40" t="n"/>
      <c r="B1331" s="38" t="n"/>
      <c r="C1331" s="40" t="n"/>
      <c r="D1331" s="40" t="n"/>
      <c r="E1331" s="34">
        <f t="array" ref="E1331">IF($B1331="","",IFERROR(INDEX(PERSONAL!$B$2:$B$80,MATCH($B1331,PERSONAL!$A$2:$A$80,0)),"NO EXISTE"))</f>
        <v/>
      </c>
      <c r="F1331" s="34">
        <f t="array" ref="F1331">IF($B1331="","",IFERROR(INDEX(PERSONAL!$C$2:$C$80,MATCH($B1331,PERSONAL!$A$2:$A$80,0)),""))</f>
        <v/>
      </c>
      <c r="G1331" s="34">
        <f>IF($A1331="","",CHOOSE(WEEKDAY($A1331,2),"LUNES","MARTES","MIÉRCOLES","JUEVES","VIERNES","SÁBADO","DOMINGO"))</f>
        <v/>
      </c>
      <c r="H1331" s="34">
        <f>IF($A1331="","",CHOOSE(MONTH($A1331),"ENERO","FEBRERO","MARZO","ABRIL","MAYO","JUNIO","JULIO","AGOSTO","SEPTIEMBRE","OCTUBRE","NOVIEMBRE","DICIEMBRE"))</f>
        <v/>
      </c>
      <c r="I1331" s="34">
        <f>IF($A1331="","",IF(OR($G1331="SÁBADO",$G1331="DOMINGO"),"FIN","LV"))</f>
        <v/>
      </c>
      <c r="J1331" s="34">
        <f>IF(OR($A1331="",$B1331=""),"",IF($L1331&lt;&gt;"",UPPER($L1331),IF($C1331="","FALTA",IFERROR(IF($C1331&gt;=$O1331,"ROJO FUERTE",IF($C1331&gt;=$N1331,"ROJO",IF($C1331&gt;=$M1331,"AMARILLO","VERDE"))),"REVISAR"))))</f>
        <v/>
      </c>
      <c r="K1331" s="36">
        <f>IF(OR($C1331="",$D1331=""),"",IF($D1331&gt;=$C1331,($D1331-$C1331)*24,(1-$C1331+$D1331)*24))</f>
        <v/>
      </c>
      <c r="L1331" s="34" t="n"/>
      <c r="M1331" s="53">
        <f t="array" ref="M1331">IFERROR(INDEX(EXCEPCIONES_FECHA!$D$2:$D$201,MATCH(1,(EXCEPCIONES_FECHA!$A$2:$A$201=$A1331)*(EXCEPCIONES_FECHA!$B$2:$B$201=$B1331),0)),IFERROR(INDEX(EXCEPCIONES_FECHA!$D$2:$D$201,MATCH(1,(EXCEPCIONES_FECHA!$A$2:$A$201=$A1331)*(EXCEPCIONES_FECHA!$B$2:$B$201=""),0)),IFERROR(INDEX(IF($I1331="FIN",HISTORIAL_HORARIOS!$J$2:$J$201,HISTORIAL_HORARIOS!$F$2:$F$201),MATCH(1,(HISTORIAL_HORARIOS!$A$2:$A$201=$B1331)*(HISTORIAL_HORARIOS!$C$2:$C$201&lt;=$A1331)*(HISTORIAL_HORARIOS!$D$2:$D$201&gt;=$A1331),0)),INDEX(IF($I1331="FIN",PERSONAL!$J$2:$J$80,PERSONAL!$F$2:$F$80),MATCH($B1331,PERSONAL!$A$2:$A$80,0)))))</f>
        <v/>
      </c>
      <c r="N1331" s="53">
        <f t="array" ref="N1331">IFERROR(INDEX(EXCEPCIONES_FECHA!$E$2:$E$201,MATCH(1,(EXCEPCIONES_FECHA!$A$2:$A$201=$A1331)*(EXCEPCIONES_FECHA!$B$2:$B$201=$B1331),0)),IFERROR(INDEX(EXCEPCIONES_FECHA!$E$2:$E$201,MATCH(1,(EXCEPCIONES_FECHA!$A$2:$A$201=$A1331)*(EXCEPCIONES_FECHA!$B$2:$B$201=""),0)),IFERROR(INDEX(IF($I1331="FIN",HISTORIAL_HORARIOS!$K$2:$K$201,HISTORIAL_HORARIOS!$G$2:$G$201),MATCH(1,(HISTORIAL_HORARIOS!$A$2:$A$201=$B1331)*(HISTORIAL_HORARIOS!$C$2:$C$201&lt;=$A1331)*(HISTORIAL_HORARIOS!$D$2:$D$201&gt;=$A1331),0)),INDEX(IF($I1331="FIN",PERSONAL!$K$2:$K$80,PERSONAL!$G$2:$G$80),MATCH($B1331,PERSONAL!$A$2:$A$80,0)))))</f>
        <v/>
      </c>
      <c r="O1331" s="53">
        <f t="array" ref="O1331">IFERROR(INDEX(EXCEPCIONES_FECHA!$F$2:$F$201,MATCH(1,(EXCEPCIONES_FECHA!$A$2:$A$201=$A1331)*(EXCEPCIONES_FECHA!$B$2:$B$201=$B1331),0)),IFERROR(INDEX(EXCEPCIONES_FECHA!$F$2:$F$201,MATCH(1,(EXCEPCIONES_FECHA!$A$2:$A$201=$A1331)*(EXCEPCIONES_FECHA!$B$2:$B$201=""),0)),IFERROR(INDEX(IF($I1331="FIN",HISTORIAL_HORARIOS!$L$2:$L$201,HISTORIAL_HORARIOS!$H$2:$H$201),MATCH(1,(HISTORIAL_HORARIOS!$A$2:$A$201=$B1331)*(HISTORIAL_HORARIOS!$C$2:$C$201&lt;=$A1331)*(HISTORIAL_HORARIOS!$D$2:$D$201&gt;=$A1331),0)),INDEX(IF($I1331="FIN",PERSONAL!$L$2:$L$80,PERSONAL!$H$2:$H$80),MATCH($B1331,PERSONAL!$A$2:$A$80,0)))))</f>
        <v/>
      </c>
    </row>
    <row r="1332" ht="15" customHeight="1" s="58">
      <c r="A1332" s="40" t="n"/>
      <c r="B1332" s="38" t="n"/>
      <c r="C1332" s="40" t="n"/>
      <c r="D1332" s="40" t="n"/>
      <c r="E1332" s="34">
        <f t="array" ref="E1332">IF($B1332="","",IFERROR(INDEX(PERSONAL!$B$2:$B$80,MATCH($B1332,PERSONAL!$A$2:$A$80,0)),"NO EXISTE"))</f>
        <v/>
      </c>
      <c r="F1332" s="34">
        <f t="array" ref="F1332">IF($B1332="","",IFERROR(INDEX(PERSONAL!$C$2:$C$80,MATCH($B1332,PERSONAL!$A$2:$A$80,0)),""))</f>
        <v/>
      </c>
      <c r="G1332" s="34">
        <f>IF($A1332="","",CHOOSE(WEEKDAY($A1332,2),"LUNES","MARTES","MIÉRCOLES","JUEVES","VIERNES","SÁBADO","DOMINGO"))</f>
        <v/>
      </c>
      <c r="H1332" s="34">
        <f>IF($A1332="","",CHOOSE(MONTH($A1332),"ENERO","FEBRERO","MARZO","ABRIL","MAYO","JUNIO","JULIO","AGOSTO","SEPTIEMBRE","OCTUBRE","NOVIEMBRE","DICIEMBRE"))</f>
        <v/>
      </c>
      <c r="I1332" s="34">
        <f>IF($A1332="","",IF(OR($G1332="SÁBADO",$G1332="DOMINGO"),"FIN","LV"))</f>
        <v/>
      </c>
      <c r="J1332" s="34">
        <f>IF(OR($A1332="",$B1332=""),"",IF($L1332&lt;&gt;"",UPPER($L1332),IF($C1332="","FALTA",IFERROR(IF($C1332&gt;=$O1332,"ROJO FUERTE",IF($C1332&gt;=$N1332,"ROJO",IF($C1332&gt;=$M1332,"AMARILLO","VERDE"))),"REVISAR"))))</f>
        <v/>
      </c>
      <c r="K1332" s="36">
        <f>IF(OR($C1332="",$D1332=""),"",IF($D1332&gt;=$C1332,($D1332-$C1332)*24,(1-$C1332+$D1332)*24))</f>
        <v/>
      </c>
      <c r="L1332" s="34" t="n"/>
      <c r="M1332" s="53">
        <f t="array" ref="M1332">IFERROR(INDEX(EXCEPCIONES_FECHA!$D$2:$D$201,MATCH(1,(EXCEPCIONES_FECHA!$A$2:$A$201=$A1332)*(EXCEPCIONES_FECHA!$B$2:$B$201=$B1332),0)),IFERROR(INDEX(EXCEPCIONES_FECHA!$D$2:$D$201,MATCH(1,(EXCEPCIONES_FECHA!$A$2:$A$201=$A1332)*(EXCEPCIONES_FECHA!$B$2:$B$201=""),0)),IFERROR(INDEX(IF($I1332="FIN",HISTORIAL_HORARIOS!$J$2:$J$201,HISTORIAL_HORARIOS!$F$2:$F$201),MATCH(1,(HISTORIAL_HORARIOS!$A$2:$A$201=$B1332)*(HISTORIAL_HORARIOS!$C$2:$C$201&lt;=$A1332)*(HISTORIAL_HORARIOS!$D$2:$D$201&gt;=$A1332),0)),INDEX(IF($I1332="FIN",PERSONAL!$J$2:$J$80,PERSONAL!$F$2:$F$80),MATCH($B1332,PERSONAL!$A$2:$A$80,0)))))</f>
        <v/>
      </c>
      <c r="N1332" s="53">
        <f t="array" ref="N1332">IFERROR(INDEX(EXCEPCIONES_FECHA!$E$2:$E$201,MATCH(1,(EXCEPCIONES_FECHA!$A$2:$A$201=$A1332)*(EXCEPCIONES_FECHA!$B$2:$B$201=$B1332),0)),IFERROR(INDEX(EXCEPCIONES_FECHA!$E$2:$E$201,MATCH(1,(EXCEPCIONES_FECHA!$A$2:$A$201=$A1332)*(EXCEPCIONES_FECHA!$B$2:$B$201=""),0)),IFERROR(INDEX(IF($I1332="FIN",HISTORIAL_HORARIOS!$K$2:$K$201,HISTORIAL_HORARIOS!$G$2:$G$201),MATCH(1,(HISTORIAL_HORARIOS!$A$2:$A$201=$B1332)*(HISTORIAL_HORARIOS!$C$2:$C$201&lt;=$A1332)*(HISTORIAL_HORARIOS!$D$2:$D$201&gt;=$A1332),0)),INDEX(IF($I1332="FIN",PERSONAL!$K$2:$K$80,PERSONAL!$G$2:$G$80),MATCH($B1332,PERSONAL!$A$2:$A$80,0)))))</f>
        <v/>
      </c>
      <c r="O1332" s="53">
        <f t="array" ref="O1332">IFERROR(INDEX(EXCEPCIONES_FECHA!$F$2:$F$201,MATCH(1,(EXCEPCIONES_FECHA!$A$2:$A$201=$A1332)*(EXCEPCIONES_FECHA!$B$2:$B$201=$B1332),0)),IFERROR(INDEX(EXCEPCIONES_FECHA!$F$2:$F$201,MATCH(1,(EXCEPCIONES_FECHA!$A$2:$A$201=$A1332)*(EXCEPCIONES_FECHA!$B$2:$B$201=""),0)),IFERROR(INDEX(IF($I1332="FIN",HISTORIAL_HORARIOS!$L$2:$L$201,HISTORIAL_HORARIOS!$H$2:$H$201),MATCH(1,(HISTORIAL_HORARIOS!$A$2:$A$201=$B1332)*(HISTORIAL_HORARIOS!$C$2:$C$201&lt;=$A1332)*(HISTORIAL_HORARIOS!$D$2:$D$201&gt;=$A1332),0)),INDEX(IF($I1332="FIN",PERSONAL!$L$2:$L$80,PERSONAL!$H$2:$H$80),MATCH($B1332,PERSONAL!$A$2:$A$80,0)))))</f>
        <v/>
      </c>
    </row>
    <row r="1333" ht="15" customHeight="1" s="58">
      <c r="A1333" s="40" t="n"/>
      <c r="B1333" s="38" t="n"/>
      <c r="C1333" s="40" t="n"/>
      <c r="D1333" s="40" t="n"/>
      <c r="E1333" s="34">
        <f t="array" ref="E1333">IF($B1333="","",IFERROR(INDEX(PERSONAL!$B$2:$B$80,MATCH($B1333,PERSONAL!$A$2:$A$80,0)),"NO EXISTE"))</f>
        <v/>
      </c>
      <c r="F1333" s="34">
        <f t="array" ref="F1333">IF($B1333="","",IFERROR(INDEX(PERSONAL!$C$2:$C$80,MATCH($B1333,PERSONAL!$A$2:$A$80,0)),""))</f>
        <v/>
      </c>
      <c r="G1333" s="34">
        <f>IF($A1333="","",CHOOSE(WEEKDAY($A1333,2),"LUNES","MARTES","MIÉRCOLES","JUEVES","VIERNES","SÁBADO","DOMINGO"))</f>
        <v/>
      </c>
      <c r="H1333" s="34">
        <f>IF($A1333="","",CHOOSE(MONTH($A1333),"ENERO","FEBRERO","MARZO","ABRIL","MAYO","JUNIO","JULIO","AGOSTO","SEPTIEMBRE","OCTUBRE","NOVIEMBRE","DICIEMBRE"))</f>
        <v/>
      </c>
      <c r="I1333" s="34">
        <f>IF($A1333="","",IF(OR($G1333="SÁBADO",$G1333="DOMINGO"),"FIN","LV"))</f>
        <v/>
      </c>
      <c r="J1333" s="34">
        <f>IF(OR($A1333="",$B1333=""),"",IF($L1333&lt;&gt;"",UPPER($L1333),IF($C1333="","FALTA",IFERROR(IF($C1333&gt;=$O1333,"ROJO FUERTE",IF($C1333&gt;=$N1333,"ROJO",IF($C1333&gt;=$M1333,"AMARILLO","VERDE"))),"REVISAR"))))</f>
        <v/>
      </c>
      <c r="K1333" s="36">
        <f>IF(OR($C1333="",$D1333=""),"",IF($D1333&gt;=$C1333,($D1333-$C1333)*24,(1-$C1333+$D1333)*24))</f>
        <v/>
      </c>
      <c r="L1333" s="34" t="n"/>
      <c r="M1333" s="53">
        <f t="array" ref="M1333">IFERROR(INDEX(EXCEPCIONES_FECHA!$D$2:$D$201,MATCH(1,(EXCEPCIONES_FECHA!$A$2:$A$201=$A1333)*(EXCEPCIONES_FECHA!$B$2:$B$201=$B1333),0)),IFERROR(INDEX(EXCEPCIONES_FECHA!$D$2:$D$201,MATCH(1,(EXCEPCIONES_FECHA!$A$2:$A$201=$A1333)*(EXCEPCIONES_FECHA!$B$2:$B$201=""),0)),IFERROR(INDEX(IF($I1333="FIN",HISTORIAL_HORARIOS!$J$2:$J$201,HISTORIAL_HORARIOS!$F$2:$F$201),MATCH(1,(HISTORIAL_HORARIOS!$A$2:$A$201=$B1333)*(HISTORIAL_HORARIOS!$C$2:$C$201&lt;=$A1333)*(HISTORIAL_HORARIOS!$D$2:$D$201&gt;=$A1333),0)),INDEX(IF($I1333="FIN",PERSONAL!$J$2:$J$80,PERSONAL!$F$2:$F$80),MATCH($B1333,PERSONAL!$A$2:$A$80,0)))))</f>
        <v/>
      </c>
      <c r="N1333" s="53">
        <f t="array" ref="N1333">IFERROR(INDEX(EXCEPCIONES_FECHA!$E$2:$E$201,MATCH(1,(EXCEPCIONES_FECHA!$A$2:$A$201=$A1333)*(EXCEPCIONES_FECHA!$B$2:$B$201=$B1333),0)),IFERROR(INDEX(EXCEPCIONES_FECHA!$E$2:$E$201,MATCH(1,(EXCEPCIONES_FECHA!$A$2:$A$201=$A1333)*(EXCEPCIONES_FECHA!$B$2:$B$201=""),0)),IFERROR(INDEX(IF($I1333="FIN",HISTORIAL_HORARIOS!$K$2:$K$201,HISTORIAL_HORARIOS!$G$2:$G$201),MATCH(1,(HISTORIAL_HORARIOS!$A$2:$A$201=$B1333)*(HISTORIAL_HORARIOS!$C$2:$C$201&lt;=$A1333)*(HISTORIAL_HORARIOS!$D$2:$D$201&gt;=$A1333),0)),INDEX(IF($I1333="FIN",PERSONAL!$K$2:$K$80,PERSONAL!$G$2:$G$80),MATCH($B1333,PERSONAL!$A$2:$A$80,0)))))</f>
        <v/>
      </c>
      <c r="O1333" s="53">
        <f t="array" ref="O1333">IFERROR(INDEX(EXCEPCIONES_FECHA!$F$2:$F$201,MATCH(1,(EXCEPCIONES_FECHA!$A$2:$A$201=$A1333)*(EXCEPCIONES_FECHA!$B$2:$B$201=$B1333),0)),IFERROR(INDEX(EXCEPCIONES_FECHA!$F$2:$F$201,MATCH(1,(EXCEPCIONES_FECHA!$A$2:$A$201=$A1333)*(EXCEPCIONES_FECHA!$B$2:$B$201=""),0)),IFERROR(INDEX(IF($I1333="FIN",HISTORIAL_HORARIOS!$L$2:$L$201,HISTORIAL_HORARIOS!$H$2:$H$201),MATCH(1,(HISTORIAL_HORARIOS!$A$2:$A$201=$B1333)*(HISTORIAL_HORARIOS!$C$2:$C$201&lt;=$A1333)*(HISTORIAL_HORARIOS!$D$2:$D$201&gt;=$A1333),0)),INDEX(IF($I1333="FIN",PERSONAL!$L$2:$L$80,PERSONAL!$H$2:$H$80),MATCH($B1333,PERSONAL!$A$2:$A$80,0)))))</f>
        <v/>
      </c>
    </row>
    <row r="1334" ht="15" customHeight="1" s="58">
      <c r="A1334" s="40" t="n"/>
      <c r="B1334" s="38" t="n"/>
      <c r="C1334" s="40" t="n"/>
      <c r="D1334" s="40" t="n"/>
      <c r="E1334" s="34">
        <f t="array" ref="E1334">IF($B1334="","",IFERROR(INDEX(PERSONAL!$B$2:$B$80,MATCH($B1334,PERSONAL!$A$2:$A$80,0)),"NO EXISTE"))</f>
        <v/>
      </c>
      <c r="F1334" s="34">
        <f t="array" ref="F1334">IF($B1334="","",IFERROR(INDEX(PERSONAL!$C$2:$C$80,MATCH($B1334,PERSONAL!$A$2:$A$80,0)),""))</f>
        <v/>
      </c>
      <c r="G1334" s="34">
        <f>IF($A1334="","",CHOOSE(WEEKDAY($A1334,2),"LUNES","MARTES","MIÉRCOLES","JUEVES","VIERNES","SÁBADO","DOMINGO"))</f>
        <v/>
      </c>
      <c r="H1334" s="34">
        <f>IF($A1334="","",CHOOSE(MONTH($A1334),"ENERO","FEBRERO","MARZO","ABRIL","MAYO","JUNIO","JULIO","AGOSTO","SEPTIEMBRE","OCTUBRE","NOVIEMBRE","DICIEMBRE"))</f>
        <v/>
      </c>
      <c r="I1334" s="34">
        <f>IF($A1334="","",IF(OR($G1334="SÁBADO",$G1334="DOMINGO"),"FIN","LV"))</f>
        <v/>
      </c>
      <c r="J1334" s="34">
        <f>IF(OR($A1334="",$B1334=""),"",IF($L1334&lt;&gt;"",UPPER($L1334),IF($C1334="","FALTA",IFERROR(IF($C1334&gt;=$O1334,"ROJO FUERTE",IF($C1334&gt;=$N1334,"ROJO",IF($C1334&gt;=$M1334,"AMARILLO","VERDE"))),"REVISAR"))))</f>
        <v/>
      </c>
      <c r="K1334" s="36">
        <f>IF(OR($C1334="",$D1334=""),"",IF($D1334&gt;=$C1334,($D1334-$C1334)*24,(1-$C1334+$D1334)*24))</f>
        <v/>
      </c>
      <c r="L1334" s="34" t="n"/>
      <c r="M1334" s="53">
        <f t="array" ref="M1334">IFERROR(INDEX(EXCEPCIONES_FECHA!$D$2:$D$201,MATCH(1,(EXCEPCIONES_FECHA!$A$2:$A$201=$A1334)*(EXCEPCIONES_FECHA!$B$2:$B$201=$B1334),0)),IFERROR(INDEX(EXCEPCIONES_FECHA!$D$2:$D$201,MATCH(1,(EXCEPCIONES_FECHA!$A$2:$A$201=$A1334)*(EXCEPCIONES_FECHA!$B$2:$B$201=""),0)),IFERROR(INDEX(IF($I1334="FIN",HISTORIAL_HORARIOS!$J$2:$J$201,HISTORIAL_HORARIOS!$F$2:$F$201),MATCH(1,(HISTORIAL_HORARIOS!$A$2:$A$201=$B1334)*(HISTORIAL_HORARIOS!$C$2:$C$201&lt;=$A1334)*(HISTORIAL_HORARIOS!$D$2:$D$201&gt;=$A1334),0)),INDEX(IF($I1334="FIN",PERSONAL!$J$2:$J$80,PERSONAL!$F$2:$F$80),MATCH($B1334,PERSONAL!$A$2:$A$80,0)))))</f>
        <v/>
      </c>
      <c r="N1334" s="53">
        <f t="array" ref="N1334">IFERROR(INDEX(EXCEPCIONES_FECHA!$E$2:$E$201,MATCH(1,(EXCEPCIONES_FECHA!$A$2:$A$201=$A1334)*(EXCEPCIONES_FECHA!$B$2:$B$201=$B1334),0)),IFERROR(INDEX(EXCEPCIONES_FECHA!$E$2:$E$201,MATCH(1,(EXCEPCIONES_FECHA!$A$2:$A$201=$A1334)*(EXCEPCIONES_FECHA!$B$2:$B$201=""),0)),IFERROR(INDEX(IF($I1334="FIN",HISTORIAL_HORARIOS!$K$2:$K$201,HISTORIAL_HORARIOS!$G$2:$G$201),MATCH(1,(HISTORIAL_HORARIOS!$A$2:$A$201=$B1334)*(HISTORIAL_HORARIOS!$C$2:$C$201&lt;=$A1334)*(HISTORIAL_HORARIOS!$D$2:$D$201&gt;=$A1334),0)),INDEX(IF($I1334="FIN",PERSONAL!$K$2:$K$80,PERSONAL!$G$2:$G$80),MATCH($B1334,PERSONAL!$A$2:$A$80,0)))))</f>
        <v/>
      </c>
      <c r="O1334" s="53">
        <f t="array" ref="O1334">IFERROR(INDEX(EXCEPCIONES_FECHA!$F$2:$F$201,MATCH(1,(EXCEPCIONES_FECHA!$A$2:$A$201=$A1334)*(EXCEPCIONES_FECHA!$B$2:$B$201=$B1334),0)),IFERROR(INDEX(EXCEPCIONES_FECHA!$F$2:$F$201,MATCH(1,(EXCEPCIONES_FECHA!$A$2:$A$201=$A1334)*(EXCEPCIONES_FECHA!$B$2:$B$201=""),0)),IFERROR(INDEX(IF($I1334="FIN",HISTORIAL_HORARIOS!$L$2:$L$201,HISTORIAL_HORARIOS!$H$2:$H$201),MATCH(1,(HISTORIAL_HORARIOS!$A$2:$A$201=$B1334)*(HISTORIAL_HORARIOS!$C$2:$C$201&lt;=$A1334)*(HISTORIAL_HORARIOS!$D$2:$D$201&gt;=$A1334),0)),INDEX(IF($I1334="FIN",PERSONAL!$L$2:$L$80,PERSONAL!$H$2:$H$80),MATCH($B1334,PERSONAL!$A$2:$A$80,0)))))</f>
        <v/>
      </c>
    </row>
    <row r="1335" ht="15" customHeight="1" s="58">
      <c r="A1335" s="40" t="n"/>
      <c r="B1335" s="38" t="n"/>
      <c r="C1335" s="40" t="n"/>
      <c r="D1335" s="40" t="n"/>
      <c r="E1335" s="34">
        <f t="array" ref="E1335">IF($B1335="","",IFERROR(INDEX(PERSONAL!$B$2:$B$80,MATCH($B1335,PERSONAL!$A$2:$A$80,0)),"NO EXISTE"))</f>
        <v/>
      </c>
      <c r="F1335" s="34">
        <f t="array" ref="F1335">IF($B1335="","",IFERROR(INDEX(PERSONAL!$C$2:$C$80,MATCH($B1335,PERSONAL!$A$2:$A$80,0)),""))</f>
        <v/>
      </c>
      <c r="G1335" s="34">
        <f>IF($A1335="","",CHOOSE(WEEKDAY($A1335,2),"LUNES","MARTES","MIÉRCOLES","JUEVES","VIERNES","SÁBADO","DOMINGO"))</f>
        <v/>
      </c>
      <c r="H1335" s="34">
        <f>IF($A1335="","",CHOOSE(MONTH($A1335),"ENERO","FEBRERO","MARZO","ABRIL","MAYO","JUNIO","JULIO","AGOSTO","SEPTIEMBRE","OCTUBRE","NOVIEMBRE","DICIEMBRE"))</f>
        <v/>
      </c>
      <c r="I1335" s="34">
        <f>IF($A1335="","",IF(OR($G1335="SÁBADO",$G1335="DOMINGO"),"FIN","LV"))</f>
        <v/>
      </c>
      <c r="J1335" s="34">
        <f>IF(OR($A1335="",$B1335=""),"",IF($L1335&lt;&gt;"",UPPER($L1335),IF($C1335="","FALTA",IFERROR(IF($C1335&gt;=$O1335,"ROJO FUERTE",IF($C1335&gt;=$N1335,"ROJO",IF($C1335&gt;=$M1335,"AMARILLO","VERDE"))),"REVISAR"))))</f>
        <v/>
      </c>
      <c r="K1335" s="36">
        <f>IF(OR($C1335="",$D1335=""),"",IF($D1335&gt;=$C1335,($D1335-$C1335)*24,(1-$C1335+$D1335)*24))</f>
        <v/>
      </c>
      <c r="L1335" s="34" t="n"/>
      <c r="M1335" s="53">
        <f t="array" ref="M1335">IFERROR(INDEX(EXCEPCIONES_FECHA!$D$2:$D$201,MATCH(1,(EXCEPCIONES_FECHA!$A$2:$A$201=$A1335)*(EXCEPCIONES_FECHA!$B$2:$B$201=$B1335),0)),IFERROR(INDEX(EXCEPCIONES_FECHA!$D$2:$D$201,MATCH(1,(EXCEPCIONES_FECHA!$A$2:$A$201=$A1335)*(EXCEPCIONES_FECHA!$B$2:$B$201=""),0)),IFERROR(INDEX(IF($I1335="FIN",HISTORIAL_HORARIOS!$J$2:$J$201,HISTORIAL_HORARIOS!$F$2:$F$201),MATCH(1,(HISTORIAL_HORARIOS!$A$2:$A$201=$B1335)*(HISTORIAL_HORARIOS!$C$2:$C$201&lt;=$A1335)*(HISTORIAL_HORARIOS!$D$2:$D$201&gt;=$A1335),0)),INDEX(IF($I1335="FIN",PERSONAL!$J$2:$J$80,PERSONAL!$F$2:$F$80),MATCH($B1335,PERSONAL!$A$2:$A$80,0)))))</f>
        <v/>
      </c>
      <c r="N1335" s="53">
        <f t="array" ref="N1335">IFERROR(INDEX(EXCEPCIONES_FECHA!$E$2:$E$201,MATCH(1,(EXCEPCIONES_FECHA!$A$2:$A$201=$A1335)*(EXCEPCIONES_FECHA!$B$2:$B$201=$B1335),0)),IFERROR(INDEX(EXCEPCIONES_FECHA!$E$2:$E$201,MATCH(1,(EXCEPCIONES_FECHA!$A$2:$A$201=$A1335)*(EXCEPCIONES_FECHA!$B$2:$B$201=""),0)),IFERROR(INDEX(IF($I1335="FIN",HISTORIAL_HORARIOS!$K$2:$K$201,HISTORIAL_HORARIOS!$G$2:$G$201),MATCH(1,(HISTORIAL_HORARIOS!$A$2:$A$201=$B1335)*(HISTORIAL_HORARIOS!$C$2:$C$201&lt;=$A1335)*(HISTORIAL_HORARIOS!$D$2:$D$201&gt;=$A1335),0)),INDEX(IF($I1335="FIN",PERSONAL!$K$2:$K$80,PERSONAL!$G$2:$G$80),MATCH($B1335,PERSONAL!$A$2:$A$80,0)))))</f>
        <v/>
      </c>
      <c r="O1335" s="53">
        <f t="array" ref="O1335">IFERROR(INDEX(EXCEPCIONES_FECHA!$F$2:$F$201,MATCH(1,(EXCEPCIONES_FECHA!$A$2:$A$201=$A1335)*(EXCEPCIONES_FECHA!$B$2:$B$201=$B1335),0)),IFERROR(INDEX(EXCEPCIONES_FECHA!$F$2:$F$201,MATCH(1,(EXCEPCIONES_FECHA!$A$2:$A$201=$A1335)*(EXCEPCIONES_FECHA!$B$2:$B$201=""),0)),IFERROR(INDEX(IF($I1335="FIN",HISTORIAL_HORARIOS!$L$2:$L$201,HISTORIAL_HORARIOS!$H$2:$H$201),MATCH(1,(HISTORIAL_HORARIOS!$A$2:$A$201=$B1335)*(HISTORIAL_HORARIOS!$C$2:$C$201&lt;=$A1335)*(HISTORIAL_HORARIOS!$D$2:$D$201&gt;=$A1335),0)),INDEX(IF($I1335="FIN",PERSONAL!$L$2:$L$80,PERSONAL!$H$2:$H$80),MATCH($B1335,PERSONAL!$A$2:$A$80,0)))))</f>
        <v/>
      </c>
    </row>
    <row r="1336" ht="15" customHeight="1" s="58">
      <c r="A1336" s="40" t="n"/>
      <c r="B1336" s="38" t="n"/>
      <c r="C1336" s="40" t="n"/>
      <c r="D1336" s="40" t="n"/>
      <c r="E1336" s="34">
        <f t="array" ref="E1336">IF($B1336="","",IFERROR(INDEX(PERSONAL!$B$2:$B$80,MATCH($B1336,PERSONAL!$A$2:$A$80,0)),"NO EXISTE"))</f>
        <v/>
      </c>
      <c r="F1336" s="34">
        <f t="array" ref="F1336">IF($B1336="","",IFERROR(INDEX(PERSONAL!$C$2:$C$80,MATCH($B1336,PERSONAL!$A$2:$A$80,0)),""))</f>
        <v/>
      </c>
      <c r="G1336" s="34">
        <f>IF($A1336="","",CHOOSE(WEEKDAY($A1336,2),"LUNES","MARTES","MIÉRCOLES","JUEVES","VIERNES","SÁBADO","DOMINGO"))</f>
        <v/>
      </c>
      <c r="H1336" s="34">
        <f>IF($A1336="","",CHOOSE(MONTH($A1336),"ENERO","FEBRERO","MARZO","ABRIL","MAYO","JUNIO","JULIO","AGOSTO","SEPTIEMBRE","OCTUBRE","NOVIEMBRE","DICIEMBRE"))</f>
        <v/>
      </c>
      <c r="I1336" s="34">
        <f>IF($A1336="","",IF(OR($G1336="SÁBADO",$G1336="DOMINGO"),"FIN","LV"))</f>
        <v/>
      </c>
      <c r="J1336" s="34">
        <f>IF(OR($A1336="",$B1336=""),"",IF($L1336&lt;&gt;"",UPPER($L1336),IF($C1336="","FALTA",IFERROR(IF($C1336&gt;=$O1336,"ROJO FUERTE",IF($C1336&gt;=$N1336,"ROJO",IF($C1336&gt;=$M1336,"AMARILLO","VERDE"))),"REVISAR"))))</f>
        <v/>
      </c>
      <c r="K1336" s="36">
        <f>IF(OR($C1336="",$D1336=""),"",IF($D1336&gt;=$C1336,($D1336-$C1336)*24,(1-$C1336+$D1336)*24))</f>
        <v/>
      </c>
      <c r="L1336" s="34" t="n"/>
      <c r="M1336" s="53">
        <f t="array" ref="M1336">IFERROR(INDEX(EXCEPCIONES_FECHA!$D$2:$D$201,MATCH(1,(EXCEPCIONES_FECHA!$A$2:$A$201=$A1336)*(EXCEPCIONES_FECHA!$B$2:$B$201=$B1336),0)),IFERROR(INDEX(EXCEPCIONES_FECHA!$D$2:$D$201,MATCH(1,(EXCEPCIONES_FECHA!$A$2:$A$201=$A1336)*(EXCEPCIONES_FECHA!$B$2:$B$201=""),0)),IFERROR(INDEX(IF($I1336="FIN",HISTORIAL_HORARIOS!$J$2:$J$201,HISTORIAL_HORARIOS!$F$2:$F$201),MATCH(1,(HISTORIAL_HORARIOS!$A$2:$A$201=$B1336)*(HISTORIAL_HORARIOS!$C$2:$C$201&lt;=$A1336)*(HISTORIAL_HORARIOS!$D$2:$D$201&gt;=$A1336),0)),INDEX(IF($I1336="FIN",PERSONAL!$J$2:$J$80,PERSONAL!$F$2:$F$80),MATCH($B1336,PERSONAL!$A$2:$A$80,0)))))</f>
        <v/>
      </c>
      <c r="N1336" s="53">
        <f t="array" ref="N1336">IFERROR(INDEX(EXCEPCIONES_FECHA!$E$2:$E$201,MATCH(1,(EXCEPCIONES_FECHA!$A$2:$A$201=$A1336)*(EXCEPCIONES_FECHA!$B$2:$B$201=$B1336),0)),IFERROR(INDEX(EXCEPCIONES_FECHA!$E$2:$E$201,MATCH(1,(EXCEPCIONES_FECHA!$A$2:$A$201=$A1336)*(EXCEPCIONES_FECHA!$B$2:$B$201=""),0)),IFERROR(INDEX(IF($I1336="FIN",HISTORIAL_HORARIOS!$K$2:$K$201,HISTORIAL_HORARIOS!$G$2:$G$201),MATCH(1,(HISTORIAL_HORARIOS!$A$2:$A$201=$B1336)*(HISTORIAL_HORARIOS!$C$2:$C$201&lt;=$A1336)*(HISTORIAL_HORARIOS!$D$2:$D$201&gt;=$A1336),0)),INDEX(IF($I1336="FIN",PERSONAL!$K$2:$K$80,PERSONAL!$G$2:$G$80),MATCH($B1336,PERSONAL!$A$2:$A$80,0)))))</f>
        <v/>
      </c>
      <c r="O1336" s="53">
        <f t="array" ref="O1336">IFERROR(INDEX(EXCEPCIONES_FECHA!$F$2:$F$201,MATCH(1,(EXCEPCIONES_FECHA!$A$2:$A$201=$A1336)*(EXCEPCIONES_FECHA!$B$2:$B$201=$B1336),0)),IFERROR(INDEX(EXCEPCIONES_FECHA!$F$2:$F$201,MATCH(1,(EXCEPCIONES_FECHA!$A$2:$A$201=$A1336)*(EXCEPCIONES_FECHA!$B$2:$B$201=""),0)),IFERROR(INDEX(IF($I1336="FIN",HISTORIAL_HORARIOS!$L$2:$L$201,HISTORIAL_HORARIOS!$H$2:$H$201),MATCH(1,(HISTORIAL_HORARIOS!$A$2:$A$201=$B1336)*(HISTORIAL_HORARIOS!$C$2:$C$201&lt;=$A1336)*(HISTORIAL_HORARIOS!$D$2:$D$201&gt;=$A1336),0)),INDEX(IF($I1336="FIN",PERSONAL!$L$2:$L$80,PERSONAL!$H$2:$H$80),MATCH($B1336,PERSONAL!$A$2:$A$80,0)))))</f>
        <v/>
      </c>
    </row>
    <row r="1337" ht="15" customHeight="1" s="58">
      <c r="A1337" s="40" t="n"/>
      <c r="B1337" s="38" t="n"/>
      <c r="C1337" s="40" t="n"/>
      <c r="D1337" s="40" t="n"/>
      <c r="E1337" s="34">
        <f t="array" ref="E1337">IF($B1337="","",IFERROR(INDEX(PERSONAL!$B$2:$B$80,MATCH($B1337,PERSONAL!$A$2:$A$80,0)),"NO EXISTE"))</f>
        <v/>
      </c>
      <c r="F1337" s="34">
        <f t="array" ref="F1337">IF($B1337="","",IFERROR(INDEX(PERSONAL!$C$2:$C$80,MATCH($B1337,PERSONAL!$A$2:$A$80,0)),""))</f>
        <v/>
      </c>
      <c r="G1337" s="34">
        <f>IF($A1337="","",CHOOSE(WEEKDAY($A1337,2),"LUNES","MARTES","MIÉRCOLES","JUEVES","VIERNES","SÁBADO","DOMINGO"))</f>
        <v/>
      </c>
      <c r="H1337" s="34">
        <f>IF($A1337="","",CHOOSE(MONTH($A1337),"ENERO","FEBRERO","MARZO","ABRIL","MAYO","JUNIO","JULIO","AGOSTO","SEPTIEMBRE","OCTUBRE","NOVIEMBRE","DICIEMBRE"))</f>
        <v/>
      </c>
      <c r="I1337" s="34">
        <f>IF($A1337="","",IF(OR($G1337="SÁBADO",$G1337="DOMINGO"),"FIN","LV"))</f>
        <v/>
      </c>
      <c r="J1337" s="34">
        <f>IF(OR($A1337="",$B1337=""),"",IF($L1337&lt;&gt;"",UPPER($L1337),IF($C1337="","FALTA",IFERROR(IF($C1337&gt;=$O1337,"ROJO FUERTE",IF($C1337&gt;=$N1337,"ROJO",IF($C1337&gt;=$M1337,"AMARILLO","VERDE"))),"REVISAR"))))</f>
        <v/>
      </c>
      <c r="K1337" s="36">
        <f>IF(OR($C1337="",$D1337=""),"",IF($D1337&gt;=$C1337,($D1337-$C1337)*24,(1-$C1337+$D1337)*24))</f>
        <v/>
      </c>
      <c r="L1337" s="34" t="n"/>
      <c r="M1337" s="53">
        <f t="array" ref="M1337">IFERROR(INDEX(EXCEPCIONES_FECHA!$D$2:$D$201,MATCH(1,(EXCEPCIONES_FECHA!$A$2:$A$201=$A1337)*(EXCEPCIONES_FECHA!$B$2:$B$201=$B1337),0)),IFERROR(INDEX(EXCEPCIONES_FECHA!$D$2:$D$201,MATCH(1,(EXCEPCIONES_FECHA!$A$2:$A$201=$A1337)*(EXCEPCIONES_FECHA!$B$2:$B$201=""),0)),IFERROR(INDEX(IF($I1337="FIN",HISTORIAL_HORARIOS!$J$2:$J$201,HISTORIAL_HORARIOS!$F$2:$F$201),MATCH(1,(HISTORIAL_HORARIOS!$A$2:$A$201=$B1337)*(HISTORIAL_HORARIOS!$C$2:$C$201&lt;=$A1337)*(HISTORIAL_HORARIOS!$D$2:$D$201&gt;=$A1337),0)),INDEX(IF($I1337="FIN",PERSONAL!$J$2:$J$80,PERSONAL!$F$2:$F$80),MATCH($B1337,PERSONAL!$A$2:$A$80,0)))))</f>
        <v/>
      </c>
      <c r="N1337" s="53">
        <f t="array" ref="N1337">IFERROR(INDEX(EXCEPCIONES_FECHA!$E$2:$E$201,MATCH(1,(EXCEPCIONES_FECHA!$A$2:$A$201=$A1337)*(EXCEPCIONES_FECHA!$B$2:$B$201=$B1337),0)),IFERROR(INDEX(EXCEPCIONES_FECHA!$E$2:$E$201,MATCH(1,(EXCEPCIONES_FECHA!$A$2:$A$201=$A1337)*(EXCEPCIONES_FECHA!$B$2:$B$201=""),0)),IFERROR(INDEX(IF($I1337="FIN",HISTORIAL_HORARIOS!$K$2:$K$201,HISTORIAL_HORARIOS!$G$2:$G$201),MATCH(1,(HISTORIAL_HORARIOS!$A$2:$A$201=$B1337)*(HISTORIAL_HORARIOS!$C$2:$C$201&lt;=$A1337)*(HISTORIAL_HORARIOS!$D$2:$D$201&gt;=$A1337),0)),INDEX(IF($I1337="FIN",PERSONAL!$K$2:$K$80,PERSONAL!$G$2:$G$80),MATCH($B1337,PERSONAL!$A$2:$A$80,0)))))</f>
        <v/>
      </c>
      <c r="O1337" s="53">
        <f t="array" ref="O1337">IFERROR(INDEX(EXCEPCIONES_FECHA!$F$2:$F$201,MATCH(1,(EXCEPCIONES_FECHA!$A$2:$A$201=$A1337)*(EXCEPCIONES_FECHA!$B$2:$B$201=$B1337),0)),IFERROR(INDEX(EXCEPCIONES_FECHA!$F$2:$F$201,MATCH(1,(EXCEPCIONES_FECHA!$A$2:$A$201=$A1337)*(EXCEPCIONES_FECHA!$B$2:$B$201=""),0)),IFERROR(INDEX(IF($I1337="FIN",HISTORIAL_HORARIOS!$L$2:$L$201,HISTORIAL_HORARIOS!$H$2:$H$201),MATCH(1,(HISTORIAL_HORARIOS!$A$2:$A$201=$B1337)*(HISTORIAL_HORARIOS!$C$2:$C$201&lt;=$A1337)*(HISTORIAL_HORARIOS!$D$2:$D$201&gt;=$A1337),0)),INDEX(IF($I1337="FIN",PERSONAL!$L$2:$L$80,PERSONAL!$H$2:$H$80),MATCH($B1337,PERSONAL!$A$2:$A$80,0)))))</f>
        <v/>
      </c>
    </row>
    <row r="1338" ht="15" customHeight="1" s="58">
      <c r="A1338" s="40" t="n"/>
      <c r="B1338" s="38" t="n"/>
      <c r="C1338" s="40" t="n"/>
      <c r="D1338" s="40" t="n"/>
      <c r="E1338" s="34">
        <f t="array" ref="E1338">IF($B1338="","",IFERROR(INDEX(PERSONAL!$B$2:$B$80,MATCH($B1338,PERSONAL!$A$2:$A$80,0)),"NO EXISTE"))</f>
        <v/>
      </c>
      <c r="F1338" s="34">
        <f t="array" ref="F1338">IF($B1338="","",IFERROR(INDEX(PERSONAL!$C$2:$C$80,MATCH($B1338,PERSONAL!$A$2:$A$80,0)),""))</f>
        <v/>
      </c>
      <c r="G1338" s="34">
        <f>IF($A1338="","",CHOOSE(WEEKDAY($A1338,2),"LUNES","MARTES","MIÉRCOLES","JUEVES","VIERNES","SÁBADO","DOMINGO"))</f>
        <v/>
      </c>
      <c r="H1338" s="34">
        <f>IF($A1338="","",CHOOSE(MONTH($A1338),"ENERO","FEBRERO","MARZO","ABRIL","MAYO","JUNIO","JULIO","AGOSTO","SEPTIEMBRE","OCTUBRE","NOVIEMBRE","DICIEMBRE"))</f>
        <v/>
      </c>
      <c r="I1338" s="34">
        <f>IF($A1338="","",IF(OR($G1338="SÁBADO",$G1338="DOMINGO"),"FIN","LV"))</f>
        <v/>
      </c>
      <c r="J1338" s="34">
        <f>IF(OR($A1338="",$B1338=""),"",IF($L1338&lt;&gt;"",UPPER($L1338),IF($C1338="","FALTA",IFERROR(IF($C1338&gt;=$O1338,"ROJO FUERTE",IF($C1338&gt;=$N1338,"ROJO",IF($C1338&gt;=$M1338,"AMARILLO","VERDE"))),"REVISAR"))))</f>
        <v/>
      </c>
      <c r="K1338" s="36">
        <f>IF(OR($C1338="",$D1338=""),"",IF($D1338&gt;=$C1338,($D1338-$C1338)*24,(1-$C1338+$D1338)*24))</f>
        <v/>
      </c>
      <c r="L1338" s="34" t="n"/>
      <c r="M1338" s="53">
        <f t="array" ref="M1338">IFERROR(INDEX(EXCEPCIONES_FECHA!$D$2:$D$201,MATCH(1,(EXCEPCIONES_FECHA!$A$2:$A$201=$A1338)*(EXCEPCIONES_FECHA!$B$2:$B$201=$B1338),0)),IFERROR(INDEX(EXCEPCIONES_FECHA!$D$2:$D$201,MATCH(1,(EXCEPCIONES_FECHA!$A$2:$A$201=$A1338)*(EXCEPCIONES_FECHA!$B$2:$B$201=""),0)),IFERROR(INDEX(IF($I1338="FIN",HISTORIAL_HORARIOS!$J$2:$J$201,HISTORIAL_HORARIOS!$F$2:$F$201),MATCH(1,(HISTORIAL_HORARIOS!$A$2:$A$201=$B1338)*(HISTORIAL_HORARIOS!$C$2:$C$201&lt;=$A1338)*(HISTORIAL_HORARIOS!$D$2:$D$201&gt;=$A1338),0)),INDEX(IF($I1338="FIN",PERSONAL!$J$2:$J$80,PERSONAL!$F$2:$F$80),MATCH($B1338,PERSONAL!$A$2:$A$80,0)))))</f>
        <v/>
      </c>
      <c r="N1338" s="53">
        <f t="array" ref="N1338">IFERROR(INDEX(EXCEPCIONES_FECHA!$E$2:$E$201,MATCH(1,(EXCEPCIONES_FECHA!$A$2:$A$201=$A1338)*(EXCEPCIONES_FECHA!$B$2:$B$201=$B1338),0)),IFERROR(INDEX(EXCEPCIONES_FECHA!$E$2:$E$201,MATCH(1,(EXCEPCIONES_FECHA!$A$2:$A$201=$A1338)*(EXCEPCIONES_FECHA!$B$2:$B$201=""),0)),IFERROR(INDEX(IF($I1338="FIN",HISTORIAL_HORARIOS!$K$2:$K$201,HISTORIAL_HORARIOS!$G$2:$G$201),MATCH(1,(HISTORIAL_HORARIOS!$A$2:$A$201=$B1338)*(HISTORIAL_HORARIOS!$C$2:$C$201&lt;=$A1338)*(HISTORIAL_HORARIOS!$D$2:$D$201&gt;=$A1338),0)),INDEX(IF($I1338="FIN",PERSONAL!$K$2:$K$80,PERSONAL!$G$2:$G$80),MATCH($B1338,PERSONAL!$A$2:$A$80,0)))))</f>
        <v/>
      </c>
      <c r="O1338" s="53">
        <f t="array" ref="O1338">IFERROR(INDEX(EXCEPCIONES_FECHA!$F$2:$F$201,MATCH(1,(EXCEPCIONES_FECHA!$A$2:$A$201=$A1338)*(EXCEPCIONES_FECHA!$B$2:$B$201=$B1338),0)),IFERROR(INDEX(EXCEPCIONES_FECHA!$F$2:$F$201,MATCH(1,(EXCEPCIONES_FECHA!$A$2:$A$201=$A1338)*(EXCEPCIONES_FECHA!$B$2:$B$201=""),0)),IFERROR(INDEX(IF($I1338="FIN",HISTORIAL_HORARIOS!$L$2:$L$201,HISTORIAL_HORARIOS!$H$2:$H$201),MATCH(1,(HISTORIAL_HORARIOS!$A$2:$A$201=$B1338)*(HISTORIAL_HORARIOS!$C$2:$C$201&lt;=$A1338)*(HISTORIAL_HORARIOS!$D$2:$D$201&gt;=$A1338),0)),INDEX(IF($I1338="FIN",PERSONAL!$L$2:$L$80,PERSONAL!$H$2:$H$80),MATCH($B1338,PERSONAL!$A$2:$A$80,0)))))</f>
        <v/>
      </c>
    </row>
    <row r="1339" ht="15" customHeight="1" s="58">
      <c r="A1339" s="40" t="n"/>
      <c r="B1339" s="38" t="n"/>
      <c r="C1339" s="40" t="n"/>
      <c r="D1339" s="40" t="n"/>
      <c r="E1339" s="34">
        <f t="array" ref="E1339">IF($B1339="","",IFERROR(INDEX(PERSONAL!$B$2:$B$80,MATCH($B1339,PERSONAL!$A$2:$A$80,0)),"NO EXISTE"))</f>
        <v/>
      </c>
      <c r="F1339" s="34">
        <f t="array" ref="F1339">IF($B1339="","",IFERROR(INDEX(PERSONAL!$C$2:$C$80,MATCH($B1339,PERSONAL!$A$2:$A$80,0)),""))</f>
        <v/>
      </c>
      <c r="G1339" s="34">
        <f>IF($A1339="","",CHOOSE(WEEKDAY($A1339,2),"LUNES","MARTES","MIÉRCOLES","JUEVES","VIERNES","SÁBADO","DOMINGO"))</f>
        <v/>
      </c>
      <c r="H1339" s="34">
        <f>IF($A1339="","",CHOOSE(MONTH($A1339),"ENERO","FEBRERO","MARZO","ABRIL","MAYO","JUNIO","JULIO","AGOSTO","SEPTIEMBRE","OCTUBRE","NOVIEMBRE","DICIEMBRE"))</f>
        <v/>
      </c>
      <c r="I1339" s="34">
        <f>IF($A1339="","",IF(OR($G1339="SÁBADO",$G1339="DOMINGO"),"FIN","LV"))</f>
        <v/>
      </c>
      <c r="J1339" s="34">
        <f>IF(OR($A1339="",$B1339=""),"",IF($L1339&lt;&gt;"",UPPER($L1339),IF($C1339="","FALTA",IFERROR(IF($C1339&gt;=$O1339,"ROJO FUERTE",IF($C1339&gt;=$N1339,"ROJO",IF($C1339&gt;=$M1339,"AMARILLO","VERDE"))),"REVISAR"))))</f>
        <v/>
      </c>
      <c r="K1339" s="36">
        <f>IF(OR($C1339="",$D1339=""),"",IF($D1339&gt;=$C1339,($D1339-$C1339)*24,(1-$C1339+$D1339)*24))</f>
        <v/>
      </c>
      <c r="L1339" s="34" t="n"/>
      <c r="M1339" s="53">
        <f t="array" ref="M1339">IFERROR(INDEX(EXCEPCIONES_FECHA!$D$2:$D$201,MATCH(1,(EXCEPCIONES_FECHA!$A$2:$A$201=$A1339)*(EXCEPCIONES_FECHA!$B$2:$B$201=$B1339),0)),IFERROR(INDEX(EXCEPCIONES_FECHA!$D$2:$D$201,MATCH(1,(EXCEPCIONES_FECHA!$A$2:$A$201=$A1339)*(EXCEPCIONES_FECHA!$B$2:$B$201=""),0)),IFERROR(INDEX(IF($I1339="FIN",HISTORIAL_HORARIOS!$J$2:$J$201,HISTORIAL_HORARIOS!$F$2:$F$201),MATCH(1,(HISTORIAL_HORARIOS!$A$2:$A$201=$B1339)*(HISTORIAL_HORARIOS!$C$2:$C$201&lt;=$A1339)*(HISTORIAL_HORARIOS!$D$2:$D$201&gt;=$A1339),0)),INDEX(IF($I1339="FIN",PERSONAL!$J$2:$J$80,PERSONAL!$F$2:$F$80),MATCH($B1339,PERSONAL!$A$2:$A$80,0)))))</f>
        <v/>
      </c>
      <c r="N1339" s="53">
        <f t="array" ref="N1339">IFERROR(INDEX(EXCEPCIONES_FECHA!$E$2:$E$201,MATCH(1,(EXCEPCIONES_FECHA!$A$2:$A$201=$A1339)*(EXCEPCIONES_FECHA!$B$2:$B$201=$B1339),0)),IFERROR(INDEX(EXCEPCIONES_FECHA!$E$2:$E$201,MATCH(1,(EXCEPCIONES_FECHA!$A$2:$A$201=$A1339)*(EXCEPCIONES_FECHA!$B$2:$B$201=""),0)),IFERROR(INDEX(IF($I1339="FIN",HISTORIAL_HORARIOS!$K$2:$K$201,HISTORIAL_HORARIOS!$G$2:$G$201),MATCH(1,(HISTORIAL_HORARIOS!$A$2:$A$201=$B1339)*(HISTORIAL_HORARIOS!$C$2:$C$201&lt;=$A1339)*(HISTORIAL_HORARIOS!$D$2:$D$201&gt;=$A1339),0)),INDEX(IF($I1339="FIN",PERSONAL!$K$2:$K$80,PERSONAL!$G$2:$G$80),MATCH($B1339,PERSONAL!$A$2:$A$80,0)))))</f>
        <v/>
      </c>
      <c r="O1339" s="53">
        <f t="array" ref="O1339">IFERROR(INDEX(EXCEPCIONES_FECHA!$F$2:$F$201,MATCH(1,(EXCEPCIONES_FECHA!$A$2:$A$201=$A1339)*(EXCEPCIONES_FECHA!$B$2:$B$201=$B1339),0)),IFERROR(INDEX(EXCEPCIONES_FECHA!$F$2:$F$201,MATCH(1,(EXCEPCIONES_FECHA!$A$2:$A$201=$A1339)*(EXCEPCIONES_FECHA!$B$2:$B$201=""),0)),IFERROR(INDEX(IF($I1339="FIN",HISTORIAL_HORARIOS!$L$2:$L$201,HISTORIAL_HORARIOS!$H$2:$H$201),MATCH(1,(HISTORIAL_HORARIOS!$A$2:$A$201=$B1339)*(HISTORIAL_HORARIOS!$C$2:$C$201&lt;=$A1339)*(HISTORIAL_HORARIOS!$D$2:$D$201&gt;=$A1339),0)),INDEX(IF($I1339="FIN",PERSONAL!$L$2:$L$80,PERSONAL!$H$2:$H$80),MATCH($B1339,PERSONAL!$A$2:$A$80,0)))))</f>
        <v/>
      </c>
    </row>
    <row r="1340" ht="15" customHeight="1" s="58">
      <c r="A1340" s="40" t="n"/>
      <c r="B1340" s="38" t="n"/>
      <c r="C1340" s="40" t="n"/>
      <c r="D1340" s="40" t="n"/>
      <c r="E1340" s="34">
        <f t="array" ref="E1340">IF($B1340="","",IFERROR(INDEX(PERSONAL!$B$2:$B$80,MATCH($B1340,PERSONAL!$A$2:$A$80,0)),"NO EXISTE"))</f>
        <v/>
      </c>
      <c r="F1340" s="34">
        <f t="array" ref="F1340">IF($B1340="","",IFERROR(INDEX(PERSONAL!$C$2:$C$80,MATCH($B1340,PERSONAL!$A$2:$A$80,0)),""))</f>
        <v/>
      </c>
      <c r="G1340" s="34">
        <f>IF($A1340="","",CHOOSE(WEEKDAY($A1340,2),"LUNES","MARTES","MIÉRCOLES","JUEVES","VIERNES","SÁBADO","DOMINGO"))</f>
        <v/>
      </c>
      <c r="H1340" s="34">
        <f>IF($A1340="","",CHOOSE(MONTH($A1340),"ENERO","FEBRERO","MARZO","ABRIL","MAYO","JUNIO","JULIO","AGOSTO","SEPTIEMBRE","OCTUBRE","NOVIEMBRE","DICIEMBRE"))</f>
        <v/>
      </c>
      <c r="I1340" s="34">
        <f>IF($A1340="","",IF(OR($G1340="SÁBADO",$G1340="DOMINGO"),"FIN","LV"))</f>
        <v/>
      </c>
      <c r="J1340" s="34">
        <f>IF(OR($A1340="",$B1340=""),"",IF($L1340&lt;&gt;"",UPPER($L1340),IF($C1340="","FALTA",IFERROR(IF($C1340&gt;=$O1340,"ROJO FUERTE",IF($C1340&gt;=$N1340,"ROJO",IF($C1340&gt;=$M1340,"AMARILLO","VERDE"))),"REVISAR"))))</f>
        <v/>
      </c>
      <c r="K1340" s="36">
        <f>IF(OR($C1340="",$D1340=""),"",IF($D1340&gt;=$C1340,($D1340-$C1340)*24,(1-$C1340+$D1340)*24))</f>
        <v/>
      </c>
      <c r="L1340" s="34" t="n"/>
      <c r="M1340" s="53">
        <f t="array" ref="M1340">IFERROR(INDEX(EXCEPCIONES_FECHA!$D$2:$D$201,MATCH(1,(EXCEPCIONES_FECHA!$A$2:$A$201=$A1340)*(EXCEPCIONES_FECHA!$B$2:$B$201=$B1340),0)),IFERROR(INDEX(EXCEPCIONES_FECHA!$D$2:$D$201,MATCH(1,(EXCEPCIONES_FECHA!$A$2:$A$201=$A1340)*(EXCEPCIONES_FECHA!$B$2:$B$201=""),0)),IFERROR(INDEX(IF($I1340="FIN",HISTORIAL_HORARIOS!$J$2:$J$201,HISTORIAL_HORARIOS!$F$2:$F$201),MATCH(1,(HISTORIAL_HORARIOS!$A$2:$A$201=$B1340)*(HISTORIAL_HORARIOS!$C$2:$C$201&lt;=$A1340)*(HISTORIAL_HORARIOS!$D$2:$D$201&gt;=$A1340),0)),INDEX(IF($I1340="FIN",PERSONAL!$J$2:$J$80,PERSONAL!$F$2:$F$80),MATCH($B1340,PERSONAL!$A$2:$A$80,0)))))</f>
        <v/>
      </c>
      <c r="N1340" s="53">
        <f t="array" ref="N1340">IFERROR(INDEX(EXCEPCIONES_FECHA!$E$2:$E$201,MATCH(1,(EXCEPCIONES_FECHA!$A$2:$A$201=$A1340)*(EXCEPCIONES_FECHA!$B$2:$B$201=$B1340),0)),IFERROR(INDEX(EXCEPCIONES_FECHA!$E$2:$E$201,MATCH(1,(EXCEPCIONES_FECHA!$A$2:$A$201=$A1340)*(EXCEPCIONES_FECHA!$B$2:$B$201=""),0)),IFERROR(INDEX(IF($I1340="FIN",HISTORIAL_HORARIOS!$K$2:$K$201,HISTORIAL_HORARIOS!$G$2:$G$201),MATCH(1,(HISTORIAL_HORARIOS!$A$2:$A$201=$B1340)*(HISTORIAL_HORARIOS!$C$2:$C$201&lt;=$A1340)*(HISTORIAL_HORARIOS!$D$2:$D$201&gt;=$A1340),0)),INDEX(IF($I1340="FIN",PERSONAL!$K$2:$K$80,PERSONAL!$G$2:$G$80),MATCH($B1340,PERSONAL!$A$2:$A$80,0)))))</f>
        <v/>
      </c>
      <c r="O1340" s="53">
        <f t="array" ref="O1340">IFERROR(INDEX(EXCEPCIONES_FECHA!$F$2:$F$201,MATCH(1,(EXCEPCIONES_FECHA!$A$2:$A$201=$A1340)*(EXCEPCIONES_FECHA!$B$2:$B$201=$B1340),0)),IFERROR(INDEX(EXCEPCIONES_FECHA!$F$2:$F$201,MATCH(1,(EXCEPCIONES_FECHA!$A$2:$A$201=$A1340)*(EXCEPCIONES_FECHA!$B$2:$B$201=""),0)),IFERROR(INDEX(IF($I1340="FIN",HISTORIAL_HORARIOS!$L$2:$L$201,HISTORIAL_HORARIOS!$H$2:$H$201),MATCH(1,(HISTORIAL_HORARIOS!$A$2:$A$201=$B1340)*(HISTORIAL_HORARIOS!$C$2:$C$201&lt;=$A1340)*(HISTORIAL_HORARIOS!$D$2:$D$201&gt;=$A1340),0)),INDEX(IF($I1340="FIN",PERSONAL!$L$2:$L$80,PERSONAL!$H$2:$H$80),MATCH($B1340,PERSONAL!$A$2:$A$80,0)))))</f>
        <v/>
      </c>
    </row>
    <row r="1341" ht="15" customHeight="1" s="58">
      <c r="A1341" s="40" t="n"/>
      <c r="B1341" s="38" t="n"/>
      <c r="C1341" s="40" t="n"/>
      <c r="D1341" s="40" t="n"/>
      <c r="E1341" s="34">
        <f t="array" ref="E1341">IF($B1341="","",IFERROR(INDEX(PERSONAL!$B$2:$B$80,MATCH($B1341,PERSONAL!$A$2:$A$80,0)),"NO EXISTE"))</f>
        <v/>
      </c>
      <c r="F1341" s="34">
        <f t="array" ref="F1341">IF($B1341="","",IFERROR(INDEX(PERSONAL!$C$2:$C$80,MATCH($B1341,PERSONAL!$A$2:$A$80,0)),""))</f>
        <v/>
      </c>
      <c r="G1341" s="34">
        <f>IF($A1341="","",CHOOSE(WEEKDAY($A1341,2),"LUNES","MARTES","MIÉRCOLES","JUEVES","VIERNES","SÁBADO","DOMINGO"))</f>
        <v/>
      </c>
      <c r="H1341" s="34">
        <f>IF($A1341="","",CHOOSE(MONTH($A1341),"ENERO","FEBRERO","MARZO","ABRIL","MAYO","JUNIO","JULIO","AGOSTO","SEPTIEMBRE","OCTUBRE","NOVIEMBRE","DICIEMBRE"))</f>
        <v/>
      </c>
      <c r="I1341" s="34">
        <f>IF($A1341="","",IF(OR($G1341="SÁBADO",$G1341="DOMINGO"),"FIN","LV"))</f>
        <v/>
      </c>
      <c r="J1341" s="34">
        <f>IF(OR($A1341="",$B1341=""),"",IF($L1341&lt;&gt;"",UPPER($L1341),IF($C1341="","FALTA",IFERROR(IF($C1341&gt;=$O1341,"ROJO FUERTE",IF($C1341&gt;=$N1341,"ROJO",IF($C1341&gt;=$M1341,"AMARILLO","VERDE"))),"REVISAR"))))</f>
        <v/>
      </c>
      <c r="K1341" s="36">
        <f>IF(OR($C1341="",$D1341=""),"",IF($D1341&gt;=$C1341,($D1341-$C1341)*24,(1-$C1341+$D1341)*24))</f>
        <v/>
      </c>
      <c r="L1341" s="34" t="n"/>
      <c r="M1341" s="53">
        <f t="array" ref="M1341">IFERROR(INDEX(EXCEPCIONES_FECHA!$D$2:$D$201,MATCH(1,(EXCEPCIONES_FECHA!$A$2:$A$201=$A1341)*(EXCEPCIONES_FECHA!$B$2:$B$201=$B1341),0)),IFERROR(INDEX(EXCEPCIONES_FECHA!$D$2:$D$201,MATCH(1,(EXCEPCIONES_FECHA!$A$2:$A$201=$A1341)*(EXCEPCIONES_FECHA!$B$2:$B$201=""),0)),IFERROR(INDEX(IF($I1341="FIN",HISTORIAL_HORARIOS!$J$2:$J$201,HISTORIAL_HORARIOS!$F$2:$F$201),MATCH(1,(HISTORIAL_HORARIOS!$A$2:$A$201=$B1341)*(HISTORIAL_HORARIOS!$C$2:$C$201&lt;=$A1341)*(HISTORIAL_HORARIOS!$D$2:$D$201&gt;=$A1341),0)),INDEX(IF($I1341="FIN",PERSONAL!$J$2:$J$80,PERSONAL!$F$2:$F$80),MATCH($B1341,PERSONAL!$A$2:$A$80,0)))))</f>
        <v/>
      </c>
      <c r="N1341" s="53">
        <f t="array" ref="N1341">IFERROR(INDEX(EXCEPCIONES_FECHA!$E$2:$E$201,MATCH(1,(EXCEPCIONES_FECHA!$A$2:$A$201=$A1341)*(EXCEPCIONES_FECHA!$B$2:$B$201=$B1341),0)),IFERROR(INDEX(EXCEPCIONES_FECHA!$E$2:$E$201,MATCH(1,(EXCEPCIONES_FECHA!$A$2:$A$201=$A1341)*(EXCEPCIONES_FECHA!$B$2:$B$201=""),0)),IFERROR(INDEX(IF($I1341="FIN",HISTORIAL_HORARIOS!$K$2:$K$201,HISTORIAL_HORARIOS!$G$2:$G$201),MATCH(1,(HISTORIAL_HORARIOS!$A$2:$A$201=$B1341)*(HISTORIAL_HORARIOS!$C$2:$C$201&lt;=$A1341)*(HISTORIAL_HORARIOS!$D$2:$D$201&gt;=$A1341),0)),INDEX(IF($I1341="FIN",PERSONAL!$K$2:$K$80,PERSONAL!$G$2:$G$80),MATCH($B1341,PERSONAL!$A$2:$A$80,0)))))</f>
        <v/>
      </c>
      <c r="O1341" s="53">
        <f t="array" ref="O1341">IFERROR(INDEX(EXCEPCIONES_FECHA!$F$2:$F$201,MATCH(1,(EXCEPCIONES_FECHA!$A$2:$A$201=$A1341)*(EXCEPCIONES_FECHA!$B$2:$B$201=$B1341),0)),IFERROR(INDEX(EXCEPCIONES_FECHA!$F$2:$F$201,MATCH(1,(EXCEPCIONES_FECHA!$A$2:$A$201=$A1341)*(EXCEPCIONES_FECHA!$B$2:$B$201=""),0)),IFERROR(INDEX(IF($I1341="FIN",HISTORIAL_HORARIOS!$L$2:$L$201,HISTORIAL_HORARIOS!$H$2:$H$201),MATCH(1,(HISTORIAL_HORARIOS!$A$2:$A$201=$B1341)*(HISTORIAL_HORARIOS!$C$2:$C$201&lt;=$A1341)*(HISTORIAL_HORARIOS!$D$2:$D$201&gt;=$A1341),0)),INDEX(IF($I1341="FIN",PERSONAL!$L$2:$L$80,PERSONAL!$H$2:$H$80),MATCH($B1341,PERSONAL!$A$2:$A$80,0)))))</f>
        <v/>
      </c>
    </row>
    <row r="1342" ht="15" customHeight="1" s="58">
      <c r="A1342" s="40" t="n"/>
      <c r="B1342" s="38" t="n"/>
      <c r="C1342" s="40" t="n"/>
      <c r="D1342" s="40" t="n"/>
      <c r="E1342" s="34">
        <f t="array" ref="E1342">IF($B1342="","",IFERROR(INDEX(PERSONAL!$B$2:$B$80,MATCH($B1342,PERSONAL!$A$2:$A$80,0)),"NO EXISTE"))</f>
        <v/>
      </c>
      <c r="F1342" s="34">
        <f t="array" ref="F1342">IF($B1342="","",IFERROR(INDEX(PERSONAL!$C$2:$C$80,MATCH($B1342,PERSONAL!$A$2:$A$80,0)),""))</f>
        <v/>
      </c>
      <c r="G1342" s="34">
        <f>IF($A1342="","",CHOOSE(WEEKDAY($A1342,2),"LUNES","MARTES","MIÉRCOLES","JUEVES","VIERNES","SÁBADO","DOMINGO"))</f>
        <v/>
      </c>
      <c r="H1342" s="34">
        <f>IF($A1342="","",CHOOSE(MONTH($A1342),"ENERO","FEBRERO","MARZO","ABRIL","MAYO","JUNIO","JULIO","AGOSTO","SEPTIEMBRE","OCTUBRE","NOVIEMBRE","DICIEMBRE"))</f>
        <v/>
      </c>
      <c r="I1342" s="34">
        <f>IF($A1342="","",IF(OR($G1342="SÁBADO",$G1342="DOMINGO"),"FIN","LV"))</f>
        <v/>
      </c>
      <c r="J1342" s="34">
        <f>IF(OR($A1342="",$B1342=""),"",IF($L1342&lt;&gt;"",UPPER($L1342),IF($C1342="","FALTA",IFERROR(IF($C1342&gt;=$O1342,"ROJO FUERTE",IF($C1342&gt;=$N1342,"ROJO",IF($C1342&gt;=$M1342,"AMARILLO","VERDE"))),"REVISAR"))))</f>
        <v/>
      </c>
      <c r="K1342" s="36">
        <f>IF(OR($C1342="",$D1342=""),"",IF($D1342&gt;=$C1342,($D1342-$C1342)*24,(1-$C1342+$D1342)*24))</f>
        <v/>
      </c>
      <c r="L1342" s="34" t="n"/>
      <c r="M1342" s="53">
        <f t="array" ref="M1342">IFERROR(INDEX(EXCEPCIONES_FECHA!$D$2:$D$201,MATCH(1,(EXCEPCIONES_FECHA!$A$2:$A$201=$A1342)*(EXCEPCIONES_FECHA!$B$2:$B$201=$B1342),0)),IFERROR(INDEX(EXCEPCIONES_FECHA!$D$2:$D$201,MATCH(1,(EXCEPCIONES_FECHA!$A$2:$A$201=$A1342)*(EXCEPCIONES_FECHA!$B$2:$B$201=""),0)),IFERROR(INDEX(IF($I1342="FIN",HISTORIAL_HORARIOS!$J$2:$J$201,HISTORIAL_HORARIOS!$F$2:$F$201),MATCH(1,(HISTORIAL_HORARIOS!$A$2:$A$201=$B1342)*(HISTORIAL_HORARIOS!$C$2:$C$201&lt;=$A1342)*(HISTORIAL_HORARIOS!$D$2:$D$201&gt;=$A1342),0)),INDEX(IF($I1342="FIN",PERSONAL!$J$2:$J$80,PERSONAL!$F$2:$F$80),MATCH($B1342,PERSONAL!$A$2:$A$80,0)))))</f>
        <v/>
      </c>
      <c r="N1342" s="53">
        <f t="array" ref="N1342">IFERROR(INDEX(EXCEPCIONES_FECHA!$E$2:$E$201,MATCH(1,(EXCEPCIONES_FECHA!$A$2:$A$201=$A1342)*(EXCEPCIONES_FECHA!$B$2:$B$201=$B1342),0)),IFERROR(INDEX(EXCEPCIONES_FECHA!$E$2:$E$201,MATCH(1,(EXCEPCIONES_FECHA!$A$2:$A$201=$A1342)*(EXCEPCIONES_FECHA!$B$2:$B$201=""),0)),IFERROR(INDEX(IF($I1342="FIN",HISTORIAL_HORARIOS!$K$2:$K$201,HISTORIAL_HORARIOS!$G$2:$G$201),MATCH(1,(HISTORIAL_HORARIOS!$A$2:$A$201=$B1342)*(HISTORIAL_HORARIOS!$C$2:$C$201&lt;=$A1342)*(HISTORIAL_HORARIOS!$D$2:$D$201&gt;=$A1342),0)),INDEX(IF($I1342="FIN",PERSONAL!$K$2:$K$80,PERSONAL!$G$2:$G$80),MATCH($B1342,PERSONAL!$A$2:$A$80,0)))))</f>
        <v/>
      </c>
      <c r="O1342" s="53">
        <f t="array" ref="O1342">IFERROR(INDEX(EXCEPCIONES_FECHA!$F$2:$F$201,MATCH(1,(EXCEPCIONES_FECHA!$A$2:$A$201=$A1342)*(EXCEPCIONES_FECHA!$B$2:$B$201=$B1342),0)),IFERROR(INDEX(EXCEPCIONES_FECHA!$F$2:$F$201,MATCH(1,(EXCEPCIONES_FECHA!$A$2:$A$201=$A1342)*(EXCEPCIONES_FECHA!$B$2:$B$201=""),0)),IFERROR(INDEX(IF($I1342="FIN",HISTORIAL_HORARIOS!$L$2:$L$201,HISTORIAL_HORARIOS!$H$2:$H$201),MATCH(1,(HISTORIAL_HORARIOS!$A$2:$A$201=$B1342)*(HISTORIAL_HORARIOS!$C$2:$C$201&lt;=$A1342)*(HISTORIAL_HORARIOS!$D$2:$D$201&gt;=$A1342),0)),INDEX(IF($I1342="FIN",PERSONAL!$L$2:$L$80,PERSONAL!$H$2:$H$80),MATCH($B1342,PERSONAL!$A$2:$A$80,0)))))</f>
        <v/>
      </c>
    </row>
    <row r="1343" ht="15" customHeight="1" s="58">
      <c r="A1343" s="40" t="n"/>
      <c r="B1343" s="38" t="n"/>
      <c r="C1343" s="40" t="n"/>
      <c r="D1343" s="40" t="n"/>
      <c r="E1343" s="34">
        <f t="array" ref="E1343">IF($B1343="","",IFERROR(INDEX(PERSONAL!$B$2:$B$80,MATCH($B1343,PERSONAL!$A$2:$A$80,0)),"NO EXISTE"))</f>
        <v/>
      </c>
      <c r="F1343" s="34">
        <f t="array" ref="F1343">IF($B1343="","",IFERROR(INDEX(PERSONAL!$C$2:$C$80,MATCH($B1343,PERSONAL!$A$2:$A$80,0)),""))</f>
        <v/>
      </c>
      <c r="G1343" s="34">
        <f>IF($A1343="","",CHOOSE(WEEKDAY($A1343,2),"LUNES","MARTES","MIÉRCOLES","JUEVES","VIERNES","SÁBADO","DOMINGO"))</f>
        <v/>
      </c>
      <c r="H1343" s="34">
        <f>IF($A1343="","",CHOOSE(MONTH($A1343),"ENERO","FEBRERO","MARZO","ABRIL","MAYO","JUNIO","JULIO","AGOSTO","SEPTIEMBRE","OCTUBRE","NOVIEMBRE","DICIEMBRE"))</f>
        <v/>
      </c>
      <c r="I1343" s="34">
        <f>IF($A1343="","",IF(OR($G1343="SÁBADO",$G1343="DOMINGO"),"FIN","LV"))</f>
        <v/>
      </c>
      <c r="J1343" s="34">
        <f>IF(OR($A1343="",$B1343=""),"",IF($L1343&lt;&gt;"",UPPER($L1343),IF($C1343="","FALTA",IFERROR(IF($C1343&gt;=$O1343,"ROJO FUERTE",IF($C1343&gt;=$N1343,"ROJO",IF($C1343&gt;=$M1343,"AMARILLO","VERDE"))),"REVISAR"))))</f>
        <v/>
      </c>
      <c r="K1343" s="36">
        <f>IF(OR($C1343="",$D1343=""),"",IF($D1343&gt;=$C1343,($D1343-$C1343)*24,(1-$C1343+$D1343)*24))</f>
        <v/>
      </c>
      <c r="L1343" s="34" t="n"/>
      <c r="M1343" s="53">
        <f t="array" ref="M1343">IFERROR(INDEX(EXCEPCIONES_FECHA!$D$2:$D$201,MATCH(1,(EXCEPCIONES_FECHA!$A$2:$A$201=$A1343)*(EXCEPCIONES_FECHA!$B$2:$B$201=$B1343),0)),IFERROR(INDEX(EXCEPCIONES_FECHA!$D$2:$D$201,MATCH(1,(EXCEPCIONES_FECHA!$A$2:$A$201=$A1343)*(EXCEPCIONES_FECHA!$B$2:$B$201=""),0)),IFERROR(INDEX(IF($I1343="FIN",HISTORIAL_HORARIOS!$J$2:$J$201,HISTORIAL_HORARIOS!$F$2:$F$201),MATCH(1,(HISTORIAL_HORARIOS!$A$2:$A$201=$B1343)*(HISTORIAL_HORARIOS!$C$2:$C$201&lt;=$A1343)*(HISTORIAL_HORARIOS!$D$2:$D$201&gt;=$A1343),0)),INDEX(IF($I1343="FIN",PERSONAL!$J$2:$J$80,PERSONAL!$F$2:$F$80),MATCH($B1343,PERSONAL!$A$2:$A$80,0)))))</f>
        <v/>
      </c>
      <c r="N1343" s="53">
        <f t="array" ref="N1343">IFERROR(INDEX(EXCEPCIONES_FECHA!$E$2:$E$201,MATCH(1,(EXCEPCIONES_FECHA!$A$2:$A$201=$A1343)*(EXCEPCIONES_FECHA!$B$2:$B$201=$B1343),0)),IFERROR(INDEX(EXCEPCIONES_FECHA!$E$2:$E$201,MATCH(1,(EXCEPCIONES_FECHA!$A$2:$A$201=$A1343)*(EXCEPCIONES_FECHA!$B$2:$B$201=""),0)),IFERROR(INDEX(IF($I1343="FIN",HISTORIAL_HORARIOS!$K$2:$K$201,HISTORIAL_HORARIOS!$G$2:$G$201),MATCH(1,(HISTORIAL_HORARIOS!$A$2:$A$201=$B1343)*(HISTORIAL_HORARIOS!$C$2:$C$201&lt;=$A1343)*(HISTORIAL_HORARIOS!$D$2:$D$201&gt;=$A1343),0)),INDEX(IF($I1343="FIN",PERSONAL!$K$2:$K$80,PERSONAL!$G$2:$G$80),MATCH($B1343,PERSONAL!$A$2:$A$80,0)))))</f>
        <v/>
      </c>
      <c r="O1343" s="53">
        <f t="array" ref="O1343">IFERROR(INDEX(EXCEPCIONES_FECHA!$F$2:$F$201,MATCH(1,(EXCEPCIONES_FECHA!$A$2:$A$201=$A1343)*(EXCEPCIONES_FECHA!$B$2:$B$201=$B1343),0)),IFERROR(INDEX(EXCEPCIONES_FECHA!$F$2:$F$201,MATCH(1,(EXCEPCIONES_FECHA!$A$2:$A$201=$A1343)*(EXCEPCIONES_FECHA!$B$2:$B$201=""),0)),IFERROR(INDEX(IF($I1343="FIN",HISTORIAL_HORARIOS!$L$2:$L$201,HISTORIAL_HORARIOS!$H$2:$H$201),MATCH(1,(HISTORIAL_HORARIOS!$A$2:$A$201=$B1343)*(HISTORIAL_HORARIOS!$C$2:$C$201&lt;=$A1343)*(HISTORIAL_HORARIOS!$D$2:$D$201&gt;=$A1343),0)),INDEX(IF($I1343="FIN",PERSONAL!$L$2:$L$80,PERSONAL!$H$2:$H$80),MATCH($B1343,PERSONAL!$A$2:$A$80,0)))))</f>
        <v/>
      </c>
    </row>
    <row r="1344" ht="15" customHeight="1" s="58">
      <c r="A1344" s="40" t="n"/>
      <c r="B1344" s="38" t="n"/>
      <c r="C1344" s="40" t="n"/>
      <c r="D1344" s="40" t="n"/>
      <c r="E1344" s="34">
        <f t="array" ref="E1344">IF($B1344="","",IFERROR(INDEX(PERSONAL!$B$2:$B$80,MATCH($B1344,PERSONAL!$A$2:$A$80,0)),"NO EXISTE"))</f>
        <v/>
      </c>
      <c r="F1344" s="34">
        <f t="array" ref="F1344">IF($B1344="","",IFERROR(INDEX(PERSONAL!$C$2:$C$80,MATCH($B1344,PERSONAL!$A$2:$A$80,0)),""))</f>
        <v/>
      </c>
      <c r="G1344" s="34">
        <f>IF($A1344="","",CHOOSE(WEEKDAY($A1344,2),"LUNES","MARTES","MIÉRCOLES","JUEVES","VIERNES","SÁBADO","DOMINGO"))</f>
        <v/>
      </c>
      <c r="H1344" s="34">
        <f>IF($A1344="","",CHOOSE(MONTH($A1344),"ENERO","FEBRERO","MARZO","ABRIL","MAYO","JUNIO","JULIO","AGOSTO","SEPTIEMBRE","OCTUBRE","NOVIEMBRE","DICIEMBRE"))</f>
        <v/>
      </c>
      <c r="I1344" s="34">
        <f>IF($A1344="","",IF(OR($G1344="SÁBADO",$G1344="DOMINGO"),"FIN","LV"))</f>
        <v/>
      </c>
      <c r="J1344" s="34">
        <f>IF(OR($A1344="",$B1344=""),"",IF($L1344&lt;&gt;"",UPPER($L1344),IF($C1344="","FALTA",IFERROR(IF($C1344&gt;=$O1344,"ROJO FUERTE",IF($C1344&gt;=$N1344,"ROJO",IF($C1344&gt;=$M1344,"AMARILLO","VERDE"))),"REVISAR"))))</f>
        <v/>
      </c>
      <c r="K1344" s="36">
        <f>IF(OR($C1344="",$D1344=""),"",IF($D1344&gt;=$C1344,($D1344-$C1344)*24,(1-$C1344+$D1344)*24))</f>
        <v/>
      </c>
      <c r="L1344" s="34" t="n"/>
      <c r="M1344" s="53">
        <f t="array" ref="M1344">IFERROR(INDEX(EXCEPCIONES_FECHA!$D$2:$D$201,MATCH(1,(EXCEPCIONES_FECHA!$A$2:$A$201=$A1344)*(EXCEPCIONES_FECHA!$B$2:$B$201=$B1344),0)),IFERROR(INDEX(EXCEPCIONES_FECHA!$D$2:$D$201,MATCH(1,(EXCEPCIONES_FECHA!$A$2:$A$201=$A1344)*(EXCEPCIONES_FECHA!$B$2:$B$201=""),0)),IFERROR(INDEX(IF($I1344="FIN",HISTORIAL_HORARIOS!$J$2:$J$201,HISTORIAL_HORARIOS!$F$2:$F$201),MATCH(1,(HISTORIAL_HORARIOS!$A$2:$A$201=$B1344)*(HISTORIAL_HORARIOS!$C$2:$C$201&lt;=$A1344)*(HISTORIAL_HORARIOS!$D$2:$D$201&gt;=$A1344),0)),INDEX(IF($I1344="FIN",PERSONAL!$J$2:$J$80,PERSONAL!$F$2:$F$80),MATCH($B1344,PERSONAL!$A$2:$A$80,0)))))</f>
        <v/>
      </c>
      <c r="N1344" s="53">
        <f t="array" ref="N1344">IFERROR(INDEX(EXCEPCIONES_FECHA!$E$2:$E$201,MATCH(1,(EXCEPCIONES_FECHA!$A$2:$A$201=$A1344)*(EXCEPCIONES_FECHA!$B$2:$B$201=$B1344),0)),IFERROR(INDEX(EXCEPCIONES_FECHA!$E$2:$E$201,MATCH(1,(EXCEPCIONES_FECHA!$A$2:$A$201=$A1344)*(EXCEPCIONES_FECHA!$B$2:$B$201=""),0)),IFERROR(INDEX(IF($I1344="FIN",HISTORIAL_HORARIOS!$K$2:$K$201,HISTORIAL_HORARIOS!$G$2:$G$201),MATCH(1,(HISTORIAL_HORARIOS!$A$2:$A$201=$B1344)*(HISTORIAL_HORARIOS!$C$2:$C$201&lt;=$A1344)*(HISTORIAL_HORARIOS!$D$2:$D$201&gt;=$A1344),0)),INDEX(IF($I1344="FIN",PERSONAL!$K$2:$K$80,PERSONAL!$G$2:$G$80),MATCH($B1344,PERSONAL!$A$2:$A$80,0)))))</f>
        <v/>
      </c>
      <c r="O1344" s="53">
        <f t="array" ref="O1344">IFERROR(INDEX(EXCEPCIONES_FECHA!$F$2:$F$201,MATCH(1,(EXCEPCIONES_FECHA!$A$2:$A$201=$A1344)*(EXCEPCIONES_FECHA!$B$2:$B$201=$B1344),0)),IFERROR(INDEX(EXCEPCIONES_FECHA!$F$2:$F$201,MATCH(1,(EXCEPCIONES_FECHA!$A$2:$A$201=$A1344)*(EXCEPCIONES_FECHA!$B$2:$B$201=""),0)),IFERROR(INDEX(IF($I1344="FIN",HISTORIAL_HORARIOS!$L$2:$L$201,HISTORIAL_HORARIOS!$H$2:$H$201),MATCH(1,(HISTORIAL_HORARIOS!$A$2:$A$201=$B1344)*(HISTORIAL_HORARIOS!$C$2:$C$201&lt;=$A1344)*(HISTORIAL_HORARIOS!$D$2:$D$201&gt;=$A1344),0)),INDEX(IF($I1344="FIN",PERSONAL!$L$2:$L$80,PERSONAL!$H$2:$H$80),MATCH($B1344,PERSONAL!$A$2:$A$80,0)))))</f>
        <v/>
      </c>
    </row>
    <row r="1345" ht="15" customHeight="1" s="58">
      <c r="A1345" s="40" t="n"/>
      <c r="B1345" s="38" t="n"/>
      <c r="C1345" s="40" t="n"/>
      <c r="D1345" s="40" t="n"/>
      <c r="E1345" s="34">
        <f t="array" ref="E1345">IF($B1345="","",IFERROR(INDEX(PERSONAL!$B$2:$B$80,MATCH($B1345,PERSONAL!$A$2:$A$80,0)),"NO EXISTE"))</f>
        <v/>
      </c>
      <c r="F1345" s="34">
        <f t="array" ref="F1345">IF($B1345="","",IFERROR(INDEX(PERSONAL!$C$2:$C$80,MATCH($B1345,PERSONAL!$A$2:$A$80,0)),""))</f>
        <v/>
      </c>
      <c r="G1345" s="34">
        <f>IF($A1345="","",CHOOSE(WEEKDAY($A1345,2),"LUNES","MARTES","MIÉRCOLES","JUEVES","VIERNES","SÁBADO","DOMINGO"))</f>
        <v/>
      </c>
      <c r="H1345" s="34">
        <f>IF($A1345="","",CHOOSE(MONTH($A1345),"ENERO","FEBRERO","MARZO","ABRIL","MAYO","JUNIO","JULIO","AGOSTO","SEPTIEMBRE","OCTUBRE","NOVIEMBRE","DICIEMBRE"))</f>
        <v/>
      </c>
      <c r="I1345" s="34">
        <f>IF($A1345="","",IF(OR($G1345="SÁBADO",$G1345="DOMINGO"),"FIN","LV"))</f>
        <v/>
      </c>
      <c r="J1345" s="34">
        <f>IF(OR($A1345="",$B1345=""),"",IF($L1345&lt;&gt;"",UPPER($L1345),IF($C1345="","FALTA",IFERROR(IF($C1345&gt;=$O1345,"ROJO FUERTE",IF($C1345&gt;=$N1345,"ROJO",IF($C1345&gt;=$M1345,"AMARILLO","VERDE"))),"REVISAR"))))</f>
        <v/>
      </c>
      <c r="K1345" s="36">
        <f>IF(OR($C1345="",$D1345=""),"",IF($D1345&gt;=$C1345,($D1345-$C1345)*24,(1-$C1345+$D1345)*24))</f>
        <v/>
      </c>
      <c r="L1345" s="34" t="n"/>
      <c r="M1345" s="53">
        <f t="array" ref="M1345">IFERROR(INDEX(EXCEPCIONES_FECHA!$D$2:$D$201,MATCH(1,(EXCEPCIONES_FECHA!$A$2:$A$201=$A1345)*(EXCEPCIONES_FECHA!$B$2:$B$201=$B1345),0)),IFERROR(INDEX(EXCEPCIONES_FECHA!$D$2:$D$201,MATCH(1,(EXCEPCIONES_FECHA!$A$2:$A$201=$A1345)*(EXCEPCIONES_FECHA!$B$2:$B$201=""),0)),IFERROR(INDEX(IF($I1345="FIN",HISTORIAL_HORARIOS!$J$2:$J$201,HISTORIAL_HORARIOS!$F$2:$F$201),MATCH(1,(HISTORIAL_HORARIOS!$A$2:$A$201=$B1345)*(HISTORIAL_HORARIOS!$C$2:$C$201&lt;=$A1345)*(HISTORIAL_HORARIOS!$D$2:$D$201&gt;=$A1345),0)),INDEX(IF($I1345="FIN",PERSONAL!$J$2:$J$80,PERSONAL!$F$2:$F$80),MATCH($B1345,PERSONAL!$A$2:$A$80,0)))))</f>
        <v/>
      </c>
      <c r="N1345" s="53">
        <f t="array" ref="N1345">IFERROR(INDEX(EXCEPCIONES_FECHA!$E$2:$E$201,MATCH(1,(EXCEPCIONES_FECHA!$A$2:$A$201=$A1345)*(EXCEPCIONES_FECHA!$B$2:$B$201=$B1345),0)),IFERROR(INDEX(EXCEPCIONES_FECHA!$E$2:$E$201,MATCH(1,(EXCEPCIONES_FECHA!$A$2:$A$201=$A1345)*(EXCEPCIONES_FECHA!$B$2:$B$201=""),0)),IFERROR(INDEX(IF($I1345="FIN",HISTORIAL_HORARIOS!$K$2:$K$201,HISTORIAL_HORARIOS!$G$2:$G$201),MATCH(1,(HISTORIAL_HORARIOS!$A$2:$A$201=$B1345)*(HISTORIAL_HORARIOS!$C$2:$C$201&lt;=$A1345)*(HISTORIAL_HORARIOS!$D$2:$D$201&gt;=$A1345),0)),INDEX(IF($I1345="FIN",PERSONAL!$K$2:$K$80,PERSONAL!$G$2:$G$80),MATCH($B1345,PERSONAL!$A$2:$A$80,0)))))</f>
        <v/>
      </c>
      <c r="O1345" s="53">
        <f t="array" ref="O1345">IFERROR(INDEX(EXCEPCIONES_FECHA!$F$2:$F$201,MATCH(1,(EXCEPCIONES_FECHA!$A$2:$A$201=$A1345)*(EXCEPCIONES_FECHA!$B$2:$B$201=$B1345),0)),IFERROR(INDEX(EXCEPCIONES_FECHA!$F$2:$F$201,MATCH(1,(EXCEPCIONES_FECHA!$A$2:$A$201=$A1345)*(EXCEPCIONES_FECHA!$B$2:$B$201=""),0)),IFERROR(INDEX(IF($I1345="FIN",HISTORIAL_HORARIOS!$L$2:$L$201,HISTORIAL_HORARIOS!$H$2:$H$201),MATCH(1,(HISTORIAL_HORARIOS!$A$2:$A$201=$B1345)*(HISTORIAL_HORARIOS!$C$2:$C$201&lt;=$A1345)*(HISTORIAL_HORARIOS!$D$2:$D$201&gt;=$A1345),0)),INDEX(IF($I1345="FIN",PERSONAL!$L$2:$L$80,PERSONAL!$H$2:$H$80),MATCH($B1345,PERSONAL!$A$2:$A$80,0)))))</f>
        <v/>
      </c>
    </row>
    <row r="1346" ht="15" customHeight="1" s="58">
      <c r="A1346" s="40" t="n"/>
      <c r="B1346" s="38" t="n"/>
      <c r="C1346" s="40" t="n"/>
      <c r="D1346" s="40" t="n"/>
      <c r="E1346" s="34">
        <f t="array" ref="E1346">IF($B1346="","",IFERROR(INDEX(PERSONAL!$B$2:$B$80,MATCH($B1346,PERSONAL!$A$2:$A$80,0)),"NO EXISTE"))</f>
        <v/>
      </c>
      <c r="F1346" s="34">
        <f t="array" ref="F1346">IF($B1346="","",IFERROR(INDEX(PERSONAL!$C$2:$C$80,MATCH($B1346,PERSONAL!$A$2:$A$80,0)),""))</f>
        <v/>
      </c>
      <c r="G1346" s="34">
        <f>IF($A1346="","",CHOOSE(WEEKDAY($A1346,2),"LUNES","MARTES","MIÉRCOLES","JUEVES","VIERNES","SÁBADO","DOMINGO"))</f>
        <v/>
      </c>
      <c r="H1346" s="34">
        <f>IF($A1346="","",CHOOSE(MONTH($A1346),"ENERO","FEBRERO","MARZO","ABRIL","MAYO","JUNIO","JULIO","AGOSTO","SEPTIEMBRE","OCTUBRE","NOVIEMBRE","DICIEMBRE"))</f>
        <v/>
      </c>
      <c r="I1346" s="34">
        <f>IF($A1346="","",IF(OR($G1346="SÁBADO",$G1346="DOMINGO"),"FIN","LV"))</f>
        <v/>
      </c>
      <c r="J1346" s="34">
        <f>IF(OR($A1346="",$B1346=""),"",IF($L1346&lt;&gt;"",UPPER($L1346),IF($C1346="","FALTA",IFERROR(IF($C1346&gt;=$O1346,"ROJO FUERTE",IF($C1346&gt;=$N1346,"ROJO",IF($C1346&gt;=$M1346,"AMARILLO","VERDE"))),"REVISAR"))))</f>
        <v/>
      </c>
      <c r="K1346" s="36">
        <f>IF(OR($C1346="",$D1346=""),"",IF($D1346&gt;=$C1346,($D1346-$C1346)*24,(1-$C1346+$D1346)*24))</f>
        <v/>
      </c>
      <c r="L1346" s="34" t="n"/>
      <c r="M1346" s="53">
        <f t="array" ref="M1346">IFERROR(INDEX(EXCEPCIONES_FECHA!$D$2:$D$201,MATCH(1,(EXCEPCIONES_FECHA!$A$2:$A$201=$A1346)*(EXCEPCIONES_FECHA!$B$2:$B$201=$B1346),0)),IFERROR(INDEX(EXCEPCIONES_FECHA!$D$2:$D$201,MATCH(1,(EXCEPCIONES_FECHA!$A$2:$A$201=$A1346)*(EXCEPCIONES_FECHA!$B$2:$B$201=""),0)),IFERROR(INDEX(IF($I1346="FIN",HISTORIAL_HORARIOS!$J$2:$J$201,HISTORIAL_HORARIOS!$F$2:$F$201),MATCH(1,(HISTORIAL_HORARIOS!$A$2:$A$201=$B1346)*(HISTORIAL_HORARIOS!$C$2:$C$201&lt;=$A1346)*(HISTORIAL_HORARIOS!$D$2:$D$201&gt;=$A1346),0)),INDEX(IF($I1346="FIN",PERSONAL!$J$2:$J$80,PERSONAL!$F$2:$F$80),MATCH($B1346,PERSONAL!$A$2:$A$80,0)))))</f>
        <v/>
      </c>
      <c r="N1346" s="53">
        <f t="array" ref="N1346">IFERROR(INDEX(EXCEPCIONES_FECHA!$E$2:$E$201,MATCH(1,(EXCEPCIONES_FECHA!$A$2:$A$201=$A1346)*(EXCEPCIONES_FECHA!$B$2:$B$201=$B1346),0)),IFERROR(INDEX(EXCEPCIONES_FECHA!$E$2:$E$201,MATCH(1,(EXCEPCIONES_FECHA!$A$2:$A$201=$A1346)*(EXCEPCIONES_FECHA!$B$2:$B$201=""),0)),IFERROR(INDEX(IF($I1346="FIN",HISTORIAL_HORARIOS!$K$2:$K$201,HISTORIAL_HORARIOS!$G$2:$G$201),MATCH(1,(HISTORIAL_HORARIOS!$A$2:$A$201=$B1346)*(HISTORIAL_HORARIOS!$C$2:$C$201&lt;=$A1346)*(HISTORIAL_HORARIOS!$D$2:$D$201&gt;=$A1346),0)),INDEX(IF($I1346="FIN",PERSONAL!$K$2:$K$80,PERSONAL!$G$2:$G$80),MATCH($B1346,PERSONAL!$A$2:$A$80,0)))))</f>
        <v/>
      </c>
      <c r="O1346" s="53">
        <f t="array" ref="O1346">IFERROR(INDEX(EXCEPCIONES_FECHA!$F$2:$F$201,MATCH(1,(EXCEPCIONES_FECHA!$A$2:$A$201=$A1346)*(EXCEPCIONES_FECHA!$B$2:$B$201=$B1346),0)),IFERROR(INDEX(EXCEPCIONES_FECHA!$F$2:$F$201,MATCH(1,(EXCEPCIONES_FECHA!$A$2:$A$201=$A1346)*(EXCEPCIONES_FECHA!$B$2:$B$201=""),0)),IFERROR(INDEX(IF($I1346="FIN",HISTORIAL_HORARIOS!$L$2:$L$201,HISTORIAL_HORARIOS!$H$2:$H$201),MATCH(1,(HISTORIAL_HORARIOS!$A$2:$A$201=$B1346)*(HISTORIAL_HORARIOS!$C$2:$C$201&lt;=$A1346)*(HISTORIAL_HORARIOS!$D$2:$D$201&gt;=$A1346),0)),INDEX(IF($I1346="FIN",PERSONAL!$L$2:$L$80,PERSONAL!$H$2:$H$80),MATCH($B1346,PERSONAL!$A$2:$A$80,0)))))</f>
        <v/>
      </c>
    </row>
    <row r="1347" ht="15" customHeight="1" s="58">
      <c r="A1347" s="40" t="n"/>
      <c r="B1347" s="38" t="n"/>
      <c r="C1347" s="40" t="n"/>
      <c r="D1347" s="40" t="n"/>
      <c r="E1347" s="34">
        <f t="array" ref="E1347">IF($B1347="","",IFERROR(INDEX(PERSONAL!$B$2:$B$80,MATCH($B1347,PERSONAL!$A$2:$A$80,0)),"NO EXISTE"))</f>
        <v/>
      </c>
      <c r="F1347" s="34">
        <f t="array" ref="F1347">IF($B1347="","",IFERROR(INDEX(PERSONAL!$C$2:$C$80,MATCH($B1347,PERSONAL!$A$2:$A$80,0)),""))</f>
        <v/>
      </c>
      <c r="G1347" s="34">
        <f>IF($A1347="","",CHOOSE(WEEKDAY($A1347,2),"LUNES","MARTES","MIÉRCOLES","JUEVES","VIERNES","SÁBADO","DOMINGO"))</f>
        <v/>
      </c>
      <c r="H1347" s="34">
        <f>IF($A1347="","",CHOOSE(MONTH($A1347),"ENERO","FEBRERO","MARZO","ABRIL","MAYO","JUNIO","JULIO","AGOSTO","SEPTIEMBRE","OCTUBRE","NOVIEMBRE","DICIEMBRE"))</f>
        <v/>
      </c>
      <c r="I1347" s="34">
        <f>IF($A1347="","",IF(OR($G1347="SÁBADO",$G1347="DOMINGO"),"FIN","LV"))</f>
        <v/>
      </c>
      <c r="J1347" s="34">
        <f>IF(OR($A1347="",$B1347=""),"",IF($L1347&lt;&gt;"",UPPER($L1347),IF($C1347="","FALTA",IFERROR(IF($C1347&gt;=$O1347,"ROJO FUERTE",IF($C1347&gt;=$N1347,"ROJO",IF($C1347&gt;=$M1347,"AMARILLO","VERDE"))),"REVISAR"))))</f>
        <v/>
      </c>
      <c r="K1347" s="36">
        <f>IF(OR($C1347="",$D1347=""),"",IF($D1347&gt;=$C1347,($D1347-$C1347)*24,(1-$C1347+$D1347)*24))</f>
        <v/>
      </c>
      <c r="L1347" s="34" t="n"/>
      <c r="M1347" s="53">
        <f t="array" ref="M1347">IFERROR(INDEX(EXCEPCIONES_FECHA!$D$2:$D$201,MATCH(1,(EXCEPCIONES_FECHA!$A$2:$A$201=$A1347)*(EXCEPCIONES_FECHA!$B$2:$B$201=$B1347),0)),IFERROR(INDEX(EXCEPCIONES_FECHA!$D$2:$D$201,MATCH(1,(EXCEPCIONES_FECHA!$A$2:$A$201=$A1347)*(EXCEPCIONES_FECHA!$B$2:$B$201=""),0)),IFERROR(INDEX(IF($I1347="FIN",HISTORIAL_HORARIOS!$J$2:$J$201,HISTORIAL_HORARIOS!$F$2:$F$201),MATCH(1,(HISTORIAL_HORARIOS!$A$2:$A$201=$B1347)*(HISTORIAL_HORARIOS!$C$2:$C$201&lt;=$A1347)*(HISTORIAL_HORARIOS!$D$2:$D$201&gt;=$A1347),0)),INDEX(IF($I1347="FIN",PERSONAL!$J$2:$J$80,PERSONAL!$F$2:$F$80),MATCH($B1347,PERSONAL!$A$2:$A$80,0)))))</f>
        <v/>
      </c>
      <c r="N1347" s="53">
        <f t="array" ref="N1347">IFERROR(INDEX(EXCEPCIONES_FECHA!$E$2:$E$201,MATCH(1,(EXCEPCIONES_FECHA!$A$2:$A$201=$A1347)*(EXCEPCIONES_FECHA!$B$2:$B$201=$B1347),0)),IFERROR(INDEX(EXCEPCIONES_FECHA!$E$2:$E$201,MATCH(1,(EXCEPCIONES_FECHA!$A$2:$A$201=$A1347)*(EXCEPCIONES_FECHA!$B$2:$B$201=""),0)),IFERROR(INDEX(IF($I1347="FIN",HISTORIAL_HORARIOS!$K$2:$K$201,HISTORIAL_HORARIOS!$G$2:$G$201),MATCH(1,(HISTORIAL_HORARIOS!$A$2:$A$201=$B1347)*(HISTORIAL_HORARIOS!$C$2:$C$201&lt;=$A1347)*(HISTORIAL_HORARIOS!$D$2:$D$201&gt;=$A1347),0)),INDEX(IF($I1347="FIN",PERSONAL!$K$2:$K$80,PERSONAL!$G$2:$G$80),MATCH($B1347,PERSONAL!$A$2:$A$80,0)))))</f>
        <v/>
      </c>
      <c r="O1347" s="53">
        <f t="array" ref="O1347">IFERROR(INDEX(EXCEPCIONES_FECHA!$F$2:$F$201,MATCH(1,(EXCEPCIONES_FECHA!$A$2:$A$201=$A1347)*(EXCEPCIONES_FECHA!$B$2:$B$201=$B1347),0)),IFERROR(INDEX(EXCEPCIONES_FECHA!$F$2:$F$201,MATCH(1,(EXCEPCIONES_FECHA!$A$2:$A$201=$A1347)*(EXCEPCIONES_FECHA!$B$2:$B$201=""),0)),IFERROR(INDEX(IF($I1347="FIN",HISTORIAL_HORARIOS!$L$2:$L$201,HISTORIAL_HORARIOS!$H$2:$H$201),MATCH(1,(HISTORIAL_HORARIOS!$A$2:$A$201=$B1347)*(HISTORIAL_HORARIOS!$C$2:$C$201&lt;=$A1347)*(HISTORIAL_HORARIOS!$D$2:$D$201&gt;=$A1347),0)),INDEX(IF($I1347="FIN",PERSONAL!$L$2:$L$80,PERSONAL!$H$2:$H$80),MATCH($B1347,PERSONAL!$A$2:$A$80,0)))))</f>
        <v/>
      </c>
    </row>
    <row r="1348" ht="15" customHeight="1" s="58">
      <c r="A1348" s="40" t="n"/>
      <c r="B1348" s="38" t="n"/>
      <c r="C1348" s="40" t="n"/>
      <c r="D1348" s="40" t="n"/>
      <c r="E1348" s="34">
        <f t="array" ref="E1348">IF($B1348="","",IFERROR(INDEX(PERSONAL!$B$2:$B$80,MATCH($B1348,PERSONAL!$A$2:$A$80,0)),"NO EXISTE"))</f>
        <v/>
      </c>
      <c r="F1348" s="34">
        <f t="array" ref="F1348">IF($B1348="","",IFERROR(INDEX(PERSONAL!$C$2:$C$80,MATCH($B1348,PERSONAL!$A$2:$A$80,0)),""))</f>
        <v/>
      </c>
      <c r="G1348" s="34">
        <f>IF($A1348="","",CHOOSE(WEEKDAY($A1348,2),"LUNES","MARTES","MIÉRCOLES","JUEVES","VIERNES","SÁBADO","DOMINGO"))</f>
        <v/>
      </c>
      <c r="H1348" s="34">
        <f>IF($A1348="","",CHOOSE(MONTH($A1348),"ENERO","FEBRERO","MARZO","ABRIL","MAYO","JUNIO","JULIO","AGOSTO","SEPTIEMBRE","OCTUBRE","NOVIEMBRE","DICIEMBRE"))</f>
        <v/>
      </c>
      <c r="I1348" s="34">
        <f>IF($A1348="","",IF(OR($G1348="SÁBADO",$G1348="DOMINGO"),"FIN","LV"))</f>
        <v/>
      </c>
      <c r="J1348" s="34">
        <f>IF(OR($A1348="",$B1348=""),"",IF($L1348&lt;&gt;"",UPPER($L1348),IF($C1348="","FALTA",IFERROR(IF($C1348&gt;=$O1348,"ROJO FUERTE",IF($C1348&gt;=$N1348,"ROJO",IF($C1348&gt;=$M1348,"AMARILLO","VERDE"))),"REVISAR"))))</f>
        <v/>
      </c>
      <c r="K1348" s="36">
        <f>IF(OR($C1348="",$D1348=""),"",IF($D1348&gt;=$C1348,($D1348-$C1348)*24,(1-$C1348+$D1348)*24))</f>
        <v/>
      </c>
      <c r="L1348" s="34" t="n"/>
      <c r="M1348" s="53">
        <f t="array" ref="M1348">IFERROR(INDEX(EXCEPCIONES_FECHA!$D$2:$D$201,MATCH(1,(EXCEPCIONES_FECHA!$A$2:$A$201=$A1348)*(EXCEPCIONES_FECHA!$B$2:$B$201=$B1348),0)),IFERROR(INDEX(EXCEPCIONES_FECHA!$D$2:$D$201,MATCH(1,(EXCEPCIONES_FECHA!$A$2:$A$201=$A1348)*(EXCEPCIONES_FECHA!$B$2:$B$201=""),0)),IFERROR(INDEX(IF($I1348="FIN",HISTORIAL_HORARIOS!$J$2:$J$201,HISTORIAL_HORARIOS!$F$2:$F$201),MATCH(1,(HISTORIAL_HORARIOS!$A$2:$A$201=$B1348)*(HISTORIAL_HORARIOS!$C$2:$C$201&lt;=$A1348)*(HISTORIAL_HORARIOS!$D$2:$D$201&gt;=$A1348),0)),INDEX(IF($I1348="FIN",PERSONAL!$J$2:$J$80,PERSONAL!$F$2:$F$80),MATCH($B1348,PERSONAL!$A$2:$A$80,0)))))</f>
        <v/>
      </c>
      <c r="N1348" s="53">
        <f t="array" ref="N1348">IFERROR(INDEX(EXCEPCIONES_FECHA!$E$2:$E$201,MATCH(1,(EXCEPCIONES_FECHA!$A$2:$A$201=$A1348)*(EXCEPCIONES_FECHA!$B$2:$B$201=$B1348),0)),IFERROR(INDEX(EXCEPCIONES_FECHA!$E$2:$E$201,MATCH(1,(EXCEPCIONES_FECHA!$A$2:$A$201=$A1348)*(EXCEPCIONES_FECHA!$B$2:$B$201=""),0)),IFERROR(INDEX(IF($I1348="FIN",HISTORIAL_HORARIOS!$K$2:$K$201,HISTORIAL_HORARIOS!$G$2:$G$201),MATCH(1,(HISTORIAL_HORARIOS!$A$2:$A$201=$B1348)*(HISTORIAL_HORARIOS!$C$2:$C$201&lt;=$A1348)*(HISTORIAL_HORARIOS!$D$2:$D$201&gt;=$A1348),0)),INDEX(IF($I1348="FIN",PERSONAL!$K$2:$K$80,PERSONAL!$G$2:$G$80),MATCH($B1348,PERSONAL!$A$2:$A$80,0)))))</f>
        <v/>
      </c>
      <c r="O1348" s="53">
        <f t="array" ref="O1348">IFERROR(INDEX(EXCEPCIONES_FECHA!$F$2:$F$201,MATCH(1,(EXCEPCIONES_FECHA!$A$2:$A$201=$A1348)*(EXCEPCIONES_FECHA!$B$2:$B$201=$B1348),0)),IFERROR(INDEX(EXCEPCIONES_FECHA!$F$2:$F$201,MATCH(1,(EXCEPCIONES_FECHA!$A$2:$A$201=$A1348)*(EXCEPCIONES_FECHA!$B$2:$B$201=""),0)),IFERROR(INDEX(IF($I1348="FIN",HISTORIAL_HORARIOS!$L$2:$L$201,HISTORIAL_HORARIOS!$H$2:$H$201),MATCH(1,(HISTORIAL_HORARIOS!$A$2:$A$201=$B1348)*(HISTORIAL_HORARIOS!$C$2:$C$201&lt;=$A1348)*(HISTORIAL_HORARIOS!$D$2:$D$201&gt;=$A1348),0)),INDEX(IF($I1348="FIN",PERSONAL!$L$2:$L$80,PERSONAL!$H$2:$H$80),MATCH($B1348,PERSONAL!$A$2:$A$80,0)))))</f>
        <v/>
      </c>
    </row>
    <row r="1349" ht="15" customHeight="1" s="58">
      <c r="A1349" s="40" t="n"/>
      <c r="B1349" s="38" t="n"/>
      <c r="C1349" s="40" t="n"/>
      <c r="D1349" s="40" t="n"/>
      <c r="E1349" s="34">
        <f t="array" ref="E1349">IF($B1349="","",IFERROR(INDEX(PERSONAL!$B$2:$B$80,MATCH($B1349,PERSONAL!$A$2:$A$80,0)),"NO EXISTE"))</f>
        <v/>
      </c>
      <c r="F1349" s="34">
        <f t="array" ref="F1349">IF($B1349="","",IFERROR(INDEX(PERSONAL!$C$2:$C$80,MATCH($B1349,PERSONAL!$A$2:$A$80,0)),""))</f>
        <v/>
      </c>
      <c r="G1349" s="34">
        <f>IF($A1349="","",CHOOSE(WEEKDAY($A1349,2),"LUNES","MARTES","MIÉRCOLES","JUEVES","VIERNES","SÁBADO","DOMINGO"))</f>
        <v/>
      </c>
      <c r="H1349" s="34">
        <f>IF($A1349="","",CHOOSE(MONTH($A1349),"ENERO","FEBRERO","MARZO","ABRIL","MAYO","JUNIO","JULIO","AGOSTO","SEPTIEMBRE","OCTUBRE","NOVIEMBRE","DICIEMBRE"))</f>
        <v/>
      </c>
      <c r="I1349" s="34">
        <f>IF($A1349="","",IF(OR($G1349="SÁBADO",$G1349="DOMINGO"),"FIN","LV"))</f>
        <v/>
      </c>
      <c r="J1349" s="34">
        <f>IF(OR($A1349="",$B1349=""),"",IF($L1349&lt;&gt;"",UPPER($L1349),IF($C1349="","FALTA",IFERROR(IF($C1349&gt;=$O1349,"ROJO FUERTE",IF($C1349&gt;=$N1349,"ROJO",IF($C1349&gt;=$M1349,"AMARILLO","VERDE"))),"REVISAR"))))</f>
        <v/>
      </c>
      <c r="K1349" s="36">
        <f>IF(OR($C1349="",$D1349=""),"",IF($D1349&gt;=$C1349,($D1349-$C1349)*24,(1-$C1349+$D1349)*24))</f>
        <v/>
      </c>
      <c r="L1349" s="34" t="n"/>
      <c r="M1349" s="53">
        <f t="array" ref="M1349">IFERROR(INDEX(EXCEPCIONES_FECHA!$D$2:$D$201,MATCH(1,(EXCEPCIONES_FECHA!$A$2:$A$201=$A1349)*(EXCEPCIONES_FECHA!$B$2:$B$201=$B1349),0)),IFERROR(INDEX(EXCEPCIONES_FECHA!$D$2:$D$201,MATCH(1,(EXCEPCIONES_FECHA!$A$2:$A$201=$A1349)*(EXCEPCIONES_FECHA!$B$2:$B$201=""),0)),IFERROR(INDEX(IF($I1349="FIN",HISTORIAL_HORARIOS!$J$2:$J$201,HISTORIAL_HORARIOS!$F$2:$F$201),MATCH(1,(HISTORIAL_HORARIOS!$A$2:$A$201=$B1349)*(HISTORIAL_HORARIOS!$C$2:$C$201&lt;=$A1349)*(HISTORIAL_HORARIOS!$D$2:$D$201&gt;=$A1349),0)),INDEX(IF($I1349="FIN",PERSONAL!$J$2:$J$80,PERSONAL!$F$2:$F$80),MATCH($B1349,PERSONAL!$A$2:$A$80,0)))))</f>
        <v/>
      </c>
      <c r="N1349" s="53">
        <f t="array" ref="N1349">IFERROR(INDEX(EXCEPCIONES_FECHA!$E$2:$E$201,MATCH(1,(EXCEPCIONES_FECHA!$A$2:$A$201=$A1349)*(EXCEPCIONES_FECHA!$B$2:$B$201=$B1349),0)),IFERROR(INDEX(EXCEPCIONES_FECHA!$E$2:$E$201,MATCH(1,(EXCEPCIONES_FECHA!$A$2:$A$201=$A1349)*(EXCEPCIONES_FECHA!$B$2:$B$201=""),0)),IFERROR(INDEX(IF($I1349="FIN",HISTORIAL_HORARIOS!$K$2:$K$201,HISTORIAL_HORARIOS!$G$2:$G$201),MATCH(1,(HISTORIAL_HORARIOS!$A$2:$A$201=$B1349)*(HISTORIAL_HORARIOS!$C$2:$C$201&lt;=$A1349)*(HISTORIAL_HORARIOS!$D$2:$D$201&gt;=$A1349),0)),INDEX(IF($I1349="FIN",PERSONAL!$K$2:$K$80,PERSONAL!$G$2:$G$80),MATCH($B1349,PERSONAL!$A$2:$A$80,0)))))</f>
        <v/>
      </c>
      <c r="O1349" s="53">
        <f t="array" ref="O1349">IFERROR(INDEX(EXCEPCIONES_FECHA!$F$2:$F$201,MATCH(1,(EXCEPCIONES_FECHA!$A$2:$A$201=$A1349)*(EXCEPCIONES_FECHA!$B$2:$B$201=$B1349),0)),IFERROR(INDEX(EXCEPCIONES_FECHA!$F$2:$F$201,MATCH(1,(EXCEPCIONES_FECHA!$A$2:$A$201=$A1349)*(EXCEPCIONES_FECHA!$B$2:$B$201=""),0)),IFERROR(INDEX(IF($I1349="FIN",HISTORIAL_HORARIOS!$L$2:$L$201,HISTORIAL_HORARIOS!$H$2:$H$201),MATCH(1,(HISTORIAL_HORARIOS!$A$2:$A$201=$B1349)*(HISTORIAL_HORARIOS!$C$2:$C$201&lt;=$A1349)*(HISTORIAL_HORARIOS!$D$2:$D$201&gt;=$A1349),0)),INDEX(IF($I1349="FIN",PERSONAL!$L$2:$L$80,PERSONAL!$H$2:$H$80),MATCH($B1349,PERSONAL!$A$2:$A$80,0)))))</f>
        <v/>
      </c>
    </row>
    <row r="1350" ht="15" customHeight="1" s="58">
      <c r="A1350" s="40" t="n"/>
      <c r="B1350" s="38" t="n"/>
      <c r="C1350" s="40" t="n"/>
      <c r="D1350" s="40" t="n"/>
      <c r="E1350" s="34">
        <f t="array" ref="E1350">IF($B1350="","",IFERROR(INDEX(PERSONAL!$B$2:$B$80,MATCH($B1350,PERSONAL!$A$2:$A$80,0)),"NO EXISTE"))</f>
        <v/>
      </c>
      <c r="F1350" s="34">
        <f t="array" ref="F1350">IF($B1350="","",IFERROR(INDEX(PERSONAL!$C$2:$C$80,MATCH($B1350,PERSONAL!$A$2:$A$80,0)),""))</f>
        <v/>
      </c>
      <c r="G1350" s="34">
        <f>IF($A1350="","",CHOOSE(WEEKDAY($A1350,2),"LUNES","MARTES","MIÉRCOLES","JUEVES","VIERNES","SÁBADO","DOMINGO"))</f>
        <v/>
      </c>
      <c r="H1350" s="34">
        <f>IF($A1350="","",CHOOSE(MONTH($A1350),"ENERO","FEBRERO","MARZO","ABRIL","MAYO","JUNIO","JULIO","AGOSTO","SEPTIEMBRE","OCTUBRE","NOVIEMBRE","DICIEMBRE"))</f>
        <v/>
      </c>
      <c r="I1350" s="34">
        <f>IF($A1350="","",IF(OR($G1350="SÁBADO",$G1350="DOMINGO"),"FIN","LV"))</f>
        <v/>
      </c>
      <c r="J1350" s="34">
        <f>IF(OR($A1350="",$B1350=""),"",IF($L1350&lt;&gt;"",UPPER($L1350),IF($C1350="","FALTA",IFERROR(IF($C1350&gt;=$O1350,"ROJO FUERTE",IF($C1350&gt;=$N1350,"ROJO",IF($C1350&gt;=$M1350,"AMARILLO","VERDE"))),"REVISAR"))))</f>
        <v/>
      </c>
      <c r="K1350" s="36">
        <f>IF(OR($C1350="",$D1350=""),"",IF($D1350&gt;=$C1350,($D1350-$C1350)*24,(1-$C1350+$D1350)*24))</f>
        <v/>
      </c>
      <c r="L1350" s="34" t="n"/>
      <c r="M1350" s="53">
        <f t="array" ref="M1350">IFERROR(INDEX(EXCEPCIONES_FECHA!$D$2:$D$201,MATCH(1,(EXCEPCIONES_FECHA!$A$2:$A$201=$A1350)*(EXCEPCIONES_FECHA!$B$2:$B$201=$B1350),0)),IFERROR(INDEX(EXCEPCIONES_FECHA!$D$2:$D$201,MATCH(1,(EXCEPCIONES_FECHA!$A$2:$A$201=$A1350)*(EXCEPCIONES_FECHA!$B$2:$B$201=""),0)),IFERROR(INDEX(IF($I1350="FIN",HISTORIAL_HORARIOS!$J$2:$J$201,HISTORIAL_HORARIOS!$F$2:$F$201),MATCH(1,(HISTORIAL_HORARIOS!$A$2:$A$201=$B1350)*(HISTORIAL_HORARIOS!$C$2:$C$201&lt;=$A1350)*(HISTORIAL_HORARIOS!$D$2:$D$201&gt;=$A1350),0)),INDEX(IF($I1350="FIN",PERSONAL!$J$2:$J$80,PERSONAL!$F$2:$F$80),MATCH($B1350,PERSONAL!$A$2:$A$80,0)))))</f>
        <v/>
      </c>
      <c r="N1350" s="53">
        <f t="array" ref="N1350">IFERROR(INDEX(EXCEPCIONES_FECHA!$E$2:$E$201,MATCH(1,(EXCEPCIONES_FECHA!$A$2:$A$201=$A1350)*(EXCEPCIONES_FECHA!$B$2:$B$201=$B1350),0)),IFERROR(INDEX(EXCEPCIONES_FECHA!$E$2:$E$201,MATCH(1,(EXCEPCIONES_FECHA!$A$2:$A$201=$A1350)*(EXCEPCIONES_FECHA!$B$2:$B$201=""),0)),IFERROR(INDEX(IF($I1350="FIN",HISTORIAL_HORARIOS!$K$2:$K$201,HISTORIAL_HORARIOS!$G$2:$G$201),MATCH(1,(HISTORIAL_HORARIOS!$A$2:$A$201=$B1350)*(HISTORIAL_HORARIOS!$C$2:$C$201&lt;=$A1350)*(HISTORIAL_HORARIOS!$D$2:$D$201&gt;=$A1350),0)),INDEX(IF($I1350="FIN",PERSONAL!$K$2:$K$80,PERSONAL!$G$2:$G$80),MATCH($B1350,PERSONAL!$A$2:$A$80,0)))))</f>
        <v/>
      </c>
      <c r="O1350" s="53">
        <f t="array" ref="O1350">IFERROR(INDEX(EXCEPCIONES_FECHA!$F$2:$F$201,MATCH(1,(EXCEPCIONES_FECHA!$A$2:$A$201=$A1350)*(EXCEPCIONES_FECHA!$B$2:$B$201=$B1350),0)),IFERROR(INDEX(EXCEPCIONES_FECHA!$F$2:$F$201,MATCH(1,(EXCEPCIONES_FECHA!$A$2:$A$201=$A1350)*(EXCEPCIONES_FECHA!$B$2:$B$201=""),0)),IFERROR(INDEX(IF($I1350="FIN",HISTORIAL_HORARIOS!$L$2:$L$201,HISTORIAL_HORARIOS!$H$2:$H$201),MATCH(1,(HISTORIAL_HORARIOS!$A$2:$A$201=$B1350)*(HISTORIAL_HORARIOS!$C$2:$C$201&lt;=$A1350)*(HISTORIAL_HORARIOS!$D$2:$D$201&gt;=$A1350),0)),INDEX(IF($I1350="FIN",PERSONAL!$L$2:$L$80,PERSONAL!$H$2:$H$80),MATCH($B1350,PERSONAL!$A$2:$A$80,0)))))</f>
        <v/>
      </c>
    </row>
    <row r="1351" ht="15" customHeight="1" s="58">
      <c r="A1351" s="40" t="n"/>
      <c r="B1351" s="38" t="n"/>
      <c r="C1351" s="40" t="n"/>
      <c r="D1351" s="40" t="n"/>
      <c r="E1351" s="34">
        <f t="array" ref="E1351">IF($B1351="","",IFERROR(INDEX(PERSONAL!$B$2:$B$80,MATCH($B1351,PERSONAL!$A$2:$A$80,0)),"NO EXISTE"))</f>
        <v/>
      </c>
      <c r="F1351" s="34">
        <f t="array" ref="F1351">IF($B1351="","",IFERROR(INDEX(PERSONAL!$C$2:$C$80,MATCH($B1351,PERSONAL!$A$2:$A$80,0)),""))</f>
        <v/>
      </c>
      <c r="G1351" s="34">
        <f>IF($A1351="","",CHOOSE(WEEKDAY($A1351,2),"LUNES","MARTES","MIÉRCOLES","JUEVES","VIERNES","SÁBADO","DOMINGO"))</f>
        <v/>
      </c>
      <c r="H1351" s="34">
        <f>IF($A1351="","",CHOOSE(MONTH($A1351),"ENERO","FEBRERO","MARZO","ABRIL","MAYO","JUNIO","JULIO","AGOSTO","SEPTIEMBRE","OCTUBRE","NOVIEMBRE","DICIEMBRE"))</f>
        <v/>
      </c>
      <c r="I1351" s="34">
        <f>IF($A1351="","",IF(OR($G1351="SÁBADO",$G1351="DOMINGO"),"FIN","LV"))</f>
        <v/>
      </c>
      <c r="J1351" s="34">
        <f>IF(OR($A1351="",$B1351=""),"",IF($L1351&lt;&gt;"",UPPER($L1351),IF($C1351="","FALTA",IFERROR(IF($C1351&gt;=$O1351,"ROJO FUERTE",IF($C1351&gt;=$N1351,"ROJO",IF($C1351&gt;=$M1351,"AMARILLO","VERDE"))),"REVISAR"))))</f>
        <v/>
      </c>
      <c r="K1351" s="36">
        <f>IF(OR($C1351="",$D1351=""),"",IF($D1351&gt;=$C1351,($D1351-$C1351)*24,(1-$C1351+$D1351)*24))</f>
        <v/>
      </c>
      <c r="L1351" s="34" t="n"/>
      <c r="M1351" s="53">
        <f t="array" ref="M1351">IFERROR(INDEX(EXCEPCIONES_FECHA!$D$2:$D$201,MATCH(1,(EXCEPCIONES_FECHA!$A$2:$A$201=$A1351)*(EXCEPCIONES_FECHA!$B$2:$B$201=$B1351),0)),IFERROR(INDEX(EXCEPCIONES_FECHA!$D$2:$D$201,MATCH(1,(EXCEPCIONES_FECHA!$A$2:$A$201=$A1351)*(EXCEPCIONES_FECHA!$B$2:$B$201=""),0)),IFERROR(INDEX(IF($I1351="FIN",HISTORIAL_HORARIOS!$J$2:$J$201,HISTORIAL_HORARIOS!$F$2:$F$201),MATCH(1,(HISTORIAL_HORARIOS!$A$2:$A$201=$B1351)*(HISTORIAL_HORARIOS!$C$2:$C$201&lt;=$A1351)*(HISTORIAL_HORARIOS!$D$2:$D$201&gt;=$A1351),0)),INDEX(IF($I1351="FIN",PERSONAL!$J$2:$J$80,PERSONAL!$F$2:$F$80),MATCH($B1351,PERSONAL!$A$2:$A$80,0)))))</f>
        <v/>
      </c>
      <c r="N1351" s="53">
        <f t="array" ref="N1351">IFERROR(INDEX(EXCEPCIONES_FECHA!$E$2:$E$201,MATCH(1,(EXCEPCIONES_FECHA!$A$2:$A$201=$A1351)*(EXCEPCIONES_FECHA!$B$2:$B$201=$B1351),0)),IFERROR(INDEX(EXCEPCIONES_FECHA!$E$2:$E$201,MATCH(1,(EXCEPCIONES_FECHA!$A$2:$A$201=$A1351)*(EXCEPCIONES_FECHA!$B$2:$B$201=""),0)),IFERROR(INDEX(IF($I1351="FIN",HISTORIAL_HORARIOS!$K$2:$K$201,HISTORIAL_HORARIOS!$G$2:$G$201),MATCH(1,(HISTORIAL_HORARIOS!$A$2:$A$201=$B1351)*(HISTORIAL_HORARIOS!$C$2:$C$201&lt;=$A1351)*(HISTORIAL_HORARIOS!$D$2:$D$201&gt;=$A1351),0)),INDEX(IF($I1351="FIN",PERSONAL!$K$2:$K$80,PERSONAL!$G$2:$G$80),MATCH($B1351,PERSONAL!$A$2:$A$80,0)))))</f>
        <v/>
      </c>
      <c r="O1351" s="53">
        <f t="array" ref="O1351">IFERROR(INDEX(EXCEPCIONES_FECHA!$F$2:$F$201,MATCH(1,(EXCEPCIONES_FECHA!$A$2:$A$201=$A1351)*(EXCEPCIONES_FECHA!$B$2:$B$201=$B1351),0)),IFERROR(INDEX(EXCEPCIONES_FECHA!$F$2:$F$201,MATCH(1,(EXCEPCIONES_FECHA!$A$2:$A$201=$A1351)*(EXCEPCIONES_FECHA!$B$2:$B$201=""),0)),IFERROR(INDEX(IF($I1351="FIN",HISTORIAL_HORARIOS!$L$2:$L$201,HISTORIAL_HORARIOS!$H$2:$H$201),MATCH(1,(HISTORIAL_HORARIOS!$A$2:$A$201=$B1351)*(HISTORIAL_HORARIOS!$C$2:$C$201&lt;=$A1351)*(HISTORIAL_HORARIOS!$D$2:$D$201&gt;=$A1351),0)),INDEX(IF($I1351="FIN",PERSONAL!$L$2:$L$80,PERSONAL!$H$2:$H$80),MATCH($B1351,PERSONAL!$A$2:$A$80,0)))))</f>
        <v/>
      </c>
    </row>
    <row r="1352" ht="15" customHeight="1" s="58">
      <c r="A1352" s="40" t="n"/>
      <c r="B1352" s="38" t="n"/>
      <c r="C1352" s="40" t="n"/>
      <c r="D1352" s="40" t="n"/>
      <c r="E1352" s="34">
        <f t="array" ref="E1352">IF($B1352="","",IFERROR(INDEX(PERSONAL!$B$2:$B$80,MATCH($B1352,PERSONAL!$A$2:$A$80,0)),"NO EXISTE"))</f>
        <v/>
      </c>
      <c r="F1352" s="34">
        <f t="array" ref="F1352">IF($B1352="","",IFERROR(INDEX(PERSONAL!$C$2:$C$80,MATCH($B1352,PERSONAL!$A$2:$A$80,0)),""))</f>
        <v/>
      </c>
      <c r="G1352" s="34">
        <f>IF($A1352="","",CHOOSE(WEEKDAY($A1352,2),"LUNES","MARTES","MIÉRCOLES","JUEVES","VIERNES","SÁBADO","DOMINGO"))</f>
        <v/>
      </c>
      <c r="H1352" s="34">
        <f>IF($A1352="","",CHOOSE(MONTH($A1352),"ENERO","FEBRERO","MARZO","ABRIL","MAYO","JUNIO","JULIO","AGOSTO","SEPTIEMBRE","OCTUBRE","NOVIEMBRE","DICIEMBRE"))</f>
        <v/>
      </c>
      <c r="I1352" s="34">
        <f>IF($A1352="","",IF(OR($G1352="SÁBADO",$G1352="DOMINGO"),"FIN","LV"))</f>
        <v/>
      </c>
      <c r="J1352" s="34">
        <f>IF(OR($A1352="",$B1352=""),"",IF($L1352&lt;&gt;"",UPPER($L1352),IF($C1352="","FALTA",IFERROR(IF($C1352&gt;=$O1352,"ROJO FUERTE",IF($C1352&gt;=$N1352,"ROJO",IF($C1352&gt;=$M1352,"AMARILLO","VERDE"))),"REVISAR"))))</f>
        <v/>
      </c>
      <c r="K1352" s="36">
        <f>IF(OR($C1352="",$D1352=""),"",IF($D1352&gt;=$C1352,($D1352-$C1352)*24,(1-$C1352+$D1352)*24))</f>
        <v/>
      </c>
      <c r="L1352" s="34" t="n"/>
      <c r="M1352" s="53">
        <f t="array" ref="M1352">IFERROR(INDEX(EXCEPCIONES_FECHA!$D$2:$D$201,MATCH(1,(EXCEPCIONES_FECHA!$A$2:$A$201=$A1352)*(EXCEPCIONES_FECHA!$B$2:$B$201=$B1352),0)),IFERROR(INDEX(EXCEPCIONES_FECHA!$D$2:$D$201,MATCH(1,(EXCEPCIONES_FECHA!$A$2:$A$201=$A1352)*(EXCEPCIONES_FECHA!$B$2:$B$201=""),0)),IFERROR(INDEX(IF($I1352="FIN",HISTORIAL_HORARIOS!$J$2:$J$201,HISTORIAL_HORARIOS!$F$2:$F$201),MATCH(1,(HISTORIAL_HORARIOS!$A$2:$A$201=$B1352)*(HISTORIAL_HORARIOS!$C$2:$C$201&lt;=$A1352)*(HISTORIAL_HORARIOS!$D$2:$D$201&gt;=$A1352),0)),INDEX(IF($I1352="FIN",PERSONAL!$J$2:$J$80,PERSONAL!$F$2:$F$80),MATCH($B1352,PERSONAL!$A$2:$A$80,0)))))</f>
        <v/>
      </c>
      <c r="N1352" s="53">
        <f t="array" ref="N1352">IFERROR(INDEX(EXCEPCIONES_FECHA!$E$2:$E$201,MATCH(1,(EXCEPCIONES_FECHA!$A$2:$A$201=$A1352)*(EXCEPCIONES_FECHA!$B$2:$B$201=$B1352),0)),IFERROR(INDEX(EXCEPCIONES_FECHA!$E$2:$E$201,MATCH(1,(EXCEPCIONES_FECHA!$A$2:$A$201=$A1352)*(EXCEPCIONES_FECHA!$B$2:$B$201=""),0)),IFERROR(INDEX(IF($I1352="FIN",HISTORIAL_HORARIOS!$K$2:$K$201,HISTORIAL_HORARIOS!$G$2:$G$201),MATCH(1,(HISTORIAL_HORARIOS!$A$2:$A$201=$B1352)*(HISTORIAL_HORARIOS!$C$2:$C$201&lt;=$A1352)*(HISTORIAL_HORARIOS!$D$2:$D$201&gt;=$A1352),0)),INDEX(IF($I1352="FIN",PERSONAL!$K$2:$K$80,PERSONAL!$G$2:$G$80),MATCH($B1352,PERSONAL!$A$2:$A$80,0)))))</f>
        <v/>
      </c>
      <c r="O1352" s="53">
        <f t="array" ref="O1352">IFERROR(INDEX(EXCEPCIONES_FECHA!$F$2:$F$201,MATCH(1,(EXCEPCIONES_FECHA!$A$2:$A$201=$A1352)*(EXCEPCIONES_FECHA!$B$2:$B$201=$B1352),0)),IFERROR(INDEX(EXCEPCIONES_FECHA!$F$2:$F$201,MATCH(1,(EXCEPCIONES_FECHA!$A$2:$A$201=$A1352)*(EXCEPCIONES_FECHA!$B$2:$B$201=""),0)),IFERROR(INDEX(IF($I1352="FIN",HISTORIAL_HORARIOS!$L$2:$L$201,HISTORIAL_HORARIOS!$H$2:$H$201),MATCH(1,(HISTORIAL_HORARIOS!$A$2:$A$201=$B1352)*(HISTORIAL_HORARIOS!$C$2:$C$201&lt;=$A1352)*(HISTORIAL_HORARIOS!$D$2:$D$201&gt;=$A1352),0)),INDEX(IF($I1352="FIN",PERSONAL!$L$2:$L$80,PERSONAL!$H$2:$H$80),MATCH($B1352,PERSONAL!$A$2:$A$80,0)))))</f>
        <v/>
      </c>
    </row>
    <row r="1353" ht="15" customHeight="1" s="58">
      <c r="A1353" s="40" t="n"/>
      <c r="B1353" s="38" t="n"/>
      <c r="C1353" s="40" t="n"/>
      <c r="D1353" s="40" t="n"/>
      <c r="E1353" s="34">
        <f t="array" ref="E1353">IF($B1353="","",IFERROR(INDEX(PERSONAL!$B$2:$B$80,MATCH($B1353,PERSONAL!$A$2:$A$80,0)),"NO EXISTE"))</f>
        <v/>
      </c>
      <c r="F1353" s="34">
        <f t="array" ref="F1353">IF($B1353="","",IFERROR(INDEX(PERSONAL!$C$2:$C$80,MATCH($B1353,PERSONAL!$A$2:$A$80,0)),""))</f>
        <v/>
      </c>
      <c r="G1353" s="34">
        <f>IF($A1353="","",CHOOSE(WEEKDAY($A1353,2),"LUNES","MARTES","MIÉRCOLES","JUEVES","VIERNES","SÁBADO","DOMINGO"))</f>
        <v/>
      </c>
      <c r="H1353" s="34">
        <f>IF($A1353="","",CHOOSE(MONTH($A1353),"ENERO","FEBRERO","MARZO","ABRIL","MAYO","JUNIO","JULIO","AGOSTO","SEPTIEMBRE","OCTUBRE","NOVIEMBRE","DICIEMBRE"))</f>
        <v/>
      </c>
      <c r="I1353" s="34">
        <f>IF($A1353="","",IF(OR($G1353="SÁBADO",$G1353="DOMINGO"),"FIN","LV"))</f>
        <v/>
      </c>
      <c r="J1353" s="34">
        <f>IF(OR($A1353="",$B1353=""),"",IF($L1353&lt;&gt;"",UPPER($L1353),IF($C1353="","FALTA",IFERROR(IF($C1353&gt;=$O1353,"ROJO FUERTE",IF($C1353&gt;=$N1353,"ROJO",IF($C1353&gt;=$M1353,"AMARILLO","VERDE"))),"REVISAR"))))</f>
        <v/>
      </c>
      <c r="K1353" s="36">
        <f>IF(OR($C1353="",$D1353=""),"",IF($D1353&gt;=$C1353,($D1353-$C1353)*24,(1-$C1353+$D1353)*24))</f>
        <v/>
      </c>
      <c r="L1353" s="34" t="n"/>
      <c r="M1353" s="53">
        <f t="array" ref="M1353">IFERROR(INDEX(EXCEPCIONES_FECHA!$D$2:$D$201,MATCH(1,(EXCEPCIONES_FECHA!$A$2:$A$201=$A1353)*(EXCEPCIONES_FECHA!$B$2:$B$201=$B1353),0)),IFERROR(INDEX(EXCEPCIONES_FECHA!$D$2:$D$201,MATCH(1,(EXCEPCIONES_FECHA!$A$2:$A$201=$A1353)*(EXCEPCIONES_FECHA!$B$2:$B$201=""),0)),IFERROR(INDEX(IF($I1353="FIN",HISTORIAL_HORARIOS!$J$2:$J$201,HISTORIAL_HORARIOS!$F$2:$F$201),MATCH(1,(HISTORIAL_HORARIOS!$A$2:$A$201=$B1353)*(HISTORIAL_HORARIOS!$C$2:$C$201&lt;=$A1353)*(HISTORIAL_HORARIOS!$D$2:$D$201&gt;=$A1353),0)),INDEX(IF($I1353="FIN",PERSONAL!$J$2:$J$80,PERSONAL!$F$2:$F$80),MATCH($B1353,PERSONAL!$A$2:$A$80,0)))))</f>
        <v/>
      </c>
      <c r="N1353" s="53">
        <f t="array" ref="N1353">IFERROR(INDEX(EXCEPCIONES_FECHA!$E$2:$E$201,MATCH(1,(EXCEPCIONES_FECHA!$A$2:$A$201=$A1353)*(EXCEPCIONES_FECHA!$B$2:$B$201=$B1353),0)),IFERROR(INDEX(EXCEPCIONES_FECHA!$E$2:$E$201,MATCH(1,(EXCEPCIONES_FECHA!$A$2:$A$201=$A1353)*(EXCEPCIONES_FECHA!$B$2:$B$201=""),0)),IFERROR(INDEX(IF($I1353="FIN",HISTORIAL_HORARIOS!$K$2:$K$201,HISTORIAL_HORARIOS!$G$2:$G$201),MATCH(1,(HISTORIAL_HORARIOS!$A$2:$A$201=$B1353)*(HISTORIAL_HORARIOS!$C$2:$C$201&lt;=$A1353)*(HISTORIAL_HORARIOS!$D$2:$D$201&gt;=$A1353),0)),INDEX(IF($I1353="FIN",PERSONAL!$K$2:$K$80,PERSONAL!$G$2:$G$80),MATCH($B1353,PERSONAL!$A$2:$A$80,0)))))</f>
        <v/>
      </c>
      <c r="O1353" s="53">
        <f t="array" ref="O1353">IFERROR(INDEX(EXCEPCIONES_FECHA!$F$2:$F$201,MATCH(1,(EXCEPCIONES_FECHA!$A$2:$A$201=$A1353)*(EXCEPCIONES_FECHA!$B$2:$B$201=$B1353),0)),IFERROR(INDEX(EXCEPCIONES_FECHA!$F$2:$F$201,MATCH(1,(EXCEPCIONES_FECHA!$A$2:$A$201=$A1353)*(EXCEPCIONES_FECHA!$B$2:$B$201=""),0)),IFERROR(INDEX(IF($I1353="FIN",HISTORIAL_HORARIOS!$L$2:$L$201,HISTORIAL_HORARIOS!$H$2:$H$201),MATCH(1,(HISTORIAL_HORARIOS!$A$2:$A$201=$B1353)*(HISTORIAL_HORARIOS!$C$2:$C$201&lt;=$A1353)*(HISTORIAL_HORARIOS!$D$2:$D$201&gt;=$A1353),0)),INDEX(IF($I1353="FIN",PERSONAL!$L$2:$L$80,PERSONAL!$H$2:$H$80),MATCH($B1353,PERSONAL!$A$2:$A$80,0)))))</f>
        <v/>
      </c>
    </row>
    <row r="1354" ht="15" customHeight="1" s="58">
      <c r="A1354" s="40" t="n"/>
      <c r="B1354" s="38" t="n"/>
      <c r="C1354" s="40" t="n"/>
      <c r="D1354" s="40" t="n"/>
      <c r="E1354" s="34">
        <f t="array" ref="E1354">IF($B1354="","",IFERROR(INDEX(PERSONAL!$B$2:$B$80,MATCH($B1354,PERSONAL!$A$2:$A$80,0)),"NO EXISTE"))</f>
        <v/>
      </c>
      <c r="F1354" s="34">
        <f t="array" ref="F1354">IF($B1354="","",IFERROR(INDEX(PERSONAL!$C$2:$C$80,MATCH($B1354,PERSONAL!$A$2:$A$80,0)),""))</f>
        <v/>
      </c>
      <c r="G1354" s="34">
        <f>IF($A1354="","",CHOOSE(WEEKDAY($A1354,2),"LUNES","MARTES","MIÉRCOLES","JUEVES","VIERNES","SÁBADO","DOMINGO"))</f>
        <v/>
      </c>
      <c r="H1354" s="34">
        <f>IF($A1354="","",CHOOSE(MONTH($A1354),"ENERO","FEBRERO","MARZO","ABRIL","MAYO","JUNIO","JULIO","AGOSTO","SEPTIEMBRE","OCTUBRE","NOVIEMBRE","DICIEMBRE"))</f>
        <v/>
      </c>
      <c r="I1354" s="34">
        <f>IF($A1354="","",IF(OR($G1354="SÁBADO",$G1354="DOMINGO"),"FIN","LV"))</f>
        <v/>
      </c>
      <c r="J1354" s="34">
        <f>IF(OR($A1354="",$B1354=""),"",IF($L1354&lt;&gt;"",UPPER($L1354),IF($C1354="","FALTA",IFERROR(IF($C1354&gt;=$O1354,"ROJO FUERTE",IF($C1354&gt;=$N1354,"ROJO",IF($C1354&gt;=$M1354,"AMARILLO","VERDE"))),"REVISAR"))))</f>
        <v/>
      </c>
      <c r="K1354" s="36">
        <f>IF(OR($C1354="",$D1354=""),"",IF($D1354&gt;=$C1354,($D1354-$C1354)*24,(1-$C1354+$D1354)*24))</f>
        <v/>
      </c>
      <c r="L1354" s="34" t="n"/>
      <c r="M1354" s="53">
        <f t="array" ref="M1354">IFERROR(INDEX(EXCEPCIONES_FECHA!$D$2:$D$201,MATCH(1,(EXCEPCIONES_FECHA!$A$2:$A$201=$A1354)*(EXCEPCIONES_FECHA!$B$2:$B$201=$B1354),0)),IFERROR(INDEX(EXCEPCIONES_FECHA!$D$2:$D$201,MATCH(1,(EXCEPCIONES_FECHA!$A$2:$A$201=$A1354)*(EXCEPCIONES_FECHA!$B$2:$B$201=""),0)),IFERROR(INDEX(IF($I1354="FIN",HISTORIAL_HORARIOS!$J$2:$J$201,HISTORIAL_HORARIOS!$F$2:$F$201),MATCH(1,(HISTORIAL_HORARIOS!$A$2:$A$201=$B1354)*(HISTORIAL_HORARIOS!$C$2:$C$201&lt;=$A1354)*(HISTORIAL_HORARIOS!$D$2:$D$201&gt;=$A1354),0)),INDEX(IF($I1354="FIN",PERSONAL!$J$2:$J$80,PERSONAL!$F$2:$F$80),MATCH($B1354,PERSONAL!$A$2:$A$80,0)))))</f>
        <v/>
      </c>
      <c r="N1354" s="53">
        <f t="array" ref="N1354">IFERROR(INDEX(EXCEPCIONES_FECHA!$E$2:$E$201,MATCH(1,(EXCEPCIONES_FECHA!$A$2:$A$201=$A1354)*(EXCEPCIONES_FECHA!$B$2:$B$201=$B1354),0)),IFERROR(INDEX(EXCEPCIONES_FECHA!$E$2:$E$201,MATCH(1,(EXCEPCIONES_FECHA!$A$2:$A$201=$A1354)*(EXCEPCIONES_FECHA!$B$2:$B$201=""),0)),IFERROR(INDEX(IF($I1354="FIN",HISTORIAL_HORARIOS!$K$2:$K$201,HISTORIAL_HORARIOS!$G$2:$G$201),MATCH(1,(HISTORIAL_HORARIOS!$A$2:$A$201=$B1354)*(HISTORIAL_HORARIOS!$C$2:$C$201&lt;=$A1354)*(HISTORIAL_HORARIOS!$D$2:$D$201&gt;=$A1354),0)),INDEX(IF($I1354="FIN",PERSONAL!$K$2:$K$80,PERSONAL!$G$2:$G$80),MATCH($B1354,PERSONAL!$A$2:$A$80,0)))))</f>
        <v/>
      </c>
      <c r="O1354" s="53">
        <f t="array" ref="O1354">IFERROR(INDEX(EXCEPCIONES_FECHA!$F$2:$F$201,MATCH(1,(EXCEPCIONES_FECHA!$A$2:$A$201=$A1354)*(EXCEPCIONES_FECHA!$B$2:$B$201=$B1354),0)),IFERROR(INDEX(EXCEPCIONES_FECHA!$F$2:$F$201,MATCH(1,(EXCEPCIONES_FECHA!$A$2:$A$201=$A1354)*(EXCEPCIONES_FECHA!$B$2:$B$201=""),0)),IFERROR(INDEX(IF($I1354="FIN",HISTORIAL_HORARIOS!$L$2:$L$201,HISTORIAL_HORARIOS!$H$2:$H$201),MATCH(1,(HISTORIAL_HORARIOS!$A$2:$A$201=$B1354)*(HISTORIAL_HORARIOS!$C$2:$C$201&lt;=$A1354)*(HISTORIAL_HORARIOS!$D$2:$D$201&gt;=$A1354),0)),INDEX(IF($I1354="FIN",PERSONAL!$L$2:$L$80,PERSONAL!$H$2:$H$80),MATCH($B1354,PERSONAL!$A$2:$A$80,0)))))</f>
        <v/>
      </c>
    </row>
    <row r="1355" ht="15" customHeight="1" s="58">
      <c r="A1355" s="40" t="n"/>
      <c r="B1355" s="38" t="n"/>
      <c r="C1355" s="40" t="n"/>
      <c r="D1355" s="40" t="n"/>
      <c r="E1355" s="34">
        <f t="array" ref="E1355">IF($B1355="","",IFERROR(INDEX(PERSONAL!$B$2:$B$80,MATCH($B1355,PERSONAL!$A$2:$A$80,0)),"NO EXISTE"))</f>
        <v/>
      </c>
      <c r="F1355" s="34">
        <f t="array" ref="F1355">IF($B1355="","",IFERROR(INDEX(PERSONAL!$C$2:$C$80,MATCH($B1355,PERSONAL!$A$2:$A$80,0)),""))</f>
        <v/>
      </c>
      <c r="G1355" s="34">
        <f>IF($A1355="","",CHOOSE(WEEKDAY($A1355,2),"LUNES","MARTES","MIÉRCOLES","JUEVES","VIERNES","SÁBADO","DOMINGO"))</f>
        <v/>
      </c>
      <c r="H1355" s="34">
        <f>IF($A1355="","",CHOOSE(MONTH($A1355),"ENERO","FEBRERO","MARZO","ABRIL","MAYO","JUNIO","JULIO","AGOSTO","SEPTIEMBRE","OCTUBRE","NOVIEMBRE","DICIEMBRE"))</f>
        <v/>
      </c>
      <c r="I1355" s="34">
        <f>IF($A1355="","",IF(OR($G1355="SÁBADO",$G1355="DOMINGO"),"FIN","LV"))</f>
        <v/>
      </c>
      <c r="J1355" s="34">
        <f>IF(OR($A1355="",$B1355=""),"",IF($L1355&lt;&gt;"",UPPER($L1355),IF($C1355="","FALTA",IFERROR(IF($C1355&gt;=$O1355,"ROJO FUERTE",IF($C1355&gt;=$N1355,"ROJO",IF($C1355&gt;=$M1355,"AMARILLO","VERDE"))),"REVISAR"))))</f>
        <v/>
      </c>
      <c r="K1355" s="36">
        <f>IF(OR($C1355="",$D1355=""),"",IF($D1355&gt;=$C1355,($D1355-$C1355)*24,(1-$C1355+$D1355)*24))</f>
        <v/>
      </c>
      <c r="L1355" s="34" t="n"/>
      <c r="M1355" s="53">
        <f t="array" ref="M1355">IFERROR(INDEX(EXCEPCIONES_FECHA!$D$2:$D$201,MATCH(1,(EXCEPCIONES_FECHA!$A$2:$A$201=$A1355)*(EXCEPCIONES_FECHA!$B$2:$B$201=$B1355),0)),IFERROR(INDEX(EXCEPCIONES_FECHA!$D$2:$D$201,MATCH(1,(EXCEPCIONES_FECHA!$A$2:$A$201=$A1355)*(EXCEPCIONES_FECHA!$B$2:$B$201=""),0)),IFERROR(INDEX(IF($I1355="FIN",HISTORIAL_HORARIOS!$J$2:$J$201,HISTORIAL_HORARIOS!$F$2:$F$201),MATCH(1,(HISTORIAL_HORARIOS!$A$2:$A$201=$B1355)*(HISTORIAL_HORARIOS!$C$2:$C$201&lt;=$A1355)*(HISTORIAL_HORARIOS!$D$2:$D$201&gt;=$A1355),0)),INDEX(IF($I1355="FIN",PERSONAL!$J$2:$J$80,PERSONAL!$F$2:$F$80),MATCH($B1355,PERSONAL!$A$2:$A$80,0)))))</f>
        <v/>
      </c>
      <c r="N1355" s="53">
        <f t="array" ref="N1355">IFERROR(INDEX(EXCEPCIONES_FECHA!$E$2:$E$201,MATCH(1,(EXCEPCIONES_FECHA!$A$2:$A$201=$A1355)*(EXCEPCIONES_FECHA!$B$2:$B$201=$B1355),0)),IFERROR(INDEX(EXCEPCIONES_FECHA!$E$2:$E$201,MATCH(1,(EXCEPCIONES_FECHA!$A$2:$A$201=$A1355)*(EXCEPCIONES_FECHA!$B$2:$B$201=""),0)),IFERROR(INDEX(IF($I1355="FIN",HISTORIAL_HORARIOS!$K$2:$K$201,HISTORIAL_HORARIOS!$G$2:$G$201),MATCH(1,(HISTORIAL_HORARIOS!$A$2:$A$201=$B1355)*(HISTORIAL_HORARIOS!$C$2:$C$201&lt;=$A1355)*(HISTORIAL_HORARIOS!$D$2:$D$201&gt;=$A1355),0)),INDEX(IF($I1355="FIN",PERSONAL!$K$2:$K$80,PERSONAL!$G$2:$G$80),MATCH($B1355,PERSONAL!$A$2:$A$80,0)))))</f>
        <v/>
      </c>
      <c r="O1355" s="53">
        <f t="array" ref="O1355">IFERROR(INDEX(EXCEPCIONES_FECHA!$F$2:$F$201,MATCH(1,(EXCEPCIONES_FECHA!$A$2:$A$201=$A1355)*(EXCEPCIONES_FECHA!$B$2:$B$201=$B1355),0)),IFERROR(INDEX(EXCEPCIONES_FECHA!$F$2:$F$201,MATCH(1,(EXCEPCIONES_FECHA!$A$2:$A$201=$A1355)*(EXCEPCIONES_FECHA!$B$2:$B$201=""),0)),IFERROR(INDEX(IF($I1355="FIN",HISTORIAL_HORARIOS!$L$2:$L$201,HISTORIAL_HORARIOS!$H$2:$H$201),MATCH(1,(HISTORIAL_HORARIOS!$A$2:$A$201=$B1355)*(HISTORIAL_HORARIOS!$C$2:$C$201&lt;=$A1355)*(HISTORIAL_HORARIOS!$D$2:$D$201&gt;=$A1355),0)),INDEX(IF($I1355="FIN",PERSONAL!$L$2:$L$80,PERSONAL!$H$2:$H$80),MATCH($B1355,PERSONAL!$A$2:$A$80,0)))))</f>
        <v/>
      </c>
    </row>
    <row r="1356" ht="15" customHeight="1" s="58">
      <c r="A1356" s="40" t="n"/>
      <c r="B1356" s="38" t="n"/>
      <c r="C1356" s="40" t="n"/>
      <c r="D1356" s="40" t="n"/>
      <c r="E1356" s="34">
        <f t="array" ref="E1356">IF($B1356="","",IFERROR(INDEX(PERSONAL!$B$2:$B$80,MATCH($B1356,PERSONAL!$A$2:$A$80,0)),"NO EXISTE"))</f>
        <v/>
      </c>
      <c r="F1356" s="34">
        <f t="array" ref="F1356">IF($B1356="","",IFERROR(INDEX(PERSONAL!$C$2:$C$80,MATCH($B1356,PERSONAL!$A$2:$A$80,0)),""))</f>
        <v/>
      </c>
      <c r="G1356" s="34">
        <f>IF($A1356="","",CHOOSE(WEEKDAY($A1356,2),"LUNES","MARTES","MIÉRCOLES","JUEVES","VIERNES","SÁBADO","DOMINGO"))</f>
        <v/>
      </c>
      <c r="H1356" s="34">
        <f>IF($A1356="","",CHOOSE(MONTH($A1356),"ENERO","FEBRERO","MARZO","ABRIL","MAYO","JUNIO","JULIO","AGOSTO","SEPTIEMBRE","OCTUBRE","NOVIEMBRE","DICIEMBRE"))</f>
        <v/>
      </c>
      <c r="I1356" s="34">
        <f>IF($A1356="","",IF(OR($G1356="SÁBADO",$G1356="DOMINGO"),"FIN","LV"))</f>
        <v/>
      </c>
      <c r="J1356" s="34">
        <f>IF(OR($A1356="",$B1356=""),"",IF($L1356&lt;&gt;"",UPPER($L1356),IF($C1356="","FALTA",IFERROR(IF($C1356&gt;=$O1356,"ROJO FUERTE",IF($C1356&gt;=$N1356,"ROJO",IF($C1356&gt;=$M1356,"AMARILLO","VERDE"))),"REVISAR"))))</f>
        <v/>
      </c>
      <c r="K1356" s="36">
        <f>IF(OR($C1356="",$D1356=""),"",IF($D1356&gt;=$C1356,($D1356-$C1356)*24,(1-$C1356+$D1356)*24))</f>
        <v/>
      </c>
      <c r="L1356" s="34" t="n"/>
      <c r="M1356" s="53">
        <f t="array" ref="M1356">IFERROR(INDEX(EXCEPCIONES_FECHA!$D$2:$D$201,MATCH(1,(EXCEPCIONES_FECHA!$A$2:$A$201=$A1356)*(EXCEPCIONES_FECHA!$B$2:$B$201=$B1356),0)),IFERROR(INDEX(EXCEPCIONES_FECHA!$D$2:$D$201,MATCH(1,(EXCEPCIONES_FECHA!$A$2:$A$201=$A1356)*(EXCEPCIONES_FECHA!$B$2:$B$201=""),0)),IFERROR(INDEX(IF($I1356="FIN",HISTORIAL_HORARIOS!$J$2:$J$201,HISTORIAL_HORARIOS!$F$2:$F$201),MATCH(1,(HISTORIAL_HORARIOS!$A$2:$A$201=$B1356)*(HISTORIAL_HORARIOS!$C$2:$C$201&lt;=$A1356)*(HISTORIAL_HORARIOS!$D$2:$D$201&gt;=$A1356),0)),INDEX(IF($I1356="FIN",PERSONAL!$J$2:$J$80,PERSONAL!$F$2:$F$80),MATCH($B1356,PERSONAL!$A$2:$A$80,0)))))</f>
        <v/>
      </c>
      <c r="N1356" s="53">
        <f t="array" ref="N1356">IFERROR(INDEX(EXCEPCIONES_FECHA!$E$2:$E$201,MATCH(1,(EXCEPCIONES_FECHA!$A$2:$A$201=$A1356)*(EXCEPCIONES_FECHA!$B$2:$B$201=$B1356),0)),IFERROR(INDEX(EXCEPCIONES_FECHA!$E$2:$E$201,MATCH(1,(EXCEPCIONES_FECHA!$A$2:$A$201=$A1356)*(EXCEPCIONES_FECHA!$B$2:$B$201=""),0)),IFERROR(INDEX(IF($I1356="FIN",HISTORIAL_HORARIOS!$K$2:$K$201,HISTORIAL_HORARIOS!$G$2:$G$201),MATCH(1,(HISTORIAL_HORARIOS!$A$2:$A$201=$B1356)*(HISTORIAL_HORARIOS!$C$2:$C$201&lt;=$A1356)*(HISTORIAL_HORARIOS!$D$2:$D$201&gt;=$A1356),0)),INDEX(IF($I1356="FIN",PERSONAL!$K$2:$K$80,PERSONAL!$G$2:$G$80),MATCH($B1356,PERSONAL!$A$2:$A$80,0)))))</f>
        <v/>
      </c>
      <c r="O1356" s="53">
        <f t="array" ref="O1356">IFERROR(INDEX(EXCEPCIONES_FECHA!$F$2:$F$201,MATCH(1,(EXCEPCIONES_FECHA!$A$2:$A$201=$A1356)*(EXCEPCIONES_FECHA!$B$2:$B$201=$B1356),0)),IFERROR(INDEX(EXCEPCIONES_FECHA!$F$2:$F$201,MATCH(1,(EXCEPCIONES_FECHA!$A$2:$A$201=$A1356)*(EXCEPCIONES_FECHA!$B$2:$B$201=""),0)),IFERROR(INDEX(IF($I1356="FIN",HISTORIAL_HORARIOS!$L$2:$L$201,HISTORIAL_HORARIOS!$H$2:$H$201),MATCH(1,(HISTORIAL_HORARIOS!$A$2:$A$201=$B1356)*(HISTORIAL_HORARIOS!$C$2:$C$201&lt;=$A1356)*(HISTORIAL_HORARIOS!$D$2:$D$201&gt;=$A1356),0)),INDEX(IF($I1356="FIN",PERSONAL!$L$2:$L$80,PERSONAL!$H$2:$H$80),MATCH($B1356,PERSONAL!$A$2:$A$80,0)))))</f>
        <v/>
      </c>
    </row>
    <row r="1357" ht="15" customHeight="1" s="58">
      <c r="A1357" s="40" t="n"/>
      <c r="B1357" s="38" t="n"/>
      <c r="C1357" s="40" t="n"/>
      <c r="D1357" s="40" t="n"/>
      <c r="E1357" s="34">
        <f t="array" ref="E1357">IF($B1357="","",IFERROR(INDEX(PERSONAL!$B$2:$B$80,MATCH($B1357,PERSONAL!$A$2:$A$80,0)),"NO EXISTE"))</f>
        <v/>
      </c>
      <c r="F1357" s="34">
        <f t="array" ref="F1357">IF($B1357="","",IFERROR(INDEX(PERSONAL!$C$2:$C$80,MATCH($B1357,PERSONAL!$A$2:$A$80,0)),""))</f>
        <v/>
      </c>
      <c r="G1357" s="34">
        <f>IF($A1357="","",CHOOSE(WEEKDAY($A1357,2),"LUNES","MARTES","MIÉRCOLES","JUEVES","VIERNES","SÁBADO","DOMINGO"))</f>
        <v/>
      </c>
      <c r="H1357" s="34">
        <f>IF($A1357="","",CHOOSE(MONTH($A1357),"ENERO","FEBRERO","MARZO","ABRIL","MAYO","JUNIO","JULIO","AGOSTO","SEPTIEMBRE","OCTUBRE","NOVIEMBRE","DICIEMBRE"))</f>
        <v/>
      </c>
      <c r="I1357" s="34">
        <f>IF($A1357="","",IF(OR($G1357="SÁBADO",$G1357="DOMINGO"),"FIN","LV"))</f>
        <v/>
      </c>
      <c r="J1357" s="34">
        <f>IF(OR($A1357="",$B1357=""),"",IF($L1357&lt;&gt;"",UPPER($L1357),IF($C1357="","FALTA",IFERROR(IF($C1357&gt;=$O1357,"ROJO FUERTE",IF($C1357&gt;=$N1357,"ROJO",IF($C1357&gt;=$M1357,"AMARILLO","VERDE"))),"REVISAR"))))</f>
        <v/>
      </c>
      <c r="K1357" s="36">
        <f>IF(OR($C1357="",$D1357=""),"",IF($D1357&gt;=$C1357,($D1357-$C1357)*24,(1-$C1357+$D1357)*24))</f>
        <v/>
      </c>
      <c r="L1357" s="34" t="n"/>
      <c r="M1357" s="53">
        <f t="array" ref="M1357">IFERROR(INDEX(EXCEPCIONES_FECHA!$D$2:$D$201,MATCH(1,(EXCEPCIONES_FECHA!$A$2:$A$201=$A1357)*(EXCEPCIONES_FECHA!$B$2:$B$201=$B1357),0)),IFERROR(INDEX(EXCEPCIONES_FECHA!$D$2:$D$201,MATCH(1,(EXCEPCIONES_FECHA!$A$2:$A$201=$A1357)*(EXCEPCIONES_FECHA!$B$2:$B$201=""),0)),IFERROR(INDEX(IF($I1357="FIN",HISTORIAL_HORARIOS!$J$2:$J$201,HISTORIAL_HORARIOS!$F$2:$F$201),MATCH(1,(HISTORIAL_HORARIOS!$A$2:$A$201=$B1357)*(HISTORIAL_HORARIOS!$C$2:$C$201&lt;=$A1357)*(HISTORIAL_HORARIOS!$D$2:$D$201&gt;=$A1357),0)),INDEX(IF($I1357="FIN",PERSONAL!$J$2:$J$80,PERSONAL!$F$2:$F$80),MATCH($B1357,PERSONAL!$A$2:$A$80,0)))))</f>
        <v/>
      </c>
      <c r="N1357" s="53">
        <f t="array" ref="N1357">IFERROR(INDEX(EXCEPCIONES_FECHA!$E$2:$E$201,MATCH(1,(EXCEPCIONES_FECHA!$A$2:$A$201=$A1357)*(EXCEPCIONES_FECHA!$B$2:$B$201=$B1357),0)),IFERROR(INDEX(EXCEPCIONES_FECHA!$E$2:$E$201,MATCH(1,(EXCEPCIONES_FECHA!$A$2:$A$201=$A1357)*(EXCEPCIONES_FECHA!$B$2:$B$201=""),0)),IFERROR(INDEX(IF($I1357="FIN",HISTORIAL_HORARIOS!$K$2:$K$201,HISTORIAL_HORARIOS!$G$2:$G$201),MATCH(1,(HISTORIAL_HORARIOS!$A$2:$A$201=$B1357)*(HISTORIAL_HORARIOS!$C$2:$C$201&lt;=$A1357)*(HISTORIAL_HORARIOS!$D$2:$D$201&gt;=$A1357),0)),INDEX(IF($I1357="FIN",PERSONAL!$K$2:$K$80,PERSONAL!$G$2:$G$80),MATCH($B1357,PERSONAL!$A$2:$A$80,0)))))</f>
        <v/>
      </c>
      <c r="O1357" s="53">
        <f t="array" ref="O1357">IFERROR(INDEX(EXCEPCIONES_FECHA!$F$2:$F$201,MATCH(1,(EXCEPCIONES_FECHA!$A$2:$A$201=$A1357)*(EXCEPCIONES_FECHA!$B$2:$B$201=$B1357),0)),IFERROR(INDEX(EXCEPCIONES_FECHA!$F$2:$F$201,MATCH(1,(EXCEPCIONES_FECHA!$A$2:$A$201=$A1357)*(EXCEPCIONES_FECHA!$B$2:$B$201=""),0)),IFERROR(INDEX(IF($I1357="FIN",HISTORIAL_HORARIOS!$L$2:$L$201,HISTORIAL_HORARIOS!$H$2:$H$201),MATCH(1,(HISTORIAL_HORARIOS!$A$2:$A$201=$B1357)*(HISTORIAL_HORARIOS!$C$2:$C$201&lt;=$A1357)*(HISTORIAL_HORARIOS!$D$2:$D$201&gt;=$A1357),0)),INDEX(IF($I1357="FIN",PERSONAL!$L$2:$L$80,PERSONAL!$H$2:$H$80),MATCH($B1357,PERSONAL!$A$2:$A$80,0)))))</f>
        <v/>
      </c>
    </row>
    <row r="1358" ht="15" customHeight="1" s="58">
      <c r="A1358" s="40" t="n"/>
      <c r="B1358" s="38" t="n"/>
      <c r="C1358" s="40" t="n"/>
      <c r="D1358" s="40" t="n"/>
      <c r="E1358" s="34">
        <f t="array" ref="E1358">IF($B1358="","",IFERROR(INDEX(PERSONAL!$B$2:$B$80,MATCH($B1358,PERSONAL!$A$2:$A$80,0)),"NO EXISTE"))</f>
        <v/>
      </c>
      <c r="F1358" s="34">
        <f t="array" ref="F1358">IF($B1358="","",IFERROR(INDEX(PERSONAL!$C$2:$C$80,MATCH($B1358,PERSONAL!$A$2:$A$80,0)),""))</f>
        <v/>
      </c>
      <c r="G1358" s="34">
        <f>IF($A1358="","",CHOOSE(WEEKDAY($A1358,2),"LUNES","MARTES","MIÉRCOLES","JUEVES","VIERNES","SÁBADO","DOMINGO"))</f>
        <v/>
      </c>
      <c r="H1358" s="34">
        <f>IF($A1358="","",CHOOSE(MONTH($A1358),"ENERO","FEBRERO","MARZO","ABRIL","MAYO","JUNIO","JULIO","AGOSTO","SEPTIEMBRE","OCTUBRE","NOVIEMBRE","DICIEMBRE"))</f>
        <v/>
      </c>
      <c r="I1358" s="34">
        <f>IF($A1358="","",IF(OR($G1358="SÁBADO",$G1358="DOMINGO"),"FIN","LV"))</f>
        <v/>
      </c>
      <c r="J1358" s="34">
        <f>IF(OR($A1358="",$B1358=""),"",IF($L1358&lt;&gt;"",UPPER($L1358),IF($C1358="","FALTA",IFERROR(IF($C1358&gt;=$O1358,"ROJO FUERTE",IF($C1358&gt;=$N1358,"ROJO",IF($C1358&gt;=$M1358,"AMARILLO","VERDE"))),"REVISAR"))))</f>
        <v/>
      </c>
      <c r="K1358" s="36">
        <f>IF(OR($C1358="",$D1358=""),"",IF($D1358&gt;=$C1358,($D1358-$C1358)*24,(1-$C1358+$D1358)*24))</f>
        <v/>
      </c>
      <c r="L1358" s="34" t="n"/>
      <c r="M1358" s="53">
        <f t="array" ref="M1358">IFERROR(INDEX(EXCEPCIONES_FECHA!$D$2:$D$201,MATCH(1,(EXCEPCIONES_FECHA!$A$2:$A$201=$A1358)*(EXCEPCIONES_FECHA!$B$2:$B$201=$B1358),0)),IFERROR(INDEX(EXCEPCIONES_FECHA!$D$2:$D$201,MATCH(1,(EXCEPCIONES_FECHA!$A$2:$A$201=$A1358)*(EXCEPCIONES_FECHA!$B$2:$B$201=""),0)),IFERROR(INDEX(IF($I1358="FIN",HISTORIAL_HORARIOS!$J$2:$J$201,HISTORIAL_HORARIOS!$F$2:$F$201),MATCH(1,(HISTORIAL_HORARIOS!$A$2:$A$201=$B1358)*(HISTORIAL_HORARIOS!$C$2:$C$201&lt;=$A1358)*(HISTORIAL_HORARIOS!$D$2:$D$201&gt;=$A1358),0)),INDEX(IF($I1358="FIN",PERSONAL!$J$2:$J$80,PERSONAL!$F$2:$F$80),MATCH($B1358,PERSONAL!$A$2:$A$80,0)))))</f>
        <v/>
      </c>
      <c r="N1358" s="53">
        <f t="array" ref="N1358">IFERROR(INDEX(EXCEPCIONES_FECHA!$E$2:$E$201,MATCH(1,(EXCEPCIONES_FECHA!$A$2:$A$201=$A1358)*(EXCEPCIONES_FECHA!$B$2:$B$201=$B1358),0)),IFERROR(INDEX(EXCEPCIONES_FECHA!$E$2:$E$201,MATCH(1,(EXCEPCIONES_FECHA!$A$2:$A$201=$A1358)*(EXCEPCIONES_FECHA!$B$2:$B$201=""),0)),IFERROR(INDEX(IF($I1358="FIN",HISTORIAL_HORARIOS!$K$2:$K$201,HISTORIAL_HORARIOS!$G$2:$G$201),MATCH(1,(HISTORIAL_HORARIOS!$A$2:$A$201=$B1358)*(HISTORIAL_HORARIOS!$C$2:$C$201&lt;=$A1358)*(HISTORIAL_HORARIOS!$D$2:$D$201&gt;=$A1358),0)),INDEX(IF($I1358="FIN",PERSONAL!$K$2:$K$80,PERSONAL!$G$2:$G$80),MATCH($B1358,PERSONAL!$A$2:$A$80,0)))))</f>
        <v/>
      </c>
      <c r="O1358" s="53">
        <f t="array" ref="O1358">IFERROR(INDEX(EXCEPCIONES_FECHA!$F$2:$F$201,MATCH(1,(EXCEPCIONES_FECHA!$A$2:$A$201=$A1358)*(EXCEPCIONES_FECHA!$B$2:$B$201=$B1358),0)),IFERROR(INDEX(EXCEPCIONES_FECHA!$F$2:$F$201,MATCH(1,(EXCEPCIONES_FECHA!$A$2:$A$201=$A1358)*(EXCEPCIONES_FECHA!$B$2:$B$201=""),0)),IFERROR(INDEX(IF($I1358="FIN",HISTORIAL_HORARIOS!$L$2:$L$201,HISTORIAL_HORARIOS!$H$2:$H$201),MATCH(1,(HISTORIAL_HORARIOS!$A$2:$A$201=$B1358)*(HISTORIAL_HORARIOS!$C$2:$C$201&lt;=$A1358)*(HISTORIAL_HORARIOS!$D$2:$D$201&gt;=$A1358),0)),INDEX(IF($I1358="FIN",PERSONAL!$L$2:$L$80,PERSONAL!$H$2:$H$80),MATCH($B1358,PERSONAL!$A$2:$A$80,0)))))</f>
        <v/>
      </c>
    </row>
    <row r="1359" ht="15" customHeight="1" s="58">
      <c r="A1359" s="40" t="n"/>
      <c r="B1359" s="38" t="n"/>
      <c r="C1359" s="40" t="n"/>
      <c r="D1359" s="40" t="n"/>
      <c r="E1359" s="34">
        <f t="array" ref="E1359">IF($B1359="","",IFERROR(INDEX(PERSONAL!$B$2:$B$80,MATCH($B1359,PERSONAL!$A$2:$A$80,0)),"NO EXISTE"))</f>
        <v/>
      </c>
      <c r="F1359" s="34">
        <f t="array" ref="F1359">IF($B1359="","",IFERROR(INDEX(PERSONAL!$C$2:$C$80,MATCH($B1359,PERSONAL!$A$2:$A$80,0)),""))</f>
        <v/>
      </c>
      <c r="G1359" s="34">
        <f>IF($A1359="","",CHOOSE(WEEKDAY($A1359,2),"LUNES","MARTES","MIÉRCOLES","JUEVES","VIERNES","SÁBADO","DOMINGO"))</f>
        <v/>
      </c>
      <c r="H1359" s="34">
        <f>IF($A1359="","",CHOOSE(MONTH($A1359),"ENERO","FEBRERO","MARZO","ABRIL","MAYO","JUNIO","JULIO","AGOSTO","SEPTIEMBRE","OCTUBRE","NOVIEMBRE","DICIEMBRE"))</f>
        <v/>
      </c>
      <c r="I1359" s="34">
        <f>IF($A1359="","",IF(OR($G1359="SÁBADO",$G1359="DOMINGO"),"FIN","LV"))</f>
        <v/>
      </c>
      <c r="J1359" s="34">
        <f>IF(OR($A1359="",$B1359=""),"",IF($L1359&lt;&gt;"",UPPER($L1359),IF($C1359="","FALTA",IFERROR(IF($C1359&gt;=$O1359,"ROJO FUERTE",IF($C1359&gt;=$N1359,"ROJO",IF($C1359&gt;=$M1359,"AMARILLO","VERDE"))),"REVISAR"))))</f>
        <v/>
      </c>
      <c r="K1359" s="36">
        <f>IF(OR($C1359="",$D1359=""),"",IF($D1359&gt;=$C1359,($D1359-$C1359)*24,(1-$C1359+$D1359)*24))</f>
        <v/>
      </c>
      <c r="L1359" s="34" t="n"/>
      <c r="M1359" s="53">
        <f t="array" ref="M1359">IFERROR(INDEX(EXCEPCIONES_FECHA!$D$2:$D$201,MATCH(1,(EXCEPCIONES_FECHA!$A$2:$A$201=$A1359)*(EXCEPCIONES_FECHA!$B$2:$B$201=$B1359),0)),IFERROR(INDEX(EXCEPCIONES_FECHA!$D$2:$D$201,MATCH(1,(EXCEPCIONES_FECHA!$A$2:$A$201=$A1359)*(EXCEPCIONES_FECHA!$B$2:$B$201=""),0)),IFERROR(INDEX(IF($I1359="FIN",HISTORIAL_HORARIOS!$J$2:$J$201,HISTORIAL_HORARIOS!$F$2:$F$201),MATCH(1,(HISTORIAL_HORARIOS!$A$2:$A$201=$B1359)*(HISTORIAL_HORARIOS!$C$2:$C$201&lt;=$A1359)*(HISTORIAL_HORARIOS!$D$2:$D$201&gt;=$A1359),0)),INDEX(IF($I1359="FIN",PERSONAL!$J$2:$J$80,PERSONAL!$F$2:$F$80),MATCH($B1359,PERSONAL!$A$2:$A$80,0)))))</f>
        <v/>
      </c>
      <c r="N1359" s="53">
        <f t="array" ref="N1359">IFERROR(INDEX(EXCEPCIONES_FECHA!$E$2:$E$201,MATCH(1,(EXCEPCIONES_FECHA!$A$2:$A$201=$A1359)*(EXCEPCIONES_FECHA!$B$2:$B$201=$B1359),0)),IFERROR(INDEX(EXCEPCIONES_FECHA!$E$2:$E$201,MATCH(1,(EXCEPCIONES_FECHA!$A$2:$A$201=$A1359)*(EXCEPCIONES_FECHA!$B$2:$B$201=""),0)),IFERROR(INDEX(IF($I1359="FIN",HISTORIAL_HORARIOS!$K$2:$K$201,HISTORIAL_HORARIOS!$G$2:$G$201),MATCH(1,(HISTORIAL_HORARIOS!$A$2:$A$201=$B1359)*(HISTORIAL_HORARIOS!$C$2:$C$201&lt;=$A1359)*(HISTORIAL_HORARIOS!$D$2:$D$201&gt;=$A1359),0)),INDEX(IF($I1359="FIN",PERSONAL!$K$2:$K$80,PERSONAL!$G$2:$G$80),MATCH($B1359,PERSONAL!$A$2:$A$80,0)))))</f>
        <v/>
      </c>
      <c r="O1359" s="53">
        <f t="array" ref="O1359">IFERROR(INDEX(EXCEPCIONES_FECHA!$F$2:$F$201,MATCH(1,(EXCEPCIONES_FECHA!$A$2:$A$201=$A1359)*(EXCEPCIONES_FECHA!$B$2:$B$201=$B1359),0)),IFERROR(INDEX(EXCEPCIONES_FECHA!$F$2:$F$201,MATCH(1,(EXCEPCIONES_FECHA!$A$2:$A$201=$A1359)*(EXCEPCIONES_FECHA!$B$2:$B$201=""),0)),IFERROR(INDEX(IF($I1359="FIN",HISTORIAL_HORARIOS!$L$2:$L$201,HISTORIAL_HORARIOS!$H$2:$H$201),MATCH(1,(HISTORIAL_HORARIOS!$A$2:$A$201=$B1359)*(HISTORIAL_HORARIOS!$C$2:$C$201&lt;=$A1359)*(HISTORIAL_HORARIOS!$D$2:$D$201&gt;=$A1359),0)),INDEX(IF($I1359="FIN",PERSONAL!$L$2:$L$80,PERSONAL!$H$2:$H$80),MATCH($B1359,PERSONAL!$A$2:$A$80,0)))))</f>
        <v/>
      </c>
    </row>
    <row r="1360" ht="15" customHeight="1" s="58">
      <c r="A1360" s="40" t="n"/>
      <c r="B1360" s="38" t="n"/>
      <c r="C1360" s="40" t="n"/>
      <c r="D1360" s="40" t="n"/>
      <c r="E1360" s="34">
        <f t="array" ref="E1360">IF($B1360="","",IFERROR(INDEX(PERSONAL!$B$2:$B$80,MATCH($B1360,PERSONAL!$A$2:$A$80,0)),"NO EXISTE"))</f>
        <v/>
      </c>
      <c r="F1360" s="34">
        <f t="array" ref="F1360">IF($B1360="","",IFERROR(INDEX(PERSONAL!$C$2:$C$80,MATCH($B1360,PERSONAL!$A$2:$A$80,0)),""))</f>
        <v/>
      </c>
      <c r="G1360" s="34">
        <f>IF($A1360="","",CHOOSE(WEEKDAY($A1360,2),"LUNES","MARTES","MIÉRCOLES","JUEVES","VIERNES","SÁBADO","DOMINGO"))</f>
        <v/>
      </c>
      <c r="H1360" s="34">
        <f>IF($A1360="","",CHOOSE(MONTH($A1360),"ENERO","FEBRERO","MARZO","ABRIL","MAYO","JUNIO","JULIO","AGOSTO","SEPTIEMBRE","OCTUBRE","NOVIEMBRE","DICIEMBRE"))</f>
        <v/>
      </c>
      <c r="I1360" s="34">
        <f>IF($A1360="","",IF(OR($G1360="SÁBADO",$G1360="DOMINGO"),"FIN","LV"))</f>
        <v/>
      </c>
      <c r="J1360" s="34">
        <f>IF(OR($A1360="",$B1360=""),"",IF($L1360&lt;&gt;"",UPPER($L1360),IF($C1360="","FALTA",IFERROR(IF($C1360&gt;=$O1360,"ROJO FUERTE",IF($C1360&gt;=$N1360,"ROJO",IF($C1360&gt;=$M1360,"AMARILLO","VERDE"))),"REVISAR"))))</f>
        <v/>
      </c>
      <c r="K1360" s="36">
        <f>IF(OR($C1360="",$D1360=""),"",IF($D1360&gt;=$C1360,($D1360-$C1360)*24,(1-$C1360+$D1360)*24))</f>
        <v/>
      </c>
      <c r="L1360" s="34" t="n"/>
      <c r="M1360" s="53">
        <f t="array" ref="M1360">IFERROR(INDEX(EXCEPCIONES_FECHA!$D$2:$D$201,MATCH(1,(EXCEPCIONES_FECHA!$A$2:$A$201=$A1360)*(EXCEPCIONES_FECHA!$B$2:$B$201=$B1360),0)),IFERROR(INDEX(EXCEPCIONES_FECHA!$D$2:$D$201,MATCH(1,(EXCEPCIONES_FECHA!$A$2:$A$201=$A1360)*(EXCEPCIONES_FECHA!$B$2:$B$201=""),0)),IFERROR(INDEX(IF($I1360="FIN",HISTORIAL_HORARIOS!$J$2:$J$201,HISTORIAL_HORARIOS!$F$2:$F$201),MATCH(1,(HISTORIAL_HORARIOS!$A$2:$A$201=$B1360)*(HISTORIAL_HORARIOS!$C$2:$C$201&lt;=$A1360)*(HISTORIAL_HORARIOS!$D$2:$D$201&gt;=$A1360),0)),INDEX(IF($I1360="FIN",PERSONAL!$J$2:$J$80,PERSONAL!$F$2:$F$80),MATCH($B1360,PERSONAL!$A$2:$A$80,0)))))</f>
        <v/>
      </c>
      <c r="N1360" s="53">
        <f t="array" ref="N1360">IFERROR(INDEX(EXCEPCIONES_FECHA!$E$2:$E$201,MATCH(1,(EXCEPCIONES_FECHA!$A$2:$A$201=$A1360)*(EXCEPCIONES_FECHA!$B$2:$B$201=$B1360),0)),IFERROR(INDEX(EXCEPCIONES_FECHA!$E$2:$E$201,MATCH(1,(EXCEPCIONES_FECHA!$A$2:$A$201=$A1360)*(EXCEPCIONES_FECHA!$B$2:$B$201=""),0)),IFERROR(INDEX(IF($I1360="FIN",HISTORIAL_HORARIOS!$K$2:$K$201,HISTORIAL_HORARIOS!$G$2:$G$201),MATCH(1,(HISTORIAL_HORARIOS!$A$2:$A$201=$B1360)*(HISTORIAL_HORARIOS!$C$2:$C$201&lt;=$A1360)*(HISTORIAL_HORARIOS!$D$2:$D$201&gt;=$A1360),0)),INDEX(IF($I1360="FIN",PERSONAL!$K$2:$K$80,PERSONAL!$G$2:$G$80),MATCH($B1360,PERSONAL!$A$2:$A$80,0)))))</f>
        <v/>
      </c>
      <c r="O1360" s="53">
        <f t="array" ref="O1360">IFERROR(INDEX(EXCEPCIONES_FECHA!$F$2:$F$201,MATCH(1,(EXCEPCIONES_FECHA!$A$2:$A$201=$A1360)*(EXCEPCIONES_FECHA!$B$2:$B$201=$B1360),0)),IFERROR(INDEX(EXCEPCIONES_FECHA!$F$2:$F$201,MATCH(1,(EXCEPCIONES_FECHA!$A$2:$A$201=$A1360)*(EXCEPCIONES_FECHA!$B$2:$B$201=""),0)),IFERROR(INDEX(IF($I1360="FIN",HISTORIAL_HORARIOS!$L$2:$L$201,HISTORIAL_HORARIOS!$H$2:$H$201),MATCH(1,(HISTORIAL_HORARIOS!$A$2:$A$201=$B1360)*(HISTORIAL_HORARIOS!$C$2:$C$201&lt;=$A1360)*(HISTORIAL_HORARIOS!$D$2:$D$201&gt;=$A1360),0)),INDEX(IF($I1360="FIN",PERSONAL!$L$2:$L$80,PERSONAL!$H$2:$H$80),MATCH($B1360,PERSONAL!$A$2:$A$80,0)))))</f>
        <v/>
      </c>
    </row>
    <row r="1361" ht="15" customHeight="1" s="58">
      <c r="A1361" s="40" t="n"/>
      <c r="B1361" s="38" t="n"/>
      <c r="C1361" s="40" t="n"/>
      <c r="D1361" s="40" t="n"/>
      <c r="E1361" s="34">
        <f t="array" ref="E1361">IF($B1361="","",IFERROR(INDEX(PERSONAL!$B$2:$B$80,MATCH($B1361,PERSONAL!$A$2:$A$80,0)),"NO EXISTE"))</f>
        <v/>
      </c>
      <c r="F1361" s="34">
        <f t="array" ref="F1361">IF($B1361="","",IFERROR(INDEX(PERSONAL!$C$2:$C$80,MATCH($B1361,PERSONAL!$A$2:$A$80,0)),""))</f>
        <v/>
      </c>
      <c r="G1361" s="34">
        <f>IF($A1361="","",CHOOSE(WEEKDAY($A1361,2),"LUNES","MARTES","MIÉRCOLES","JUEVES","VIERNES","SÁBADO","DOMINGO"))</f>
        <v/>
      </c>
      <c r="H1361" s="34">
        <f>IF($A1361="","",CHOOSE(MONTH($A1361),"ENERO","FEBRERO","MARZO","ABRIL","MAYO","JUNIO","JULIO","AGOSTO","SEPTIEMBRE","OCTUBRE","NOVIEMBRE","DICIEMBRE"))</f>
        <v/>
      </c>
      <c r="I1361" s="34">
        <f>IF($A1361="","",IF(OR($G1361="SÁBADO",$G1361="DOMINGO"),"FIN","LV"))</f>
        <v/>
      </c>
      <c r="J1361" s="34">
        <f>IF(OR($A1361="",$B1361=""),"",IF($L1361&lt;&gt;"",UPPER($L1361),IF($C1361="","FALTA",IFERROR(IF($C1361&gt;=$O1361,"ROJO FUERTE",IF($C1361&gt;=$N1361,"ROJO",IF($C1361&gt;=$M1361,"AMARILLO","VERDE"))),"REVISAR"))))</f>
        <v/>
      </c>
      <c r="K1361" s="36">
        <f>IF(OR($C1361="",$D1361=""),"",IF($D1361&gt;=$C1361,($D1361-$C1361)*24,(1-$C1361+$D1361)*24))</f>
        <v/>
      </c>
      <c r="L1361" s="34" t="n"/>
      <c r="M1361" s="53">
        <f t="array" ref="M1361">IFERROR(INDEX(EXCEPCIONES_FECHA!$D$2:$D$201,MATCH(1,(EXCEPCIONES_FECHA!$A$2:$A$201=$A1361)*(EXCEPCIONES_FECHA!$B$2:$B$201=$B1361),0)),IFERROR(INDEX(EXCEPCIONES_FECHA!$D$2:$D$201,MATCH(1,(EXCEPCIONES_FECHA!$A$2:$A$201=$A1361)*(EXCEPCIONES_FECHA!$B$2:$B$201=""),0)),IFERROR(INDEX(IF($I1361="FIN",HISTORIAL_HORARIOS!$J$2:$J$201,HISTORIAL_HORARIOS!$F$2:$F$201),MATCH(1,(HISTORIAL_HORARIOS!$A$2:$A$201=$B1361)*(HISTORIAL_HORARIOS!$C$2:$C$201&lt;=$A1361)*(HISTORIAL_HORARIOS!$D$2:$D$201&gt;=$A1361),0)),INDEX(IF($I1361="FIN",PERSONAL!$J$2:$J$80,PERSONAL!$F$2:$F$80),MATCH($B1361,PERSONAL!$A$2:$A$80,0)))))</f>
        <v/>
      </c>
      <c r="N1361" s="53">
        <f t="array" ref="N1361">IFERROR(INDEX(EXCEPCIONES_FECHA!$E$2:$E$201,MATCH(1,(EXCEPCIONES_FECHA!$A$2:$A$201=$A1361)*(EXCEPCIONES_FECHA!$B$2:$B$201=$B1361),0)),IFERROR(INDEX(EXCEPCIONES_FECHA!$E$2:$E$201,MATCH(1,(EXCEPCIONES_FECHA!$A$2:$A$201=$A1361)*(EXCEPCIONES_FECHA!$B$2:$B$201=""),0)),IFERROR(INDEX(IF($I1361="FIN",HISTORIAL_HORARIOS!$K$2:$K$201,HISTORIAL_HORARIOS!$G$2:$G$201),MATCH(1,(HISTORIAL_HORARIOS!$A$2:$A$201=$B1361)*(HISTORIAL_HORARIOS!$C$2:$C$201&lt;=$A1361)*(HISTORIAL_HORARIOS!$D$2:$D$201&gt;=$A1361),0)),INDEX(IF($I1361="FIN",PERSONAL!$K$2:$K$80,PERSONAL!$G$2:$G$80),MATCH($B1361,PERSONAL!$A$2:$A$80,0)))))</f>
        <v/>
      </c>
      <c r="O1361" s="53">
        <f t="array" ref="O1361">IFERROR(INDEX(EXCEPCIONES_FECHA!$F$2:$F$201,MATCH(1,(EXCEPCIONES_FECHA!$A$2:$A$201=$A1361)*(EXCEPCIONES_FECHA!$B$2:$B$201=$B1361),0)),IFERROR(INDEX(EXCEPCIONES_FECHA!$F$2:$F$201,MATCH(1,(EXCEPCIONES_FECHA!$A$2:$A$201=$A1361)*(EXCEPCIONES_FECHA!$B$2:$B$201=""),0)),IFERROR(INDEX(IF($I1361="FIN",HISTORIAL_HORARIOS!$L$2:$L$201,HISTORIAL_HORARIOS!$H$2:$H$201),MATCH(1,(HISTORIAL_HORARIOS!$A$2:$A$201=$B1361)*(HISTORIAL_HORARIOS!$C$2:$C$201&lt;=$A1361)*(HISTORIAL_HORARIOS!$D$2:$D$201&gt;=$A1361),0)),INDEX(IF($I1361="FIN",PERSONAL!$L$2:$L$80,PERSONAL!$H$2:$H$80),MATCH($B1361,PERSONAL!$A$2:$A$80,0)))))</f>
        <v/>
      </c>
    </row>
    <row r="1362" ht="15" customHeight="1" s="58">
      <c r="A1362" s="40" t="n"/>
      <c r="B1362" s="38" t="n"/>
      <c r="C1362" s="40" t="n"/>
      <c r="D1362" s="40" t="n"/>
      <c r="E1362" s="34">
        <f t="array" ref="E1362">IF($B1362="","",IFERROR(INDEX(PERSONAL!$B$2:$B$80,MATCH($B1362,PERSONAL!$A$2:$A$80,0)),"NO EXISTE"))</f>
        <v/>
      </c>
      <c r="F1362" s="34">
        <f t="array" ref="F1362">IF($B1362="","",IFERROR(INDEX(PERSONAL!$C$2:$C$80,MATCH($B1362,PERSONAL!$A$2:$A$80,0)),""))</f>
        <v/>
      </c>
      <c r="G1362" s="34">
        <f>IF($A1362="","",CHOOSE(WEEKDAY($A1362,2),"LUNES","MARTES","MIÉRCOLES","JUEVES","VIERNES","SÁBADO","DOMINGO"))</f>
        <v/>
      </c>
      <c r="H1362" s="34">
        <f>IF($A1362="","",CHOOSE(MONTH($A1362),"ENERO","FEBRERO","MARZO","ABRIL","MAYO","JUNIO","JULIO","AGOSTO","SEPTIEMBRE","OCTUBRE","NOVIEMBRE","DICIEMBRE"))</f>
        <v/>
      </c>
      <c r="I1362" s="34">
        <f>IF($A1362="","",IF(OR($G1362="SÁBADO",$G1362="DOMINGO"),"FIN","LV"))</f>
        <v/>
      </c>
      <c r="J1362" s="34">
        <f>IF(OR($A1362="",$B1362=""),"",IF($L1362&lt;&gt;"",UPPER($L1362),IF($C1362="","FALTA",IFERROR(IF($C1362&gt;=$O1362,"ROJO FUERTE",IF($C1362&gt;=$N1362,"ROJO",IF($C1362&gt;=$M1362,"AMARILLO","VERDE"))),"REVISAR"))))</f>
        <v/>
      </c>
      <c r="K1362" s="36">
        <f>IF(OR($C1362="",$D1362=""),"",IF($D1362&gt;=$C1362,($D1362-$C1362)*24,(1-$C1362+$D1362)*24))</f>
        <v/>
      </c>
      <c r="L1362" s="34" t="n"/>
      <c r="M1362" s="53">
        <f t="array" ref="M1362">IFERROR(INDEX(EXCEPCIONES_FECHA!$D$2:$D$201,MATCH(1,(EXCEPCIONES_FECHA!$A$2:$A$201=$A1362)*(EXCEPCIONES_FECHA!$B$2:$B$201=$B1362),0)),IFERROR(INDEX(EXCEPCIONES_FECHA!$D$2:$D$201,MATCH(1,(EXCEPCIONES_FECHA!$A$2:$A$201=$A1362)*(EXCEPCIONES_FECHA!$B$2:$B$201=""),0)),IFERROR(INDEX(IF($I1362="FIN",HISTORIAL_HORARIOS!$J$2:$J$201,HISTORIAL_HORARIOS!$F$2:$F$201),MATCH(1,(HISTORIAL_HORARIOS!$A$2:$A$201=$B1362)*(HISTORIAL_HORARIOS!$C$2:$C$201&lt;=$A1362)*(HISTORIAL_HORARIOS!$D$2:$D$201&gt;=$A1362),0)),INDEX(IF($I1362="FIN",PERSONAL!$J$2:$J$80,PERSONAL!$F$2:$F$80),MATCH($B1362,PERSONAL!$A$2:$A$80,0)))))</f>
        <v/>
      </c>
      <c r="N1362" s="53">
        <f t="array" ref="N1362">IFERROR(INDEX(EXCEPCIONES_FECHA!$E$2:$E$201,MATCH(1,(EXCEPCIONES_FECHA!$A$2:$A$201=$A1362)*(EXCEPCIONES_FECHA!$B$2:$B$201=$B1362),0)),IFERROR(INDEX(EXCEPCIONES_FECHA!$E$2:$E$201,MATCH(1,(EXCEPCIONES_FECHA!$A$2:$A$201=$A1362)*(EXCEPCIONES_FECHA!$B$2:$B$201=""),0)),IFERROR(INDEX(IF($I1362="FIN",HISTORIAL_HORARIOS!$K$2:$K$201,HISTORIAL_HORARIOS!$G$2:$G$201),MATCH(1,(HISTORIAL_HORARIOS!$A$2:$A$201=$B1362)*(HISTORIAL_HORARIOS!$C$2:$C$201&lt;=$A1362)*(HISTORIAL_HORARIOS!$D$2:$D$201&gt;=$A1362),0)),INDEX(IF($I1362="FIN",PERSONAL!$K$2:$K$80,PERSONAL!$G$2:$G$80),MATCH($B1362,PERSONAL!$A$2:$A$80,0)))))</f>
        <v/>
      </c>
      <c r="O1362" s="53">
        <f t="array" ref="O1362">IFERROR(INDEX(EXCEPCIONES_FECHA!$F$2:$F$201,MATCH(1,(EXCEPCIONES_FECHA!$A$2:$A$201=$A1362)*(EXCEPCIONES_FECHA!$B$2:$B$201=$B1362),0)),IFERROR(INDEX(EXCEPCIONES_FECHA!$F$2:$F$201,MATCH(1,(EXCEPCIONES_FECHA!$A$2:$A$201=$A1362)*(EXCEPCIONES_FECHA!$B$2:$B$201=""),0)),IFERROR(INDEX(IF($I1362="FIN",HISTORIAL_HORARIOS!$L$2:$L$201,HISTORIAL_HORARIOS!$H$2:$H$201),MATCH(1,(HISTORIAL_HORARIOS!$A$2:$A$201=$B1362)*(HISTORIAL_HORARIOS!$C$2:$C$201&lt;=$A1362)*(HISTORIAL_HORARIOS!$D$2:$D$201&gt;=$A1362),0)),INDEX(IF($I1362="FIN",PERSONAL!$L$2:$L$80,PERSONAL!$H$2:$H$80),MATCH($B1362,PERSONAL!$A$2:$A$80,0)))))</f>
        <v/>
      </c>
    </row>
    <row r="1363" ht="15" customHeight="1" s="58">
      <c r="A1363" s="40" t="n"/>
      <c r="B1363" s="38" t="n"/>
      <c r="C1363" s="40" t="n"/>
      <c r="D1363" s="40" t="n"/>
      <c r="E1363" s="34">
        <f t="array" ref="E1363">IF($B1363="","",IFERROR(INDEX(PERSONAL!$B$2:$B$80,MATCH($B1363,PERSONAL!$A$2:$A$80,0)),"NO EXISTE"))</f>
        <v/>
      </c>
      <c r="F1363" s="34">
        <f t="array" ref="F1363">IF($B1363="","",IFERROR(INDEX(PERSONAL!$C$2:$C$80,MATCH($B1363,PERSONAL!$A$2:$A$80,0)),""))</f>
        <v/>
      </c>
      <c r="G1363" s="34">
        <f>IF($A1363="","",CHOOSE(WEEKDAY($A1363,2),"LUNES","MARTES","MIÉRCOLES","JUEVES","VIERNES","SÁBADO","DOMINGO"))</f>
        <v/>
      </c>
      <c r="H1363" s="34">
        <f>IF($A1363="","",CHOOSE(MONTH($A1363),"ENERO","FEBRERO","MARZO","ABRIL","MAYO","JUNIO","JULIO","AGOSTO","SEPTIEMBRE","OCTUBRE","NOVIEMBRE","DICIEMBRE"))</f>
        <v/>
      </c>
      <c r="I1363" s="34">
        <f>IF($A1363="","",IF(OR($G1363="SÁBADO",$G1363="DOMINGO"),"FIN","LV"))</f>
        <v/>
      </c>
      <c r="J1363" s="34">
        <f>IF(OR($A1363="",$B1363=""),"",IF($L1363&lt;&gt;"",UPPER($L1363),IF($C1363="","FALTA",IFERROR(IF($C1363&gt;=$O1363,"ROJO FUERTE",IF($C1363&gt;=$N1363,"ROJO",IF($C1363&gt;=$M1363,"AMARILLO","VERDE"))),"REVISAR"))))</f>
        <v/>
      </c>
      <c r="K1363" s="36">
        <f>IF(OR($C1363="",$D1363=""),"",IF($D1363&gt;=$C1363,($D1363-$C1363)*24,(1-$C1363+$D1363)*24))</f>
        <v/>
      </c>
      <c r="L1363" s="34" t="n"/>
      <c r="M1363" s="53">
        <f t="array" ref="M1363">IFERROR(INDEX(EXCEPCIONES_FECHA!$D$2:$D$201,MATCH(1,(EXCEPCIONES_FECHA!$A$2:$A$201=$A1363)*(EXCEPCIONES_FECHA!$B$2:$B$201=$B1363),0)),IFERROR(INDEX(EXCEPCIONES_FECHA!$D$2:$D$201,MATCH(1,(EXCEPCIONES_FECHA!$A$2:$A$201=$A1363)*(EXCEPCIONES_FECHA!$B$2:$B$201=""),0)),IFERROR(INDEX(IF($I1363="FIN",HISTORIAL_HORARIOS!$J$2:$J$201,HISTORIAL_HORARIOS!$F$2:$F$201),MATCH(1,(HISTORIAL_HORARIOS!$A$2:$A$201=$B1363)*(HISTORIAL_HORARIOS!$C$2:$C$201&lt;=$A1363)*(HISTORIAL_HORARIOS!$D$2:$D$201&gt;=$A1363),0)),INDEX(IF($I1363="FIN",PERSONAL!$J$2:$J$80,PERSONAL!$F$2:$F$80),MATCH($B1363,PERSONAL!$A$2:$A$80,0)))))</f>
        <v/>
      </c>
      <c r="N1363" s="53">
        <f t="array" ref="N1363">IFERROR(INDEX(EXCEPCIONES_FECHA!$E$2:$E$201,MATCH(1,(EXCEPCIONES_FECHA!$A$2:$A$201=$A1363)*(EXCEPCIONES_FECHA!$B$2:$B$201=$B1363),0)),IFERROR(INDEX(EXCEPCIONES_FECHA!$E$2:$E$201,MATCH(1,(EXCEPCIONES_FECHA!$A$2:$A$201=$A1363)*(EXCEPCIONES_FECHA!$B$2:$B$201=""),0)),IFERROR(INDEX(IF($I1363="FIN",HISTORIAL_HORARIOS!$K$2:$K$201,HISTORIAL_HORARIOS!$G$2:$G$201),MATCH(1,(HISTORIAL_HORARIOS!$A$2:$A$201=$B1363)*(HISTORIAL_HORARIOS!$C$2:$C$201&lt;=$A1363)*(HISTORIAL_HORARIOS!$D$2:$D$201&gt;=$A1363),0)),INDEX(IF($I1363="FIN",PERSONAL!$K$2:$K$80,PERSONAL!$G$2:$G$80),MATCH($B1363,PERSONAL!$A$2:$A$80,0)))))</f>
        <v/>
      </c>
      <c r="O1363" s="53">
        <f t="array" ref="O1363">IFERROR(INDEX(EXCEPCIONES_FECHA!$F$2:$F$201,MATCH(1,(EXCEPCIONES_FECHA!$A$2:$A$201=$A1363)*(EXCEPCIONES_FECHA!$B$2:$B$201=$B1363),0)),IFERROR(INDEX(EXCEPCIONES_FECHA!$F$2:$F$201,MATCH(1,(EXCEPCIONES_FECHA!$A$2:$A$201=$A1363)*(EXCEPCIONES_FECHA!$B$2:$B$201=""),0)),IFERROR(INDEX(IF($I1363="FIN",HISTORIAL_HORARIOS!$L$2:$L$201,HISTORIAL_HORARIOS!$H$2:$H$201),MATCH(1,(HISTORIAL_HORARIOS!$A$2:$A$201=$B1363)*(HISTORIAL_HORARIOS!$C$2:$C$201&lt;=$A1363)*(HISTORIAL_HORARIOS!$D$2:$D$201&gt;=$A1363),0)),INDEX(IF($I1363="FIN",PERSONAL!$L$2:$L$80,PERSONAL!$H$2:$H$80),MATCH($B1363,PERSONAL!$A$2:$A$80,0)))))</f>
        <v/>
      </c>
    </row>
    <row r="1364" ht="15" customHeight="1" s="58">
      <c r="A1364" s="40" t="n"/>
      <c r="B1364" s="38" t="n"/>
      <c r="C1364" s="40" t="n"/>
      <c r="D1364" s="40" t="n"/>
      <c r="E1364" s="34">
        <f t="array" ref="E1364">IF($B1364="","",IFERROR(INDEX(PERSONAL!$B$2:$B$80,MATCH($B1364,PERSONAL!$A$2:$A$80,0)),"NO EXISTE"))</f>
        <v/>
      </c>
      <c r="F1364" s="34">
        <f t="array" ref="F1364">IF($B1364="","",IFERROR(INDEX(PERSONAL!$C$2:$C$80,MATCH($B1364,PERSONAL!$A$2:$A$80,0)),""))</f>
        <v/>
      </c>
      <c r="G1364" s="34">
        <f>IF($A1364="","",CHOOSE(WEEKDAY($A1364,2),"LUNES","MARTES","MIÉRCOLES","JUEVES","VIERNES","SÁBADO","DOMINGO"))</f>
        <v/>
      </c>
      <c r="H1364" s="34">
        <f>IF($A1364="","",CHOOSE(MONTH($A1364),"ENERO","FEBRERO","MARZO","ABRIL","MAYO","JUNIO","JULIO","AGOSTO","SEPTIEMBRE","OCTUBRE","NOVIEMBRE","DICIEMBRE"))</f>
        <v/>
      </c>
      <c r="I1364" s="34">
        <f>IF($A1364="","",IF(OR($G1364="SÁBADO",$G1364="DOMINGO"),"FIN","LV"))</f>
        <v/>
      </c>
      <c r="J1364" s="34">
        <f>IF(OR($A1364="",$B1364=""),"",IF($L1364&lt;&gt;"",UPPER($L1364),IF($C1364="","FALTA",IFERROR(IF($C1364&gt;=$O1364,"ROJO FUERTE",IF($C1364&gt;=$N1364,"ROJO",IF($C1364&gt;=$M1364,"AMARILLO","VERDE"))),"REVISAR"))))</f>
        <v/>
      </c>
      <c r="K1364" s="36">
        <f>IF(OR($C1364="",$D1364=""),"",IF($D1364&gt;=$C1364,($D1364-$C1364)*24,(1-$C1364+$D1364)*24))</f>
        <v/>
      </c>
      <c r="L1364" s="34" t="n"/>
      <c r="M1364" s="53">
        <f t="array" ref="M1364">IFERROR(INDEX(EXCEPCIONES_FECHA!$D$2:$D$201,MATCH(1,(EXCEPCIONES_FECHA!$A$2:$A$201=$A1364)*(EXCEPCIONES_FECHA!$B$2:$B$201=$B1364),0)),IFERROR(INDEX(EXCEPCIONES_FECHA!$D$2:$D$201,MATCH(1,(EXCEPCIONES_FECHA!$A$2:$A$201=$A1364)*(EXCEPCIONES_FECHA!$B$2:$B$201=""),0)),IFERROR(INDEX(IF($I1364="FIN",HISTORIAL_HORARIOS!$J$2:$J$201,HISTORIAL_HORARIOS!$F$2:$F$201),MATCH(1,(HISTORIAL_HORARIOS!$A$2:$A$201=$B1364)*(HISTORIAL_HORARIOS!$C$2:$C$201&lt;=$A1364)*(HISTORIAL_HORARIOS!$D$2:$D$201&gt;=$A1364),0)),INDEX(IF($I1364="FIN",PERSONAL!$J$2:$J$80,PERSONAL!$F$2:$F$80),MATCH($B1364,PERSONAL!$A$2:$A$80,0)))))</f>
        <v/>
      </c>
      <c r="N1364" s="53">
        <f t="array" ref="N1364">IFERROR(INDEX(EXCEPCIONES_FECHA!$E$2:$E$201,MATCH(1,(EXCEPCIONES_FECHA!$A$2:$A$201=$A1364)*(EXCEPCIONES_FECHA!$B$2:$B$201=$B1364),0)),IFERROR(INDEX(EXCEPCIONES_FECHA!$E$2:$E$201,MATCH(1,(EXCEPCIONES_FECHA!$A$2:$A$201=$A1364)*(EXCEPCIONES_FECHA!$B$2:$B$201=""),0)),IFERROR(INDEX(IF($I1364="FIN",HISTORIAL_HORARIOS!$K$2:$K$201,HISTORIAL_HORARIOS!$G$2:$G$201),MATCH(1,(HISTORIAL_HORARIOS!$A$2:$A$201=$B1364)*(HISTORIAL_HORARIOS!$C$2:$C$201&lt;=$A1364)*(HISTORIAL_HORARIOS!$D$2:$D$201&gt;=$A1364),0)),INDEX(IF($I1364="FIN",PERSONAL!$K$2:$K$80,PERSONAL!$G$2:$G$80),MATCH($B1364,PERSONAL!$A$2:$A$80,0)))))</f>
        <v/>
      </c>
      <c r="O1364" s="53">
        <f t="array" ref="O1364">IFERROR(INDEX(EXCEPCIONES_FECHA!$F$2:$F$201,MATCH(1,(EXCEPCIONES_FECHA!$A$2:$A$201=$A1364)*(EXCEPCIONES_FECHA!$B$2:$B$201=$B1364),0)),IFERROR(INDEX(EXCEPCIONES_FECHA!$F$2:$F$201,MATCH(1,(EXCEPCIONES_FECHA!$A$2:$A$201=$A1364)*(EXCEPCIONES_FECHA!$B$2:$B$201=""),0)),IFERROR(INDEX(IF($I1364="FIN",HISTORIAL_HORARIOS!$L$2:$L$201,HISTORIAL_HORARIOS!$H$2:$H$201),MATCH(1,(HISTORIAL_HORARIOS!$A$2:$A$201=$B1364)*(HISTORIAL_HORARIOS!$C$2:$C$201&lt;=$A1364)*(HISTORIAL_HORARIOS!$D$2:$D$201&gt;=$A1364),0)),INDEX(IF($I1364="FIN",PERSONAL!$L$2:$L$80,PERSONAL!$H$2:$H$80),MATCH($B1364,PERSONAL!$A$2:$A$80,0)))))</f>
        <v/>
      </c>
    </row>
    <row r="1365" ht="15" customHeight="1" s="58">
      <c r="A1365" s="40" t="n"/>
      <c r="B1365" s="38" t="n"/>
      <c r="C1365" s="40" t="n"/>
      <c r="D1365" s="40" t="n"/>
      <c r="E1365" s="34">
        <f t="array" ref="E1365">IF($B1365="","",IFERROR(INDEX(PERSONAL!$B$2:$B$80,MATCH($B1365,PERSONAL!$A$2:$A$80,0)),"NO EXISTE"))</f>
        <v/>
      </c>
      <c r="F1365" s="34">
        <f t="array" ref="F1365">IF($B1365="","",IFERROR(INDEX(PERSONAL!$C$2:$C$80,MATCH($B1365,PERSONAL!$A$2:$A$80,0)),""))</f>
        <v/>
      </c>
      <c r="G1365" s="34">
        <f>IF($A1365="","",CHOOSE(WEEKDAY($A1365,2),"LUNES","MARTES","MIÉRCOLES","JUEVES","VIERNES","SÁBADO","DOMINGO"))</f>
        <v/>
      </c>
      <c r="H1365" s="34">
        <f>IF($A1365="","",CHOOSE(MONTH($A1365),"ENERO","FEBRERO","MARZO","ABRIL","MAYO","JUNIO","JULIO","AGOSTO","SEPTIEMBRE","OCTUBRE","NOVIEMBRE","DICIEMBRE"))</f>
        <v/>
      </c>
      <c r="I1365" s="34">
        <f>IF($A1365="","",IF(OR($G1365="SÁBADO",$G1365="DOMINGO"),"FIN","LV"))</f>
        <v/>
      </c>
      <c r="J1365" s="34">
        <f>IF(OR($A1365="",$B1365=""),"",IF($L1365&lt;&gt;"",UPPER($L1365),IF($C1365="","FALTA",IFERROR(IF($C1365&gt;=$O1365,"ROJO FUERTE",IF($C1365&gt;=$N1365,"ROJO",IF($C1365&gt;=$M1365,"AMARILLO","VERDE"))),"REVISAR"))))</f>
        <v/>
      </c>
      <c r="K1365" s="36">
        <f>IF(OR($C1365="",$D1365=""),"",IF($D1365&gt;=$C1365,($D1365-$C1365)*24,(1-$C1365+$D1365)*24))</f>
        <v/>
      </c>
      <c r="L1365" s="34" t="n"/>
      <c r="M1365" s="53">
        <f t="array" ref="M1365">IFERROR(INDEX(EXCEPCIONES_FECHA!$D$2:$D$201,MATCH(1,(EXCEPCIONES_FECHA!$A$2:$A$201=$A1365)*(EXCEPCIONES_FECHA!$B$2:$B$201=$B1365),0)),IFERROR(INDEX(EXCEPCIONES_FECHA!$D$2:$D$201,MATCH(1,(EXCEPCIONES_FECHA!$A$2:$A$201=$A1365)*(EXCEPCIONES_FECHA!$B$2:$B$201=""),0)),IFERROR(INDEX(IF($I1365="FIN",HISTORIAL_HORARIOS!$J$2:$J$201,HISTORIAL_HORARIOS!$F$2:$F$201),MATCH(1,(HISTORIAL_HORARIOS!$A$2:$A$201=$B1365)*(HISTORIAL_HORARIOS!$C$2:$C$201&lt;=$A1365)*(HISTORIAL_HORARIOS!$D$2:$D$201&gt;=$A1365),0)),INDEX(IF($I1365="FIN",PERSONAL!$J$2:$J$80,PERSONAL!$F$2:$F$80),MATCH($B1365,PERSONAL!$A$2:$A$80,0)))))</f>
        <v/>
      </c>
      <c r="N1365" s="53">
        <f t="array" ref="N1365">IFERROR(INDEX(EXCEPCIONES_FECHA!$E$2:$E$201,MATCH(1,(EXCEPCIONES_FECHA!$A$2:$A$201=$A1365)*(EXCEPCIONES_FECHA!$B$2:$B$201=$B1365),0)),IFERROR(INDEX(EXCEPCIONES_FECHA!$E$2:$E$201,MATCH(1,(EXCEPCIONES_FECHA!$A$2:$A$201=$A1365)*(EXCEPCIONES_FECHA!$B$2:$B$201=""),0)),IFERROR(INDEX(IF($I1365="FIN",HISTORIAL_HORARIOS!$K$2:$K$201,HISTORIAL_HORARIOS!$G$2:$G$201),MATCH(1,(HISTORIAL_HORARIOS!$A$2:$A$201=$B1365)*(HISTORIAL_HORARIOS!$C$2:$C$201&lt;=$A1365)*(HISTORIAL_HORARIOS!$D$2:$D$201&gt;=$A1365),0)),INDEX(IF($I1365="FIN",PERSONAL!$K$2:$K$80,PERSONAL!$G$2:$G$80),MATCH($B1365,PERSONAL!$A$2:$A$80,0)))))</f>
        <v/>
      </c>
      <c r="O1365" s="53">
        <f t="array" ref="O1365">IFERROR(INDEX(EXCEPCIONES_FECHA!$F$2:$F$201,MATCH(1,(EXCEPCIONES_FECHA!$A$2:$A$201=$A1365)*(EXCEPCIONES_FECHA!$B$2:$B$201=$B1365),0)),IFERROR(INDEX(EXCEPCIONES_FECHA!$F$2:$F$201,MATCH(1,(EXCEPCIONES_FECHA!$A$2:$A$201=$A1365)*(EXCEPCIONES_FECHA!$B$2:$B$201=""),0)),IFERROR(INDEX(IF($I1365="FIN",HISTORIAL_HORARIOS!$L$2:$L$201,HISTORIAL_HORARIOS!$H$2:$H$201),MATCH(1,(HISTORIAL_HORARIOS!$A$2:$A$201=$B1365)*(HISTORIAL_HORARIOS!$C$2:$C$201&lt;=$A1365)*(HISTORIAL_HORARIOS!$D$2:$D$201&gt;=$A1365),0)),INDEX(IF($I1365="FIN",PERSONAL!$L$2:$L$80,PERSONAL!$H$2:$H$80),MATCH($B1365,PERSONAL!$A$2:$A$80,0)))))</f>
        <v/>
      </c>
    </row>
    <row r="1366" ht="15" customHeight="1" s="58">
      <c r="A1366" s="40" t="n"/>
      <c r="B1366" s="38" t="n"/>
      <c r="C1366" s="40" t="n"/>
      <c r="D1366" s="40" t="n"/>
      <c r="E1366" s="34">
        <f t="array" ref="E1366">IF($B1366="","",IFERROR(INDEX(PERSONAL!$B$2:$B$80,MATCH($B1366,PERSONAL!$A$2:$A$80,0)),"NO EXISTE"))</f>
        <v/>
      </c>
      <c r="F1366" s="34">
        <f t="array" ref="F1366">IF($B1366="","",IFERROR(INDEX(PERSONAL!$C$2:$C$80,MATCH($B1366,PERSONAL!$A$2:$A$80,0)),""))</f>
        <v/>
      </c>
      <c r="G1366" s="34">
        <f>IF($A1366="","",CHOOSE(WEEKDAY($A1366,2),"LUNES","MARTES","MIÉRCOLES","JUEVES","VIERNES","SÁBADO","DOMINGO"))</f>
        <v/>
      </c>
      <c r="H1366" s="34">
        <f>IF($A1366="","",CHOOSE(MONTH($A1366),"ENERO","FEBRERO","MARZO","ABRIL","MAYO","JUNIO","JULIO","AGOSTO","SEPTIEMBRE","OCTUBRE","NOVIEMBRE","DICIEMBRE"))</f>
        <v/>
      </c>
      <c r="I1366" s="34">
        <f>IF($A1366="","",IF(OR($G1366="SÁBADO",$G1366="DOMINGO"),"FIN","LV"))</f>
        <v/>
      </c>
      <c r="J1366" s="34">
        <f>IF(OR($A1366="",$B1366=""),"",IF($L1366&lt;&gt;"",UPPER($L1366),IF($C1366="","FALTA",IFERROR(IF($C1366&gt;=$O1366,"ROJO FUERTE",IF($C1366&gt;=$N1366,"ROJO",IF($C1366&gt;=$M1366,"AMARILLO","VERDE"))),"REVISAR"))))</f>
        <v/>
      </c>
      <c r="K1366" s="36">
        <f>IF(OR($C1366="",$D1366=""),"",IF($D1366&gt;=$C1366,($D1366-$C1366)*24,(1-$C1366+$D1366)*24))</f>
        <v/>
      </c>
      <c r="L1366" s="34" t="n"/>
      <c r="M1366" s="53">
        <f t="array" ref="M1366">IFERROR(INDEX(EXCEPCIONES_FECHA!$D$2:$D$201,MATCH(1,(EXCEPCIONES_FECHA!$A$2:$A$201=$A1366)*(EXCEPCIONES_FECHA!$B$2:$B$201=$B1366),0)),IFERROR(INDEX(EXCEPCIONES_FECHA!$D$2:$D$201,MATCH(1,(EXCEPCIONES_FECHA!$A$2:$A$201=$A1366)*(EXCEPCIONES_FECHA!$B$2:$B$201=""),0)),IFERROR(INDEX(IF($I1366="FIN",HISTORIAL_HORARIOS!$J$2:$J$201,HISTORIAL_HORARIOS!$F$2:$F$201),MATCH(1,(HISTORIAL_HORARIOS!$A$2:$A$201=$B1366)*(HISTORIAL_HORARIOS!$C$2:$C$201&lt;=$A1366)*(HISTORIAL_HORARIOS!$D$2:$D$201&gt;=$A1366),0)),INDEX(IF($I1366="FIN",PERSONAL!$J$2:$J$80,PERSONAL!$F$2:$F$80),MATCH($B1366,PERSONAL!$A$2:$A$80,0)))))</f>
        <v/>
      </c>
      <c r="N1366" s="53">
        <f t="array" ref="N1366">IFERROR(INDEX(EXCEPCIONES_FECHA!$E$2:$E$201,MATCH(1,(EXCEPCIONES_FECHA!$A$2:$A$201=$A1366)*(EXCEPCIONES_FECHA!$B$2:$B$201=$B1366),0)),IFERROR(INDEX(EXCEPCIONES_FECHA!$E$2:$E$201,MATCH(1,(EXCEPCIONES_FECHA!$A$2:$A$201=$A1366)*(EXCEPCIONES_FECHA!$B$2:$B$201=""),0)),IFERROR(INDEX(IF($I1366="FIN",HISTORIAL_HORARIOS!$K$2:$K$201,HISTORIAL_HORARIOS!$G$2:$G$201),MATCH(1,(HISTORIAL_HORARIOS!$A$2:$A$201=$B1366)*(HISTORIAL_HORARIOS!$C$2:$C$201&lt;=$A1366)*(HISTORIAL_HORARIOS!$D$2:$D$201&gt;=$A1366),0)),INDEX(IF($I1366="FIN",PERSONAL!$K$2:$K$80,PERSONAL!$G$2:$G$80),MATCH($B1366,PERSONAL!$A$2:$A$80,0)))))</f>
        <v/>
      </c>
      <c r="O1366" s="53">
        <f t="array" ref="O1366">IFERROR(INDEX(EXCEPCIONES_FECHA!$F$2:$F$201,MATCH(1,(EXCEPCIONES_FECHA!$A$2:$A$201=$A1366)*(EXCEPCIONES_FECHA!$B$2:$B$201=$B1366),0)),IFERROR(INDEX(EXCEPCIONES_FECHA!$F$2:$F$201,MATCH(1,(EXCEPCIONES_FECHA!$A$2:$A$201=$A1366)*(EXCEPCIONES_FECHA!$B$2:$B$201=""),0)),IFERROR(INDEX(IF($I1366="FIN",HISTORIAL_HORARIOS!$L$2:$L$201,HISTORIAL_HORARIOS!$H$2:$H$201),MATCH(1,(HISTORIAL_HORARIOS!$A$2:$A$201=$B1366)*(HISTORIAL_HORARIOS!$C$2:$C$201&lt;=$A1366)*(HISTORIAL_HORARIOS!$D$2:$D$201&gt;=$A1366),0)),INDEX(IF($I1366="FIN",PERSONAL!$L$2:$L$80,PERSONAL!$H$2:$H$80),MATCH($B1366,PERSONAL!$A$2:$A$80,0)))))</f>
        <v/>
      </c>
    </row>
    <row r="1367" ht="15" customHeight="1" s="58">
      <c r="A1367" s="40" t="n"/>
      <c r="B1367" s="38" t="n"/>
      <c r="C1367" s="40" t="n"/>
      <c r="D1367" s="40" t="n"/>
      <c r="E1367" s="34">
        <f t="array" ref="E1367">IF($B1367="","",IFERROR(INDEX(PERSONAL!$B$2:$B$80,MATCH($B1367,PERSONAL!$A$2:$A$80,0)),"NO EXISTE"))</f>
        <v/>
      </c>
      <c r="F1367" s="34">
        <f t="array" ref="F1367">IF($B1367="","",IFERROR(INDEX(PERSONAL!$C$2:$C$80,MATCH($B1367,PERSONAL!$A$2:$A$80,0)),""))</f>
        <v/>
      </c>
      <c r="G1367" s="34">
        <f>IF($A1367="","",CHOOSE(WEEKDAY($A1367,2),"LUNES","MARTES","MIÉRCOLES","JUEVES","VIERNES","SÁBADO","DOMINGO"))</f>
        <v/>
      </c>
      <c r="H1367" s="34">
        <f>IF($A1367="","",CHOOSE(MONTH($A1367),"ENERO","FEBRERO","MARZO","ABRIL","MAYO","JUNIO","JULIO","AGOSTO","SEPTIEMBRE","OCTUBRE","NOVIEMBRE","DICIEMBRE"))</f>
        <v/>
      </c>
      <c r="I1367" s="34">
        <f>IF($A1367="","",IF(OR($G1367="SÁBADO",$G1367="DOMINGO"),"FIN","LV"))</f>
        <v/>
      </c>
      <c r="J1367" s="34">
        <f>IF(OR($A1367="",$B1367=""),"",IF($L1367&lt;&gt;"",UPPER($L1367),IF($C1367="","FALTA",IFERROR(IF($C1367&gt;=$O1367,"ROJO FUERTE",IF($C1367&gt;=$N1367,"ROJO",IF($C1367&gt;=$M1367,"AMARILLO","VERDE"))),"REVISAR"))))</f>
        <v/>
      </c>
      <c r="K1367" s="36">
        <f>IF(OR($C1367="",$D1367=""),"",IF($D1367&gt;=$C1367,($D1367-$C1367)*24,(1-$C1367+$D1367)*24))</f>
        <v/>
      </c>
      <c r="L1367" s="34" t="n"/>
      <c r="M1367" s="53">
        <f t="array" ref="M1367">IFERROR(INDEX(EXCEPCIONES_FECHA!$D$2:$D$201,MATCH(1,(EXCEPCIONES_FECHA!$A$2:$A$201=$A1367)*(EXCEPCIONES_FECHA!$B$2:$B$201=$B1367),0)),IFERROR(INDEX(EXCEPCIONES_FECHA!$D$2:$D$201,MATCH(1,(EXCEPCIONES_FECHA!$A$2:$A$201=$A1367)*(EXCEPCIONES_FECHA!$B$2:$B$201=""),0)),IFERROR(INDEX(IF($I1367="FIN",HISTORIAL_HORARIOS!$J$2:$J$201,HISTORIAL_HORARIOS!$F$2:$F$201),MATCH(1,(HISTORIAL_HORARIOS!$A$2:$A$201=$B1367)*(HISTORIAL_HORARIOS!$C$2:$C$201&lt;=$A1367)*(HISTORIAL_HORARIOS!$D$2:$D$201&gt;=$A1367),0)),INDEX(IF($I1367="FIN",PERSONAL!$J$2:$J$80,PERSONAL!$F$2:$F$80),MATCH($B1367,PERSONAL!$A$2:$A$80,0)))))</f>
        <v/>
      </c>
      <c r="N1367" s="53">
        <f t="array" ref="N1367">IFERROR(INDEX(EXCEPCIONES_FECHA!$E$2:$E$201,MATCH(1,(EXCEPCIONES_FECHA!$A$2:$A$201=$A1367)*(EXCEPCIONES_FECHA!$B$2:$B$201=$B1367),0)),IFERROR(INDEX(EXCEPCIONES_FECHA!$E$2:$E$201,MATCH(1,(EXCEPCIONES_FECHA!$A$2:$A$201=$A1367)*(EXCEPCIONES_FECHA!$B$2:$B$201=""),0)),IFERROR(INDEX(IF($I1367="FIN",HISTORIAL_HORARIOS!$K$2:$K$201,HISTORIAL_HORARIOS!$G$2:$G$201),MATCH(1,(HISTORIAL_HORARIOS!$A$2:$A$201=$B1367)*(HISTORIAL_HORARIOS!$C$2:$C$201&lt;=$A1367)*(HISTORIAL_HORARIOS!$D$2:$D$201&gt;=$A1367),0)),INDEX(IF($I1367="FIN",PERSONAL!$K$2:$K$80,PERSONAL!$G$2:$G$80),MATCH($B1367,PERSONAL!$A$2:$A$80,0)))))</f>
        <v/>
      </c>
      <c r="O1367" s="53">
        <f t="array" ref="O1367">IFERROR(INDEX(EXCEPCIONES_FECHA!$F$2:$F$201,MATCH(1,(EXCEPCIONES_FECHA!$A$2:$A$201=$A1367)*(EXCEPCIONES_FECHA!$B$2:$B$201=$B1367),0)),IFERROR(INDEX(EXCEPCIONES_FECHA!$F$2:$F$201,MATCH(1,(EXCEPCIONES_FECHA!$A$2:$A$201=$A1367)*(EXCEPCIONES_FECHA!$B$2:$B$201=""),0)),IFERROR(INDEX(IF($I1367="FIN",HISTORIAL_HORARIOS!$L$2:$L$201,HISTORIAL_HORARIOS!$H$2:$H$201),MATCH(1,(HISTORIAL_HORARIOS!$A$2:$A$201=$B1367)*(HISTORIAL_HORARIOS!$C$2:$C$201&lt;=$A1367)*(HISTORIAL_HORARIOS!$D$2:$D$201&gt;=$A1367),0)),INDEX(IF($I1367="FIN",PERSONAL!$L$2:$L$80,PERSONAL!$H$2:$H$80),MATCH($B1367,PERSONAL!$A$2:$A$80,0)))))</f>
        <v/>
      </c>
    </row>
    <row r="1368" ht="15" customHeight="1" s="58">
      <c r="A1368" s="40" t="n"/>
      <c r="B1368" s="38" t="n"/>
      <c r="C1368" s="40" t="n"/>
      <c r="D1368" s="40" t="n"/>
      <c r="E1368" s="34">
        <f t="array" ref="E1368">IF($B1368="","",IFERROR(INDEX(PERSONAL!$B$2:$B$80,MATCH($B1368,PERSONAL!$A$2:$A$80,0)),"NO EXISTE"))</f>
        <v/>
      </c>
      <c r="F1368" s="34">
        <f t="array" ref="F1368">IF($B1368="","",IFERROR(INDEX(PERSONAL!$C$2:$C$80,MATCH($B1368,PERSONAL!$A$2:$A$80,0)),""))</f>
        <v/>
      </c>
      <c r="G1368" s="34">
        <f>IF($A1368="","",CHOOSE(WEEKDAY($A1368,2),"LUNES","MARTES","MIÉRCOLES","JUEVES","VIERNES","SÁBADO","DOMINGO"))</f>
        <v/>
      </c>
      <c r="H1368" s="34">
        <f>IF($A1368="","",CHOOSE(MONTH($A1368),"ENERO","FEBRERO","MARZO","ABRIL","MAYO","JUNIO","JULIO","AGOSTO","SEPTIEMBRE","OCTUBRE","NOVIEMBRE","DICIEMBRE"))</f>
        <v/>
      </c>
      <c r="I1368" s="34">
        <f>IF($A1368="","",IF(OR($G1368="SÁBADO",$G1368="DOMINGO"),"FIN","LV"))</f>
        <v/>
      </c>
      <c r="J1368" s="34">
        <f>IF(OR($A1368="",$B1368=""),"",IF($L1368&lt;&gt;"",UPPER($L1368),IF($C1368="","FALTA",IFERROR(IF($C1368&gt;=$O1368,"ROJO FUERTE",IF($C1368&gt;=$N1368,"ROJO",IF($C1368&gt;=$M1368,"AMARILLO","VERDE"))),"REVISAR"))))</f>
        <v/>
      </c>
      <c r="K1368" s="36">
        <f>IF(OR($C1368="",$D1368=""),"",IF($D1368&gt;=$C1368,($D1368-$C1368)*24,(1-$C1368+$D1368)*24))</f>
        <v/>
      </c>
      <c r="L1368" s="34" t="n"/>
      <c r="M1368" s="53">
        <f t="array" ref="M1368">IFERROR(INDEX(EXCEPCIONES_FECHA!$D$2:$D$201,MATCH(1,(EXCEPCIONES_FECHA!$A$2:$A$201=$A1368)*(EXCEPCIONES_FECHA!$B$2:$B$201=$B1368),0)),IFERROR(INDEX(EXCEPCIONES_FECHA!$D$2:$D$201,MATCH(1,(EXCEPCIONES_FECHA!$A$2:$A$201=$A1368)*(EXCEPCIONES_FECHA!$B$2:$B$201=""),0)),IFERROR(INDEX(IF($I1368="FIN",HISTORIAL_HORARIOS!$J$2:$J$201,HISTORIAL_HORARIOS!$F$2:$F$201),MATCH(1,(HISTORIAL_HORARIOS!$A$2:$A$201=$B1368)*(HISTORIAL_HORARIOS!$C$2:$C$201&lt;=$A1368)*(HISTORIAL_HORARIOS!$D$2:$D$201&gt;=$A1368),0)),INDEX(IF($I1368="FIN",PERSONAL!$J$2:$J$80,PERSONAL!$F$2:$F$80),MATCH($B1368,PERSONAL!$A$2:$A$80,0)))))</f>
        <v/>
      </c>
      <c r="N1368" s="53">
        <f t="array" ref="N1368">IFERROR(INDEX(EXCEPCIONES_FECHA!$E$2:$E$201,MATCH(1,(EXCEPCIONES_FECHA!$A$2:$A$201=$A1368)*(EXCEPCIONES_FECHA!$B$2:$B$201=$B1368),0)),IFERROR(INDEX(EXCEPCIONES_FECHA!$E$2:$E$201,MATCH(1,(EXCEPCIONES_FECHA!$A$2:$A$201=$A1368)*(EXCEPCIONES_FECHA!$B$2:$B$201=""),0)),IFERROR(INDEX(IF($I1368="FIN",HISTORIAL_HORARIOS!$K$2:$K$201,HISTORIAL_HORARIOS!$G$2:$G$201),MATCH(1,(HISTORIAL_HORARIOS!$A$2:$A$201=$B1368)*(HISTORIAL_HORARIOS!$C$2:$C$201&lt;=$A1368)*(HISTORIAL_HORARIOS!$D$2:$D$201&gt;=$A1368),0)),INDEX(IF($I1368="FIN",PERSONAL!$K$2:$K$80,PERSONAL!$G$2:$G$80),MATCH($B1368,PERSONAL!$A$2:$A$80,0)))))</f>
        <v/>
      </c>
      <c r="O1368" s="53">
        <f t="array" ref="O1368">IFERROR(INDEX(EXCEPCIONES_FECHA!$F$2:$F$201,MATCH(1,(EXCEPCIONES_FECHA!$A$2:$A$201=$A1368)*(EXCEPCIONES_FECHA!$B$2:$B$201=$B1368),0)),IFERROR(INDEX(EXCEPCIONES_FECHA!$F$2:$F$201,MATCH(1,(EXCEPCIONES_FECHA!$A$2:$A$201=$A1368)*(EXCEPCIONES_FECHA!$B$2:$B$201=""),0)),IFERROR(INDEX(IF($I1368="FIN",HISTORIAL_HORARIOS!$L$2:$L$201,HISTORIAL_HORARIOS!$H$2:$H$201),MATCH(1,(HISTORIAL_HORARIOS!$A$2:$A$201=$B1368)*(HISTORIAL_HORARIOS!$C$2:$C$201&lt;=$A1368)*(HISTORIAL_HORARIOS!$D$2:$D$201&gt;=$A1368),0)),INDEX(IF($I1368="FIN",PERSONAL!$L$2:$L$80,PERSONAL!$H$2:$H$80),MATCH($B1368,PERSONAL!$A$2:$A$80,0)))))</f>
        <v/>
      </c>
    </row>
    <row r="1369" ht="15" customHeight="1" s="58">
      <c r="A1369" s="40" t="n"/>
      <c r="B1369" s="38" t="n"/>
      <c r="C1369" s="40" t="n"/>
      <c r="D1369" s="40" t="n"/>
      <c r="E1369" s="34">
        <f t="array" ref="E1369">IF($B1369="","",IFERROR(INDEX(PERSONAL!$B$2:$B$80,MATCH($B1369,PERSONAL!$A$2:$A$80,0)),"NO EXISTE"))</f>
        <v/>
      </c>
      <c r="F1369" s="34">
        <f t="array" ref="F1369">IF($B1369="","",IFERROR(INDEX(PERSONAL!$C$2:$C$80,MATCH($B1369,PERSONAL!$A$2:$A$80,0)),""))</f>
        <v/>
      </c>
      <c r="G1369" s="34">
        <f>IF($A1369="","",CHOOSE(WEEKDAY($A1369,2),"LUNES","MARTES","MIÉRCOLES","JUEVES","VIERNES","SÁBADO","DOMINGO"))</f>
        <v/>
      </c>
      <c r="H1369" s="34">
        <f>IF($A1369="","",CHOOSE(MONTH($A1369),"ENERO","FEBRERO","MARZO","ABRIL","MAYO","JUNIO","JULIO","AGOSTO","SEPTIEMBRE","OCTUBRE","NOVIEMBRE","DICIEMBRE"))</f>
        <v/>
      </c>
      <c r="I1369" s="34">
        <f>IF($A1369="","",IF(OR($G1369="SÁBADO",$G1369="DOMINGO"),"FIN","LV"))</f>
        <v/>
      </c>
      <c r="J1369" s="34">
        <f>IF(OR($A1369="",$B1369=""),"",IF($L1369&lt;&gt;"",UPPER($L1369),IF($C1369="","FALTA",IFERROR(IF($C1369&gt;=$O1369,"ROJO FUERTE",IF($C1369&gt;=$N1369,"ROJO",IF($C1369&gt;=$M1369,"AMARILLO","VERDE"))),"REVISAR"))))</f>
        <v/>
      </c>
      <c r="K1369" s="36">
        <f>IF(OR($C1369="",$D1369=""),"",IF($D1369&gt;=$C1369,($D1369-$C1369)*24,(1-$C1369+$D1369)*24))</f>
        <v/>
      </c>
      <c r="L1369" s="34" t="n"/>
      <c r="M1369" s="53">
        <f t="array" ref="M1369">IFERROR(INDEX(EXCEPCIONES_FECHA!$D$2:$D$201,MATCH(1,(EXCEPCIONES_FECHA!$A$2:$A$201=$A1369)*(EXCEPCIONES_FECHA!$B$2:$B$201=$B1369),0)),IFERROR(INDEX(EXCEPCIONES_FECHA!$D$2:$D$201,MATCH(1,(EXCEPCIONES_FECHA!$A$2:$A$201=$A1369)*(EXCEPCIONES_FECHA!$B$2:$B$201=""),0)),IFERROR(INDEX(IF($I1369="FIN",HISTORIAL_HORARIOS!$J$2:$J$201,HISTORIAL_HORARIOS!$F$2:$F$201),MATCH(1,(HISTORIAL_HORARIOS!$A$2:$A$201=$B1369)*(HISTORIAL_HORARIOS!$C$2:$C$201&lt;=$A1369)*(HISTORIAL_HORARIOS!$D$2:$D$201&gt;=$A1369),0)),INDEX(IF($I1369="FIN",PERSONAL!$J$2:$J$80,PERSONAL!$F$2:$F$80),MATCH($B1369,PERSONAL!$A$2:$A$80,0)))))</f>
        <v/>
      </c>
      <c r="N1369" s="53">
        <f t="array" ref="N1369">IFERROR(INDEX(EXCEPCIONES_FECHA!$E$2:$E$201,MATCH(1,(EXCEPCIONES_FECHA!$A$2:$A$201=$A1369)*(EXCEPCIONES_FECHA!$B$2:$B$201=$B1369),0)),IFERROR(INDEX(EXCEPCIONES_FECHA!$E$2:$E$201,MATCH(1,(EXCEPCIONES_FECHA!$A$2:$A$201=$A1369)*(EXCEPCIONES_FECHA!$B$2:$B$201=""),0)),IFERROR(INDEX(IF($I1369="FIN",HISTORIAL_HORARIOS!$K$2:$K$201,HISTORIAL_HORARIOS!$G$2:$G$201),MATCH(1,(HISTORIAL_HORARIOS!$A$2:$A$201=$B1369)*(HISTORIAL_HORARIOS!$C$2:$C$201&lt;=$A1369)*(HISTORIAL_HORARIOS!$D$2:$D$201&gt;=$A1369),0)),INDEX(IF($I1369="FIN",PERSONAL!$K$2:$K$80,PERSONAL!$G$2:$G$80),MATCH($B1369,PERSONAL!$A$2:$A$80,0)))))</f>
        <v/>
      </c>
      <c r="O1369" s="53">
        <f t="array" ref="O1369">IFERROR(INDEX(EXCEPCIONES_FECHA!$F$2:$F$201,MATCH(1,(EXCEPCIONES_FECHA!$A$2:$A$201=$A1369)*(EXCEPCIONES_FECHA!$B$2:$B$201=$B1369),0)),IFERROR(INDEX(EXCEPCIONES_FECHA!$F$2:$F$201,MATCH(1,(EXCEPCIONES_FECHA!$A$2:$A$201=$A1369)*(EXCEPCIONES_FECHA!$B$2:$B$201=""),0)),IFERROR(INDEX(IF($I1369="FIN",HISTORIAL_HORARIOS!$L$2:$L$201,HISTORIAL_HORARIOS!$H$2:$H$201),MATCH(1,(HISTORIAL_HORARIOS!$A$2:$A$201=$B1369)*(HISTORIAL_HORARIOS!$C$2:$C$201&lt;=$A1369)*(HISTORIAL_HORARIOS!$D$2:$D$201&gt;=$A1369),0)),INDEX(IF($I1369="FIN",PERSONAL!$L$2:$L$80,PERSONAL!$H$2:$H$80),MATCH($B1369,PERSONAL!$A$2:$A$80,0)))))</f>
        <v/>
      </c>
    </row>
    <row r="1370" ht="15" customHeight="1" s="58">
      <c r="A1370" s="40" t="n"/>
      <c r="B1370" s="38" t="n"/>
      <c r="C1370" s="40" t="n"/>
      <c r="D1370" s="40" t="n"/>
      <c r="E1370" s="34">
        <f t="array" ref="E1370">IF($B1370="","",IFERROR(INDEX(PERSONAL!$B$2:$B$80,MATCH($B1370,PERSONAL!$A$2:$A$80,0)),"NO EXISTE"))</f>
        <v/>
      </c>
      <c r="F1370" s="34">
        <f t="array" ref="F1370">IF($B1370="","",IFERROR(INDEX(PERSONAL!$C$2:$C$80,MATCH($B1370,PERSONAL!$A$2:$A$80,0)),""))</f>
        <v/>
      </c>
      <c r="G1370" s="34">
        <f>IF($A1370="","",CHOOSE(WEEKDAY($A1370,2),"LUNES","MARTES","MIÉRCOLES","JUEVES","VIERNES","SÁBADO","DOMINGO"))</f>
        <v/>
      </c>
      <c r="H1370" s="34">
        <f>IF($A1370="","",CHOOSE(MONTH($A1370),"ENERO","FEBRERO","MARZO","ABRIL","MAYO","JUNIO","JULIO","AGOSTO","SEPTIEMBRE","OCTUBRE","NOVIEMBRE","DICIEMBRE"))</f>
        <v/>
      </c>
      <c r="I1370" s="34">
        <f>IF($A1370="","",IF(OR($G1370="SÁBADO",$G1370="DOMINGO"),"FIN","LV"))</f>
        <v/>
      </c>
      <c r="J1370" s="34">
        <f>IF(OR($A1370="",$B1370=""),"",IF($L1370&lt;&gt;"",UPPER($L1370),IF($C1370="","FALTA",IFERROR(IF($C1370&gt;=$O1370,"ROJO FUERTE",IF($C1370&gt;=$N1370,"ROJO",IF($C1370&gt;=$M1370,"AMARILLO","VERDE"))),"REVISAR"))))</f>
        <v/>
      </c>
      <c r="K1370" s="36">
        <f>IF(OR($C1370="",$D1370=""),"",IF($D1370&gt;=$C1370,($D1370-$C1370)*24,(1-$C1370+$D1370)*24))</f>
        <v/>
      </c>
      <c r="L1370" s="34" t="n"/>
      <c r="M1370" s="53">
        <f t="array" ref="M1370">IFERROR(INDEX(EXCEPCIONES_FECHA!$D$2:$D$201,MATCH(1,(EXCEPCIONES_FECHA!$A$2:$A$201=$A1370)*(EXCEPCIONES_FECHA!$B$2:$B$201=$B1370),0)),IFERROR(INDEX(EXCEPCIONES_FECHA!$D$2:$D$201,MATCH(1,(EXCEPCIONES_FECHA!$A$2:$A$201=$A1370)*(EXCEPCIONES_FECHA!$B$2:$B$201=""),0)),IFERROR(INDEX(IF($I1370="FIN",HISTORIAL_HORARIOS!$J$2:$J$201,HISTORIAL_HORARIOS!$F$2:$F$201),MATCH(1,(HISTORIAL_HORARIOS!$A$2:$A$201=$B1370)*(HISTORIAL_HORARIOS!$C$2:$C$201&lt;=$A1370)*(HISTORIAL_HORARIOS!$D$2:$D$201&gt;=$A1370),0)),INDEX(IF($I1370="FIN",PERSONAL!$J$2:$J$80,PERSONAL!$F$2:$F$80),MATCH($B1370,PERSONAL!$A$2:$A$80,0)))))</f>
        <v/>
      </c>
      <c r="N1370" s="53">
        <f t="array" ref="N1370">IFERROR(INDEX(EXCEPCIONES_FECHA!$E$2:$E$201,MATCH(1,(EXCEPCIONES_FECHA!$A$2:$A$201=$A1370)*(EXCEPCIONES_FECHA!$B$2:$B$201=$B1370),0)),IFERROR(INDEX(EXCEPCIONES_FECHA!$E$2:$E$201,MATCH(1,(EXCEPCIONES_FECHA!$A$2:$A$201=$A1370)*(EXCEPCIONES_FECHA!$B$2:$B$201=""),0)),IFERROR(INDEX(IF($I1370="FIN",HISTORIAL_HORARIOS!$K$2:$K$201,HISTORIAL_HORARIOS!$G$2:$G$201),MATCH(1,(HISTORIAL_HORARIOS!$A$2:$A$201=$B1370)*(HISTORIAL_HORARIOS!$C$2:$C$201&lt;=$A1370)*(HISTORIAL_HORARIOS!$D$2:$D$201&gt;=$A1370),0)),INDEX(IF($I1370="FIN",PERSONAL!$K$2:$K$80,PERSONAL!$G$2:$G$80),MATCH($B1370,PERSONAL!$A$2:$A$80,0)))))</f>
        <v/>
      </c>
      <c r="O1370" s="53">
        <f t="array" ref="O1370">IFERROR(INDEX(EXCEPCIONES_FECHA!$F$2:$F$201,MATCH(1,(EXCEPCIONES_FECHA!$A$2:$A$201=$A1370)*(EXCEPCIONES_FECHA!$B$2:$B$201=$B1370),0)),IFERROR(INDEX(EXCEPCIONES_FECHA!$F$2:$F$201,MATCH(1,(EXCEPCIONES_FECHA!$A$2:$A$201=$A1370)*(EXCEPCIONES_FECHA!$B$2:$B$201=""),0)),IFERROR(INDEX(IF($I1370="FIN",HISTORIAL_HORARIOS!$L$2:$L$201,HISTORIAL_HORARIOS!$H$2:$H$201),MATCH(1,(HISTORIAL_HORARIOS!$A$2:$A$201=$B1370)*(HISTORIAL_HORARIOS!$C$2:$C$201&lt;=$A1370)*(HISTORIAL_HORARIOS!$D$2:$D$201&gt;=$A1370),0)),INDEX(IF($I1370="FIN",PERSONAL!$L$2:$L$80,PERSONAL!$H$2:$H$80),MATCH($B1370,PERSONAL!$A$2:$A$80,0)))))</f>
        <v/>
      </c>
    </row>
    <row r="1371" ht="15" customHeight="1" s="58">
      <c r="A1371" s="40" t="n"/>
      <c r="B1371" s="38" t="n"/>
      <c r="C1371" s="40" t="n"/>
      <c r="D1371" s="40" t="n"/>
      <c r="E1371" s="34">
        <f t="array" ref="E1371">IF($B1371="","",IFERROR(INDEX(PERSONAL!$B$2:$B$80,MATCH($B1371,PERSONAL!$A$2:$A$80,0)),"NO EXISTE"))</f>
        <v/>
      </c>
      <c r="F1371" s="34">
        <f t="array" ref="F1371">IF($B1371="","",IFERROR(INDEX(PERSONAL!$C$2:$C$80,MATCH($B1371,PERSONAL!$A$2:$A$80,0)),""))</f>
        <v/>
      </c>
      <c r="G1371" s="34">
        <f>IF($A1371="","",CHOOSE(WEEKDAY($A1371,2),"LUNES","MARTES","MIÉRCOLES","JUEVES","VIERNES","SÁBADO","DOMINGO"))</f>
        <v/>
      </c>
      <c r="H1371" s="34">
        <f>IF($A1371="","",CHOOSE(MONTH($A1371),"ENERO","FEBRERO","MARZO","ABRIL","MAYO","JUNIO","JULIO","AGOSTO","SEPTIEMBRE","OCTUBRE","NOVIEMBRE","DICIEMBRE"))</f>
        <v/>
      </c>
      <c r="I1371" s="34">
        <f>IF($A1371="","",IF(OR($G1371="SÁBADO",$G1371="DOMINGO"),"FIN","LV"))</f>
        <v/>
      </c>
      <c r="J1371" s="34">
        <f>IF(OR($A1371="",$B1371=""),"",IF($L1371&lt;&gt;"",UPPER($L1371),IF($C1371="","FALTA",IFERROR(IF($C1371&gt;=$O1371,"ROJO FUERTE",IF($C1371&gt;=$N1371,"ROJO",IF($C1371&gt;=$M1371,"AMARILLO","VERDE"))),"REVISAR"))))</f>
        <v/>
      </c>
      <c r="K1371" s="36">
        <f>IF(OR($C1371="",$D1371=""),"",IF($D1371&gt;=$C1371,($D1371-$C1371)*24,(1-$C1371+$D1371)*24))</f>
        <v/>
      </c>
      <c r="L1371" s="34" t="n"/>
      <c r="M1371" s="53">
        <f t="array" ref="M1371">IFERROR(INDEX(EXCEPCIONES_FECHA!$D$2:$D$201,MATCH(1,(EXCEPCIONES_FECHA!$A$2:$A$201=$A1371)*(EXCEPCIONES_FECHA!$B$2:$B$201=$B1371),0)),IFERROR(INDEX(EXCEPCIONES_FECHA!$D$2:$D$201,MATCH(1,(EXCEPCIONES_FECHA!$A$2:$A$201=$A1371)*(EXCEPCIONES_FECHA!$B$2:$B$201=""),0)),IFERROR(INDEX(IF($I1371="FIN",HISTORIAL_HORARIOS!$J$2:$J$201,HISTORIAL_HORARIOS!$F$2:$F$201),MATCH(1,(HISTORIAL_HORARIOS!$A$2:$A$201=$B1371)*(HISTORIAL_HORARIOS!$C$2:$C$201&lt;=$A1371)*(HISTORIAL_HORARIOS!$D$2:$D$201&gt;=$A1371),0)),INDEX(IF($I1371="FIN",PERSONAL!$J$2:$J$80,PERSONAL!$F$2:$F$80),MATCH($B1371,PERSONAL!$A$2:$A$80,0)))))</f>
        <v/>
      </c>
      <c r="N1371" s="53">
        <f t="array" ref="N1371">IFERROR(INDEX(EXCEPCIONES_FECHA!$E$2:$E$201,MATCH(1,(EXCEPCIONES_FECHA!$A$2:$A$201=$A1371)*(EXCEPCIONES_FECHA!$B$2:$B$201=$B1371),0)),IFERROR(INDEX(EXCEPCIONES_FECHA!$E$2:$E$201,MATCH(1,(EXCEPCIONES_FECHA!$A$2:$A$201=$A1371)*(EXCEPCIONES_FECHA!$B$2:$B$201=""),0)),IFERROR(INDEX(IF($I1371="FIN",HISTORIAL_HORARIOS!$K$2:$K$201,HISTORIAL_HORARIOS!$G$2:$G$201),MATCH(1,(HISTORIAL_HORARIOS!$A$2:$A$201=$B1371)*(HISTORIAL_HORARIOS!$C$2:$C$201&lt;=$A1371)*(HISTORIAL_HORARIOS!$D$2:$D$201&gt;=$A1371),0)),INDEX(IF($I1371="FIN",PERSONAL!$K$2:$K$80,PERSONAL!$G$2:$G$80),MATCH($B1371,PERSONAL!$A$2:$A$80,0)))))</f>
        <v/>
      </c>
      <c r="O1371" s="53">
        <f t="array" ref="O1371">IFERROR(INDEX(EXCEPCIONES_FECHA!$F$2:$F$201,MATCH(1,(EXCEPCIONES_FECHA!$A$2:$A$201=$A1371)*(EXCEPCIONES_FECHA!$B$2:$B$201=$B1371),0)),IFERROR(INDEX(EXCEPCIONES_FECHA!$F$2:$F$201,MATCH(1,(EXCEPCIONES_FECHA!$A$2:$A$201=$A1371)*(EXCEPCIONES_FECHA!$B$2:$B$201=""),0)),IFERROR(INDEX(IF($I1371="FIN",HISTORIAL_HORARIOS!$L$2:$L$201,HISTORIAL_HORARIOS!$H$2:$H$201),MATCH(1,(HISTORIAL_HORARIOS!$A$2:$A$201=$B1371)*(HISTORIAL_HORARIOS!$C$2:$C$201&lt;=$A1371)*(HISTORIAL_HORARIOS!$D$2:$D$201&gt;=$A1371),0)),INDEX(IF($I1371="FIN",PERSONAL!$L$2:$L$80,PERSONAL!$H$2:$H$80),MATCH($B1371,PERSONAL!$A$2:$A$80,0)))))</f>
        <v/>
      </c>
    </row>
    <row r="1372" ht="15" customHeight="1" s="58">
      <c r="A1372" s="40" t="n"/>
      <c r="B1372" s="38" t="n"/>
      <c r="C1372" s="40" t="n"/>
      <c r="D1372" s="40" t="n"/>
      <c r="E1372" s="34">
        <f t="array" ref="E1372">IF($B1372="","",IFERROR(INDEX(PERSONAL!$B$2:$B$80,MATCH($B1372,PERSONAL!$A$2:$A$80,0)),"NO EXISTE"))</f>
        <v/>
      </c>
      <c r="F1372" s="34">
        <f t="array" ref="F1372">IF($B1372="","",IFERROR(INDEX(PERSONAL!$C$2:$C$80,MATCH($B1372,PERSONAL!$A$2:$A$80,0)),""))</f>
        <v/>
      </c>
      <c r="G1372" s="34">
        <f>IF($A1372="","",CHOOSE(WEEKDAY($A1372,2),"LUNES","MARTES","MIÉRCOLES","JUEVES","VIERNES","SÁBADO","DOMINGO"))</f>
        <v/>
      </c>
      <c r="H1372" s="34">
        <f>IF($A1372="","",CHOOSE(MONTH($A1372),"ENERO","FEBRERO","MARZO","ABRIL","MAYO","JUNIO","JULIO","AGOSTO","SEPTIEMBRE","OCTUBRE","NOVIEMBRE","DICIEMBRE"))</f>
        <v/>
      </c>
      <c r="I1372" s="34">
        <f>IF($A1372="","",IF(OR($G1372="SÁBADO",$G1372="DOMINGO"),"FIN","LV"))</f>
        <v/>
      </c>
      <c r="J1372" s="34">
        <f>IF(OR($A1372="",$B1372=""),"",IF($L1372&lt;&gt;"",UPPER($L1372),IF($C1372="","FALTA",IFERROR(IF($C1372&gt;=$O1372,"ROJO FUERTE",IF($C1372&gt;=$N1372,"ROJO",IF($C1372&gt;=$M1372,"AMARILLO","VERDE"))),"REVISAR"))))</f>
        <v/>
      </c>
      <c r="K1372" s="36">
        <f>IF(OR($C1372="",$D1372=""),"",IF($D1372&gt;=$C1372,($D1372-$C1372)*24,(1-$C1372+$D1372)*24))</f>
        <v/>
      </c>
      <c r="L1372" s="34" t="n"/>
      <c r="M1372" s="53">
        <f t="array" ref="M1372">IFERROR(INDEX(EXCEPCIONES_FECHA!$D$2:$D$201,MATCH(1,(EXCEPCIONES_FECHA!$A$2:$A$201=$A1372)*(EXCEPCIONES_FECHA!$B$2:$B$201=$B1372),0)),IFERROR(INDEX(EXCEPCIONES_FECHA!$D$2:$D$201,MATCH(1,(EXCEPCIONES_FECHA!$A$2:$A$201=$A1372)*(EXCEPCIONES_FECHA!$B$2:$B$201=""),0)),IFERROR(INDEX(IF($I1372="FIN",HISTORIAL_HORARIOS!$J$2:$J$201,HISTORIAL_HORARIOS!$F$2:$F$201),MATCH(1,(HISTORIAL_HORARIOS!$A$2:$A$201=$B1372)*(HISTORIAL_HORARIOS!$C$2:$C$201&lt;=$A1372)*(HISTORIAL_HORARIOS!$D$2:$D$201&gt;=$A1372),0)),INDEX(IF($I1372="FIN",PERSONAL!$J$2:$J$80,PERSONAL!$F$2:$F$80),MATCH($B1372,PERSONAL!$A$2:$A$80,0)))))</f>
        <v/>
      </c>
      <c r="N1372" s="53">
        <f t="array" ref="N1372">IFERROR(INDEX(EXCEPCIONES_FECHA!$E$2:$E$201,MATCH(1,(EXCEPCIONES_FECHA!$A$2:$A$201=$A1372)*(EXCEPCIONES_FECHA!$B$2:$B$201=$B1372),0)),IFERROR(INDEX(EXCEPCIONES_FECHA!$E$2:$E$201,MATCH(1,(EXCEPCIONES_FECHA!$A$2:$A$201=$A1372)*(EXCEPCIONES_FECHA!$B$2:$B$201=""),0)),IFERROR(INDEX(IF($I1372="FIN",HISTORIAL_HORARIOS!$K$2:$K$201,HISTORIAL_HORARIOS!$G$2:$G$201),MATCH(1,(HISTORIAL_HORARIOS!$A$2:$A$201=$B1372)*(HISTORIAL_HORARIOS!$C$2:$C$201&lt;=$A1372)*(HISTORIAL_HORARIOS!$D$2:$D$201&gt;=$A1372),0)),INDEX(IF($I1372="FIN",PERSONAL!$K$2:$K$80,PERSONAL!$G$2:$G$80),MATCH($B1372,PERSONAL!$A$2:$A$80,0)))))</f>
        <v/>
      </c>
      <c r="O1372" s="53">
        <f t="array" ref="O1372">IFERROR(INDEX(EXCEPCIONES_FECHA!$F$2:$F$201,MATCH(1,(EXCEPCIONES_FECHA!$A$2:$A$201=$A1372)*(EXCEPCIONES_FECHA!$B$2:$B$201=$B1372),0)),IFERROR(INDEX(EXCEPCIONES_FECHA!$F$2:$F$201,MATCH(1,(EXCEPCIONES_FECHA!$A$2:$A$201=$A1372)*(EXCEPCIONES_FECHA!$B$2:$B$201=""),0)),IFERROR(INDEX(IF($I1372="FIN",HISTORIAL_HORARIOS!$L$2:$L$201,HISTORIAL_HORARIOS!$H$2:$H$201),MATCH(1,(HISTORIAL_HORARIOS!$A$2:$A$201=$B1372)*(HISTORIAL_HORARIOS!$C$2:$C$201&lt;=$A1372)*(HISTORIAL_HORARIOS!$D$2:$D$201&gt;=$A1372),0)),INDEX(IF($I1372="FIN",PERSONAL!$L$2:$L$80,PERSONAL!$H$2:$H$80),MATCH($B1372,PERSONAL!$A$2:$A$80,0)))))</f>
        <v/>
      </c>
    </row>
    <row r="1373" ht="15" customHeight="1" s="58">
      <c r="A1373" s="40" t="n"/>
      <c r="B1373" s="38" t="n"/>
      <c r="C1373" s="40" t="n"/>
      <c r="D1373" s="40" t="n"/>
      <c r="E1373" s="34">
        <f t="array" ref="E1373">IF($B1373="","",IFERROR(INDEX(PERSONAL!$B$2:$B$80,MATCH($B1373,PERSONAL!$A$2:$A$80,0)),"NO EXISTE"))</f>
        <v/>
      </c>
      <c r="F1373" s="34">
        <f t="array" ref="F1373">IF($B1373="","",IFERROR(INDEX(PERSONAL!$C$2:$C$80,MATCH($B1373,PERSONAL!$A$2:$A$80,0)),""))</f>
        <v/>
      </c>
      <c r="G1373" s="34">
        <f>IF($A1373="","",CHOOSE(WEEKDAY($A1373,2),"LUNES","MARTES","MIÉRCOLES","JUEVES","VIERNES","SÁBADO","DOMINGO"))</f>
        <v/>
      </c>
      <c r="H1373" s="34">
        <f>IF($A1373="","",CHOOSE(MONTH($A1373),"ENERO","FEBRERO","MARZO","ABRIL","MAYO","JUNIO","JULIO","AGOSTO","SEPTIEMBRE","OCTUBRE","NOVIEMBRE","DICIEMBRE"))</f>
        <v/>
      </c>
      <c r="I1373" s="34">
        <f>IF($A1373="","",IF(OR($G1373="SÁBADO",$G1373="DOMINGO"),"FIN","LV"))</f>
        <v/>
      </c>
      <c r="J1373" s="34">
        <f>IF(OR($A1373="",$B1373=""),"",IF($L1373&lt;&gt;"",UPPER($L1373),IF($C1373="","FALTA",IFERROR(IF($C1373&gt;=$O1373,"ROJO FUERTE",IF($C1373&gt;=$N1373,"ROJO",IF($C1373&gt;=$M1373,"AMARILLO","VERDE"))),"REVISAR"))))</f>
        <v/>
      </c>
      <c r="K1373" s="36">
        <f>IF(OR($C1373="",$D1373=""),"",IF($D1373&gt;=$C1373,($D1373-$C1373)*24,(1-$C1373+$D1373)*24))</f>
        <v/>
      </c>
      <c r="L1373" s="34" t="n"/>
      <c r="M1373" s="53">
        <f t="array" ref="M1373">IFERROR(INDEX(EXCEPCIONES_FECHA!$D$2:$D$201,MATCH(1,(EXCEPCIONES_FECHA!$A$2:$A$201=$A1373)*(EXCEPCIONES_FECHA!$B$2:$B$201=$B1373),0)),IFERROR(INDEX(EXCEPCIONES_FECHA!$D$2:$D$201,MATCH(1,(EXCEPCIONES_FECHA!$A$2:$A$201=$A1373)*(EXCEPCIONES_FECHA!$B$2:$B$201=""),0)),IFERROR(INDEX(IF($I1373="FIN",HISTORIAL_HORARIOS!$J$2:$J$201,HISTORIAL_HORARIOS!$F$2:$F$201),MATCH(1,(HISTORIAL_HORARIOS!$A$2:$A$201=$B1373)*(HISTORIAL_HORARIOS!$C$2:$C$201&lt;=$A1373)*(HISTORIAL_HORARIOS!$D$2:$D$201&gt;=$A1373),0)),INDEX(IF($I1373="FIN",PERSONAL!$J$2:$J$80,PERSONAL!$F$2:$F$80),MATCH($B1373,PERSONAL!$A$2:$A$80,0)))))</f>
        <v/>
      </c>
      <c r="N1373" s="53">
        <f t="array" ref="N1373">IFERROR(INDEX(EXCEPCIONES_FECHA!$E$2:$E$201,MATCH(1,(EXCEPCIONES_FECHA!$A$2:$A$201=$A1373)*(EXCEPCIONES_FECHA!$B$2:$B$201=$B1373),0)),IFERROR(INDEX(EXCEPCIONES_FECHA!$E$2:$E$201,MATCH(1,(EXCEPCIONES_FECHA!$A$2:$A$201=$A1373)*(EXCEPCIONES_FECHA!$B$2:$B$201=""),0)),IFERROR(INDEX(IF($I1373="FIN",HISTORIAL_HORARIOS!$K$2:$K$201,HISTORIAL_HORARIOS!$G$2:$G$201),MATCH(1,(HISTORIAL_HORARIOS!$A$2:$A$201=$B1373)*(HISTORIAL_HORARIOS!$C$2:$C$201&lt;=$A1373)*(HISTORIAL_HORARIOS!$D$2:$D$201&gt;=$A1373),0)),INDEX(IF($I1373="FIN",PERSONAL!$K$2:$K$80,PERSONAL!$G$2:$G$80),MATCH($B1373,PERSONAL!$A$2:$A$80,0)))))</f>
        <v/>
      </c>
      <c r="O1373" s="53">
        <f t="array" ref="O1373">IFERROR(INDEX(EXCEPCIONES_FECHA!$F$2:$F$201,MATCH(1,(EXCEPCIONES_FECHA!$A$2:$A$201=$A1373)*(EXCEPCIONES_FECHA!$B$2:$B$201=$B1373),0)),IFERROR(INDEX(EXCEPCIONES_FECHA!$F$2:$F$201,MATCH(1,(EXCEPCIONES_FECHA!$A$2:$A$201=$A1373)*(EXCEPCIONES_FECHA!$B$2:$B$201=""),0)),IFERROR(INDEX(IF($I1373="FIN",HISTORIAL_HORARIOS!$L$2:$L$201,HISTORIAL_HORARIOS!$H$2:$H$201),MATCH(1,(HISTORIAL_HORARIOS!$A$2:$A$201=$B1373)*(HISTORIAL_HORARIOS!$C$2:$C$201&lt;=$A1373)*(HISTORIAL_HORARIOS!$D$2:$D$201&gt;=$A1373),0)),INDEX(IF($I1373="FIN",PERSONAL!$L$2:$L$80,PERSONAL!$H$2:$H$80),MATCH($B1373,PERSONAL!$A$2:$A$80,0)))))</f>
        <v/>
      </c>
    </row>
    <row r="1374" ht="15" customHeight="1" s="58">
      <c r="A1374" s="40" t="n"/>
      <c r="B1374" s="38" t="n"/>
      <c r="C1374" s="40" t="n"/>
      <c r="D1374" s="40" t="n"/>
      <c r="E1374" s="34">
        <f t="array" ref="E1374">IF($B1374="","",IFERROR(INDEX(PERSONAL!$B$2:$B$80,MATCH($B1374,PERSONAL!$A$2:$A$80,0)),"NO EXISTE"))</f>
        <v/>
      </c>
      <c r="F1374" s="34">
        <f t="array" ref="F1374">IF($B1374="","",IFERROR(INDEX(PERSONAL!$C$2:$C$80,MATCH($B1374,PERSONAL!$A$2:$A$80,0)),""))</f>
        <v/>
      </c>
      <c r="G1374" s="34">
        <f>IF($A1374="","",CHOOSE(WEEKDAY($A1374,2),"LUNES","MARTES","MIÉRCOLES","JUEVES","VIERNES","SÁBADO","DOMINGO"))</f>
        <v/>
      </c>
      <c r="H1374" s="34">
        <f>IF($A1374="","",CHOOSE(MONTH($A1374),"ENERO","FEBRERO","MARZO","ABRIL","MAYO","JUNIO","JULIO","AGOSTO","SEPTIEMBRE","OCTUBRE","NOVIEMBRE","DICIEMBRE"))</f>
        <v/>
      </c>
      <c r="I1374" s="34">
        <f>IF($A1374="","",IF(OR($G1374="SÁBADO",$G1374="DOMINGO"),"FIN","LV"))</f>
        <v/>
      </c>
      <c r="J1374" s="34">
        <f>IF(OR($A1374="",$B1374=""),"",IF($L1374&lt;&gt;"",UPPER($L1374),IF($C1374="","FALTA",IFERROR(IF($C1374&gt;=$O1374,"ROJO FUERTE",IF($C1374&gt;=$N1374,"ROJO",IF($C1374&gt;=$M1374,"AMARILLO","VERDE"))),"REVISAR"))))</f>
        <v/>
      </c>
      <c r="K1374" s="36">
        <f>IF(OR($C1374="",$D1374=""),"",IF($D1374&gt;=$C1374,($D1374-$C1374)*24,(1-$C1374+$D1374)*24))</f>
        <v/>
      </c>
      <c r="L1374" s="34" t="n"/>
      <c r="M1374" s="53">
        <f t="array" ref="M1374">IFERROR(INDEX(EXCEPCIONES_FECHA!$D$2:$D$201,MATCH(1,(EXCEPCIONES_FECHA!$A$2:$A$201=$A1374)*(EXCEPCIONES_FECHA!$B$2:$B$201=$B1374),0)),IFERROR(INDEX(EXCEPCIONES_FECHA!$D$2:$D$201,MATCH(1,(EXCEPCIONES_FECHA!$A$2:$A$201=$A1374)*(EXCEPCIONES_FECHA!$B$2:$B$201=""),0)),IFERROR(INDEX(IF($I1374="FIN",HISTORIAL_HORARIOS!$J$2:$J$201,HISTORIAL_HORARIOS!$F$2:$F$201),MATCH(1,(HISTORIAL_HORARIOS!$A$2:$A$201=$B1374)*(HISTORIAL_HORARIOS!$C$2:$C$201&lt;=$A1374)*(HISTORIAL_HORARIOS!$D$2:$D$201&gt;=$A1374),0)),INDEX(IF($I1374="FIN",PERSONAL!$J$2:$J$80,PERSONAL!$F$2:$F$80),MATCH($B1374,PERSONAL!$A$2:$A$80,0)))))</f>
        <v/>
      </c>
      <c r="N1374" s="53">
        <f t="array" ref="N1374">IFERROR(INDEX(EXCEPCIONES_FECHA!$E$2:$E$201,MATCH(1,(EXCEPCIONES_FECHA!$A$2:$A$201=$A1374)*(EXCEPCIONES_FECHA!$B$2:$B$201=$B1374),0)),IFERROR(INDEX(EXCEPCIONES_FECHA!$E$2:$E$201,MATCH(1,(EXCEPCIONES_FECHA!$A$2:$A$201=$A1374)*(EXCEPCIONES_FECHA!$B$2:$B$201=""),0)),IFERROR(INDEX(IF($I1374="FIN",HISTORIAL_HORARIOS!$K$2:$K$201,HISTORIAL_HORARIOS!$G$2:$G$201),MATCH(1,(HISTORIAL_HORARIOS!$A$2:$A$201=$B1374)*(HISTORIAL_HORARIOS!$C$2:$C$201&lt;=$A1374)*(HISTORIAL_HORARIOS!$D$2:$D$201&gt;=$A1374),0)),INDEX(IF($I1374="FIN",PERSONAL!$K$2:$K$80,PERSONAL!$G$2:$G$80),MATCH($B1374,PERSONAL!$A$2:$A$80,0)))))</f>
        <v/>
      </c>
      <c r="O1374" s="53">
        <f t="array" ref="O1374">IFERROR(INDEX(EXCEPCIONES_FECHA!$F$2:$F$201,MATCH(1,(EXCEPCIONES_FECHA!$A$2:$A$201=$A1374)*(EXCEPCIONES_FECHA!$B$2:$B$201=$B1374),0)),IFERROR(INDEX(EXCEPCIONES_FECHA!$F$2:$F$201,MATCH(1,(EXCEPCIONES_FECHA!$A$2:$A$201=$A1374)*(EXCEPCIONES_FECHA!$B$2:$B$201=""),0)),IFERROR(INDEX(IF($I1374="FIN",HISTORIAL_HORARIOS!$L$2:$L$201,HISTORIAL_HORARIOS!$H$2:$H$201),MATCH(1,(HISTORIAL_HORARIOS!$A$2:$A$201=$B1374)*(HISTORIAL_HORARIOS!$C$2:$C$201&lt;=$A1374)*(HISTORIAL_HORARIOS!$D$2:$D$201&gt;=$A1374),0)),INDEX(IF($I1374="FIN",PERSONAL!$L$2:$L$80,PERSONAL!$H$2:$H$80),MATCH($B1374,PERSONAL!$A$2:$A$80,0)))))</f>
        <v/>
      </c>
    </row>
    <row r="1375" ht="15" customHeight="1" s="58">
      <c r="A1375" s="40" t="n"/>
      <c r="B1375" s="38" t="n"/>
      <c r="C1375" s="40" t="n"/>
      <c r="D1375" s="40" t="n"/>
      <c r="E1375" s="34">
        <f t="array" ref="E1375">IF($B1375="","",IFERROR(INDEX(PERSONAL!$B$2:$B$80,MATCH($B1375,PERSONAL!$A$2:$A$80,0)),"NO EXISTE"))</f>
        <v/>
      </c>
      <c r="F1375" s="34">
        <f t="array" ref="F1375">IF($B1375="","",IFERROR(INDEX(PERSONAL!$C$2:$C$80,MATCH($B1375,PERSONAL!$A$2:$A$80,0)),""))</f>
        <v/>
      </c>
      <c r="G1375" s="34">
        <f>IF($A1375="","",CHOOSE(WEEKDAY($A1375,2),"LUNES","MARTES","MIÉRCOLES","JUEVES","VIERNES","SÁBADO","DOMINGO"))</f>
        <v/>
      </c>
      <c r="H1375" s="34">
        <f>IF($A1375="","",CHOOSE(MONTH($A1375),"ENERO","FEBRERO","MARZO","ABRIL","MAYO","JUNIO","JULIO","AGOSTO","SEPTIEMBRE","OCTUBRE","NOVIEMBRE","DICIEMBRE"))</f>
        <v/>
      </c>
      <c r="I1375" s="34">
        <f>IF($A1375="","",IF(OR($G1375="SÁBADO",$G1375="DOMINGO"),"FIN","LV"))</f>
        <v/>
      </c>
      <c r="J1375" s="34">
        <f>IF(OR($A1375="",$B1375=""),"",IF($L1375&lt;&gt;"",UPPER($L1375),IF($C1375="","FALTA",IFERROR(IF($C1375&gt;=$O1375,"ROJO FUERTE",IF($C1375&gt;=$N1375,"ROJO",IF($C1375&gt;=$M1375,"AMARILLO","VERDE"))),"REVISAR"))))</f>
        <v/>
      </c>
      <c r="K1375" s="36">
        <f>IF(OR($C1375="",$D1375=""),"",IF($D1375&gt;=$C1375,($D1375-$C1375)*24,(1-$C1375+$D1375)*24))</f>
        <v/>
      </c>
      <c r="L1375" s="34" t="n"/>
      <c r="M1375" s="53">
        <f t="array" ref="M1375">IFERROR(INDEX(EXCEPCIONES_FECHA!$D$2:$D$201,MATCH(1,(EXCEPCIONES_FECHA!$A$2:$A$201=$A1375)*(EXCEPCIONES_FECHA!$B$2:$B$201=$B1375),0)),IFERROR(INDEX(EXCEPCIONES_FECHA!$D$2:$D$201,MATCH(1,(EXCEPCIONES_FECHA!$A$2:$A$201=$A1375)*(EXCEPCIONES_FECHA!$B$2:$B$201=""),0)),IFERROR(INDEX(IF($I1375="FIN",HISTORIAL_HORARIOS!$J$2:$J$201,HISTORIAL_HORARIOS!$F$2:$F$201),MATCH(1,(HISTORIAL_HORARIOS!$A$2:$A$201=$B1375)*(HISTORIAL_HORARIOS!$C$2:$C$201&lt;=$A1375)*(HISTORIAL_HORARIOS!$D$2:$D$201&gt;=$A1375),0)),INDEX(IF($I1375="FIN",PERSONAL!$J$2:$J$80,PERSONAL!$F$2:$F$80),MATCH($B1375,PERSONAL!$A$2:$A$80,0)))))</f>
        <v/>
      </c>
      <c r="N1375" s="53">
        <f t="array" ref="N1375">IFERROR(INDEX(EXCEPCIONES_FECHA!$E$2:$E$201,MATCH(1,(EXCEPCIONES_FECHA!$A$2:$A$201=$A1375)*(EXCEPCIONES_FECHA!$B$2:$B$201=$B1375),0)),IFERROR(INDEX(EXCEPCIONES_FECHA!$E$2:$E$201,MATCH(1,(EXCEPCIONES_FECHA!$A$2:$A$201=$A1375)*(EXCEPCIONES_FECHA!$B$2:$B$201=""),0)),IFERROR(INDEX(IF($I1375="FIN",HISTORIAL_HORARIOS!$K$2:$K$201,HISTORIAL_HORARIOS!$G$2:$G$201),MATCH(1,(HISTORIAL_HORARIOS!$A$2:$A$201=$B1375)*(HISTORIAL_HORARIOS!$C$2:$C$201&lt;=$A1375)*(HISTORIAL_HORARIOS!$D$2:$D$201&gt;=$A1375),0)),INDEX(IF($I1375="FIN",PERSONAL!$K$2:$K$80,PERSONAL!$G$2:$G$80),MATCH($B1375,PERSONAL!$A$2:$A$80,0)))))</f>
        <v/>
      </c>
      <c r="O1375" s="53">
        <f t="array" ref="O1375">IFERROR(INDEX(EXCEPCIONES_FECHA!$F$2:$F$201,MATCH(1,(EXCEPCIONES_FECHA!$A$2:$A$201=$A1375)*(EXCEPCIONES_FECHA!$B$2:$B$201=$B1375),0)),IFERROR(INDEX(EXCEPCIONES_FECHA!$F$2:$F$201,MATCH(1,(EXCEPCIONES_FECHA!$A$2:$A$201=$A1375)*(EXCEPCIONES_FECHA!$B$2:$B$201=""),0)),IFERROR(INDEX(IF($I1375="FIN",HISTORIAL_HORARIOS!$L$2:$L$201,HISTORIAL_HORARIOS!$H$2:$H$201),MATCH(1,(HISTORIAL_HORARIOS!$A$2:$A$201=$B1375)*(HISTORIAL_HORARIOS!$C$2:$C$201&lt;=$A1375)*(HISTORIAL_HORARIOS!$D$2:$D$201&gt;=$A1375),0)),INDEX(IF($I1375="FIN",PERSONAL!$L$2:$L$80,PERSONAL!$H$2:$H$80),MATCH($B1375,PERSONAL!$A$2:$A$80,0)))))</f>
        <v/>
      </c>
    </row>
    <row r="1376" ht="15" customHeight="1" s="58">
      <c r="A1376" s="40" t="n"/>
      <c r="B1376" s="38" t="n"/>
      <c r="C1376" s="40" t="n"/>
      <c r="D1376" s="40" t="n"/>
      <c r="E1376" s="34">
        <f t="array" ref="E1376">IF($B1376="","",IFERROR(INDEX(PERSONAL!$B$2:$B$80,MATCH($B1376,PERSONAL!$A$2:$A$80,0)),"NO EXISTE"))</f>
        <v/>
      </c>
      <c r="F1376" s="34">
        <f t="array" ref="F1376">IF($B1376="","",IFERROR(INDEX(PERSONAL!$C$2:$C$80,MATCH($B1376,PERSONAL!$A$2:$A$80,0)),""))</f>
        <v/>
      </c>
      <c r="G1376" s="34">
        <f>IF($A1376="","",CHOOSE(WEEKDAY($A1376,2),"LUNES","MARTES","MIÉRCOLES","JUEVES","VIERNES","SÁBADO","DOMINGO"))</f>
        <v/>
      </c>
      <c r="H1376" s="34">
        <f>IF($A1376="","",CHOOSE(MONTH($A1376),"ENERO","FEBRERO","MARZO","ABRIL","MAYO","JUNIO","JULIO","AGOSTO","SEPTIEMBRE","OCTUBRE","NOVIEMBRE","DICIEMBRE"))</f>
        <v/>
      </c>
      <c r="I1376" s="34">
        <f>IF($A1376="","",IF(OR($G1376="SÁBADO",$G1376="DOMINGO"),"FIN","LV"))</f>
        <v/>
      </c>
      <c r="J1376" s="34">
        <f>IF(OR($A1376="",$B1376=""),"",IF($L1376&lt;&gt;"",UPPER($L1376),IF($C1376="","FALTA",IFERROR(IF($C1376&gt;=$O1376,"ROJO FUERTE",IF($C1376&gt;=$N1376,"ROJO",IF($C1376&gt;=$M1376,"AMARILLO","VERDE"))),"REVISAR"))))</f>
        <v/>
      </c>
      <c r="K1376" s="36">
        <f>IF(OR($C1376="",$D1376=""),"",IF($D1376&gt;=$C1376,($D1376-$C1376)*24,(1-$C1376+$D1376)*24))</f>
        <v/>
      </c>
      <c r="L1376" s="34" t="n"/>
      <c r="M1376" s="53">
        <f t="array" ref="M1376">IFERROR(INDEX(EXCEPCIONES_FECHA!$D$2:$D$201,MATCH(1,(EXCEPCIONES_FECHA!$A$2:$A$201=$A1376)*(EXCEPCIONES_FECHA!$B$2:$B$201=$B1376),0)),IFERROR(INDEX(EXCEPCIONES_FECHA!$D$2:$D$201,MATCH(1,(EXCEPCIONES_FECHA!$A$2:$A$201=$A1376)*(EXCEPCIONES_FECHA!$B$2:$B$201=""),0)),IFERROR(INDEX(IF($I1376="FIN",HISTORIAL_HORARIOS!$J$2:$J$201,HISTORIAL_HORARIOS!$F$2:$F$201),MATCH(1,(HISTORIAL_HORARIOS!$A$2:$A$201=$B1376)*(HISTORIAL_HORARIOS!$C$2:$C$201&lt;=$A1376)*(HISTORIAL_HORARIOS!$D$2:$D$201&gt;=$A1376),0)),INDEX(IF($I1376="FIN",PERSONAL!$J$2:$J$80,PERSONAL!$F$2:$F$80),MATCH($B1376,PERSONAL!$A$2:$A$80,0)))))</f>
        <v/>
      </c>
      <c r="N1376" s="53">
        <f t="array" ref="N1376">IFERROR(INDEX(EXCEPCIONES_FECHA!$E$2:$E$201,MATCH(1,(EXCEPCIONES_FECHA!$A$2:$A$201=$A1376)*(EXCEPCIONES_FECHA!$B$2:$B$201=$B1376),0)),IFERROR(INDEX(EXCEPCIONES_FECHA!$E$2:$E$201,MATCH(1,(EXCEPCIONES_FECHA!$A$2:$A$201=$A1376)*(EXCEPCIONES_FECHA!$B$2:$B$201=""),0)),IFERROR(INDEX(IF($I1376="FIN",HISTORIAL_HORARIOS!$K$2:$K$201,HISTORIAL_HORARIOS!$G$2:$G$201),MATCH(1,(HISTORIAL_HORARIOS!$A$2:$A$201=$B1376)*(HISTORIAL_HORARIOS!$C$2:$C$201&lt;=$A1376)*(HISTORIAL_HORARIOS!$D$2:$D$201&gt;=$A1376),0)),INDEX(IF($I1376="FIN",PERSONAL!$K$2:$K$80,PERSONAL!$G$2:$G$80),MATCH($B1376,PERSONAL!$A$2:$A$80,0)))))</f>
        <v/>
      </c>
      <c r="O1376" s="53">
        <f t="array" ref="O1376">IFERROR(INDEX(EXCEPCIONES_FECHA!$F$2:$F$201,MATCH(1,(EXCEPCIONES_FECHA!$A$2:$A$201=$A1376)*(EXCEPCIONES_FECHA!$B$2:$B$201=$B1376),0)),IFERROR(INDEX(EXCEPCIONES_FECHA!$F$2:$F$201,MATCH(1,(EXCEPCIONES_FECHA!$A$2:$A$201=$A1376)*(EXCEPCIONES_FECHA!$B$2:$B$201=""),0)),IFERROR(INDEX(IF($I1376="FIN",HISTORIAL_HORARIOS!$L$2:$L$201,HISTORIAL_HORARIOS!$H$2:$H$201),MATCH(1,(HISTORIAL_HORARIOS!$A$2:$A$201=$B1376)*(HISTORIAL_HORARIOS!$C$2:$C$201&lt;=$A1376)*(HISTORIAL_HORARIOS!$D$2:$D$201&gt;=$A1376),0)),INDEX(IF($I1376="FIN",PERSONAL!$L$2:$L$80,PERSONAL!$H$2:$H$80),MATCH($B1376,PERSONAL!$A$2:$A$80,0)))))</f>
        <v/>
      </c>
    </row>
    <row r="1377" ht="15" customHeight="1" s="58">
      <c r="A1377" s="40" t="n"/>
      <c r="B1377" s="38" t="n"/>
      <c r="C1377" s="40" t="n"/>
      <c r="D1377" s="40" t="n"/>
      <c r="E1377" s="34">
        <f t="array" ref="E1377">IF($B1377="","",IFERROR(INDEX(PERSONAL!$B$2:$B$80,MATCH($B1377,PERSONAL!$A$2:$A$80,0)),"NO EXISTE"))</f>
        <v/>
      </c>
      <c r="F1377" s="34">
        <f t="array" ref="F1377">IF($B1377="","",IFERROR(INDEX(PERSONAL!$C$2:$C$80,MATCH($B1377,PERSONAL!$A$2:$A$80,0)),""))</f>
        <v/>
      </c>
      <c r="G1377" s="34">
        <f>IF($A1377="","",CHOOSE(WEEKDAY($A1377,2),"LUNES","MARTES","MIÉRCOLES","JUEVES","VIERNES","SÁBADO","DOMINGO"))</f>
        <v/>
      </c>
      <c r="H1377" s="34">
        <f>IF($A1377="","",CHOOSE(MONTH($A1377),"ENERO","FEBRERO","MARZO","ABRIL","MAYO","JUNIO","JULIO","AGOSTO","SEPTIEMBRE","OCTUBRE","NOVIEMBRE","DICIEMBRE"))</f>
        <v/>
      </c>
      <c r="I1377" s="34">
        <f>IF($A1377="","",IF(OR($G1377="SÁBADO",$G1377="DOMINGO"),"FIN","LV"))</f>
        <v/>
      </c>
      <c r="J1377" s="34">
        <f>IF(OR($A1377="",$B1377=""),"",IF($L1377&lt;&gt;"",UPPER($L1377),IF($C1377="","FALTA",IFERROR(IF($C1377&gt;=$O1377,"ROJO FUERTE",IF($C1377&gt;=$N1377,"ROJO",IF($C1377&gt;=$M1377,"AMARILLO","VERDE"))),"REVISAR"))))</f>
        <v/>
      </c>
      <c r="K1377" s="36">
        <f>IF(OR($C1377="",$D1377=""),"",IF($D1377&gt;=$C1377,($D1377-$C1377)*24,(1-$C1377+$D1377)*24))</f>
        <v/>
      </c>
      <c r="L1377" s="34" t="n"/>
      <c r="M1377" s="53">
        <f t="array" ref="M1377">IFERROR(INDEX(EXCEPCIONES_FECHA!$D$2:$D$201,MATCH(1,(EXCEPCIONES_FECHA!$A$2:$A$201=$A1377)*(EXCEPCIONES_FECHA!$B$2:$B$201=$B1377),0)),IFERROR(INDEX(EXCEPCIONES_FECHA!$D$2:$D$201,MATCH(1,(EXCEPCIONES_FECHA!$A$2:$A$201=$A1377)*(EXCEPCIONES_FECHA!$B$2:$B$201=""),0)),IFERROR(INDEX(IF($I1377="FIN",HISTORIAL_HORARIOS!$J$2:$J$201,HISTORIAL_HORARIOS!$F$2:$F$201),MATCH(1,(HISTORIAL_HORARIOS!$A$2:$A$201=$B1377)*(HISTORIAL_HORARIOS!$C$2:$C$201&lt;=$A1377)*(HISTORIAL_HORARIOS!$D$2:$D$201&gt;=$A1377),0)),INDEX(IF($I1377="FIN",PERSONAL!$J$2:$J$80,PERSONAL!$F$2:$F$80),MATCH($B1377,PERSONAL!$A$2:$A$80,0)))))</f>
        <v/>
      </c>
      <c r="N1377" s="53">
        <f t="array" ref="N1377">IFERROR(INDEX(EXCEPCIONES_FECHA!$E$2:$E$201,MATCH(1,(EXCEPCIONES_FECHA!$A$2:$A$201=$A1377)*(EXCEPCIONES_FECHA!$B$2:$B$201=$B1377),0)),IFERROR(INDEX(EXCEPCIONES_FECHA!$E$2:$E$201,MATCH(1,(EXCEPCIONES_FECHA!$A$2:$A$201=$A1377)*(EXCEPCIONES_FECHA!$B$2:$B$201=""),0)),IFERROR(INDEX(IF($I1377="FIN",HISTORIAL_HORARIOS!$K$2:$K$201,HISTORIAL_HORARIOS!$G$2:$G$201),MATCH(1,(HISTORIAL_HORARIOS!$A$2:$A$201=$B1377)*(HISTORIAL_HORARIOS!$C$2:$C$201&lt;=$A1377)*(HISTORIAL_HORARIOS!$D$2:$D$201&gt;=$A1377),0)),INDEX(IF($I1377="FIN",PERSONAL!$K$2:$K$80,PERSONAL!$G$2:$G$80),MATCH($B1377,PERSONAL!$A$2:$A$80,0)))))</f>
        <v/>
      </c>
      <c r="O1377" s="53">
        <f t="array" ref="O1377">IFERROR(INDEX(EXCEPCIONES_FECHA!$F$2:$F$201,MATCH(1,(EXCEPCIONES_FECHA!$A$2:$A$201=$A1377)*(EXCEPCIONES_FECHA!$B$2:$B$201=$B1377),0)),IFERROR(INDEX(EXCEPCIONES_FECHA!$F$2:$F$201,MATCH(1,(EXCEPCIONES_FECHA!$A$2:$A$201=$A1377)*(EXCEPCIONES_FECHA!$B$2:$B$201=""),0)),IFERROR(INDEX(IF($I1377="FIN",HISTORIAL_HORARIOS!$L$2:$L$201,HISTORIAL_HORARIOS!$H$2:$H$201),MATCH(1,(HISTORIAL_HORARIOS!$A$2:$A$201=$B1377)*(HISTORIAL_HORARIOS!$C$2:$C$201&lt;=$A1377)*(HISTORIAL_HORARIOS!$D$2:$D$201&gt;=$A1377),0)),INDEX(IF($I1377="FIN",PERSONAL!$L$2:$L$80,PERSONAL!$H$2:$H$80),MATCH($B1377,PERSONAL!$A$2:$A$80,0)))))</f>
        <v/>
      </c>
    </row>
    <row r="1378" ht="15" customHeight="1" s="58">
      <c r="A1378" s="40" t="n"/>
      <c r="B1378" s="38" t="n"/>
      <c r="C1378" s="40" t="n"/>
      <c r="D1378" s="40" t="n"/>
      <c r="E1378" s="34">
        <f t="array" ref="E1378">IF($B1378="","",IFERROR(INDEX(PERSONAL!$B$2:$B$80,MATCH($B1378,PERSONAL!$A$2:$A$80,0)),"NO EXISTE"))</f>
        <v/>
      </c>
      <c r="F1378" s="34">
        <f t="array" ref="F1378">IF($B1378="","",IFERROR(INDEX(PERSONAL!$C$2:$C$80,MATCH($B1378,PERSONAL!$A$2:$A$80,0)),""))</f>
        <v/>
      </c>
      <c r="G1378" s="34">
        <f>IF($A1378="","",CHOOSE(WEEKDAY($A1378,2),"LUNES","MARTES","MIÉRCOLES","JUEVES","VIERNES","SÁBADO","DOMINGO"))</f>
        <v/>
      </c>
      <c r="H1378" s="34">
        <f>IF($A1378="","",CHOOSE(MONTH($A1378),"ENERO","FEBRERO","MARZO","ABRIL","MAYO","JUNIO","JULIO","AGOSTO","SEPTIEMBRE","OCTUBRE","NOVIEMBRE","DICIEMBRE"))</f>
        <v/>
      </c>
      <c r="I1378" s="34">
        <f>IF($A1378="","",IF(OR($G1378="SÁBADO",$G1378="DOMINGO"),"FIN","LV"))</f>
        <v/>
      </c>
      <c r="J1378" s="34">
        <f>IF(OR($A1378="",$B1378=""),"",IF($L1378&lt;&gt;"",UPPER($L1378),IF($C1378="","FALTA",IFERROR(IF($C1378&gt;=$O1378,"ROJO FUERTE",IF($C1378&gt;=$N1378,"ROJO",IF($C1378&gt;=$M1378,"AMARILLO","VERDE"))),"REVISAR"))))</f>
        <v/>
      </c>
      <c r="K1378" s="36">
        <f>IF(OR($C1378="",$D1378=""),"",IF($D1378&gt;=$C1378,($D1378-$C1378)*24,(1-$C1378+$D1378)*24))</f>
        <v/>
      </c>
      <c r="L1378" s="34" t="n"/>
      <c r="M1378" s="53">
        <f t="array" ref="M1378">IFERROR(INDEX(EXCEPCIONES_FECHA!$D$2:$D$201,MATCH(1,(EXCEPCIONES_FECHA!$A$2:$A$201=$A1378)*(EXCEPCIONES_FECHA!$B$2:$B$201=$B1378),0)),IFERROR(INDEX(EXCEPCIONES_FECHA!$D$2:$D$201,MATCH(1,(EXCEPCIONES_FECHA!$A$2:$A$201=$A1378)*(EXCEPCIONES_FECHA!$B$2:$B$201=""),0)),IFERROR(INDEX(IF($I1378="FIN",HISTORIAL_HORARIOS!$J$2:$J$201,HISTORIAL_HORARIOS!$F$2:$F$201),MATCH(1,(HISTORIAL_HORARIOS!$A$2:$A$201=$B1378)*(HISTORIAL_HORARIOS!$C$2:$C$201&lt;=$A1378)*(HISTORIAL_HORARIOS!$D$2:$D$201&gt;=$A1378),0)),INDEX(IF($I1378="FIN",PERSONAL!$J$2:$J$80,PERSONAL!$F$2:$F$80),MATCH($B1378,PERSONAL!$A$2:$A$80,0)))))</f>
        <v/>
      </c>
      <c r="N1378" s="53">
        <f t="array" ref="N1378">IFERROR(INDEX(EXCEPCIONES_FECHA!$E$2:$E$201,MATCH(1,(EXCEPCIONES_FECHA!$A$2:$A$201=$A1378)*(EXCEPCIONES_FECHA!$B$2:$B$201=$B1378),0)),IFERROR(INDEX(EXCEPCIONES_FECHA!$E$2:$E$201,MATCH(1,(EXCEPCIONES_FECHA!$A$2:$A$201=$A1378)*(EXCEPCIONES_FECHA!$B$2:$B$201=""),0)),IFERROR(INDEX(IF($I1378="FIN",HISTORIAL_HORARIOS!$K$2:$K$201,HISTORIAL_HORARIOS!$G$2:$G$201),MATCH(1,(HISTORIAL_HORARIOS!$A$2:$A$201=$B1378)*(HISTORIAL_HORARIOS!$C$2:$C$201&lt;=$A1378)*(HISTORIAL_HORARIOS!$D$2:$D$201&gt;=$A1378),0)),INDEX(IF($I1378="FIN",PERSONAL!$K$2:$K$80,PERSONAL!$G$2:$G$80),MATCH($B1378,PERSONAL!$A$2:$A$80,0)))))</f>
        <v/>
      </c>
      <c r="O1378" s="53">
        <f t="array" ref="O1378">IFERROR(INDEX(EXCEPCIONES_FECHA!$F$2:$F$201,MATCH(1,(EXCEPCIONES_FECHA!$A$2:$A$201=$A1378)*(EXCEPCIONES_FECHA!$B$2:$B$201=$B1378),0)),IFERROR(INDEX(EXCEPCIONES_FECHA!$F$2:$F$201,MATCH(1,(EXCEPCIONES_FECHA!$A$2:$A$201=$A1378)*(EXCEPCIONES_FECHA!$B$2:$B$201=""),0)),IFERROR(INDEX(IF($I1378="FIN",HISTORIAL_HORARIOS!$L$2:$L$201,HISTORIAL_HORARIOS!$H$2:$H$201),MATCH(1,(HISTORIAL_HORARIOS!$A$2:$A$201=$B1378)*(HISTORIAL_HORARIOS!$C$2:$C$201&lt;=$A1378)*(HISTORIAL_HORARIOS!$D$2:$D$201&gt;=$A1378),0)),INDEX(IF($I1378="FIN",PERSONAL!$L$2:$L$80,PERSONAL!$H$2:$H$80),MATCH($B1378,PERSONAL!$A$2:$A$80,0)))))</f>
        <v/>
      </c>
    </row>
    <row r="1379" ht="15" customHeight="1" s="58">
      <c r="A1379" s="40" t="n"/>
      <c r="B1379" s="38" t="n"/>
      <c r="C1379" s="40" t="n"/>
      <c r="D1379" s="40" t="n"/>
      <c r="E1379" s="34">
        <f t="array" ref="E1379">IF($B1379="","",IFERROR(INDEX(PERSONAL!$B$2:$B$80,MATCH($B1379,PERSONAL!$A$2:$A$80,0)),"NO EXISTE"))</f>
        <v/>
      </c>
      <c r="F1379" s="34">
        <f t="array" ref="F1379">IF($B1379="","",IFERROR(INDEX(PERSONAL!$C$2:$C$80,MATCH($B1379,PERSONAL!$A$2:$A$80,0)),""))</f>
        <v/>
      </c>
      <c r="G1379" s="34">
        <f>IF($A1379="","",CHOOSE(WEEKDAY($A1379,2),"LUNES","MARTES","MIÉRCOLES","JUEVES","VIERNES","SÁBADO","DOMINGO"))</f>
        <v/>
      </c>
      <c r="H1379" s="34">
        <f>IF($A1379="","",CHOOSE(MONTH($A1379),"ENERO","FEBRERO","MARZO","ABRIL","MAYO","JUNIO","JULIO","AGOSTO","SEPTIEMBRE","OCTUBRE","NOVIEMBRE","DICIEMBRE"))</f>
        <v/>
      </c>
      <c r="I1379" s="34">
        <f>IF($A1379="","",IF(OR($G1379="SÁBADO",$G1379="DOMINGO"),"FIN","LV"))</f>
        <v/>
      </c>
      <c r="J1379" s="34">
        <f>IF(OR($A1379="",$B1379=""),"",IF($L1379&lt;&gt;"",UPPER($L1379),IF($C1379="","FALTA",IFERROR(IF($C1379&gt;=$O1379,"ROJO FUERTE",IF($C1379&gt;=$N1379,"ROJO",IF($C1379&gt;=$M1379,"AMARILLO","VERDE"))),"REVISAR"))))</f>
        <v/>
      </c>
      <c r="K1379" s="36">
        <f>IF(OR($C1379="",$D1379=""),"",IF($D1379&gt;=$C1379,($D1379-$C1379)*24,(1-$C1379+$D1379)*24))</f>
        <v/>
      </c>
      <c r="L1379" s="34" t="n"/>
      <c r="M1379" s="53">
        <f t="array" ref="M1379">IFERROR(INDEX(EXCEPCIONES_FECHA!$D$2:$D$201,MATCH(1,(EXCEPCIONES_FECHA!$A$2:$A$201=$A1379)*(EXCEPCIONES_FECHA!$B$2:$B$201=$B1379),0)),IFERROR(INDEX(EXCEPCIONES_FECHA!$D$2:$D$201,MATCH(1,(EXCEPCIONES_FECHA!$A$2:$A$201=$A1379)*(EXCEPCIONES_FECHA!$B$2:$B$201=""),0)),IFERROR(INDEX(IF($I1379="FIN",HISTORIAL_HORARIOS!$J$2:$J$201,HISTORIAL_HORARIOS!$F$2:$F$201),MATCH(1,(HISTORIAL_HORARIOS!$A$2:$A$201=$B1379)*(HISTORIAL_HORARIOS!$C$2:$C$201&lt;=$A1379)*(HISTORIAL_HORARIOS!$D$2:$D$201&gt;=$A1379),0)),INDEX(IF($I1379="FIN",PERSONAL!$J$2:$J$80,PERSONAL!$F$2:$F$80),MATCH($B1379,PERSONAL!$A$2:$A$80,0)))))</f>
        <v/>
      </c>
      <c r="N1379" s="53">
        <f t="array" ref="N1379">IFERROR(INDEX(EXCEPCIONES_FECHA!$E$2:$E$201,MATCH(1,(EXCEPCIONES_FECHA!$A$2:$A$201=$A1379)*(EXCEPCIONES_FECHA!$B$2:$B$201=$B1379),0)),IFERROR(INDEX(EXCEPCIONES_FECHA!$E$2:$E$201,MATCH(1,(EXCEPCIONES_FECHA!$A$2:$A$201=$A1379)*(EXCEPCIONES_FECHA!$B$2:$B$201=""),0)),IFERROR(INDEX(IF($I1379="FIN",HISTORIAL_HORARIOS!$K$2:$K$201,HISTORIAL_HORARIOS!$G$2:$G$201),MATCH(1,(HISTORIAL_HORARIOS!$A$2:$A$201=$B1379)*(HISTORIAL_HORARIOS!$C$2:$C$201&lt;=$A1379)*(HISTORIAL_HORARIOS!$D$2:$D$201&gt;=$A1379),0)),INDEX(IF($I1379="FIN",PERSONAL!$K$2:$K$80,PERSONAL!$G$2:$G$80),MATCH($B1379,PERSONAL!$A$2:$A$80,0)))))</f>
        <v/>
      </c>
      <c r="O1379" s="53">
        <f t="array" ref="O1379">IFERROR(INDEX(EXCEPCIONES_FECHA!$F$2:$F$201,MATCH(1,(EXCEPCIONES_FECHA!$A$2:$A$201=$A1379)*(EXCEPCIONES_FECHA!$B$2:$B$201=$B1379),0)),IFERROR(INDEX(EXCEPCIONES_FECHA!$F$2:$F$201,MATCH(1,(EXCEPCIONES_FECHA!$A$2:$A$201=$A1379)*(EXCEPCIONES_FECHA!$B$2:$B$201=""),0)),IFERROR(INDEX(IF($I1379="FIN",HISTORIAL_HORARIOS!$L$2:$L$201,HISTORIAL_HORARIOS!$H$2:$H$201),MATCH(1,(HISTORIAL_HORARIOS!$A$2:$A$201=$B1379)*(HISTORIAL_HORARIOS!$C$2:$C$201&lt;=$A1379)*(HISTORIAL_HORARIOS!$D$2:$D$201&gt;=$A1379),0)),INDEX(IF($I1379="FIN",PERSONAL!$L$2:$L$80,PERSONAL!$H$2:$H$80),MATCH($B1379,PERSONAL!$A$2:$A$80,0)))))</f>
        <v/>
      </c>
    </row>
    <row r="1380" ht="15" customHeight="1" s="58">
      <c r="A1380" s="40" t="n"/>
      <c r="B1380" s="38" t="n"/>
      <c r="C1380" s="40" t="n"/>
      <c r="D1380" s="40" t="n"/>
      <c r="E1380" s="34">
        <f t="array" ref="E1380">IF($B1380="","",IFERROR(INDEX(PERSONAL!$B$2:$B$80,MATCH($B1380,PERSONAL!$A$2:$A$80,0)),"NO EXISTE"))</f>
        <v/>
      </c>
      <c r="F1380" s="34">
        <f t="array" ref="F1380">IF($B1380="","",IFERROR(INDEX(PERSONAL!$C$2:$C$80,MATCH($B1380,PERSONAL!$A$2:$A$80,0)),""))</f>
        <v/>
      </c>
      <c r="G1380" s="34">
        <f>IF($A1380="","",CHOOSE(WEEKDAY($A1380,2),"LUNES","MARTES","MIÉRCOLES","JUEVES","VIERNES","SÁBADO","DOMINGO"))</f>
        <v/>
      </c>
      <c r="H1380" s="34">
        <f>IF($A1380="","",CHOOSE(MONTH($A1380),"ENERO","FEBRERO","MARZO","ABRIL","MAYO","JUNIO","JULIO","AGOSTO","SEPTIEMBRE","OCTUBRE","NOVIEMBRE","DICIEMBRE"))</f>
        <v/>
      </c>
      <c r="I1380" s="34">
        <f>IF($A1380="","",IF(OR($G1380="SÁBADO",$G1380="DOMINGO"),"FIN","LV"))</f>
        <v/>
      </c>
      <c r="J1380" s="34">
        <f>IF(OR($A1380="",$B1380=""),"",IF($L1380&lt;&gt;"",UPPER($L1380),IF($C1380="","FALTA",IFERROR(IF($C1380&gt;=$O1380,"ROJO FUERTE",IF($C1380&gt;=$N1380,"ROJO",IF($C1380&gt;=$M1380,"AMARILLO","VERDE"))),"REVISAR"))))</f>
        <v/>
      </c>
      <c r="K1380" s="36">
        <f>IF(OR($C1380="",$D1380=""),"",IF($D1380&gt;=$C1380,($D1380-$C1380)*24,(1-$C1380+$D1380)*24))</f>
        <v/>
      </c>
      <c r="L1380" s="34" t="n"/>
      <c r="M1380" s="53">
        <f t="array" ref="M1380">IFERROR(INDEX(EXCEPCIONES_FECHA!$D$2:$D$201,MATCH(1,(EXCEPCIONES_FECHA!$A$2:$A$201=$A1380)*(EXCEPCIONES_FECHA!$B$2:$B$201=$B1380),0)),IFERROR(INDEX(EXCEPCIONES_FECHA!$D$2:$D$201,MATCH(1,(EXCEPCIONES_FECHA!$A$2:$A$201=$A1380)*(EXCEPCIONES_FECHA!$B$2:$B$201=""),0)),IFERROR(INDEX(IF($I1380="FIN",HISTORIAL_HORARIOS!$J$2:$J$201,HISTORIAL_HORARIOS!$F$2:$F$201),MATCH(1,(HISTORIAL_HORARIOS!$A$2:$A$201=$B1380)*(HISTORIAL_HORARIOS!$C$2:$C$201&lt;=$A1380)*(HISTORIAL_HORARIOS!$D$2:$D$201&gt;=$A1380),0)),INDEX(IF($I1380="FIN",PERSONAL!$J$2:$J$80,PERSONAL!$F$2:$F$80),MATCH($B1380,PERSONAL!$A$2:$A$80,0)))))</f>
        <v/>
      </c>
      <c r="N1380" s="53">
        <f t="array" ref="N1380">IFERROR(INDEX(EXCEPCIONES_FECHA!$E$2:$E$201,MATCH(1,(EXCEPCIONES_FECHA!$A$2:$A$201=$A1380)*(EXCEPCIONES_FECHA!$B$2:$B$201=$B1380),0)),IFERROR(INDEX(EXCEPCIONES_FECHA!$E$2:$E$201,MATCH(1,(EXCEPCIONES_FECHA!$A$2:$A$201=$A1380)*(EXCEPCIONES_FECHA!$B$2:$B$201=""),0)),IFERROR(INDEX(IF($I1380="FIN",HISTORIAL_HORARIOS!$K$2:$K$201,HISTORIAL_HORARIOS!$G$2:$G$201),MATCH(1,(HISTORIAL_HORARIOS!$A$2:$A$201=$B1380)*(HISTORIAL_HORARIOS!$C$2:$C$201&lt;=$A1380)*(HISTORIAL_HORARIOS!$D$2:$D$201&gt;=$A1380),0)),INDEX(IF($I1380="FIN",PERSONAL!$K$2:$K$80,PERSONAL!$G$2:$G$80),MATCH($B1380,PERSONAL!$A$2:$A$80,0)))))</f>
        <v/>
      </c>
      <c r="O1380" s="53">
        <f t="array" ref="O1380">IFERROR(INDEX(EXCEPCIONES_FECHA!$F$2:$F$201,MATCH(1,(EXCEPCIONES_FECHA!$A$2:$A$201=$A1380)*(EXCEPCIONES_FECHA!$B$2:$B$201=$B1380),0)),IFERROR(INDEX(EXCEPCIONES_FECHA!$F$2:$F$201,MATCH(1,(EXCEPCIONES_FECHA!$A$2:$A$201=$A1380)*(EXCEPCIONES_FECHA!$B$2:$B$201=""),0)),IFERROR(INDEX(IF($I1380="FIN",HISTORIAL_HORARIOS!$L$2:$L$201,HISTORIAL_HORARIOS!$H$2:$H$201),MATCH(1,(HISTORIAL_HORARIOS!$A$2:$A$201=$B1380)*(HISTORIAL_HORARIOS!$C$2:$C$201&lt;=$A1380)*(HISTORIAL_HORARIOS!$D$2:$D$201&gt;=$A1380),0)),INDEX(IF($I1380="FIN",PERSONAL!$L$2:$L$80,PERSONAL!$H$2:$H$80),MATCH($B1380,PERSONAL!$A$2:$A$80,0)))))</f>
        <v/>
      </c>
    </row>
    <row r="1381" ht="15" customHeight="1" s="58">
      <c r="A1381" s="40" t="n"/>
      <c r="B1381" s="38" t="n"/>
      <c r="C1381" s="40" t="n"/>
      <c r="D1381" s="40" t="n"/>
      <c r="E1381" s="34">
        <f t="array" ref="E1381">IF($B1381="","",IFERROR(INDEX(PERSONAL!$B$2:$B$80,MATCH($B1381,PERSONAL!$A$2:$A$80,0)),"NO EXISTE"))</f>
        <v/>
      </c>
      <c r="F1381" s="34">
        <f t="array" ref="F1381">IF($B1381="","",IFERROR(INDEX(PERSONAL!$C$2:$C$80,MATCH($B1381,PERSONAL!$A$2:$A$80,0)),""))</f>
        <v/>
      </c>
      <c r="G1381" s="34">
        <f>IF($A1381="","",CHOOSE(WEEKDAY($A1381,2),"LUNES","MARTES","MIÉRCOLES","JUEVES","VIERNES","SÁBADO","DOMINGO"))</f>
        <v/>
      </c>
      <c r="H1381" s="34">
        <f>IF($A1381="","",CHOOSE(MONTH($A1381),"ENERO","FEBRERO","MARZO","ABRIL","MAYO","JUNIO","JULIO","AGOSTO","SEPTIEMBRE","OCTUBRE","NOVIEMBRE","DICIEMBRE"))</f>
        <v/>
      </c>
      <c r="I1381" s="34">
        <f>IF($A1381="","",IF(OR($G1381="SÁBADO",$G1381="DOMINGO"),"FIN","LV"))</f>
        <v/>
      </c>
      <c r="J1381" s="34">
        <f>IF(OR($A1381="",$B1381=""),"",IF($L1381&lt;&gt;"",UPPER($L1381),IF($C1381="","FALTA",IFERROR(IF($C1381&gt;=$O1381,"ROJO FUERTE",IF($C1381&gt;=$N1381,"ROJO",IF($C1381&gt;=$M1381,"AMARILLO","VERDE"))),"REVISAR"))))</f>
        <v/>
      </c>
      <c r="K1381" s="36">
        <f>IF(OR($C1381="",$D1381=""),"",IF($D1381&gt;=$C1381,($D1381-$C1381)*24,(1-$C1381+$D1381)*24))</f>
        <v/>
      </c>
      <c r="L1381" s="34" t="n"/>
      <c r="M1381" s="53">
        <f t="array" ref="M1381">IFERROR(INDEX(EXCEPCIONES_FECHA!$D$2:$D$201,MATCH(1,(EXCEPCIONES_FECHA!$A$2:$A$201=$A1381)*(EXCEPCIONES_FECHA!$B$2:$B$201=$B1381),0)),IFERROR(INDEX(EXCEPCIONES_FECHA!$D$2:$D$201,MATCH(1,(EXCEPCIONES_FECHA!$A$2:$A$201=$A1381)*(EXCEPCIONES_FECHA!$B$2:$B$201=""),0)),IFERROR(INDEX(IF($I1381="FIN",HISTORIAL_HORARIOS!$J$2:$J$201,HISTORIAL_HORARIOS!$F$2:$F$201),MATCH(1,(HISTORIAL_HORARIOS!$A$2:$A$201=$B1381)*(HISTORIAL_HORARIOS!$C$2:$C$201&lt;=$A1381)*(HISTORIAL_HORARIOS!$D$2:$D$201&gt;=$A1381),0)),INDEX(IF($I1381="FIN",PERSONAL!$J$2:$J$80,PERSONAL!$F$2:$F$80),MATCH($B1381,PERSONAL!$A$2:$A$80,0)))))</f>
        <v/>
      </c>
      <c r="N1381" s="53">
        <f t="array" ref="N1381">IFERROR(INDEX(EXCEPCIONES_FECHA!$E$2:$E$201,MATCH(1,(EXCEPCIONES_FECHA!$A$2:$A$201=$A1381)*(EXCEPCIONES_FECHA!$B$2:$B$201=$B1381),0)),IFERROR(INDEX(EXCEPCIONES_FECHA!$E$2:$E$201,MATCH(1,(EXCEPCIONES_FECHA!$A$2:$A$201=$A1381)*(EXCEPCIONES_FECHA!$B$2:$B$201=""),0)),IFERROR(INDEX(IF($I1381="FIN",HISTORIAL_HORARIOS!$K$2:$K$201,HISTORIAL_HORARIOS!$G$2:$G$201),MATCH(1,(HISTORIAL_HORARIOS!$A$2:$A$201=$B1381)*(HISTORIAL_HORARIOS!$C$2:$C$201&lt;=$A1381)*(HISTORIAL_HORARIOS!$D$2:$D$201&gt;=$A1381),0)),INDEX(IF($I1381="FIN",PERSONAL!$K$2:$K$80,PERSONAL!$G$2:$G$80),MATCH($B1381,PERSONAL!$A$2:$A$80,0)))))</f>
        <v/>
      </c>
      <c r="O1381" s="53">
        <f t="array" ref="O1381">IFERROR(INDEX(EXCEPCIONES_FECHA!$F$2:$F$201,MATCH(1,(EXCEPCIONES_FECHA!$A$2:$A$201=$A1381)*(EXCEPCIONES_FECHA!$B$2:$B$201=$B1381),0)),IFERROR(INDEX(EXCEPCIONES_FECHA!$F$2:$F$201,MATCH(1,(EXCEPCIONES_FECHA!$A$2:$A$201=$A1381)*(EXCEPCIONES_FECHA!$B$2:$B$201=""),0)),IFERROR(INDEX(IF($I1381="FIN",HISTORIAL_HORARIOS!$L$2:$L$201,HISTORIAL_HORARIOS!$H$2:$H$201),MATCH(1,(HISTORIAL_HORARIOS!$A$2:$A$201=$B1381)*(HISTORIAL_HORARIOS!$C$2:$C$201&lt;=$A1381)*(HISTORIAL_HORARIOS!$D$2:$D$201&gt;=$A1381),0)),INDEX(IF($I1381="FIN",PERSONAL!$L$2:$L$80,PERSONAL!$H$2:$H$80),MATCH($B1381,PERSONAL!$A$2:$A$80,0)))))</f>
        <v/>
      </c>
    </row>
    <row r="1382" ht="15" customHeight="1" s="58">
      <c r="A1382" s="40" t="n"/>
      <c r="B1382" s="38" t="n"/>
      <c r="C1382" s="40" t="n"/>
      <c r="D1382" s="40" t="n"/>
      <c r="E1382" s="34">
        <f t="array" ref="E1382">IF($B1382="","",IFERROR(INDEX(PERSONAL!$B$2:$B$80,MATCH($B1382,PERSONAL!$A$2:$A$80,0)),"NO EXISTE"))</f>
        <v/>
      </c>
      <c r="F1382" s="34">
        <f t="array" ref="F1382">IF($B1382="","",IFERROR(INDEX(PERSONAL!$C$2:$C$80,MATCH($B1382,PERSONAL!$A$2:$A$80,0)),""))</f>
        <v/>
      </c>
      <c r="G1382" s="34">
        <f>IF($A1382="","",CHOOSE(WEEKDAY($A1382,2),"LUNES","MARTES","MIÉRCOLES","JUEVES","VIERNES","SÁBADO","DOMINGO"))</f>
        <v/>
      </c>
      <c r="H1382" s="34">
        <f>IF($A1382="","",CHOOSE(MONTH($A1382),"ENERO","FEBRERO","MARZO","ABRIL","MAYO","JUNIO","JULIO","AGOSTO","SEPTIEMBRE","OCTUBRE","NOVIEMBRE","DICIEMBRE"))</f>
        <v/>
      </c>
      <c r="I1382" s="34">
        <f>IF($A1382="","",IF(OR($G1382="SÁBADO",$G1382="DOMINGO"),"FIN","LV"))</f>
        <v/>
      </c>
      <c r="J1382" s="34">
        <f>IF(OR($A1382="",$B1382=""),"",IF($L1382&lt;&gt;"",UPPER($L1382),IF($C1382="","FALTA",IFERROR(IF($C1382&gt;=$O1382,"ROJO FUERTE",IF($C1382&gt;=$N1382,"ROJO",IF($C1382&gt;=$M1382,"AMARILLO","VERDE"))),"REVISAR"))))</f>
        <v/>
      </c>
      <c r="K1382" s="36">
        <f>IF(OR($C1382="",$D1382=""),"",IF($D1382&gt;=$C1382,($D1382-$C1382)*24,(1-$C1382+$D1382)*24))</f>
        <v/>
      </c>
      <c r="L1382" s="34" t="n"/>
      <c r="M1382" s="53">
        <f t="array" ref="M1382">IFERROR(INDEX(EXCEPCIONES_FECHA!$D$2:$D$201,MATCH(1,(EXCEPCIONES_FECHA!$A$2:$A$201=$A1382)*(EXCEPCIONES_FECHA!$B$2:$B$201=$B1382),0)),IFERROR(INDEX(EXCEPCIONES_FECHA!$D$2:$D$201,MATCH(1,(EXCEPCIONES_FECHA!$A$2:$A$201=$A1382)*(EXCEPCIONES_FECHA!$B$2:$B$201=""),0)),IFERROR(INDEX(IF($I1382="FIN",HISTORIAL_HORARIOS!$J$2:$J$201,HISTORIAL_HORARIOS!$F$2:$F$201),MATCH(1,(HISTORIAL_HORARIOS!$A$2:$A$201=$B1382)*(HISTORIAL_HORARIOS!$C$2:$C$201&lt;=$A1382)*(HISTORIAL_HORARIOS!$D$2:$D$201&gt;=$A1382),0)),INDEX(IF($I1382="FIN",PERSONAL!$J$2:$J$80,PERSONAL!$F$2:$F$80),MATCH($B1382,PERSONAL!$A$2:$A$80,0)))))</f>
        <v/>
      </c>
      <c r="N1382" s="53">
        <f t="array" ref="N1382">IFERROR(INDEX(EXCEPCIONES_FECHA!$E$2:$E$201,MATCH(1,(EXCEPCIONES_FECHA!$A$2:$A$201=$A1382)*(EXCEPCIONES_FECHA!$B$2:$B$201=$B1382),0)),IFERROR(INDEX(EXCEPCIONES_FECHA!$E$2:$E$201,MATCH(1,(EXCEPCIONES_FECHA!$A$2:$A$201=$A1382)*(EXCEPCIONES_FECHA!$B$2:$B$201=""),0)),IFERROR(INDEX(IF($I1382="FIN",HISTORIAL_HORARIOS!$K$2:$K$201,HISTORIAL_HORARIOS!$G$2:$G$201),MATCH(1,(HISTORIAL_HORARIOS!$A$2:$A$201=$B1382)*(HISTORIAL_HORARIOS!$C$2:$C$201&lt;=$A1382)*(HISTORIAL_HORARIOS!$D$2:$D$201&gt;=$A1382),0)),INDEX(IF($I1382="FIN",PERSONAL!$K$2:$K$80,PERSONAL!$G$2:$G$80),MATCH($B1382,PERSONAL!$A$2:$A$80,0)))))</f>
        <v/>
      </c>
      <c r="O1382" s="53">
        <f t="array" ref="O1382">IFERROR(INDEX(EXCEPCIONES_FECHA!$F$2:$F$201,MATCH(1,(EXCEPCIONES_FECHA!$A$2:$A$201=$A1382)*(EXCEPCIONES_FECHA!$B$2:$B$201=$B1382),0)),IFERROR(INDEX(EXCEPCIONES_FECHA!$F$2:$F$201,MATCH(1,(EXCEPCIONES_FECHA!$A$2:$A$201=$A1382)*(EXCEPCIONES_FECHA!$B$2:$B$201=""),0)),IFERROR(INDEX(IF($I1382="FIN",HISTORIAL_HORARIOS!$L$2:$L$201,HISTORIAL_HORARIOS!$H$2:$H$201),MATCH(1,(HISTORIAL_HORARIOS!$A$2:$A$201=$B1382)*(HISTORIAL_HORARIOS!$C$2:$C$201&lt;=$A1382)*(HISTORIAL_HORARIOS!$D$2:$D$201&gt;=$A1382),0)),INDEX(IF($I1382="FIN",PERSONAL!$L$2:$L$80,PERSONAL!$H$2:$H$80),MATCH($B1382,PERSONAL!$A$2:$A$80,0)))))</f>
        <v/>
      </c>
    </row>
    <row r="1383" ht="15" customHeight="1" s="58">
      <c r="A1383" s="40" t="n"/>
      <c r="B1383" s="38" t="n"/>
      <c r="C1383" s="40" t="n"/>
      <c r="D1383" s="40" t="n"/>
      <c r="E1383" s="34">
        <f t="array" ref="E1383">IF($B1383="","",IFERROR(INDEX(PERSONAL!$B$2:$B$80,MATCH($B1383,PERSONAL!$A$2:$A$80,0)),"NO EXISTE"))</f>
        <v/>
      </c>
      <c r="F1383" s="34">
        <f t="array" ref="F1383">IF($B1383="","",IFERROR(INDEX(PERSONAL!$C$2:$C$80,MATCH($B1383,PERSONAL!$A$2:$A$80,0)),""))</f>
        <v/>
      </c>
      <c r="G1383" s="34">
        <f>IF($A1383="","",CHOOSE(WEEKDAY($A1383,2),"LUNES","MARTES","MIÉRCOLES","JUEVES","VIERNES","SÁBADO","DOMINGO"))</f>
        <v/>
      </c>
      <c r="H1383" s="34">
        <f>IF($A1383="","",CHOOSE(MONTH($A1383),"ENERO","FEBRERO","MARZO","ABRIL","MAYO","JUNIO","JULIO","AGOSTO","SEPTIEMBRE","OCTUBRE","NOVIEMBRE","DICIEMBRE"))</f>
        <v/>
      </c>
      <c r="I1383" s="34">
        <f>IF($A1383="","",IF(OR($G1383="SÁBADO",$G1383="DOMINGO"),"FIN","LV"))</f>
        <v/>
      </c>
      <c r="J1383" s="34">
        <f>IF(OR($A1383="",$B1383=""),"",IF($L1383&lt;&gt;"",UPPER($L1383),IF($C1383="","FALTA",IFERROR(IF($C1383&gt;=$O1383,"ROJO FUERTE",IF($C1383&gt;=$N1383,"ROJO",IF($C1383&gt;=$M1383,"AMARILLO","VERDE"))),"REVISAR"))))</f>
        <v/>
      </c>
      <c r="K1383" s="36">
        <f>IF(OR($C1383="",$D1383=""),"",IF($D1383&gt;=$C1383,($D1383-$C1383)*24,(1-$C1383+$D1383)*24))</f>
        <v/>
      </c>
      <c r="L1383" s="34" t="n"/>
      <c r="M1383" s="53">
        <f t="array" ref="M1383">IFERROR(INDEX(EXCEPCIONES_FECHA!$D$2:$D$201,MATCH(1,(EXCEPCIONES_FECHA!$A$2:$A$201=$A1383)*(EXCEPCIONES_FECHA!$B$2:$B$201=$B1383),0)),IFERROR(INDEX(EXCEPCIONES_FECHA!$D$2:$D$201,MATCH(1,(EXCEPCIONES_FECHA!$A$2:$A$201=$A1383)*(EXCEPCIONES_FECHA!$B$2:$B$201=""),0)),IFERROR(INDEX(IF($I1383="FIN",HISTORIAL_HORARIOS!$J$2:$J$201,HISTORIAL_HORARIOS!$F$2:$F$201),MATCH(1,(HISTORIAL_HORARIOS!$A$2:$A$201=$B1383)*(HISTORIAL_HORARIOS!$C$2:$C$201&lt;=$A1383)*(HISTORIAL_HORARIOS!$D$2:$D$201&gt;=$A1383),0)),INDEX(IF($I1383="FIN",PERSONAL!$J$2:$J$80,PERSONAL!$F$2:$F$80),MATCH($B1383,PERSONAL!$A$2:$A$80,0)))))</f>
        <v/>
      </c>
      <c r="N1383" s="53">
        <f t="array" ref="N1383">IFERROR(INDEX(EXCEPCIONES_FECHA!$E$2:$E$201,MATCH(1,(EXCEPCIONES_FECHA!$A$2:$A$201=$A1383)*(EXCEPCIONES_FECHA!$B$2:$B$201=$B1383),0)),IFERROR(INDEX(EXCEPCIONES_FECHA!$E$2:$E$201,MATCH(1,(EXCEPCIONES_FECHA!$A$2:$A$201=$A1383)*(EXCEPCIONES_FECHA!$B$2:$B$201=""),0)),IFERROR(INDEX(IF($I1383="FIN",HISTORIAL_HORARIOS!$K$2:$K$201,HISTORIAL_HORARIOS!$G$2:$G$201),MATCH(1,(HISTORIAL_HORARIOS!$A$2:$A$201=$B1383)*(HISTORIAL_HORARIOS!$C$2:$C$201&lt;=$A1383)*(HISTORIAL_HORARIOS!$D$2:$D$201&gt;=$A1383),0)),INDEX(IF($I1383="FIN",PERSONAL!$K$2:$K$80,PERSONAL!$G$2:$G$80),MATCH($B1383,PERSONAL!$A$2:$A$80,0)))))</f>
        <v/>
      </c>
      <c r="O1383" s="53">
        <f t="array" ref="O1383">IFERROR(INDEX(EXCEPCIONES_FECHA!$F$2:$F$201,MATCH(1,(EXCEPCIONES_FECHA!$A$2:$A$201=$A1383)*(EXCEPCIONES_FECHA!$B$2:$B$201=$B1383),0)),IFERROR(INDEX(EXCEPCIONES_FECHA!$F$2:$F$201,MATCH(1,(EXCEPCIONES_FECHA!$A$2:$A$201=$A1383)*(EXCEPCIONES_FECHA!$B$2:$B$201=""),0)),IFERROR(INDEX(IF($I1383="FIN",HISTORIAL_HORARIOS!$L$2:$L$201,HISTORIAL_HORARIOS!$H$2:$H$201),MATCH(1,(HISTORIAL_HORARIOS!$A$2:$A$201=$B1383)*(HISTORIAL_HORARIOS!$C$2:$C$201&lt;=$A1383)*(HISTORIAL_HORARIOS!$D$2:$D$201&gt;=$A1383),0)),INDEX(IF($I1383="FIN",PERSONAL!$L$2:$L$80,PERSONAL!$H$2:$H$80),MATCH($B1383,PERSONAL!$A$2:$A$80,0)))))</f>
        <v/>
      </c>
    </row>
    <row r="1384" ht="15" customHeight="1" s="58">
      <c r="A1384" s="40" t="n"/>
      <c r="B1384" s="38" t="n"/>
      <c r="C1384" s="40" t="n"/>
      <c r="D1384" s="40" t="n"/>
      <c r="E1384" s="34">
        <f t="array" ref="E1384">IF($B1384="","",IFERROR(INDEX(PERSONAL!$B$2:$B$80,MATCH($B1384,PERSONAL!$A$2:$A$80,0)),"NO EXISTE"))</f>
        <v/>
      </c>
      <c r="F1384" s="34">
        <f t="array" ref="F1384">IF($B1384="","",IFERROR(INDEX(PERSONAL!$C$2:$C$80,MATCH($B1384,PERSONAL!$A$2:$A$80,0)),""))</f>
        <v/>
      </c>
      <c r="G1384" s="34">
        <f>IF($A1384="","",CHOOSE(WEEKDAY($A1384,2),"LUNES","MARTES","MIÉRCOLES","JUEVES","VIERNES","SÁBADO","DOMINGO"))</f>
        <v/>
      </c>
      <c r="H1384" s="34">
        <f>IF($A1384="","",CHOOSE(MONTH($A1384),"ENERO","FEBRERO","MARZO","ABRIL","MAYO","JUNIO","JULIO","AGOSTO","SEPTIEMBRE","OCTUBRE","NOVIEMBRE","DICIEMBRE"))</f>
        <v/>
      </c>
      <c r="I1384" s="34">
        <f>IF($A1384="","",IF(OR($G1384="SÁBADO",$G1384="DOMINGO"),"FIN","LV"))</f>
        <v/>
      </c>
      <c r="J1384" s="34">
        <f>IF(OR($A1384="",$B1384=""),"",IF($L1384&lt;&gt;"",UPPER($L1384),IF($C1384="","FALTA",IFERROR(IF($C1384&gt;=$O1384,"ROJO FUERTE",IF($C1384&gt;=$N1384,"ROJO",IF($C1384&gt;=$M1384,"AMARILLO","VERDE"))),"REVISAR"))))</f>
        <v/>
      </c>
      <c r="K1384" s="36">
        <f>IF(OR($C1384="",$D1384=""),"",IF($D1384&gt;=$C1384,($D1384-$C1384)*24,(1-$C1384+$D1384)*24))</f>
        <v/>
      </c>
      <c r="L1384" s="34" t="n"/>
      <c r="M1384" s="53">
        <f t="array" ref="M1384">IFERROR(INDEX(EXCEPCIONES_FECHA!$D$2:$D$201,MATCH(1,(EXCEPCIONES_FECHA!$A$2:$A$201=$A1384)*(EXCEPCIONES_FECHA!$B$2:$B$201=$B1384),0)),IFERROR(INDEX(EXCEPCIONES_FECHA!$D$2:$D$201,MATCH(1,(EXCEPCIONES_FECHA!$A$2:$A$201=$A1384)*(EXCEPCIONES_FECHA!$B$2:$B$201=""),0)),IFERROR(INDEX(IF($I1384="FIN",HISTORIAL_HORARIOS!$J$2:$J$201,HISTORIAL_HORARIOS!$F$2:$F$201),MATCH(1,(HISTORIAL_HORARIOS!$A$2:$A$201=$B1384)*(HISTORIAL_HORARIOS!$C$2:$C$201&lt;=$A1384)*(HISTORIAL_HORARIOS!$D$2:$D$201&gt;=$A1384),0)),INDEX(IF($I1384="FIN",PERSONAL!$J$2:$J$80,PERSONAL!$F$2:$F$80),MATCH($B1384,PERSONAL!$A$2:$A$80,0)))))</f>
        <v/>
      </c>
      <c r="N1384" s="53">
        <f t="array" ref="N1384">IFERROR(INDEX(EXCEPCIONES_FECHA!$E$2:$E$201,MATCH(1,(EXCEPCIONES_FECHA!$A$2:$A$201=$A1384)*(EXCEPCIONES_FECHA!$B$2:$B$201=$B1384),0)),IFERROR(INDEX(EXCEPCIONES_FECHA!$E$2:$E$201,MATCH(1,(EXCEPCIONES_FECHA!$A$2:$A$201=$A1384)*(EXCEPCIONES_FECHA!$B$2:$B$201=""),0)),IFERROR(INDEX(IF($I1384="FIN",HISTORIAL_HORARIOS!$K$2:$K$201,HISTORIAL_HORARIOS!$G$2:$G$201),MATCH(1,(HISTORIAL_HORARIOS!$A$2:$A$201=$B1384)*(HISTORIAL_HORARIOS!$C$2:$C$201&lt;=$A1384)*(HISTORIAL_HORARIOS!$D$2:$D$201&gt;=$A1384),0)),INDEX(IF($I1384="FIN",PERSONAL!$K$2:$K$80,PERSONAL!$G$2:$G$80),MATCH($B1384,PERSONAL!$A$2:$A$80,0)))))</f>
        <v/>
      </c>
      <c r="O1384" s="53">
        <f t="array" ref="O1384">IFERROR(INDEX(EXCEPCIONES_FECHA!$F$2:$F$201,MATCH(1,(EXCEPCIONES_FECHA!$A$2:$A$201=$A1384)*(EXCEPCIONES_FECHA!$B$2:$B$201=$B1384),0)),IFERROR(INDEX(EXCEPCIONES_FECHA!$F$2:$F$201,MATCH(1,(EXCEPCIONES_FECHA!$A$2:$A$201=$A1384)*(EXCEPCIONES_FECHA!$B$2:$B$201=""),0)),IFERROR(INDEX(IF($I1384="FIN",HISTORIAL_HORARIOS!$L$2:$L$201,HISTORIAL_HORARIOS!$H$2:$H$201),MATCH(1,(HISTORIAL_HORARIOS!$A$2:$A$201=$B1384)*(HISTORIAL_HORARIOS!$C$2:$C$201&lt;=$A1384)*(HISTORIAL_HORARIOS!$D$2:$D$201&gt;=$A1384),0)),INDEX(IF($I1384="FIN",PERSONAL!$L$2:$L$80,PERSONAL!$H$2:$H$80),MATCH($B1384,PERSONAL!$A$2:$A$80,0)))))</f>
        <v/>
      </c>
    </row>
    <row r="1385" ht="15" customHeight="1" s="58">
      <c r="A1385" s="40" t="n"/>
      <c r="B1385" s="38" t="n"/>
      <c r="C1385" s="40" t="n"/>
      <c r="D1385" s="40" t="n"/>
      <c r="E1385" s="34">
        <f t="array" ref="E1385">IF($B1385="","",IFERROR(INDEX(PERSONAL!$B$2:$B$80,MATCH($B1385,PERSONAL!$A$2:$A$80,0)),"NO EXISTE"))</f>
        <v/>
      </c>
      <c r="F1385" s="34">
        <f t="array" ref="F1385">IF($B1385="","",IFERROR(INDEX(PERSONAL!$C$2:$C$80,MATCH($B1385,PERSONAL!$A$2:$A$80,0)),""))</f>
        <v/>
      </c>
      <c r="G1385" s="34">
        <f>IF($A1385="","",CHOOSE(WEEKDAY($A1385,2),"LUNES","MARTES","MIÉRCOLES","JUEVES","VIERNES","SÁBADO","DOMINGO"))</f>
        <v/>
      </c>
      <c r="H1385" s="34">
        <f>IF($A1385="","",CHOOSE(MONTH($A1385),"ENERO","FEBRERO","MARZO","ABRIL","MAYO","JUNIO","JULIO","AGOSTO","SEPTIEMBRE","OCTUBRE","NOVIEMBRE","DICIEMBRE"))</f>
        <v/>
      </c>
      <c r="I1385" s="34">
        <f>IF($A1385="","",IF(OR($G1385="SÁBADO",$G1385="DOMINGO"),"FIN","LV"))</f>
        <v/>
      </c>
      <c r="J1385" s="34">
        <f>IF(OR($A1385="",$B1385=""),"",IF($L1385&lt;&gt;"",UPPER($L1385),IF($C1385="","FALTA",IFERROR(IF($C1385&gt;=$O1385,"ROJO FUERTE",IF($C1385&gt;=$N1385,"ROJO",IF($C1385&gt;=$M1385,"AMARILLO","VERDE"))),"REVISAR"))))</f>
        <v/>
      </c>
      <c r="K1385" s="36">
        <f>IF(OR($C1385="",$D1385=""),"",IF($D1385&gt;=$C1385,($D1385-$C1385)*24,(1-$C1385+$D1385)*24))</f>
        <v/>
      </c>
      <c r="L1385" s="34" t="n"/>
      <c r="M1385" s="53">
        <f t="array" ref="M1385">IFERROR(INDEX(EXCEPCIONES_FECHA!$D$2:$D$201,MATCH(1,(EXCEPCIONES_FECHA!$A$2:$A$201=$A1385)*(EXCEPCIONES_FECHA!$B$2:$B$201=$B1385),0)),IFERROR(INDEX(EXCEPCIONES_FECHA!$D$2:$D$201,MATCH(1,(EXCEPCIONES_FECHA!$A$2:$A$201=$A1385)*(EXCEPCIONES_FECHA!$B$2:$B$201=""),0)),IFERROR(INDEX(IF($I1385="FIN",HISTORIAL_HORARIOS!$J$2:$J$201,HISTORIAL_HORARIOS!$F$2:$F$201),MATCH(1,(HISTORIAL_HORARIOS!$A$2:$A$201=$B1385)*(HISTORIAL_HORARIOS!$C$2:$C$201&lt;=$A1385)*(HISTORIAL_HORARIOS!$D$2:$D$201&gt;=$A1385),0)),INDEX(IF($I1385="FIN",PERSONAL!$J$2:$J$80,PERSONAL!$F$2:$F$80),MATCH($B1385,PERSONAL!$A$2:$A$80,0)))))</f>
        <v/>
      </c>
      <c r="N1385" s="53">
        <f t="array" ref="N1385">IFERROR(INDEX(EXCEPCIONES_FECHA!$E$2:$E$201,MATCH(1,(EXCEPCIONES_FECHA!$A$2:$A$201=$A1385)*(EXCEPCIONES_FECHA!$B$2:$B$201=$B1385),0)),IFERROR(INDEX(EXCEPCIONES_FECHA!$E$2:$E$201,MATCH(1,(EXCEPCIONES_FECHA!$A$2:$A$201=$A1385)*(EXCEPCIONES_FECHA!$B$2:$B$201=""),0)),IFERROR(INDEX(IF($I1385="FIN",HISTORIAL_HORARIOS!$K$2:$K$201,HISTORIAL_HORARIOS!$G$2:$G$201),MATCH(1,(HISTORIAL_HORARIOS!$A$2:$A$201=$B1385)*(HISTORIAL_HORARIOS!$C$2:$C$201&lt;=$A1385)*(HISTORIAL_HORARIOS!$D$2:$D$201&gt;=$A1385),0)),INDEX(IF($I1385="FIN",PERSONAL!$K$2:$K$80,PERSONAL!$G$2:$G$80),MATCH($B1385,PERSONAL!$A$2:$A$80,0)))))</f>
        <v/>
      </c>
      <c r="O1385" s="53">
        <f t="array" ref="O1385">IFERROR(INDEX(EXCEPCIONES_FECHA!$F$2:$F$201,MATCH(1,(EXCEPCIONES_FECHA!$A$2:$A$201=$A1385)*(EXCEPCIONES_FECHA!$B$2:$B$201=$B1385),0)),IFERROR(INDEX(EXCEPCIONES_FECHA!$F$2:$F$201,MATCH(1,(EXCEPCIONES_FECHA!$A$2:$A$201=$A1385)*(EXCEPCIONES_FECHA!$B$2:$B$201=""),0)),IFERROR(INDEX(IF($I1385="FIN",HISTORIAL_HORARIOS!$L$2:$L$201,HISTORIAL_HORARIOS!$H$2:$H$201),MATCH(1,(HISTORIAL_HORARIOS!$A$2:$A$201=$B1385)*(HISTORIAL_HORARIOS!$C$2:$C$201&lt;=$A1385)*(HISTORIAL_HORARIOS!$D$2:$D$201&gt;=$A1385),0)),INDEX(IF($I1385="FIN",PERSONAL!$L$2:$L$80,PERSONAL!$H$2:$H$80),MATCH($B1385,PERSONAL!$A$2:$A$80,0)))))</f>
        <v/>
      </c>
    </row>
    <row r="1386" ht="15" customHeight="1" s="58">
      <c r="A1386" s="40" t="n"/>
      <c r="B1386" s="38" t="n"/>
      <c r="C1386" s="40" t="n"/>
      <c r="D1386" s="40" t="n"/>
      <c r="E1386" s="34">
        <f t="array" ref="E1386">IF($B1386="","",IFERROR(INDEX(PERSONAL!$B$2:$B$80,MATCH($B1386,PERSONAL!$A$2:$A$80,0)),"NO EXISTE"))</f>
        <v/>
      </c>
      <c r="F1386" s="34">
        <f t="array" ref="F1386">IF($B1386="","",IFERROR(INDEX(PERSONAL!$C$2:$C$80,MATCH($B1386,PERSONAL!$A$2:$A$80,0)),""))</f>
        <v/>
      </c>
      <c r="G1386" s="34">
        <f>IF($A1386="","",CHOOSE(WEEKDAY($A1386,2),"LUNES","MARTES","MIÉRCOLES","JUEVES","VIERNES","SÁBADO","DOMINGO"))</f>
        <v/>
      </c>
      <c r="H1386" s="34">
        <f>IF($A1386="","",CHOOSE(MONTH($A1386),"ENERO","FEBRERO","MARZO","ABRIL","MAYO","JUNIO","JULIO","AGOSTO","SEPTIEMBRE","OCTUBRE","NOVIEMBRE","DICIEMBRE"))</f>
        <v/>
      </c>
      <c r="I1386" s="34">
        <f>IF($A1386="","",IF(OR($G1386="SÁBADO",$G1386="DOMINGO"),"FIN","LV"))</f>
        <v/>
      </c>
      <c r="J1386" s="34">
        <f>IF(OR($A1386="",$B1386=""),"",IF($L1386&lt;&gt;"",UPPER($L1386),IF($C1386="","FALTA",IFERROR(IF($C1386&gt;=$O1386,"ROJO FUERTE",IF($C1386&gt;=$N1386,"ROJO",IF($C1386&gt;=$M1386,"AMARILLO","VERDE"))),"REVISAR"))))</f>
        <v/>
      </c>
      <c r="K1386" s="36">
        <f>IF(OR($C1386="",$D1386=""),"",IF($D1386&gt;=$C1386,($D1386-$C1386)*24,(1-$C1386+$D1386)*24))</f>
        <v/>
      </c>
      <c r="L1386" s="34" t="n"/>
      <c r="M1386" s="53">
        <f t="array" ref="M1386">IFERROR(INDEX(EXCEPCIONES_FECHA!$D$2:$D$201,MATCH(1,(EXCEPCIONES_FECHA!$A$2:$A$201=$A1386)*(EXCEPCIONES_FECHA!$B$2:$B$201=$B1386),0)),IFERROR(INDEX(EXCEPCIONES_FECHA!$D$2:$D$201,MATCH(1,(EXCEPCIONES_FECHA!$A$2:$A$201=$A1386)*(EXCEPCIONES_FECHA!$B$2:$B$201=""),0)),IFERROR(INDEX(IF($I1386="FIN",HISTORIAL_HORARIOS!$J$2:$J$201,HISTORIAL_HORARIOS!$F$2:$F$201),MATCH(1,(HISTORIAL_HORARIOS!$A$2:$A$201=$B1386)*(HISTORIAL_HORARIOS!$C$2:$C$201&lt;=$A1386)*(HISTORIAL_HORARIOS!$D$2:$D$201&gt;=$A1386),0)),INDEX(IF($I1386="FIN",PERSONAL!$J$2:$J$80,PERSONAL!$F$2:$F$80),MATCH($B1386,PERSONAL!$A$2:$A$80,0)))))</f>
        <v/>
      </c>
      <c r="N1386" s="53">
        <f t="array" ref="N1386">IFERROR(INDEX(EXCEPCIONES_FECHA!$E$2:$E$201,MATCH(1,(EXCEPCIONES_FECHA!$A$2:$A$201=$A1386)*(EXCEPCIONES_FECHA!$B$2:$B$201=$B1386),0)),IFERROR(INDEX(EXCEPCIONES_FECHA!$E$2:$E$201,MATCH(1,(EXCEPCIONES_FECHA!$A$2:$A$201=$A1386)*(EXCEPCIONES_FECHA!$B$2:$B$201=""),0)),IFERROR(INDEX(IF($I1386="FIN",HISTORIAL_HORARIOS!$K$2:$K$201,HISTORIAL_HORARIOS!$G$2:$G$201),MATCH(1,(HISTORIAL_HORARIOS!$A$2:$A$201=$B1386)*(HISTORIAL_HORARIOS!$C$2:$C$201&lt;=$A1386)*(HISTORIAL_HORARIOS!$D$2:$D$201&gt;=$A1386),0)),INDEX(IF($I1386="FIN",PERSONAL!$K$2:$K$80,PERSONAL!$G$2:$G$80),MATCH($B1386,PERSONAL!$A$2:$A$80,0)))))</f>
        <v/>
      </c>
      <c r="O1386" s="53">
        <f t="array" ref="O1386">IFERROR(INDEX(EXCEPCIONES_FECHA!$F$2:$F$201,MATCH(1,(EXCEPCIONES_FECHA!$A$2:$A$201=$A1386)*(EXCEPCIONES_FECHA!$B$2:$B$201=$B1386),0)),IFERROR(INDEX(EXCEPCIONES_FECHA!$F$2:$F$201,MATCH(1,(EXCEPCIONES_FECHA!$A$2:$A$201=$A1386)*(EXCEPCIONES_FECHA!$B$2:$B$201=""),0)),IFERROR(INDEX(IF($I1386="FIN",HISTORIAL_HORARIOS!$L$2:$L$201,HISTORIAL_HORARIOS!$H$2:$H$201),MATCH(1,(HISTORIAL_HORARIOS!$A$2:$A$201=$B1386)*(HISTORIAL_HORARIOS!$C$2:$C$201&lt;=$A1386)*(HISTORIAL_HORARIOS!$D$2:$D$201&gt;=$A1386),0)),INDEX(IF($I1386="FIN",PERSONAL!$L$2:$L$80,PERSONAL!$H$2:$H$80),MATCH($B1386,PERSONAL!$A$2:$A$80,0)))))</f>
        <v/>
      </c>
    </row>
    <row r="1387" ht="15" customHeight="1" s="58">
      <c r="A1387" s="40" t="n"/>
      <c r="B1387" s="38" t="n"/>
      <c r="C1387" s="40" t="n"/>
      <c r="D1387" s="40" t="n"/>
      <c r="E1387" s="34">
        <f t="array" ref="E1387">IF($B1387="","",IFERROR(INDEX(PERSONAL!$B$2:$B$80,MATCH($B1387,PERSONAL!$A$2:$A$80,0)),"NO EXISTE"))</f>
        <v/>
      </c>
      <c r="F1387" s="34">
        <f t="array" ref="F1387">IF($B1387="","",IFERROR(INDEX(PERSONAL!$C$2:$C$80,MATCH($B1387,PERSONAL!$A$2:$A$80,0)),""))</f>
        <v/>
      </c>
      <c r="G1387" s="34">
        <f>IF($A1387="","",CHOOSE(WEEKDAY($A1387,2),"LUNES","MARTES","MIÉRCOLES","JUEVES","VIERNES","SÁBADO","DOMINGO"))</f>
        <v/>
      </c>
      <c r="H1387" s="34">
        <f>IF($A1387="","",CHOOSE(MONTH($A1387),"ENERO","FEBRERO","MARZO","ABRIL","MAYO","JUNIO","JULIO","AGOSTO","SEPTIEMBRE","OCTUBRE","NOVIEMBRE","DICIEMBRE"))</f>
        <v/>
      </c>
      <c r="I1387" s="34">
        <f>IF($A1387="","",IF(OR($G1387="SÁBADO",$G1387="DOMINGO"),"FIN","LV"))</f>
        <v/>
      </c>
      <c r="J1387" s="34">
        <f>IF(OR($A1387="",$B1387=""),"",IF($L1387&lt;&gt;"",UPPER($L1387),IF($C1387="","FALTA",IFERROR(IF($C1387&gt;=$O1387,"ROJO FUERTE",IF($C1387&gt;=$N1387,"ROJO",IF($C1387&gt;=$M1387,"AMARILLO","VERDE"))),"REVISAR"))))</f>
        <v/>
      </c>
      <c r="K1387" s="36">
        <f>IF(OR($C1387="",$D1387=""),"",IF($D1387&gt;=$C1387,($D1387-$C1387)*24,(1-$C1387+$D1387)*24))</f>
        <v/>
      </c>
      <c r="L1387" s="34" t="n"/>
      <c r="M1387" s="53">
        <f t="array" ref="M1387">IFERROR(INDEX(EXCEPCIONES_FECHA!$D$2:$D$201,MATCH(1,(EXCEPCIONES_FECHA!$A$2:$A$201=$A1387)*(EXCEPCIONES_FECHA!$B$2:$B$201=$B1387),0)),IFERROR(INDEX(EXCEPCIONES_FECHA!$D$2:$D$201,MATCH(1,(EXCEPCIONES_FECHA!$A$2:$A$201=$A1387)*(EXCEPCIONES_FECHA!$B$2:$B$201=""),0)),IFERROR(INDEX(IF($I1387="FIN",HISTORIAL_HORARIOS!$J$2:$J$201,HISTORIAL_HORARIOS!$F$2:$F$201),MATCH(1,(HISTORIAL_HORARIOS!$A$2:$A$201=$B1387)*(HISTORIAL_HORARIOS!$C$2:$C$201&lt;=$A1387)*(HISTORIAL_HORARIOS!$D$2:$D$201&gt;=$A1387),0)),INDEX(IF($I1387="FIN",PERSONAL!$J$2:$J$80,PERSONAL!$F$2:$F$80),MATCH($B1387,PERSONAL!$A$2:$A$80,0)))))</f>
        <v/>
      </c>
      <c r="N1387" s="53">
        <f t="array" ref="N1387">IFERROR(INDEX(EXCEPCIONES_FECHA!$E$2:$E$201,MATCH(1,(EXCEPCIONES_FECHA!$A$2:$A$201=$A1387)*(EXCEPCIONES_FECHA!$B$2:$B$201=$B1387),0)),IFERROR(INDEX(EXCEPCIONES_FECHA!$E$2:$E$201,MATCH(1,(EXCEPCIONES_FECHA!$A$2:$A$201=$A1387)*(EXCEPCIONES_FECHA!$B$2:$B$201=""),0)),IFERROR(INDEX(IF($I1387="FIN",HISTORIAL_HORARIOS!$K$2:$K$201,HISTORIAL_HORARIOS!$G$2:$G$201),MATCH(1,(HISTORIAL_HORARIOS!$A$2:$A$201=$B1387)*(HISTORIAL_HORARIOS!$C$2:$C$201&lt;=$A1387)*(HISTORIAL_HORARIOS!$D$2:$D$201&gt;=$A1387),0)),INDEX(IF($I1387="FIN",PERSONAL!$K$2:$K$80,PERSONAL!$G$2:$G$80),MATCH($B1387,PERSONAL!$A$2:$A$80,0)))))</f>
        <v/>
      </c>
      <c r="O1387" s="53">
        <f t="array" ref="O1387">IFERROR(INDEX(EXCEPCIONES_FECHA!$F$2:$F$201,MATCH(1,(EXCEPCIONES_FECHA!$A$2:$A$201=$A1387)*(EXCEPCIONES_FECHA!$B$2:$B$201=$B1387),0)),IFERROR(INDEX(EXCEPCIONES_FECHA!$F$2:$F$201,MATCH(1,(EXCEPCIONES_FECHA!$A$2:$A$201=$A1387)*(EXCEPCIONES_FECHA!$B$2:$B$201=""),0)),IFERROR(INDEX(IF($I1387="FIN",HISTORIAL_HORARIOS!$L$2:$L$201,HISTORIAL_HORARIOS!$H$2:$H$201),MATCH(1,(HISTORIAL_HORARIOS!$A$2:$A$201=$B1387)*(HISTORIAL_HORARIOS!$C$2:$C$201&lt;=$A1387)*(HISTORIAL_HORARIOS!$D$2:$D$201&gt;=$A1387),0)),INDEX(IF($I1387="FIN",PERSONAL!$L$2:$L$80,PERSONAL!$H$2:$H$80),MATCH($B1387,PERSONAL!$A$2:$A$80,0)))))</f>
        <v/>
      </c>
    </row>
    <row r="1388" ht="15" customHeight="1" s="58">
      <c r="A1388" s="40" t="n"/>
      <c r="B1388" s="38" t="n"/>
      <c r="C1388" s="40" t="n"/>
      <c r="D1388" s="40" t="n"/>
      <c r="E1388" s="34">
        <f t="array" ref="E1388">IF($B1388="","",IFERROR(INDEX(PERSONAL!$B$2:$B$80,MATCH($B1388,PERSONAL!$A$2:$A$80,0)),"NO EXISTE"))</f>
        <v/>
      </c>
      <c r="F1388" s="34">
        <f t="array" ref="F1388">IF($B1388="","",IFERROR(INDEX(PERSONAL!$C$2:$C$80,MATCH($B1388,PERSONAL!$A$2:$A$80,0)),""))</f>
        <v/>
      </c>
      <c r="G1388" s="34">
        <f>IF($A1388="","",CHOOSE(WEEKDAY($A1388,2),"LUNES","MARTES","MIÉRCOLES","JUEVES","VIERNES","SÁBADO","DOMINGO"))</f>
        <v/>
      </c>
      <c r="H1388" s="34">
        <f>IF($A1388="","",CHOOSE(MONTH($A1388),"ENERO","FEBRERO","MARZO","ABRIL","MAYO","JUNIO","JULIO","AGOSTO","SEPTIEMBRE","OCTUBRE","NOVIEMBRE","DICIEMBRE"))</f>
        <v/>
      </c>
      <c r="I1388" s="34">
        <f>IF($A1388="","",IF(OR($G1388="SÁBADO",$G1388="DOMINGO"),"FIN","LV"))</f>
        <v/>
      </c>
      <c r="J1388" s="34">
        <f>IF(OR($A1388="",$B1388=""),"",IF($L1388&lt;&gt;"",UPPER($L1388),IF($C1388="","FALTA",IFERROR(IF($C1388&gt;=$O1388,"ROJO FUERTE",IF($C1388&gt;=$N1388,"ROJO",IF($C1388&gt;=$M1388,"AMARILLO","VERDE"))),"REVISAR"))))</f>
        <v/>
      </c>
      <c r="K1388" s="36">
        <f>IF(OR($C1388="",$D1388=""),"",IF($D1388&gt;=$C1388,($D1388-$C1388)*24,(1-$C1388+$D1388)*24))</f>
        <v/>
      </c>
      <c r="L1388" s="34" t="n"/>
      <c r="M1388" s="53">
        <f t="array" ref="M1388">IFERROR(INDEX(EXCEPCIONES_FECHA!$D$2:$D$201,MATCH(1,(EXCEPCIONES_FECHA!$A$2:$A$201=$A1388)*(EXCEPCIONES_FECHA!$B$2:$B$201=$B1388),0)),IFERROR(INDEX(EXCEPCIONES_FECHA!$D$2:$D$201,MATCH(1,(EXCEPCIONES_FECHA!$A$2:$A$201=$A1388)*(EXCEPCIONES_FECHA!$B$2:$B$201=""),0)),IFERROR(INDEX(IF($I1388="FIN",HISTORIAL_HORARIOS!$J$2:$J$201,HISTORIAL_HORARIOS!$F$2:$F$201),MATCH(1,(HISTORIAL_HORARIOS!$A$2:$A$201=$B1388)*(HISTORIAL_HORARIOS!$C$2:$C$201&lt;=$A1388)*(HISTORIAL_HORARIOS!$D$2:$D$201&gt;=$A1388),0)),INDEX(IF($I1388="FIN",PERSONAL!$J$2:$J$80,PERSONAL!$F$2:$F$80),MATCH($B1388,PERSONAL!$A$2:$A$80,0)))))</f>
        <v/>
      </c>
      <c r="N1388" s="53">
        <f t="array" ref="N1388">IFERROR(INDEX(EXCEPCIONES_FECHA!$E$2:$E$201,MATCH(1,(EXCEPCIONES_FECHA!$A$2:$A$201=$A1388)*(EXCEPCIONES_FECHA!$B$2:$B$201=$B1388),0)),IFERROR(INDEX(EXCEPCIONES_FECHA!$E$2:$E$201,MATCH(1,(EXCEPCIONES_FECHA!$A$2:$A$201=$A1388)*(EXCEPCIONES_FECHA!$B$2:$B$201=""),0)),IFERROR(INDEX(IF($I1388="FIN",HISTORIAL_HORARIOS!$K$2:$K$201,HISTORIAL_HORARIOS!$G$2:$G$201),MATCH(1,(HISTORIAL_HORARIOS!$A$2:$A$201=$B1388)*(HISTORIAL_HORARIOS!$C$2:$C$201&lt;=$A1388)*(HISTORIAL_HORARIOS!$D$2:$D$201&gt;=$A1388),0)),INDEX(IF($I1388="FIN",PERSONAL!$K$2:$K$80,PERSONAL!$G$2:$G$80),MATCH($B1388,PERSONAL!$A$2:$A$80,0)))))</f>
        <v/>
      </c>
      <c r="O1388" s="53">
        <f t="array" ref="O1388">IFERROR(INDEX(EXCEPCIONES_FECHA!$F$2:$F$201,MATCH(1,(EXCEPCIONES_FECHA!$A$2:$A$201=$A1388)*(EXCEPCIONES_FECHA!$B$2:$B$201=$B1388),0)),IFERROR(INDEX(EXCEPCIONES_FECHA!$F$2:$F$201,MATCH(1,(EXCEPCIONES_FECHA!$A$2:$A$201=$A1388)*(EXCEPCIONES_FECHA!$B$2:$B$201=""),0)),IFERROR(INDEX(IF($I1388="FIN",HISTORIAL_HORARIOS!$L$2:$L$201,HISTORIAL_HORARIOS!$H$2:$H$201),MATCH(1,(HISTORIAL_HORARIOS!$A$2:$A$201=$B1388)*(HISTORIAL_HORARIOS!$C$2:$C$201&lt;=$A1388)*(HISTORIAL_HORARIOS!$D$2:$D$201&gt;=$A1388),0)),INDEX(IF($I1388="FIN",PERSONAL!$L$2:$L$80,PERSONAL!$H$2:$H$80),MATCH($B1388,PERSONAL!$A$2:$A$80,0)))))</f>
        <v/>
      </c>
    </row>
    <row r="1389" ht="15" customHeight="1" s="58">
      <c r="A1389" s="40" t="n"/>
      <c r="B1389" s="38" t="n"/>
      <c r="C1389" s="40" t="n"/>
      <c r="D1389" s="40" t="n"/>
      <c r="E1389" s="34">
        <f t="array" ref="E1389">IF($B1389="","",IFERROR(INDEX(PERSONAL!$B$2:$B$80,MATCH($B1389,PERSONAL!$A$2:$A$80,0)),"NO EXISTE"))</f>
        <v/>
      </c>
      <c r="F1389" s="34">
        <f t="array" ref="F1389">IF($B1389="","",IFERROR(INDEX(PERSONAL!$C$2:$C$80,MATCH($B1389,PERSONAL!$A$2:$A$80,0)),""))</f>
        <v/>
      </c>
      <c r="G1389" s="34">
        <f>IF($A1389="","",CHOOSE(WEEKDAY($A1389,2),"LUNES","MARTES","MIÉRCOLES","JUEVES","VIERNES","SÁBADO","DOMINGO"))</f>
        <v/>
      </c>
      <c r="H1389" s="34">
        <f>IF($A1389="","",CHOOSE(MONTH($A1389),"ENERO","FEBRERO","MARZO","ABRIL","MAYO","JUNIO","JULIO","AGOSTO","SEPTIEMBRE","OCTUBRE","NOVIEMBRE","DICIEMBRE"))</f>
        <v/>
      </c>
      <c r="I1389" s="34">
        <f>IF($A1389="","",IF(OR($G1389="SÁBADO",$G1389="DOMINGO"),"FIN","LV"))</f>
        <v/>
      </c>
      <c r="J1389" s="34">
        <f>IF(OR($A1389="",$B1389=""),"",IF($L1389&lt;&gt;"",UPPER($L1389),IF($C1389="","FALTA",IFERROR(IF($C1389&gt;=$O1389,"ROJO FUERTE",IF($C1389&gt;=$N1389,"ROJO",IF($C1389&gt;=$M1389,"AMARILLO","VERDE"))),"REVISAR"))))</f>
        <v/>
      </c>
      <c r="K1389" s="36">
        <f>IF(OR($C1389="",$D1389=""),"",IF($D1389&gt;=$C1389,($D1389-$C1389)*24,(1-$C1389+$D1389)*24))</f>
        <v/>
      </c>
      <c r="L1389" s="34" t="n"/>
      <c r="M1389" s="53">
        <f t="array" ref="M1389">IFERROR(INDEX(EXCEPCIONES_FECHA!$D$2:$D$201,MATCH(1,(EXCEPCIONES_FECHA!$A$2:$A$201=$A1389)*(EXCEPCIONES_FECHA!$B$2:$B$201=$B1389),0)),IFERROR(INDEX(EXCEPCIONES_FECHA!$D$2:$D$201,MATCH(1,(EXCEPCIONES_FECHA!$A$2:$A$201=$A1389)*(EXCEPCIONES_FECHA!$B$2:$B$201=""),0)),IFERROR(INDEX(IF($I1389="FIN",HISTORIAL_HORARIOS!$J$2:$J$201,HISTORIAL_HORARIOS!$F$2:$F$201),MATCH(1,(HISTORIAL_HORARIOS!$A$2:$A$201=$B1389)*(HISTORIAL_HORARIOS!$C$2:$C$201&lt;=$A1389)*(HISTORIAL_HORARIOS!$D$2:$D$201&gt;=$A1389),0)),INDEX(IF($I1389="FIN",PERSONAL!$J$2:$J$80,PERSONAL!$F$2:$F$80),MATCH($B1389,PERSONAL!$A$2:$A$80,0)))))</f>
        <v/>
      </c>
      <c r="N1389" s="53">
        <f t="array" ref="N1389">IFERROR(INDEX(EXCEPCIONES_FECHA!$E$2:$E$201,MATCH(1,(EXCEPCIONES_FECHA!$A$2:$A$201=$A1389)*(EXCEPCIONES_FECHA!$B$2:$B$201=$B1389),0)),IFERROR(INDEX(EXCEPCIONES_FECHA!$E$2:$E$201,MATCH(1,(EXCEPCIONES_FECHA!$A$2:$A$201=$A1389)*(EXCEPCIONES_FECHA!$B$2:$B$201=""),0)),IFERROR(INDEX(IF($I1389="FIN",HISTORIAL_HORARIOS!$K$2:$K$201,HISTORIAL_HORARIOS!$G$2:$G$201),MATCH(1,(HISTORIAL_HORARIOS!$A$2:$A$201=$B1389)*(HISTORIAL_HORARIOS!$C$2:$C$201&lt;=$A1389)*(HISTORIAL_HORARIOS!$D$2:$D$201&gt;=$A1389),0)),INDEX(IF($I1389="FIN",PERSONAL!$K$2:$K$80,PERSONAL!$G$2:$G$80),MATCH($B1389,PERSONAL!$A$2:$A$80,0)))))</f>
        <v/>
      </c>
      <c r="O1389" s="53">
        <f t="array" ref="O1389">IFERROR(INDEX(EXCEPCIONES_FECHA!$F$2:$F$201,MATCH(1,(EXCEPCIONES_FECHA!$A$2:$A$201=$A1389)*(EXCEPCIONES_FECHA!$B$2:$B$201=$B1389),0)),IFERROR(INDEX(EXCEPCIONES_FECHA!$F$2:$F$201,MATCH(1,(EXCEPCIONES_FECHA!$A$2:$A$201=$A1389)*(EXCEPCIONES_FECHA!$B$2:$B$201=""),0)),IFERROR(INDEX(IF($I1389="FIN",HISTORIAL_HORARIOS!$L$2:$L$201,HISTORIAL_HORARIOS!$H$2:$H$201),MATCH(1,(HISTORIAL_HORARIOS!$A$2:$A$201=$B1389)*(HISTORIAL_HORARIOS!$C$2:$C$201&lt;=$A1389)*(HISTORIAL_HORARIOS!$D$2:$D$201&gt;=$A1389),0)),INDEX(IF($I1389="FIN",PERSONAL!$L$2:$L$80,PERSONAL!$H$2:$H$80),MATCH($B1389,PERSONAL!$A$2:$A$80,0)))))</f>
        <v/>
      </c>
    </row>
    <row r="1390" ht="15" customHeight="1" s="58">
      <c r="A1390" s="40" t="n"/>
      <c r="B1390" s="38" t="n"/>
      <c r="C1390" s="40" t="n"/>
      <c r="D1390" s="40" t="n"/>
      <c r="E1390" s="34">
        <f t="array" ref="E1390">IF($B1390="","",IFERROR(INDEX(PERSONAL!$B$2:$B$80,MATCH($B1390,PERSONAL!$A$2:$A$80,0)),"NO EXISTE"))</f>
        <v/>
      </c>
      <c r="F1390" s="34">
        <f t="array" ref="F1390">IF($B1390="","",IFERROR(INDEX(PERSONAL!$C$2:$C$80,MATCH($B1390,PERSONAL!$A$2:$A$80,0)),""))</f>
        <v/>
      </c>
      <c r="G1390" s="34">
        <f>IF($A1390="","",CHOOSE(WEEKDAY($A1390,2),"LUNES","MARTES","MIÉRCOLES","JUEVES","VIERNES","SÁBADO","DOMINGO"))</f>
        <v/>
      </c>
      <c r="H1390" s="34">
        <f>IF($A1390="","",CHOOSE(MONTH($A1390),"ENERO","FEBRERO","MARZO","ABRIL","MAYO","JUNIO","JULIO","AGOSTO","SEPTIEMBRE","OCTUBRE","NOVIEMBRE","DICIEMBRE"))</f>
        <v/>
      </c>
      <c r="I1390" s="34">
        <f>IF($A1390="","",IF(OR($G1390="SÁBADO",$G1390="DOMINGO"),"FIN","LV"))</f>
        <v/>
      </c>
      <c r="J1390" s="34">
        <f>IF(OR($A1390="",$B1390=""),"",IF($L1390&lt;&gt;"",UPPER($L1390),IF($C1390="","FALTA",IFERROR(IF($C1390&gt;=$O1390,"ROJO FUERTE",IF($C1390&gt;=$N1390,"ROJO",IF($C1390&gt;=$M1390,"AMARILLO","VERDE"))),"REVISAR"))))</f>
        <v/>
      </c>
      <c r="K1390" s="36">
        <f>IF(OR($C1390="",$D1390=""),"",IF($D1390&gt;=$C1390,($D1390-$C1390)*24,(1-$C1390+$D1390)*24))</f>
        <v/>
      </c>
      <c r="L1390" s="34" t="n"/>
      <c r="M1390" s="53">
        <f t="array" ref="M1390">IFERROR(INDEX(EXCEPCIONES_FECHA!$D$2:$D$201,MATCH(1,(EXCEPCIONES_FECHA!$A$2:$A$201=$A1390)*(EXCEPCIONES_FECHA!$B$2:$B$201=$B1390),0)),IFERROR(INDEX(EXCEPCIONES_FECHA!$D$2:$D$201,MATCH(1,(EXCEPCIONES_FECHA!$A$2:$A$201=$A1390)*(EXCEPCIONES_FECHA!$B$2:$B$201=""),0)),IFERROR(INDEX(IF($I1390="FIN",HISTORIAL_HORARIOS!$J$2:$J$201,HISTORIAL_HORARIOS!$F$2:$F$201),MATCH(1,(HISTORIAL_HORARIOS!$A$2:$A$201=$B1390)*(HISTORIAL_HORARIOS!$C$2:$C$201&lt;=$A1390)*(HISTORIAL_HORARIOS!$D$2:$D$201&gt;=$A1390),0)),INDEX(IF($I1390="FIN",PERSONAL!$J$2:$J$80,PERSONAL!$F$2:$F$80),MATCH($B1390,PERSONAL!$A$2:$A$80,0)))))</f>
        <v/>
      </c>
      <c r="N1390" s="53">
        <f t="array" ref="N1390">IFERROR(INDEX(EXCEPCIONES_FECHA!$E$2:$E$201,MATCH(1,(EXCEPCIONES_FECHA!$A$2:$A$201=$A1390)*(EXCEPCIONES_FECHA!$B$2:$B$201=$B1390),0)),IFERROR(INDEX(EXCEPCIONES_FECHA!$E$2:$E$201,MATCH(1,(EXCEPCIONES_FECHA!$A$2:$A$201=$A1390)*(EXCEPCIONES_FECHA!$B$2:$B$201=""),0)),IFERROR(INDEX(IF($I1390="FIN",HISTORIAL_HORARIOS!$K$2:$K$201,HISTORIAL_HORARIOS!$G$2:$G$201),MATCH(1,(HISTORIAL_HORARIOS!$A$2:$A$201=$B1390)*(HISTORIAL_HORARIOS!$C$2:$C$201&lt;=$A1390)*(HISTORIAL_HORARIOS!$D$2:$D$201&gt;=$A1390),0)),INDEX(IF($I1390="FIN",PERSONAL!$K$2:$K$80,PERSONAL!$G$2:$G$80),MATCH($B1390,PERSONAL!$A$2:$A$80,0)))))</f>
        <v/>
      </c>
      <c r="O1390" s="53">
        <f t="array" ref="O1390">IFERROR(INDEX(EXCEPCIONES_FECHA!$F$2:$F$201,MATCH(1,(EXCEPCIONES_FECHA!$A$2:$A$201=$A1390)*(EXCEPCIONES_FECHA!$B$2:$B$201=$B1390),0)),IFERROR(INDEX(EXCEPCIONES_FECHA!$F$2:$F$201,MATCH(1,(EXCEPCIONES_FECHA!$A$2:$A$201=$A1390)*(EXCEPCIONES_FECHA!$B$2:$B$201=""),0)),IFERROR(INDEX(IF($I1390="FIN",HISTORIAL_HORARIOS!$L$2:$L$201,HISTORIAL_HORARIOS!$H$2:$H$201),MATCH(1,(HISTORIAL_HORARIOS!$A$2:$A$201=$B1390)*(HISTORIAL_HORARIOS!$C$2:$C$201&lt;=$A1390)*(HISTORIAL_HORARIOS!$D$2:$D$201&gt;=$A1390),0)),INDEX(IF($I1390="FIN",PERSONAL!$L$2:$L$80,PERSONAL!$H$2:$H$80),MATCH($B1390,PERSONAL!$A$2:$A$80,0)))))</f>
        <v/>
      </c>
    </row>
    <row r="1391" ht="15" customHeight="1" s="58">
      <c r="A1391" s="40" t="n"/>
      <c r="B1391" s="38" t="n"/>
      <c r="C1391" s="40" t="n"/>
      <c r="D1391" s="40" t="n"/>
      <c r="E1391" s="34">
        <f t="array" ref="E1391">IF($B1391="","",IFERROR(INDEX(PERSONAL!$B$2:$B$80,MATCH($B1391,PERSONAL!$A$2:$A$80,0)),"NO EXISTE"))</f>
        <v/>
      </c>
      <c r="F1391" s="34">
        <f t="array" ref="F1391">IF($B1391="","",IFERROR(INDEX(PERSONAL!$C$2:$C$80,MATCH($B1391,PERSONAL!$A$2:$A$80,0)),""))</f>
        <v/>
      </c>
      <c r="G1391" s="34">
        <f>IF($A1391="","",CHOOSE(WEEKDAY($A1391,2),"LUNES","MARTES","MIÉRCOLES","JUEVES","VIERNES","SÁBADO","DOMINGO"))</f>
        <v/>
      </c>
      <c r="H1391" s="34">
        <f>IF($A1391="","",CHOOSE(MONTH($A1391),"ENERO","FEBRERO","MARZO","ABRIL","MAYO","JUNIO","JULIO","AGOSTO","SEPTIEMBRE","OCTUBRE","NOVIEMBRE","DICIEMBRE"))</f>
        <v/>
      </c>
      <c r="I1391" s="34">
        <f>IF($A1391="","",IF(OR($G1391="SÁBADO",$G1391="DOMINGO"),"FIN","LV"))</f>
        <v/>
      </c>
      <c r="J1391" s="34">
        <f>IF(OR($A1391="",$B1391=""),"",IF($L1391&lt;&gt;"",UPPER($L1391),IF($C1391="","FALTA",IFERROR(IF($C1391&gt;=$O1391,"ROJO FUERTE",IF($C1391&gt;=$N1391,"ROJO",IF($C1391&gt;=$M1391,"AMARILLO","VERDE"))),"REVISAR"))))</f>
        <v/>
      </c>
      <c r="K1391" s="36">
        <f>IF(OR($C1391="",$D1391=""),"",IF($D1391&gt;=$C1391,($D1391-$C1391)*24,(1-$C1391+$D1391)*24))</f>
        <v/>
      </c>
      <c r="L1391" s="34" t="n"/>
      <c r="M1391" s="53">
        <f t="array" ref="M1391">IFERROR(INDEX(EXCEPCIONES_FECHA!$D$2:$D$201,MATCH(1,(EXCEPCIONES_FECHA!$A$2:$A$201=$A1391)*(EXCEPCIONES_FECHA!$B$2:$B$201=$B1391),0)),IFERROR(INDEX(EXCEPCIONES_FECHA!$D$2:$D$201,MATCH(1,(EXCEPCIONES_FECHA!$A$2:$A$201=$A1391)*(EXCEPCIONES_FECHA!$B$2:$B$201=""),0)),IFERROR(INDEX(IF($I1391="FIN",HISTORIAL_HORARIOS!$J$2:$J$201,HISTORIAL_HORARIOS!$F$2:$F$201),MATCH(1,(HISTORIAL_HORARIOS!$A$2:$A$201=$B1391)*(HISTORIAL_HORARIOS!$C$2:$C$201&lt;=$A1391)*(HISTORIAL_HORARIOS!$D$2:$D$201&gt;=$A1391),0)),INDEX(IF($I1391="FIN",PERSONAL!$J$2:$J$80,PERSONAL!$F$2:$F$80),MATCH($B1391,PERSONAL!$A$2:$A$80,0)))))</f>
        <v/>
      </c>
      <c r="N1391" s="53">
        <f t="array" ref="N1391">IFERROR(INDEX(EXCEPCIONES_FECHA!$E$2:$E$201,MATCH(1,(EXCEPCIONES_FECHA!$A$2:$A$201=$A1391)*(EXCEPCIONES_FECHA!$B$2:$B$201=$B1391),0)),IFERROR(INDEX(EXCEPCIONES_FECHA!$E$2:$E$201,MATCH(1,(EXCEPCIONES_FECHA!$A$2:$A$201=$A1391)*(EXCEPCIONES_FECHA!$B$2:$B$201=""),0)),IFERROR(INDEX(IF($I1391="FIN",HISTORIAL_HORARIOS!$K$2:$K$201,HISTORIAL_HORARIOS!$G$2:$G$201),MATCH(1,(HISTORIAL_HORARIOS!$A$2:$A$201=$B1391)*(HISTORIAL_HORARIOS!$C$2:$C$201&lt;=$A1391)*(HISTORIAL_HORARIOS!$D$2:$D$201&gt;=$A1391),0)),INDEX(IF($I1391="FIN",PERSONAL!$K$2:$K$80,PERSONAL!$G$2:$G$80),MATCH($B1391,PERSONAL!$A$2:$A$80,0)))))</f>
        <v/>
      </c>
      <c r="O1391" s="53">
        <f t="array" ref="O1391">IFERROR(INDEX(EXCEPCIONES_FECHA!$F$2:$F$201,MATCH(1,(EXCEPCIONES_FECHA!$A$2:$A$201=$A1391)*(EXCEPCIONES_FECHA!$B$2:$B$201=$B1391),0)),IFERROR(INDEX(EXCEPCIONES_FECHA!$F$2:$F$201,MATCH(1,(EXCEPCIONES_FECHA!$A$2:$A$201=$A1391)*(EXCEPCIONES_FECHA!$B$2:$B$201=""),0)),IFERROR(INDEX(IF($I1391="FIN",HISTORIAL_HORARIOS!$L$2:$L$201,HISTORIAL_HORARIOS!$H$2:$H$201),MATCH(1,(HISTORIAL_HORARIOS!$A$2:$A$201=$B1391)*(HISTORIAL_HORARIOS!$C$2:$C$201&lt;=$A1391)*(HISTORIAL_HORARIOS!$D$2:$D$201&gt;=$A1391),0)),INDEX(IF($I1391="FIN",PERSONAL!$L$2:$L$80,PERSONAL!$H$2:$H$80),MATCH($B1391,PERSONAL!$A$2:$A$80,0)))))</f>
        <v/>
      </c>
    </row>
    <row r="1392" ht="15" customHeight="1" s="58">
      <c r="A1392" s="40" t="n"/>
      <c r="B1392" s="38" t="n"/>
      <c r="C1392" s="40" t="n"/>
      <c r="D1392" s="40" t="n"/>
      <c r="E1392" s="34">
        <f t="array" ref="E1392">IF($B1392="","",IFERROR(INDEX(PERSONAL!$B$2:$B$80,MATCH($B1392,PERSONAL!$A$2:$A$80,0)),"NO EXISTE"))</f>
        <v/>
      </c>
      <c r="F1392" s="34">
        <f t="array" ref="F1392">IF($B1392="","",IFERROR(INDEX(PERSONAL!$C$2:$C$80,MATCH($B1392,PERSONAL!$A$2:$A$80,0)),""))</f>
        <v/>
      </c>
      <c r="G1392" s="34">
        <f>IF($A1392="","",CHOOSE(WEEKDAY($A1392,2),"LUNES","MARTES","MIÉRCOLES","JUEVES","VIERNES","SÁBADO","DOMINGO"))</f>
        <v/>
      </c>
      <c r="H1392" s="34">
        <f>IF($A1392="","",CHOOSE(MONTH($A1392),"ENERO","FEBRERO","MARZO","ABRIL","MAYO","JUNIO","JULIO","AGOSTO","SEPTIEMBRE","OCTUBRE","NOVIEMBRE","DICIEMBRE"))</f>
        <v/>
      </c>
      <c r="I1392" s="34">
        <f>IF($A1392="","",IF(OR($G1392="SÁBADO",$G1392="DOMINGO"),"FIN","LV"))</f>
        <v/>
      </c>
      <c r="J1392" s="34">
        <f>IF(OR($A1392="",$B1392=""),"",IF($L1392&lt;&gt;"",UPPER($L1392),IF($C1392="","FALTA",IFERROR(IF($C1392&gt;=$O1392,"ROJO FUERTE",IF($C1392&gt;=$N1392,"ROJO",IF($C1392&gt;=$M1392,"AMARILLO","VERDE"))),"REVISAR"))))</f>
        <v/>
      </c>
      <c r="K1392" s="36">
        <f>IF(OR($C1392="",$D1392=""),"",IF($D1392&gt;=$C1392,($D1392-$C1392)*24,(1-$C1392+$D1392)*24))</f>
        <v/>
      </c>
      <c r="L1392" s="34" t="n"/>
      <c r="M1392" s="53">
        <f t="array" ref="M1392">IFERROR(INDEX(EXCEPCIONES_FECHA!$D$2:$D$201,MATCH(1,(EXCEPCIONES_FECHA!$A$2:$A$201=$A1392)*(EXCEPCIONES_FECHA!$B$2:$B$201=$B1392),0)),IFERROR(INDEX(EXCEPCIONES_FECHA!$D$2:$D$201,MATCH(1,(EXCEPCIONES_FECHA!$A$2:$A$201=$A1392)*(EXCEPCIONES_FECHA!$B$2:$B$201=""),0)),IFERROR(INDEX(IF($I1392="FIN",HISTORIAL_HORARIOS!$J$2:$J$201,HISTORIAL_HORARIOS!$F$2:$F$201),MATCH(1,(HISTORIAL_HORARIOS!$A$2:$A$201=$B1392)*(HISTORIAL_HORARIOS!$C$2:$C$201&lt;=$A1392)*(HISTORIAL_HORARIOS!$D$2:$D$201&gt;=$A1392),0)),INDEX(IF($I1392="FIN",PERSONAL!$J$2:$J$80,PERSONAL!$F$2:$F$80),MATCH($B1392,PERSONAL!$A$2:$A$80,0)))))</f>
        <v/>
      </c>
      <c r="N1392" s="53">
        <f t="array" ref="N1392">IFERROR(INDEX(EXCEPCIONES_FECHA!$E$2:$E$201,MATCH(1,(EXCEPCIONES_FECHA!$A$2:$A$201=$A1392)*(EXCEPCIONES_FECHA!$B$2:$B$201=$B1392),0)),IFERROR(INDEX(EXCEPCIONES_FECHA!$E$2:$E$201,MATCH(1,(EXCEPCIONES_FECHA!$A$2:$A$201=$A1392)*(EXCEPCIONES_FECHA!$B$2:$B$201=""),0)),IFERROR(INDEX(IF($I1392="FIN",HISTORIAL_HORARIOS!$K$2:$K$201,HISTORIAL_HORARIOS!$G$2:$G$201),MATCH(1,(HISTORIAL_HORARIOS!$A$2:$A$201=$B1392)*(HISTORIAL_HORARIOS!$C$2:$C$201&lt;=$A1392)*(HISTORIAL_HORARIOS!$D$2:$D$201&gt;=$A1392),0)),INDEX(IF($I1392="FIN",PERSONAL!$K$2:$K$80,PERSONAL!$G$2:$G$80),MATCH($B1392,PERSONAL!$A$2:$A$80,0)))))</f>
        <v/>
      </c>
      <c r="O1392" s="53">
        <f t="array" ref="O1392">IFERROR(INDEX(EXCEPCIONES_FECHA!$F$2:$F$201,MATCH(1,(EXCEPCIONES_FECHA!$A$2:$A$201=$A1392)*(EXCEPCIONES_FECHA!$B$2:$B$201=$B1392),0)),IFERROR(INDEX(EXCEPCIONES_FECHA!$F$2:$F$201,MATCH(1,(EXCEPCIONES_FECHA!$A$2:$A$201=$A1392)*(EXCEPCIONES_FECHA!$B$2:$B$201=""),0)),IFERROR(INDEX(IF($I1392="FIN",HISTORIAL_HORARIOS!$L$2:$L$201,HISTORIAL_HORARIOS!$H$2:$H$201),MATCH(1,(HISTORIAL_HORARIOS!$A$2:$A$201=$B1392)*(HISTORIAL_HORARIOS!$C$2:$C$201&lt;=$A1392)*(HISTORIAL_HORARIOS!$D$2:$D$201&gt;=$A1392),0)),INDEX(IF($I1392="FIN",PERSONAL!$L$2:$L$80,PERSONAL!$H$2:$H$80),MATCH($B1392,PERSONAL!$A$2:$A$80,0)))))</f>
        <v/>
      </c>
    </row>
    <row r="1393" ht="15" customHeight="1" s="58">
      <c r="A1393" s="40" t="n"/>
      <c r="B1393" s="38" t="n"/>
      <c r="C1393" s="40" t="n"/>
      <c r="D1393" s="40" t="n"/>
      <c r="E1393" s="34">
        <f t="array" ref="E1393">IF($B1393="","",IFERROR(INDEX(PERSONAL!$B$2:$B$80,MATCH($B1393,PERSONAL!$A$2:$A$80,0)),"NO EXISTE"))</f>
        <v/>
      </c>
      <c r="F1393" s="34">
        <f t="array" ref="F1393">IF($B1393="","",IFERROR(INDEX(PERSONAL!$C$2:$C$80,MATCH($B1393,PERSONAL!$A$2:$A$80,0)),""))</f>
        <v/>
      </c>
      <c r="G1393" s="34">
        <f>IF($A1393="","",CHOOSE(WEEKDAY($A1393,2),"LUNES","MARTES","MIÉRCOLES","JUEVES","VIERNES","SÁBADO","DOMINGO"))</f>
        <v/>
      </c>
      <c r="H1393" s="34">
        <f>IF($A1393="","",CHOOSE(MONTH($A1393),"ENERO","FEBRERO","MARZO","ABRIL","MAYO","JUNIO","JULIO","AGOSTO","SEPTIEMBRE","OCTUBRE","NOVIEMBRE","DICIEMBRE"))</f>
        <v/>
      </c>
      <c r="I1393" s="34">
        <f>IF($A1393="","",IF(OR($G1393="SÁBADO",$G1393="DOMINGO"),"FIN","LV"))</f>
        <v/>
      </c>
      <c r="J1393" s="34">
        <f>IF(OR($A1393="",$B1393=""),"",IF($L1393&lt;&gt;"",UPPER($L1393),IF($C1393="","FALTA",IFERROR(IF($C1393&gt;=$O1393,"ROJO FUERTE",IF($C1393&gt;=$N1393,"ROJO",IF($C1393&gt;=$M1393,"AMARILLO","VERDE"))),"REVISAR"))))</f>
        <v/>
      </c>
      <c r="K1393" s="36">
        <f>IF(OR($C1393="",$D1393=""),"",IF($D1393&gt;=$C1393,($D1393-$C1393)*24,(1-$C1393+$D1393)*24))</f>
        <v/>
      </c>
      <c r="L1393" s="34" t="n"/>
      <c r="M1393" s="53">
        <f t="array" ref="M1393">IFERROR(INDEX(EXCEPCIONES_FECHA!$D$2:$D$201,MATCH(1,(EXCEPCIONES_FECHA!$A$2:$A$201=$A1393)*(EXCEPCIONES_FECHA!$B$2:$B$201=$B1393),0)),IFERROR(INDEX(EXCEPCIONES_FECHA!$D$2:$D$201,MATCH(1,(EXCEPCIONES_FECHA!$A$2:$A$201=$A1393)*(EXCEPCIONES_FECHA!$B$2:$B$201=""),0)),IFERROR(INDEX(IF($I1393="FIN",HISTORIAL_HORARIOS!$J$2:$J$201,HISTORIAL_HORARIOS!$F$2:$F$201),MATCH(1,(HISTORIAL_HORARIOS!$A$2:$A$201=$B1393)*(HISTORIAL_HORARIOS!$C$2:$C$201&lt;=$A1393)*(HISTORIAL_HORARIOS!$D$2:$D$201&gt;=$A1393),0)),INDEX(IF($I1393="FIN",PERSONAL!$J$2:$J$80,PERSONAL!$F$2:$F$80),MATCH($B1393,PERSONAL!$A$2:$A$80,0)))))</f>
        <v/>
      </c>
      <c r="N1393" s="53">
        <f t="array" ref="N1393">IFERROR(INDEX(EXCEPCIONES_FECHA!$E$2:$E$201,MATCH(1,(EXCEPCIONES_FECHA!$A$2:$A$201=$A1393)*(EXCEPCIONES_FECHA!$B$2:$B$201=$B1393),0)),IFERROR(INDEX(EXCEPCIONES_FECHA!$E$2:$E$201,MATCH(1,(EXCEPCIONES_FECHA!$A$2:$A$201=$A1393)*(EXCEPCIONES_FECHA!$B$2:$B$201=""),0)),IFERROR(INDEX(IF($I1393="FIN",HISTORIAL_HORARIOS!$K$2:$K$201,HISTORIAL_HORARIOS!$G$2:$G$201),MATCH(1,(HISTORIAL_HORARIOS!$A$2:$A$201=$B1393)*(HISTORIAL_HORARIOS!$C$2:$C$201&lt;=$A1393)*(HISTORIAL_HORARIOS!$D$2:$D$201&gt;=$A1393),0)),INDEX(IF($I1393="FIN",PERSONAL!$K$2:$K$80,PERSONAL!$G$2:$G$80),MATCH($B1393,PERSONAL!$A$2:$A$80,0)))))</f>
        <v/>
      </c>
      <c r="O1393" s="53">
        <f t="array" ref="O1393">IFERROR(INDEX(EXCEPCIONES_FECHA!$F$2:$F$201,MATCH(1,(EXCEPCIONES_FECHA!$A$2:$A$201=$A1393)*(EXCEPCIONES_FECHA!$B$2:$B$201=$B1393),0)),IFERROR(INDEX(EXCEPCIONES_FECHA!$F$2:$F$201,MATCH(1,(EXCEPCIONES_FECHA!$A$2:$A$201=$A1393)*(EXCEPCIONES_FECHA!$B$2:$B$201=""),0)),IFERROR(INDEX(IF($I1393="FIN",HISTORIAL_HORARIOS!$L$2:$L$201,HISTORIAL_HORARIOS!$H$2:$H$201),MATCH(1,(HISTORIAL_HORARIOS!$A$2:$A$201=$B1393)*(HISTORIAL_HORARIOS!$C$2:$C$201&lt;=$A1393)*(HISTORIAL_HORARIOS!$D$2:$D$201&gt;=$A1393),0)),INDEX(IF($I1393="FIN",PERSONAL!$L$2:$L$80,PERSONAL!$H$2:$H$80),MATCH($B1393,PERSONAL!$A$2:$A$80,0)))))</f>
        <v/>
      </c>
    </row>
    <row r="1394" ht="15" customHeight="1" s="58">
      <c r="A1394" s="40" t="n"/>
      <c r="B1394" s="38" t="n"/>
      <c r="C1394" s="40" t="n"/>
      <c r="D1394" s="40" t="n"/>
      <c r="E1394" s="34">
        <f t="array" ref="E1394">IF($B1394="","",IFERROR(INDEX(PERSONAL!$B$2:$B$80,MATCH($B1394,PERSONAL!$A$2:$A$80,0)),"NO EXISTE"))</f>
        <v/>
      </c>
      <c r="F1394" s="34">
        <f t="array" ref="F1394">IF($B1394="","",IFERROR(INDEX(PERSONAL!$C$2:$C$80,MATCH($B1394,PERSONAL!$A$2:$A$80,0)),""))</f>
        <v/>
      </c>
      <c r="G1394" s="34">
        <f>IF($A1394="","",CHOOSE(WEEKDAY($A1394,2),"LUNES","MARTES","MIÉRCOLES","JUEVES","VIERNES","SÁBADO","DOMINGO"))</f>
        <v/>
      </c>
      <c r="H1394" s="34">
        <f>IF($A1394="","",CHOOSE(MONTH($A1394),"ENERO","FEBRERO","MARZO","ABRIL","MAYO","JUNIO","JULIO","AGOSTO","SEPTIEMBRE","OCTUBRE","NOVIEMBRE","DICIEMBRE"))</f>
        <v/>
      </c>
      <c r="I1394" s="34">
        <f>IF($A1394="","",IF(OR($G1394="SÁBADO",$G1394="DOMINGO"),"FIN","LV"))</f>
        <v/>
      </c>
      <c r="J1394" s="34">
        <f>IF(OR($A1394="",$B1394=""),"",IF($L1394&lt;&gt;"",UPPER($L1394),IF($C1394="","FALTA",IFERROR(IF($C1394&gt;=$O1394,"ROJO FUERTE",IF($C1394&gt;=$N1394,"ROJO",IF($C1394&gt;=$M1394,"AMARILLO","VERDE"))),"REVISAR"))))</f>
        <v/>
      </c>
      <c r="K1394" s="36">
        <f>IF(OR($C1394="",$D1394=""),"",IF($D1394&gt;=$C1394,($D1394-$C1394)*24,(1-$C1394+$D1394)*24))</f>
        <v/>
      </c>
      <c r="L1394" s="34" t="n"/>
      <c r="M1394" s="53">
        <f t="array" ref="M1394">IFERROR(INDEX(EXCEPCIONES_FECHA!$D$2:$D$201,MATCH(1,(EXCEPCIONES_FECHA!$A$2:$A$201=$A1394)*(EXCEPCIONES_FECHA!$B$2:$B$201=$B1394),0)),IFERROR(INDEX(EXCEPCIONES_FECHA!$D$2:$D$201,MATCH(1,(EXCEPCIONES_FECHA!$A$2:$A$201=$A1394)*(EXCEPCIONES_FECHA!$B$2:$B$201=""),0)),IFERROR(INDEX(IF($I1394="FIN",HISTORIAL_HORARIOS!$J$2:$J$201,HISTORIAL_HORARIOS!$F$2:$F$201),MATCH(1,(HISTORIAL_HORARIOS!$A$2:$A$201=$B1394)*(HISTORIAL_HORARIOS!$C$2:$C$201&lt;=$A1394)*(HISTORIAL_HORARIOS!$D$2:$D$201&gt;=$A1394),0)),INDEX(IF($I1394="FIN",PERSONAL!$J$2:$J$80,PERSONAL!$F$2:$F$80),MATCH($B1394,PERSONAL!$A$2:$A$80,0)))))</f>
        <v/>
      </c>
      <c r="N1394" s="53">
        <f t="array" ref="N1394">IFERROR(INDEX(EXCEPCIONES_FECHA!$E$2:$E$201,MATCH(1,(EXCEPCIONES_FECHA!$A$2:$A$201=$A1394)*(EXCEPCIONES_FECHA!$B$2:$B$201=$B1394),0)),IFERROR(INDEX(EXCEPCIONES_FECHA!$E$2:$E$201,MATCH(1,(EXCEPCIONES_FECHA!$A$2:$A$201=$A1394)*(EXCEPCIONES_FECHA!$B$2:$B$201=""),0)),IFERROR(INDEX(IF($I1394="FIN",HISTORIAL_HORARIOS!$K$2:$K$201,HISTORIAL_HORARIOS!$G$2:$G$201),MATCH(1,(HISTORIAL_HORARIOS!$A$2:$A$201=$B1394)*(HISTORIAL_HORARIOS!$C$2:$C$201&lt;=$A1394)*(HISTORIAL_HORARIOS!$D$2:$D$201&gt;=$A1394),0)),INDEX(IF($I1394="FIN",PERSONAL!$K$2:$K$80,PERSONAL!$G$2:$G$80),MATCH($B1394,PERSONAL!$A$2:$A$80,0)))))</f>
        <v/>
      </c>
      <c r="O1394" s="53">
        <f t="array" ref="O1394">IFERROR(INDEX(EXCEPCIONES_FECHA!$F$2:$F$201,MATCH(1,(EXCEPCIONES_FECHA!$A$2:$A$201=$A1394)*(EXCEPCIONES_FECHA!$B$2:$B$201=$B1394),0)),IFERROR(INDEX(EXCEPCIONES_FECHA!$F$2:$F$201,MATCH(1,(EXCEPCIONES_FECHA!$A$2:$A$201=$A1394)*(EXCEPCIONES_FECHA!$B$2:$B$201=""),0)),IFERROR(INDEX(IF($I1394="FIN",HISTORIAL_HORARIOS!$L$2:$L$201,HISTORIAL_HORARIOS!$H$2:$H$201),MATCH(1,(HISTORIAL_HORARIOS!$A$2:$A$201=$B1394)*(HISTORIAL_HORARIOS!$C$2:$C$201&lt;=$A1394)*(HISTORIAL_HORARIOS!$D$2:$D$201&gt;=$A1394),0)),INDEX(IF($I1394="FIN",PERSONAL!$L$2:$L$80,PERSONAL!$H$2:$H$80),MATCH($B1394,PERSONAL!$A$2:$A$80,0)))))</f>
        <v/>
      </c>
    </row>
    <row r="1395" ht="15" customHeight="1" s="58">
      <c r="A1395" s="40" t="n"/>
      <c r="B1395" s="38" t="n"/>
      <c r="C1395" s="40" t="n"/>
      <c r="D1395" s="40" t="n"/>
      <c r="E1395" s="34">
        <f t="array" ref="E1395">IF($B1395="","",IFERROR(INDEX(PERSONAL!$B$2:$B$80,MATCH($B1395,PERSONAL!$A$2:$A$80,0)),"NO EXISTE"))</f>
        <v/>
      </c>
      <c r="F1395" s="34">
        <f t="array" ref="F1395">IF($B1395="","",IFERROR(INDEX(PERSONAL!$C$2:$C$80,MATCH($B1395,PERSONAL!$A$2:$A$80,0)),""))</f>
        <v/>
      </c>
      <c r="G1395" s="34">
        <f>IF($A1395="","",CHOOSE(WEEKDAY($A1395,2),"LUNES","MARTES","MIÉRCOLES","JUEVES","VIERNES","SÁBADO","DOMINGO"))</f>
        <v/>
      </c>
      <c r="H1395" s="34">
        <f>IF($A1395="","",CHOOSE(MONTH($A1395),"ENERO","FEBRERO","MARZO","ABRIL","MAYO","JUNIO","JULIO","AGOSTO","SEPTIEMBRE","OCTUBRE","NOVIEMBRE","DICIEMBRE"))</f>
        <v/>
      </c>
      <c r="I1395" s="34">
        <f>IF($A1395="","",IF(OR($G1395="SÁBADO",$G1395="DOMINGO"),"FIN","LV"))</f>
        <v/>
      </c>
      <c r="J1395" s="34">
        <f>IF(OR($A1395="",$B1395=""),"",IF($L1395&lt;&gt;"",UPPER($L1395),IF($C1395="","FALTA",IFERROR(IF($C1395&gt;=$O1395,"ROJO FUERTE",IF($C1395&gt;=$N1395,"ROJO",IF($C1395&gt;=$M1395,"AMARILLO","VERDE"))),"REVISAR"))))</f>
        <v/>
      </c>
      <c r="K1395" s="36">
        <f>IF(OR($C1395="",$D1395=""),"",IF($D1395&gt;=$C1395,($D1395-$C1395)*24,(1-$C1395+$D1395)*24))</f>
        <v/>
      </c>
      <c r="L1395" s="34" t="n"/>
      <c r="M1395" s="53">
        <f t="array" ref="M1395">IFERROR(INDEX(EXCEPCIONES_FECHA!$D$2:$D$201,MATCH(1,(EXCEPCIONES_FECHA!$A$2:$A$201=$A1395)*(EXCEPCIONES_FECHA!$B$2:$B$201=$B1395),0)),IFERROR(INDEX(EXCEPCIONES_FECHA!$D$2:$D$201,MATCH(1,(EXCEPCIONES_FECHA!$A$2:$A$201=$A1395)*(EXCEPCIONES_FECHA!$B$2:$B$201=""),0)),IFERROR(INDEX(IF($I1395="FIN",HISTORIAL_HORARIOS!$J$2:$J$201,HISTORIAL_HORARIOS!$F$2:$F$201),MATCH(1,(HISTORIAL_HORARIOS!$A$2:$A$201=$B1395)*(HISTORIAL_HORARIOS!$C$2:$C$201&lt;=$A1395)*(HISTORIAL_HORARIOS!$D$2:$D$201&gt;=$A1395),0)),INDEX(IF($I1395="FIN",PERSONAL!$J$2:$J$80,PERSONAL!$F$2:$F$80),MATCH($B1395,PERSONAL!$A$2:$A$80,0)))))</f>
        <v/>
      </c>
      <c r="N1395" s="53">
        <f t="array" ref="N1395">IFERROR(INDEX(EXCEPCIONES_FECHA!$E$2:$E$201,MATCH(1,(EXCEPCIONES_FECHA!$A$2:$A$201=$A1395)*(EXCEPCIONES_FECHA!$B$2:$B$201=$B1395),0)),IFERROR(INDEX(EXCEPCIONES_FECHA!$E$2:$E$201,MATCH(1,(EXCEPCIONES_FECHA!$A$2:$A$201=$A1395)*(EXCEPCIONES_FECHA!$B$2:$B$201=""),0)),IFERROR(INDEX(IF($I1395="FIN",HISTORIAL_HORARIOS!$K$2:$K$201,HISTORIAL_HORARIOS!$G$2:$G$201),MATCH(1,(HISTORIAL_HORARIOS!$A$2:$A$201=$B1395)*(HISTORIAL_HORARIOS!$C$2:$C$201&lt;=$A1395)*(HISTORIAL_HORARIOS!$D$2:$D$201&gt;=$A1395),0)),INDEX(IF($I1395="FIN",PERSONAL!$K$2:$K$80,PERSONAL!$G$2:$G$80),MATCH($B1395,PERSONAL!$A$2:$A$80,0)))))</f>
        <v/>
      </c>
      <c r="O1395" s="53">
        <f t="array" ref="O1395">IFERROR(INDEX(EXCEPCIONES_FECHA!$F$2:$F$201,MATCH(1,(EXCEPCIONES_FECHA!$A$2:$A$201=$A1395)*(EXCEPCIONES_FECHA!$B$2:$B$201=$B1395),0)),IFERROR(INDEX(EXCEPCIONES_FECHA!$F$2:$F$201,MATCH(1,(EXCEPCIONES_FECHA!$A$2:$A$201=$A1395)*(EXCEPCIONES_FECHA!$B$2:$B$201=""),0)),IFERROR(INDEX(IF($I1395="FIN",HISTORIAL_HORARIOS!$L$2:$L$201,HISTORIAL_HORARIOS!$H$2:$H$201),MATCH(1,(HISTORIAL_HORARIOS!$A$2:$A$201=$B1395)*(HISTORIAL_HORARIOS!$C$2:$C$201&lt;=$A1395)*(HISTORIAL_HORARIOS!$D$2:$D$201&gt;=$A1395),0)),INDEX(IF($I1395="FIN",PERSONAL!$L$2:$L$80,PERSONAL!$H$2:$H$80),MATCH($B1395,PERSONAL!$A$2:$A$80,0)))))</f>
        <v/>
      </c>
    </row>
    <row r="1396" ht="15" customHeight="1" s="58">
      <c r="A1396" s="40" t="n"/>
      <c r="B1396" s="38" t="n"/>
      <c r="C1396" s="40" t="n"/>
      <c r="D1396" s="40" t="n"/>
      <c r="E1396" s="34">
        <f t="array" ref="E1396">IF($B1396="","",IFERROR(INDEX(PERSONAL!$B$2:$B$80,MATCH($B1396,PERSONAL!$A$2:$A$80,0)),"NO EXISTE"))</f>
        <v/>
      </c>
      <c r="F1396" s="34">
        <f t="array" ref="F1396">IF($B1396="","",IFERROR(INDEX(PERSONAL!$C$2:$C$80,MATCH($B1396,PERSONAL!$A$2:$A$80,0)),""))</f>
        <v/>
      </c>
      <c r="G1396" s="34">
        <f>IF($A1396="","",CHOOSE(WEEKDAY($A1396,2),"LUNES","MARTES","MIÉRCOLES","JUEVES","VIERNES","SÁBADO","DOMINGO"))</f>
        <v/>
      </c>
      <c r="H1396" s="34">
        <f>IF($A1396="","",CHOOSE(MONTH($A1396),"ENERO","FEBRERO","MARZO","ABRIL","MAYO","JUNIO","JULIO","AGOSTO","SEPTIEMBRE","OCTUBRE","NOVIEMBRE","DICIEMBRE"))</f>
        <v/>
      </c>
      <c r="I1396" s="34">
        <f>IF($A1396="","",IF(OR($G1396="SÁBADO",$G1396="DOMINGO"),"FIN","LV"))</f>
        <v/>
      </c>
      <c r="J1396" s="34">
        <f>IF(OR($A1396="",$B1396=""),"",IF($L1396&lt;&gt;"",UPPER($L1396),IF($C1396="","FALTA",IFERROR(IF($C1396&gt;=$O1396,"ROJO FUERTE",IF($C1396&gt;=$N1396,"ROJO",IF($C1396&gt;=$M1396,"AMARILLO","VERDE"))),"REVISAR"))))</f>
        <v/>
      </c>
      <c r="K1396" s="36">
        <f>IF(OR($C1396="",$D1396=""),"",IF($D1396&gt;=$C1396,($D1396-$C1396)*24,(1-$C1396+$D1396)*24))</f>
        <v/>
      </c>
      <c r="L1396" s="34" t="n"/>
      <c r="M1396" s="53">
        <f t="array" ref="M1396">IFERROR(INDEX(EXCEPCIONES_FECHA!$D$2:$D$201,MATCH(1,(EXCEPCIONES_FECHA!$A$2:$A$201=$A1396)*(EXCEPCIONES_FECHA!$B$2:$B$201=$B1396),0)),IFERROR(INDEX(EXCEPCIONES_FECHA!$D$2:$D$201,MATCH(1,(EXCEPCIONES_FECHA!$A$2:$A$201=$A1396)*(EXCEPCIONES_FECHA!$B$2:$B$201=""),0)),IFERROR(INDEX(IF($I1396="FIN",HISTORIAL_HORARIOS!$J$2:$J$201,HISTORIAL_HORARIOS!$F$2:$F$201),MATCH(1,(HISTORIAL_HORARIOS!$A$2:$A$201=$B1396)*(HISTORIAL_HORARIOS!$C$2:$C$201&lt;=$A1396)*(HISTORIAL_HORARIOS!$D$2:$D$201&gt;=$A1396),0)),INDEX(IF($I1396="FIN",PERSONAL!$J$2:$J$80,PERSONAL!$F$2:$F$80),MATCH($B1396,PERSONAL!$A$2:$A$80,0)))))</f>
        <v/>
      </c>
      <c r="N1396" s="53">
        <f t="array" ref="N1396">IFERROR(INDEX(EXCEPCIONES_FECHA!$E$2:$E$201,MATCH(1,(EXCEPCIONES_FECHA!$A$2:$A$201=$A1396)*(EXCEPCIONES_FECHA!$B$2:$B$201=$B1396),0)),IFERROR(INDEX(EXCEPCIONES_FECHA!$E$2:$E$201,MATCH(1,(EXCEPCIONES_FECHA!$A$2:$A$201=$A1396)*(EXCEPCIONES_FECHA!$B$2:$B$201=""),0)),IFERROR(INDEX(IF($I1396="FIN",HISTORIAL_HORARIOS!$K$2:$K$201,HISTORIAL_HORARIOS!$G$2:$G$201),MATCH(1,(HISTORIAL_HORARIOS!$A$2:$A$201=$B1396)*(HISTORIAL_HORARIOS!$C$2:$C$201&lt;=$A1396)*(HISTORIAL_HORARIOS!$D$2:$D$201&gt;=$A1396),0)),INDEX(IF($I1396="FIN",PERSONAL!$K$2:$K$80,PERSONAL!$G$2:$G$80),MATCH($B1396,PERSONAL!$A$2:$A$80,0)))))</f>
        <v/>
      </c>
      <c r="O1396" s="53">
        <f t="array" ref="O1396">IFERROR(INDEX(EXCEPCIONES_FECHA!$F$2:$F$201,MATCH(1,(EXCEPCIONES_FECHA!$A$2:$A$201=$A1396)*(EXCEPCIONES_FECHA!$B$2:$B$201=$B1396),0)),IFERROR(INDEX(EXCEPCIONES_FECHA!$F$2:$F$201,MATCH(1,(EXCEPCIONES_FECHA!$A$2:$A$201=$A1396)*(EXCEPCIONES_FECHA!$B$2:$B$201=""),0)),IFERROR(INDEX(IF($I1396="FIN",HISTORIAL_HORARIOS!$L$2:$L$201,HISTORIAL_HORARIOS!$H$2:$H$201),MATCH(1,(HISTORIAL_HORARIOS!$A$2:$A$201=$B1396)*(HISTORIAL_HORARIOS!$C$2:$C$201&lt;=$A1396)*(HISTORIAL_HORARIOS!$D$2:$D$201&gt;=$A1396),0)),INDEX(IF($I1396="FIN",PERSONAL!$L$2:$L$80,PERSONAL!$H$2:$H$80),MATCH($B1396,PERSONAL!$A$2:$A$80,0)))))</f>
        <v/>
      </c>
    </row>
    <row r="1397" ht="15" customHeight="1" s="58">
      <c r="A1397" s="40" t="n"/>
      <c r="B1397" s="38" t="n"/>
      <c r="C1397" s="40" t="n"/>
      <c r="D1397" s="40" t="n"/>
      <c r="E1397" s="34">
        <f t="array" ref="E1397">IF($B1397="","",IFERROR(INDEX(PERSONAL!$B$2:$B$80,MATCH($B1397,PERSONAL!$A$2:$A$80,0)),"NO EXISTE"))</f>
        <v/>
      </c>
      <c r="F1397" s="34">
        <f t="array" ref="F1397">IF($B1397="","",IFERROR(INDEX(PERSONAL!$C$2:$C$80,MATCH($B1397,PERSONAL!$A$2:$A$80,0)),""))</f>
        <v/>
      </c>
      <c r="G1397" s="34">
        <f>IF($A1397="","",CHOOSE(WEEKDAY($A1397,2),"LUNES","MARTES","MIÉRCOLES","JUEVES","VIERNES","SÁBADO","DOMINGO"))</f>
        <v/>
      </c>
      <c r="H1397" s="34">
        <f>IF($A1397="","",CHOOSE(MONTH($A1397),"ENERO","FEBRERO","MARZO","ABRIL","MAYO","JUNIO","JULIO","AGOSTO","SEPTIEMBRE","OCTUBRE","NOVIEMBRE","DICIEMBRE"))</f>
        <v/>
      </c>
      <c r="I1397" s="34">
        <f>IF($A1397="","",IF(OR($G1397="SÁBADO",$G1397="DOMINGO"),"FIN","LV"))</f>
        <v/>
      </c>
      <c r="J1397" s="34">
        <f>IF(OR($A1397="",$B1397=""),"",IF($L1397&lt;&gt;"",UPPER($L1397),IF($C1397="","FALTA",IFERROR(IF($C1397&gt;=$O1397,"ROJO FUERTE",IF($C1397&gt;=$N1397,"ROJO",IF($C1397&gt;=$M1397,"AMARILLO","VERDE"))),"REVISAR"))))</f>
        <v/>
      </c>
      <c r="K1397" s="36">
        <f>IF(OR($C1397="",$D1397=""),"",IF($D1397&gt;=$C1397,($D1397-$C1397)*24,(1-$C1397+$D1397)*24))</f>
        <v/>
      </c>
      <c r="L1397" s="34" t="n"/>
      <c r="M1397" s="53">
        <f t="array" ref="M1397">IFERROR(INDEX(EXCEPCIONES_FECHA!$D$2:$D$201,MATCH(1,(EXCEPCIONES_FECHA!$A$2:$A$201=$A1397)*(EXCEPCIONES_FECHA!$B$2:$B$201=$B1397),0)),IFERROR(INDEX(EXCEPCIONES_FECHA!$D$2:$D$201,MATCH(1,(EXCEPCIONES_FECHA!$A$2:$A$201=$A1397)*(EXCEPCIONES_FECHA!$B$2:$B$201=""),0)),IFERROR(INDEX(IF($I1397="FIN",HISTORIAL_HORARIOS!$J$2:$J$201,HISTORIAL_HORARIOS!$F$2:$F$201),MATCH(1,(HISTORIAL_HORARIOS!$A$2:$A$201=$B1397)*(HISTORIAL_HORARIOS!$C$2:$C$201&lt;=$A1397)*(HISTORIAL_HORARIOS!$D$2:$D$201&gt;=$A1397),0)),INDEX(IF($I1397="FIN",PERSONAL!$J$2:$J$80,PERSONAL!$F$2:$F$80),MATCH($B1397,PERSONAL!$A$2:$A$80,0)))))</f>
        <v/>
      </c>
      <c r="N1397" s="53">
        <f t="array" ref="N1397">IFERROR(INDEX(EXCEPCIONES_FECHA!$E$2:$E$201,MATCH(1,(EXCEPCIONES_FECHA!$A$2:$A$201=$A1397)*(EXCEPCIONES_FECHA!$B$2:$B$201=$B1397),0)),IFERROR(INDEX(EXCEPCIONES_FECHA!$E$2:$E$201,MATCH(1,(EXCEPCIONES_FECHA!$A$2:$A$201=$A1397)*(EXCEPCIONES_FECHA!$B$2:$B$201=""),0)),IFERROR(INDEX(IF($I1397="FIN",HISTORIAL_HORARIOS!$K$2:$K$201,HISTORIAL_HORARIOS!$G$2:$G$201),MATCH(1,(HISTORIAL_HORARIOS!$A$2:$A$201=$B1397)*(HISTORIAL_HORARIOS!$C$2:$C$201&lt;=$A1397)*(HISTORIAL_HORARIOS!$D$2:$D$201&gt;=$A1397),0)),INDEX(IF($I1397="FIN",PERSONAL!$K$2:$K$80,PERSONAL!$G$2:$G$80),MATCH($B1397,PERSONAL!$A$2:$A$80,0)))))</f>
        <v/>
      </c>
      <c r="O1397" s="53">
        <f t="array" ref="O1397">IFERROR(INDEX(EXCEPCIONES_FECHA!$F$2:$F$201,MATCH(1,(EXCEPCIONES_FECHA!$A$2:$A$201=$A1397)*(EXCEPCIONES_FECHA!$B$2:$B$201=$B1397),0)),IFERROR(INDEX(EXCEPCIONES_FECHA!$F$2:$F$201,MATCH(1,(EXCEPCIONES_FECHA!$A$2:$A$201=$A1397)*(EXCEPCIONES_FECHA!$B$2:$B$201=""),0)),IFERROR(INDEX(IF($I1397="FIN",HISTORIAL_HORARIOS!$L$2:$L$201,HISTORIAL_HORARIOS!$H$2:$H$201),MATCH(1,(HISTORIAL_HORARIOS!$A$2:$A$201=$B1397)*(HISTORIAL_HORARIOS!$C$2:$C$201&lt;=$A1397)*(HISTORIAL_HORARIOS!$D$2:$D$201&gt;=$A1397),0)),INDEX(IF($I1397="FIN",PERSONAL!$L$2:$L$80,PERSONAL!$H$2:$H$80),MATCH($B1397,PERSONAL!$A$2:$A$80,0)))))</f>
        <v/>
      </c>
    </row>
    <row r="1398" ht="15" customHeight="1" s="58">
      <c r="A1398" s="40" t="n"/>
      <c r="B1398" s="38" t="n"/>
      <c r="C1398" s="40" t="n"/>
      <c r="D1398" s="40" t="n"/>
      <c r="E1398" s="34">
        <f t="array" ref="E1398">IF($B1398="","",IFERROR(INDEX(PERSONAL!$B$2:$B$80,MATCH($B1398,PERSONAL!$A$2:$A$80,0)),"NO EXISTE"))</f>
        <v/>
      </c>
      <c r="F1398" s="34">
        <f t="array" ref="F1398">IF($B1398="","",IFERROR(INDEX(PERSONAL!$C$2:$C$80,MATCH($B1398,PERSONAL!$A$2:$A$80,0)),""))</f>
        <v/>
      </c>
      <c r="G1398" s="34">
        <f>IF($A1398="","",CHOOSE(WEEKDAY($A1398,2),"LUNES","MARTES","MIÉRCOLES","JUEVES","VIERNES","SÁBADO","DOMINGO"))</f>
        <v/>
      </c>
      <c r="H1398" s="34">
        <f>IF($A1398="","",CHOOSE(MONTH($A1398),"ENERO","FEBRERO","MARZO","ABRIL","MAYO","JUNIO","JULIO","AGOSTO","SEPTIEMBRE","OCTUBRE","NOVIEMBRE","DICIEMBRE"))</f>
        <v/>
      </c>
      <c r="I1398" s="34">
        <f>IF($A1398="","",IF(OR($G1398="SÁBADO",$G1398="DOMINGO"),"FIN","LV"))</f>
        <v/>
      </c>
      <c r="J1398" s="34">
        <f>IF(OR($A1398="",$B1398=""),"",IF($L1398&lt;&gt;"",UPPER($L1398),IF($C1398="","FALTA",IFERROR(IF($C1398&gt;=$O1398,"ROJO FUERTE",IF($C1398&gt;=$N1398,"ROJO",IF($C1398&gt;=$M1398,"AMARILLO","VERDE"))),"REVISAR"))))</f>
        <v/>
      </c>
      <c r="K1398" s="36">
        <f>IF(OR($C1398="",$D1398=""),"",IF($D1398&gt;=$C1398,($D1398-$C1398)*24,(1-$C1398+$D1398)*24))</f>
        <v/>
      </c>
      <c r="L1398" s="34" t="n"/>
      <c r="M1398" s="53">
        <f t="array" ref="M1398">IFERROR(INDEX(EXCEPCIONES_FECHA!$D$2:$D$201,MATCH(1,(EXCEPCIONES_FECHA!$A$2:$A$201=$A1398)*(EXCEPCIONES_FECHA!$B$2:$B$201=$B1398),0)),IFERROR(INDEX(EXCEPCIONES_FECHA!$D$2:$D$201,MATCH(1,(EXCEPCIONES_FECHA!$A$2:$A$201=$A1398)*(EXCEPCIONES_FECHA!$B$2:$B$201=""),0)),IFERROR(INDEX(IF($I1398="FIN",HISTORIAL_HORARIOS!$J$2:$J$201,HISTORIAL_HORARIOS!$F$2:$F$201),MATCH(1,(HISTORIAL_HORARIOS!$A$2:$A$201=$B1398)*(HISTORIAL_HORARIOS!$C$2:$C$201&lt;=$A1398)*(HISTORIAL_HORARIOS!$D$2:$D$201&gt;=$A1398),0)),INDEX(IF($I1398="FIN",PERSONAL!$J$2:$J$80,PERSONAL!$F$2:$F$80),MATCH($B1398,PERSONAL!$A$2:$A$80,0)))))</f>
        <v/>
      </c>
      <c r="N1398" s="53">
        <f t="array" ref="N1398">IFERROR(INDEX(EXCEPCIONES_FECHA!$E$2:$E$201,MATCH(1,(EXCEPCIONES_FECHA!$A$2:$A$201=$A1398)*(EXCEPCIONES_FECHA!$B$2:$B$201=$B1398),0)),IFERROR(INDEX(EXCEPCIONES_FECHA!$E$2:$E$201,MATCH(1,(EXCEPCIONES_FECHA!$A$2:$A$201=$A1398)*(EXCEPCIONES_FECHA!$B$2:$B$201=""),0)),IFERROR(INDEX(IF($I1398="FIN",HISTORIAL_HORARIOS!$K$2:$K$201,HISTORIAL_HORARIOS!$G$2:$G$201),MATCH(1,(HISTORIAL_HORARIOS!$A$2:$A$201=$B1398)*(HISTORIAL_HORARIOS!$C$2:$C$201&lt;=$A1398)*(HISTORIAL_HORARIOS!$D$2:$D$201&gt;=$A1398),0)),INDEX(IF($I1398="FIN",PERSONAL!$K$2:$K$80,PERSONAL!$G$2:$G$80),MATCH($B1398,PERSONAL!$A$2:$A$80,0)))))</f>
        <v/>
      </c>
      <c r="O1398" s="53">
        <f t="array" ref="O1398">IFERROR(INDEX(EXCEPCIONES_FECHA!$F$2:$F$201,MATCH(1,(EXCEPCIONES_FECHA!$A$2:$A$201=$A1398)*(EXCEPCIONES_FECHA!$B$2:$B$201=$B1398),0)),IFERROR(INDEX(EXCEPCIONES_FECHA!$F$2:$F$201,MATCH(1,(EXCEPCIONES_FECHA!$A$2:$A$201=$A1398)*(EXCEPCIONES_FECHA!$B$2:$B$201=""),0)),IFERROR(INDEX(IF($I1398="FIN",HISTORIAL_HORARIOS!$L$2:$L$201,HISTORIAL_HORARIOS!$H$2:$H$201),MATCH(1,(HISTORIAL_HORARIOS!$A$2:$A$201=$B1398)*(HISTORIAL_HORARIOS!$C$2:$C$201&lt;=$A1398)*(HISTORIAL_HORARIOS!$D$2:$D$201&gt;=$A1398),0)),INDEX(IF($I1398="FIN",PERSONAL!$L$2:$L$80,PERSONAL!$H$2:$H$80),MATCH($B1398,PERSONAL!$A$2:$A$80,0)))))</f>
        <v/>
      </c>
    </row>
    <row r="1399" ht="15" customHeight="1" s="58">
      <c r="A1399" s="40" t="n"/>
      <c r="B1399" s="38" t="n"/>
      <c r="C1399" s="40" t="n"/>
      <c r="D1399" s="40" t="n"/>
      <c r="E1399" s="34">
        <f t="array" ref="E1399">IF($B1399="","",IFERROR(INDEX(PERSONAL!$B$2:$B$80,MATCH($B1399,PERSONAL!$A$2:$A$80,0)),"NO EXISTE"))</f>
        <v/>
      </c>
      <c r="F1399" s="34">
        <f t="array" ref="F1399">IF($B1399="","",IFERROR(INDEX(PERSONAL!$C$2:$C$80,MATCH($B1399,PERSONAL!$A$2:$A$80,0)),""))</f>
        <v/>
      </c>
      <c r="G1399" s="34">
        <f>IF($A1399="","",CHOOSE(WEEKDAY($A1399,2),"LUNES","MARTES","MIÉRCOLES","JUEVES","VIERNES","SÁBADO","DOMINGO"))</f>
        <v/>
      </c>
      <c r="H1399" s="34">
        <f>IF($A1399="","",CHOOSE(MONTH($A1399),"ENERO","FEBRERO","MARZO","ABRIL","MAYO","JUNIO","JULIO","AGOSTO","SEPTIEMBRE","OCTUBRE","NOVIEMBRE","DICIEMBRE"))</f>
        <v/>
      </c>
      <c r="I1399" s="34">
        <f>IF($A1399="","",IF(OR($G1399="SÁBADO",$G1399="DOMINGO"),"FIN","LV"))</f>
        <v/>
      </c>
      <c r="J1399" s="34">
        <f>IF(OR($A1399="",$B1399=""),"",IF($L1399&lt;&gt;"",UPPER($L1399),IF($C1399="","FALTA",IFERROR(IF($C1399&gt;=$O1399,"ROJO FUERTE",IF($C1399&gt;=$N1399,"ROJO",IF($C1399&gt;=$M1399,"AMARILLO","VERDE"))),"REVISAR"))))</f>
        <v/>
      </c>
      <c r="K1399" s="36">
        <f>IF(OR($C1399="",$D1399=""),"",IF($D1399&gt;=$C1399,($D1399-$C1399)*24,(1-$C1399+$D1399)*24))</f>
        <v/>
      </c>
      <c r="L1399" s="34" t="n"/>
      <c r="M1399" s="53">
        <f t="array" ref="M1399">IFERROR(INDEX(EXCEPCIONES_FECHA!$D$2:$D$201,MATCH(1,(EXCEPCIONES_FECHA!$A$2:$A$201=$A1399)*(EXCEPCIONES_FECHA!$B$2:$B$201=$B1399),0)),IFERROR(INDEX(EXCEPCIONES_FECHA!$D$2:$D$201,MATCH(1,(EXCEPCIONES_FECHA!$A$2:$A$201=$A1399)*(EXCEPCIONES_FECHA!$B$2:$B$201=""),0)),IFERROR(INDEX(IF($I1399="FIN",HISTORIAL_HORARIOS!$J$2:$J$201,HISTORIAL_HORARIOS!$F$2:$F$201),MATCH(1,(HISTORIAL_HORARIOS!$A$2:$A$201=$B1399)*(HISTORIAL_HORARIOS!$C$2:$C$201&lt;=$A1399)*(HISTORIAL_HORARIOS!$D$2:$D$201&gt;=$A1399),0)),INDEX(IF($I1399="FIN",PERSONAL!$J$2:$J$80,PERSONAL!$F$2:$F$80),MATCH($B1399,PERSONAL!$A$2:$A$80,0)))))</f>
        <v/>
      </c>
      <c r="N1399" s="53">
        <f t="array" ref="N1399">IFERROR(INDEX(EXCEPCIONES_FECHA!$E$2:$E$201,MATCH(1,(EXCEPCIONES_FECHA!$A$2:$A$201=$A1399)*(EXCEPCIONES_FECHA!$B$2:$B$201=$B1399),0)),IFERROR(INDEX(EXCEPCIONES_FECHA!$E$2:$E$201,MATCH(1,(EXCEPCIONES_FECHA!$A$2:$A$201=$A1399)*(EXCEPCIONES_FECHA!$B$2:$B$201=""),0)),IFERROR(INDEX(IF($I1399="FIN",HISTORIAL_HORARIOS!$K$2:$K$201,HISTORIAL_HORARIOS!$G$2:$G$201),MATCH(1,(HISTORIAL_HORARIOS!$A$2:$A$201=$B1399)*(HISTORIAL_HORARIOS!$C$2:$C$201&lt;=$A1399)*(HISTORIAL_HORARIOS!$D$2:$D$201&gt;=$A1399),0)),INDEX(IF($I1399="FIN",PERSONAL!$K$2:$K$80,PERSONAL!$G$2:$G$80),MATCH($B1399,PERSONAL!$A$2:$A$80,0)))))</f>
        <v/>
      </c>
      <c r="O1399" s="53">
        <f t="array" ref="O1399">IFERROR(INDEX(EXCEPCIONES_FECHA!$F$2:$F$201,MATCH(1,(EXCEPCIONES_FECHA!$A$2:$A$201=$A1399)*(EXCEPCIONES_FECHA!$B$2:$B$201=$B1399),0)),IFERROR(INDEX(EXCEPCIONES_FECHA!$F$2:$F$201,MATCH(1,(EXCEPCIONES_FECHA!$A$2:$A$201=$A1399)*(EXCEPCIONES_FECHA!$B$2:$B$201=""),0)),IFERROR(INDEX(IF($I1399="FIN",HISTORIAL_HORARIOS!$L$2:$L$201,HISTORIAL_HORARIOS!$H$2:$H$201),MATCH(1,(HISTORIAL_HORARIOS!$A$2:$A$201=$B1399)*(HISTORIAL_HORARIOS!$C$2:$C$201&lt;=$A1399)*(HISTORIAL_HORARIOS!$D$2:$D$201&gt;=$A1399),0)),INDEX(IF($I1399="FIN",PERSONAL!$L$2:$L$80,PERSONAL!$H$2:$H$80),MATCH($B1399,PERSONAL!$A$2:$A$80,0)))))</f>
        <v/>
      </c>
    </row>
    <row r="1400" ht="15" customHeight="1" s="58">
      <c r="A1400" s="40" t="n"/>
      <c r="B1400" s="38" t="n"/>
      <c r="C1400" s="40" t="n"/>
      <c r="D1400" s="40" t="n"/>
      <c r="E1400" s="34">
        <f t="array" ref="E1400">IF($B1400="","",IFERROR(INDEX(PERSONAL!$B$2:$B$80,MATCH($B1400,PERSONAL!$A$2:$A$80,0)),"NO EXISTE"))</f>
        <v/>
      </c>
      <c r="F1400" s="34">
        <f t="array" ref="F1400">IF($B1400="","",IFERROR(INDEX(PERSONAL!$C$2:$C$80,MATCH($B1400,PERSONAL!$A$2:$A$80,0)),""))</f>
        <v/>
      </c>
      <c r="G1400" s="34">
        <f>IF($A1400="","",CHOOSE(WEEKDAY($A1400,2),"LUNES","MARTES","MIÉRCOLES","JUEVES","VIERNES","SÁBADO","DOMINGO"))</f>
        <v/>
      </c>
      <c r="H1400" s="34">
        <f>IF($A1400="","",CHOOSE(MONTH($A1400),"ENERO","FEBRERO","MARZO","ABRIL","MAYO","JUNIO","JULIO","AGOSTO","SEPTIEMBRE","OCTUBRE","NOVIEMBRE","DICIEMBRE"))</f>
        <v/>
      </c>
      <c r="I1400" s="34">
        <f>IF($A1400="","",IF(OR($G1400="SÁBADO",$G1400="DOMINGO"),"FIN","LV"))</f>
        <v/>
      </c>
      <c r="J1400" s="34">
        <f>IF(OR($A1400="",$B1400=""),"",IF($L1400&lt;&gt;"",UPPER($L1400),IF($C1400="","FALTA",IFERROR(IF($C1400&gt;=$O1400,"ROJO FUERTE",IF($C1400&gt;=$N1400,"ROJO",IF($C1400&gt;=$M1400,"AMARILLO","VERDE"))),"REVISAR"))))</f>
        <v/>
      </c>
      <c r="K1400" s="36">
        <f>IF(OR($C1400="",$D1400=""),"",IF($D1400&gt;=$C1400,($D1400-$C1400)*24,(1-$C1400+$D1400)*24))</f>
        <v/>
      </c>
      <c r="L1400" s="34" t="n"/>
      <c r="M1400" s="53">
        <f t="array" ref="M1400">IFERROR(INDEX(EXCEPCIONES_FECHA!$D$2:$D$201,MATCH(1,(EXCEPCIONES_FECHA!$A$2:$A$201=$A1400)*(EXCEPCIONES_FECHA!$B$2:$B$201=$B1400),0)),IFERROR(INDEX(EXCEPCIONES_FECHA!$D$2:$D$201,MATCH(1,(EXCEPCIONES_FECHA!$A$2:$A$201=$A1400)*(EXCEPCIONES_FECHA!$B$2:$B$201=""),0)),IFERROR(INDEX(IF($I1400="FIN",HISTORIAL_HORARIOS!$J$2:$J$201,HISTORIAL_HORARIOS!$F$2:$F$201),MATCH(1,(HISTORIAL_HORARIOS!$A$2:$A$201=$B1400)*(HISTORIAL_HORARIOS!$C$2:$C$201&lt;=$A1400)*(HISTORIAL_HORARIOS!$D$2:$D$201&gt;=$A1400),0)),INDEX(IF($I1400="FIN",PERSONAL!$J$2:$J$80,PERSONAL!$F$2:$F$80),MATCH($B1400,PERSONAL!$A$2:$A$80,0)))))</f>
        <v/>
      </c>
      <c r="N1400" s="53">
        <f t="array" ref="N1400">IFERROR(INDEX(EXCEPCIONES_FECHA!$E$2:$E$201,MATCH(1,(EXCEPCIONES_FECHA!$A$2:$A$201=$A1400)*(EXCEPCIONES_FECHA!$B$2:$B$201=$B1400),0)),IFERROR(INDEX(EXCEPCIONES_FECHA!$E$2:$E$201,MATCH(1,(EXCEPCIONES_FECHA!$A$2:$A$201=$A1400)*(EXCEPCIONES_FECHA!$B$2:$B$201=""),0)),IFERROR(INDEX(IF($I1400="FIN",HISTORIAL_HORARIOS!$K$2:$K$201,HISTORIAL_HORARIOS!$G$2:$G$201),MATCH(1,(HISTORIAL_HORARIOS!$A$2:$A$201=$B1400)*(HISTORIAL_HORARIOS!$C$2:$C$201&lt;=$A1400)*(HISTORIAL_HORARIOS!$D$2:$D$201&gt;=$A1400),0)),INDEX(IF($I1400="FIN",PERSONAL!$K$2:$K$80,PERSONAL!$G$2:$G$80),MATCH($B1400,PERSONAL!$A$2:$A$80,0)))))</f>
        <v/>
      </c>
      <c r="O1400" s="53">
        <f t="array" ref="O1400">IFERROR(INDEX(EXCEPCIONES_FECHA!$F$2:$F$201,MATCH(1,(EXCEPCIONES_FECHA!$A$2:$A$201=$A1400)*(EXCEPCIONES_FECHA!$B$2:$B$201=$B1400),0)),IFERROR(INDEX(EXCEPCIONES_FECHA!$F$2:$F$201,MATCH(1,(EXCEPCIONES_FECHA!$A$2:$A$201=$A1400)*(EXCEPCIONES_FECHA!$B$2:$B$201=""),0)),IFERROR(INDEX(IF($I1400="FIN",HISTORIAL_HORARIOS!$L$2:$L$201,HISTORIAL_HORARIOS!$H$2:$H$201),MATCH(1,(HISTORIAL_HORARIOS!$A$2:$A$201=$B1400)*(HISTORIAL_HORARIOS!$C$2:$C$201&lt;=$A1400)*(HISTORIAL_HORARIOS!$D$2:$D$201&gt;=$A1400),0)),INDEX(IF($I1400="FIN",PERSONAL!$L$2:$L$80,PERSONAL!$H$2:$H$80),MATCH($B1400,PERSONAL!$A$2:$A$80,0)))))</f>
        <v/>
      </c>
    </row>
    <row r="1401" ht="15" customHeight="1" s="58">
      <c r="A1401" s="40" t="n"/>
      <c r="B1401" s="38" t="n"/>
      <c r="C1401" s="40" t="n"/>
      <c r="D1401" s="40" t="n"/>
      <c r="E1401" s="34">
        <f t="array" ref="E1401">IF($B1401="","",IFERROR(INDEX(PERSONAL!$B$2:$B$80,MATCH($B1401,PERSONAL!$A$2:$A$80,0)),"NO EXISTE"))</f>
        <v/>
      </c>
      <c r="F1401" s="34">
        <f t="array" ref="F1401">IF($B1401="","",IFERROR(INDEX(PERSONAL!$C$2:$C$80,MATCH($B1401,PERSONAL!$A$2:$A$80,0)),""))</f>
        <v/>
      </c>
      <c r="G1401" s="34">
        <f>IF($A1401="","",CHOOSE(WEEKDAY($A1401,2),"LUNES","MARTES","MIÉRCOLES","JUEVES","VIERNES","SÁBADO","DOMINGO"))</f>
        <v/>
      </c>
      <c r="H1401" s="34">
        <f>IF($A1401="","",CHOOSE(MONTH($A1401),"ENERO","FEBRERO","MARZO","ABRIL","MAYO","JUNIO","JULIO","AGOSTO","SEPTIEMBRE","OCTUBRE","NOVIEMBRE","DICIEMBRE"))</f>
        <v/>
      </c>
      <c r="I1401" s="34">
        <f>IF($A1401="","",IF(OR($G1401="SÁBADO",$G1401="DOMINGO"),"FIN","LV"))</f>
        <v/>
      </c>
      <c r="J1401" s="34">
        <f>IF(OR($A1401="",$B1401=""),"",IF($L1401&lt;&gt;"",UPPER($L1401),IF($C1401="","FALTA",IFERROR(IF($C1401&gt;=$O1401,"ROJO FUERTE",IF($C1401&gt;=$N1401,"ROJO",IF($C1401&gt;=$M1401,"AMARILLO","VERDE"))),"REVISAR"))))</f>
        <v/>
      </c>
      <c r="K1401" s="36">
        <f>IF(OR($C1401="",$D1401=""),"",IF($D1401&gt;=$C1401,($D1401-$C1401)*24,(1-$C1401+$D1401)*24))</f>
        <v/>
      </c>
      <c r="L1401" s="34" t="n"/>
      <c r="M1401" s="53">
        <f t="array" ref="M1401">IFERROR(INDEX(EXCEPCIONES_FECHA!$D$2:$D$201,MATCH(1,(EXCEPCIONES_FECHA!$A$2:$A$201=$A1401)*(EXCEPCIONES_FECHA!$B$2:$B$201=$B1401),0)),IFERROR(INDEX(EXCEPCIONES_FECHA!$D$2:$D$201,MATCH(1,(EXCEPCIONES_FECHA!$A$2:$A$201=$A1401)*(EXCEPCIONES_FECHA!$B$2:$B$201=""),0)),IFERROR(INDEX(IF($I1401="FIN",HISTORIAL_HORARIOS!$J$2:$J$201,HISTORIAL_HORARIOS!$F$2:$F$201),MATCH(1,(HISTORIAL_HORARIOS!$A$2:$A$201=$B1401)*(HISTORIAL_HORARIOS!$C$2:$C$201&lt;=$A1401)*(HISTORIAL_HORARIOS!$D$2:$D$201&gt;=$A1401),0)),INDEX(IF($I1401="FIN",PERSONAL!$J$2:$J$80,PERSONAL!$F$2:$F$80),MATCH($B1401,PERSONAL!$A$2:$A$80,0)))))</f>
        <v/>
      </c>
      <c r="N1401" s="53">
        <f t="array" ref="N1401">IFERROR(INDEX(EXCEPCIONES_FECHA!$E$2:$E$201,MATCH(1,(EXCEPCIONES_FECHA!$A$2:$A$201=$A1401)*(EXCEPCIONES_FECHA!$B$2:$B$201=$B1401),0)),IFERROR(INDEX(EXCEPCIONES_FECHA!$E$2:$E$201,MATCH(1,(EXCEPCIONES_FECHA!$A$2:$A$201=$A1401)*(EXCEPCIONES_FECHA!$B$2:$B$201=""),0)),IFERROR(INDEX(IF($I1401="FIN",HISTORIAL_HORARIOS!$K$2:$K$201,HISTORIAL_HORARIOS!$G$2:$G$201),MATCH(1,(HISTORIAL_HORARIOS!$A$2:$A$201=$B1401)*(HISTORIAL_HORARIOS!$C$2:$C$201&lt;=$A1401)*(HISTORIAL_HORARIOS!$D$2:$D$201&gt;=$A1401),0)),INDEX(IF($I1401="FIN",PERSONAL!$K$2:$K$80,PERSONAL!$G$2:$G$80),MATCH($B1401,PERSONAL!$A$2:$A$80,0)))))</f>
        <v/>
      </c>
      <c r="O1401" s="53">
        <f t="array" ref="O1401">IFERROR(INDEX(EXCEPCIONES_FECHA!$F$2:$F$201,MATCH(1,(EXCEPCIONES_FECHA!$A$2:$A$201=$A1401)*(EXCEPCIONES_FECHA!$B$2:$B$201=$B1401),0)),IFERROR(INDEX(EXCEPCIONES_FECHA!$F$2:$F$201,MATCH(1,(EXCEPCIONES_FECHA!$A$2:$A$201=$A1401)*(EXCEPCIONES_FECHA!$B$2:$B$201=""),0)),IFERROR(INDEX(IF($I1401="FIN",HISTORIAL_HORARIOS!$L$2:$L$201,HISTORIAL_HORARIOS!$H$2:$H$201),MATCH(1,(HISTORIAL_HORARIOS!$A$2:$A$201=$B1401)*(HISTORIAL_HORARIOS!$C$2:$C$201&lt;=$A1401)*(HISTORIAL_HORARIOS!$D$2:$D$201&gt;=$A1401),0)),INDEX(IF($I1401="FIN",PERSONAL!$L$2:$L$80,PERSONAL!$H$2:$H$80),MATCH($B1401,PERSONAL!$A$2:$A$80,0)))))</f>
        <v/>
      </c>
    </row>
    <row r="1402" ht="15" customHeight="1" s="58">
      <c r="A1402" s="40" t="n"/>
      <c r="B1402" s="38" t="n"/>
      <c r="C1402" s="40" t="n"/>
      <c r="D1402" s="40" t="n"/>
      <c r="E1402" s="34">
        <f t="array" ref="E1402">IF($B1402="","",IFERROR(INDEX(PERSONAL!$B$2:$B$80,MATCH($B1402,PERSONAL!$A$2:$A$80,0)),"NO EXISTE"))</f>
        <v/>
      </c>
      <c r="F1402" s="34">
        <f t="array" ref="F1402">IF($B1402="","",IFERROR(INDEX(PERSONAL!$C$2:$C$80,MATCH($B1402,PERSONAL!$A$2:$A$80,0)),""))</f>
        <v/>
      </c>
      <c r="G1402" s="34">
        <f>IF($A1402="","",CHOOSE(WEEKDAY($A1402,2),"LUNES","MARTES","MIÉRCOLES","JUEVES","VIERNES","SÁBADO","DOMINGO"))</f>
        <v/>
      </c>
      <c r="H1402" s="34">
        <f>IF($A1402="","",CHOOSE(MONTH($A1402),"ENERO","FEBRERO","MARZO","ABRIL","MAYO","JUNIO","JULIO","AGOSTO","SEPTIEMBRE","OCTUBRE","NOVIEMBRE","DICIEMBRE"))</f>
        <v/>
      </c>
      <c r="I1402" s="34">
        <f>IF($A1402="","",IF(OR($G1402="SÁBADO",$G1402="DOMINGO"),"FIN","LV"))</f>
        <v/>
      </c>
      <c r="J1402" s="34">
        <f>IF(OR($A1402="",$B1402=""),"",IF($L1402&lt;&gt;"",UPPER($L1402),IF($C1402="","FALTA",IFERROR(IF($C1402&gt;=$O1402,"ROJO FUERTE",IF($C1402&gt;=$N1402,"ROJO",IF($C1402&gt;=$M1402,"AMARILLO","VERDE"))),"REVISAR"))))</f>
        <v/>
      </c>
      <c r="K1402" s="36">
        <f>IF(OR($C1402="",$D1402=""),"",IF($D1402&gt;=$C1402,($D1402-$C1402)*24,(1-$C1402+$D1402)*24))</f>
        <v/>
      </c>
      <c r="L1402" s="34" t="n"/>
      <c r="M1402" s="53">
        <f t="array" ref="M1402">IFERROR(INDEX(EXCEPCIONES_FECHA!$D$2:$D$201,MATCH(1,(EXCEPCIONES_FECHA!$A$2:$A$201=$A1402)*(EXCEPCIONES_FECHA!$B$2:$B$201=$B1402),0)),IFERROR(INDEX(EXCEPCIONES_FECHA!$D$2:$D$201,MATCH(1,(EXCEPCIONES_FECHA!$A$2:$A$201=$A1402)*(EXCEPCIONES_FECHA!$B$2:$B$201=""),0)),IFERROR(INDEX(IF($I1402="FIN",HISTORIAL_HORARIOS!$J$2:$J$201,HISTORIAL_HORARIOS!$F$2:$F$201),MATCH(1,(HISTORIAL_HORARIOS!$A$2:$A$201=$B1402)*(HISTORIAL_HORARIOS!$C$2:$C$201&lt;=$A1402)*(HISTORIAL_HORARIOS!$D$2:$D$201&gt;=$A1402),0)),INDEX(IF($I1402="FIN",PERSONAL!$J$2:$J$80,PERSONAL!$F$2:$F$80),MATCH($B1402,PERSONAL!$A$2:$A$80,0)))))</f>
        <v/>
      </c>
      <c r="N1402" s="53">
        <f t="array" ref="N1402">IFERROR(INDEX(EXCEPCIONES_FECHA!$E$2:$E$201,MATCH(1,(EXCEPCIONES_FECHA!$A$2:$A$201=$A1402)*(EXCEPCIONES_FECHA!$B$2:$B$201=$B1402),0)),IFERROR(INDEX(EXCEPCIONES_FECHA!$E$2:$E$201,MATCH(1,(EXCEPCIONES_FECHA!$A$2:$A$201=$A1402)*(EXCEPCIONES_FECHA!$B$2:$B$201=""),0)),IFERROR(INDEX(IF($I1402="FIN",HISTORIAL_HORARIOS!$K$2:$K$201,HISTORIAL_HORARIOS!$G$2:$G$201),MATCH(1,(HISTORIAL_HORARIOS!$A$2:$A$201=$B1402)*(HISTORIAL_HORARIOS!$C$2:$C$201&lt;=$A1402)*(HISTORIAL_HORARIOS!$D$2:$D$201&gt;=$A1402),0)),INDEX(IF($I1402="FIN",PERSONAL!$K$2:$K$80,PERSONAL!$G$2:$G$80),MATCH($B1402,PERSONAL!$A$2:$A$80,0)))))</f>
        <v/>
      </c>
      <c r="O1402" s="53">
        <f t="array" ref="O1402">IFERROR(INDEX(EXCEPCIONES_FECHA!$F$2:$F$201,MATCH(1,(EXCEPCIONES_FECHA!$A$2:$A$201=$A1402)*(EXCEPCIONES_FECHA!$B$2:$B$201=$B1402),0)),IFERROR(INDEX(EXCEPCIONES_FECHA!$F$2:$F$201,MATCH(1,(EXCEPCIONES_FECHA!$A$2:$A$201=$A1402)*(EXCEPCIONES_FECHA!$B$2:$B$201=""),0)),IFERROR(INDEX(IF($I1402="FIN",HISTORIAL_HORARIOS!$L$2:$L$201,HISTORIAL_HORARIOS!$H$2:$H$201),MATCH(1,(HISTORIAL_HORARIOS!$A$2:$A$201=$B1402)*(HISTORIAL_HORARIOS!$C$2:$C$201&lt;=$A1402)*(HISTORIAL_HORARIOS!$D$2:$D$201&gt;=$A1402),0)),INDEX(IF($I1402="FIN",PERSONAL!$L$2:$L$80,PERSONAL!$H$2:$H$80),MATCH($B1402,PERSONAL!$A$2:$A$80,0)))))</f>
        <v/>
      </c>
    </row>
    <row r="1403" ht="15" customHeight="1" s="58">
      <c r="A1403" s="40" t="n"/>
      <c r="B1403" s="38" t="n"/>
      <c r="C1403" s="40" t="n"/>
      <c r="D1403" s="40" t="n"/>
      <c r="E1403" s="34">
        <f t="array" ref="E1403">IF($B1403="","",IFERROR(INDEX(PERSONAL!$B$2:$B$80,MATCH($B1403,PERSONAL!$A$2:$A$80,0)),"NO EXISTE"))</f>
        <v/>
      </c>
      <c r="F1403" s="34">
        <f t="array" ref="F1403">IF($B1403="","",IFERROR(INDEX(PERSONAL!$C$2:$C$80,MATCH($B1403,PERSONAL!$A$2:$A$80,0)),""))</f>
        <v/>
      </c>
      <c r="G1403" s="34">
        <f>IF($A1403="","",CHOOSE(WEEKDAY($A1403,2),"LUNES","MARTES","MIÉRCOLES","JUEVES","VIERNES","SÁBADO","DOMINGO"))</f>
        <v/>
      </c>
      <c r="H1403" s="34">
        <f>IF($A1403="","",CHOOSE(MONTH($A1403),"ENERO","FEBRERO","MARZO","ABRIL","MAYO","JUNIO","JULIO","AGOSTO","SEPTIEMBRE","OCTUBRE","NOVIEMBRE","DICIEMBRE"))</f>
        <v/>
      </c>
      <c r="I1403" s="34">
        <f>IF($A1403="","",IF(OR($G1403="SÁBADO",$G1403="DOMINGO"),"FIN","LV"))</f>
        <v/>
      </c>
      <c r="J1403" s="34">
        <f>IF(OR($A1403="",$B1403=""),"",IF($L1403&lt;&gt;"",UPPER($L1403),IF($C1403="","FALTA",IFERROR(IF($C1403&gt;=$O1403,"ROJO FUERTE",IF($C1403&gt;=$N1403,"ROJO",IF($C1403&gt;=$M1403,"AMARILLO","VERDE"))),"REVISAR"))))</f>
        <v/>
      </c>
      <c r="K1403" s="36">
        <f>IF(OR($C1403="",$D1403=""),"",IF($D1403&gt;=$C1403,($D1403-$C1403)*24,(1-$C1403+$D1403)*24))</f>
        <v/>
      </c>
      <c r="L1403" s="34" t="n"/>
      <c r="M1403" s="53">
        <f t="array" ref="M1403">IFERROR(INDEX(EXCEPCIONES_FECHA!$D$2:$D$201,MATCH(1,(EXCEPCIONES_FECHA!$A$2:$A$201=$A1403)*(EXCEPCIONES_FECHA!$B$2:$B$201=$B1403),0)),IFERROR(INDEX(EXCEPCIONES_FECHA!$D$2:$D$201,MATCH(1,(EXCEPCIONES_FECHA!$A$2:$A$201=$A1403)*(EXCEPCIONES_FECHA!$B$2:$B$201=""),0)),IFERROR(INDEX(IF($I1403="FIN",HISTORIAL_HORARIOS!$J$2:$J$201,HISTORIAL_HORARIOS!$F$2:$F$201),MATCH(1,(HISTORIAL_HORARIOS!$A$2:$A$201=$B1403)*(HISTORIAL_HORARIOS!$C$2:$C$201&lt;=$A1403)*(HISTORIAL_HORARIOS!$D$2:$D$201&gt;=$A1403),0)),INDEX(IF($I1403="FIN",PERSONAL!$J$2:$J$80,PERSONAL!$F$2:$F$80),MATCH($B1403,PERSONAL!$A$2:$A$80,0)))))</f>
        <v/>
      </c>
      <c r="N1403" s="53">
        <f t="array" ref="N1403">IFERROR(INDEX(EXCEPCIONES_FECHA!$E$2:$E$201,MATCH(1,(EXCEPCIONES_FECHA!$A$2:$A$201=$A1403)*(EXCEPCIONES_FECHA!$B$2:$B$201=$B1403),0)),IFERROR(INDEX(EXCEPCIONES_FECHA!$E$2:$E$201,MATCH(1,(EXCEPCIONES_FECHA!$A$2:$A$201=$A1403)*(EXCEPCIONES_FECHA!$B$2:$B$201=""),0)),IFERROR(INDEX(IF($I1403="FIN",HISTORIAL_HORARIOS!$K$2:$K$201,HISTORIAL_HORARIOS!$G$2:$G$201),MATCH(1,(HISTORIAL_HORARIOS!$A$2:$A$201=$B1403)*(HISTORIAL_HORARIOS!$C$2:$C$201&lt;=$A1403)*(HISTORIAL_HORARIOS!$D$2:$D$201&gt;=$A1403),0)),INDEX(IF($I1403="FIN",PERSONAL!$K$2:$K$80,PERSONAL!$G$2:$G$80),MATCH($B1403,PERSONAL!$A$2:$A$80,0)))))</f>
        <v/>
      </c>
      <c r="O1403" s="53">
        <f t="array" ref="O1403">IFERROR(INDEX(EXCEPCIONES_FECHA!$F$2:$F$201,MATCH(1,(EXCEPCIONES_FECHA!$A$2:$A$201=$A1403)*(EXCEPCIONES_FECHA!$B$2:$B$201=$B1403),0)),IFERROR(INDEX(EXCEPCIONES_FECHA!$F$2:$F$201,MATCH(1,(EXCEPCIONES_FECHA!$A$2:$A$201=$A1403)*(EXCEPCIONES_FECHA!$B$2:$B$201=""),0)),IFERROR(INDEX(IF($I1403="FIN",HISTORIAL_HORARIOS!$L$2:$L$201,HISTORIAL_HORARIOS!$H$2:$H$201),MATCH(1,(HISTORIAL_HORARIOS!$A$2:$A$201=$B1403)*(HISTORIAL_HORARIOS!$C$2:$C$201&lt;=$A1403)*(HISTORIAL_HORARIOS!$D$2:$D$201&gt;=$A1403),0)),INDEX(IF($I1403="FIN",PERSONAL!$L$2:$L$80,PERSONAL!$H$2:$H$80),MATCH($B1403,PERSONAL!$A$2:$A$80,0)))))</f>
        <v/>
      </c>
    </row>
    <row r="1404" ht="15" customHeight="1" s="58">
      <c r="A1404" s="40" t="n"/>
      <c r="B1404" s="38" t="n"/>
      <c r="C1404" s="40" t="n"/>
      <c r="D1404" s="40" t="n"/>
      <c r="E1404" s="34">
        <f t="array" ref="E1404">IF($B1404="","",IFERROR(INDEX(PERSONAL!$B$2:$B$80,MATCH($B1404,PERSONAL!$A$2:$A$80,0)),"NO EXISTE"))</f>
        <v/>
      </c>
      <c r="F1404" s="34">
        <f t="array" ref="F1404">IF($B1404="","",IFERROR(INDEX(PERSONAL!$C$2:$C$80,MATCH($B1404,PERSONAL!$A$2:$A$80,0)),""))</f>
        <v/>
      </c>
      <c r="G1404" s="34">
        <f>IF($A1404="","",CHOOSE(WEEKDAY($A1404,2),"LUNES","MARTES","MIÉRCOLES","JUEVES","VIERNES","SÁBADO","DOMINGO"))</f>
        <v/>
      </c>
      <c r="H1404" s="34">
        <f>IF($A1404="","",CHOOSE(MONTH($A1404),"ENERO","FEBRERO","MARZO","ABRIL","MAYO","JUNIO","JULIO","AGOSTO","SEPTIEMBRE","OCTUBRE","NOVIEMBRE","DICIEMBRE"))</f>
        <v/>
      </c>
      <c r="I1404" s="34">
        <f>IF($A1404="","",IF(OR($G1404="SÁBADO",$G1404="DOMINGO"),"FIN","LV"))</f>
        <v/>
      </c>
      <c r="J1404" s="34">
        <f>IF(OR($A1404="",$B1404=""),"",IF($L1404&lt;&gt;"",UPPER($L1404),IF($C1404="","FALTA",IFERROR(IF($C1404&gt;=$O1404,"ROJO FUERTE",IF($C1404&gt;=$N1404,"ROJO",IF($C1404&gt;=$M1404,"AMARILLO","VERDE"))),"REVISAR"))))</f>
        <v/>
      </c>
      <c r="K1404" s="36">
        <f>IF(OR($C1404="",$D1404=""),"",IF($D1404&gt;=$C1404,($D1404-$C1404)*24,(1-$C1404+$D1404)*24))</f>
        <v/>
      </c>
      <c r="L1404" s="34" t="n"/>
      <c r="M1404" s="53">
        <f t="array" ref="M1404">IFERROR(INDEX(EXCEPCIONES_FECHA!$D$2:$D$201,MATCH(1,(EXCEPCIONES_FECHA!$A$2:$A$201=$A1404)*(EXCEPCIONES_FECHA!$B$2:$B$201=$B1404),0)),IFERROR(INDEX(EXCEPCIONES_FECHA!$D$2:$D$201,MATCH(1,(EXCEPCIONES_FECHA!$A$2:$A$201=$A1404)*(EXCEPCIONES_FECHA!$B$2:$B$201=""),0)),IFERROR(INDEX(IF($I1404="FIN",HISTORIAL_HORARIOS!$J$2:$J$201,HISTORIAL_HORARIOS!$F$2:$F$201),MATCH(1,(HISTORIAL_HORARIOS!$A$2:$A$201=$B1404)*(HISTORIAL_HORARIOS!$C$2:$C$201&lt;=$A1404)*(HISTORIAL_HORARIOS!$D$2:$D$201&gt;=$A1404),0)),INDEX(IF($I1404="FIN",PERSONAL!$J$2:$J$80,PERSONAL!$F$2:$F$80),MATCH($B1404,PERSONAL!$A$2:$A$80,0)))))</f>
        <v/>
      </c>
      <c r="N1404" s="53">
        <f t="array" ref="N1404">IFERROR(INDEX(EXCEPCIONES_FECHA!$E$2:$E$201,MATCH(1,(EXCEPCIONES_FECHA!$A$2:$A$201=$A1404)*(EXCEPCIONES_FECHA!$B$2:$B$201=$B1404),0)),IFERROR(INDEX(EXCEPCIONES_FECHA!$E$2:$E$201,MATCH(1,(EXCEPCIONES_FECHA!$A$2:$A$201=$A1404)*(EXCEPCIONES_FECHA!$B$2:$B$201=""),0)),IFERROR(INDEX(IF($I1404="FIN",HISTORIAL_HORARIOS!$K$2:$K$201,HISTORIAL_HORARIOS!$G$2:$G$201),MATCH(1,(HISTORIAL_HORARIOS!$A$2:$A$201=$B1404)*(HISTORIAL_HORARIOS!$C$2:$C$201&lt;=$A1404)*(HISTORIAL_HORARIOS!$D$2:$D$201&gt;=$A1404),0)),INDEX(IF($I1404="FIN",PERSONAL!$K$2:$K$80,PERSONAL!$G$2:$G$80),MATCH($B1404,PERSONAL!$A$2:$A$80,0)))))</f>
        <v/>
      </c>
      <c r="O1404" s="53">
        <f t="array" ref="O1404">IFERROR(INDEX(EXCEPCIONES_FECHA!$F$2:$F$201,MATCH(1,(EXCEPCIONES_FECHA!$A$2:$A$201=$A1404)*(EXCEPCIONES_FECHA!$B$2:$B$201=$B1404),0)),IFERROR(INDEX(EXCEPCIONES_FECHA!$F$2:$F$201,MATCH(1,(EXCEPCIONES_FECHA!$A$2:$A$201=$A1404)*(EXCEPCIONES_FECHA!$B$2:$B$201=""),0)),IFERROR(INDEX(IF($I1404="FIN",HISTORIAL_HORARIOS!$L$2:$L$201,HISTORIAL_HORARIOS!$H$2:$H$201),MATCH(1,(HISTORIAL_HORARIOS!$A$2:$A$201=$B1404)*(HISTORIAL_HORARIOS!$C$2:$C$201&lt;=$A1404)*(HISTORIAL_HORARIOS!$D$2:$D$201&gt;=$A1404),0)),INDEX(IF($I1404="FIN",PERSONAL!$L$2:$L$80,PERSONAL!$H$2:$H$80),MATCH($B1404,PERSONAL!$A$2:$A$80,0)))))</f>
        <v/>
      </c>
    </row>
    <row r="1405" ht="15" customHeight="1" s="58">
      <c r="A1405" s="40" t="n"/>
      <c r="B1405" s="38" t="n"/>
      <c r="C1405" s="40" t="n"/>
      <c r="D1405" s="40" t="n"/>
      <c r="E1405" s="34">
        <f t="array" ref="E1405">IF($B1405="","",IFERROR(INDEX(PERSONAL!$B$2:$B$80,MATCH($B1405,PERSONAL!$A$2:$A$80,0)),"NO EXISTE"))</f>
        <v/>
      </c>
      <c r="F1405" s="34">
        <f t="array" ref="F1405">IF($B1405="","",IFERROR(INDEX(PERSONAL!$C$2:$C$80,MATCH($B1405,PERSONAL!$A$2:$A$80,0)),""))</f>
        <v/>
      </c>
      <c r="G1405" s="34">
        <f>IF($A1405="","",CHOOSE(WEEKDAY($A1405,2),"LUNES","MARTES","MIÉRCOLES","JUEVES","VIERNES","SÁBADO","DOMINGO"))</f>
        <v/>
      </c>
      <c r="H1405" s="34">
        <f>IF($A1405="","",CHOOSE(MONTH($A1405),"ENERO","FEBRERO","MARZO","ABRIL","MAYO","JUNIO","JULIO","AGOSTO","SEPTIEMBRE","OCTUBRE","NOVIEMBRE","DICIEMBRE"))</f>
        <v/>
      </c>
      <c r="I1405" s="34">
        <f>IF($A1405="","",IF(OR($G1405="SÁBADO",$G1405="DOMINGO"),"FIN","LV"))</f>
        <v/>
      </c>
      <c r="J1405" s="34">
        <f>IF(OR($A1405="",$B1405=""),"",IF($L1405&lt;&gt;"",UPPER($L1405),IF($C1405="","FALTA",IFERROR(IF($C1405&gt;=$O1405,"ROJO FUERTE",IF($C1405&gt;=$N1405,"ROJO",IF($C1405&gt;=$M1405,"AMARILLO","VERDE"))),"REVISAR"))))</f>
        <v/>
      </c>
      <c r="K1405" s="36">
        <f>IF(OR($C1405="",$D1405=""),"",IF($D1405&gt;=$C1405,($D1405-$C1405)*24,(1-$C1405+$D1405)*24))</f>
        <v/>
      </c>
      <c r="L1405" s="34" t="n"/>
      <c r="M1405" s="53">
        <f t="array" ref="M1405">IFERROR(INDEX(EXCEPCIONES_FECHA!$D$2:$D$201,MATCH(1,(EXCEPCIONES_FECHA!$A$2:$A$201=$A1405)*(EXCEPCIONES_FECHA!$B$2:$B$201=$B1405),0)),IFERROR(INDEX(EXCEPCIONES_FECHA!$D$2:$D$201,MATCH(1,(EXCEPCIONES_FECHA!$A$2:$A$201=$A1405)*(EXCEPCIONES_FECHA!$B$2:$B$201=""),0)),IFERROR(INDEX(IF($I1405="FIN",HISTORIAL_HORARIOS!$J$2:$J$201,HISTORIAL_HORARIOS!$F$2:$F$201),MATCH(1,(HISTORIAL_HORARIOS!$A$2:$A$201=$B1405)*(HISTORIAL_HORARIOS!$C$2:$C$201&lt;=$A1405)*(HISTORIAL_HORARIOS!$D$2:$D$201&gt;=$A1405),0)),INDEX(IF($I1405="FIN",PERSONAL!$J$2:$J$80,PERSONAL!$F$2:$F$80),MATCH($B1405,PERSONAL!$A$2:$A$80,0)))))</f>
        <v/>
      </c>
      <c r="N1405" s="53">
        <f t="array" ref="N1405">IFERROR(INDEX(EXCEPCIONES_FECHA!$E$2:$E$201,MATCH(1,(EXCEPCIONES_FECHA!$A$2:$A$201=$A1405)*(EXCEPCIONES_FECHA!$B$2:$B$201=$B1405),0)),IFERROR(INDEX(EXCEPCIONES_FECHA!$E$2:$E$201,MATCH(1,(EXCEPCIONES_FECHA!$A$2:$A$201=$A1405)*(EXCEPCIONES_FECHA!$B$2:$B$201=""),0)),IFERROR(INDEX(IF($I1405="FIN",HISTORIAL_HORARIOS!$K$2:$K$201,HISTORIAL_HORARIOS!$G$2:$G$201),MATCH(1,(HISTORIAL_HORARIOS!$A$2:$A$201=$B1405)*(HISTORIAL_HORARIOS!$C$2:$C$201&lt;=$A1405)*(HISTORIAL_HORARIOS!$D$2:$D$201&gt;=$A1405),0)),INDEX(IF($I1405="FIN",PERSONAL!$K$2:$K$80,PERSONAL!$G$2:$G$80),MATCH($B1405,PERSONAL!$A$2:$A$80,0)))))</f>
        <v/>
      </c>
      <c r="O1405" s="53">
        <f t="array" ref="O1405">IFERROR(INDEX(EXCEPCIONES_FECHA!$F$2:$F$201,MATCH(1,(EXCEPCIONES_FECHA!$A$2:$A$201=$A1405)*(EXCEPCIONES_FECHA!$B$2:$B$201=$B1405),0)),IFERROR(INDEX(EXCEPCIONES_FECHA!$F$2:$F$201,MATCH(1,(EXCEPCIONES_FECHA!$A$2:$A$201=$A1405)*(EXCEPCIONES_FECHA!$B$2:$B$201=""),0)),IFERROR(INDEX(IF($I1405="FIN",HISTORIAL_HORARIOS!$L$2:$L$201,HISTORIAL_HORARIOS!$H$2:$H$201),MATCH(1,(HISTORIAL_HORARIOS!$A$2:$A$201=$B1405)*(HISTORIAL_HORARIOS!$C$2:$C$201&lt;=$A1405)*(HISTORIAL_HORARIOS!$D$2:$D$201&gt;=$A1405),0)),INDEX(IF($I1405="FIN",PERSONAL!$L$2:$L$80,PERSONAL!$H$2:$H$80),MATCH($B1405,PERSONAL!$A$2:$A$80,0)))))</f>
        <v/>
      </c>
    </row>
    <row r="1406" ht="15" customHeight="1" s="58">
      <c r="A1406" s="40" t="n"/>
      <c r="B1406" s="38" t="n"/>
      <c r="C1406" s="40" t="n"/>
      <c r="D1406" s="40" t="n"/>
      <c r="E1406" s="34">
        <f t="array" ref="E1406">IF($B1406="","",IFERROR(INDEX(PERSONAL!$B$2:$B$80,MATCH($B1406,PERSONAL!$A$2:$A$80,0)),"NO EXISTE"))</f>
        <v/>
      </c>
      <c r="F1406" s="34">
        <f t="array" ref="F1406">IF($B1406="","",IFERROR(INDEX(PERSONAL!$C$2:$C$80,MATCH($B1406,PERSONAL!$A$2:$A$80,0)),""))</f>
        <v/>
      </c>
      <c r="G1406" s="34">
        <f>IF($A1406="","",CHOOSE(WEEKDAY($A1406,2),"LUNES","MARTES","MIÉRCOLES","JUEVES","VIERNES","SÁBADO","DOMINGO"))</f>
        <v/>
      </c>
      <c r="H1406" s="34">
        <f>IF($A1406="","",CHOOSE(MONTH($A1406),"ENERO","FEBRERO","MARZO","ABRIL","MAYO","JUNIO","JULIO","AGOSTO","SEPTIEMBRE","OCTUBRE","NOVIEMBRE","DICIEMBRE"))</f>
        <v/>
      </c>
      <c r="I1406" s="34">
        <f>IF($A1406="","",IF(OR($G1406="SÁBADO",$G1406="DOMINGO"),"FIN","LV"))</f>
        <v/>
      </c>
      <c r="J1406" s="34">
        <f>IF(OR($A1406="",$B1406=""),"",IF($L1406&lt;&gt;"",UPPER($L1406),IF($C1406="","FALTA",IFERROR(IF($C1406&gt;=$O1406,"ROJO FUERTE",IF($C1406&gt;=$N1406,"ROJO",IF($C1406&gt;=$M1406,"AMARILLO","VERDE"))),"REVISAR"))))</f>
        <v/>
      </c>
      <c r="K1406" s="36">
        <f>IF(OR($C1406="",$D1406=""),"",IF($D1406&gt;=$C1406,($D1406-$C1406)*24,(1-$C1406+$D1406)*24))</f>
        <v/>
      </c>
      <c r="L1406" s="34" t="n"/>
      <c r="M1406" s="53">
        <f t="array" ref="M1406">IFERROR(INDEX(EXCEPCIONES_FECHA!$D$2:$D$201,MATCH(1,(EXCEPCIONES_FECHA!$A$2:$A$201=$A1406)*(EXCEPCIONES_FECHA!$B$2:$B$201=$B1406),0)),IFERROR(INDEX(EXCEPCIONES_FECHA!$D$2:$D$201,MATCH(1,(EXCEPCIONES_FECHA!$A$2:$A$201=$A1406)*(EXCEPCIONES_FECHA!$B$2:$B$201=""),0)),IFERROR(INDEX(IF($I1406="FIN",HISTORIAL_HORARIOS!$J$2:$J$201,HISTORIAL_HORARIOS!$F$2:$F$201),MATCH(1,(HISTORIAL_HORARIOS!$A$2:$A$201=$B1406)*(HISTORIAL_HORARIOS!$C$2:$C$201&lt;=$A1406)*(HISTORIAL_HORARIOS!$D$2:$D$201&gt;=$A1406),0)),INDEX(IF($I1406="FIN",PERSONAL!$J$2:$J$80,PERSONAL!$F$2:$F$80),MATCH($B1406,PERSONAL!$A$2:$A$80,0)))))</f>
        <v/>
      </c>
      <c r="N1406" s="53">
        <f t="array" ref="N1406">IFERROR(INDEX(EXCEPCIONES_FECHA!$E$2:$E$201,MATCH(1,(EXCEPCIONES_FECHA!$A$2:$A$201=$A1406)*(EXCEPCIONES_FECHA!$B$2:$B$201=$B1406),0)),IFERROR(INDEX(EXCEPCIONES_FECHA!$E$2:$E$201,MATCH(1,(EXCEPCIONES_FECHA!$A$2:$A$201=$A1406)*(EXCEPCIONES_FECHA!$B$2:$B$201=""),0)),IFERROR(INDEX(IF($I1406="FIN",HISTORIAL_HORARIOS!$K$2:$K$201,HISTORIAL_HORARIOS!$G$2:$G$201),MATCH(1,(HISTORIAL_HORARIOS!$A$2:$A$201=$B1406)*(HISTORIAL_HORARIOS!$C$2:$C$201&lt;=$A1406)*(HISTORIAL_HORARIOS!$D$2:$D$201&gt;=$A1406),0)),INDEX(IF($I1406="FIN",PERSONAL!$K$2:$K$80,PERSONAL!$G$2:$G$80),MATCH($B1406,PERSONAL!$A$2:$A$80,0)))))</f>
        <v/>
      </c>
      <c r="O1406" s="53">
        <f t="array" ref="O1406">IFERROR(INDEX(EXCEPCIONES_FECHA!$F$2:$F$201,MATCH(1,(EXCEPCIONES_FECHA!$A$2:$A$201=$A1406)*(EXCEPCIONES_FECHA!$B$2:$B$201=$B1406),0)),IFERROR(INDEX(EXCEPCIONES_FECHA!$F$2:$F$201,MATCH(1,(EXCEPCIONES_FECHA!$A$2:$A$201=$A1406)*(EXCEPCIONES_FECHA!$B$2:$B$201=""),0)),IFERROR(INDEX(IF($I1406="FIN",HISTORIAL_HORARIOS!$L$2:$L$201,HISTORIAL_HORARIOS!$H$2:$H$201),MATCH(1,(HISTORIAL_HORARIOS!$A$2:$A$201=$B1406)*(HISTORIAL_HORARIOS!$C$2:$C$201&lt;=$A1406)*(HISTORIAL_HORARIOS!$D$2:$D$201&gt;=$A1406),0)),INDEX(IF($I1406="FIN",PERSONAL!$L$2:$L$80,PERSONAL!$H$2:$H$80),MATCH($B1406,PERSONAL!$A$2:$A$80,0)))))</f>
        <v/>
      </c>
    </row>
    <row r="1407" ht="15" customHeight="1" s="58">
      <c r="A1407" s="40" t="n"/>
      <c r="B1407" s="38" t="n"/>
      <c r="C1407" s="40" t="n"/>
      <c r="D1407" s="40" t="n"/>
      <c r="E1407" s="34">
        <f t="array" ref="E1407">IF($B1407="","",IFERROR(INDEX(PERSONAL!$B$2:$B$80,MATCH($B1407,PERSONAL!$A$2:$A$80,0)),"NO EXISTE"))</f>
        <v/>
      </c>
      <c r="F1407" s="34">
        <f t="array" ref="F1407">IF($B1407="","",IFERROR(INDEX(PERSONAL!$C$2:$C$80,MATCH($B1407,PERSONAL!$A$2:$A$80,0)),""))</f>
        <v/>
      </c>
      <c r="G1407" s="34">
        <f>IF($A1407="","",CHOOSE(WEEKDAY($A1407,2),"LUNES","MARTES","MIÉRCOLES","JUEVES","VIERNES","SÁBADO","DOMINGO"))</f>
        <v/>
      </c>
      <c r="H1407" s="34">
        <f>IF($A1407="","",CHOOSE(MONTH($A1407),"ENERO","FEBRERO","MARZO","ABRIL","MAYO","JUNIO","JULIO","AGOSTO","SEPTIEMBRE","OCTUBRE","NOVIEMBRE","DICIEMBRE"))</f>
        <v/>
      </c>
      <c r="I1407" s="34">
        <f>IF($A1407="","",IF(OR($G1407="SÁBADO",$G1407="DOMINGO"),"FIN","LV"))</f>
        <v/>
      </c>
      <c r="J1407" s="34">
        <f>IF(OR($A1407="",$B1407=""),"",IF($L1407&lt;&gt;"",UPPER($L1407),IF($C1407="","FALTA",IFERROR(IF($C1407&gt;=$O1407,"ROJO FUERTE",IF($C1407&gt;=$N1407,"ROJO",IF($C1407&gt;=$M1407,"AMARILLO","VERDE"))),"REVISAR"))))</f>
        <v/>
      </c>
      <c r="K1407" s="36">
        <f>IF(OR($C1407="",$D1407=""),"",IF($D1407&gt;=$C1407,($D1407-$C1407)*24,(1-$C1407+$D1407)*24))</f>
        <v/>
      </c>
      <c r="L1407" s="34" t="n"/>
      <c r="M1407" s="53">
        <f t="array" ref="M1407">IFERROR(INDEX(EXCEPCIONES_FECHA!$D$2:$D$201,MATCH(1,(EXCEPCIONES_FECHA!$A$2:$A$201=$A1407)*(EXCEPCIONES_FECHA!$B$2:$B$201=$B1407),0)),IFERROR(INDEX(EXCEPCIONES_FECHA!$D$2:$D$201,MATCH(1,(EXCEPCIONES_FECHA!$A$2:$A$201=$A1407)*(EXCEPCIONES_FECHA!$B$2:$B$201=""),0)),IFERROR(INDEX(IF($I1407="FIN",HISTORIAL_HORARIOS!$J$2:$J$201,HISTORIAL_HORARIOS!$F$2:$F$201),MATCH(1,(HISTORIAL_HORARIOS!$A$2:$A$201=$B1407)*(HISTORIAL_HORARIOS!$C$2:$C$201&lt;=$A1407)*(HISTORIAL_HORARIOS!$D$2:$D$201&gt;=$A1407),0)),INDEX(IF($I1407="FIN",PERSONAL!$J$2:$J$80,PERSONAL!$F$2:$F$80),MATCH($B1407,PERSONAL!$A$2:$A$80,0)))))</f>
        <v/>
      </c>
      <c r="N1407" s="53">
        <f t="array" ref="N1407">IFERROR(INDEX(EXCEPCIONES_FECHA!$E$2:$E$201,MATCH(1,(EXCEPCIONES_FECHA!$A$2:$A$201=$A1407)*(EXCEPCIONES_FECHA!$B$2:$B$201=$B1407),0)),IFERROR(INDEX(EXCEPCIONES_FECHA!$E$2:$E$201,MATCH(1,(EXCEPCIONES_FECHA!$A$2:$A$201=$A1407)*(EXCEPCIONES_FECHA!$B$2:$B$201=""),0)),IFERROR(INDEX(IF($I1407="FIN",HISTORIAL_HORARIOS!$K$2:$K$201,HISTORIAL_HORARIOS!$G$2:$G$201),MATCH(1,(HISTORIAL_HORARIOS!$A$2:$A$201=$B1407)*(HISTORIAL_HORARIOS!$C$2:$C$201&lt;=$A1407)*(HISTORIAL_HORARIOS!$D$2:$D$201&gt;=$A1407),0)),INDEX(IF($I1407="FIN",PERSONAL!$K$2:$K$80,PERSONAL!$G$2:$G$80),MATCH($B1407,PERSONAL!$A$2:$A$80,0)))))</f>
        <v/>
      </c>
      <c r="O1407" s="53">
        <f t="array" ref="O1407">IFERROR(INDEX(EXCEPCIONES_FECHA!$F$2:$F$201,MATCH(1,(EXCEPCIONES_FECHA!$A$2:$A$201=$A1407)*(EXCEPCIONES_FECHA!$B$2:$B$201=$B1407),0)),IFERROR(INDEX(EXCEPCIONES_FECHA!$F$2:$F$201,MATCH(1,(EXCEPCIONES_FECHA!$A$2:$A$201=$A1407)*(EXCEPCIONES_FECHA!$B$2:$B$201=""),0)),IFERROR(INDEX(IF($I1407="FIN",HISTORIAL_HORARIOS!$L$2:$L$201,HISTORIAL_HORARIOS!$H$2:$H$201),MATCH(1,(HISTORIAL_HORARIOS!$A$2:$A$201=$B1407)*(HISTORIAL_HORARIOS!$C$2:$C$201&lt;=$A1407)*(HISTORIAL_HORARIOS!$D$2:$D$201&gt;=$A1407),0)),INDEX(IF($I1407="FIN",PERSONAL!$L$2:$L$80,PERSONAL!$H$2:$H$80),MATCH($B1407,PERSONAL!$A$2:$A$80,0)))))</f>
        <v/>
      </c>
    </row>
    <row r="1408" ht="15" customHeight="1" s="58">
      <c r="A1408" s="40" t="n"/>
      <c r="B1408" s="38" t="n"/>
      <c r="C1408" s="40" t="n"/>
      <c r="D1408" s="40" t="n"/>
      <c r="E1408" s="34">
        <f t="array" ref="E1408">IF($B1408="","",IFERROR(INDEX(PERSONAL!$B$2:$B$80,MATCH($B1408,PERSONAL!$A$2:$A$80,0)),"NO EXISTE"))</f>
        <v/>
      </c>
      <c r="F1408" s="34">
        <f t="array" ref="F1408">IF($B1408="","",IFERROR(INDEX(PERSONAL!$C$2:$C$80,MATCH($B1408,PERSONAL!$A$2:$A$80,0)),""))</f>
        <v/>
      </c>
      <c r="G1408" s="34">
        <f>IF($A1408="","",CHOOSE(WEEKDAY($A1408,2),"LUNES","MARTES","MIÉRCOLES","JUEVES","VIERNES","SÁBADO","DOMINGO"))</f>
        <v/>
      </c>
      <c r="H1408" s="34">
        <f>IF($A1408="","",CHOOSE(MONTH($A1408),"ENERO","FEBRERO","MARZO","ABRIL","MAYO","JUNIO","JULIO","AGOSTO","SEPTIEMBRE","OCTUBRE","NOVIEMBRE","DICIEMBRE"))</f>
        <v/>
      </c>
      <c r="I1408" s="34">
        <f>IF($A1408="","",IF(OR($G1408="SÁBADO",$G1408="DOMINGO"),"FIN","LV"))</f>
        <v/>
      </c>
      <c r="J1408" s="34">
        <f>IF(OR($A1408="",$B1408=""),"",IF($L1408&lt;&gt;"",UPPER($L1408),IF($C1408="","FALTA",IFERROR(IF($C1408&gt;=$O1408,"ROJO FUERTE",IF($C1408&gt;=$N1408,"ROJO",IF($C1408&gt;=$M1408,"AMARILLO","VERDE"))),"REVISAR"))))</f>
        <v/>
      </c>
      <c r="K1408" s="36">
        <f>IF(OR($C1408="",$D1408=""),"",IF($D1408&gt;=$C1408,($D1408-$C1408)*24,(1-$C1408+$D1408)*24))</f>
        <v/>
      </c>
      <c r="L1408" s="34" t="n"/>
      <c r="M1408" s="53">
        <f t="array" ref="M1408">IFERROR(INDEX(EXCEPCIONES_FECHA!$D$2:$D$201,MATCH(1,(EXCEPCIONES_FECHA!$A$2:$A$201=$A1408)*(EXCEPCIONES_FECHA!$B$2:$B$201=$B1408),0)),IFERROR(INDEX(EXCEPCIONES_FECHA!$D$2:$D$201,MATCH(1,(EXCEPCIONES_FECHA!$A$2:$A$201=$A1408)*(EXCEPCIONES_FECHA!$B$2:$B$201=""),0)),IFERROR(INDEX(IF($I1408="FIN",HISTORIAL_HORARIOS!$J$2:$J$201,HISTORIAL_HORARIOS!$F$2:$F$201),MATCH(1,(HISTORIAL_HORARIOS!$A$2:$A$201=$B1408)*(HISTORIAL_HORARIOS!$C$2:$C$201&lt;=$A1408)*(HISTORIAL_HORARIOS!$D$2:$D$201&gt;=$A1408),0)),INDEX(IF($I1408="FIN",PERSONAL!$J$2:$J$80,PERSONAL!$F$2:$F$80),MATCH($B1408,PERSONAL!$A$2:$A$80,0)))))</f>
        <v/>
      </c>
      <c r="N1408" s="53">
        <f t="array" ref="N1408">IFERROR(INDEX(EXCEPCIONES_FECHA!$E$2:$E$201,MATCH(1,(EXCEPCIONES_FECHA!$A$2:$A$201=$A1408)*(EXCEPCIONES_FECHA!$B$2:$B$201=$B1408),0)),IFERROR(INDEX(EXCEPCIONES_FECHA!$E$2:$E$201,MATCH(1,(EXCEPCIONES_FECHA!$A$2:$A$201=$A1408)*(EXCEPCIONES_FECHA!$B$2:$B$201=""),0)),IFERROR(INDEX(IF($I1408="FIN",HISTORIAL_HORARIOS!$K$2:$K$201,HISTORIAL_HORARIOS!$G$2:$G$201),MATCH(1,(HISTORIAL_HORARIOS!$A$2:$A$201=$B1408)*(HISTORIAL_HORARIOS!$C$2:$C$201&lt;=$A1408)*(HISTORIAL_HORARIOS!$D$2:$D$201&gt;=$A1408),0)),INDEX(IF($I1408="FIN",PERSONAL!$K$2:$K$80,PERSONAL!$G$2:$G$80),MATCH($B1408,PERSONAL!$A$2:$A$80,0)))))</f>
        <v/>
      </c>
      <c r="O1408" s="53">
        <f t="array" ref="O1408">IFERROR(INDEX(EXCEPCIONES_FECHA!$F$2:$F$201,MATCH(1,(EXCEPCIONES_FECHA!$A$2:$A$201=$A1408)*(EXCEPCIONES_FECHA!$B$2:$B$201=$B1408),0)),IFERROR(INDEX(EXCEPCIONES_FECHA!$F$2:$F$201,MATCH(1,(EXCEPCIONES_FECHA!$A$2:$A$201=$A1408)*(EXCEPCIONES_FECHA!$B$2:$B$201=""),0)),IFERROR(INDEX(IF($I1408="FIN",HISTORIAL_HORARIOS!$L$2:$L$201,HISTORIAL_HORARIOS!$H$2:$H$201),MATCH(1,(HISTORIAL_HORARIOS!$A$2:$A$201=$B1408)*(HISTORIAL_HORARIOS!$C$2:$C$201&lt;=$A1408)*(HISTORIAL_HORARIOS!$D$2:$D$201&gt;=$A1408),0)),INDEX(IF($I1408="FIN",PERSONAL!$L$2:$L$80,PERSONAL!$H$2:$H$80),MATCH($B1408,PERSONAL!$A$2:$A$80,0)))))</f>
        <v/>
      </c>
    </row>
    <row r="1409" ht="15" customHeight="1" s="58">
      <c r="A1409" s="40" t="n"/>
      <c r="B1409" s="38" t="n"/>
      <c r="C1409" s="40" t="n"/>
      <c r="D1409" s="40" t="n"/>
      <c r="E1409" s="34">
        <f t="array" ref="E1409">IF($B1409="","",IFERROR(INDEX(PERSONAL!$B$2:$B$80,MATCH($B1409,PERSONAL!$A$2:$A$80,0)),"NO EXISTE"))</f>
        <v/>
      </c>
      <c r="F1409" s="34">
        <f t="array" ref="F1409">IF($B1409="","",IFERROR(INDEX(PERSONAL!$C$2:$C$80,MATCH($B1409,PERSONAL!$A$2:$A$80,0)),""))</f>
        <v/>
      </c>
      <c r="G1409" s="34">
        <f>IF($A1409="","",CHOOSE(WEEKDAY($A1409,2),"LUNES","MARTES","MIÉRCOLES","JUEVES","VIERNES","SÁBADO","DOMINGO"))</f>
        <v/>
      </c>
      <c r="H1409" s="34">
        <f>IF($A1409="","",CHOOSE(MONTH($A1409),"ENERO","FEBRERO","MARZO","ABRIL","MAYO","JUNIO","JULIO","AGOSTO","SEPTIEMBRE","OCTUBRE","NOVIEMBRE","DICIEMBRE"))</f>
        <v/>
      </c>
      <c r="I1409" s="34">
        <f>IF($A1409="","",IF(OR($G1409="SÁBADO",$G1409="DOMINGO"),"FIN","LV"))</f>
        <v/>
      </c>
      <c r="J1409" s="34">
        <f>IF(OR($A1409="",$B1409=""),"",IF($L1409&lt;&gt;"",UPPER($L1409),IF($C1409="","FALTA",IFERROR(IF($C1409&gt;=$O1409,"ROJO FUERTE",IF($C1409&gt;=$N1409,"ROJO",IF($C1409&gt;=$M1409,"AMARILLO","VERDE"))),"REVISAR"))))</f>
        <v/>
      </c>
      <c r="K1409" s="36">
        <f>IF(OR($C1409="",$D1409=""),"",IF($D1409&gt;=$C1409,($D1409-$C1409)*24,(1-$C1409+$D1409)*24))</f>
        <v/>
      </c>
      <c r="L1409" s="34" t="n"/>
      <c r="M1409" s="53">
        <f t="array" ref="M1409">IFERROR(INDEX(EXCEPCIONES_FECHA!$D$2:$D$201,MATCH(1,(EXCEPCIONES_FECHA!$A$2:$A$201=$A1409)*(EXCEPCIONES_FECHA!$B$2:$B$201=$B1409),0)),IFERROR(INDEX(EXCEPCIONES_FECHA!$D$2:$D$201,MATCH(1,(EXCEPCIONES_FECHA!$A$2:$A$201=$A1409)*(EXCEPCIONES_FECHA!$B$2:$B$201=""),0)),IFERROR(INDEX(IF($I1409="FIN",HISTORIAL_HORARIOS!$J$2:$J$201,HISTORIAL_HORARIOS!$F$2:$F$201),MATCH(1,(HISTORIAL_HORARIOS!$A$2:$A$201=$B1409)*(HISTORIAL_HORARIOS!$C$2:$C$201&lt;=$A1409)*(HISTORIAL_HORARIOS!$D$2:$D$201&gt;=$A1409),0)),INDEX(IF($I1409="FIN",PERSONAL!$J$2:$J$80,PERSONAL!$F$2:$F$80),MATCH($B1409,PERSONAL!$A$2:$A$80,0)))))</f>
        <v/>
      </c>
      <c r="N1409" s="53">
        <f t="array" ref="N1409">IFERROR(INDEX(EXCEPCIONES_FECHA!$E$2:$E$201,MATCH(1,(EXCEPCIONES_FECHA!$A$2:$A$201=$A1409)*(EXCEPCIONES_FECHA!$B$2:$B$201=$B1409),0)),IFERROR(INDEX(EXCEPCIONES_FECHA!$E$2:$E$201,MATCH(1,(EXCEPCIONES_FECHA!$A$2:$A$201=$A1409)*(EXCEPCIONES_FECHA!$B$2:$B$201=""),0)),IFERROR(INDEX(IF($I1409="FIN",HISTORIAL_HORARIOS!$K$2:$K$201,HISTORIAL_HORARIOS!$G$2:$G$201),MATCH(1,(HISTORIAL_HORARIOS!$A$2:$A$201=$B1409)*(HISTORIAL_HORARIOS!$C$2:$C$201&lt;=$A1409)*(HISTORIAL_HORARIOS!$D$2:$D$201&gt;=$A1409),0)),INDEX(IF($I1409="FIN",PERSONAL!$K$2:$K$80,PERSONAL!$G$2:$G$80),MATCH($B1409,PERSONAL!$A$2:$A$80,0)))))</f>
        <v/>
      </c>
      <c r="O1409" s="53">
        <f t="array" ref="O1409">IFERROR(INDEX(EXCEPCIONES_FECHA!$F$2:$F$201,MATCH(1,(EXCEPCIONES_FECHA!$A$2:$A$201=$A1409)*(EXCEPCIONES_FECHA!$B$2:$B$201=$B1409),0)),IFERROR(INDEX(EXCEPCIONES_FECHA!$F$2:$F$201,MATCH(1,(EXCEPCIONES_FECHA!$A$2:$A$201=$A1409)*(EXCEPCIONES_FECHA!$B$2:$B$201=""),0)),IFERROR(INDEX(IF($I1409="FIN",HISTORIAL_HORARIOS!$L$2:$L$201,HISTORIAL_HORARIOS!$H$2:$H$201),MATCH(1,(HISTORIAL_HORARIOS!$A$2:$A$201=$B1409)*(HISTORIAL_HORARIOS!$C$2:$C$201&lt;=$A1409)*(HISTORIAL_HORARIOS!$D$2:$D$201&gt;=$A1409),0)),INDEX(IF($I1409="FIN",PERSONAL!$L$2:$L$80,PERSONAL!$H$2:$H$80),MATCH($B1409,PERSONAL!$A$2:$A$80,0)))))</f>
        <v/>
      </c>
    </row>
    <row r="1410" ht="15" customHeight="1" s="58">
      <c r="A1410" s="40" t="n"/>
      <c r="B1410" s="38" t="n"/>
      <c r="C1410" s="40" t="n"/>
      <c r="D1410" s="40" t="n"/>
      <c r="E1410" s="34">
        <f t="array" ref="E1410">IF($B1410="","",IFERROR(INDEX(PERSONAL!$B$2:$B$80,MATCH($B1410,PERSONAL!$A$2:$A$80,0)),"NO EXISTE"))</f>
        <v/>
      </c>
      <c r="F1410" s="34">
        <f t="array" ref="F1410">IF($B1410="","",IFERROR(INDEX(PERSONAL!$C$2:$C$80,MATCH($B1410,PERSONAL!$A$2:$A$80,0)),""))</f>
        <v/>
      </c>
      <c r="G1410" s="34">
        <f>IF($A1410="","",CHOOSE(WEEKDAY($A1410,2),"LUNES","MARTES","MIÉRCOLES","JUEVES","VIERNES","SÁBADO","DOMINGO"))</f>
        <v/>
      </c>
      <c r="H1410" s="34">
        <f>IF($A1410="","",CHOOSE(MONTH($A1410),"ENERO","FEBRERO","MARZO","ABRIL","MAYO","JUNIO","JULIO","AGOSTO","SEPTIEMBRE","OCTUBRE","NOVIEMBRE","DICIEMBRE"))</f>
        <v/>
      </c>
      <c r="I1410" s="34">
        <f>IF($A1410="","",IF(OR($G1410="SÁBADO",$G1410="DOMINGO"),"FIN","LV"))</f>
        <v/>
      </c>
      <c r="J1410" s="34">
        <f>IF(OR($A1410="",$B1410=""),"",IF($L1410&lt;&gt;"",UPPER($L1410),IF($C1410="","FALTA",IFERROR(IF($C1410&gt;=$O1410,"ROJO FUERTE",IF($C1410&gt;=$N1410,"ROJO",IF($C1410&gt;=$M1410,"AMARILLO","VERDE"))),"REVISAR"))))</f>
        <v/>
      </c>
      <c r="K1410" s="36">
        <f>IF(OR($C1410="",$D1410=""),"",IF($D1410&gt;=$C1410,($D1410-$C1410)*24,(1-$C1410+$D1410)*24))</f>
        <v/>
      </c>
      <c r="L1410" s="34" t="n"/>
      <c r="M1410" s="53">
        <f t="array" ref="M1410">IFERROR(INDEX(EXCEPCIONES_FECHA!$D$2:$D$201,MATCH(1,(EXCEPCIONES_FECHA!$A$2:$A$201=$A1410)*(EXCEPCIONES_FECHA!$B$2:$B$201=$B1410),0)),IFERROR(INDEX(EXCEPCIONES_FECHA!$D$2:$D$201,MATCH(1,(EXCEPCIONES_FECHA!$A$2:$A$201=$A1410)*(EXCEPCIONES_FECHA!$B$2:$B$201=""),0)),IFERROR(INDEX(IF($I1410="FIN",HISTORIAL_HORARIOS!$J$2:$J$201,HISTORIAL_HORARIOS!$F$2:$F$201),MATCH(1,(HISTORIAL_HORARIOS!$A$2:$A$201=$B1410)*(HISTORIAL_HORARIOS!$C$2:$C$201&lt;=$A1410)*(HISTORIAL_HORARIOS!$D$2:$D$201&gt;=$A1410),0)),INDEX(IF($I1410="FIN",PERSONAL!$J$2:$J$80,PERSONAL!$F$2:$F$80),MATCH($B1410,PERSONAL!$A$2:$A$80,0)))))</f>
        <v/>
      </c>
      <c r="N1410" s="53">
        <f t="array" ref="N1410">IFERROR(INDEX(EXCEPCIONES_FECHA!$E$2:$E$201,MATCH(1,(EXCEPCIONES_FECHA!$A$2:$A$201=$A1410)*(EXCEPCIONES_FECHA!$B$2:$B$201=$B1410),0)),IFERROR(INDEX(EXCEPCIONES_FECHA!$E$2:$E$201,MATCH(1,(EXCEPCIONES_FECHA!$A$2:$A$201=$A1410)*(EXCEPCIONES_FECHA!$B$2:$B$201=""),0)),IFERROR(INDEX(IF($I1410="FIN",HISTORIAL_HORARIOS!$K$2:$K$201,HISTORIAL_HORARIOS!$G$2:$G$201),MATCH(1,(HISTORIAL_HORARIOS!$A$2:$A$201=$B1410)*(HISTORIAL_HORARIOS!$C$2:$C$201&lt;=$A1410)*(HISTORIAL_HORARIOS!$D$2:$D$201&gt;=$A1410),0)),INDEX(IF($I1410="FIN",PERSONAL!$K$2:$K$80,PERSONAL!$G$2:$G$80),MATCH($B1410,PERSONAL!$A$2:$A$80,0)))))</f>
        <v/>
      </c>
      <c r="O1410" s="53">
        <f t="array" ref="O1410">IFERROR(INDEX(EXCEPCIONES_FECHA!$F$2:$F$201,MATCH(1,(EXCEPCIONES_FECHA!$A$2:$A$201=$A1410)*(EXCEPCIONES_FECHA!$B$2:$B$201=$B1410),0)),IFERROR(INDEX(EXCEPCIONES_FECHA!$F$2:$F$201,MATCH(1,(EXCEPCIONES_FECHA!$A$2:$A$201=$A1410)*(EXCEPCIONES_FECHA!$B$2:$B$201=""),0)),IFERROR(INDEX(IF($I1410="FIN",HISTORIAL_HORARIOS!$L$2:$L$201,HISTORIAL_HORARIOS!$H$2:$H$201),MATCH(1,(HISTORIAL_HORARIOS!$A$2:$A$201=$B1410)*(HISTORIAL_HORARIOS!$C$2:$C$201&lt;=$A1410)*(HISTORIAL_HORARIOS!$D$2:$D$201&gt;=$A1410),0)),INDEX(IF($I1410="FIN",PERSONAL!$L$2:$L$80,PERSONAL!$H$2:$H$80),MATCH($B1410,PERSONAL!$A$2:$A$80,0)))))</f>
        <v/>
      </c>
    </row>
    <row r="1411" ht="15" customHeight="1" s="58">
      <c r="A1411" s="40" t="n"/>
      <c r="B1411" s="38" t="n"/>
      <c r="C1411" s="40" t="n"/>
      <c r="D1411" s="40" t="n"/>
      <c r="E1411" s="34">
        <f t="array" ref="E1411">IF($B1411="","",IFERROR(INDEX(PERSONAL!$B$2:$B$80,MATCH($B1411,PERSONAL!$A$2:$A$80,0)),"NO EXISTE"))</f>
        <v/>
      </c>
      <c r="F1411" s="34">
        <f t="array" ref="F1411">IF($B1411="","",IFERROR(INDEX(PERSONAL!$C$2:$C$80,MATCH($B1411,PERSONAL!$A$2:$A$80,0)),""))</f>
        <v/>
      </c>
      <c r="G1411" s="34">
        <f>IF($A1411="","",CHOOSE(WEEKDAY($A1411,2),"LUNES","MARTES","MIÉRCOLES","JUEVES","VIERNES","SÁBADO","DOMINGO"))</f>
        <v/>
      </c>
      <c r="H1411" s="34">
        <f>IF($A1411="","",CHOOSE(MONTH($A1411),"ENERO","FEBRERO","MARZO","ABRIL","MAYO","JUNIO","JULIO","AGOSTO","SEPTIEMBRE","OCTUBRE","NOVIEMBRE","DICIEMBRE"))</f>
        <v/>
      </c>
      <c r="I1411" s="34">
        <f>IF($A1411="","",IF(OR($G1411="SÁBADO",$G1411="DOMINGO"),"FIN","LV"))</f>
        <v/>
      </c>
      <c r="J1411" s="34">
        <f>IF(OR($A1411="",$B1411=""),"",IF($L1411&lt;&gt;"",UPPER($L1411),IF($C1411="","FALTA",IFERROR(IF($C1411&gt;=$O1411,"ROJO FUERTE",IF($C1411&gt;=$N1411,"ROJO",IF($C1411&gt;=$M1411,"AMARILLO","VERDE"))),"REVISAR"))))</f>
        <v/>
      </c>
      <c r="K1411" s="36">
        <f>IF(OR($C1411="",$D1411=""),"",IF($D1411&gt;=$C1411,($D1411-$C1411)*24,(1-$C1411+$D1411)*24))</f>
        <v/>
      </c>
      <c r="L1411" s="34" t="n"/>
      <c r="M1411" s="53">
        <f t="array" ref="M1411">IFERROR(INDEX(EXCEPCIONES_FECHA!$D$2:$D$201,MATCH(1,(EXCEPCIONES_FECHA!$A$2:$A$201=$A1411)*(EXCEPCIONES_FECHA!$B$2:$B$201=$B1411),0)),IFERROR(INDEX(EXCEPCIONES_FECHA!$D$2:$D$201,MATCH(1,(EXCEPCIONES_FECHA!$A$2:$A$201=$A1411)*(EXCEPCIONES_FECHA!$B$2:$B$201=""),0)),IFERROR(INDEX(IF($I1411="FIN",HISTORIAL_HORARIOS!$J$2:$J$201,HISTORIAL_HORARIOS!$F$2:$F$201),MATCH(1,(HISTORIAL_HORARIOS!$A$2:$A$201=$B1411)*(HISTORIAL_HORARIOS!$C$2:$C$201&lt;=$A1411)*(HISTORIAL_HORARIOS!$D$2:$D$201&gt;=$A1411),0)),INDEX(IF($I1411="FIN",PERSONAL!$J$2:$J$80,PERSONAL!$F$2:$F$80),MATCH($B1411,PERSONAL!$A$2:$A$80,0)))))</f>
        <v/>
      </c>
      <c r="N1411" s="53">
        <f t="array" ref="N1411">IFERROR(INDEX(EXCEPCIONES_FECHA!$E$2:$E$201,MATCH(1,(EXCEPCIONES_FECHA!$A$2:$A$201=$A1411)*(EXCEPCIONES_FECHA!$B$2:$B$201=$B1411),0)),IFERROR(INDEX(EXCEPCIONES_FECHA!$E$2:$E$201,MATCH(1,(EXCEPCIONES_FECHA!$A$2:$A$201=$A1411)*(EXCEPCIONES_FECHA!$B$2:$B$201=""),0)),IFERROR(INDEX(IF($I1411="FIN",HISTORIAL_HORARIOS!$K$2:$K$201,HISTORIAL_HORARIOS!$G$2:$G$201),MATCH(1,(HISTORIAL_HORARIOS!$A$2:$A$201=$B1411)*(HISTORIAL_HORARIOS!$C$2:$C$201&lt;=$A1411)*(HISTORIAL_HORARIOS!$D$2:$D$201&gt;=$A1411),0)),INDEX(IF($I1411="FIN",PERSONAL!$K$2:$K$80,PERSONAL!$G$2:$G$80),MATCH($B1411,PERSONAL!$A$2:$A$80,0)))))</f>
        <v/>
      </c>
      <c r="O1411" s="53">
        <f t="array" ref="O1411">IFERROR(INDEX(EXCEPCIONES_FECHA!$F$2:$F$201,MATCH(1,(EXCEPCIONES_FECHA!$A$2:$A$201=$A1411)*(EXCEPCIONES_FECHA!$B$2:$B$201=$B1411),0)),IFERROR(INDEX(EXCEPCIONES_FECHA!$F$2:$F$201,MATCH(1,(EXCEPCIONES_FECHA!$A$2:$A$201=$A1411)*(EXCEPCIONES_FECHA!$B$2:$B$201=""),0)),IFERROR(INDEX(IF($I1411="FIN",HISTORIAL_HORARIOS!$L$2:$L$201,HISTORIAL_HORARIOS!$H$2:$H$201),MATCH(1,(HISTORIAL_HORARIOS!$A$2:$A$201=$B1411)*(HISTORIAL_HORARIOS!$C$2:$C$201&lt;=$A1411)*(HISTORIAL_HORARIOS!$D$2:$D$201&gt;=$A1411),0)),INDEX(IF($I1411="FIN",PERSONAL!$L$2:$L$80,PERSONAL!$H$2:$H$80),MATCH($B1411,PERSONAL!$A$2:$A$80,0)))))</f>
        <v/>
      </c>
    </row>
    <row r="1412" ht="15" customHeight="1" s="58">
      <c r="A1412" s="40" t="n"/>
      <c r="B1412" s="38" t="n"/>
      <c r="C1412" s="40" t="n"/>
      <c r="D1412" s="40" t="n"/>
      <c r="E1412" s="34">
        <f t="array" ref="E1412">IF($B1412="","",IFERROR(INDEX(PERSONAL!$B$2:$B$80,MATCH($B1412,PERSONAL!$A$2:$A$80,0)),"NO EXISTE"))</f>
        <v/>
      </c>
      <c r="F1412" s="34">
        <f t="array" ref="F1412">IF($B1412="","",IFERROR(INDEX(PERSONAL!$C$2:$C$80,MATCH($B1412,PERSONAL!$A$2:$A$80,0)),""))</f>
        <v/>
      </c>
      <c r="G1412" s="34">
        <f>IF($A1412="","",CHOOSE(WEEKDAY($A1412,2),"LUNES","MARTES","MIÉRCOLES","JUEVES","VIERNES","SÁBADO","DOMINGO"))</f>
        <v/>
      </c>
      <c r="H1412" s="34">
        <f>IF($A1412="","",CHOOSE(MONTH($A1412),"ENERO","FEBRERO","MARZO","ABRIL","MAYO","JUNIO","JULIO","AGOSTO","SEPTIEMBRE","OCTUBRE","NOVIEMBRE","DICIEMBRE"))</f>
        <v/>
      </c>
      <c r="I1412" s="34">
        <f>IF($A1412="","",IF(OR($G1412="SÁBADO",$G1412="DOMINGO"),"FIN","LV"))</f>
        <v/>
      </c>
      <c r="J1412" s="34">
        <f>IF(OR($A1412="",$B1412=""),"",IF($L1412&lt;&gt;"",UPPER($L1412),IF($C1412="","FALTA",IFERROR(IF($C1412&gt;=$O1412,"ROJO FUERTE",IF($C1412&gt;=$N1412,"ROJO",IF($C1412&gt;=$M1412,"AMARILLO","VERDE"))),"REVISAR"))))</f>
        <v/>
      </c>
      <c r="K1412" s="36">
        <f>IF(OR($C1412="",$D1412=""),"",IF($D1412&gt;=$C1412,($D1412-$C1412)*24,(1-$C1412+$D1412)*24))</f>
        <v/>
      </c>
      <c r="L1412" s="34" t="n"/>
      <c r="M1412" s="53">
        <f t="array" ref="M1412">IFERROR(INDEX(EXCEPCIONES_FECHA!$D$2:$D$201,MATCH(1,(EXCEPCIONES_FECHA!$A$2:$A$201=$A1412)*(EXCEPCIONES_FECHA!$B$2:$B$201=$B1412),0)),IFERROR(INDEX(EXCEPCIONES_FECHA!$D$2:$D$201,MATCH(1,(EXCEPCIONES_FECHA!$A$2:$A$201=$A1412)*(EXCEPCIONES_FECHA!$B$2:$B$201=""),0)),IFERROR(INDEX(IF($I1412="FIN",HISTORIAL_HORARIOS!$J$2:$J$201,HISTORIAL_HORARIOS!$F$2:$F$201),MATCH(1,(HISTORIAL_HORARIOS!$A$2:$A$201=$B1412)*(HISTORIAL_HORARIOS!$C$2:$C$201&lt;=$A1412)*(HISTORIAL_HORARIOS!$D$2:$D$201&gt;=$A1412),0)),INDEX(IF($I1412="FIN",PERSONAL!$J$2:$J$80,PERSONAL!$F$2:$F$80),MATCH($B1412,PERSONAL!$A$2:$A$80,0)))))</f>
        <v/>
      </c>
      <c r="N1412" s="53">
        <f t="array" ref="N1412">IFERROR(INDEX(EXCEPCIONES_FECHA!$E$2:$E$201,MATCH(1,(EXCEPCIONES_FECHA!$A$2:$A$201=$A1412)*(EXCEPCIONES_FECHA!$B$2:$B$201=$B1412),0)),IFERROR(INDEX(EXCEPCIONES_FECHA!$E$2:$E$201,MATCH(1,(EXCEPCIONES_FECHA!$A$2:$A$201=$A1412)*(EXCEPCIONES_FECHA!$B$2:$B$201=""),0)),IFERROR(INDEX(IF($I1412="FIN",HISTORIAL_HORARIOS!$K$2:$K$201,HISTORIAL_HORARIOS!$G$2:$G$201),MATCH(1,(HISTORIAL_HORARIOS!$A$2:$A$201=$B1412)*(HISTORIAL_HORARIOS!$C$2:$C$201&lt;=$A1412)*(HISTORIAL_HORARIOS!$D$2:$D$201&gt;=$A1412),0)),INDEX(IF($I1412="FIN",PERSONAL!$K$2:$K$80,PERSONAL!$G$2:$G$80),MATCH($B1412,PERSONAL!$A$2:$A$80,0)))))</f>
        <v/>
      </c>
      <c r="O1412" s="53">
        <f t="array" ref="O1412">IFERROR(INDEX(EXCEPCIONES_FECHA!$F$2:$F$201,MATCH(1,(EXCEPCIONES_FECHA!$A$2:$A$201=$A1412)*(EXCEPCIONES_FECHA!$B$2:$B$201=$B1412),0)),IFERROR(INDEX(EXCEPCIONES_FECHA!$F$2:$F$201,MATCH(1,(EXCEPCIONES_FECHA!$A$2:$A$201=$A1412)*(EXCEPCIONES_FECHA!$B$2:$B$201=""),0)),IFERROR(INDEX(IF($I1412="FIN",HISTORIAL_HORARIOS!$L$2:$L$201,HISTORIAL_HORARIOS!$H$2:$H$201),MATCH(1,(HISTORIAL_HORARIOS!$A$2:$A$201=$B1412)*(HISTORIAL_HORARIOS!$C$2:$C$201&lt;=$A1412)*(HISTORIAL_HORARIOS!$D$2:$D$201&gt;=$A1412),0)),INDEX(IF($I1412="FIN",PERSONAL!$L$2:$L$80,PERSONAL!$H$2:$H$80),MATCH($B1412,PERSONAL!$A$2:$A$80,0)))))</f>
        <v/>
      </c>
    </row>
    <row r="1413" ht="15" customHeight="1" s="58">
      <c r="A1413" s="40" t="n"/>
      <c r="B1413" s="38" t="n"/>
      <c r="C1413" s="40" t="n"/>
      <c r="D1413" s="40" t="n"/>
      <c r="E1413" s="34">
        <f t="array" ref="E1413">IF($B1413="","",IFERROR(INDEX(PERSONAL!$B$2:$B$80,MATCH($B1413,PERSONAL!$A$2:$A$80,0)),"NO EXISTE"))</f>
        <v/>
      </c>
      <c r="F1413" s="34">
        <f t="array" ref="F1413">IF($B1413="","",IFERROR(INDEX(PERSONAL!$C$2:$C$80,MATCH($B1413,PERSONAL!$A$2:$A$80,0)),""))</f>
        <v/>
      </c>
      <c r="G1413" s="34">
        <f>IF($A1413="","",CHOOSE(WEEKDAY($A1413,2),"LUNES","MARTES","MIÉRCOLES","JUEVES","VIERNES","SÁBADO","DOMINGO"))</f>
        <v/>
      </c>
      <c r="H1413" s="34">
        <f>IF($A1413="","",CHOOSE(MONTH($A1413),"ENERO","FEBRERO","MARZO","ABRIL","MAYO","JUNIO","JULIO","AGOSTO","SEPTIEMBRE","OCTUBRE","NOVIEMBRE","DICIEMBRE"))</f>
        <v/>
      </c>
      <c r="I1413" s="34">
        <f>IF($A1413="","",IF(OR($G1413="SÁBADO",$G1413="DOMINGO"),"FIN","LV"))</f>
        <v/>
      </c>
      <c r="J1413" s="34">
        <f>IF(OR($A1413="",$B1413=""),"",IF($L1413&lt;&gt;"",UPPER($L1413),IF($C1413="","FALTA",IFERROR(IF($C1413&gt;=$O1413,"ROJO FUERTE",IF($C1413&gt;=$N1413,"ROJO",IF($C1413&gt;=$M1413,"AMARILLO","VERDE"))),"REVISAR"))))</f>
        <v/>
      </c>
      <c r="K1413" s="36">
        <f>IF(OR($C1413="",$D1413=""),"",IF($D1413&gt;=$C1413,($D1413-$C1413)*24,(1-$C1413+$D1413)*24))</f>
        <v/>
      </c>
      <c r="L1413" s="34" t="n"/>
      <c r="M1413" s="53">
        <f t="array" ref="M1413">IFERROR(INDEX(EXCEPCIONES_FECHA!$D$2:$D$201,MATCH(1,(EXCEPCIONES_FECHA!$A$2:$A$201=$A1413)*(EXCEPCIONES_FECHA!$B$2:$B$201=$B1413),0)),IFERROR(INDEX(EXCEPCIONES_FECHA!$D$2:$D$201,MATCH(1,(EXCEPCIONES_FECHA!$A$2:$A$201=$A1413)*(EXCEPCIONES_FECHA!$B$2:$B$201=""),0)),IFERROR(INDEX(IF($I1413="FIN",HISTORIAL_HORARIOS!$J$2:$J$201,HISTORIAL_HORARIOS!$F$2:$F$201),MATCH(1,(HISTORIAL_HORARIOS!$A$2:$A$201=$B1413)*(HISTORIAL_HORARIOS!$C$2:$C$201&lt;=$A1413)*(HISTORIAL_HORARIOS!$D$2:$D$201&gt;=$A1413),0)),INDEX(IF($I1413="FIN",PERSONAL!$J$2:$J$80,PERSONAL!$F$2:$F$80),MATCH($B1413,PERSONAL!$A$2:$A$80,0)))))</f>
        <v/>
      </c>
      <c r="N1413" s="53">
        <f t="array" ref="N1413">IFERROR(INDEX(EXCEPCIONES_FECHA!$E$2:$E$201,MATCH(1,(EXCEPCIONES_FECHA!$A$2:$A$201=$A1413)*(EXCEPCIONES_FECHA!$B$2:$B$201=$B1413),0)),IFERROR(INDEX(EXCEPCIONES_FECHA!$E$2:$E$201,MATCH(1,(EXCEPCIONES_FECHA!$A$2:$A$201=$A1413)*(EXCEPCIONES_FECHA!$B$2:$B$201=""),0)),IFERROR(INDEX(IF($I1413="FIN",HISTORIAL_HORARIOS!$K$2:$K$201,HISTORIAL_HORARIOS!$G$2:$G$201),MATCH(1,(HISTORIAL_HORARIOS!$A$2:$A$201=$B1413)*(HISTORIAL_HORARIOS!$C$2:$C$201&lt;=$A1413)*(HISTORIAL_HORARIOS!$D$2:$D$201&gt;=$A1413),0)),INDEX(IF($I1413="FIN",PERSONAL!$K$2:$K$80,PERSONAL!$G$2:$G$80),MATCH($B1413,PERSONAL!$A$2:$A$80,0)))))</f>
        <v/>
      </c>
      <c r="O1413" s="53">
        <f t="array" ref="O1413">IFERROR(INDEX(EXCEPCIONES_FECHA!$F$2:$F$201,MATCH(1,(EXCEPCIONES_FECHA!$A$2:$A$201=$A1413)*(EXCEPCIONES_FECHA!$B$2:$B$201=$B1413),0)),IFERROR(INDEX(EXCEPCIONES_FECHA!$F$2:$F$201,MATCH(1,(EXCEPCIONES_FECHA!$A$2:$A$201=$A1413)*(EXCEPCIONES_FECHA!$B$2:$B$201=""),0)),IFERROR(INDEX(IF($I1413="FIN",HISTORIAL_HORARIOS!$L$2:$L$201,HISTORIAL_HORARIOS!$H$2:$H$201),MATCH(1,(HISTORIAL_HORARIOS!$A$2:$A$201=$B1413)*(HISTORIAL_HORARIOS!$C$2:$C$201&lt;=$A1413)*(HISTORIAL_HORARIOS!$D$2:$D$201&gt;=$A1413),0)),INDEX(IF($I1413="FIN",PERSONAL!$L$2:$L$80,PERSONAL!$H$2:$H$80),MATCH($B1413,PERSONAL!$A$2:$A$80,0)))))</f>
        <v/>
      </c>
    </row>
    <row r="1414" ht="15" customHeight="1" s="58">
      <c r="A1414" s="40" t="n"/>
      <c r="B1414" s="38" t="n"/>
      <c r="C1414" s="40" t="n"/>
      <c r="D1414" s="40" t="n"/>
      <c r="E1414" s="34">
        <f t="array" ref="E1414">IF($B1414="","",IFERROR(INDEX(PERSONAL!$B$2:$B$80,MATCH($B1414,PERSONAL!$A$2:$A$80,0)),"NO EXISTE"))</f>
        <v/>
      </c>
      <c r="F1414" s="34">
        <f t="array" ref="F1414">IF($B1414="","",IFERROR(INDEX(PERSONAL!$C$2:$C$80,MATCH($B1414,PERSONAL!$A$2:$A$80,0)),""))</f>
        <v/>
      </c>
      <c r="G1414" s="34">
        <f>IF($A1414="","",CHOOSE(WEEKDAY($A1414,2),"LUNES","MARTES","MIÉRCOLES","JUEVES","VIERNES","SÁBADO","DOMINGO"))</f>
        <v/>
      </c>
      <c r="H1414" s="34">
        <f>IF($A1414="","",CHOOSE(MONTH($A1414),"ENERO","FEBRERO","MARZO","ABRIL","MAYO","JUNIO","JULIO","AGOSTO","SEPTIEMBRE","OCTUBRE","NOVIEMBRE","DICIEMBRE"))</f>
        <v/>
      </c>
      <c r="I1414" s="34">
        <f>IF($A1414="","",IF(OR($G1414="SÁBADO",$G1414="DOMINGO"),"FIN","LV"))</f>
        <v/>
      </c>
      <c r="J1414" s="34">
        <f>IF(OR($A1414="",$B1414=""),"",IF($L1414&lt;&gt;"",UPPER($L1414),IF($C1414="","FALTA",IFERROR(IF($C1414&gt;=$O1414,"ROJO FUERTE",IF($C1414&gt;=$N1414,"ROJO",IF($C1414&gt;=$M1414,"AMARILLO","VERDE"))),"REVISAR"))))</f>
        <v/>
      </c>
      <c r="K1414" s="36">
        <f>IF(OR($C1414="",$D1414=""),"",IF($D1414&gt;=$C1414,($D1414-$C1414)*24,(1-$C1414+$D1414)*24))</f>
        <v/>
      </c>
      <c r="L1414" s="34" t="n"/>
      <c r="M1414" s="53">
        <f t="array" ref="M1414">IFERROR(INDEX(EXCEPCIONES_FECHA!$D$2:$D$201,MATCH(1,(EXCEPCIONES_FECHA!$A$2:$A$201=$A1414)*(EXCEPCIONES_FECHA!$B$2:$B$201=$B1414),0)),IFERROR(INDEX(EXCEPCIONES_FECHA!$D$2:$D$201,MATCH(1,(EXCEPCIONES_FECHA!$A$2:$A$201=$A1414)*(EXCEPCIONES_FECHA!$B$2:$B$201=""),0)),IFERROR(INDEX(IF($I1414="FIN",HISTORIAL_HORARIOS!$J$2:$J$201,HISTORIAL_HORARIOS!$F$2:$F$201),MATCH(1,(HISTORIAL_HORARIOS!$A$2:$A$201=$B1414)*(HISTORIAL_HORARIOS!$C$2:$C$201&lt;=$A1414)*(HISTORIAL_HORARIOS!$D$2:$D$201&gt;=$A1414),0)),INDEX(IF($I1414="FIN",PERSONAL!$J$2:$J$80,PERSONAL!$F$2:$F$80),MATCH($B1414,PERSONAL!$A$2:$A$80,0)))))</f>
        <v/>
      </c>
      <c r="N1414" s="53">
        <f t="array" ref="N1414">IFERROR(INDEX(EXCEPCIONES_FECHA!$E$2:$E$201,MATCH(1,(EXCEPCIONES_FECHA!$A$2:$A$201=$A1414)*(EXCEPCIONES_FECHA!$B$2:$B$201=$B1414),0)),IFERROR(INDEX(EXCEPCIONES_FECHA!$E$2:$E$201,MATCH(1,(EXCEPCIONES_FECHA!$A$2:$A$201=$A1414)*(EXCEPCIONES_FECHA!$B$2:$B$201=""),0)),IFERROR(INDEX(IF($I1414="FIN",HISTORIAL_HORARIOS!$K$2:$K$201,HISTORIAL_HORARIOS!$G$2:$G$201),MATCH(1,(HISTORIAL_HORARIOS!$A$2:$A$201=$B1414)*(HISTORIAL_HORARIOS!$C$2:$C$201&lt;=$A1414)*(HISTORIAL_HORARIOS!$D$2:$D$201&gt;=$A1414),0)),INDEX(IF($I1414="FIN",PERSONAL!$K$2:$K$80,PERSONAL!$G$2:$G$80),MATCH($B1414,PERSONAL!$A$2:$A$80,0)))))</f>
        <v/>
      </c>
      <c r="O1414" s="53">
        <f t="array" ref="O1414">IFERROR(INDEX(EXCEPCIONES_FECHA!$F$2:$F$201,MATCH(1,(EXCEPCIONES_FECHA!$A$2:$A$201=$A1414)*(EXCEPCIONES_FECHA!$B$2:$B$201=$B1414),0)),IFERROR(INDEX(EXCEPCIONES_FECHA!$F$2:$F$201,MATCH(1,(EXCEPCIONES_FECHA!$A$2:$A$201=$A1414)*(EXCEPCIONES_FECHA!$B$2:$B$201=""),0)),IFERROR(INDEX(IF($I1414="FIN",HISTORIAL_HORARIOS!$L$2:$L$201,HISTORIAL_HORARIOS!$H$2:$H$201),MATCH(1,(HISTORIAL_HORARIOS!$A$2:$A$201=$B1414)*(HISTORIAL_HORARIOS!$C$2:$C$201&lt;=$A1414)*(HISTORIAL_HORARIOS!$D$2:$D$201&gt;=$A1414),0)),INDEX(IF($I1414="FIN",PERSONAL!$L$2:$L$80,PERSONAL!$H$2:$H$80),MATCH($B1414,PERSONAL!$A$2:$A$80,0)))))</f>
        <v/>
      </c>
    </row>
    <row r="1415" ht="15" customHeight="1" s="58">
      <c r="A1415" s="40" t="n"/>
      <c r="B1415" s="38" t="n"/>
      <c r="C1415" s="40" t="n"/>
      <c r="D1415" s="40" t="n"/>
      <c r="E1415" s="34">
        <f t="array" ref="E1415">IF($B1415="","",IFERROR(INDEX(PERSONAL!$B$2:$B$80,MATCH($B1415,PERSONAL!$A$2:$A$80,0)),"NO EXISTE"))</f>
        <v/>
      </c>
      <c r="F1415" s="34">
        <f t="array" ref="F1415">IF($B1415="","",IFERROR(INDEX(PERSONAL!$C$2:$C$80,MATCH($B1415,PERSONAL!$A$2:$A$80,0)),""))</f>
        <v/>
      </c>
      <c r="G1415" s="34">
        <f>IF($A1415="","",CHOOSE(WEEKDAY($A1415,2),"LUNES","MARTES","MIÉRCOLES","JUEVES","VIERNES","SÁBADO","DOMINGO"))</f>
        <v/>
      </c>
      <c r="H1415" s="34">
        <f>IF($A1415="","",CHOOSE(MONTH($A1415),"ENERO","FEBRERO","MARZO","ABRIL","MAYO","JUNIO","JULIO","AGOSTO","SEPTIEMBRE","OCTUBRE","NOVIEMBRE","DICIEMBRE"))</f>
        <v/>
      </c>
      <c r="I1415" s="34">
        <f>IF($A1415="","",IF(OR($G1415="SÁBADO",$G1415="DOMINGO"),"FIN","LV"))</f>
        <v/>
      </c>
      <c r="J1415" s="34">
        <f>IF(OR($A1415="",$B1415=""),"",IF($L1415&lt;&gt;"",UPPER($L1415),IF($C1415="","FALTA",IFERROR(IF($C1415&gt;=$O1415,"ROJO FUERTE",IF($C1415&gt;=$N1415,"ROJO",IF($C1415&gt;=$M1415,"AMARILLO","VERDE"))),"REVISAR"))))</f>
        <v/>
      </c>
      <c r="K1415" s="36">
        <f>IF(OR($C1415="",$D1415=""),"",IF($D1415&gt;=$C1415,($D1415-$C1415)*24,(1-$C1415+$D1415)*24))</f>
        <v/>
      </c>
      <c r="L1415" s="34" t="n"/>
      <c r="M1415" s="53">
        <f t="array" ref="M1415">IFERROR(INDEX(EXCEPCIONES_FECHA!$D$2:$D$201,MATCH(1,(EXCEPCIONES_FECHA!$A$2:$A$201=$A1415)*(EXCEPCIONES_FECHA!$B$2:$B$201=$B1415),0)),IFERROR(INDEX(EXCEPCIONES_FECHA!$D$2:$D$201,MATCH(1,(EXCEPCIONES_FECHA!$A$2:$A$201=$A1415)*(EXCEPCIONES_FECHA!$B$2:$B$201=""),0)),IFERROR(INDEX(IF($I1415="FIN",HISTORIAL_HORARIOS!$J$2:$J$201,HISTORIAL_HORARIOS!$F$2:$F$201),MATCH(1,(HISTORIAL_HORARIOS!$A$2:$A$201=$B1415)*(HISTORIAL_HORARIOS!$C$2:$C$201&lt;=$A1415)*(HISTORIAL_HORARIOS!$D$2:$D$201&gt;=$A1415),0)),INDEX(IF($I1415="FIN",PERSONAL!$J$2:$J$80,PERSONAL!$F$2:$F$80),MATCH($B1415,PERSONAL!$A$2:$A$80,0)))))</f>
        <v/>
      </c>
      <c r="N1415" s="53">
        <f t="array" ref="N1415">IFERROR(INDEX(EXCEPCIONES_FECHA!$E$2:$E$201,MATCH(1,(EXCEPCIONES_FECHA!$A$2:$A$201=$A1415)*(EXCEPCIONES_FECHA!$B$2:$B$201=$B1415),0)),IFERROR(INDEX(EXCEPCIONES_FECHA!$E$2:$E$201,MATCH(1,(EXCEPCIONES_FECHA!$A$2:$A$201=$A1415)*(EXCEPCIONES_FECHA!$B$2:$B$201=""),0)),IFERROR(INDEX(IF($I1415="FIN",HISTORIAL_HORARIOS!$K$2:$K$201,HISTORIAL_HORARIOS!$G$2:$G$201),MATCH(1,(HISTORIAL_HORARIOS!$A$2:$A$201=$B1415)*(HISTORIAL_HORARIOS!$C$2:$C$201&lt;=$A1415)*(HISTORIAL_HORARIOS!$D$2:$D$201&gt;=$A1415),0)),INDEX(IF($I1415="FIN",PERSONAL!$K$2:$K$80,PERSONAL!$G$2:$G$80),MATCH($B1415,PERSONAL!$A$2:$A$80,0)))))</f>
        <v/>
      </c>
      <c r="O1415" s="53">
        <f t="array" ref="O1415">IFERROR(INDEX(EXCEPCIONES_FECHA!$F$2:$F$201,MATCH(1,(EXCEPCIONES_FECHA!$A$2:$A$201=$A1415)*(EXCEPCIONES_FECHA!$B$2:$B$201=$B1415),0)),IFERROR(INDEX(EXCEPCIONES_FECHA!$F$2:$F$201,MATCH(1,(EXCEPCIONES_FECHA!$A$2:$A$201=$A1415)*(EXCEPCIONES_FECHA!$B$2:$B$201=""),0)),IFERROR(INDEX(IF($I1415="FIN",HISTORIAL_HORARIOS!$L$2:$L$201,HISTORIAL_HORARIOS!$H$2:$H$201),MATCH(1,(HISTORIAL_HORARIOS!$A$2:$A$201=$B1415)*(HISTORIAL_HORARIOS!$C$2:$C$201&lt;=$A1415)*(HISTORIAL_HORARIOS!$D$2:$D$201&gt;=$A1415),0)),INDEX(IF($I1415="FIN",PERSONAL!$L$2:$L$80,PERSONAL!$H$2:$H$80),MATCH($B1415,PERSONAL!$A$2:$A$80,0)))))</f>
        <v/>
      </c>
    </row>
    <row r="1416" ht="15" customHeight="1" s="58">
      <c r="A1416" s="40" t="n"/>
      <c r="B1416" s="38" t="n"/>
      <c r="C1416" s="40" t="n"/>
      <c r="D1416" s="40" t="n"/>
      <c r="E1416" s="34">
        <f t="array" ref="E1416">IF($B1416="","",IFERROR(INDEX(PERSONAL!$B$2:$B$80,MATCH($B1416,PERSONAL!$A$2:$A$80,0)),"NO EXISTE"))</f>
        <v/>
      </c>
      <c r="F1416" s="34">
        <f t="array" ref="F1416">IF($B1416="","",IFERROR(INDEX(PERSONAL!$C$2:$C$80,MATCH($B1416,PERSONAL!$A$2:$A$80,0)),""))</f>
        <v/>
      </c>
      <c r="G1416" s="34">
        <f>IF($A1416="","",CHOOSE(WEEKDAY($A1416,2),"LUNES","MARTES","MIÉRCOLES","JUEVES","VIERNES","SÁBADO","DOMINGO"))</f>
        <v/>
      </c>
      <c r="H1416" s="34">
        <f>IF($A1416="","",CHOOSE(MONTH($A1416),"ENERO","FEBRERO","MARZO","ABRIL","MAYO","JUNIO","JULIO","AGOSTO","SEPTIEMBRE","OCTUBRE","NOVIEMBRE","DICIEMBRE"))</f>
        <v/>
      </c>
      <c r="I1416" s="34">
        <f>IF($A1416="","",IF(OR($G1416="SÁBADO",$G1416="DOMINGO"),"FIN","LV"))</f>
        <v/>
      </c>
      <c r="J1416" s="34">
        <f>IF(OR($A1416="",$B1416=""),"",IF($L1416&lt;&gt;"",UPPER($L1416),IF($C1416="","FALTA",IFERROR(IF($C1416&gt;=$O1416,"ROJO FUERTE",IF($C1416&gt;=$N1416,"ROJO",IF($C1416&gt;=$M1416,"AMARILLO","VERDE"))),"REVISAR"))))</f>
        <v/>
      </c>
      <c r="K1416" s="36">
        <f>IF(OR($C1416="",$D1416=""),"",IF($D1416&gt;=$C1416,($D1416-$C1416)*24,(1-$C1416+$D1416)*24))</f>
        <v/>
      </c>
      <c r="L1416" s="34" t="n"/>
      <c r="M1416" s="53">
        <f t="array" ref="M1416">IFERROR(INDEX(EXCEPCIONES_FECHA!$D$2:$D$201,MATCH(1,(EXCEPCIONES_FECHA!$A$2:$A$201=$A1416)*(EXCEPCIONES_FECHA!$B$2:$B$201=$B1416),0)),IFERROR(INDEX(EXCEPCIONES_FECHA!$D$2:$D$201,MATCH(1,(EXCEPCIONES_FECHA!$A$2:$A$201=$A1416)*(EXCEPCIONES_FECHA!$B$2:$B$201=""),0)),IFERROR(INDEX(IF($I1416="FIN",HISTORIAL_HORARIOS!$J$2:$J$201,HISTORIAL_HORARIOS!$F$2:$F$201),MATCH(1,(HISTORIAL_HORARIOS!$A$2:$A$201=$B1416)*(HISTORIAL_HORARIOS!$C$2:$C$201&lt;=$A1416)*(HISTORIAL_HORARIOS!$D$2:$D$201&gt;=$A1416),0)),INDEX(IF($I1416="FIN",PERSONAL!$J$2:$J$80,PERSONAL!$F$2:$F$80),MATCH($B1416,PERSONAL!$A$2:$A$80,0)))))</f>
        <v/>
      </c>
      <c r="N1416" s="53">
        <f t="array" ref="N1416">IFERROR(INDEX(EXCEPCIONES_FECHA!$E$2:$E$201,MATCH(1,(EXCEPCIONES_FECHA!$A$2:$A$201=$A1416)*(EXCEPCIONES_FECHA!$B$2:$B$201=$B1416),0)),IFERROR(INDEX(EXCEPCIONES_FECHA!$E$2:$E$201,MATCH(1,(EXCEPCIONES_FECHA!$A$2:$A$201=$A1416)*(EXCEPCIONES_FECHA!$B$2:$B$201=""),0)),IFERROR(INDEX(IF($I1416="FIN",HISTORIAL_HORARIOS!$K$2:$K$201,HISTORIAL_HORARIOS!$G$2:$G$201),MATCH(1,(HISTORIAL_HORARIOS!$A$2:$A$201=$B1416)*(HISTORIAL_HORARIOS!$C$2:$C$201&lt;=$A1416)*(HISTORIAL_HORARIOS!$D$2:$D$201&gt;=$A1416),0)),INDEX(IF($I1416="FIN",PERSONAL!$K$2:$K$80,PERSONAL!$G$2:$G$80),MATCH($B1416,PERSONAL!$A$2:$A$80,0)))))</f>
        <v/>
      </c>
      <c r="O1416" s="53">
        <f t="array" ref="O1416">IFERROR(INDEX(EXCEPCIONES_FECHA!$F$2:$F$201,MATCH(1,(EXCEPCIONES_FECHA!$A$2:$A$201=$A1416)*(EXCEPCIONES_FECHA!$B$2:$B$201=$B1416),0)),IFERROR(INDEX(EXCEPCIONES_FECHA!$F$2:$F$201,MATCH(1,(EXCEPCIONES_FECHA!$A$2:$A$201=$A1416)*(EXCEPCIONES_FECHA!$B$2:$B$201=""),0)),IFERROR(INDEX(IF($I1416="FIN",HISTORIAL_HORARIOS!$L$2:$L$201,HISTORIAL_HORARIOS!$H$2:$H$201),MATCH(1,(HISTORIAL_HORARIOS!$A$2:$A$201=$B1416)*(HISTORIAL_HORARIOS!$C$2:$C$201&lt;=$A1416)*(HISTORIAL_HORARIOS!$D$2:$D$201&gt;=$A1416),0)),INDEX(IF($I1416="FIN",PERSONAL!$L$2:$L$80,PERSONAL!$H$2:$H$80),MATCH($B1416,PERSONAL!$A$2:$A$80,0)))))</f>
        <v/>
      </c>
    </row>
    <row r="1417" ht="15" customHeight="1" s="58">
      <c r="A1417" s="40" t="n"/>
      <c r="B1417" s="38" t="n"/>
      <c r="C1417" s="40" t="n"/>
      <c r="D1417" s="40" t="n"/>
      <c r="E1417" s="34">
        <f t="array" ref="E1417">IF($B1417="","",IFERROR(INDEX(PERSONAL!$B$2:$B$80,MATCH($B1417,PERSONAL!$A$2:$A$80,0)),"NO EXISTE"))</f>
        <v/>
      </c>
      <c r="F1417" s="34">
        <f t="array" ref="F1417">IF($B1417="","",IFERROR(INDEX(PERSONAL!$C$2:$C$80,MATCH($B1417,PERSONAL!$A$2:$A$80,0)),""))</f>
        <v/>
      </c>
      <c r="G1417" s="34">
        <f>IF($A1417="","",CHOOSE(WEEKDAY($A1417,2),"LUNES","MARTES","MIÉRCOLES","JUEVES","VIERNES","SÁBADO","DOMINGO"))</f>
        <v/>
      </c>
      <c r="H1417" s="34">
        <f>IF($A1417="","",CHOOSE(MONTH($A1417),"ENERO","FEBRERO","MARZO","ABRIL","MAYO","JUNIO","JULIO","AGOSTO","SEPTIEMBRE","OCTUBRE","NOVIEMBRE","DICIEMBRE"))</f>
        <v/>
      </c>
      <c r="I1417" s="34">
        <f>IF($A1417="","",IF(OR($G1417="SÁBADO",$G1417="DOMINGO"),"FIN","LV"))</f>
        <v/>
      </c>
      <c r="J1417" s="34">
        <f>IF(OR($A1417="",$B1417=""),"",IF($L1417&lt;&gt;"",UPPER($L1417),IF($C1417="","FALTA",IFERROR(IF($C1417&gt;=$O1417,"ROJO FUERTE",IF($C1417&gt;=$N1417,"ROJO",IF($C1417&gt;=$M1417,"AMARILLO","VERDE"))),"REVISAR"))))</f>
        <v/>
      </c>
      <c r="K1417" s="36">
        <f>IF(OR($C1417="",$D1417=""),"",IF($D1417&gt;=$C1417,($D1417-$C1417)*24,(1-$C1417+$D1417)*24))</f>
        <v/>
      </c>
      <c r="L1417" s="34" t="n"/>
      <c r="M1417" s="53">
        <f t="array" ref="M1417">IFERROR(INDEX(EXCEPCIONES_FECHA!$D$2:$D$201,MATCH(1,(EXCEPCIONES_FECHA!$A$2:$A$201=$A1417)*(EXCEPCIONES_FECHA!$B$2:$B$201=$B1417),0)),IFERROR(INDEX(EXCEPCIONES_FECHA!$D$2:$D$201,MATCH(1,(EXCEPCIONES_FECHA!$A$2:$A$201=$A1417)*(EXCEPCIONES_FECHA!$B$2:$B$201=""),0)),IFERROR(INDEX(IF($I1417="FIN",HISTORIAL_HORARIOS!$J$2:$J$201,HISTORIAL_HORARIOS!$F$2:$F$201),MATCH(1,(HISTORIAL_HORARIOS!$A$2:$A$201=$B1417)*(HISTORIAL_HORARIOS!$C$2:$C$201&lt;=$A1417)*(HISTORIAL_HORARIOS!$D$2:$D$201&gt;=$A1417),0)),INDEX(IF($I1417="FIN",PERSONAL!$J$2:$J$80,PERSONAL!$F$2:$F$80),MATCH($B1417,PERSONAL!$A$2:$A$80,0)))))</f>
        <v/>
      </c>
      <c r="N1417" s="53">
        <f t="array" ref="N1417">IFERROR(INDEX(EXCEPCIONES_FECHA!$E$2:$E$201,MATCH(1,(EXCEPCIONES_FECHA!$A$2:$A$201=$A1417)*(EXCEPCIONES_FECHA!$B$2:$B$201=$B1417),0)),IFERROR(INDEX(EXCEPCIONES_FECHA!$E$2:$E$201,MATCH(1,(EXCEPCIONES_FECHA!$A$2:$A$201=$A1417)*(EXCEPCIONES_FECHA!$B$2:$B$201=""),0)),IFERROR(INDEX(IF($I1417="FIN",HISTORIAL_HORARIOS!$K$2:$K$201,HISTORIAL_HORARIOS!$G$2:$G$201),MATCH(1,(HISTORIAL_HORARIOS!$A$2:$A$201=$B1417)*(HISTORIAL_HORARIOS!$C$2:$C$201&lt;=$A1417)*(HISTORIAL_HORARIOS!$D$2:$D$201&gt;=$A1417),0)),INDEX(IF($I1417="FIN",PERSONAL!$K$2:$K$80,PERSONAL!$G$2:$G$80),MATCH($B1417,PERSONAL!$A$2:$A$80,0)))))</f>
        <v/>
      </c>
      <c r="O1417" s="53">
        <f t="array" ref="O1417">IFERROR(INDEX(EXCEPCIONES_FECHA!$F$2:$F$201,MATCH(1,(EXCEPCIONES_FECHA!$A$2:$A$201=$A1417)*(EXCEPCIONES_FECHA!$B$2:$B$201=$B1417),0)),IFERROR(INDEX(EXCEPCIONES_FECHA!$F$2:$F$201,MATCH(1,(EXCEPCIONES_FECHA!$A$2:$A$201=$A1417)*(EXCEPCIONES_FECHA!$B$2:$B$201=""),0)),IFERROR(INDEX(IF($I1417="FIN",HISTORIAL_HORARIOS!$L$2:$L$201,HISTORIAL_HORARIOS!$H$2:$H$201),MATCH(1,(HISTORIAL_HORARIOS!$A$2:$A$201=$B1417)*(HISTORIAL_HORARIOS!$C$2:$C$201&lt;=$A1417)*(HISTORIAL_HORARIOS!$D$2:$D$201&gt;=$A1417),0)),INDEX(IF($I1417="FIN",PERSONAL!$L$2:$L$80,PERSONAL!$H$2:$H$80),MATCH($B1417,PERSONAL!$A$2:$A$80,0)))))</f>
        <v/>
      </c>
    </row>
    <row r="1418" ht="15" customHeight="1" s="58">
      <c r="A1418" s="40" t="n"/>
      <c r="B1418" s="38" t="n"/>
      <c r="C1418" s="40" t="n"/>
      <c r="D1418" s="40" t="n"/>
      <c r="E1418" s="34">
        <f t="array" ref="E1418">IF($B1418="","",IFERROR(INDEX(PERSONAL!$B$2:$B$80,MATCH($B1418,PERSONAL!$A$2:$A$80,0)),"NO EXISTE"))</f>
        <v/>
      </c>
      <c r="F1418" s="34">
        <f t="array" ref="F1418">IF($B1418="","",IFERROR(INDEX(PERSONAL!$C$2:$C$80,MATCH($B1418,PERSONAL!$A$2:$A$80,0)),""))</f>
        <v/>
      </c>
      <c r="G1418" s="34">
        <f>IF($A1418="","",CHOOSE(WEEKDAY($A1418,2),"LUNES","MARTES","MIÉRCOLES","JUEVES","VIERNES","SÁBADO","DOMINGO"))</f>
        <v/>
      </c>
      <c r="H1418" s="34">
        <f>IF($A1418="","",CHOOSE(MONTH($A1418),"ENERO","FEBRERO","MARZO","ABRIL","MAYO","JUNIO","JULIO","AGOSTO","SEPTIEMBRE","OCTUBRE","NOVIEMBRE","DICIEMBRE"))</f>
        <v/>
      </c>
      <c r="I1418" s="34">
        <f>IF($A1418="","",IF(OR($G1418="SÁBADO",$G1418="DOMINGO"),"FIN","LV"))</f>
        <v/>
      </c>
      <c r="J1418" s="34">
        <f>IF(OR($A1418="",$B1418=""),"",IF($L1418&lt;&gt;"",UPPER($L1418),IF($C1418="","FALTA",IFERROR(IF($C1418&gt;=$O1418,"ROJO FUERTE",IF($C1418&gt;=$N1418,"ROJO",IF($C1418&gt;=$M1418,"AMARILLO","VERDE"))),"REVISAR"))))</f>
        <v/>
      </c>
      <c r="K1418" s="36">
        <f>IF(OR($C1418="",$D1418=""),"",IF($D1418&gt;=$C1418,($D1418-$C1418)*24,(1-$C1418+$D1418)*24))</f>
        <v/>
      </c>
      <c r="L1418" s="34" t="n"/>
      <c r="M1418" s="53">
        <f t="array" ref="M1418">IFERROR(INDEX(EXCEPCIONES_FECHA!$D$2:$D$201,MATCH(1,(EXCEPCIONES_FECHA!$A$2:$A$201=$A1418)*(EXCEPCIONES_FECHA!$B$2:$B$201=$B1418),0)),IFERROR(INDEX(EXCEPCIONES_FECHA!$D$2:$D$201,MATCH(1,(EXCEPCIONES_FECHA!$A$2:$A$201=$A1418)*(EXCEPCIONES_FECHA!$B$2:$B$201=""),0)),IFERROR(INDEX(IF($I1418="FIN",HISTORIAL_HORARIOS!$J$2:$J$201,HISTORIAL_HORARIOS!$F$2:$F$201),MATCH(1,(HISTORIAL_HORARIOS!$A$2:$A$201=$B1418)*(HISTORIAL_HORARIOS!$C$2:$C$201&lt;=$A1418)*(HISTORIAL_HORARIOS!$D$2:$D$201&gt;=$A1418),0)),INDEX(IF($I1418="FIN",PERSONAL!$J$2:$J$80,PERSONAL!$F$2:$F$80),MATCH($B1418,PERSONAL!$A$2:$A$80,0)))))</f>
        <v/>
      </c>
      <c r="N1418" s="53">
        <f t="array" ref="N1418">IFERROR(INDEX(EXCEPCIONES_FECHA!$E$2:$E$201,MATCH(1,(EXCEPCIONES_FECHA!$A$2:$A$201=$A1418)*(EXCEPCIONES_FECHA!$B$2:$B$201=$B1418),0)),IFERROR(INDEX(EXCEPCIONES_FECHA!$E$2:$E$201,MATCH(1,(EXCEPCIONES_FECHA!$A$2:$A$201=$A1418)*(EXCEPCIONES_FECHA!$B$2:$B$201=""),0)),IFERROR(INDEX(IF($I1418="FIN",HISTORIAL_HORARIOS!$K$2:$K$201,HISTORIAL_HORARIOS!$G$2:$G$201),MATCH(1,(HISTORIAL_HORARIOS!$A$2:$A$201=$B1418)*(HISTORIAL_HORARIOS!$C$2:$C$201&lt;=$A1418)*(HISTORIAL_HORARIOS!$D$2:$D$201&gt;=$A1418),0)),INDEX(IF($I1418="FIN",PERSONAL!$K$2:$K$80,PERSONAL!$G$2:$G$80),MATCH($B1418,PERSONAL!$A$2:$A$80,0)))))</f>
        <v/>
      </c>
      <c r="O1418" s="53">
        <f t="array" ref="O1418">IFERROR(INDEX(EXCEPCIONES_FECHA!$F$2:$F$201,MATCH(1,(EXCEPCIONES_FECHA!$A$2:$A$201=$A1418)*(EXCEPCIONES_FECHA!$B$2:$B$201=$B1418),0)),IFERROR(INDEX(EXCEPCIONES_FECHA!$F$2:$F$201,MATCH(1,(EXCEPCIONES_FECHA!$A$2:$A$201=$A1418)*(EXCEPCIONES_FECHA!$B$2:$B$201=""),0)),IFERROR(INDEX(IF($I1418="FIN",HISTORIAL_HORARIOS!$L$2:$L$201,HISTORIAL_HORARIOS!$H$2:$H$201),MATCH(1,(HISTORIAL_HORARIOS!$A$2:$A$201=$B1418)*(HISTORIAL_HORARIOS!$C$2:$C$201&lt;=$A1418)*(HISTORIAL_HORARIOS!$D$2:$D$201&gt;=$A1418),0)),INDEX(IF($I1418="FIN",PERSONAL!$L$2:$L$80,PERSONAL!$H$2:$H$80),MATCH($B1418,PERSONAL!$A$2:$A$80,0)))))</f>
        <v/>
      </c>
    </row>
    <row r="1419" ht="15" customHeight="1" s="58">
      <c r="A1419" s="40" t="n"/>
      <c r="B1419" s="38" t="n"/>
      <c r="C1419" s="40" t="n"/>
      <c r="D1419" s="40" t="n"/>
      <c r="E1419" s="34">
        <f t="array" ref="E1419">IF($B1419="","",IFERROR(INDEX(PERSONAL!$B$2:$B$80,MATCH($B1419,PERSONAL!$A$2:$A$80,0)),"NO EXISTE"))</f>
        <v/>
      </c>
      <c r="F1419" s="34">
        <f t="array" ref="F1419">IF($B1419="","",IFERROR(INDEX(PERSONAL!$C$2:$C$80,MATCH($B1419,PERSONAL!$A$2:$A$80,0)),""))</f>
        <v/>
      </c>
      <c r="G1419" s="34">
        <f>IF($A1419="","",CHOOSE(WEEKDAY($A1419,2),"LUNES","MARTES","MIÉRCOLES","JUEVES","VIERNES","SÁBADO","DOMINGO"))</f>
        <v/>
      </c>
      <c r="H1419" s="34">
        <f>IF($A1419="","",CHOOSE(MONTH($A1419),"ENERO","FEBRERO","MARZO","ABRIL","MAYO","JUNIO","JULIO","AGOSTO","SEPTIEMBRE","OCTUBRE","NOVIEMBRE","DICIEMBRE"))</f>
        <v/>
      </c>
      <c r="I1419" s="34">
        <f>IF($A1419="","",IF(OR($G1419="SÁBADO",$G1419="DOMINGO"),"FIN","LV"))</f>
        <v/>
      </c>
      <c r="J1419" s="34">
        <f>IF(OR($A1419="",$B1419=""),"",IF($L1419&lt;&gt;"",UPPER($L1419),IF($C1419="","FALTA",IFERROR(IF($C1419&gt;=$O1419,"ROJO FUERTE",IF($C1419&gt;=$N1419,"ROJO",IF($C1419&gt;=$M1419,"AMARILLO","VERDE"))),"REVISAR"))))</f>
        <v/>
      </c>
      <c r="K1419" s="36">
        <f>IF(OR($C1419="",$D1419=""),"",IF($D1419&gt;=$C1419,($D1419-$C1419)*24,(1-$C1419+$D1419)*24))</f>
        <v/>
      </c>
      <c r="L1419" s="34" t="n"/>
      <c r="M1419" s="53">
        <f t="array" ref="M1419">IFERROR(INDEX(EXCEPCIONES_FECHA!$D$2:$D$201,MATCH(1,(EXCEPCIONES_FECHA!$A$2:$A$201=$A1419)*(EXCEPCIONES_FECHA!$B$2:$B$201=$B1419),0)),IFERROR(INDEX(EXCEPCIONES_FECHA!$D$2:$D$201,MATCH(1,(EXCEPCIONES_FECHA!$A$2:$A$201=$A1419)*(EXCEPCIONES_FECHA!$B$2:$B$201=""),0)),IFERROR(INDEX(IF($I1419="FIN",HISTORIAL_HORARIOS!$J$2:$J$201,HISTORIAL_HORARIOS!$F$2:$F$201),MATCH(1,(HISTORIAL_HORARIOS!$A$2:$A$201=$B1419)*(HISTORIAL_HORARIOS!$C$2:$C$201&lt;=$A1419)*(HISTORIAL_HORARIOS!$D$2:$D$201&gt;=$A1419),0)),INDEX(IF($I1419="FIN",PERSONAL!$J$2:$J$80,PERSONAL!$F$2:$F$80),MATCH($B1419,PERSONAL!$A$2:$A$80,0)))))</f>
        <v/>
      </c>
      <c r="N1419" s="53">
        <f t="array" ref="N1419">IFERROR(INDEX(EXCEPCIONES_FECHA!$E$2:$E$201,MATCH(1,(EXCEPCIONES_FECHA!$A$2:$A$201=$A1419)*(EXCEPCIONES_FECHA!$B$2:$B$201=$B1419),0)),IFERROR(INDEX(EXCEPCIONES_FECHA!$E$2:$E$201,MATCH(1,(EXCEPCIONES_FECHA!$A$2:$A$201=$A1419)*(EXCEPCIONES_FECHA!$B$2:$B$201=""),0)),IFERROR(INDEX(IF($I1419="FIN",HISTORIAL_HORARIOS!$K$2:$K$201,HISTORIAL_HORARIOS!$G$2:$G$201),MATCH(1,(HISTORIAL_HORARIOS!$A$2:$A$201=$B1419)*(HISTORIAL_HORARIOS!$C$2:$C$201&lt;=$A1419)*(HISTORIAL_HORARIOS!$D$2:$D$201&gt;=$A1419),0)),INDEX(IF($I1419="FIN",PERSONAL!$K$2:$K$80,PERSONAL!$G$2:$G$80),MATCH($B1419,PERSONAL!$A$2:$A$80,0)))))</f>
        <v/>
      </c>
      <c r="O1419" s="53">
        <f t="array" ref="O1419">IFERROR(INDEX(EXCEPCIONES_FECHA!$F$2:$F$201,MATCH(1,(EXCEPCIONES_FECHA!$A$2:$A$201=$A1419)*(EXCEPCIONES_FECHA!$B$2:$B$201=$B1419),0)),IFERROR(INDEX(EXCEPCIONES_FECHA!$F$2:$F$201,MATCH(1,(EXCEPCIONES_FECHA!$A$2:$A$201=$A1419)*(EXCEPCIONES_FECHA!$B$2:$B$201=""),0)),IFERROR(INDEX(IF($I1419="FIN",HISTORIAL_HORARIOS!$L$2:$L$201,HISTORIAL_HORARIOS!$H$2:$H$201),MATCH(1,(HISTORIAL_HORARIOS!$A$2:$A$201=$B1419)*(HISTORIAL_HORARIOS!$C$2:$C$201&lt;=$A1419)*(HISTORIAL_HORARIOS!$D$2:$D$201&gt;=$A1419),0)),INDEX(IF($I1419="FIN",PERSONAL!$L$2:$L$80,PERSONAL!$H$2:$H$80),MATCH($B1419,PERSONAL!$A$2:$A$80,0)))))</f>
        <v/>
      </c>
    </row>
    <row r="1420" ht="15" customHeight="1" s="58">
      <c r="A1420" s="40" t="n"/>
      <c r="B1420" s="38" t="n"/>
      <c r="C1420" s="40" t="n"/>
      <c r="D1420" s="40" t="n"/>
      <c r="E1420" s="34">
        <f t="array" ref="E1420">IF($B1420="","",IFERROR(INDEX(PERSONAL!$B$2:$B$80,MATCH($B1420,PERSONAL!$A$2:$A$80,0)),"NO EXISTE"))</f>
        <v/>
      </c>
      <c r="F1420" s="34">
        <f t="array" ref="F1420">IF($B1420="","",IFERROR(INDEX(PERSONAL!$C$2:$C$80,MATCH($B1420,PERSONAL!$A$2:$A$80,0)),""))</f>
        <v/>
      </c>
      <c r="G1420" s="34">
        <f>IF($A1420="","",CHOOSE(WEEKDAY($A1420,2),"LUNES","MARTES","MIÉRCOLES","JUEVES","VIERNES","SÁBADO","DOMINGO"))</f>
        <v/>
      </c>
      <c r="H1420" s="34">
        <f>IF($A1420="","",CHOOSE(MONTH($A1420),"ENERO","FEBRERO","MARZO","ABRIL","MAYO","JUNIO","JULIO","AGOSTO","SEPTIEMBRE","OCTUBRE","NOVIEMBRE","DICIEMBRE"))</f>
        <v/>
      </c>
      <c r="I1420" s="34">
        <f>IF($A1420="","",IF(OR($G1420="SÁBADO",$G1420="DOMINGO"),"FIN","LV"))</f>
        <v/>
      </c>
      <c r="J1420" s="34">
        <f>IF(OR($A1420="",$B1420=""),"",IF($L1420&lt;&gt;"",UPPER($L1420),IF($C1420="","FALTA",IFERROR(IF($C1420&gt;=$O1420,"ROJO FUERTE",IF($C1420&gt;=$N1420,"ROJO",IF($C1420&gt;=$M1420,"AMARILLO","VERDE"))),"REVISAR"))))</f>
        <v/>
      </c>
      <c r="K1420" s="36">
        <f>IF(OR($C1420="",$D1420=""),"",IF($D1420&gt;=$C1420,($D1420-$C1420)*24,(1-$C1420+$D1420)*24))</f>
        <v/>
      </c>
      <c r="L1420" s="34" t="n"/>
      <c r="M1420" s="53">
        <f t="array" ref="M1420">IFERROR(INDEX(EXCEPCIONES_FECHA!$D$2:$D$201,MATCH(1,(EXCEPCIONES_FECHA!$A$2:$A$201=$A1420)*(EXCEPCIONES_FECHA!$B$2:$B$201=$B1420),0)),IFERROR(INDEX(EXCEPCIONES_FECHA!$D$2:$D$201,MATCH(1,(EXCEPCIONES_FECHA!$A$2:$A$201=$A1420)*(EXCEPCIONES_FECHA!$B$2:$B$201=""),0)),IFERROR(INDEX(IF($I1420="FIN",HISTORIAL_HORARIOS!$J$2:$J$201,HISTORIAL_HORARIOS!$F$2:$F$201),MATCH(1,(HISTORIAL_HORARIOS!$A$2:$A$201=$B1420)*(HISTORIAL_HORARIOS!$C$2:$C$201&lt;=$A1420)*(HISTORIAL_HORARIOS!$D$2:$D$201&gt;=$A1420),0)),INDEX(IF($I1420="FIN",PERSONAL!$J$2:$J$80,PERSONAL!$F$2:$F$80),MATCH($B1420,PERSONAL!$A$2:$A$80,0)))))</f>
        <v/>
      </c>
      <c r="N1420" s="53">
        <f t="array" ref="N1420">IFERROR(INDEX(EXCEPCIONES_FECHA!$E$2:$E$201,MATCH(1,(EXCEPCIONES_FECHA!$A$2:$A$201=$A1420)*(EXCEPCIONES_FECHA!$B$2:$B$201=$B1420),0)),IFERROR(INDEX(EXCEPCIONES_FECHA!$E$2:$E$201,MATCH(1,(EXCEPCIONES_FECHA!$A$2:$A$201=$A1420)*(EXCEPCIONES_FECHA!$B$2:$B$201=""),0)),IFERROR(INDEX(IF($I1420="FIN",HISTORIAL_HORARIOS!$K$2:$K$201,HISTORIAL_HORARIOS!$G$2:$G$201),MATCH(1,(HISTORIAL_HORARIOS!$A$2:$A$201=$B1420)*(HISTORIAL_HORARIOS!$C$2:$C$201&lt;=$A1420)*(HISTORIAL_HORARIOS!$D$2:$D$201&gt;=$A1420),0)),INDEX(IF($I1420="FIN",PERSONAL!$K$2:$K$80,PERSONAL!$G$2:$G$80),MATCH($B1420,PERSONAL!$A$2:$A$80,0)))))</f>
        <v/>
      </c>
      <c r="O1420" s="53">
        <f t="array" ref="O1420">IFERROR(INDEX(EXCEPCIONES_FECHA!$F$2:$F$201,MATCH(1,(EXCEPCIONES_FECHA!$A$2:$A$201=$A1420)*(EXCEPCIONES_FECHA!$B$2:$B$201=$B1420),0)),IFERROR(INDEX(EXCEPCIONES_FECHA!$F$2:$F$201,MATCH(1,(EXCEPCIONES_FECHA!$A$2:$A$201=$A1420)*(EXCEPCIONES_FECHA!$B$2:$B$201=""),0)),IFERROR(INDEX(IF($I1420="FIN",HISTORIAL_HORARIOS!$L$2:$L$201,HISTORIAL_HORARIOS!$H$2:$H$201),MATCH(1,(HISTORIAL_HORARIOS!$A$2:$A$201=$B1420)*(HISTORIAL_HORARIOS!$C$2:$C$201&lt;=$A1420)*(HISTORIAL_HORARIOS!$D$2:$D$201&gt;=$A1420),0)),INDEX(IF($I1420="FIN",PERSONAL!$L$2:$L$80,PERSONAL!$H$2:$H$80),MATCH($B1420,PERSONAL!$A$2:$A$80,0)))))</f>
        <v/>
      </c>
    </row>
    <row r="1421" ht="15" customHeight="1" s="58">
      <c r="A1421" s="40" t="n"/>
      <c r="B1421" s="38" t="n"/>
      <c r="C1421" s="40" t="n"/>
      <c r="D1421" s="40" t="n"/>
      <c r="E1421" s="34">
        <f t="array" ref="E1421">IF($B1421="","",IFERROR(INDEX(PERSONAL!$B$2:$B$80,MATCH($B1421,PERSONAL!$A$2:$A$80,0)),"NO EXISTE"))</f>
        <v/>
      </c>
      <c r="F1421" s="34">
        <f t="array" ref="F1421">IF($B1421="","",IFERROR(INDEX(PERSONAL!$C$2:$C$80,MATCH($B1421,PERSONAL!$A$2:$A$80,0)),""))</f>
        <v/>
      </c>
      <c r="G1421" s="34">
        <f>IF($A1421="","",CHOOSE(WEEKDAY($A1421,2),"LUNES","MARTES","MIÉRCOLES","JUEVES","VIERNES","SÁBADO","DOMINGO"))</f>
        <v/>
      </c>
      <c r="H1421" s="34">
        <f>IF($A1421="","",CHOOSE(MONTH($A1421),"ENERO","FEBRERO","MARZO","ABRIL","MAYO","JUNIO","JULIO","AGOSTO","SEPTIEMBRE","OCTUBRE","NOVIEMBRE","DICIEMBRE"))</f>
        <v/>
      </c>
      <c r="I1421" s="34">
        <f>IF($A1421="","",IF(OR($G1421="SÁBADO",$G1421="DOMINGO"),"FIN","LV"))</f>
        <v/>
      </c>
      <c r="J1421" s="34">
        <f>IF(OR($A1421="",$B1421=""),"",IF($L1421&lt;&gt;"",UPPER($L1421),IF($C1421="","FALTA",IFERROR(IF($C1421&gt;=$O1421,"ROJO FUERTE",IF($C1421&gt;=$N1421,"ROJO",IF($C1421&gt;=$M1421,"AMARILLO","VERDE"))),"REVISAR"))))</f>
        <v/>
      </c>
      <c r="K1421" s="36">
        <f>IF(OR($C1421="",$D1421=""),"",IF($D1421&gt;=$C1421,($D1421-$C1421)*24,(1-$C1421+$D1421)*24))</f>
        <v/>
      </c>
      <c r="L1421" s="34" t="n"/>
      <c r="M1421" s="53">
        <f t="array" ref="M1421">IFERROR(INDEX(EXCEPCIONES_FECHA!$D$2:$D$201,MATCH(1,(EXCEPCIONES_FECHA!$A$2:$A$201=$A1421)*(EXCEPCIONES_FECHA!$B$2:$B$201=$B1421),0)),IFERROR(INDEX(EXCEPCIONES_FECHA!$D$2:$D$201,MATCH(1,(EXCEPCIONES_FECHA!$A$2:$A$201=$A1421)*(EXCEPCIONES_FECHA!$B$2:$B$201=""),0)),IFERROR(INDEX(IF($I1421="FIN",HISTORIAL_HORARIOS!$J$2:$J$201,HISTORIAL_HORARIOS!$F$2:$F$201),MATCH(1,(HISTORIAL_HORARIOS!$A$2:$A$201=$B1421)*(HISTORIAL_HORARIOS!$C$2:$C$201&lt;=$A1421)*(HISTORIAL_HORARIOS!$D$2:$D$201&gt;=$A1421),0)),INDEX(IF($I1421="FIN",PERSONAL!$J$2:$J$80,PERSONAL!$F$2:$F$80),MATCH($B1421,PERSONAL!$A$2:$A$80,0)))))</f>
        <v/>
      </c>
      <c r="N1421" s="53">
        <f t="array" ref="N1421">IFERROR(INDEX(EXCEPCIONES_FECHA!$E$2:$E$201,MATCH(1,(EXCEPCIONES_FECHA!$A$2:$A$201=$A1421)*(EXCEPCIONES_FECHA!$B$2:$B$201=$B1421),0)),IFERROR(INDEX(EXCEPCIONES_FECHA!$E$2:$E$201,MATCH(1,(EXCEPCIONES_FECHA!$A$2:$A$201=$A1421)*(EXCEPCIONES_FECHA!$B$2:$B$201=""),0)),IFERROR(INDEX(IF($I1421="FIN",HISTORIAL_HORARIOS!$K$2:$K$201,HISTORIAL_HORARIOS!$G$2:$G$201),MATCH(1,(HISTORIAL_HORARIOS!$A$2:$A$201=$B1421)*(HISTORIAL_HORARIOS!$C$2:$C$201&lt;=$A1421)*(HISTORIAL_HORARIOS!$D$2:$D$201&gt;=$A1421),0)),INDEX(IF($I1421="FIN",PERSONAL!$K$2:$K$80,PERSONAL!$G$2:$G$80),MATCH($B1421,PERSONAL!$A$2:$A$80,0)))))</f>
        <v/>
      </c>
      <c r="O1421" s="53">
        <f t="array" ref="O1421">IFERROR(INDEX(EXCEPCIONES_FECHA!$F$2:$F$201,MATCH(1,(EXCEPCIONES_FECHA!$A$2:$A$201=$A1421)*(EXCEPCIONES_FECHA!$B$2:$B$201=$B1421),0)),IFERROR(INDEX(EXCEPCIONES_FECHA!$F$2:$F$201,MATCH(1,(EXCEPCIONES_FECHA!$A$2:$A$201=$A1421)*(EXCEPCIONES_FECHA!$B$2:$B$201=""),0)),IFERROR(INDEX(IF($I1421="FIN",HISTORIAL_HORARIOS!$L$2:$L$201,HISTORIAL_HORARIOS!$H$2:$H$201),MATCH(1,(HISTORIAL_HORARIOS!$A$2:$A$201=$B1421)*(HISTORIAL_HORARIOS!$C$2:$C$201&lt;=$A1421)*(HISTORIAL_HORARIOS!$D$2:$D$201&gt;=$A1421),0)),INDEX(IF($I1421="FIN",PERSONAL!$L$2:$L$80,PERSONAL!$H$2:$H$80),MATCH($B1421,PERSONAL!$A$2:$A$80,0)))))</f>
        <v/>
      </c>
    </row>
    <row r="1422" ht="15" customHeight="1" s="58">
      <c r="A1422" s="40" t="n"/>
      <c r="B1422" s="38" t="n"/>
      <c r="C1422" s="40" t="n"/>
      <c r="D1422" s="40" t="n"/>
      <c r="E1422" s="34">
        <f t="array" ref="E1422">IF($B1422="","",IFERROR(INDEX(PERSONAL!$B$2:$B$80,MATCH($B1422,PERSONAL!$A$2:$A$80,0)),"NO EXISTE"))</f>
        <v/>
      </c>
      <c r="F1422" s="34">
        <f t="array" ref="F1422">IF($B1422="","",IFERROR(INDEX(PERSONAL!$C$2:$C$80,MATCH($B1422,PERSONAL!$A$2:$A$80,0)),""))</f>
        <v/>
      </c>
      <c r="G1422" s="34">
        <f>IF($A1422="","",CHOOSE(WEEKDAY($A1422,2),"LUNES","MARTES","MIÉRCOLES","JUEVES","VIERNES","SÁBADO","DOMINGO"))</f>
        <v/>
      </c>
      <c r="H1422" s="34">
        <f>IF($A1422="","",CHOOSE(MONTH($A1422),"ENERO","FEBRERO","MARZO","ABRIL","MAYO","JUNIO","JULIO","AGOSTO","SEPTIEMBRE","OCTUBRE","NOVIEMBRE","DICIEMBRE"))</f>
        <v/>
      </c>
      <c r="I1422" s="34">
        <f>IF($A1422="","",IF(OR($G1422="SÁBADO",$G1422="DOMINGO"),"FIN","LV"))</f>
        <v/>
      </c>
      <c r="J1422" s="34">
        <f>IF(OR($A1422="",$B1422=""),"",IF($L1422&lt;&gt;"",UPPER($L1422),IF($C1422="","FALTA",IFERROR(IF($C1422&gt;=$O1422,"ROJO FUERTE",IF($C1422&gt;=$N1422,"ROJO",IF($C1422&gt;=$M1422,"AMARILLO","VERDE"))),"REVISAR"))))</f>
        <v/>
      </c>
      <c r="K1422" s="36">
        <f>IF(OR($C1422="",$D1422=""),"",IF($D1422&gt;=$C1422,($D1422-$C1422)*24,(1-$C1422+$D1422)*24))</f>
        <v/>
      </c>
      <c r="L1422" s="34" t="n"/>
      <c r="M1422" s="53">
        <f t="array" ref="M1422">IFERROR(INDEX(EXCEPCIONES_FECHA!$D$2:$D$201,MATCH(1,(EXCEPCIONES_FECHA!$A$2:$A$201=$A1422)*(EXCEPCIONES_FECHA!$B$2:$B$201=$B1422),0)),IFERROR(INDEX(EXCEPCIONES_FECHA!$D$2:$D$201,MATCH(1,(EXCEPCIONES_FECHA!$A$2:$A$201=$A1422)*(EXCEPCIONES_FECHA!$B$2:$B$201=""),0)),IFERROR(INDEX(IF($I1422="FIN",HISTORIAL_HORARIOS!$J$2:$J$201,HISTORIAL_HORARIOS!$F$2:$F$201),MATCH(1,(HISTORIAL_HORARIOS!$A$2:$A$201=$B1422)*(HISTORIAL_HORARIOS!$C$2:$C$201&lt;=$A1422)*(HISTORIAL_HORARIOS!$D$2:$D$201&gt;=$A1422),0)),INDEX(IF($I1422="FIN",PERSONAL!$J$2:$J$80,PERSONAL!$F$2:$F$80),MATCH($B1422,PERSONAL!$A$2:$A$80,0)))))</f>
        <v/>
      </c>
      <c r="N1422" s="53">
        <f t="array" ref="N1422">IFERROR(INDEX(EXCEPCIONES_FECHA!$E$2:$E$201,MATCH(1,(EXCEPCIONES_FECHA!$A$2:$A$201=$A1422)*(EXCEPCIONES_FECHA!$B$2:$B$201=$B1422),0)),IFERROR(INDEX(EXCEPCIONES_FECHA!$E$2:$E$201,MATCH(1,(EXCEPCIONES_FECHA!$A$2:$A$201=$A1422)*(EXCEPCIONES_FECHA!$B$2:$B$201=""),0)),IFERROR(INDEX(IF($I1422="FIN",HISTORIAL_HORARIOS!$K$2:$K$201,HISTORIAL_HORARIOS!$G$2:$G$201),MATCH(1,(HISTORIAL_HORARIOS!$A$2:$A$201=$B1422)*(HISTORIAL_HORARIOS!$C$2:$C$201&lt;=$A1422)*(HISTORIAL_HORARIOS!$D$2:$D$201&gt;=$A1422),0)),INDEX(IF($I1422="FIN",PERSONAL!$K$2:$K$80,PERSONAL!$G$2:$G$80),MATCH($B1422,PERSONAL!$A$2:$A$80,0)))))</f>
        <v/>
      </c>
      <c r="O1422" s="53">
        <f t="array" ref="O1422">IFERROR(INDEX(EXCEPCIONES_FECHA!$F$2:$F$201,MATCH(1,(EXCEPCIONES_FECHA!$A$2:$A$201=$A1422)*(EXCEPCIONES_FECHA!$B$2:$B$201=$B1422),0)),IFERROR(INDEX(EXCEPCIONES_FECHA!$F$2:$F$201,MATCH(1,(EXCEPCIONES_FECHA!$A$2:$A$201=$A1422)*(EXCEPCIONES_FECHA!$B$2:$B$201=""),0)),IFERROR(INDEX(IF($I1422="FIN",HISTORIAL_HORARIOS!$L$2:$L$201,HISTORIAL_HORARIOS!$H$2:$H$201),MATCH(1,(HISTORIAL_HORARIOS!$A$2:$A$201=$B1422)*(HISTORIAL_HORARIOS!$C$2:$C$201&lt;=$A1422)*(HISTORIAL_HORARIOS!$D$2:$D$201&gt;=$A1422),0)),INDEX(IF($I1422="FIN",PERSONAL!$L$2:$L$80,PERSONAL!$H$2:$H$80),MATCH($B1422,PERSONAL!$A$2:$A$80,0)))))</f>
        <v/>
      </c>
    </row>
    <row r="1423" ht="15" customHeight="1" s="58">
      <c r="A1423" s="40" t="n"/>
      <c r="B1423" s="38" t="n"/>
      <c r="C1423" s="40" t="n"/>
      <c r="D1423" s="40" t="n"/>
      <c r="E1423" s="34">
        <f t="array" ref="E1423">IF($B1423="","",IFERROR(INDEX(PERSONAL!$B$2:$B$80,MATCH($B1423,PERSONAL!$A$2:$A$80,0)),"NO EXISTE"))</f>
        <v/>
      </c>
      <c r="F1423" s="34">
        <f t="array" ref="F1423">IF($B1423="","",IFERROR(INDEX(PERSONAL!$C$2:$C$80,MATCH($B1423,PERSONAL!$A$2:$A$80,0)),""))</f>
        <v/>
      </c>
      <c r="G1423" s="34">
        <f>IF($A1423="","",CHOOSE(WEEKDAY($A1423,2),"LUNES","MARTES","MIÉRCOLES","JUEVES","VIERNES","SÁBADO","DOMINGO"))</f>
        <v/>
      </c>
      <c r="H1423" s="34">
        <f>IF($A1423="","",CHOOSE(MONTH($A1423),"ENERO","FEBRERO","MARZO","ABRIL","MAYO","JUNIO","JULIO","AGOSTO","SEPTIEMBRE","OCTUBRE","NOVIEMBRE","DICIEMBRE"))</f>
        <v/>
      </c>
      <c r="I1423" s="34">
        <f>IF($A1423="","",IF(OR($G1423="SÁBADO",$G1423="DOMINGO"),"FIN","LV"))</f>
        <v/>
      </c>
      <c r="J1423" s="34">
        <f>IF(OR($A1423="",$B1423=""),"",IF($L1423&lt;&gt;"",UPPER($L1423),IF($C1423="","FALTA",IFERROR(IF($C1423&gt;=$O1423,"ROJO FUERTE",IF($C1423&gt;=$N1423,"ROJO",IF($C1423&gt;=$M1423,"AMARILLO","VERDE"))),"REVISAR"))))</f>
        <v/>
      </c>
      <c r="K1423" s="36">
        <f>IF(OR($C1423="",$D1423=""),"",IF($D1423&gt;=$C1423,($D1423-$C1423)*24,(1-$C1423+$D1423)*24))</f>
        <v/>
      </c>
      <c r="L1423" s="34" t="n"/>
      <c r="M1423" s="53">
        <f t="array" ref="M1423">IFERROR(INDEX(EXCEPCIONES_FECHA!$D$2:$D$201,MATCH(1,(EXCEPCIONES_FECHA!$A$2:$A$201=$A1423)*(EXCEPCIONES_FECHA!$B$2:$B$201=$B1423),0)),IFERROR(INDEX(EXCEPCIONES_FECHA!$D$2:$D$201,MATCH(1,(EXCEPCIONES_FECHA!$A$2:$A$201=$A1423)*(EXCEPCIONES_FECHA!$B$2:$B$201=""),0)),IFERROR(INDEX(IF($I1423="FIN",HISTORIAL_HORARIOS!$J$2:$J$201,HISTORIAL_HORARIOS!$F$2:$F$201),MATCH(1,(HISTORIAL_HORARIOS!$A$2:$A$201=$B1423)*(HISTORIAL_HORARIOS!$C$2:$C$201&lt;=$A1423)*(HISTORIAL_HORARIOS!$D$2:$D$201&gt;=$A1423),0)),INDEX(IF($I1423="FIN",PERSONAL!$J$2:$J$80,PERSONAL!$F$2:$F$80),MATCH($B1423,PERSONAL!$A$2:$A$80,0)))))</f>
        <v/>
      </c>
      <c r="N1423" s="53">
        <f t="array" ref="N1423">IFERROR(INDEX(EXCEPCIONES_FECHA!$E$2:$E$201,MATCH(1,(EXCEPCIONES_FECHA!$A$2:$A$201=$A1423)*(EXCEPCIONES_FECHA!$B$2:$B$201=$B1423),0)),IFERROR(INDEX(EXCEPCIONES_FECHA!$E$2:$E$201,MATCH(1,(EXCEPCIONES_FECHA!$A$2:$A$201=$A1423)*(EXCEPCIONES_FECHA!$B$2:$B$201=""),0)),IFERROR(INDEX(IF($I1423="FIN",HISTORIAL_HORARIOS!$K$2:$K$201,HISTORIAL_HORARIOS!$G$2:$G$201),MATCH(1,(HISTORIAL_HORARIOS!$A$2:$A$201=$B1423)*(HISTORIAL_HORARIOS!$C$2:$C$201&lt;=$A1423)*(HISTORIAL_HORARIOS!$D$2:$D$201&gt;=$A1423),0)),INDEX(IF($I1423="FIN",PERSONAL!$K$2:$K$80,PERSONAL!$G$2:$G$80),MATCH($B1423,PERSONAL!$A$2:$A$80,0)))))</f>
        <v/>
      </c>
      <c r="O1423" s="53">
        <f t="array" ref="O1423">IFERROR(INDEX(EXCEPCIONES_FECHA!$F$2:$F$201,MATCH(1,(EXCEPCIONES_FECHA!$A$2:$A$201=$A1423)*(EXCEPCIONES_FECHA!$B$2:$B$201=$B1423),0)),IFERROR(INDEX(EXCEPCIONES_FECHA!$F$2:$F$201,MATCH(1,(EXCEPCIONES_FECHA!$A$2:$A$201=$A1423)*(EXCEPCIONES_FECHA!$B$2:$B$201=""),0)),IFERROR(INDEX(IF($I1423="FIN",HISTORIAL_HORARIOS!$L$2:$L$201,HISTORIAL_HORARIOS!$H$2:$H$201),MATCH(1,(HISTORIAL_HORARIOS!$A$2:$A$201=$B1423)*(HISTORIAL_HORARIOS!$C$2:$C$201&lt;=$A1423)*(HISTORIAL_HORARIOS!$D$2:$D$201&gt;=$A1423),0)),INDEX(IF($I1423="FIN",PERSONAL!$L$2:$L$80,PERSONAL!$H$2:$H$80),MATCH($B1423,PERSONAL!$A$2:$A$80,0)))))</f>
        <v/>
      </c>
    </row>
    <row r="1424" ht="15" customHeight="1" s="58">
      <c r="A1424" s="40" t="n"/>
      <c r="B1424" s="38" t="n"/>
      <c r="C1424" s="40" t="n"/>
      <c r="D1424" s="40" t="n"/>
      <c r="E1424" s="34">
        <f t="array" ref="E1424">IF($B1424="","",IFERROR(INDEX(PERSONAL!$B$2:$B$80,MATCH($B1424,PERSONAL!$A$2:$A$80,0)),"NO EXISTE"))</f>
        <v/>
      </c>
      <c r="F1424" s="34">
        <f t="array" ref="F1424">IF($B1424="","",IFERROR(INDEX(PERSONAL!$C$2:$C$80,MATCH($B1424,PERSONAL!$A$2:$A$80,0)),""))</f>
        <v/>
      </c>
      <c r="G1424" s="34">
        <f>IF($A1424="","",CHOOSE(WEEKDAY($A1424,2),"LUNES","MARTES","MIÉRCOLES","JUEVES","VIERNES","SÁBADO","DOMINGO"))</f>
        <v/>
      </c>
      <c r="H1424" s="34">
        <f>IF($A1424="","",CHOOSE(MONTH($A1424),"ENERO","FEBRERO","MARZO","ABRIL","MAYO","JUNIO","JULIO","AGOSTO","SEPTIEMBRE","OCTUBRE","NOVIEMBRE","DICIEMBRE"))</f>
        <v/>
      </c>
      <c r="I1424" s="34">
        <f>IF($A1424="","",IF(OR($G1424="SÁBADO",$G1424="DOMINGO"),"FIN","LV"))</f>
        <v/>
      </c>
      <c r="J1424" s="34">
        <f>IF(OR($A1424="",$B1424=""),"",IF($L1424&lt;&gt;"",UPPER($L1424),IF($C1424="","FALTA",IFERROR(IF($C1424&gt;=$O1424,"ROJO FUERTE",IF($C1424&gt;=$N1424,"ROJO",IF($C1424&gt;=$M1424,"AMARILLO","VERDE"))),"REVISAR"))))</f>
        <v/>
      </c>
      <c r="K1424" s="36">
        <f>IF(OR($C1424="",$D1424=""),"",IF($D1424&gt;=$C1424,($D1424-$C1424)*24,(1-$C1424+$D1424)*24))</f>
        <v/>
      </c>
      <c r="L1424" s="34" t="n"/>
      <c r="M1424" s="53">
        <f t="array" ref="M1424">IFERROR(INDEX(EXCEPCIONES_FECHA!$D$2:$D$201,MATCH(1,(EXCEPCIONES_FECHA!$A$2:$A$201=$A1424)*(EXCEPCIONES_FECHA!$B$2:$B$201=$B1424),0)),IFERROR(INDEX(EXCEPCIONES_FECHA!$D$2:$D$201,MATCH(1,(EXCEPCIONES_FECHA!$A$2:$A$201=$A1424)*(EXCEPCIONES_FECHA!$B$2:$B$201=""),0)),IFERROR(INDEX(IF($I1424="FIN",HISTORIAL_HORARIOS!$J$2:$J$201,HISTORIAL_HORARIOS!$F$2:$F$201),MATCH(1,(HISTORIAL_HORARIOS!$A$2:$A$201=$B1424)*(HISTORIAL_HORARIOS!$C$2:$C$201&lt;=$A1424)*(HISTORIAL_HORARIOS!$D$2:$D$201&gt;=$A1424),0)),INDEX(IF($I1424="FIN",PERSONAL!$J$2:$J$80,PERSONAL!$F$2:$F$80),MATCH($B1424,PERSONAL!$A$2:$A$80,0)))))</f>
        <v/>
      </c>
      <c r="N1424" s="53">
        <f t="array" ref="N1424">IFERROR(INDEX(EXCEPCIONES_FECHA!$E$2:$E$201,MATCH(1,(EXCEPCIONES_FECHA!$A$2:$A$201=$A1424)*(EXCEPCIONES_FECHA!$B$2:$B$201=$B1424),0)),IFERROR(INDEX(EXCEPCIONES_FECHA!$E$2:$E$201,MATCH(1,(EXCEPCIONES_FECHA!$A$2:$A$201=$A1424)*(EXCEPCIONES_FECHA!$B$2:$B$201=""),0)),IFERROR(INDEX(IF($I1424="FIN",HISTORIAL_HORARIOS!$K$2:$K$201,HISTORIAL_HORARIOS!$G$2:$G$201),MATCH(1,(HISTORIAL_HORARIOS!$A$2:$A$201=$B1424)*(HISTORIAL_HORARIOS!$C$2:$C$201&lt;=$A1424)*(HISTORIAL_HORARIOS!$D$2:$D$201&gt;=$A1424),0)),INDEX(IF($I1424="FIN",PERSONAL!$K$2:$K$80,PERSONAL!$G$2:$G$80),MATCH($B1424,PERSONAL!$A$2:$A$80,0)))))</f>
        <v/>
      </c>
      <c r="O1424" s="53">
        <f t="array" ref="O1424">IFERROR(INDEX(EXCEPCIONES_FECHA!$F$2:$F$201,MATCH(1,(EXCEPCIONES_FECHA!$A$2:$A$201=$A1424)*(EXCEPCIONES_FECHA!$B$2:$B$201=$B1424),0)),IFERROR(INDEX(EXCEPCIONES_FECHA!$F$2:$F$201,MATCH(1,(EXCEPCIONES_FECHA!$A$2:$A$201=$A1424)*(EXCEPCIONES_FECHA!$B$2:$B$201=""),0)),IFERROR(INDEX(IF($I1424="FIN",HISTORIAL_HORARIOS!$L$2:$L$201,HISTORIAL_HORARIOS!$H$2:$H$201),MATCH(1,(HISTORIAL_HORARIOS!$A$2:$A$201=$B1424)*(HISTORIAL_HORARIOS!$C$2:$C$201&lt;=$A1424)*(HISTORIAL_HORARIOS!$D$2:$D$201&gt;=$A1424),0)),INDEX(IF($I1424="FIN",PERSONAL!$L$2:$L$80,PERSONAL!$H$2:$H$80),MATCH($B1424,PERSONAL!$A$2:$A$80,0)))))</f>
        <v/>
      </c>
    </row>
    <row r="1425" ht="15" customHeight="1" s="58">
      <c r="A1425" s="40" t="n"/>
      <c r="B1425" s="38" t="n"/>
      <c r="C1425" s="40" t="n"/>
      <c r="D1425" s="40" t="n"/>
      <c r="E1425" s="34">
        <f t="array" ref="E1425">IF($B1425="","",IFERROR(INDEX(PERSONAL!$B$2:$B$80,MATCH($B1425,PERSONAL!$A$2:$A$80,0)),"NO EXISTE"))</f>
        <v/>
      </c>
      <c r="F1425" s="34">
        <f t="array" ref="F1425">IF($B1425="","",IFERROR(INDEX(PERSONAL!$C$2:$C$80,MATCH($B1425,PERSONAL!$A$2:$A$80,0)),""))</f>
        <v/>
      </c>
      <c r="G1425" s="34">
        <f>IF($A1425="","",CHOOSE(WEEKDAY($A1425,2),"LUNES","MARTES","MIÉRCOLES","JUEVES","VIERNES","SÁBADO","DOMINGO"))</f>
        <v/>
      </c>
      <c r="H1425" s="34">
        <f>IF($A1425="","",CHOOSE(MONTH($A1425),"ENERO","FEBRERO","MARZO","ABRIL","MAYO","JUNIO","JULIO","AGOSTO","SEPTIEMBRE","OCTUBRE","NOVIEMBRE","DICIEMBRE"))</f>
        <v/>
      </c>
      <c r="I1425" s="34">
        <f>IF($A1425="","",IF(OR($G1425="SÁBADO",$G1425="DOMINGO"),"FIN","LV"))</f>
        <v/>
      </c>
      <c r="J1425" s="34">
        <f>IF(OR($A1425="",$B1425=""),"",IF($L1425&lt;&gt;"",UPPER($L1425),IF($C1425="","FALTA",IFERROR(IF($C1425&gt;=$O1425,"ROJO FUERTE",IF($C1425&gt;=$N1425,"ROJO",IF($C1425&gt;=$M1425,"AMARILLO","VERDE"))),"REVISAR"))))</f>
        <v/>
      </c>
      <c r="K1425" s="36">
        <f>IF(OR($C1425="",$D1425=""),"",IF($D1425&gt;=$C1425,($D1425-$C1425)*24,(1-$C1425+$D1425)*24))</f>
        <v/>
      </c>
      <c r="L1425" s="34" t="n"/>
      <c r="M1425" s="53">
        <f t="array" ref="M1425">IFERROR(INDEX(EXCEPCIONES_FECHA!$D$2:$D$201,MATCH(1,(EXCEPCIONES_FECHA!$A$2:$A$201=$A1425)*(EXCEPCIONES_FECHA!$B$2:$B$201=$B1425),0)),IFERROR(INDEX(EXCEPCIONES_FECHA!$D$2:$D$201,MATCH(1,(EXCEPCIONES_FECHA!$A$2:$A$201=$A1425)*(EXCEPCIONES_FECHA!$B$2:$B$201=""),0)),IFERROR(INDEX(IF($I1425="FIN",HISTORIAL_HORARIOS!$J$2:$J$201,HISTORIAL_HORARIOS!$F$2:$F$201),MATCH(1,(HISTORIAL_HORARIOS!$A$2:$A$201=$B1425)*(HISTORIAL_HORARIOS!$C$2:$C$201&lt;=$A1425)*(HISTORIAL_HORARIOS!$D$2:$D$201&gt;=$A1425),0)),INDEX(IF($I1425="FIN",PERSONAL!$J$2:$J$80,PERSONAL!$F$2:$F$80),MATCH($B1425,PERSONAL!$A$2:$A$80,0)))))</f>
        <v/>
      </c>
      <c r="N1425" s="53">
        <f t="array" ref="N1425">IFERROR(INDEX(EXCEPCIONES_FECHA!$E$2:$E$201,MATCH(1,(EXCEPCIONES_FECHA!$A$2:$A$201=$A1425)*(EXCEPCIONES_FECHA!$B$2:$B$201=$B1425),0)),IFERROR(INDEX(EXCEPCIONES_FECHA!$E$2:$E$201,MATCH(1,(EXCEPCIONES_FECHA!$A$2:$A$201=$A1425)*(EXCEPCIONES_FECHA!$B$2:$B$201=""),0)),IFERROR(INDEX(IF($I1425="FIN",HISTORIAL_HORARIOS!$K$2:$K$201,HISTORIAL_HORARIOS!$G$2:$G$201),MATCH(1,(HISTORIAL_HORARIOS!$A$2:$A$201=$B1425)*(HISTORIAL_HORARIOS!$C$2:$C$201&lt;=$A1425)*(HISTORIAL_HORARIOS!$D$2:$D$201&gt;=$A1425),0)),INDEX(IF($I1425="FIN",PERSONAL!$K$2:$K$80,PERSONAL!$G$2:$G$80),MATCH($B1425,PERSONAL!$A$2:$A$80,0)))))</f>
        <v/>
      </c>
      <c r="O1425" s="53">
        <f t="array" ref="O1425">IFERROR(INDEX(EXCEPCIONES_FECHA!$F$2:$F$201,MATCH(1,(EXCEPCIONES_FECHA!$A$2:$A$201=$A1425)*(EXCEPCIONES_FECHA!$B$2:$B$201=$B1425),0)),IFERROR(INDEX(EXCEPCIONES_FECHA!$F$2:$F$201,MATCH(1,(EXCEPCIONES_FECHA!$A$2:$A$201=$A1425)*(EXCEPCIONES_FECHA!$B$2:$B$201=""),0)),IFERROR(INDEX(IF($I1425="FIN",HISTORIAL_HORARIOS!$L$2:$L$201,HISTORIAL_HORARIOS!$H$2:$H$201),MATCH(1,(HISTORIAL_HORARIOS!$A$2:$A$201=$B1425)*(HISTORIAL_HORARIOS!$C$2:$C$201&lt;=$A1425)*(HISTORIAL_HORARIOS!$D$2:$D$201&gt;=$A1425),0)),INDEX(IF($I1425="FIN",PERSONAL!$L$2:$L$80,PERSONAL!$H$2:$H$80),MATCH($B1425,PERSONAL!$A$2:$A$80,0)))))</f>
        <v/>
      </c>
    </row>
    <row r="1426" ht="15" customHeight="1" s="58">
      <c r="A1426" s="40" t="n"/>
      <c r="B1426" s="38" t="n"/>
      <c r="C1426" s="40" t="n"/>
      <c r="D1426" s="40" t="n"/>
      <c r="E1426" s="34">
        <f t="array" ref="E1426">IF($B1426="","",IFERROR(INDEX(PERSONAL!$B$2:$B$80,MATCH($B1426,PERSONAL!$A$2:$A$80,0)),"NO EXISTE"))</f>
        <v/>
      </c>
      <c r="F1426" s="34">
        <f t="array" ref="F1426">IF($B1426="","",IFERROR(INDEX(PERSONAL!$C$2:$C$80,MATCH($B1426,PERSONAL!$A$2:$A$80,0)),""))</f>
        <v/>
      </c>
      <c r="G1426" s="34">
        <f>IF($A1426="","",CHOOSE(WEEKDAY($A1426,2),"LUNES","MARTES","MIÉRCOLES","JUEVES","VIERNES","SÁBADO","DOMINGO"))</f>
        <v/>
      </c>
      <c r="H1426" s="34">
        <f>IF($A1426="","",CHOOSE(MONTH($A1426),"ENERO","FEBRERO","MARZO","ABRIL","MAYO","JUNIO","JULIO","AGOSTO","SEPTIEMBRE","OCTUBRE","NOVIEMBRE","DICIEMBRE"))</f>
        <v/>
      </c>
      <c r="I1426" s="34">
        <f>IF($A1426="","",IF(OR($G1426="SÁBADO",$G1426="DOMINGO"),"FIN","LV"))</f>
        <v/>
      </c>
      <c r="J1426" s="34">
        <f>IF(OR($A1426="",$B1426=""),"",IF($L1426&lt;&gt;"",UPPER($L1426),IF($C1426="","FALTA",IFERROR(IF($C1426&gt;=$O1426,"ROJO FUERTE",IF($C1426&gt;=$N1426,"ROJO",IF($C1426&gt;=$M1426,"AMARILLO","VERDE"))),"REVISAR"))))</f>
        <v/>
      </c>
      <c r="K1426" s="36">
        <f>IF(OR($C1426="",$D1426=""),"",IF($D1426&gt;=$C1426,($D1426-$C1426)*24,(1-$C1426+$D1426)*24))</f>
        <v/>
      </c>
      <c r="L1426" s="34" t="n"/>
      <c r="M1426" s="53">
        <f t="array" ref="M1426">IFERROR(INDEX(EXCEPCIONES_FECHA!$D$2:$D$201,MATCH(1,(EXCEPCIONES_FECHA!$A$2:$A$201=$A1426)*(EXCEPCIONES_FECHA!$B$2:$B$201=$B1426),0)),IFERROR(INDEX(EXCEPCIONES_FECHA!$D$2:$D$201,MATCH(1,(EXCEPCIONES_FECHA!$A$2:$A$201=$A1426)*(EXCEPCIONES_FECHA!$B$2:$B$201=""),0)),IFERROR(INDEX(IF($I1426="FIN",HISTORIAL_HORARIOS!$J$2:$J$201,HISTORIAL_HORARIOS!$F$2:$F$201),MATCH(1,(HISTORIAL_HORARIOS!$A$2:$A$201=$B1426)*(HISTORIAL_HORARIOS!$C$2:$C$201&lt;=$A1426)*(HISTORIAL_HORARIOS!$D$2:$D$201&gt;=$A1426),0)),INDEX(IF($I1426="FIN",PERSONAL!$J$2:$J$80,PERSONAL!$F$2:$F$80),MATCH($B1426,PERSONAL!$A$2:$A$80,0)))))</f>
        <v/>
      </c>
      <c r="N1426" s="53">
        <f t="array" ref="N1426">IFERROR(INDEX(EXCEPCIONES_FECHA!$E$2:$E$201,MATCH(1,(EXCEPCIONES_FECHA!$A$2:$A$201=$A1426)*(EXCEPCIONES_FECHA!$B$2:$B$201=$B1426),0)),IFERROR(INDEX(EXCEPCIONES_FECHA!$E$2:$E$201,MATCH(1,(EXCEPCIONES_FECHA!$A$2:$A$201=$A1426)*(EXCEPCIONES_FECHA!$B$2:$B$201=""),0)),IFERROR(INDEX(IF($I1426="FIN",HISTORIAL_HORARIOS!$K$2:$K$201,HISTORIAL_HORARIOS!$G$2:$G$201),MATCH(1,(HISTORIAL_HORARIOS!$A$2:$A$201=$B1426)*(HISTORIAL_HORARIOS!$C$2:$C$201&lt;=$A1426)*(HISTORIAL_HORARIOS!$D$2:$D$201&gt;=$A1426),0)),INDEX(IF($I1426="FIN",PERSONAL!$K$2:$K$80,PERSONAL!$G$2:$G$80),MATCH($B1426,PERSONAL!$A$2:$A$80,0)))))</f>
        <v/>
      </c>
      <c r="O1426" s="53">
        <f t="array" ref="O1426">IFERROR(INDEX(EXCEPCIONES_FECHA!$F$2:$F$201,MATCH(1,(EXCEPCIONES_FECHA!$A$2:$A$201=$A1426)*(EXCEPCIONES_FECHA!$B$2:$B$201=$B1426),0)),IFERROR(INDEX(EXCEPCIONES_FECHA!$F$2:$F$201,MATCH(1,(EXCEPCIONES_FECHA!$A$2:$A$201=$A1426)*(EXCEPCIONES_FECHA!$B$2:$B$201=""),0)),IFERROR(INDEX(IF($I1426="FIN",HISTORIAL_HORARIOS!$L$2:$L$201,HISTORIAL_HORARIOS!$H$2:$H$201),MATCH(1,(HISTORIAL_HORARIOS!$A$2:$A$201=$B1426)*(HISTORIAL_HORARIOS!$C$2:$C$201&lt;=$A1426)*(HISTORIAL_HORARIOS!$D$2:$D$201&gt;=$A1426),0)),INDEX(IF($I1426="FIN",PERSONAL!$L$2:$L$80,PERSONAL!$H$2:$H$80),MATCH($B1426,PERSONAL!$A$2:$A$80,0)))))</f>
        <v/>
      </c>
    </row>
    <row r="1427" ht="15" customHeight="1" s="58">
      <c r="A1427" s="40" t="n"/>
      <c r="B1427" s="38" t="n"/>
      <c r="C1427" s="40" t="n"/>
      <c r="D1427" s="40" t="n"/>
      <c r="E1427" s="34">
        <f t="array" ref="E1427">IF($B1427="","",IFERROR(INDEX(PERSONAL!$B$2:$B$80,MATCH($B1427,PERSONAL!$A$2:$A$80,0)),"NO EXISTE"))</f>
        <v/>
      </c>
      <c r="F1427" s="34">
        <f t="array" ref="F1427">IF($B1427="","",IFERROR(INDEX(PERSONAL!$C$2:$C$80,MATCH($B1427,PERSONAL!$A$2:$A$80,0)),""))</f>
        <v/>
      </c>
      <c r="G1427" s="34">
        <f>IF($A1427="","",CHOOSE(WEEKDAY($A1427,2),"LUNES","MARTES","MIÉRCOLES","JUEVES","VIERNES","SÁBADO","DOMINGO"))</f>
        <v/>
      </c>
      <c r="H1427" s="34">
        <f>IF($A1427="","",CHOOSE(MONTH($A1427),"ENERO","FEBRERO","MARZO","ABRIL","MAYO","JUNIO","JULIO","AGOSTO","SEPTIEMBRE","OCTUBRE","NOVIEMBRE","DICIEMBRE"))</f>
        <v/>
      </c>
      <c r="I1427" s="34">
        <f>IF($A1427="","",IF(OR($G1427="SÁBADO",$G1427="DOMINGO"),"FIN","LV"))</f>
        <v/>
      </c>
      <c r="J1427" s="34">
        <f>IF(OR($A1427="",$B1427=""),"",IF($L1427&lt;&gt;"",UPPER($L1427),IF($C1427="","FALTA",IFERROR(IF($C1427&gt;=$O1427,"ROJO FUERTE",IF($C1427&gt;=$N1427,"ROJO",IF($C1427&gt;=$M1427,"AMARILLO","VERDE"))),"REVISAR"))))</f>
        <v/>
      </c>
      <c r="K1427" s="36">
        <f>IF(OR($C1427="",$D1427=""),"",IF($D1427&gt;=$C1427,($D1427-$C1427)*24,(1-$C1427+$D1427)*24))</f>
        <v/>
      </c>
      <c r="L1427" s="34" t="n"/>
      <c r="M1427" s="53">
        <f t="array" ref="M1427">IFERROR(INDEX(EXCEPCIONES_FECHA!$D$2:$D$201,MATCH(1,(EXCEPCIONES_FECHA!$A$2:$A$201=$A1427)*(EXCEPCIONES_FECHA!$B$2:$B$201=$B1427),0)),IFERROR(INDEX(EXCEPCIONES_FECHA!$D$2:$D$201,MATCH(1,(EXCEPCIONES_FECHA!$A$2:$A$201=$A1427)*(EXCEPCIONES_FECHA!$B$2:$B$201=""),0)),IFERROR(INDEX(IF($I1427="FIN",HISTORIAL_HORARIOS!$J$2:$J$201,HISTORIAL_HORARIOS!$F$2:$F$201),MATCH(1,(HISTORIAL_HORARIOS!$A$2:$A$201=$B1427)*(HISTORIAL_HORARIOS!$C$2:$C$201&lt;=$A1427)*(HISTORIAL_HORARIOS!$D$2:$D$201&gt;=$A1427),0)),INDEX(IF($I1427="FIN",PERSONAL!$J$2:$J$80,PERSONAL!$F$2:$F$80),MATCH($B1427,PERSONAL!$A$2:$A$80,0)))))</f>
        <v/>
      </c>
      <c r="N1427" s="53">
        <f t="array" ref="N1427">IFERROR(INDEX(EXCEPCIONES_FECHA!$E$2:$E$201,MATCH(1,(EXCEPCIONES_FECHA!$A$2:$A$201=$A1427)*(EXCEPCIONES_FECHA!$B$2:$B$201=$B1427),0)),IFERROR(INDEX(EXCEPCIONES_FECHA!$E$2:$E$201,MATCH(1,(EXCEPCIONES_FECHA!$A$2:$A$201=$A1427)*(EXCEPCIONES_FECHA!$B$2:$B$201=""),0)),IFERROR(INDEX(IF($I1427="FIN",HISTORIAL_HORARIOS!$K$2:$K$201,HISTORIAL_HORARIOS!$G$2:$G$201),MATCH(1,(HISTORIAL_HORARIOS!$A$2:$A$201=$B1427)*(HISTORIAL_HORARIOS!$C$2:$C$201&lt;=$A1427)*(HISTORIAL_HORARIOS!$D$2:$D$201&gt;=$A1427),0)),INDEX(IF($I1427="FIN",PERSONAL!$K$2:$K$80,PERSONAL!$G$2:$G$80),MATCH($B1427,PERSONAL!$A$2:$A$80,0)))))</f>
        <v/>
      </c>
      <c r="O1427" s="53">
        <f t="array" ref="O1427">IFERROR(INDEX(EXCEPCIONES_FECHA!$F$2:$F$201,MATCH(1,(EXCEPCIONES_FECHA!$A$2:$A$201=$A1427)*(EXCEPCIONES_FECHA!$B$2:$B$201=$B1427),0)),IFERROR(INDEX(EXCEPCIONES_FECHA!$F$2:$F$201,MATCH(1,(EXCEPCIONES_FECHA!$A$2:$A$201=$A1427)*(EXCEPCIONES_FECHA!$B$2:$B$201=""),0)),IFERROR(INDEX(IF($I1427="FIN",HISTORIAL_HORARIOS!$L$2:$L$201,HISTORIAL_HORARIOS!$H$2:$H$201),MATCH(1,(HISTORIAL_HORARIOS!$A$2:$A$201=$B1427)*(HISTORIAL_HORARIOS!$C$2:$C$201&lt;=$A1427)*(HISTORIAL_HORARIOS!$D$2:$D$201&gt;=$A1427),0)),INDEX(IF($I1427="FIN",PERSONAL!$L$2:$L$80,PERSONAL!$H$2:$H$80),MATCH($B1427,PERSONAL!$A$2:$A$80,0)))))</f>
        <v/>
      </c>
    </row>
    <row r="1428" ht="15" customHeight="1" s="58">
      <c r="A1428" s="40" t="n"/>
      <c r="B1428" s="38" t="n"/>
      <c r="C1428" s="40" t="n"/>
      <c r="D1428" s="40" t="n"/>
      <c r="E1428" s="34">
        <f t="array" ref="E1428">IF($B1428="","",IFERROR(INDEX(PERSONAL!$B$2:$B$80,MATCH($B1428,PERSONAL!$A$2:$A$80,0)),"NO EXISTE"))</f>
        <v/>
      </c>
      <c r="F1428" s="34">
        <f t="array" ref="F1428">IF($B1428="","",IFERROR(INDEX(PERSONAL!$C$2:$C$80,MATCH($B1428,PERSONAL!$A$2:$A$80,0)),""))</f>
        <v/>
      </c>
      <c r="G1428" s="34">
        <f>IF($A1428="","",CHOOSE(WEEKDAY($A1428,2),"LUNES","MARTES","MIÉRCOLES","JUEVES","VIERNES","SÁBADO","DOMINGO"))</f>
        <v/>
      </c>
      <c r="H1428" s="34">
        <f>IF($A1428="","",CHOOSE(MONTH($A1428),"ENERO","FEBRERO","MARZO","ABRIL","MAYO","JUNIO","JULIO","AGOSTO","SEPTIEMBRE","OCTUBRE","NOVIEMBRE","DICIEMBRE"))</f>
        <v/>
      </c>
      <c r="I1428" s="34">
        <f>IF($A1428="","",IF(OR($G1428="SÁBADO",$G1428="DOMINGO"),"FIN","LV"))</f>
        <v/>
      </c>
      <c r="J1428" s="34">
        <f>IF(OR($A1428="",$B1428=""),"",IF($L1428&lt;&gt;"",UPPER($L1428),IF($C1428="","FALTA",IFERROR(IF($C1428&gt;=$O1428,"ROJO FUERTE",IF($C1428&gt;=$N1428,"ROJO",IF($C1428&gt;=$M1428,"AMARILLO","VERDE"))),"REVISAR"))))</f>
        <v/>
      </c>
      <c r="K1428" s="36">
        <f>IF(OR($C1428="",$D1428=""),"",IF($D1428&gt;=$C1428,($D1428-$C1428)*24,(1-$C1428+$D1428)*24))</f>
        <v/>
      </c>
      <c r="L1428" s="34" t="n"/>
      <c r="M1428" s="53">
        <f t="array" ref="M1428">IFERROR(INDEX(EXCEPCIONES_FECHA!$D$2:$D$201,MATCH(1,(EXCEPCIONES_FECHA!$A$2:$A$201=$A1428)*(EXCEPCIONES_FECHA!$B$2:$B$201=$B1428),0)),IFERROR(INDEX(EXCEPCIONES_FECHA!$D$2:$D$201,MATCH(1,(EXCEPCIONES_FECHA!$A$2:$A$201=$A1428)*(EXCEPCIONES_FECHA!$B$2:$B$201=""),0)),IFERROR(INDEX(IF($I1428="FIN",HISTORIAL_HORARIOS!$J$2:$J$201,HISTORIAL_HORARIOS!$F$2:$F$201),MATCH(1,(HISTORIAL_HORARIOS!$A$2:$A$201=$B1428)*(HISTORIAL_HORARIOS!$C$2:$C$201&lt;=$A1428)*(HISTORIAL_HORARIOS!$D$2:$D$201&gt;=$A1428),0)),INDEX(IF($I1428="FIN",PERSONAL!$J$2:$J$80,PERSONAL!$F$2:$F$80),MATCH($B1428,PERSONAL!$A$2:$A$80,0)))))</f>
        <v/>
      </c>
      <c r="N1428" s="53">
        <f t="array" ref="N1428">IFERROR(INDEX(EXCEPCIONES_FECHA!$E$2:$E$201,MATCH(1,(EXCEPCIONES_FECHA!$A$2:$A$201=$A1428)*(EXCEPCIONES_FECHA!$B$2:$B$201=$B1428),0)),IFERROR(INDEX(EXCEPCIONES_FECHA!$E$2:$E$201,MATCH(1,(EXCEPCIONES_FECHA!$A$2:$A$201=$A1428)*(EXCEPCIONES_FECHA!$B$2:$B$201=""),0)),IFERROR(INDEX(IF($I1428="FIN",HISTORIAL_HORARIOS!$K$2:$K$201,HISTORIAL_HORARIOS!$G$2:$G$201),MATCH(1,(HISTORIAL_HORARIOS!$A$2:$A$201=$B1428)*(HISTORIAL_HORARIOS!$C$2:$C$201&lt;=$A1428)*(HISTORIAL_HORARIOS!$D$2:$D$201&gt;=$A1428),0)),INDEX(IF($I1428="FIN",PERSONAL!$K$2:$K$80,PERSONAL!$G$2:$G$80),MATCH($B1428,PERSONAL!$A$2:$A$80,0)))))</f>
        <v/>
      </c>
      <c r="O1428" s="53">
        <f t="array" ref="O1428">IFERROR(INDEX(EXCEPCIONES_FECHA!$F$2:$F$201,MATCH(1,(EXCEPCIONES_FECHA!$A$2:$A$201=$A1428)*(EXCEPCIONES_FECHA!$B$2:$B$201=$B1428),0)),IFERROR(INDEX(EXCEPCIONES_FECHA!$F$2:$F$201,MATCH(1,(EXCEPCIONES_FECHA!$A$2:$A$201=$A1428)*(EXCEPCIONES_FECHA!$B$2:$B$201=""),0)),IFERROR(INDEX(IF($I1428="FIN",HISTORIAL_HORARIOS!$L$2:$L$201,HISTORIAL_HORARIOS!$H$2:$H$201),MATCH(1,(HISTORIAL_HORARIOS!$A$2:$A$201=$B1428)*(HISTORIAL_HORARIOS!$C$2:$C$201&lt;=$A1428)*(HISTORIAL_HORARIOS!$D$2:$D$201&gt;=$A1428),0)),INDEX(IF($I1428="FIN",PERSONAL!$L$2:$L$80,PERSONAL!$H$2:$H$80),MATCH($B1428,PERSONAL!$A$2:$A$80,0)))))</f>
        <v/>
      </c>
    </row>
    <row r="1429" ht="15" customHeight="1" s="58">
      <c r="A1429" s="40" t="n"/>
      <c r="B1429" s="38" t="n"/>
      <c r="C1429" s="40" t="n"/>
      <c r="D1429" s="40" t="n"/>
      <c r="E1429" s="34">
        <f t="array" ref="E1429">IF($B1429="","",IFERROR(INDEX(PERSONAL!$B$2:$B$80,MATCH($B1429,PERSONAL!$A$2:$A$80,0)),"NO EXISTE"))</f>
        <v/>
      </c>
      <c r="F1429" s="34">
        <f t="array" ref="F1429">IF($B1429="","",IFERROR(INDEX(PERSONAL!$C$2:$C$80,MATCH($B1429,PERSONAL!$A$2:$A$80,0)),""))</f>
        <v/>
      </c>
      <c r="G1429" s="34">
        <f>IF($A1429="","",CHOOSE(WEEKDAY($A1429,2),"LUNES","MARTES","MIÉRCOLES","JUEVES","VIERNES","SÁBADO","DOMINGO"))</f>
        <v/>
      </c>
      <c r="H1429" s="34">
        <f>IF($A1429="","",CHOOSE(MONTH($A1429),"ENERO","FEBRERO","MARZO","ABRIL","MAYO","JUNIO","JULIO","AGOSTO","SEPTIEMBRE","OCTUBRE","NOVIEMBRE","DICIEMBRE"))</f>
        <v/>
      </c>
      <c r="I1429" s="34">
        <f>IF($A1429="","",IF(OR($G1429="SÁBADO",$G1429="DOMINGO"),"FIN","LV"))</f>
        <v/>
      </c>
      <c r="J1429" s="34">
        <f>IF(OR($A1429="",$B1429=""),"",IF($L1429&lt;&gt;"",UPPER($L1429),IF($C1429="","FALTA",IFERROR(IF($C1429&gt;=$O1429,"ROJO FUERTE",IF($C1429&gt;=$N1429,"ROJO",IF($C1429&gt;=$M1429,"AMARILLO","VERDE"))),"REVISAR"))))</f>
        <v/>
      </c>
      <c r="K1429" s="36">
        <f>IF(OR($C1429="",$D1429=""),"",IF($D1429&gt;=$C1429,($D1429-$C1429)*24,(1-$C1429+$D1429)*24))</f>
        <v/>
      </c>
      <c r="L1429" s="34" t="n"/>
      <c r="M1429" s="53">
        <f t="array" ref="M1429">IFERROR(INDEX(EXCEPCIONES_FECHA!$D$2:$D$201,MATCH(1,(EXCEPCIONES_FECHA!$A$2:$A$201=$A1429)*(EXCEPCIONES_FECHA!$B$2:$B$201=$B1429),0)),IFERROR(INDEX(EXCEPCIONES_FECHA!$D$2:$D$201,MATCH(1,(EXCEPCIONES_FECHA!$A$2:$A$201=$A1429)*(EXCEPCIONES_FECHA!$B$2:$B$201=""),0)),IFERROR(INDEX(IF($I1429="FIN",HISTORIAL_HORARIOS!$J$2:$J$201,HISTORIAL_HORARIOS!$F$2:$F$201),MATCH(1,(HISTORIAL_HORARIOS!$A$2:$A$201=$B1429)*(HISTORIAL_HORARIOS!$C$2:$C$201&lt;=$A1429)*(HISTORIAL_HORARIOS!$D$2:$D$201&gt;=$A1429),0)),INDEX(IF($I1429="FIN",PERSONAL!$J$2:$J$80,PERSONAL!$F$2:$F$80),MATCH($B1429,PERSONAL!$A$2:$A$80,0)))))</f>
        <v/>
      </c>
      <c r="N1429" s="53">
        <f t="array" ref="N1429">IFERROR(INDEX(EXCEPCIONES_FECHA!$E$2:$E$201,MATCH(1,(EXCEPCIONES_FECHA!$A$2:$A$201=$A1429)*(EXCEPCIONES_FECHA!$B$2:$B$201=$B1429),0)),IFERROR(INDEX(EXCEPCIONES_FECHA!$E$2:$E$201,MATCH(1,(EXCEPCIONES_FECHA!$A$2:$A$201=$A1429)*(EXCEPCIONES_FECHA!$B$2:$B$201=""),0)),IFERROR(INDEX(IF($I1429="FIN",HISTORIAL_HORARIOS!$K$2:$K$201,HISTORIAL_HORARIOS!$G$2:$G$201),MATCH(1,(HISTORIAL_HORARIOS!$A$2:$A$201=$B1429)*(HISTORIAL_HORARIOS!$C$2:$C$201&lt;=$A1429)*(HISTORIAL_HORARIOS!$D$2:$D$201&gt;=$A1429),0)),INDEX(IF($I1429="FIN",PERSONAL!$K$2:$K$80,PERSONAL!$G$2:$G$80),MATCH($B1429,PERSONAL!$A$2:$A$80,0)))))</f>
        <v/>
      </c>
      <c r="O1429" s="53">
        <f t="array" ref="O1429">IFERROR(INDEX(EXCEPCIONES_FECHA!$F$2:$F$201,MATCH(1,(EXCEPCIONES_FECHA!$A$2:$A$201=$A1429)*(EXCEPCIONES_FECHA!$B$2:$B$201=$B1429),0)),IFERROR(INDEX(EXCEPCIONES_FECHA!$F$2:$F$201,MATCH(1,(EXCEPCIONES_FECHA!$A$2:$A$201=$A1429)*(EXCEPCIONES_FECHA!$B$2:$B$201=""),0)),IFERROR(INDEX(IF($I1429="FIN",HISTORIAL_HORARIOS!$L$2:$L$201,HISTORIAL_HORARIOS!$H$2:$H$201),MATCH(1,(HISTORIAL_HORARIOS!$A$2:$A$201=$B1429)*(HISTORIAL_HORARIOS!$C$2:$C$201&lt;=$A1429)*(HISTORIAL_HORARIOS!$D$2:$D$201&gt;=$A1429),0)),INDEX(IF($I1429="FIN",PERSONAL!$L$2:$L$80,PERSONAL!$H$2:$H$80),MATCH($B1429,PERSONAL!$A$2:$A$80,0)))))</f>
        <v/>
      </c>
    </row>
    <row r="1430" ht="15" customHeight="1" s="58">
      <c r="A1430" s="40" t="n"/>
      <c r="B1430" s="38" t="n"/>
      <c r="C1430" s="40" t="n"/>
      <c r="D1430" s="40" t="n"/>
      <c r="E1430" s="34">
        <f t="array" ref="E1430">IF($B1430="","",IFERROR(INDEX(PERSONAL!$B$2:$B$80,MATCH($B1430,PERSONAL!$A$2:$A$80,0)),"NO EXISTE"))</f>
        <v/>
      </c>
      <c r="F1430" s="34">
        <f t="array" ref="F1430">IF($B1430="","",IFERROR(INDEX(PERSONAL!$C$2:$C$80,MATCH($B1430,PERSONAL!$A$2:$A$80,0)),""))</f>
        <v/>
      </c>
      <c r="G1430" s="34">
        <f>IF($A1430="","",CHOOSE(WEEKDAY($A1430,2),"LUNES","MARTES","MIÉRCOLES","JUEVES","VIERNES","SÁBADO","DOMINGO"))</f>
        <v/>
      </c>
      <c r="H1430" s="34">
        <f>IF($A1430="","",CHOOSE(MONTH($A1430),"ENERO","FEBRERO","MARZO","ABRIL","MAYO","JUNIO","JULIO","AGOSTO","SEPTIEMBRE","OCTUBRE","NOVIEMBRE","DICIEMBRE"))</f>
        <v/>
      </c>
      <c r="I1430" s="34">
        <f>IF($A1430="","",IF(OR($G1430="SÁBADO",$G1430="DOMINGO"),"FIN","LV"))</f>
        <v/>
      </c>
      <c r="J1430" s="34">
        <f>IF(OR($A1430="",$B1430=""),"",IF($L1430&lt;&gt;"",UPPER($L1430),IF($C1430="","FALTA",IFERROR(IF($C1430&gt;=$O1430,"ROJO FUERTE",IF($C1430&gt;=$N1430,"ROJO",IF($C1430&gt;=$M1430,"AMARILLO","VERDE"))),"REVISAR"))))</f>
        <v/>
      </c>
      <c r="K1430" s="36">
        <f>IF(OR($C1430="",$D1430=""),"",IF($D1430&gt;=$C1430,($D1430-$C1430)*24,(1-$C1430+$D1430)*24))</f>
        <v/>
      </c>
      <c r="L1430" s="34" t="n"/>
      <c r="M1430" s="53">
        <f t="array" ref="M1430">IFERROR(INDEX(EXCEPCIONES_FECHA!$D$2:$D$201,MATCH(1,(EXCEPCIONES_FECHA!$A$2:$A$201=$A1430)*(EXCEPCIONES_FECHA!$B$2:$B$201=$B1430),0)),IFERROR(INDEX(EXCEPCIONES_FECHA!$D$2:$D$201,MATCH(1,(EXCEPCIONES_FECHA!$A$2:$A$201=$A1430)*(EXCEPCIONES_FECHA!$B$2:$B$201=""),0)),IFERROR(INDEX(IF($I1430="FIN",HISTORIAL_HORARIOS!$J$2:$J$201,HISTORIAL_HORARIOS!$F$2:$F$201),MATCH(1,(HISTORIAL_HORARIOS!$A$2:$A$201=$B1430)*(HISTORIAL_HORARIOS!$C$2:$C$201&lt;=$A1430)*(HISTORIAL_HORARIOS!$D$2:$D$201&gt;=$A1430),0)),INDEX(IF($I1430="FIN",PERSONAL!$J$2:$J$80,PERSONAL!$F$2:$F$80),MATCH($B1430,PERSONAL!$A$2:$A$80,0)))))</f>
        <v/>
      </c>
      <c r="N1430" s="53">
        <f t="array" ref="N1430">IFERROR(INDEX(EXCEPCIONES_FECHA!$E$2:$E$201,MATCH(1,(EXCEPCIONES_FECHA!$A$2:$A$201=$A1430)*(EXCEPCIONES_FECHA!$B$2:$B$201=$B1430),0)),IFERROR(INDEX(EXCEPCIONES_FECHA!$E$2:$E$201,MATCH(1,(EXCEPCIONES_FECHA!$A$2:$A$201=$A1430)*(EXCEPCIONES_FECHA!$B$2:$B$201=""),0)),IFERROR(INDEX(IF($I1430="FIN",HISTORIAL_HORARIOS!$K$2:$K$201,HISTORIAL_HORARIOS!$G$2:$G$201),MATCH(1,(HISTORIAL_HORARIOS!$A$2:$A$201=$B1430)*(HISTORIAL_HORARIOS!$C$2:$C$201&lt;=$A1430)*(HISTORIAL_HORARIOS!$D$2:$D$201&gt;=$A1430),0)),INDEX(IF($I1430="FIN",PERSONAL!$K$2:$K$80,PERSONAL!$G$2:$G$80),MATCH($B1430,PERSONAL!$A$2:$A$80,0)))))</f>
        <v/>
      </c>
      <c r="O1430" s="53">
        <f t="array" ref="O1430">IFERROR(INDEX(EXCEPCIONES_FECHA!$F$2:$F$201,MATCH(1,(EXCEPCIONES_FECHA!$A$2:$A$201=$A1430)*(EXCEPCIONES_FECHA!$B$2:$B$201=$B1430),0)),IFERROR(INDEX(EXCEPCIONES_FECHA!$F$2:$F$201,MATCH(1,(EXCEPCIONES_FECHA!$A$2:$A$201=$A1430)*(EXCEPCIONES_FECHA!$B$2:$B$201=""),0)),IFERROR(INDEX(IF($I1430="FIN",HISTORIAL_HORARIOS!$L$2:$L$201,HISTORIAL_HORARIOS!$H$2:$H$201),MATCH(1,(HISTORIAL_HORARIOS!$A$2:$A$201=$B1430)*(HISTORIAL_HORARIOS!$C$2:$C$201&lt;=$A1430)*(HISTORIAL_HORARIOS!$D$2:$D$201&gt;=$A1430),0)),INDEX(IF($I1430="FIN",PERSONAL!$L$2:$L$80,PERSONAL!$H$2:$H$80),MATCH($B1430,PERSONAL!$A$2:$A$80,0)))))</f>
        <v/>
      </c>
    </row>
    <row r="1431" ht="15" customHeight="1" s="58">
      <c r="A1431" s="40" t="n"/>
      <c r="B1431" s="38" t="n"/>
      <c r="C1431" s="40" t="n"/>
      <c r="D1431" s="40" t="n"/>
      <c r="E1431" s="34">
        <f t="array" ref="E1431">IF($B1431="","",IFERROR(INDEX(PERSONAL!$B$2:$B$80,MATCH($B1431,PERSONAL!$A$2:$A$80,0)),"NO EXISTE"))</f>
        <v/>
      </c>
      <c r="F1431" s="34">
        <f t="array" ref="F1431">IF($B1431="","",IFERROR(INDEX(PERSONAL!$C$2:$C$80,MATCH($B1431,PERSONAL!$A$2:$A$80,0)),""))</f>
        <v/>
      </c>
      <c r="G1431" s="34">
        <f>IF($A1431="","",CHOOSE(WEEKDAY($A1431,2),"LUNES","MARTES","MIÉRCOLES","JUEVES","VIERNES","SÁBADO","DOMINGO"))</f>
        <v/>
      </c>
      <c r="H1431" s="34">
        <f>IF($A1431="","",CHOOSE(MONTH($A1431),"ENERO","FEBRERO","MARZO","ABRIL","MAYO","JUNIO","JULIO","AGOSTO","SEPTIEMBRE","OCTUBRE","NOVIEMBRE","DICIEMBRE"))</f>
        <v/>
      </c>
      <c r="I1431" s="34">
        <f>IF($A1431="","",IF(OR($G1431="SÁBADO",$G1431="DOMINGO"),"FIN","LV"))</f>
        <v/>
      </c>
      <c r="J1431" s="34">
        <f>IF(OR($A1431="",$B1431=""),"",IF($L1431&lt;&gt;"",UPPER($L1431),IF($C1431="","FALTA",IFERROR(IF($C1431&gt;=$O1431,"ROJO FUERTE",IF($C1431&gt;=$N1431,"ROJO",IF($C1431&gt;=$M1431,"AMARILLO","VERDE"))),"REVISAR"))))</f>
        <v/>
      </c>
      <c r="K1431" s="36">
        <f>IF(OR($C1431="",$D1431=""),"",IF($D1431&gt;=$C1431,($D1431-$C1431)*24,(1-$C1431+$D1431)*24))</f>
        <v/>
      </c>
      <c r="L1431" s="34" t="n"/>
      <c r="M1431" s="53">
        <f t="array" ref="M1431">IFERROR(INDEX(EXCEPCIONES_FECHA!$D$2:$D$201,MATCH(1,(EXCEPCIONES_FECHA!$A$2:$A$201=$A1431)*(EXCEPCIONES_FECHA!$B$2:$B$201=$B1431),0)),IFERROR(INDEX(EXCEPCIONES_FECHA!$D$2:$D$201,MATCH(1,(EXCEPCIONES_FECHA!$A$2:$A$201=$A1431)*(EXCEPCIONES_FECHA!$B$2:$B$201=""),0)),IFERROR(INDEX(IF($I1431="FIN",HISTORIAL_HORARIOS!$J$2:$J$201,HISTORIAL_HORARIOS!$F$2:$F$201),MATCH(1,(HISTORIAL_HORARIOS!$A$2:$A$201=$B1431)*(HISTORIAL_HORARIOS!$C$2:$C$201&lt;=$A1431)*(HISTORIAL_HORARIOS!$D$2:$D$201&gt;=$A1431),0)),INDEX(IF($I1431="FIN",PERSONAL!$J$2:$J$80,PERSONAL!$F$2:$F$80),MATCH($B1431,PERSONAL!$A$2:$A$80,0)))))</f>
        <v/>
      </c>
      <c r="N1431" s="53">
        <f t="array" ref="N1431">IFERROR(INDEX(EXCEPCIONES_FECHA!$E$2:$E$201,MATCH(1,(EXCEPCIONES_FECHA!$A$2:$A$201=$A1431)*(EXCEPCIONES_FECHA!$B$2:$B$201=$B1431),0)),IFERROR(INDEX(EXCEPCIONES_FECHA!$E$2:$E$201,MATCH(1,(EXCEPCIONES_FECHA!$A$2:$A$201=$A1431)*(EXCEPCIONES_FECHA!$B$2:$B$201=""),0)),IFERROR(INDEX(IF($I1431="FIN",HISTORIAL_HORARIOS!$K$2:$K$201,HISTORIAL_HORARIOS!$G$2:$G$201),MATCH(1,(HISTORIAL_HORARIOS!$A$2:$A$201=$B1431)*(HISTORIAL_HORARIOS!$C$2:$C$201&lt;=$A1431)*(HISTORIAL_HORARIOS!$D$2:$D$201&gt;=$A1431),0)),INDEX(IF($I1431="FIN",PERSONAL!$K$2:$K$80,PERSONAL!$G$2:$G$80),MATCH($B1431,PERSONAL!$A$2:$A$80,0)))))</f>
        <v/>
      </c>
      <c r="O1431" s="53">
        <f t="array" ref="O1431">IFERROR(INDEX(EXCEPCIONES_FECHA!$F$2:$F$201,MATCH(1,(EXCEPCIONES_FECHA!$A$2:$A$201=$A1431)*(EXCEPCIONES_FECHA!$B$2:$B$201=$B1431),0)),IFERROR(INDEX(EXCEPCIONES_FECHA!$F$2:$F$201,MATCH(1,(EXCEPCIONES_FECHA!$A$2:$A$201=$A1431)*(EXCEPCIONES_FECHA!$B$2:$B$201=""),0)),IFERROR(INDEX(IF($I1431="FIN",HISTORIAL_HORARIOS!$L$2:$L$201,HISTORIAL_HORARIOS!$H$2:$H$201),MATCH(1,(HISTORIAL_HORARIOS!$A$2:$A$201=$B1431)*(HISTORIAL_HORARIOS!$C$2:$C$201&lt;=$A1431)*(HISTORIAL_HORARIOS!$D$2:$D$201&gt;=$A1431),0)),INDEX(IF($I1431="FIN",PERSONAL!$L$2:$L$80,PERSONAL!$H$2:$H$80),MATCH($B1431,PERSONAL!$A$2:$A$80,0)))))</f>
        <v/>
      </c>
    </row>
    <row r="1432" ht="15" customHeight="1" s="58">
      <c r="A1432" s="40" t="n"/>
      <c r="B1432" s="38" t="n"/>
      <c r="C1432" s="40" t="n"/>
      <c r="D1432" s="40" t="n"/>
      <c r="E1432" s="34">
        <f t="array" ref="E1432">IF($B1432="","",IFERROR(INDEX(PERSONAL!$B$2:$B$80,MATCH($B1432,PERSONAL!$A$2:$A$80,0)),"NO EXISTE"))</f>
        <v/>
      </c>
      <c r="F1432" s="34">
        <f t="array" ref="F1432">IF($B1432="","",IFERROR(INDEX(PERSONAL!$C$2:$C$80,MATCH($B1432,PERSONAL!$A$2:$A$80,0)),""))</f>
        <v/>
      </c>
      <c r="G1432" s="34">
        <f>IF($A1432="","",CHOOSE(WEEKDAY($A1432,2),"LUNES","MARTES","MIÉRCOLES","JUEVES","VIERNES","SÁBADO","DOMINGO"))</f>
        <v/>
      </c>
      <c r="H1432" s="34">
        <f>IF($A1432="","",CHOOSE(MONTH($A1432),"ENERO","FEBRERO","MARZO","ABRIL","MAYO","JUNIO","JULIO","AGOSTO","SEPTIEMBRE","OCTUBRE","NOVIEMBRE","DICIEMBRE"))</f>
        <v/>
      </c>
      <c r="I1432" s="34">
        <f>IF($A1432="","",IF(OR($G1432="SÁBADO",$G1432="DOMINGO"),"FIN","LV"))</f>
        <v/>
      </c>
      <c r="J1432" s="34">
        <f>IF(OR($A1432="",$B1432=""),"",IF($L1432&lt;&gt;"",UPPER($L1432),IF($C1432="","FALTA",IFERROR(IF($C1432&gt;=$O1432,"ROJO FUERTE",IF($C1432&gt;=$N1432,"ROJO",IF($C1432&gt;=$M1432,"AMARILLO","VERDE"))),"REVISAR"))))</f>
        <v/>
      </c>
      <c r="K1432" s="36">
        <f>IF(OR($C1432="",$D1432=""),"",IF($D1432&gt;=$C1432,($D1432-$C1432)*24,(1-$C1432+$D1432)*24))</f>
        <v/>
      </c>
      <c r="L1432" s="34" t="n"/>
      <c r="M1432" s="53">
        <f t="array" ref="M1432">IFERROR(INDEX(EXCEPCIONES_FECHA!$D$2:$D$201,MATCH(1,(EXCEPCIONES_FECHA!$A$2:$A$201=$A1432)*(EXCEPCIONES_FECHA!$B$2:$B$201=$B1432),0)),IFERROR(INDEX(EXCEPCIONES_FECHA!$D$2:$D$201,MATCH(1,(EXCEPCIONES_FECHA!$A$2:$A$201=$A1432)*(EXCEPCIONES_FECHA!$B$2:$B$201=""),0)),IFERROR(INDEX(IF($I1432="FIN",HISTORIAL_HORARIOS!$J$2:$J$201,HISTORIAL_HORARIOS!$F$2:$F$201),MATCH(1,(HISTORIAL_HORARIOS!$A$2:$A$201=$B1432)*(HISTORIAL_HORARIOS!$C$2:$C$201&lt;=$A1432)*(HISTORIAL_HORARIOS!$D$2:$D$201&gt;=$A1432),0)),INDEX(IF($I1432="FIN",PERSONAL!$J$2:$J$80,PERSONAL!$F$2:$F$80),MATCH($B1432,PERSONAL!$A$2:$A$80,0)))))</f>
        <v/>
      </c>
      <c r="N1432" s="53">
        <f t="array" ref="N1432">IFERROR(INDEX(EXCEPCIONES_FECHA!$E$2:$E$201,MATCH(1,(EXCEPCIONES_FECHA!$A$2:$A$201=$A1432)*(EXCEPCIONES_FECHA!$B$2:$B$201=$B1432),0)),IFERROR(INDEX(EXCEPCIONES_FECHA!$E$2:$E$201,MATCH(1,(EXCEPCIONES_FECHA!$A$2:$A$201=$A1432)*(EXCEPCIONES_FECHA!$B$2:$B$201=""),0)),IFERROR(INDEX(IF($I1432="FIN",HISTORIAL_HORARIOS!$K$2:$K$201,HISTORIAL_HORARIOS!$G$2:$G$201),MATCH(1,(HISTORIAL_HORARIOS!$A$2:$A$201=$B1432)*(HISTORIAL_HORARIOS!$C$2:$C$201&lt;=$A1432)*(HISTORIAL_HORARIOS!$D$2:$D$201&gt;=$A1432),0)),INDEX(IF($I1432="FIN",PERSONAL!$K$2:$K$80,PERSONAL!$G$2:$G$80),MATCH($B1432,PERSONAL!$A$2:$A$80,0)))))</f>
        <v/>
      </c>
      <c r="O1432" s="53">
        <f t="array" ref="O1432">IFERROR(INDEX(EXCEPCIONES_FECHA!$F$2:$F$201,MATCH(1,(EXCEPCIONES_FECHA!$A$2:$A$201=$A1432)*(EXCEPCIONES_FECHA!$B$2:$B$201=$B1432),0)),IFERROR(INDEX(EXCEPCIONES_FECHA!$F$2:$F$201,MATCH(1,(EXCEPCIONES_FECHA!$A$2:$A$201=$A1432)*(EXCEPCIONES_FECHA!$B$2:$B$201=""),0)),IFERROR(INDEX(IF($I1432="FIN",HISTORIAL_HORARIOS!$L$2:$L$201,HISTORIAL_HORARIOS!$H$2:$H$201),MATCH(1,(HISTORIAL_HORARIOS!$A$2:$A$201=$B1432)*(HISTORIAL_HORARIOS!$C$2:$C$201&lt;=$A1432)*(HISTORIAL_HORARIOS!$D$2:$D$201&gt;=$A1432),0)),INDEX(IF($I1432="FIN",PERSONAL!$L$2:$L$80,PERSONAL!$H$2:$H$80),MATCH($B1432,PERSONAL!$A$2:$A$80,0)))))</f>
        <v/>
      </c>
    </row>
    <row r="1433" ht="15" customHeight="1" s="58">
      <c r="A1433" s="40" t="n"/>
      <c r="B1433" s="38" t="n"/>
      <c r="C1433" s="40" t="n"/>
      <c r="D1433" s="40" t="n"/>
      <c r="E1433" s="34">
        <f t="array" ref="E1433">IF($B1433="","",IFERROR(INDEX(PERSONAL!$B$2:$B$80,MATCH($B1433,PERSONAL!$A$2:$A$80,0)),"NO EXISTE"))</f>
        <v/>
      </c>
      <c r="F1433" s="34">
        <f t="array" ref="F1433">IF($B1433="","",IFERROR(INDEX(PERSONAL!$C$2:$C$80,MATCH($B1433,PERSONAL!$A$2:$A$80,0)),""))</f>
        <v/>
      </c>
      <c r="G1433" s="34">
        <f>IF($A1433="","",CHOOSE(WEEKDAY($A1433,2),"LUNES","MARTES","MIÉRCOLES","JUEVES","VIERNES","SÁBADO","DOMINGO"))</f>
        <v/>
      </c>
      <c r="H1433" s="34">
        <f>IF($A1433="","",CHOOSE(MONTH($A1433),"ENERO","FEBRERO","MARZO","ABRIL","MAYO","JUNIO","JULIO","AGOSTO","SEPTIEMBRE","OCTUBRE","NOVIEMBRE","DICIEMBRE"))</f>
        <v/>
      </c>
      <c r="I1433" s="34">
        <f>IF($A1433="","",IF(OR($G1433="SÁBADO",$G1433="DOMINGO"),"FIN","LV"))</f>
        <v/>
      </c>
      <c r="J1433" s="34">
        <f>IF(OR($A1433="",$B1433=""),"",IF($L1433&lt;&gt;"",UPPER($L1433),IF($C1433="","FALTA",IFERROR(IF($C1433&gt;=$O1433,"ROJO FUERTE",IF($C1433&gt;=$N1433,"ROJO",IF($C1433&gt;=$M1433,"AMARILLO","VERDE"))),"REVISAR"))))</f>
        <v/>
      </c>
      <c r="K1433" s="36">
        <f>IF(OR($C1433="",$D1433=""),"",IF($D1433&gt;=$C1433,($D1433-$C1433)*24,(1-$C1433+$D1433)*24))</f>
        <v/>
      </c>
      <c r="L1433" s="34" t="n"/>
      <c r="M1433" s="53">
        <f t="array" ref="M1433">IFERROR(INDEX(EXCEPCIONES_FECHA!$D$2:$D$201,MATCH(1,(EXCEPCIONES_FECHA!$A$2:$A$201=$A1433)*(EXCEPCIONES_FECHA!$B$2:$B$201=$B1433),0)),IFERROR(INDEX(EXCEPCIONES_FECHA!$D$2:$D$201,MATCH(1,(EXCEPCIONES_FECHA!$A$2:$A$201=$A1433)*(EXCEPCIONES_FECHA!$B$2:$B$201=""),0)),IFERROR(INDEX(IF($I1433="FIN",HISTORIAL_HORARIOS!$J$2:$J$201,HISTORIAL_HORARIOS!$F$2:$F$201),MATCH(1,(HISTORIAL_HORARIOS!$A$2:$A$201=$B1433)*(HISTORIAL_HORARIOS!$C$2:$C$201&lt;=$A1433)*(HISTORIAL_HORARIOS!$D$2:$D$201&gt;=$A1433),0)),INDEX(IF($I1433="FIN",PERSONAL!$J$2:$J$80,PERSONAL!$F$2:$F$80),MATCH($B1433,PERSONAL!$A$2:$A$80,0)))))</f>
        <v/>
      </c>
      <c r="N1433" s="53">
        <f t="array" ref="N1433">IFERROR(INDEX(EXCEPCIONES_FECHA!$E$2:$E$201,MATCH(1,(EXCEPCIONES_FECHA!$A$2:$A$201=$A1433)*(EXCEPCIONES_FECHA!$B$2:$B$201=$B1433),0)),IFERROR(INDEX(EXCEPCIONES_FECHA!$E$2:$E$201,MATCH(1,(EXCEPCIONES_FECHA!$A$2:$A$201=$A1433)*(EXCEPCIONES_FECHA!$B$2:$B$201=""),0)),IFERROR(INDEX(IF($I1433="FIN",HISTORIAL_HORARIOS!$K$2:$K$201,HISTORIAL_HORARIOS!$G$2:$G$201),MATCH(1,(HISTORIAL_HORARIOS!$A$2:$A$201=$B1433)*(HISTORIAL_HORARIOS!$C$2:$C$201&lt;=$A1433)*(HISTORIAL_HORARIOS!$D$2:$D$201&gt;=$A1433),0)),INDEX(IF($I1433="FIN",PERSONAL!$K$2:$K$80,PERSONAL!$G$2:$G$80),MATCH($B1433,PERSONAL!$A$2:$A$80,0)))))</f>
        <v/>
      </c>
      <c r="O1433" s="53">
        <f t="array" ref="O1433">IFERROR(INDEX(EXCEPCIONES_FECHA!$F$2:$F$201,MATCH(1,(EXCEPCIONES_FECHA!$A$2:$A$201=$A1433)*(EXCEPCIONES_FECHA!$B$2:$B$201=$B1433),0)),IFERROR(INDEX(EXCEPCIONES_FECHA!$F$2:$F$201,MATCH(1,(EXCEPCIONES_FECHA!$A$2:$A$201=$A1433)*(EXCEPCIONES_FECHA!$B$2:$B$201=""),0)),IFERROR(INDEX(IF($I1433="FIN",HISTORIAL_HORARIOS!$L$2:$L$201,HISTORIAL_HORARIOS!$H$2:$H$201),MATCH(1,(HISTORIAL_HORARIOS!$A$2:$A$201=$B1433)*(HISTORIAL_HORARIOS!$C$2:$C$201&lt;=$A1433)*(HISTORIAL_HORARIOS!$D$2:$D$201&gt;=$A1433),0)),INDEX(IF($I1433="FIN",PERSONAL!$L$2:$L$80,PERSONAL!$H$2:$H$80),MATCH($B1433,PERSONAL!$A$2:$A$80,0)))))</f>
        <v/>
      </c>
    </row>
    <row r="1434" ht="15" customHeight="1" s="58">
      <c r="A1434" s="40" t="n"/>
      <c r="B1434" s="38" t="n"/>
      <c r="C1434" s="40" t="n"/>
      <c r="D1434" s="40" t="n"/>
      <c r="E1434" s="34">
        <f t="array" ref="E1434">IF($B1434="","",IFERROR(INDEX(PERSONAL!$B$2:$B$80,MATCH($B1434,PERSONAL!$A$2:$A$80,0)),"NO EXISTE"))</f>
        <v/>
      </c>
      <c r="F1434" s="34">
        <f t="array" ref="F1434">IF($B1434="","",IFERROR(INDEX(PERSONAL!$C$2:$C$80,MATCH($B1434,PERSONAL!$A$2:$A$80,0)),""))</f>
        <v/>
      </c>
      <c r="G1434" s="34">
        <f>IF($A1434="","",CHOOSE(WEEKDAY($A1434,2),"LUNES","MARTES","MIÉRCOLES","JUEVES","VIERNES","SÁBADO","DOMINGO"))</f>
        <v/>
      </c>
      <c r="H1434" s="34">
        <f>IF($A1434="","",CHOOSE(MONTH($A1434),"ENERO","FEBRERO","MARZO","ABRIL","MAYO","JUNIO","JULIO","AGOSTO","SEPTIEMBRE","OCTUBRE","NOVIEMBRE","DICIEMBRE"))</f>
        <v/>
      </c>
      <c r="I1434" s="34">
        <f>IF($A1434="","",IF(OR($G1434="SÁBADO",$G1434="DOMINGO"),"FIN","LV"))</f>
        <v/>
      </c>
      <c r="J1434" s="34">
        <f>IF(OR($A1434="",$B1434=""),"",IF($L1434&lt;&gt;"",UPPER($L1434),IF($C1434="","FALTA",IFERROR(IF($C1434&gt;=$O1434,"ROJO FUERTE",IF($C1434&gt;=$N1434,"ROJO",IF($C1434&gt;=$M1434,"AMARILLO","VERDE"))),"REVISAR"))))</f>
        <v/>
      </c>
      <c r="K1434" s="36">
        <f>IF(OR($C1434="",$D1434=""),"",IF($D1434&gt;=$C1434,($D1434-$C1434)*24,(1-$C1434+$D1434)*24))</f>
        <v/>
      </c>
      <c r="L1434" s="34" t="n"/>
      <c r="M1434" s="53">
        <f t="array" ref="M1434">IFERROR(INDEX(EXCEPCIONES_FECHA!$D$2:$D$201,MATCH(1,(EXCEPCIONES_FECHA!$A$2:$A$201=$A1434)*(EXCEPCIONES_FECHA!$B$2:$B$201=$B1434),0)),IFERROR(INDEX(EXCEPCIONES_FECHA!$D$2:$D$201,MATCH(1,(EXCEPCIONES_FECHA!$A$2:$A$201=$A1434)*(EXCEPCIONES_FECHA!$B$2:$B$201=""),0)),IFERROR(INDEX(IF($I1434="FIN",HISTORIAL_HORARIOS!$J$2:$J$201,HISTORIAL_HORARIOS!$F$2:$F$201),MATCH(1,(HISTORIAL_HORARIOS!$A$2:$A$201=$B1434)*(HISTORIAL_HORARIOS!$C$2:$C$201&lt;=$A1434)*(HISTORIAL_HORARIOS!$D$2:$D$201&gt;=$A1434),0)),INDEX(IF($I1434="FIN",PERSONAL!$J$2:$J$80,PERSONAL!$F$2:$F$80),MATCH($B1434,PERSONAL!$A$2:$A$80,0)))))</f>
        <v/>
      </c>
      <c r="N1434" s="53">
        <f t="array" ref="N1434">IFERROR(INDEX(EXCEPCIONES_FECHA!$E$2:$E$201,MATCH(1,(EXCEPCIONES_FECHA!$A$2:$A$201=$A1434)*(EXCEPCIONES_FECHA!$B$2:$B$201=$B1434),0)),IFERROR(INDEX(EXCEPCIONES_FECHA!$E$2:$E$201,MATCH(1,(EXCEPCIONES_FECHA!$A$2:$A$201=$A1434)*(EXCEPCIONES_FECHA!$B$2:$B$201=""),0)),IFERROR(INDEX(IF($I1434="FIN",HISTORIAL_HORARIOS!$K$2:$K$201,HISTORIAL_HORARIOS!$G$2:$G$201),MATCH(1,(HISTORIAL_HORARIOS!$A$2:$A$201=$B1434)*(HISTORIAL_HORARIOS!$C$2:$C$201&lt;=$A1434)*(HISTORIAL_HORARIOS!$D$2:$D$201&gt;=$A1434),0)),INDEX(IF($I1434="FIN",PERSONAL!$K$2:$K$80,PERSONAL!$G$2:$G$80),MATCH($B1434,PERSONAL!$A$2:$A$80,0)))))</f>
        <v/>
      </c>
      <c r="O1434" s="53">
        <f t="array" ref="O1434">IFERROR(INDEX(EXCEPCIONES_FECHA!$F$2:$F$201,MATCH(1,(EXCEPCIONES_FECHA!$A$2:$A$201=$A1434)*(EXCEPCIONES_FECHA!$B$2:$B$201=$B1434),0)),IFERROR(INDEX(EXCEPCIONES_FECHA!$F$2:$F$201,MATCH(1,(EXCEPCIONES_FECHA!$A$2:$A$201=$A1434)*(EXCEPCIONES_FECHA!$B$2:$B$201=""),0)),IFERROR(INDEX(IF($I1434="FIN",HISTORIAL_HORARIOS!$L$2:$L$201,HISTORIAL_HORARIOS!$H$2:$H$201),MATCH(1,(HISTORIAL_HORARIOS!$A$2:$A$201=$B1434)*(HISTORIAL_HORARIOS!$C$2:$C$201&lt;=$A1434)*(HISTORIAL_HORARIOS!$D$2:$D$201&gt;=$A1434),0)),INDEX(IF($I1434="FIN",PERSONAL!$L$2:$L$80,PERSONAL!$H$2:$H$80),MATCH($B1434,PERSONAL!$A$2:$A$80,0)))))</f>
        <v/>
      </c>
    </row>
    <row r="1435" ht="15" customHeight="1" s="58">
      <c r="A1435" s="40" t="n"/>
      <c r="B1435" s="38" t="n"/>
      <c r="C1435" s="40" t="n"/>
      <c r="D1435" s="40" t="n"/>
      <c r="E1435" s="34">
        <f t="array" ref="E1435">IF($B1435="","",IFERROR(INDEX(PERSONAL!$B$2:$B$80,MATCH($B1435,PERSONAL!$A$2:$A$80,0)),"NO EXISTE"))</f>
        <v/>
      </c>
      <c r="F1435" s="34">
        <f t="array" ref="F1435">IF($B1435="","",IFERROR(INDEX(PERSONAL!$C$2:$C$80,MATCH($B1435,PERSONAL!$A$2:$A$80,0)),""))</f>
        <v/>
      </c>
      <c r="G1435" s="34">
        <f>IF($A1435="","",CHOOSE(WEEKDAY($A1435,2),"LUNES","MARTES","MIÉRCOLES","JUEVES","VIERNES","SÁBADO","DOMINGO"))</f>
        <v/>
      </c>
      <c r="H1435" s="34">
        <f>IF($A1435="","",CHOOSE(MONTH($A1435),"ENERO","FEBRERO","MARZO","ABRIL","MAYO","JUNIO","JULIO","AGOSTO","SEPTIEMBRE","OCTUBRE","NOVIEMBRE","DICIEMBRE"))</f>
        <v/>
      </c>
      <c r="I1435" s="34">
        <f>IF($A1435="","",IF(OR($G1435="SÁBADO",$G1435="DOMINGO"),"FIN","LV"))</f>
        <v/>
      </c>
      <c r="J1435" s="34">
        <f>IF(OR($A1435="",$B1435=""),"",IF($L1435&lt;&gt;"",UPPER($L1435),IF($C1435="","FALTA",IFERROR(IF($C1435&gt;=$O1435,"ROJO FUERTE",IF($C1435&gt;=$N1435,"ROJO",IF($C1435&gt;=$M1435,"AMARILLO","VERDE"))),"REVISAR"))))</f>
        <v/>
      </c>
      <c r="K1435" s="36">
        <f>IF(OR($C1435="",$D1435=""),"",IF($D1435&gt;=$C1435,($D1435-$C1435)*24,(1-$C1435+$D1435)*24))</f>
        <v/>
      </c>
      <c r="L1435" s="34" t="n"/>
      <c r="M1435" s="53">
        <f t="array" ref="M1435">IFERROR(INDEX(EXCEPCIONES_FECHA!$D$2:$D$201,MATCH(1,(EXCEPCIONES_FECHA!$A$2:$A$201=$A1435)*(EXCEPCIONES_FECHA!$B$2:$B$201=$B1435),0)),IFERROR(INDEX(EXCEPCIONES_FECHA!$D$2:$D$201,MATCH(1,(EXCEPCIONES_FECHA!$A$2:$A$201=$A1435)*(EXCEPCIONES_FECHA!$B$2:$B$201=""),0)),IFERROR(INDEX(IF($I1435="FIN",HISTORIAL_HORARIOS!$J$2:$J$201,HISTORIAL_HORARIOS!$F$2:$F$201),MATCH(1,(HISTORIAL_HORARIOS!$A$2:$A$201=$B1435)*(HISTORIAL_HORARIOS!$C$2:$C$201&lt;=$A1435)*(HISTORIAL_HORARIOS!$D$2:$D$201&gt;=$A1435),0)),INDEX(IF($I1435="FIN",PERSONAL!$J$2:$J$80,PERSONAL!$F$2:$F$80),MATCH($B1435,PERSONAL!$A$2:$A$80,0)))))</f>
        <v/>
      </c>
      <c r="N1435" s="53">
        <f t="array" ref="N1435">IFERROR(INDEX(EXCEPCIONES_FECHA!$E$2:$E$201,MATCH(1,(EXCEPCIONES_FECHA!$A$2:$A$201=$A1435)*(EXCEPCIONES_FECHA!$B$2:$B$201=$B1435),0)),IFERROR(INDEX(EXCEPCIONES_FECHA!$E$2:$E$201,MATCH(1,(EXCEPCIONES_FECHA!$A$2:$A$201=$A1435)*(EXCEPCIONES_FECHA!$B$2:$B$201=""),0)),IFERROR(INDEX(IF($I1435="FIN",HISTORIAL_HORARIOS!$K$2:$K$201,HISTORIAL_HORARIOS!$G$2:$G$201),MATCH(1,(HISTORIAL_HORARIOS!$A$2:$A$201=$B1435)*(HISTORIAL_HORARIOS!$C$2:$C$201&lt;=$A1435)*(HISTORIAL_HORARIOS!$D$2:$D$201&gt;=$A1435),0)),INDEX(IF($I1435="FIN",PERSONAL!$K$2:$K$80,PERSONAL!$G$2:$G$80),MATCH($B1435,PERSONAL!$A$2:$A$80,0)))))</f>
        <v/>
      </c>
      <c r="O1435" s="53">
        <f t="array" ref="O1435">IFERROR(INDEX(EXCEPCIONES_FECHA!$F$2:$F$201,MATCH(1,(EXCEPCIONES_FECHA!$A$2:$A$201=$A1435)*(EXCEPCIONES_FECHA!$B$2:$B$201=$B1435),0)),IFERROR(INDEX(EXCEPCIONES_FECHA!$F$2:$F$201,MATCH(1,(EXCEPCIONES_FECHA!$A$2:$A$201=$A1435)*(EXCEPCIONES_FECHA!$B$2:$B$201=""),0)),IFERROR(INDEX(IF($I1435="FIN",HISTORIAL_HORARIOS!$L$2:$L$201,HISTORIAL_HORARIOS!$H$2:$H$201),MATCH(1,(HISTORIAL_HORARIOS!$A$2:$A$201=$B1435)*(HISTORIAL_HORARIOS!$C$2:$C$201&lt;=$A1435)*(HISTORIAL_HORARIOS!$D$2:$D$201&gt;=$A1435),0)),INDEX(IF($I1435="FIN",PERSONAL!$L$2:$L$80,PERSONAL!$H$2:$H$80),MATCH($B1435,PERSONAL!$A$2:$A$80,0)))))</f>
        <v/>
      </c>
    </row>
    <row r="1436" ht="15" customHeight="1" s="58">
      <c r="A1436" s="40" t="n"/>
      <c r="B1436" s="38" t="n"/>
      <c r="C1436" s="40" t="n"/>
      <c r="D1436" s="40" t="n"/>
      <c r="E1436" s="34">
        <f t="array" ref="E1436">IF($B1436="","",IFERROR(INDEX(PERSONAL!$B$2:$B$80,MATCH($B1436,PERSONAL!$A$2:$A$80,0)),"NO EXISTE"))</f>
        <v/>
      </c>
      <c r="F1436" s="34">
        <f t="array" ref="F1436">IF($B1436="","",IFERROR(INDEX(PERSONAL!$C$2:$C$80,MATCH($B1436,PERSONAL!$A$2:$A$80,0)),""))</f>
        <v/>
      </c>
      <c r="G1436" s="34">
        <f>IF($A1436="","",CHOOSE(WEEKDAY($A1436,2),"LUNES","MARTES","MIÉRCOLES","JUEVES","VIERNES","SÁBADO","DOMINGO"))</f>
        <v/>
      </c>
      <c r="H1436" s="34">
        <f>IF($A1436="","",CHOOSE(MONTH($A1436),"ENERO","FEBRERO","MARZO","ABRIL","MAYO","JUNIO","JULIO","AGOSTO","SEPTIEMBRE","OCTUBRE","NOVIEMBRE","DICIEMBRE"))</f>
        <v/>
      </c>
      <c r="I1436" s="34">
        <f>IF($A1436="","",IF(OR($G1436="SÁBADO",$G1436="DOMINGO"),"FIN","LV"))</f>
        <v/>
      </c>
      <c r="J1436" s="34">
        <f>IF(OR($A1436="",$B1436=""),"",IF($L1436&lt;&gt;"",UPPER($L1436),IF($C1436="","FALTA",IFERROR(IF($C1436&gt;=$O1436,"ROJO FUERTE",IF($C1436&gt;=$N1436,"ROJO",IF($C1436&gt;=$M1436,"AMARILLO","VERDE"))),"REVISAR"))))</f>
        <v/>
      </c>
      <c r="K1436" s="36">
        <f>IF(OR($C1436="",$D1436=""),"",IF($D1436&gt;=$C1436,($D1436-$C1436)*24,(1-$C1436+$D1436)*24))</f>
        <v/>
      </c>
      <c r="L1436" s="34" t="n"/>
      <c r="M1436" s="53">
        <f t="array" ref="M1436">IFERROR(INDEX(EXCEPCIONES_FECHA!$D$2:$D$201,MATCH(1,(EXCEPCIONES_FECHA!$A$2:$A$201=$A1436)*(EXCEPCIONES_FECHA!$B$2:$B$201=$B1436),0)),IFERROR(INDEX(EXCEPCIONES_FECHA!$D$2:$D$201,MATCH(1,(EXCEPCIONES_FECHA!$A$2:$A$201=$A1436)*(EXCEPCIONES_FECHA!$B$2:$B$201=""),0)),IFERROR(INDEX(IF($I1436="FIN",HISTORIAL_HORARIOS!$J$2:$J$201,HISTORIAL_HORARIOS!$F$2:$F$201),MATCH(1,(HISTORIAL_HORARIOS!$A$2:$A$201=$B1436)*(HISTORIAL_HORARIOS!$C$2:$C$201&lt;=$A1436)*(HISTORIAL_HORARIOS!$D$2:$D$201&gt;=$A1436),0)),INDEX(IF($I1436="FIN",PERSONAL!$J$2:$J$80,PERSONAL!$F$2:$F$80),MATCH($B1436,PERSONAL!$A$2:$A$80,0)))))</f>
        <v/>
      </c>
      <c r="N1436" s="53">
        <f t="array" ref="N1436">IFERROR(INDEX(EXCEPCIONES_FECHA!$E$2:$E$201,MATCH(1,(EXCEPCIONES_FECHA!$A$2:$A$201=$A1436)*(EXCEPCIONES_FECHA!$B$2:$B$201=$B1436),0)),IFERROR(INDEX(EXCEPCIONES_FECHA!$E$2:$E$201,MATCH(1,(EXCEPCIONES_FECHA!$A$2:$A$201=$A1436)*(EXCEPCIONES_FECHA!$B$2:$B$201=""),0)),IFERROR(INDEX(IF($I1436="FIN",HISTORIAL_HORARIOS!$K$2:$K$201,HISTORIAL_HORARIOS!$G$2:$G$201),MATCH(1,(HISTORIAL_HORARIOS!$A$2:$A$201=$B1436)*(HISTORIAL_HORARIOS!$C$2:$C$201&lt;=$A1436)*(HISTORIAL_HORARIOS!$D$2:$D$201&gt;=$A1436),0)),INDEX(IF($I1436="FIN",PERSONAL!$K$2:$K$80,PERSONAL!$G$2:$G$80),MATCH($B1436,PERSONAL!$A$2:$A$80,0)))))</f>
        <v/>
      </c>
      <c r="O1436" s="53">
        <f t="array" ref="O1436">IFERROR(INDEX(EXCEPCIONES_FECHA!$F$2:$F$201,MATCH(1,(EXCEPCIONES_FECHA!$A$2:$A$201=$A1436)*(EXCEPCIONES_FECHA!$B$2:$B$201=$B1436),0)),IFERROR(INDEX(EXCEPCIONES_FECHA!$F$2:$F$201,MATCH(1,(EXCEPCIONES_FECHA!$A$2:$A$201=$A1436)*(EXCEPCIONES_FECHA!$B$2:$B$201=""),0)),IFERROR(INDEX(IF($I1436="FIN",HISTORIAL_HORARIOS!$L$2:$L$201,HISTORIAL_HORARIOS!$H$2:$H$201),MATCH(1,(HISTORIAL_HORARIOS!$A$2:$A$201=$B1436)*(HISTORIAL_HORARIOS!$C$2:$C$201&lt;=$A1436)*(HISTORIAL_HORARIOS!$D$2:$D$201&gt;=$A1436),0)),INDEX(IF($I1436="FIN",PERSONAL!$L$2:$L$80,PERSONAL!$H$2:$H$80),MATCH($B1436,PERSONAL!$A$2:$A$80,0)))))</f>
        <v/>
      </c>
    </row>
    <row r="1437" ht="15" customHeight="1" s="58">
      <c r="A1437" s="40" t="n"/>
      <c r="B1437" s="38" t="n"/>
      <c r="C1437" s="40" t="n"/>
      <c r="D1437" s="40" t="n"/>
      <c r="E1437" s="34">
        <f t="array" ref="E1437">IF($B1437="","",IFERROR(INDEX(PERSONAL!$B$2:$B$80,MATCH($B1437,PERSONAL!$A$2:$A$80,0)),"NO EXISTE"))</f>
        <v/>
      </c>
      <c r="F1437" s="34">
        <f t="array" ref="F1437">IF($B1437="","",IFERROR(INDEX(PERSONAL!$C$2:$C$80,MATCH($B1437,PERSONAL!$A$2:$A$80,0)),""))</f>
        <v/>
      </c>
      <c r="G1437" s="34">
        <f>IF($A1437="","",CHOOSE(WEEKDAY($A1437,2),"LUNES","MARTES","MIÉRCOLES","JUEVES","VIERNES","SÁBADO","DOMINGO"))</f>
        <v/>
      </c>
      <c r="H1437" s="34">
        <f>IF($A1437="","",CHOOSE(MONTH($A1437),"ENERO","FEBRERO","MARZO","ABRIL","MAYO","JUNIO","JULIO","AGOSTO","SEPTIEMBRE","OCTUBRE","NOVIEMBRE","DICIEMBRE"))</f>
        <v/>
      </c>
      <c r="I1437" s="34">
        <f>IF($A1437="","",IF(OR($G1437="SÁBADO",$G1437="DOMINGO"),"FIN","LV"))</f>
        <v/>
      </c>
      <c r="J1437" s="34">
        <f>IF(OR($A1437="",$B1437=""),"",IF($L1437&lt;&gt;"",UPPER($L1437),IF($C1437="","FALTA",IFERROR(IF($C1437&gt;=$O1437,"ROJO FUERTE",IF($C1437&gt;=$N1437,"ROJO",IF($C1437&gt;=$M1437,"AMARILLO","VERDE"))),"REVISAR"))))</f>
        <v/>
      </c>
      <c r="K1437" s="36">
        <f>IF(OR($C1437="",$D1437=""),"",IF($D1437&gt;=$C1437,($D1437-$C1437)*24,(1-$C1437+$D1437)*24))</f>
        <v/>
      </c>
      <c r="L1437" s="34" t="n"/>
      <c r="M1437" s="53">
        <f t="array" ref="M1437">IFERROR(INDEX(EXCEPCIONES_FECHA!$D$2:$D$201,MATCH(1,(EXCEPCIONES_FECHA!$A$2:$A$201=$A1437)*(EXCEPCIONES_FECHA!$B$2:$B$201=$B1437),0)),IFERROR(INDEX(EXCEPCIONES_FECHA!$D$2:$D$201,MATCH(1,(EXCEPCIONES_FECHA!$A$2:$A$201=$A1437)*(EXCEPCIONES_FECHA!$B$2:$B$201=""),0)),IFERROR(INDEX(IF($I1437="FIN",HISTORIAL_HORARIOS!$J$2:$J$201,HISTORIAL_HORARIOS!$F$2:$F$201),MATCH(1,(HISTORIAL_HORARIOS!$A$2:$A$201=$B1437)*(HISTORIAL_HORARIOS!$C$2:$C$201&lt;=$A1437)*(HISTORIAL_HORARIOS!$D$2:$D$201&gt;=$A1437),0)),INDEX(IF($I1437="FIN",PERSONAL!$J$2:$J$80,PERSONAL!$F$2:$F$80),MATCH($B1437,PERSONAL!$A$2:$A$80,0)))))</f>
        <v/>
      </c>
      <c r="N1437" s="53">
        <f t="array" ref="N1437">IFERROR(INDEX(EXCEPCIONES_FECHA!$E$2:$E$201,MATCH(1,(EXCEPCIONES_FECHA!$A$2:$A$201=$A1437)*(EXCEPCIONES_FECHA!$B$2:$B$201=$B1437),0)),IFERROR(INDEX(EXCEPCIONES_FECHA!$E$2:$E$201,MATCH(1,(EXCEPCIONES_FECHA!$A$2:$A$201=$A1437)*(EXCEPCIONES_FECHA!$B$2:$B$201=""),0)),IFERROR(INDEX(IF($I1437="FIN",HISTORIAL_HORARIOS!$K$2:$K$201,HISTORIAL_HORARIOS!$G$2:$G$201),MATCH(1,(HISTORIAL_HORARIOS!$A$2:$A$201=$B1437)*(HISTORIAL_HORARIOS!$C$2:$C$201&lt;=$A1437)*(HISTORIAL_HORARIOS!$D$2:$D$201&gt;=$A1437),0)),INDEX(IF($I1437="FIN",PERSONAL!$K$2:$K$80,PERSONAL!$G$2:$G$80),MATCH($B1437,PERSONAL!$A$2:$A$80,0)))))</f>
        <v/>
      </c>
      <c r="O1437" s="53">
        <f t="array" ref="O1437">IFERROR(INDEX(EXCEPCIONES_FECHA!$F$2:$F$201,MATCH(1,(EXCEPCIONES_FECHA!$A$2:$A$201=$A1437)*(EXCEPCIONES_FECHA!$B$2:$B$201=$B1437),0)),IFERROR(INDEX(EXCEPCIONES_FECHA!$F$2:$F$201,MATCH(1,(EXCEPCIONES_FECHA!$A$2:$A$201=$A1437)*(EXCEPCIONES_FECHA!$B$2:$B$201=""),0)),IFERROR(INDEX(IF($I1437="FIN",HISTORIAL_HORARIOS!$L$2:$L$201,HISTORIAL_HORARIOS!$H$2:$H$201),MATCH(1,(HISTORIAL_HORARIOS!$A$2:$A$201=$B1437)*(HISTORIAL_HORARIOS!$C$2:$C$201&lt;=$A1437)*(HISTORIAL_HORARIOS!$D$2:$D$201&gt;=$A1437),0)),INDEX(IF($I1437="FIN",PERSONAL!$L$2:$L$80,PERSONAL!$H$2:$H$80),MATCH($B1437,PERSONAL!$A$2:$A$80,0)))))</f>
        <v/>
      </c>
    </row>
    <row r="1438" ht="15" customHeight="1" s="58">
      <c r="A1438" s="40" t="n"/>
      <c r="B1438" s="38" t="n"/>
      <c r="C1438" s="40" t="n"/>
      <c r="D1438" s="40" t="n"/>
      <c r="E1438" s="34">
        <f t="array" ref="E1438">IF($B1438="","",IFERROR(INDEX(PERSONAL!$B$2:$B$80,MATCH($B1438,PERSONAL!$A$2:$A$80,0)),"NO EXISTE"))</f>
        <v/>
      </c>
      <c r="F1438" s="34">
        <f t="array" ref="F1438">IF($B1438="","",IFERROR(INDEX(PERSONAL!$C$2:$C$80,MATCH($B1438,PERSONAL!$A$2:$A$80,0)),""))</f>
        <v/>
      </c>
      <c r="G1438" s="34">
        <f>IF($A1438="","",CHOOSE(WEEKDAY($A1438,2),"LUNES","MARTES","MIÉRCOLES","JUEVES","VIERNES","SÁBADO","DOMINGO"))</f>
        <v/>
      </c>
      <c r="H1438" s="34">
        <f>IF($A1438="","",CHOOSE(MONTH($A1438),"ENERO","FEBRERO","MARZO","ABRIL","MAYO","JUNIO","JULIO","AGOSTO","SEPTIEMBRE","OCTUBRE","NOVIEMBRE","DICIEMBRE"))</f>
        <v/>
      </c>
      <c r="I1438" s="34">
        <f>IF($A1438="","",IF(OR($G1438="SÁBADO",$G1438="DOMINGO"),"FIN","LV"))</f>
        <v/>
      </c>
      <c r="J1438" s="34">
        <f>IF(OR($A1438="",$B1438=""),"",IF($L1438&lt;&gt;"",UPPER($L1438),IF($C1438="","FALTA",IFERROR(IF($C1438&gt;=$O1438,"ROJO FUERTE",IF($C1438&gt;=$N1438,"ROJO",IF($C1438&gt;=$M1438,"AMARILLO","VERDE"))),"REVISAR"))))</f>
        <v/>
      </c>
      <c r="K1438" s="36">
        <f>IF(OR($C1438="",$D1438=""),"",IF($D1438&gt;=$C1438,($D1438-$C1438)*24,(1-$C1438+$D1438)*24))</f>
        <v/>
      </c>
      <c r="L1438" s="34" t="n"/>
      <c r="M1438" s="53">
        <f t="array" ref="M1438">IFERROR(INDEX(EXCEPCIONES_FECHA!$D$2:$D$201,MATCH(1,(EXCEPCIONES_FECHA!$A$2:$A$201=$A1438)*(EXCEPCIONES_FECHA!$B$2:$B$201=$B1438),0)),IFERROR(INDEX(EXCEPCIONES_FECHA!$D$2:$D$201,MATCH(1,(EXCEPCIONES_FECHA!$A$2:$A$201=$A1438)*(EXCEPCIONES_FECHA!$B$2:$B$201=""),0)),IFERROR(INDEX(IF($I1438="FIN",HISTORIAL_HORARIOS!$J$2:$J$201,HISTORIAL_HORARIOS!$F$2:$F$201),MATCH(1,(HISTORIAL_HORARIOS!$A$2:$A$201=$B1438)*(HISTORIAL_HORARIOS!$C$2:$C$201&lt;=$A1438)*(HISTORIAL_HORARIOS!$D$2:$D$201&gt;=$A1438),0)),INDEX(IF($I1438="FIN",PERSONAL!$J$2:$J$80,PERSONAL!$F$2:$F$80),MATCH($B1438,PERSONAL!$A$2:$A$80,0)))))</f>
        <v/>
      </c>
      <c r="N1438" s="53">
        <f t="array" ref="N1438">IFERROR(INDEX(EXCEPCIONES_FECHA!$E$2:$E$201,MATCH(1,(EXCEPCIONES_FECHA!$A$2:$A$201=$A1438)*(EXCEPCIONES_FECHA!$B$2:$B$201=$B1438),0)),IFERROR(INDEX(EXCEPCIONES_FECHA!$E$2:$E$201,MATCH(1,(EXCEPCIONES_FECHA!$A$2:$A$201=$A1438)*(EXCEPCIONES_FECHA!$B$2:$B$201=""),0)),IFERROR(INDEX(IF($I1438="FIN",HISTORIAL_HORARIOS!$K$2:$K$201,HISTORIAL_HORARIOS!$G$2:$G$201),MATCH(1,(HISTORIAL_HORARIOS!$A$2:$A$201=$B1438)*(HISTORIAL_HORARIOS!$C$2:$C$201&lt;=$A1438)*(HISTORIAL_HORARIOS!$D$2:$D$201&gt;=$A1438),0)),INDEX(IF($I1438="FIN",PERSONAL!$K$2:$K$80,PERSONAL!$G$2:$G$80),MATCH($B1438,PERSONAL!$A$2:$A$80,0)))))</f>
        <v/>
      </c>
      <c r="O1438" s="53">
        <f t="array" ref="O1438">IFERROR(INDEX(EXCEPCIONES_FECHA!$F$2:$F$201,MATCH(1,(EXCEPCIONES_FECHA!$A$2:$A$201=$A1438)*(EXCEPCIONES_FECHA!$B$2:$B$201=$B1438),0)),IFERROR(INDEX(EXCEPCIONES_FECHA!$F$2:$F$201,MATCH(1,(EXCEPCIONES_FECHA!$A$2:$A$201=$A1438)*(EXCEPCIONES_FECHA!$B$2:$B$201=""),0)),IFERROR(INDEX(IF($I1438="FIN",HISTORIAL_HORARIOS!$L$2:$L$201,HISTORIAL_HORARIOS!$H$2:$H$201),MATCH(1,(HISTORIAL_HORARIOS!$A$2:$A$201=$B1438)*(HISTORIAL_HORARIOS!$C$2:$C$201&lt;=$A1438)*(HISTORIAL_HORARIOS!$D$2:$D$201&gt;=$A1438),0)),INDEX(IF($I1438="FIN",PERSONAL!$L$2:$L$80,PERSONAL!$H$2:$H$80),MATCH($B1438,PERSONAL!$A$2:$A$80,0)))))</f>
        <v/>
      </c>
    </row>
    <row r="1439" ht="15" customHeight="1" s="58">
      <c r="A1439" s="40" t="n"/>
      <c r="B1439" s="38" t="n"/>
      <c r="C1439" s="40" t="n"/>
      <c r="D1439" s="40" t="n"/>
      <c r="E1439" s="34">
        <f t="array" ref="E1439">IF($B1439="","",IFERROR(INDEX(PERSONAL!$B$2:$B$80,MATCH($B1439,PERSONAL!$A$2:$A$80,0)),"NO EXISTE"))</f>
        <v/>
      </c>
      <c r="F1439" s="34">
        <f t="array" ref="F1439">IF($B1439="","",IFERROR(INDEX(PERSONAL!$C$2:$C$80,MATCH($B1439,PERSONAL!$A$2:$A$80,0)),""))</f>
        <v/>
      </c>
      <c r="G1439" s="34">
        <f>IF($A1439="","",CHOOSE(WEEKDAY($A1439,2),"LUNES","MARTES","MIÉRCOLES","JUEVES","VIERNES","SÁBADO","DOMINGO"))</f>
        <v/>
      </c>
      <c r="H1439" s="34">
        <f>IF($A1439="","",CHOOSE(MONTH($A1439),"ENERO","FEBRERO","MARZO","ABRIL","MAYO","JUNIO","JULIO","AGOSTO","SEPTIEMBRE","OCTUBRE","NOVIEMBRE","DICIEMBRE"))</f>
        <v/>
      </c>
      <c r="I1439" s="34">
        <f>IF($A1439="","",IF(OR($G1439="SÁBADO",$G1439="DOMINGO"),"FIN","LV"))</f>
        <v/>
      </c>
      <c r="J1439" s="34">
        <f>IF(OR($A1439="",$B1439=""),"",IF($L1439&lt;&gt;"",UPPER($L1439),IF($C1439="","FALTA",IFERROR(IF($C1439&gt;=$O1439,"ROJO FUERTE",IF($C1439&gt;=$N1439,"ROJO",IF($C1439&gt;=$M1439,"AMARILLO","VERDE"))),"REVISAR"))))</f>
        <v/>
      </c>
      <c r="K1439" s="36">
        <f>IF(OR($C1439="",$D1439=""),"",IF($D1439&gt;=$C1439,($D1439-$C1439)*24,(1-$C1439+$D1439)*24))</f>
        <v/>
      </c>
      <c r="L1439" s="34" t="n"/>
      <c r="M1439" s="53">
        <f t="array" ref="M1439">IFERROR(INDEX(EXCEPCIONES_FECHA!$D$2:$D$201,MATCH(1,(EXCEPCIONES_FECHA!$A$2:$A$201=$A1439)*(EXCEPCIONES_FECHA!$B$2:$B$201=$B1439),0)),IFERROR(INDEX(EXCEPCIONES_FECHA!$D$2:$D$201,MATCH(1,(EXCEPCIONES_FECHA!$A$2:$A$201=$A1439)*(EXCEPCIONES_FECHA!$B$2:$B$201=""),0)),IFERROR(INDEX(IF($I1439="FIN",HISTORIAL_HORARIOS!$J$2:$J$201,HISTORIAL_HORARIOS!$F$2:$F$201),MATCH(1,(HISTORIAL_HORARIOS!$A$2:$A$201=$B1439)*(HISTORIAL_HORARIOS!$C$2:$C$201&lt;=$A1439)*(HISTORIAL_HORARIOS!$D$2:$D$201&gt;=$A1439),0)),INDEX(IF($I1439="FIN",PERSONAL!$J$2:$J$80,PERSONAL!$F$2:$F$80),MATCH($B1439,PERSONAL!$A$2:$A$80,0)))))</f>
        <v/>
      </c>
      <c r="N1439" s="53">
        <f t="array" ref="N1439">IFERROR(INDEX(EXCEPCIONES_FECHA!$E$2:$E$201,MATCH(1,(EXCEPCIONES_FECHA!$A$2:$A$201=$A1439)*(EXCEPCIONES_FECHA!$B$2:$B$201=$B1439),0)),IFERROR(INDEX(EXCEPCIONES_FECHA!$E$2:$E$201,MATCH(1,(EXCEPCIONES_FECHA!$A$2:$A$201=$A1439)*(EXCEPCIONES_FECHA!$B$2:$B$201=""),0)),IFERROR(INDEX(IF($I1439="FIN",HISTORIAL_HORARIOS!$K$2:$K$201,HISTORIAL_HORARIOS!$G$2:$G$201),MATCH(1,(HISTORIAL_HORARIOS!$A$2:$A$201=$B1439)*(HISTORIAL_HORARIOS!$C$2:$C$201&lt;=$A1439)*(HISTORIAL_HORARIOS!$D$2:$D$201&gt;=$A1439),0)),INDEX(IF($I1439="FIN",PERSONAL!$K$2:$K$80,PERSONAL!$G$2:$G$80),MATCH($B1439,PERSONAL!$A$2:$A$80,0)))))</f>
        <v/>
      </c>
      <c r="O1439" s="53">
        <f t="array" ref="O1439">IFERROR(INDEX(EXCEPCIONES_FECHA!$F$2:$F$201,MATCH(1,(EXCEPCIONES_FECHA!$A$2:$A$201=$A1439)*(EXCEPCIONES_FECHA!$B$2:$B$201=$B1439),0)),IFERROR(INDEX(EXCEPCIONES_FECHA!$F$2:$F$201,MATCH(1,(EXCEPCIONES_FECHA!$A$2:$A$201=$A1439)*(EXCEPCIONES_FECHA!$B$2:$B$201=""),0)),IFERROR(INDEX(IF($I1439="FIN",HISTORIAL_HORARIOS!$L$2:$L$201,HISTORIAL_HORARIOS!$H$2:$H$201),MATCH(1,(HISTORIAL_HORARIOS!$A$2:$A$201=$B1439)*(HISTORIAL_HORARIOS!$C$2:$C$201&lt;=$A1439)*(HISTORIAL_HORARIOS!$D$2:$D$201&gt;=$A1439),0)),INDEX(IF($I1439="FIN",PERSONAL!$L$2:$L$80,PERSONAL!$H$2:$H$80),MATCH($B1439,PERSONAL!$A$2:$A$80,0)))))</f>
        <v/>
      </c>
    </row>
    <row r="1440" ht="15" customHeight="1" s="58">
      <c r="A1440" s="40" t="n"/>
      <c r="B1440" s="38" t="n"/>
      <c r="C1440" s="40" t="n"/>
      <c r="D1440" s="40" t="n"/>
      <c r="E1440" s="34">
        <f t="array" ref="E1440">IF($B1440="","",IFERROR(INDEX(PERSONAL!$B$2:$B$80,MATCH($B1440,PERSONAL!$A$2:$A$80,0)),"NO EXISTE"))</f>
        <v/>
      </c>
      <c r="F1440" s="34">
        <f t="array" ref="F1440">IF($B1440="","",IFERROR(INDEX(PERSONAL!$C$2:$C$80,MATCH($B1440,PERSONAL!$A$2:$A$80,0)),""))</f>
        <v/>
      </c>
      <c r="G1440" s="34">
        <f>IF($A1440="","",CHOOSE(WEEKDAY($A1440,2),"LUNES","MARTES","MIÉRCOLES","JUEVES","VIERNES","SÁBADO","DOMINGO"))</f>
        <v/>
      </c>
      <c r="H1440" s="34">
        <f>IF($A1440="","",CHOOSE(MONTH($A1440),"ENERO","FEBRERO","MARZO","ABRIL","MAYO","JUNIO","JULIO","AGOSTO","SEPTIEMBRE","OCTUBRE","NOVIEMBRE","DICIEMBRE"))</f>
        <v/>
      </c>
      <c r="I1440" s="34">
        <f>IF($A1440="","",IF(OR($G1440="SÁBADO",$G1440="DOMINGO"),"FIN","LV"))</f>
        <v/>
      </c>
      <c r="J1440" s="34">
        <f>IF(OR($A1440="",$B1440=""),"",IF($L1440&lt;&gt;"",UPPER($L1440),IF($C1440="","FALTA",IFERROR(IF($C1440&gt;=$O1440,"ROJO FUERTE",IF($C1440&gt;=$N1440,"ROJO",IF($C1440&gt;=$M1440,"AMARILLO","VERDE"))),"REVISAR"))))</f>
        <v/>
      </c>
      <c r="K1440" s="36">
        <f>IF(OR($C1440="",$D1440=""),"",IF($D1440&gt;=$C1440,($D1440-$C1440)*24,(1-$C1440+$D1440)*24))</f>
        <v/>
      </c>
      <c r="L1440" s="34" t="n"/>
      <c r="M1440" s="53">
        <f t="array" ref="M1440">IFERROR(INDEX(EXCEPCIONES_FECHA!$D$2:$D$201,MATCH(1,(EXCEPCIONES_FECHA!$A$2:$A$201=$A1440)*(EXCEPCIONES_FECHA!$B$2:$B$201=$B1440),0)),IFERROR(INDEX(EXCEPCIONES_FECHA!$D$2:$D$201,MATCH(1,(EXCEPCIONES_FECHA!$A$2:$A$201=$A1440)*(EXCEPCIONES_FECHA!$B$2:$B$201=""),0)),IFERROR(INDEX(IF($I1440="FIN",HISTORIAL_HORARIOS!$J$2:$J$201,HISTORIAL_HORARIOS!$F$2:$F$201),MATCH(1,(HISTORIAL_HORARIOS!$A$2:$A$201=$B1440)*(HISTORIAL_HORARIOS!$C$2:$C$201&lt;=$A1440)*(HISTORIAL_HORARIOS!$D$2:$D$201&gt;=$A1440),0)),INDEX(IF($I1440="FIN",PERSONAL!$J$2:$J$80,PERSONAL!$F$2:$F$80),MATCH($B1440,PERSONAL!$A$2:$A$80,0)))))</f>
        <v/>
      </c>
      <c r="N1440" s="53">
        <f t="array" ref="N1440">IFERROR(INDEX(EXCEPCIONES_FECHA!$E$2:$E$201,MATCH(1,(EXCEPCIONES_FECHA!$A$2:$A$201=$A1440)*(EXCEPCIONES_FECHA!$B$2:$B$201=$B1440),0)),IFERROR(INDEX(EXCEPCIONES_FECHA!$E$2:$E$201,MATCH(1,(EXCEPCIONES_FECHA!$A$2:$A$201=$A1440)*(EXCEPCIONES_FECHA!$B$2:$B$201=""),0)),IFERROR(INDEX(IF($I1440="FIN",HISTORIAL_HORARIOS!$K$2:$K$201,HISTORIAL_HORARIOS!$G$2:$G$201),MATCH(1,(HISTORIAL_HORARIOS!$A$2:$A$201=$B1440)*(HISTORIAL_HORARIOS!$C$2:$C$201&lt;=$A1440)*(HISTORIAL_HORARIOS!$D$2:$D$201&gt;=$A1440),0)),INDEX(IF($I1440="FIN",PERSONAL!$K$2:$K$80,PERSONAL!$G$2:$G$80),MATCH($B1440,PERSONAL!$A$2:$A$80,0)))))</f>
        <v/>
      </c>
      <c r="O1440" s="53">
        <f t="array" ref="O1440">IFERROR(INDEX(EXCEPCIONES_FECHA!$F$2:$F$201,MATCH(1,(EXCEPCIONES_FECHA!$A$2:$A$201=$A1440)*(EXCEPCIONES_FECHA!$B$2:$B$201=$B1440),0)),IFERROR(INDEX(EXCEPCIONES_FECHA!$F$2:$F$201,MATCH(1,(EXCEPCIONES_FECHA!$A$2:$A$201=$A1440)*(EXCEPCIONES_FECHA!$B$2:$B$201=""),0)),IFERROR(INDEX(IF($I1440="FIN",HISTORIAL_HORARIOS!$L$2:$L$201,HISTORIAL_HORARIOS!$H$2:$H$201),MATCH(1,(HISTORIAL_HORARIOS!$A$2:$A$201=$B1440)*(HISTORIAL_HORARIOS!$C$2:$C$201&lt;=$A1440)*(HISTORIAL_HORARIOS!$D$2:$D$201&gt;=$A1440),0)),INDEX(IF($I1440="FIN",PERSONAL!$L$2:$L$80,PERSONAL!$H$2:$H$80),MATCH($B1440,PERSONAL!$A$2:$A$80,0)))))</f>
        <v/>
      </c>
    </row>
    <row r="1441" ht="15" customHeight="1" s="58">
      <c r="A1441" s="40" t="n"/>
      <c r="B1441" s="38" t="n"/>
      <c r="C1441" s="40" t="n"/>
      <c r="D1441" s="40" t="n"/>
      <c r="E1441" s="34">
        <f t="array" ref="E1441">IF($B1441="","",IFERROR(INDEX(PERSONAL!$B$2:$B$80,MATCH($B1441,PERSONAL!$A$2:$A$80,0)),"NO EXISTE"))</f>
        <v/>
      </c>
      <c r="F1441" s="34">
        <f t="array" ref="F1441">IF($B1441="","",IFERROR(INDEX(PERSONAL!$C$2:$C$80,MATCH($B1441,PERSONAL!$A$2:$A$80,0)),""))</f>
        <v/>
      </c>
      <c r="G1441" s="34">
        <f>IF($A1441="","",CHOOSE(WEEKDAY($A1441,2),"LUNES","MARTES","MIÉRCOLES","JUEVES","VIERNES","SÁBADO","DOMINGO"))</f>
        <v/>
      </c>
      <c r="H1441" s="34">
        <f>IF($A1441="","",CHOOSE(MONTH($A1441),"ENERO","FEBRERO","MARZO","ABRIL","MAYO","JUNIO","JULIO","AGOSTO","SEPTIEMBRE","OCTUBRE","NOVIEMBRE","DICIEMBRE"))</f>
        <v/>
      </c>
      <c r="I1441" s="34">
        <f>IF($A1441="","",IF(OR($G1441="SÁBADO",$G1441="DOMINGO"),"FIN","LV"))</f>
        <v/>
      </c>
      <c r="J1441" s="34">
        <f>IF(OR($A1441="",$B1441=""),"",IF($L1441&lt;&gt;"",UPPER($L1441),IF($C1441="","FALTA",IFERROR(IF($C1441&gt;=$O1441,"ROJO FUERTE",IF($C1441&gt;=$N1441,"ROJO",IF($C1441&gt;=$M1441,"AMARILLO","VERDE"))),"REVISAR"))))</f>
        <v/>
      </c>
      <c r="K1441" s="36">
        <f>IF(OR($C1441="",$D1441=""),"",IF($D1441&gt;=$C1441,($D1441-$C1441)*24,(1-$C1441+$D1441)*24))</f>
        <v/>
      </c>
      <c r="L1441" s="34" t="n"/>
      <c r="M1441" s="53">
        <f t="array" ref="M1441">IFERROR(INDEX(EXCEPCIONES_FECHA!$D$2:$D$201,MATCH(1,(EXCEPCIONES_FECHA!$A$2:$A$201=$A1441)*(EXCEPCIONES_FECHA!$B$2:$B$201=$B1441),0)),IFERROR(INDEX(EXCEPCIONES_FECHA!$D$2:$D$201,MATCH(1,(EXCEPCIONES_FECHA!$A$2:$A$201=$A1441)*(EXCEPCIONES_FECHA!$B$2:$B$201=""),0)),IFERROR(INDEX(IF($I1441="FIN",HISTORIAL_HORARIOS!$J$2:$J$201,HISTORIAL_HORARIOS!$F$2:$F$201),MATCH(1,(HISTORIAL_HORARIOS!$A$2:$A$201=$B1441)*(HISTORIAL_HORARIOS!$C$2:$C$201&lt;=$A1441)*(HISTORIAL_HORARIOS!$D$2:$D$201&gt;=$A1441),0)),INDEX(IF($I1441="FIN",PERSONAL!$J$2:$J$80,PERSONAL!$F$2:$F$80),MATCH($B1441,PERSONAL!$A$2:$A$80,0)))))</f>
        <v/>
      </c>
      <c r="N1441" s="53">
        <f t="array" ref="N1441">IFERROR(INDEX(EXCEPCIONES_FECHA!$E$2:$E$201,MATCH(1,(EXCEPCIONES_FECHA!$A$2:$A$201=$A1441)*(EXCEPCIONES_FECHA!$B$2:$B$201=$B1441),0)),IFERROR(INDEX(EXCEPCIONES_FECHA!$E$2:$E$201,MATCH(1,(EXCEPCIONES_FECHA!$A$2:$A$201=$A1441)*(EXCEPCIONES_FECHA!$B$2:$B$201=""),0)),IFERROR(INDEX(IF($I1441="FIN",HISTORIAL_HORARIOS!$K$2:$K$201,HISTORIAL_HORARIOS!$G$2:$G$201),MATCH(1,(HISTORIAL_HORARIOS!$A$2:$A$201=$B1441)*(HISTORIAL_HORARIOS!$C$2:$C$201&lt;=$A1441)*(HISTORIAL_HORARIOS!$D$2:$D$201&gt;=$A1441),0)),INDEX(IF($I1441="FIN",PERSONAL!$K$2:$K$80,PERSONAL!$G$2:$G$80),MATCH($B1441,PERSONAL!$A$2:$A$80,0)))))</f>
        <v/>
      </c>
      <c r="O1441" s="53">
        <f t="array" ref="O1441">IFERROR(INDEX(EXCEPCIONES_FECHA!$F$2:$F$201,MATCH(1,(EXCEPCIONES_FECHA!$A$2:$A$201=$A1441)*(EXCEPCIONES_FECHA!$B$2:$B$201=$B1441),0)),IFERROR(INDEX(EXCEPCIONES_FECHA!$F$2:$F$201,MATCH(1,(EXCEPCIONES_FECHA!$A$2:$A$201=$A1441)*(EXCEPCIONES_FECHA!$B$2:$B$201=""),0)),IFERROR(INDEX(IF($I1441="FIN",HISTORIAL_HORARIOS!$L$2:$L$201,HISTORIAL_HORARIOS!$H$2:$H$201),MATCH(1,(HISTORIAL_HORARIOS!$A$2:$A$201=$B1441)*(HISTORIAL_HORARIOS!$C$2:$C$201&lt;=$A1441)*(HISTORIAL_HORARIOS!$D$2:$D$201&gt;=$A1441),0)),INDEX(IF($I1441="FIN",PERSONAL!$L$2:$L$80,PERSONAL!$H$2:$H$80),MATCH($B1441,PERSONAL!$A$2:$A$80,0)))))</f>
        <v/>
      </c>
    </row>
    <row r="1442" ht="15" customHeight="1" s="58">
      <c r="A1442" s="40" t="n"/>
      <c r="B1442" s="38" t="n"/>
      <c r="C1442" s="40" t="n"/>
      <c r="D1442" s="40" t="n"/>
      <c r="E1442" s="34">
        <f t="array" ref="E1442">IF($B1442="","",IFERROR(INDEX(PERSONAL!$B$2:$B$80,MATCH($B1442,PERSONAL!$A$2:$A$80,0)),"NO EXISTE"))</f>
        <v/>
      </c>
      <c r="F1442" s="34">
        <f t="array" ref="F1442">IF($B1442="","",IFERROR(INDEX(PERSONAL!$C$2:$C$80,MATCH($B1442,PERSONAL!$A$2:$A$80,0)),""))</f>
        <v/>
      </c>
      <c r="G1442" s="34">
        <f>IF($A1442="","",CHOOSE(WEEKDAY($A1442,2),"LUNES","MARTES","MIÉRCOLES","JUEVES","VIERNES","SÁBADO","DOMINGO"))</f>
        <v/>
      </c>
      <c r="H1442" s="34">
        <f>IF($A1442="","",CHOOSE(MONTH($A1442),"ENERO","FEBRERO","MARZO","ABRIL","MAYO","JUNIO","JULIO","AGOSTO","SEPTIEMBRE","OCTUBRE","NOVIEMBRE","DICIEMBRE"))</f>
        <v/>
      </c>
      <c r="I1442" s="34">
        <f>IF($A1442="","",IF(OR($G1442="SÁBADO",$G1442="DOMINGO"),"FIN","LV"))</f>
        <v/>
      </c>
      <c r="J1442" s="34">
        <f>IF(OR($A1442="",$B1442=""),"",IF($L1442&lt;&gt;"",UPPER($L1442),IF($C1442="","FALTA",IFERROR(IF($C1442&gt;=$O1442,"ROJO FUERTE",IF($C1442&gt;=$N1442,"ROJO",IF($C1442&gt;=$M1442,"AMARILLO","VERDE"))),"REVISAR"))))</f>
        <v/>
      </c>
      <c r="K1442" s="36">
        <f>IF(OR($C1442="",$D1442=""),"",IF($D1442&gt;=$C1442,($D1442-$C1442)*24,(1-$C1442+$D1442)*24))</f>
        <v/>
      </c>
      <c r="L1442" s="34" t="n"/>
      <c r="M1442" s="53">
        <f t="array" ref="M1442">IFERROR(INDEX(EXCEPCIONES_FECHA!$D$2:$D$201,MATCH(1,(EXCEPCIONES_FECHA!$A$2:$A$201=$A1442)*(EXCEPCIONES_FECHA!$B$2:$B$201=$B1442),0)),IFERROR(INDEX(EXCEPCIONES_FECHA!$D$2:$D$201,MATCH(1,(EXCEPCIONES_FECHA!$A$2:$A$201=$A1442)*(EXCEPCIONES_FECHA!$B$2:$B$201=""),0)),IFERROR(INDEX(IF($I1442="FIN",HISTORIAL_HORARIOS!$J$2:$J$201,HISTORIAL_HORARIOS!$F$2:$F$201),MATCH(1,(HISTORIAL_HORARIOS!$A$2:$A$201=$B1442)*(HISTORIAL_HORARIOS!$C$2:$C$201&lt;=$A1442)*(HISTORIAL_HORARIOS!$D$2:$D$201&gt;=$A1442),0)),INDEX(IF($I1442="FIN",PERSONAL!$J$2:$J$80,PERSONAL!$F$2:$F$80),MATCH($B1442,PERSONAL!$A$2:$A$80,0)))))</f>
        <v/>
      </c>
      <c r="N1442" s="53">
        <f t="array" ref="N1442">IFERROR(INDEX(EXCEPCIONES_FECHA!$E$2:$E$201,MATCH(1,(EXCEPCIONES_FECHA!$A$2:$A$201=$A1442)*(EXCEPCIONES_FECHA!$B$2:$B$201=$B1442),0)),IFERROR(INDEX(EXCEPCIONES_FECHA!$E$2:$E$201,MATCH(1,(EXCEPCIONES_FECHA!$A$2:$A$201=$A1442)*(EXCEPCIONES_FECHA!$B$2:$B$201=""),0)),IFERROR(INDEX(IF($I1442="FIN",HISTORIAL_HORARIOS!$K$2:$K$201,HISTORIAL_HORARIOS!$G$2:$G$201),MATCH(1,(HISTORIAL_HORARIOS!$A$2:$A$201=$B1442)*(HISTORIAL_HORARIOS!$C$2:$C$201&lt;=$A1442)*(HISTORIAL_HORARIOS!$D$2:$D$201&gt;=$A1442),0)),INDEX(IF($I1442="FIN",PERSONAL!$K$2:$K$80,PERSONAL!$G$2:$G$80),MATCH($B1442,PERSONAL!$A$2:$A$80,0)))))</f>
        <v/>
      </c>
      <c r="O1442" s="53">
        <f t="array" ref="O1442">IFERROR(INDEX(EXCEPCIONES_FECHA!$F$2:$F$201,MATCH(1,(EXCEPCIONES_FECHA!$A$2:$A$201=$A1442)*(EXCEPCIONES_FECHA!$B$2:$B$201=$B1442),0)),IFERROR(INDEX(EXCEPCIONES_FECHA!$F$2:$F$201,MATCH(1,(EXCEPCIONES_FECHA!$A$2:$A$201=$A1442)*(EXCEPCIONES_FECHA!$B$2:$B$201=""),0)),IFERROR(INDEX(IF($I1442="FIN",HISTORIAL_HORARIOS!$L$2:$L$201,HISTORIAL_HORARIOS!$H$2:$H$201),MATCH(1,(HISTORIAL_HORARIOS!$A$2:$A$201=$B1442)*(HISTORIAL_HORARIOS!$C$2:$C$201&lt;=$A1442)*(HISTORIAL_HORARIOS!$D$2:$D$201&gt;=$A1442),0)),INDEX(IF($I1442="FIN",PERSONAL!$L$2:$L$80,PERSONAL!$H$2:$H$80),MATCH($B1442,PERSONAL!$A$2:$A$80,0)))))</f>
        <v/>
      </c>
    </row>
    <row r="1443" ht="15" customHeight="1" s="58">
      <c r="A1443" s="40" t="n"/>
      <c r="B1443" s="38" t="n"/>
      <c r="C1443" s="40" t="n"/>
      <c r="D1443" s="40" t="n"/>
      <c r="E1443" s="34">
        <f t="array" ref="E1443">IF($B1443="","",IFERROR(INDEX(PERSONAL!$B$2:$B$80,MATCH($B1443,PERSONAL!$A$2:$A$80,0)),"NO EXISTE"))</f>
        <v/>
      </c>
      <c r="F1443" s="34">
        <f t="array" ref="F1443">IF($B1443="","",IFERROR(INDEX(PERSONAL!$C$2:$C$80,MATCH($B1443,PERSONAL!$A$2:$A$80,0)),""))</f>
        <v/>
      </c>
      <c r="G1443" s="34">
        <f>IF($A1443="","",CHOOSE(WEEKDAY($A1443,2),"LUNES","MARTES","MIÉRCOLES","JUEVES","VIERNES","SÁBADO","DOMINGO"))</f>
        <v/>
      </c>
      <c r="H1443" s="34">
        <f>IF($A1443="","",CHOOSE(MONTH($A1443),"ENERO","FEBRERO","MARZO","ABRIL","MAYO","JUNIO","JULIO","AGOSTO","SEPTIEMBRE","OCTUBRE","NOVIEMBRE","DICIEMBRE"))</f>
        <v/>
      </c>
      <c r="I1443" s="34">
        <f>IF($A1443="","",IF(OR($G1443="SÁBADO",$G1443="DOMINGO"),"FIN","LV"))</f>
        <v/>
      </c>
      <c r="J1443" s="34">
        <f>IF(OR($A1443="",$B1443=""),"",IF($L1443&lt;&gt;"",UPPER($L1443),IF($C1443="","FALTA",IFERROR(IF($C1443&gt;=$O1443,"ROJO FUERTE",IF($C1443&gt;=$N1443,"ROJO",IF($C1443&gt;=$M1443,"AMARILLO","VERDE"))),"REVISAR"))))</f>
        <v/>
      </c>
      <c r="K1443" s="36">
        <f>IF(OR($C1443="",$D1443=""),"",IF($D1443&gt;=$C1443,($D1443-$C1443)*24,(1-$C1443+$D1443)*24))</f>
        <v/>
      </c>
      <c r="L1443" s="34" t="n"/>
      <c r="M1443" s="53">
        <f t="array" ref="M1443">IFERROR(INDEX(EXCEPCIONES_FECHA!$D$2:$D$201,MATCH(1,(EXCEPCIONES_FECHA!$A$2:$A$201=$A1443)*(EXCEPCIONES_FECHA!$B$2:$B$201=$B1443),0)),IFERROR(INDEX(EXCEPCIONES_FECHA!$D$2:$D$201,MATCH(1,(EXCEPCIONES_FECHA!$A$2:$A$201=$A1443)*(EXCEPCIONES_FECHA!$B$2:$B$201=""),0)),IFERROR(INDEX(IF($I1443="FIN",HISTORIAL_HORARIOS!$J$2:$J$201,HISTORIAL_HORARIOS!$F$2:$F$201),MATCH(1,(HISTORIAL_HORARIOS!$A$2:$A$201=$B1443)*(HISTORIAL_HORARIOS!$C$2:$C$201&lt;=$A1443)*(HISTORIAL_HORARIOS!$D$2:$D$201&gt;=$A1443),0)),INDEX(IF($I1443="FIN",PERSONAL!$J$2:$J$80,PERSONAL!$F$2:$F$80),MATCH($B1443,PERSONAL!$A$2:$A$80,0)))))</f>
        <v/>
      </c>
      <c r="N1443" s="53">
        <f t="array" ref="N1443">IFERROR(INDEX(EXCEPCIONES_FECHA!$E$2:$E$201,MATCH(1,(EXCEPCIONES_FECHA!$A$2:$A$201=$A1443)*(EXCEPCIONES_FECHA!$B$2:$B$201=$B1443),0)),IFERROR(INDEX(EXCEPCIONES_FECHA!$E$2:$E$201,MATCH(1,(EXCEPCIONES_FECHA!$A$2:$A$201=$A1443)*(EXCEPCIONES_FECHA!$B$2:$B$201=""),0)),IFERROR(INDEX(IF($I1443="FIN",HISTORIAL_HORARIOS!$K$2:$K$201,HISTORIAL_HORARIOS!$G$2:$G$201),MATCH(1,(HISTORIAL_HORARIOS!$A$2:$A$201=$B1443)*(HISTORIAL_HORARIOS!$C$2:$C$201&lt;=$A1443)*(HISTORIAL_HORARIOS!$D$2:$D$201&gt;=$A1443),0)),INDEX(IF($I1443="FIN",PERSONAL!$K$2:$K$80,PERSONAL!$G$2:$G$80),MATCH($B1443,PERSONAL!$A$2:$A$80,0)))))</f>
        <v/>
      </c>
      <c r="O1443" s="53">
        <f t="array" ref="O1443">IFERROR(INDEX(EXCEPCIONES_FECHA!$F$2:$F$201,MATCH(1,(EXCEPCIONES_FECHA!$A$2:$A$201=$A1443)*(EXCEPCIONES_FECHA!$B$2:$B$201=$B1443),0)),IFERROR(INDEX(EXCEPCIONES_FECHA!$F$2:$F$201,MATCH(1,(EXCEPCIONES_FECHA!$A$2:$A$201=$A1443)*(EXCEPCIONES_FECHA!$B$2:$B$201=""),0)),IFERROR(INDEX(IF($I1443="FIN",HISTORIAL_HORARIOS!$L$2:$L$201,HISTORIAL_HORARIOS!$H$2:$H$201),MATCH(1,(HISTORIAL_HORARIOS!$A$2:$A$201=$B1443)*(HISTORIAL_HORARIOS!$C$2:$C$201&lt;=$A1443)*(HISTORIAL_HORARIOS!$D$2:$D$201&gt;=$A1443),0)),INDEX(IF($I1443="FIN",PERSONAL!$L$2:$L$80,PERSONAL!$H$2:$H$80),MATCH($B1443,PERSONAL!$A$2:$A$80,0)))))</f>
        <v/>
      </c>
    </row>
    <row r="1444" ht="15" customHeight="1" s="58">
      <c r="A1444" s="40" t="n"/>
      <c r="B1444" s="38" t="n"/>
      <c r="C1444" s="40" t="n"/>
      <c r="D1444" s="40" t="n"/>
      <c r="E1444" s="34">
        <f t="array" ref="E1444">IF($B1444="","",IFERROR(INDEX(PERSONAL!$B$2:$B$80,MATCH($B1444,PERSONAL!$A$2:$A$80,0)),"NO EXISTE"))</f>
        <v/>
      </c>
      <c r="F1444" s="34">
        <f t="array" ref="F1444">IF($B1444="","",IFERROR(INDEX(PERSONAL!$C$2:$C$80,MATCH($B1444,PERSONAL!$A$2:$A$80,0)),""))</f>
        <v/>
      </c>
      <c r="G1444" s="34">
        <f>IF($A1444="","",CHOOSE(WEEKDAY($A1444,2),"LUNES","MARTES","MIÉRCOLES","JUEVES","VIERNES","SÁBADO","DOMINGO"))</f>
        <v/>
      </c>
      <c r="H1444" s="34">
        <f>IF($A1444="","",CHOOSE(MONTH($A1444),"ENERO","FEBRERO","MARZO","ABRIL","MAYO","JUNIO","JULIO","AGOSTO","SEPTIEMBRE","OCTUBRE","NOVIEMBRE","DICIEMBRE"))</f>
        <v/>
      </c>
      <c r="I1444" s="34">
        <f>IF($A1444="","",IF(OR($G1444="SÁBADO",$G1444="DOMINGO"),"FIN","LV"))</f>
        <v/>
      </c>
      <c r="J1444" s="34">
        <f>IF(OR($A1444="",$B1444=""),"",IF($L1444&lt;&gt;"",UPPER($L1444),IF($C1444="","FALTA",IFERROR(IF($C1444&gt;=$O1444,"ROJO FUERTE",IF($C1444&gt;=$N1444,"ROJO",IF($C1444&gt;=$M1444,"AMARILLO","VERDE"))),"REVISAR"))))</f>
        <v/>
      </c>
      <c r="K1444" s="36">
        <f>IF(OR($C1444="",$D1444=""),"",IF($D1444&gt;=$C1444,($D1444-$C1444)*24,(1-$C1444+$D1444)*24))</f>
        <v/>
      </c>
      <c r="L1444" s="34" t="n"/>
      <c r="M1444" s="53">
        <f t="array" ref="M1444">IFERROR(INDEX(EXCEPCIONES_FECHA!$D$2:$D$201,MATCH(1,(EXCEPCIONES_FECHA!$A$2:$A$201=$A1444)*(EXCEPCIONES_FECHA!$B$2:$B$201=$B1444),0)),IFERROR(INDEX(EXCEPCIONES_FECHA!$D$2:$D$201,MATCH(1,(EXCEPCIONES_FECHA!$A$2:$A$201=$A1444)*(EXCEPCIONES_FECHA!$B$2:$B$201=""),0)),IFERROR(INDEX(IF($I1444="FIN",HISTORIAL_HORARIOS!$J$2:$J$201,HISTORIAL_HORARIOS!$F$2:$F$201),MATCH(1,(HISTORIAL_HORARIOS!$A$2:$A$201=$B1444)*(HISTORIAL_HORARIOS!$C$2:$C$201&lt;=$A1444)*(HISTORIAL_HORARIOS!$D$2:$D$201&gt;=$A1444),0)),INDEX(IF($I1444="FIN",PERSONAL!$J$2:$J$80,PERSONAL!$F$2:$F$80),MATCH($B1444,PERSONAL!$A$2:$A$80,0)))))</f>
        <v/>
      </c>
      <c r="N1444" s="53">
        <f t="array" ref="N1444">IFERROR(INDEX(EXCEPCIONES_FECHA!$E$2:$E$201,MATCH(1,(EXCEPCIONES_FECHA!$A$2:$A$201=$A1444)*(EXCEPCIONES_FECHA!$B$2:$B$201=$B1444),0)),IFERROR(INDEX(EXCEPCIONES_FECHA!$E$2:$E$201,MATCH(1,(EXCEPCIONES_FECHA!$A$2:$A$201=$A1444)*(EXCEPCIONES_FECHA!$B$2:$B$201=""),0)),IFERROR(INDEX(IF($I1444="FIN",HISTORIAL_HORARIOS!$K$2:$K$201,HISTORIAL_HORARIOS!$G$2:$G$201),MATCH(1,(HISTORIAL_HORARIOS!$A$2:$A$201=$B1444)*(HISTORIAL_HORARIOS!$C$2:$C$201&lt;=$A1444)*(HISTORIAL_HORARIOS!$D$2:$D$201&gt;=$A1444),0)),INDEX(IF($I1444="FIN",PERSONAL!$K$2:$K$80,PERSONAL!$G$2:$G$80),MATCH($B1444,PERSONAL!$A$2:$A$80,0)))))</f>
        <v/>
      </c>
      <c r="O1444" s="53">
        <f t="array" ref="O1444">IFERROR(INDEX(EXCEPCIONES_FECHA!$F$2:$F$201,MATCH(1,(EXCEPCIONES_FECHA!$A$2:$A$201=$A1444)*(EXCEPCIONES_FECHA!$B$2:$B$201=$B1444),0)),IFERROR(INDEX(EXCEPCIONES_FECHA!$F$2:$F$201,MATCH(1,(EXCEPCIONES_FECHA!$A$2:$A$201=$A1444)*(EXCEPCIONES_FECHA!$B$2:$B$201=""),0)),IFERROR(INDEX(IF($I1444="FIN",HISTORIAL_HORARIOS!$L$2:$L$201,HISTORIAL_HORARIOS!$H$2:$H$201),MATCH(1,(HISTORIAL_HORARIOS!$A$2:$A$201=$B1444)*(HISTORIAL_HORARIOS!$C$2:$C$201&lt;=$A1444)*(HISTORIAL_HORARIOS!$D$2:$D$201&gt;=$A1444),0)),INDEX(IF($I1444="FIN",PERSONAL!$L$2:$L$80,PERSONAL!$H$2:$H$80),MATCH($B1444,PERSONAL!$A$2:$A$80,0)))))</f>
        <v/>
      </c>
    </row>
    <row r="1445" ht="15" customHeight="1" s="58">
      <c r="A1445" s="40" t="n"/>
      <c r="B1445" s="38" t="n"/>
      <c r="C1445" s="40" t="n"/>
      <c r="D1445" s="40" t="n"/>
      <c r="E1445" s="34">
        <f t="array" ref="E1445">IF($B1445="","",IFERROR(INDEX(PERSONAL!$B$2:$B$80,MATCH($B1445,PERSONAL!$A$2:$A$80,0)),"NO EXISTE"))</f>
        <v/>
      </c>
      <c r="F1445" s="34">
        <f t="array" ref="F1445">IF($B1445="","",IFERROR(INDEX(PERSONAL!$C$2:$C$80,MATCH($B1445,PERSONAL!$A$2:$A$80,0)),""))</f>
        <v/>
      </c>
      <c r="G1445" s="34">
        <f>IF($A1445="","",CHOOSE(WEEKDAY($A1445,2),"LUNES","MARTES","MIÉRCOLES","JUEVES","VIERNES","SÁBADO","DOMINGO"))</f>
        <v/>
      </c>
      <c r="H1445" s="34">
        <f>IF($A1445="","",CHOOSE(MONTH($A1445),"ENERO","FEBRERO","MARZO","ABRIL","MAYO","JUNIO","JULIO","AGOSTO","SEPTIEMBRE","OCTUBRE","NOVIEMBRE","DICIEMBRE"))</f>
        <v/>
      </c>
      <c r="I1445" s="34">
        <f>IF($A1445="","",IF(OR($G1445="SÁBADO",$G1445="DOMINGO"),"FIN","LV"))</f>
        <v/>
      </c>
      <c r="J1445" s="34">
        <f>IF(OR($A1445="",$B1445=""),"",IF($L1445&lt;&gt;"",UPPER($L1445),IF($C1445="","FALTA",IFERROR(IF($C1445&gt;=$O1445,"ROJO FUERTE",IF($C1445&gt;=$N1445,"ROJO",IF($C1445&gt;=$M1445,"AMARILLO","VERDE"))),"REVISAR"))))</f>
        <v/>
      </c>
      <c r="K1445" s="36">
        <f>IF(OR($C1445="",$D1445=""),"",IF($D1445&gt;=$C1445,($D1445-$C1445)*24,(1-$C1445+$D1445)*24))</f>
        <v/>
      </c>
      <c r="L1445" s="34" t="n"/>
      <c r="M1445" s="53">
        <f t="array" ref="M1445">IFERROR(INDEX(EXCEPCIONES_FECHA!$D$2:$D$201,MATCH(1,(EXCEPCIONES_FECHA!$A$2:$A$201=$A1445)*(EXCEPCIONES_FECHA!$B$2:$B$201=$B1445),0)),IFERROR(INDEX(EXCEPCIONES_FECHA!$D$2:$D$201,MATCH(1,(EXCEPCIONES_FECHA!$A$2:$A$201=$A1445)*(EXCEPCIONES_FECHA!$B$2:$B$201=""),0)),IFERROR(INDEX(IF($I1445="FIN",HISTORIAL_HORARIOS!$J$2:$J$201,HISTORIAL_HORARIOS!$F$2:$F$201),MATCH(1,(HISTORIAL_HORARIOS!$A$2:$A$201=$B1445)*(HISTORIAL_HORARIOS!$C$2:$C$201&lt;=$A1445)*(HISTORIAL_HORARIOS!$D$2:$D$201&gt;=$A1445),0)),INDEX(IF($I1445="FIN",PERSONAL!$J$2:$J$80,PERSONAL!$F$2:$F$80),MATCH($B1445,PERSONAL!$A$2:$A$80,0)))))</f>
        <v/>
      </c>
      <c r="N1445" s="53">
        <f t="array" ref="N1445">IFERROR(INDEX(EXCEPCIONES_FECHA!$E$2:$E$201,MATCH(1,(EXCEPCIONES_FECHA!$A$2:$A$201=$A1445)*(EXCEPCIONES_FECHA!$B$2:$B$201=$B1445),0)),IFERROR(INDEX(EXCEPCIONES_FECHA!$E$2:$E$201,MATCH(1,(EXCEPCIONES_FECHA!$A$2:$A$201=$A1445)*(EXCEPCIONES_FECHA!$B$2:$B$201=""),0)),IFERROR(INDEX(IF($I1445="FIN",HISTORIAL_HORARIOS!$K$2:$K$201,HISTORIAL_HORARIOS!$G$2:$G$201),MATCH(1,(HISTORIAL_HORARIOS!$A$2:$A$201=$B1445)*(HISTORIAL_HORARIOS!$C$2:$C$201&lt;=$A1445)*(HISTORIAL_HORARIOS!$D$2:$D$201&gt;=$A1445),0)),INDEX(IF($I1445="FIN",PERSONAL!$K$2:$K$80,PERSONAL!$G$2:$G$80),MATCH($B1445,PERSONAL!$A$2:$A$80,0)))))</f>
        <v/>
      </c>
      <c r="O1445" s="53">
        <f t="array" ref="O1445">IFERROR(INDEX(EXCEPCIONES_FECHA!$F$2:$F$201,MATCH(1,(EXCEPCIONES_FECHA!$A$2:$A$201=$A1445)*(EXCEPCIONES_FECHA!$B$2:$B$201=$B1445),0)),IFERROR(INDEX(EXCEPCIONES_FECHA!$F$2:$F$201,MATCH(1,(EXCEPCIONES_FECHA!$A$2:$A$201=$A1445)*(EXCEPCIONES_FECHA!$B$2:$B$201=""),0)),IFERROR(INDEX(IF($I1445="FIN",HISTORIAL_HORARIOS!$L$2:$L$201,HISTORIAL_HORARIOS!$H$2:$H$201),MATCH(1,(HISTORIAL_HORARIOS!$A$2:$A$201=$B1445)*(HISTORIAL_HORARIOS!$C$2:$C$201&lt;=$A1445)*(HISTORIAL_HORARIOS!$D$2:$D$201&gt;=$A1445),0)),INDEX(IF($I1445="FIN",PERSONAL!$L$2:$L$80,PERSONAL!$H$2:$H$80),MATCH($B1445,PERSONAL!$A$2:$A$80,0)))))</f>
        <v/>
      </c>
    </row>
    <row r="1446" ht="15" customHeight="1" s="58">
      <c r="A1446" s="40" t="n"/>
      <c r="B1446" s="38" t="n"/>
      <c r="C1446" s="40" t="n"/>
      <c r="D1446" s="40" t="n"/>
      <c r="E1446" s="34">
        <f t="array" ref="E1446">IF($B1446="","",IFERROR(INDEX(PERSONAL!$B$2:$B$80,MATCH($B1446,PERSONAL!$A$2:$A$80,0)),"NO EXISTE"))</f>
        <v/>
      </c>
      <c r="F1446" s="34">
        <f t="array" ref="F1446">IF($B1446="","",IFERROR(INDEX(PERSONAL!$C$2:$C$80,MATCH($B1446,PERSONAL!$A$2:$A$80,0)),""))</f>
        <v/>
      </c>
      <c r="G1446" s="34">
        <f>IF($A1446="","",CHOOSE(WEEKDAY($A1446,2),"LUNES","MARTES","MIÉRCOLES","JUEVES","VIERNES","SÁBADO","DOMINGO"))</f>
        <v/>
      </c>
      <c r="H1446" s="34">
        <f>IF($A1446="","",CHOOSE(MONTH($A1446),"ENERO","FEBRERO","MARZO","ABRIL","MAYO","JUNIO","JULIO","AGOSTO","SEPTIEMBRE","OCTUBRE","NOVIEMBRE","DICIEMBRE"))</f>
        <v/>
      </c>
      <c r="I1446" s="34">
        <f>IF($A1446="","",IF(OR($G1446="SÁBADO",$G1446="DOMINGO"),"FIN","LV"))</f>
        <v/>
      </c>
      <c r="J1446" s="34">
        <f>IF(OR($A1446="",$B1446=""),"",IF($L1446&lt;&gt;"",UPPER($L1446),IF($C1446="","FALTA",IFERROR(IF($C1446&gt;=$O1446,"ROJO FUERTE",IF($C1446&gt;=$N1446,"ROJO",IF($C1446&gt;=$M1446,"AMARILLO","VERDE"))),"REVISAR"))))</f>
        <v/>
      </c>
      <c r="K1446" s="36">
        <f>IF(OR($C1446="",$D1446=""),"",IF($D1446&gt;=$C1446,($D1446-$C1446)*24,(1-$C1446+$D1446)*24))</f>
        <v/>
      </c>
      <c r="L1446" s="34" t="n"/>
      <c r="M1446" s="53">
        <f t="array" ref="M1446">IFERROR(INDEX(EXCEPCIONES_FECHA!$D$2:$D$201,MATCH(1,(EXCEPCIONES_FECHA!$A$2:$A$201=$A1446)*(EXCEPCIONES_FECHA!$B$2:$B$201=$B1446),0)),IFERROR(INDEX(EXCEPCIONES_FECHA!$D$2:$D$201,MATCH(1,(EXCEPCIONES_FECHA!$A$2:$A$201=$A1446)*(EXCEPCIONES_FECHA!$B$2:$B$201=""),0)),IFERROR(INDEX(IF($I1446="FIN",HISTORIAL_HORARIOS!$J$2:$J$201,HISTORIAL_HORARIOS!$F$2:$F$201),MATCH(1,(HISTORIAL_HORARIOS!$A$2:$A$201=$B1446)*(HISTORIAL_HORARIOS!$C$2:$C$201&lt;=$A1446)*(HISTORIAL_HORARIOS!$D$2:$D$201&gt;=$A1446),0)),INDEX(IF($I1446="FIN",PERSONAL!$J$2:$J$80,PERSONAL!$F$2:$F$80),MATCH($B1446,PERSONAL!$A$2:$A$80,0)))))</f>
        <v/>
      </c>
      <c r="N1446" s="53">
        <f t="array" ref="N1446">IFERROR(INDEX(EXCEPCIONES_FECHA!$E$2:$E$201,MATCH(1,(EXCEPCIONES_FECHA!$A$2:$A$201=$A1446)*(EXCEPCIONES_FECHA!$B$2:$B$201=$B1446),0)),IFERROR(INDEX(EXCEPCIONES_FECHA!$E$2:$E$201,MATCH(1,(EXCEPCIONES_FECHA!$A$2:$A$201=$A1446)*(EXCEPCIONES_FECHA!$B$2:$B$201=""),0)),IFERROR(INDEX(IF($I1446="FIN",HISTORIAL_HORARIOS!$K$2:$K$201,HISTORIAL_HORARIOS!$G$2:$G$201),MATCH(1,(HISTORIAL_HORARIOS!$A$2:$A$201=$B1446)*(HISTORIAL_HORARIOS!$C$2:$C$201&lt;=$A1446)*(HISTORIAL_HORARIOS!$D$2:$D$201&gt;=$A1446),0)),INDEX(IF($I1446="FIN",PERSONAL!$K$2:$K$80,PERSONAL!$G$2:$G$80),MATCH($B1446,PERSONAL!$A$2:$A$80,0)))))</f>
        <v/>
      </c>
      <c r="O1446" s="53">
        <f t="array" ref="O1446">IFERROR(INDEX(EXCEPCIONES_FECHA!$F$2:$F$201,MATCH(1,(EXCEPCIONES_FECHA!$A$2:$A$201=$A1446)*(EXCEPCIONES_FECHA!$B$2:$B$201=$B1446),0)),IFERROR(INDEX(EXCEPCIONES_FECHA!$F$2:$F$201,MATCH(1,(EXCEPCIONES_FECHA!$A$2:$A$201=$A1446)*(EXCEPCIONES_FECHA!$B$2:$B$201=""),0)),IFERROR(INDEX(IF($I1446="FIN",HISTORIAL_HORARIOS!$L$2:$L$201,HISTORIAL_HORARIOS!$H$2:$H$201),MATCH(1,(HISTORIAL_HORARIOS!$A$2:$A$201=$B1446)*(HISTORIAL_HORARIOS!$C$2:$C$201&lt;=$A1446)*(HISTORIAL_HORARIOS!$D$2:$D$201&gt;=$A1446),0)),INDEX(IF($I1446="FIN",PERSONAL!$L$2:$L$80,PERSONAL!$H$2:$H$80),MATCH($B1446,PERSONAL!$A$2:$A$80,0)))))</f>
        <v/>
      </c>
    </row>
    <row r="1447" ht="15" customHeight="1" s="58">
      <c r="A1447" s="40" t="n"/>
      <c r="B1447" s="38" t="n"/>
      <c r="C1447" s="40" t="n"/>
      <c r="D1447" s="40" t="n"/>
      <c r="E1447" s="34">
        <f t="array" ref="E1447">IF($B1447="","",IFERROR(INDEX(PERSONAL!$B$2:$B$80,MATCH($B1447,PERSONAL!$A$2:$A$80,0)),"NO EXISTE"))</f>
        <v/>
      </c>
      <c r="F1447" s="34">
        <f t="array" ref="F1447">IF($B1447="","",IFERROR(INDEX(PERSONAL!$C$2:$C$80,MATCH($B1447,PERSONAL!$A$2:$A$80,0)),""))</f>
        <v/>
      </c>
      <c r="G1447" s="34">
        <f>IF($A1447="","",CHOOSE(WEEKDAY($A1447,2),"LUNES","MARTES","MIÉRCOLES","JUEVES","VIERNES","SÁBADO","DOMINGO"))</f>
        <v/>
      </c>
      <c r="H1447" s="34">
        <f>IF($A1447="","",CHOOSE(MONTH($A1447),"ENERO","FEBRERO","MARZO","ABRIL","MAYO","JUNIO","JULIO","AGOSTO","SEPTIEMBRE","OCTUBRE","NOVIEMBRE","DICIEMBRE"))</f>
        <v/>
      </c>
      <c r="I1447" s="34">
        <f>IF($A1447="","",IF(OR($G1447="SÁBADO",$G1447="DOMINGO"),"FIN","LV"))</f>
        <v/>
      </c>
      <c r="J1447" s="34">
        <f>IF(OR($A1447="",$B1447=""),"",IF($L1447&lt;&gt;"",UPPER($L1447),IF($C1447="","FALTA",IFERROR(IF($C1447&gt;=$O1447,"ROJO FUERTE",IF($C1447&gt;=$N1447,"ROJO",IF($C1447&gt;=$M1447,"AMARILLO","VERDE"))),"REVISAR"))))</f>
        <v/>
      </c>
      <c r="K1447" s="36">
        <f>IF(OR($C1447="",$D1447=""),"",IF($D1447&gt;=$C1447,($D1447-$C1447)*24,(1-$C1447+$D1447)*24))</f>
        <v/>
      </c>
      <c r="L1447" s="34" t="n"/>
      <c r="M1447" s="53">
        <f t="array" ref="M1447">IFERROR(INDEX(EXCEPCIONES_FECHA!$D$2:$D$201,MATCH(1,(EXCEPCIONES_FECHA!$A$2:$A$201=$A1447)*(EXCEPCIONES_FECHA!$B$2:$B$201=$B1447),0)),IFERROR(INDEX(EXCEPCIONES_FECHA!$D$2:$D$201,MATCH(1,(EXCEPCIONES_FECHA!$A$2:$A$201=$A1447)*(EXCEPCIONES_FECHA!$B$2:$B$201=""),0)),IFERROR(INDEX(IF($I1447="FIN",HISTORIAL_HORARIOS!$J$2:$J$201,HISTORIAL_HORARIOS!$F$2:$F$201),MATCH(1,(HISTORIAL_HORARIOS!$A$2:$A$201=$B1447)*(HISTORIAL_HORARIOS!$C$2:$C$201&lt;=$A1447)*(HISTORIAL_HORARIOS!$D$2:$D$201&gt;=$A1447),0)),INDEX(IF($I1447="FIN",PERSONAL!$J$2:$J$80,PERSONAL!$F$2:$F$80),MATCH($B1447,PERSONAL!$A$2:$A$80,0)))))</f>
        <v/>
      </c>
      <c r="N1447" s="53">
        <f t="array" ref="N1447">IFERROR(INDEX(EXCEPCIONES_FECHA!$E$2:$E$201,MATCH(1,(EXCEPCIONES_FECHA!$A$2:$A$201=$A1447)*(EXCEPCIONES_FECHA!$B$2:$B$201=$B1447),0)),IFERROR(INDEX(EXCEPCIONES_FECHA!$E$2:$E$201,MATCH(1,(EXCEPCIONES_FECHA!$A$2:$A$201=$A1447)*(EXCEPCIONES_FECHA!$B$2:$B$201=""),0)),IFERROR(INDEX(IF($I1447="FIN",HISTORIAL_HORARIOS!$K$2:$K$201,HISTORIAL_HORARIOS!$G$2:$G$201),MATCH(1,(HISTORIAL_HORARIOS!$A$2:$A$201=$B1447)*(HISTORIAL_HORARIOS!$C$2:$C$201&lt;=$A1447)*(HISTORIAL_HORARIOS!$D$2:$D$201&gt;=$A1447),0)),INDEX(IF($I1447="FIN",PERSONAL!$K$2:$K$80,PERSONAL!$G$2:$G$80),MATCH($B1447,PERSONAL!$A$2:$A$80,0)))))</f>
        <v/>
      </c>
      <c r="O1447" s="53">
        <f t="array" ref="O1447">IFERROR(INDEX(EXCEPCIONES_FECHA!$F$2:$F$201,MATCH(1,(EXCEPCIONES_FECHA!$A$2:$A$201=$A1447)*(EXCEPCIONES_FECHA!$B$2:$B$201=$B1447),0)),IFERROR(INDEX(EXCEPCIONES_FECHA!$F$2:$F$201,MATCH(1,(EXCEPCIONES_FECHA!$A$2:$A$201=$A1447)*(EXCEPCIONES_FECHA!$B$2:$B$201=""),0)),IFERROR(INDEX(IF($I1447="FIN",HISTORIAL_HORARIOS!$L$2:$L$201,HISTORIAL_HORARIOS!$H$2:$H$201),MATCH(1,(HISTORIAL_HORARIOS!$A$2:$A$201=$B1447)*(HISTORIAL_HORARIOS!$C$2:$C$201&lt;=$A1447)*(HISTORIAL_HORARIOS!$D$2:$D$201&gt;=$A1447),0)),INDEX(IF($I1447="FIN",PERSONAL!$L$2:$L$80,PERSONAL!$H$2:$H$80),MATCH($B1447,PERSONAL!$A$2:$A$80,0)))))</f>
        <v/>
      </c>
    </row>
    <row r="1448" ht="15" customHeight="1" s="58">
      <c r="A1448" s="40" t="n"/>
      <c r="B1448" s="38" t="n"/>
      <c r="C1448" s="40" t="n"/>
      <c r="D1448" s="40" t="n"/>
      <c r="E1448" s="34">
        <f t="array" ref="E1448">IF($B1448="","",IFERROR(INDEX(PERSONAL!$B$2:$B$80,MATCH($B1448,PERSONAL!$A$2:$A$80,0)),"NO EXISTE"))</f>
        <v/>
      </c>
      <c r="F1448" s="34">
        <f t="array" ref="F1448">IF($B1448="","",IFERROR(INDEX(PERSONAL!$C$2:$C$80,MATCH($B1448,PERSONAL!$A$2:$A$80,0)),""))</f>
        <v/>
      </c>
      <c r="G1448" s="34">
        <f>IF($A1448="","",CHOOSE(WEEKDAY($A1448,2),"LUNES","MARTES","MIÉRCOLES","JUEVES","VIERNES","SÁBADO","DOMINGO"))</f>
        <v/>
      </c>
      <c r="H1448" s="34">
        <f>IF($A1448="","",CHOOSE(MONTH($A1448),"ENERO","FEBRERO","MARZO","ABRIL","MAYO","JUNIO","JULIO","AGOSTO","SEPTIEMBRE","OCTUBRE","NOVIEMBRE","DICIEMBRE"))</f>
        <v/>
      </c>
      <c r="I1448" s="34">
        <f>IF($A1448="","",IF(OR($G1448="SÁBADO",$G1448="DOMINGO"),"FIN","LV"))</f>
        <v/>
      </c>
      <c r="J1448" s="34">
        <f>IF(OR($A1448="",$B1448=""),"",IF($L1448&lt;&gt;"",UPPER($L1448),IF($C1448="","FALTA",IFERROR(IF($C1448&gt;=$O1448,"ROJO FUERTE",IF($C1448&gt;=$N1448,"ROJO",IF($C1448&gt;=$M1448,"AMARILLO","VERDE"))),"REVISAR"))))</f>
        <v/>
      </c>
      <c r="K1448" s="36">
        <f>IF(OR($C1448="",$D1448=""),"",IF($D1448&gt;=$C1448,($D1448-$C1448)*24,(1-$C1448+$D1448)*24))</f>
        <v/>
      </c>
      <c r="L1448" s="34" t="n"/>
      <c r="M1448" s="53">
        <f t="array" ref="M1448">IFERROR(INDEX(EXCEPCIONES_FECHA!$D$2:$D$201,MATCH(1,(EXCEPCIONES_FECHA!$A$2:$A$201=$A1448)*(EXCEPCIONES_FECHA!$B$2:$B$201=$B1448),0)),IFERROR(INDEX(EXCEPCIONES_FECHA!$D$2:$D$201,MATCH(1,(EXCEPCIONES_FECHA!$A$2:$A$201=$A1448)*(EXCEPCIONES_FECHA!$B$2:$B$201=""),0)),IFERROR(INDEX(IF($I1448="FIN",HISTORIAL_HORARIOS!$J$2:$J$201,HISTORIAL_HORARIOS!$F$2:$F$201),MATCH(1,(HISTORIAL_HORARIOS!$A$2:$A$201=$B1448)*(HISTORIAL_HORARIOS!$C$2:$C$201&lt;=$A1448)*(HISTORIAL_HORARIOS!$D$2:$D$201&gt;=$A1448),0)),INDEX(IF($I1448="FIN",PERSONAL!$J$2:$J$80,PERSONAL!$F$2:$F$80),MATCH($B1448,PERSONAL!$A$2:$A$80,0)))))</f>
        <v/>
      </c>
      <c r="N1448" s="53">
        <f t="array" ref="N1448">IFERROR(INDEX(EXCEPCIONES_FECHA!$E$2:$E$201,MATCH(1,(EXCEPCIONES_FECHA!$A$2:$A$201=$A1448)*(EXCEPCIONES_FECHA!$B$2:$B$201=$B1448),0)),IFERROR(INDEX(EXCEPCIONES_FECHA!$E$2:$E$201,MATCH(1,(EXCEPCIONES_FECHA!$A$2:$A$201=$A1448)*(EXCEPCIONES_FECHA!$B$2:$B$201=""),0)),IFERROR(INDEX(IF($I1448="FIN",HISTORIAL_HORARIOS!$K$2:$K$201,HISTORIAL_HORARIOS!$G$2:$G$201),MATCH(1,(HISTORIAL_HORARIOS!$A$2:$A$201=$B1448)*(HISTORIAL_HORARIOS!$C$2:$C$201&lt;=$A1448)*(HISTORIAL_HORARIOS!$D$2:$D$201&gt;=$A1448),0)),INDEX(IF($I1448="FIN",PERSONAL!$K$2:$K$80,PERSONAL!$G$2:$G$80),MATCH($B1448,PERSONAL!$A$2:$A$80,0)))))</f>
        <v/>
      </c>
      <c r="O1448" s="53">
        <f t="array" ref="O1448">IFERROR(INDEX(EXCEPCIONES_FECHA!$F$2:$F$201,MATCH(1,(EXCEPCIONES_FECHA!$A$2:$A$201=$A1448)*(EXCEPCIONES_FECHA!$B$2:$B$201=$B1448),0)),IFERROR(INDEX(EXCEPCIONES_FECHA!$F$2:$F$201,MATCH(1,(EXCEPCIONES_FECHA!$A$2:$A$201=$A1448)*(EXCEPCIONES_FECHA!$B$2:$B$201=""),0)),IFERROR(INDEX(IF($I1448="FIN",HISTORIAL_HORARIOS!$L$2:$L$201,HISTORIAL_HORARIOS!$H$2:$H$201),MATCH(1,(HISTORIAL_HORARIOS!$A$2:$A$201=$B1448)*(HISTORIAL_HORARIOS!$C$2:$C$201&lt;=$A1448)*(HISTORIAL_HORARIOS!$D$2:$D$201&gt;=$A1448),0)),INDEX(IF($I1448="FIN",PERSONAL!$L$2:$L$80,PERSONAL!$H$2:$H$80),MATCH($B1448,PERSONAL!$A$2:$A$80,0)))))</f>
        <v/>
      </c>
    </row>
    <row r="1449" ht="15" customHeight="1" s="58">
      <c r="A1449" s="40" t="n"/>
      <c r="B1449" s="38" t="n"/>
      <c r="C1449" s="40" t="n"/>
      <c r="D1449" s="40" t="n"/>
      <c r="E1449" s="34">
        <f t="array" ref="E1449">IF($B1449="","",IFERROR(INDEX(PERSONAL!$B$2:$B$80,MATCH($B1449,PERSONAL!$A$2:$A$80,0)),"NO EXISTE"))</f>
        <v/>
      </c>
      <c r="F1449" s="34">
        <f t="array" ref="F1449">IF($B1449="","",IFERROR(INDEX(PERSONAL!$C$2:$C$80,MATCH($B1449,PERSONAL!$A$2:$A$80,0)),""))</f>
        <v/>
      </c>
      <c r="G1449" s="34">
        <f>IF($A1449="","",CHOOSE(WEEKDAY($A1449,2),"LUNES","MARTES","MIÉRCOLES","JUEVES","VIERNES","SÁBADO","DOMINGO"))</f>
        <v/>
      </c>
      <c r="H1449" s="34">
        <f>IF($A1449="","",CHOOSE(MONTH($A1449),"ENERO","FEBRERO","MARZO","ABRIL","MAYO","JUNIO","JULIO","AGOSTO","SEPTIEMBRE","OCTUBRE","NOVIEMBRE","DICIEMBRE"))</f>
        <v/>
      </c>
      <c r="I1449" s="34">
        <f>IF($A1449="","",IF(OR($G1449="SÁBADO",$G1449="DOMINGO"),"FIN","LV"))</f>
        <v/>
      </c>
      <c r="J1449" s="34">
        <f>IF(OR($A1449="",$B1449=""),"",IF($L1449&lt;&gt;"",UPPER($L1449),IF($C1449="","FALTA",IFERROR(IF($C1449&gt;=$O1449,"ROJO FUERTE",IF($C1449&gt;=$N1449,"ROJO",IF($C1449&gt;=$M1449,"AMARILLO","VERDE"))),"REVISAR"))))</f>
        <v/>
      </c>
      <c r="K1449" s="36">
        <f>IF(OR($C1449="",$D1449=""),"",IF($D1449&gt;=$C1449,($D1449-$C1449)*24,(1-$C1449+$D1449)*24))</f>
        <v/>
      </c>
      <c r="L1449" s="34" t="n"/>
      <c r="M1449" s="53">
        <f t="array" ref="M1449">IFERROR(INDEX(EXCEPCIONES_FECHA!$D$2:$D$201,MATCH(1,(EXCEPCIONES_FECHA!$A$2:$A$201=$A1449)*(EXCEPCIONES_FECHA!$B$2:$B$201=$B1449),0)),IFERROR(INDEX(EXCEPCIONES_FECHA!$D$2:$D$201,MATCH(1,(EXCEPCIONES_FECHA!$A$2:$A$201=$A1449)*(EXCEPCIONES_FECHA!$B$2:$B$201=""),0)),IFERROR(INDEX(IF($I1449="FIN",HISTORIAL_HORARIOS!$J$2:$J$201,HISTORIAL_HORARIOS!$F$2:$F$201),MATCH(1,(HISTORIAL_HORARIOS!$A$2:$A$201=$B1449)*(HISTORIAL_HORARIOS!$C$2:$C$201&lt;=$A1449)*(HISTORIAL_HORARIOS!$D$2:$D$201&gt;=$A1449),0)),INDEX(IF($I1449="FIN",PERSONAL!$J$2:$J$80,PERSONAL!$F$2:$F$80),MATCH($B1449,PERSONAL!$A$2:$A$80,0)))))</f>
        <v/>
      </c>
      <c r="N1449" s="53">
        <f t="array" ref="N1449">IFERROR(INDEX(EXCEPCIONES_FECHA!$E$2:$E$201,MATCH(1,(EXCEPCIONES_FECHA!$A$2:$A$201=$A1449)*(EXCEPCIONES_FECHA!$B$2:$B$201=$B1449),0)),IFERROR(INDEX(EXCEPCIONES_FECHA!$E$2:$E$201,MATCH(1,(EXCEPCIONES_FECHA!$A$2:$A$201=$A1449)*(EXCEPCIONES_FECHA!$B$2:$B$201=""),0)),IFERROR(INDEX(IF($I1449="FIN",HISTORIAL_HORARIOS!$K$2:$K$201,HISTORIAL_HORARIOS!$G$2:$G$201),MATCH(1,(HISTORIAL_HORARIOS!$A$2:$A$201=$B1449)*(HISTORIAL_HORARIOS!$C$2:$C$201&lt;=$A1449)*(HISTORIAL_HORARIOS!$D$2:$D$201&gt;=$A1449),0)),INDEX(IF($I1449="FIN",PERSONAL!$K$2:$K$80,PERSONAL!$G$2:$G$80),MATCH($B1449,PERSONAL!$A$2:$A$80,0)))))</f>
        <v/>
      </c>
      <c r="O1449" s="53">
        <f t="array" ref="O1449">IFERROR(INDEX(EXCEPCIONES_FECHA!$F$2:$F$201,MATCH(1,(EXCEPCIONES_FECHA!$A$2:$A$201=$A1449)*(EXCEPCIONES_FECHA!$B$2:$B$201=$B1449),0)),IFERROR(INDEX(EXCEPCIONES_FECHA!$F$2:$F$201,MATCH(1,(EXCEPCIONES_FECHA!$A$2:$A$201=$A1449)*(EXCEPCIONES_FECHA!$B$2:$B$201=""),0)),IFERROR(INDEX(IF($I1449="FIN",HISTORIAL_HORARIOS!$L$2:$L$201,HISTORIAL_HORARIOS!$H$2:$H$201),MATCH(1,(HISTORIAL_HORARIOS!$A$2:$A$201=$B1449)*(HISTORIAL_HORARIOS!$C$2:$C$201&lt;=$A1449)*(HISTORIAL_HORARIOS!$D$2:$D$201&gt;=$A1449),0)),INDEX(IF($I1449="FIN",PERSONAL!$L$2:$L$80,PERSONAL!$H$2:$H$80),MATCH($B1449,PERSONAL!$A$2:$A$80,0)))))</f>
        <v/>
      </c>
    </row>
    <row r="1450" ht="15" customHeight="1" s="58">
      <c r="A1450" s="40" t="n"/>
      <c r="B1450" s="38" t="n"/>
      <c r="C1450" s="40" t="n"/>
      <c r="D1450" s="40" t="n"/>
      <c r="E1450" s="34">
        <f t="array" ref="E1450">IF($B1450="","",IFERROR(INDEX(PERSONAL!$B$2:$B$80,MATCH($B1450,PERSONAL!$A$2:$A$80,0)),"NO EXISTE"))</f>
        <v/>
      </c>
      <c r="F1450" s="34">
        <f t="array" ref="F1450">IF($B1450="","",IFERROR(INDEX(PERSONAL!$C$2:$C$80,MATCH($B1450,PERSONAL!$A$2:$A$80,0)),""))</f>
        <v/>
      </c>
      <c r="G1450" s="34">
        <f>IF($A1450="","",CHOOSE(WEEKDAY($A1450,2),"LUNES","MARTES","MIÉRCOLES","JUEVES","VIERNES","SÁBADO","DOMINGO"))</f>
        <v/>
      </c>
      <c r="H1450" s="34">
        <f>IF($A1450="","",CHOOSE(MONTH($A1450),"ENERO","FEBRERO","MARZO","ABRIL","MAYO","JUNIO","JULIO","AGOSTO","SEPTIEMBRE","OCTUBRE","NOVIEMBRE","DICIEMBRE"))</f>
        <v/>
      </c>
      <c r="I1450" s="34">
        <f>IF($A1450="","",IF(OR($G1450="SÁBADO",$G1450="DOMINGO"),"FIN","LV"))</f>
        <v/>
      </c>
      <c r="J1450" s="34">
        <f>IF(OR($A1450="",$B1450=""),"",IF($L1450&lt;&gt;"",UPPER($L1450),IF($C1450="","FALTA",IFERROR(IF($C1450&gt;=$O1450,"ROJO FUERTE",IF($C1450&gt;=$N1450,"ROJO",IF($C1450&gt;=$M1450,"AMARILLO","VERDE"))),"REVISAR"))))</f>
        <v/>
      </c>
      <c r="K1450" s="36">
        <f>IF(OR($C1450="",$D1450=""),"",IF($D1450&gt;=$C1450,($D1450-$C1450)*24,(1-$C1450+$D1450)*24))</f>
        <v/>
      </c>
      <c r="L1450" s="34" t="n"/>
      <c r="M1450" s="53">
        <f t="array" ref="M1450">IFERROR(INDEX(EXCEPCIONES_FECHA!$D$2:$D$201,MATCH(1,(EXCEPCIONES_FECHA!$A$2:$A$201=$A1450)*(EXCEPCIONES_FECHA!$B$2:$B$201=$B1450),0)),IFERROR(INDEX(EXCEPCIONES_FECHA!$D$2:$D$201,MATCH(1,(EXCEPCIONES_FECHA!$A$2:$A$201=$A1450)*(EXCEPCIONES_FECHA!$B$2:$B$201=""),0)),IFERROR(INDEX(IF($I1450="FIN",HISTORIAL_HORARIOS!$J$2:$J$201,HISTORIAL_HORARIOS!$F$2:$F$201),MATCH(1,(HISTORIAL_HORARIOS!$A$2:$A$201=$B1450)*(HISTORIAL_HORARIOS!$C$2:$C$201&lt;=$A1450)*(HISTORIAL_HORARIOS!$D$2:$D$201&gt;=$A1450),0)),INDEX(IF($I1450="FIN",PERSONAL!$J$2:$J$80,PERSONAL!$F$2:$F$80),MATCH($B1450,PERSONAL!$A$2:$A$80,0)))))</f>
        <v/>
      </c>
      <c r="N1450" s="53">
        <f t="array" ref="N1450">IFERROR(INDEX(EXCEPCIONES_FECHA!$E$2:$E$201,MATCH(1,(EXCEPCIONES_FECHA!$A$2:$A$201=$A1450)*(EXCEPCIONES_FECHA!$B$2:$B$201=$B1450),0)),IFERROR(INDEX(EXCEPCIONES_FECHA!$E$2:$E$201,MATCH(1,(EXCEPCIONES_FECHA!$A$2:$A$201=$A1450)*(EXCEPCIONES_FECHA!$B$2:$B$201=""),0)),IFERROR(INDEX(IF($I1450="FIN",HISTORIAL_HORARIOS!$K$2:$K$201,HISTORIAL_HORARIOS!$G$2:$G$201),MATCH(1,(HISTORIAL_HORARIOS!$A$2:$A$201=$B1450)*(HISTORIAL_HORARIOS!$C$2:$C$201&lt;=$A1450)*(HISTORIAL_HORARIOS!$D$2:$D$201&gt;=$A1450),0)),INDEX(IF($I1450="FIN",PERSONAL!$K$2:$K$80,PERSONAL!$G$2:$G$80),MATCH($B1450,PERSONAL!$A$2:$A$80,0)))))</f>
        <v/>
      </c>
      <c r="O1450" s="53">
        <f t="array" ref="O1450">IFERROR(INDEX(EXCEPCIONES_FECHA!$F$2:$F$201,MATCH(1,(EXCEPCIONES_FECHA!$A$2:$A$201=$A1450)*(EXCEPCIONES_FECHA!$B$2:$B$201=$B1450),0)),IFERROR(INDEX(EXCEPCIONES_FECHA!$F$2:$F$201,MATCH(1,(EXCEPCIONES_FECHA!$A$2:$A$201=$A1450)*(EXCEPCIONES_FECHA!$B$2:$B$201=""),0)),IFERROR(INDEX(IF($I1450="FIN",HISTORIAL_HORARIOS!$L$2:$L$201,HISTORIAL_HORARIOS!$H$2:$H$201),MATCH(1,(HISTORIAL_HORARIOS!$A$2:$A$201=$B1450)*(HISTORIAL_HORARIOS!$C$2:$C$201&lt;=$A1450)*(HISTORIAL_HORARIOS!$D$2:$D$201&gt;=$A1450),0)),INDEX(IF($I1450="FIN",PERSONAL!$L$2:$L$80,PERSONAL!$H$2:$H$80),MATCH($B1450,PERSONAL!$A$2:$A$80,0)))))</f>
        <v/>
      </c>
    </row>
    <row r="1451" ht="15" customHeight="1" s="58">
      <c r="A1451" s="40" t="n"/>
      <c r="B1451" s="38" t="n"/>
      <c r="C1451" s="40" t="n"/>
      <c r="D1451" s="40" t="n"/>
      <c r="E1451" s="34">
        <f t="array" ref="E1451">IF($B1451="","",IFERROR(INDEX(PERSONAL!$B$2:$B$80,MATCH($B1451,PERSONAL!$A$2:$A$80,0)),"NO EXISTE"))</f>
        <v/>
      </c>
      <c r="F1451" s="34">
        <f t="array" ref="F1451">IF($B1451="","",IFERROR(INDEX(PERSONAL!$C$2:$C$80,MATCH($B1451,PERSONAL!$A$2:$A$80,0)),""))</f>
        <v/>
      </c>
      <c r="G1451" s="34">
        <f>IF($A1451="","",CHOOSE(WEEKDAY($A1451,2),"LUNES","MARTES","MIÉRCOLES","JUEVES","VIERNES","SÁBADO","DOMINGO"))</f>
        <v/>
      </c>
      <c r="H1451" s="34">
        <f>IF($A1451="","",CHOOSE(MONTH($A1451),"ENERO","FEBRERO","MARZO","ABRIL","MAYO","JUNIO","JULIO","AGOSTO","SEPTIEMBRE","OCTUBRE","NOVIEMBRE","DICIEMBRE"))</f>
        <v/>
      </c>
      <c r="I1451" s="34">
        <f>IF($A1451="","",IF(OR($G1451="SÁBADO",$G1451="DOMINGO"),"FIN","LV"))</f>
        <v/>
      </c>
      <c r="J1451" s="34">
        <f>IF(OR($A1451="",$B1451=""),"",IF($L1451&lt;&gt;"",UPPER($L1451),IF($C1451="","FALTA",IFERROR(IF($C1451&gt;=$O1451,"ROJO FUERTE",IF($C1451&gt;=$N1451,"ROJO",IF($C1451&gt;=$M1451,"AMARILLO","VERDE"))),"REVISAR"))))</f>
        <v/>
      </c>
      <c r="K1451" s="36">
        <f>IF(OR($C1451="",$D1451=""),"",IF($D1451&gt;=$C1451,($D1451-$C1451)*24,(1-$C1451+$D1451)*24))</f>
        <v/>
      </c>
      <c r="L1451" s="34" t="n"/>
      <c r="M1451" s="53">
        <f t="array" ref="M1451">IFERROR(INDEX(EXCEPCIONES_FECHA!$D$2:$D$201,MATCH(1,(EXCEPCIONES_FECHA!$A$2:$A$201=$A1451)*(EXCEPCIONES_FECHA!$B$2:$B$201=$B1451),0)),IFERROR(INDEX(EXCEPCIONES_FECHA!$D$2:$D$201,MATCH(1,(EXCEPCIONES_FECHA!$A$2:$A$201=$A1451)*(EXCEPCIONES_FECHA!$B$2:$B$201=""),0)),IFERROR(INDEX(IF($I1451="FIN",HISTORIAL_HORARIOS!$J$2:$J$201,HISTORIAL_HORARIOS!$F$2:$F$201),MATCH(1,(HISTORIAL_HORARIOS!$A$2:$A$201=$B1451)*(HISTORIAL_HORARIOS!$C$2:$C$201&lt;=$A1451)*(HISTORIAL_HORARIOS!$D$2:$D$201&gt;=$A1451),0)),INDEX(IF($I1451="FIN",PERSONAL!$J$2:$J$80,PERSONAL!$F$2:$F$80),MATCH($B1451,PERSONAL!$A$2:$A$80,0)))))</f>
        <v/>
      </c>
      <c r="N1451" s="53">
        <f t="array" ref="N1451">IFERROR(INDEX(EXCEPCIONES_FECHA!$E$2:$E$201,MATCH(1,(EXCEPCIONES_FECHA!$A$2:$A$201=$A1451)*(EXCEPCIONES_FECHA!$B$2:$B$201=$B1451),0)),IFERROR(INDEX(EXCEPCIONES_FECHA!$E$2:$E$201,MATCH(1,(EXCEPCIONES_FECHA!$A$2:$A$201=$A1451)*(EXCEPCIONES_FECHA!$B$2:$B$201=""),0)),IFERROR(INDEX(IF($I1451="FIN",HISTORIAL_HORARIOS!$K$2:$K$201,HISTORIAL_HORARIOS!$G$2:$G$201),MATCH(1,(HISTORIAL_HORARIOS!$A$2:$A$201=$B1451)*(HISTORIAL_HORARIOS!$C$2:$C$201&lt;=$A1451)*(HISTORIAL_HORARIOS!$D$2:$D$201&gt;=$A1451),0)),INDEX(IF($I1451="FIN",PERSONAL!$K$2:$K$80,PERSONAL!$G$2:$G$80),MATCH($B1451,PERSONAL!$A$2:$A$80,0)))))</f>
        <v/>
      </c>
      <c r="O1451" s="53">
        <f t="array" ref="O1451">IFERROR(INDEX(EXCEPCIONES_FECHA!$F$2:$F$201,MATCH(1,(EXCEPCIONES_FECHA!$A$2:$A$201=$A1451)*(EXCEPCIONES_FECHA!$B$2:$B$201=$B1451),0)),IFERROR(INDEX(EXCEPCIONES_FECHA!$F$2:$F$201,MATCH(1,(EXCEPCIONES_FECHA!$A$2:$A$201=$A1451)*(EXCEPCIONES_FECHA!$B$2:$B$201=""),0)),IFERROR(INDEX(IF($I1451="FIN",HISTORIAL_HORARIOS!$L$2:$L$201,HISTORIAL_HORARIOS!$H$2:$H$201),MATCH(1,(HISTORIAL_HORARIOS!$A$2:$A$201=$B1451)*(HISTORIAL_HORARIOS!$C$2:$C$201&lt;=$A1451)*(HISTORIAL_HORARIOS!$D$2:$D$201&gt;=$A1451),0)),INDEX(IF($I1451="FIN",PERSONAL!$L$2:$L$80,PERSONAL!$H$2:$H$80),MATCH($B1451,PERSONAL!$A$2:$A$80,0)))))</f>
        <v/>
      </c>
    </row>
    <row r="1452" ht="15" customHeight="1" s="58">
      <c r="A1452" s="40" t="n"/>
      <c r="B1452" s="38" t="n"/>
      <c r="C1452" s="40" t="n"/>
      <c r="D1452" s="40" t="n"/>
      <c r="E1452" s="34">
        <f t="array" ref="E1452">IF($B1452="","",IFERROR(INDEX(PERSONAL!$B$2:$B$80,MATCH($B1452,PERSONAL!$A$2:$A$80,0)),"NO EXISTE"))</f>
        <v/>
      </c>
      <c r="F1452" s="34">
        <f t="array" ref="F1452">IF($B1452="","",IFERROR(INDEX(PERSONAL!$C$2:$C$80,MATCH($B1452,PERSONAL!$A$2:$A$80,0)),""))</f>
        <v/>
      </c>
      <c r="G1452" s="34">
        <f>IF($A1452="","",CHOOSE(WEEKDAY($A1452,2),"LUNES","MARTES","MIÉRCOLES","JUEVES","VIERNES","SÁBADO","DOMINGO"))</f>
        <v/>
      </c>
      <c r="H1452" s="34">
        <f>IF($A1452="","",CHOOSE(MONTH($A1452),"ENERO","FEBRERO","MARZO","ABRIL","MAYO","JUNIO","JULIO","AGOSTO","SEPTIEMBRE","OCTUBRE","NOVIEMBRE","DICIEMBRE"))</f>
        <v/>
      </c>
      <c r="I1452" s="34">
        <f>IF($A1452="","",IF(OR($G1452="SÁBADO",$G1452="DOMINGO"),"FIN","LV"))</f>
        <v/>
      </c>
      <c r="J1452" s="34">
        <f>IF(OR($A1452="",$B1452=""),"",IF($L1452&lt;&gt;"",UPPER($L1452),IF($C1452="","FALTA",IFERROR(IF($C1452&gt;=$O1452,"ROJO FUERTE",IF($C1452&gt;=$N1452,"ROJO",IF($C1452&gt;=$M1452,"AMARILLO","VERDE"))),"REVISAR"))))</f>
        <v/>
      </c>
      <c r="K1452" s="36">
        <f>IF(OR($C1452="",$D1452=""),"",IF($D1452&gt;=$C1452,($D1452-$C1452)*24,(1-$C1452+$D1452)*24))</f>
        <v/>
      </c>
      <c r="L1452" s="34" t="n"/>
      <c r="M1452" s="53">
        <f t="array" ref="M1452">IFERROR(INDEX(EXCEPCIONES_FECHA!$D$2:$D$201,MATCH(1,(EXCEPCIONES_FECHA!$A$2:$A$201=$A1452)*(EXCEPCIONES_FECHA!$B$2:$B$201=$B1452),0)),IFERROR(INDEX(EXCEPCIONES_FECHA!$D$2:$D$201,MATCH(1,(EXCEPCIONES_FECHA!$A$2:$A$201=$A1452)*(EXCEPCIONES_FECHA!$B$2:$B$201=""),0)),IFERROR(INDEX(IF($I1452="FIN",HISTORIAL_HORARIOS!$J$2:$J$201,HISTORIAL_HORARIOS!$F$2:$F$201),MATCH(1,(HISTORIAL_HORARIOS!$A$2:$A$201=$B1452)*(HISTORIAL_HORARIOS!$C$2:$C$201&lt;=$A1452)*(HISTORIAL_HORARIOS!$D$2:$D$201&gt;=$A1452),0)),INDEX(IF($I1452="FIN",PERSONAL!$J$2:$J$80,PERSONAL!$F$2:$F$80),MATCH($B1452,PERSONAL!$A$2:$A$80,0)))))</f>
        <v/>
      </c>
      <c r="N1452" s="53">
        <f t="array" ref="N1452">IFERROR(INDEX(EXCEPCIONES_FECHA!$E$2:$E$201,MATCH(1,(EXCEPCIONES_FECHA!$A$2:$A$201=$A1452)*(EXCEPCIONES_FECHA!$B$2:$B$201=$B1452),0)),IFERROR(INDEX(EXCEPCIONES_FECHA!$E$2:$E$201,MATCH(1,(EXCEPCIONES_FECHA!$A$2:$A$201=$A1452)*(EXCEPCIONES_FECHA!$B$2:$B$201=""),0)),IFERROR(INDEX(IF($I1452="FIN",HISTORIAL_HORARIOS!$K$2:$K$201,HISTORIAL_HORARIOS!$G$2:$G$201),MATCH(1,(HISTORIAL_HORARIOS!$A$2:$A$201=$B1452)*(HISTORIAL_HORARIOS!$C$2:$C$201&lt;=$A1452)*(HISTORIAL_HORARIOS!$D$2:$D$201&gt;=$A1452),0)),INDEX(IF($I1452="FIN",PERSONAL!$K$2:$K$80,PERSONAL!$G$2:$G$80),MATCH($B1452,PERSONAL!$A$2:$A$80,0)))))</f>
        <v/>
      </c>
      <c r="O1452" s="53">
        <f t="array" ref="O1452">IFERROR(INDEX(EXCEPCIONES_FECHA!$F$2:$F$201,MATCH(1,(EXCEPCIONES_FECHA!$A$2:$A$201=$A1452)*(EXCEPCIONES_FECHA!$B$2:$B$201=$B1452),0)),IFERROR(INDEX(EXCEPCIONES_FECHA!$F$2:$F$201,MATCH(1,(EXCEPCIONES_FECHA!$A$2:$A$201=$A1452)*(EXCEPCIONES_FECHA!$B$2:$B$201=""),0)),IFERROR(INDEX(IF($I1452="FIN",HISTORIAL_HORARIOS!$L$2:$L$201,HISTORIAL_HORARIOS!$H$2:$H$201),MATCH(1,(HISTORIAL_HORARIOS!$A$2:$A$201=$B1452)*(HISTORIAL_HORARIOS!$C$2:$C$201&lt;=$A1452)*(HISTORIAL_HORARIOS!$D$2:$D$201&gt;=$A1452),0)),INDEX(IF($I1452="FIN",PERSONAL!$L$2:$L$80,PERSONAL!$H$2:$H$80),MATCH($B1452,PERSONAL!$A$2:$A$80,0)))))</f>
        <v/>
      </c>
    </row>
    <row r="1453" ht="15" customHeight="1" s="58">
      <c r="A1453" s="40" t="n"/>
      <c r="B1453" s="38" t="n"/>
      <c r="C1453" s="40" t="n"/>
      <c r="D1453" s="40" t="n"/>
      <c r="E1453" s="34">
        <f t="array" ref="E1453">IF($B1453="","",IFERROR(INDEX(PERSONAL!$B$2:$B$80,MATCH($B1453,PERSONAL!$A$2:$A$80,0)),"NO EXISTE"))</f>
        <v/>
      </c>
      <c r="F1453" s="34">
        <f t="array" ref="F1453">IF($B1453="","",IFERROR(INDEX(PERSONAL!$C$2:$C$80,MATCH($B1453,PERSONAL!$A$2:$A$80,0)),""))</f>
        <v/>
      </c>
      <c r="G1453" s="34">
        <f>IF($A1453="","",CHOOSE(WEEKDAY($A1453,2),"LUNES","MARTES","MIÉRCOLES","JUEVES","VIERNES","SÁBADO","DOMINGO"))</f>
        <v/>
      </c>
      <c r="H1453" s="34">
        <f>IF($A1453="","",CHOOSE(MONTH($A1453),"ENERO","FEBRERO","MARZO","ABRIL","MAYO","JUNIO","JULIO","AGOSTO","SEPTIEMBRE","OCTUBRE","NOVIEMBRE","DICIEMBRE"))</f>
        <v/>
      </c>
      <c r="I1453" s="34">
        <f>IF($A1453="","",IF(OR($G1453="SÁBADO",$G1453="DOMINGO"),"FIN","LV"))</f>
        <v/>
      </c>
      <c r="J1453" s="34">
        <f>IF(OR($A1453="",$B1453=""),"",IF($L1453&lt;&gt;"",UPPER($L1453),IF($C1453="","FALTA",IFERROR(IF($C1453&gt;=$O1453,"ROJO FUERTE",IF($C1453&gt;=$N1453,"ROJO",IF($C1453&gt;=$M1453,"AMARILLO","VERDE"))),"REVISAR"))))</f>
        <v/>
      </c>
      <c r="K1453" s="36">
        <f>IF(OR($C1453="",$D1453=""),"",IF($D1453&gt;=$C1453,($D1453-$C1453)*24,(1-$C1453+$D1453)*24))</f>
        <v/>
      </c>
      <c r="L1453" s="34" t="n"/>
      <c r="M1453" s="53">
        <f t="array" ref="M1453">IFERROR(INDEX(EXCEPCIONES_FECHA!$D$2:$D$201,MATCH(1,(EXCEPCIONES_FECHA!$A$2:$A$201=$A1453)*(EXCEPCIONES_FECHA!$B$2:$B$201=$B1453),0)),IFERROR(INDEX(EXCEPCIONES_FECHA!$D$2:$D$201,MATCH(1,(EXCEPCIONES_FECHA!$A$2:$A$201=$A1453)*(EXCEPCIONES_FECHA!$B$2:$B$201=""),0)),IFERROR(INDEX(IF($I1453="FIN",HISTORIAL_HORARIOS!$J$2:$J$201,HISTORIAL_HORARIOS!$F$2:$F$201),MATCH(1,(HISTORIAL_HORARIOS!$A$2:$A$201=$B1453)*(HISTORIAL_HORARIOS!$C$2:$C$201&lt;=$A1453)*(HISTORIAL_HORARIOS!$D$2:$D$201&gt;=$A1453),0)),INDEX(IF($I1453="FIN",PERSONAL!$J$2:$J$80,PERSONAL!$F$2:$F$80),MATCH($B1453,PERSONAL!$A$2:$A$80,0)))))</f>
        <v/>
      </c>
      <c r="N1453" s="53">
        <f t="array" ref="N1453">IFERROR(INDEX(EXCEPCIONES_FECHA!$E$2:$E$201,MATCH(1,(EXCEPCIONES_FECHA!$A$2:$A$201=$A1453)*(EXCEPCIONES_FECHA!$B$2:$B$201=$B1453),0)),IFERROR(INDEX(EXCEPCIONES_FECHA!$E$2:$E$201,MATCH(1,(EXCEPCIONES_FECHA!$A$2:$A$201=$A1453)*(EXCEPCIONES_FECHA!$B$2:$B$201=""),0)),IFERROR(INDEX(IF($I1453="FIN",HISTORIAL_HORARIOS!$K$2:$K$201,HISTORIAL_HORARIOS!$G$2:$G$201),MATCH(1,(HISTORIAL_HORARIOS!$A$2:$A$201=$B1453)*(HISTORIAL_HORARIOS!$C$2:$C$201&lt;=$A1453)*(HISTORIAL_HORARIOS!$D$2:$D$201&gt;=$A1453),0)),INDEX(IF($I1453="FIN",PERSONAL!$K$2:$K$80,PERSONAL!$G$2:$G$80),MATCH($B1453,PERSONAL!$A$2:$A$80,0)))))</f>
        <v/>
      </c>
      <c r="O1453" s="53">
        <f t="array" ref="O1453">IFERROR(INDEX(EXCEPCIONES_FECHA!$F$2:$F$201,MATCH(1,(EXCEPCIONES_FECHA!$A$2:$A$201=$A1453)*(EXCEPCIONES_FECHA!$B$2:$B$201=$B1453),0)),IFERROR(INDEX(EXCEPCIONES_FECHA!$F$2:$F$201,MATCH(1,(EXCEPCIONES_FECHA!$A$2:$A$201=$A1453)*(EXCEPCIONES_FECHA!$B$2:$B$201=""),0)),IFERROR(INDEX(IF($I1453="FIN",HISTORIAL_HORARIOS!$L$2:$L$201,HISTORIAL_HORARIOS!$H$2:$H$201),MATCH(1,(HISTORIAL_HORARIOS!$A$2:$A$201=$B1453)*(HISTORIAL_HORARIOS!$C$2:$C$201&lt;=$A1453)*(HISTORIAL_HORARIOS!$D$2:$D$201&gt;=$A1453),0)),INDEX(IF($I1453="FIN",PERSONAL!$L$2:$L$80,PERSONAL!$H$2:$H$80),MATCH($B1453,PERSONAL!$A$2:$A$80,0)))))</f>
        <v/>
      </c>
    </row>
    <row r="1454" ht="15" customHeight="1" s="58">
      <c r="A1454" s="40" t="n"/>
      <c r="B1454" s="38" t="n"/>
      <c r="C1454" s="40" t="n"/>
      <c r="D1454" s="40" t="n"/>
      <c r="E1454" s="34">
        <f t="array" ref="E1454">IF($B1454="","",IFERROR(INDEX(PERSONAL!$B$2:$B$80,MATCH($B1454,PERSONAL!$A$2:$A$80,0)),"NO EXISTE"))</f>
        <v/>
      </c>
      <c r="F1454" s="34">
        <f t="array" ref="F1454">IF($B1454="","",IFERROR(INDEX(PERSONAL!$C$2:$C$80,MATCH($B1454,PERSONAL!$A$2:$A$80,0)),""))</f>
        <v/>
      </c>
      <c r="G1454" s="34">
        <f>IF($A1454="","",CHOOSE(WEEKDAY($A1454,2),"LUNES","MARTES","MIÉRCOLES","JUEVES","VIERNES","SÁBADO","DOMINGO"))</f>
        <v/>
      </c>
      <c r="H1454" s="34">
        <f>IF($A1454="","",CHOOSE(MONTH($A1454),"ENERO","FEBRERO","MARZO","ABRIL","MAYO","JUNIO","JULIO","AGOSTO","SEPTIEMBRE","OCTUBRE","NOVIEMBRE","DICIEMBRE"))</f>
        <v/>
      </c>
      <c r="I1454" s="34">
        <f>IF($A1454="","",IF(OR($G1454="SÁBADO",$G1454="DOMINGO"),"FIN","LV"))</f>
        <v/>
      </c>
      <c r="J1454" s="34">
        <f>IF(OR($A1454="",$B1454=""),"",IF($L1454&lt;&gt;"",UPPER($L1454),IF($C1454="","FALTA",IFERROR(IF($C1454&gt;=$O1454,"ROJO FUERTE",IF($C1454&gt;=$N1454,"ROJO",IF($C1454&gt;=$M1454,"AMARILLO","VERDE"))),"REVISAR"))))</f>
        <v/>
      </c>
      <c r="K1454" s="36">
        <f>IF(OR($C1454="",$D1454=""),"",IF($D1454&gt;=$C1454,($D1454-$C1454)*24,(1-$C1454+$D1454)*24))</f>
        <v/>
      </c>
      <c r="L1454" s="34" t="n"/>
      <c r="M1454" s="53">
        <f t="array" ref="M1454">IFERROR(INDEX(EXCEPCIONES_FECHA!$D$2:$D$201,MATCH(1,(EXCEPCIONES_FECHA!$A$2:$A$201=$A1454)*(EXCEPCIONES_FECHA!$B$2:$B$201=$B1454),0)),IFERROR(INDEX(EXCEPCIONES_FECHA!$D$2:$D$201,MATCH(1,(EXCEPCIONES_FECHA!$A$2:$A$201=$A1454)*(EXCEPCIONES_FECHA!$B$2:$B$201=""),0)),IFERROR(INDEX(IF($I1454="FIN",HISTORIAL_HORARIOS!$J$2:$J$201,HISTORIAL_HORARIOS!$F$2:$F$201),MATCH(1,(HISTORIAL_HORARIOS!$A$2:$A$201=$B1454)*(HISTORIAL_HORARIOS!$C$2:$C$201&lt;=$A1454)*(HISTORIAL_HORARIOS!$D$2:$D$201&gt;=$A1454),0)),INDEX(IF($I1454="FIN",PERSONAL!$J$2:$J$80,PERSONAL!$F$2:$F$80),MATCH($B1454,PERSONAL!$A$2:$A$80,0)))))</f>
        <v/>
      </c>
      <c r="N1454" s="53">
        <f t="array" ref="N1454">IFERROR(INDEX(EXCEPCIONES_FECHA!$E$2:$E$201,MATCH(1,(EXCEPCIONES_FECHA!$A$2:$A$201=$A1454)*(EXCEPCIONES_FECHA!$B$2:$B$201=$B1454),0)),IFERROR(INDEX(EXCEPCIONES_FECHA!$E$2:$E$201,MATCH(1,(EXCEPCIONES_FECHA!$A$2:$A$201=$A1454)*(EXCEPCIONES_FECHA!$B$2:$B$201=""),0)),IFERROR(INDEX(IF($I1454="FIN",HISTORIAL_HORARIOS!$K$2:$K$201,HISTORIAL_HORARIOS!$G$2:$G$201),MATCH(1,(HISTORIAL_HORARIOS!$A$2:$A$201=$B1454)*(HISTORIAL_HORARIOS!$C$2:$C$201&lt;=$A1454)*(HISTORIAL_HORARIOS!$D$2:$D$201&gt;=$A1454),0)),INDEX(IF($I1454="FIN",PERSONAL!$K$2:$K$80,PERSONAL!$G$2:$G$80),MATCH($B1454,PERSONAL!$A$2:$A$80,0)))))</f>
        <v/>
      </c>
      <c r="O1454" s="53">
        <f t="array" ref="O1454">IFERROR(INDEX(EXCEPCIONES_FECHA!$F$2:$F$201,MATCH(1,(EXCEPCIONES_FECHA!$A$2:$A$201=$A1454)*(EXCEPCIONES_FECHA!$B$2:$B$201=$B1454),0)),IFERROR(INDEX(EXCEPCIONES_FECHA!$F$2:$F$201,MATCH(1,(EXCEPCIONES_FECHA!$A$2:$A$201=$A1454)*(EXCEPCIONES_FECHA!$B$2:$B$201=""),0)),IFERROR(INDEX(IF($I1454="FIN",HISTORIAL_HORARIOS!$L$2:$L$201,HISTORIAL_HORARIOS!$H$2:$H$201),MATCH(1,(HISTORIAL_HORARIOS!$A$2:$A$201=$B1454)*(HISTORIAL_HORARIOS!$C$2:$C$201&lt;=$A1454)*(HISTORIAL_HORARIOS!$D$2:$D$201&gt;=$A1454),0)),INDEX(IF($I1454="FIN",PERSONAL!$L$2:$L$80,PERSONAL!$H$2:$H$80),MATCH($B1454,PERSONAL!$A$2:$A$80,0)))))</f>
        <v/>
      </c>
    </row>
    <row r="1455" ht="15" customHeight="1" s="58">
      <c r="A1455" s="40" t="n"/>
      <c r="B1455" s="38" t="n"/>
      <c r="C1455" s="40" t="n"/>
      <c r="D1455" s="40" t="n"/>
      <c r="E1455" s="34">
        <f t="array" ref="E1455">IF($B1455="","",IFERROR(INDEX(PERSONAL!$B$2:$B$80,MATCH($B1455,PERSONAL!$A$2:$A$80,0)),"NO EXISTE"))</f>
        <v/>
      </c>
      <c r="F1455" s="34">
        <f t="array" ref="F1455">IF($B1455="","",IFERROR(INDEX(PERSONAL!$C$2:$C$80,MATCH($B1455,PERSONAL!$A$2:$A$80,0)),""))</f>
        <v/>
      </c>
      <c r="G1455" s="34">
        <f>IF($A1455="","",CHOOSE(WEEKDAY($A1455,2),"LUNES","MARTES","MIÉRCOLES","JUEVES","VIERNES","SÁBADO","DOMINGO"))</f>
        <v/>
      </c>
      <c r="H1455" s="34">
        <f>IF($A1455="","",CHOOSE(MONTH($A1455),"ENERO","FEBRERO","MARZO","ABRIL","MAYO","JUNIO","JULIO","AGOSTO","SEPTIEMBRE","OCTUBRE","NOVIEMBRE","DICIEMBRE"))</f>
        <v/>
      </c>
      <c r="I1455" s="34">
        <f>IF($A1455="","",IF(OR($G1455="SÁBADO",$G1455="DOMINGO"),"FIN","LV"))</f>
        <v/>
      </c>
      <c r="J1455" s="34">
        <f>IF(OR($A1455="",$B1455=""),"",IF($L1455&lt;&gt;"",UPPER($L1455),IF($C1455="","FALTA",IFERROR(IF($C1455&gt;=$O1455,"ROJO FUERTE",IF($C1455&gt;=$N1455,"ROJO",IF($C1455&gt;=$M1455,"AMARILLO","VERDE"))),"REVISAR"))))</f>
        <v/>
      </c>
      <c r="K1455" s="36">
        <f>IF(OR($C1455="",$D1455=""),"",IF($D1455&gt;=$C1455,($D1455-$C1455)*24,(1-$C1455+$D1455)*24))</f>
        <v/>
      </c>
      <c r="L1455" s="34" t="n"/>
      <c r="M1455" s="53">
        <f t="array" ref="M1455">IFERROR(INDEX(EXCEPCIONES_FECHA!$D$2:$D$201,MATCH(1,(EXCEPCIONES_FECHA!$A$2:$A$201=$A1455)*(EXCEPCIONES_FECHA!$B$2:$B$201=$B1455),0)),IFERROR(INDEX(EXCEPCIONES_FECHA!$D$2:$D$201,MATCH(1,(EXCEPCIONES_FECHA!$A$2:$A$201=$A1455)*(EXCEPCIONES_FECHA!$B$2:$B$201=""),0)),IFERROR(INDEX(IF($I1455="FIN",HISTORIAL_HORARIOS!$J$2:$J$201,HISTORIAL_HORARIOS!$F$2:$F$201),MATCH(1,(HISTORIAL_HORARIOS!$A$2:$A$201=$B1455)*(HISTORIAL_HORARIOS!$C$2:$C$201&lt;=$A1455)*(HISTORIAL_HORARIOS!$D$2:$D$201&gt;=$A1455),0)),INDEX(IF($I1455="FIN",PERSONAL!$J$2:$J$80,PERSONAL!$F$2:$F$80),MATCH($B1455,PERSONAL!$A$2:$A$80,0)))))</f>
        <v/>
      </c>
      <c r="N1455" s="53">
        <f t="array" ref="N1455">IFERROR(INDEX(EXCEPCIONES_FECHA!$E$2:$E$201,MATCH(1,(EXCEPCIONES_FECHA!$A$2:$A$201=$A1455)*(EXCEPCIONES_FECHA!$B$2:$B$201=$B1455),0)),IFERROR(INDEX(EXCEPCIONES_FECHA!$E$2:$E$201,MATCH(1,(EXCEPCIONES_FECHA!$A$2:$A$201=$A1455)*(EXCEPCIONES_FECHA!$B$2:$B$201=""),0)),IFERROR(INDEX(IF($I1455="FIN",HISTORIAL_HORARIOS!$K$2:$K$201,HISTORIAL_HORARIOS!$G$2:$G$201),MATCH(1,(HISTORIAL_HORARIOS!$A$2:$A$201=$B1455)*(HISTORIAL_HORARIOS!$C$2:$C$201&lt;=$A1455)*(HISTORIAL_HORARIOS!$D$2:$D$201&gt;=$A1455),0)),INDEX(IF($I1455="FIN",PERSONAL!$K$2:$K$80,PERSONAL!$G$2:$G$80),MATCH($B1455,PERSONAL!$A$2:$A$80,0)))))</f>
        <v/>
      </c>
      <c r="O1455" s="53">
        <f t="array" ref="O1455">IFERROR(INDEX(EXCEPCIONES_FECHA!$F$2:$F$201,MATCH(1,(EXCEPCIONES_FECHA!$A$2:$A$201=$A1455)*(EXCEPCIONES_FECHA!$B$2:$B$201=$B1455),0)),IFERROR(INDEX(EXCEPCIONES_FECHA!$F$2:$F$201,MATCH(1,(EXCEPCIONES_FECHA!$A$2:$A$201=$A1455)*(EXCEPCIONES_FECHA!$B$2:$B$201=""),0)),IFERROR(INDEX(IF($I1455="FIN",HISTORIAL_HORARIOS!$L$2:$L$201,HISTORIAL_HORARIOS!$H$2:$H$201),MATCH(1,(HISTORIAL_HORARIOS!$A$2:$A$201=$B1455)*(HISTORIAL_HORARIOS!$C$2:$C$201&lt;=$A1455)*(HISTORIAL_HORARIOS!$D$2:$D$201&gt;=$A1455),0)),INDEX(IF($I1455="FIN",PERSONAL!$L$2:$L$80,PERSONAL!$H$2:$H$80),MATCH($B1455,PERSONAL!$A$2:$A$80,0)))))</f>
        <v/>
      </c>
    </row>
    <row r="1456" ht="15" customHeight="1" s="58">
      <c r="A1456" s="40" t="n"/>
      <c r="B1456" s="38" t="n"/>
      <c r="C1456" s="40" t="n"/>
      <c r="D1456" s="40" t="n"/>
      <c r="E1456" s="34">
        <f t="array" ref="E1456">IF($B1456="","",IFERROR(INDEX(PERSONAL!$B$2:$B$80,MATCH($B1456,PERSONAL!$A$2:$A$80,0)),"NO EXISTE"))</f>
        <v/>
      </c>
      <c r="F1456" s="34">
        <f t="array" ref="F1456">IF($B1456="","",IFERROR(INDEX(PERSONAL!$C$2:$C$80,MATCH($B1456,PERSONAL!$A$2:$A$80,0)),""))</f>
        <v/>
      </c>
      <c r="G1456" s="34">
        <f>IF($A1456="","",CHOOSE(WEEKDAY($A1456,2),"LUNES","MARTES","MIÉRCOLES","JUEVES","VIERNES","SÁBADO","DOMINGO"))</f>
        <v/>
      </c>
      <c r="H1456" s="34">
        <f>IF($A1456="","",CHOOSE(MONTH($A1456),"ENERO","FEBRERO","MARZO","ABRIL","MAYO","JUNIO","JULIO","AGOSTO","SEPTIEMBRE","OCTUBRE","NOVIEMBRE","DICIEMBRE"))</f>
        <v/>
      </c>
      <c r="I1456" s="34">
        <f>IF($A1456="","",IF(OR($G1456="SÁBADO",$G1456="DOMINGO"),"FIN","LV"))</f>
        <v/>
      </c>
      <c r="J1456" s="34">
        <f>IF(OR($A1456="",$B1456=""),"",IF($L1456&lt;&gt;"",UPPER($L1456),IF($C1456="","FALTA",IFERROR(IF($C1456&gt;=$O1456,"ROJO FUERTE",IF($C1456&gt;=$N1456,"ROJO",IF($C1456&gt;=$M1456,"AMARILLO","VERDE"))),"REVISAR"))))</f>
        <v/>
      </c>
      <c r="K1456" s="36">
        <f>IF(OR($C1456="",$D1456=""),"",IF($D1456&gt;=$C1456,($D1456-$C1456)*24,(1-$C1456+$D1456)*24))</f>
        <v/>
      </c>
      <c r="L1456" s="34" t="n"/>
      <c r="M1456" s="53">
        <f t="array" ref="M1456">IFERROR(INDEX(EXCEPCIONES_FECHA!$D$2:$D$201,MATCH(1,(EXCEPCIONES_FECHA!$A$2:$A$201=$A1456)*(EXCEPCIONES_FECHA!$B$2:$B$201=$B1456),0)),IFERROR(INDEX(EXCEPCIONES_FECHA!$D$2:$D$201,MATCH(1,(EXCEPCIONES_FECHA!$A$2:$A$201=$A1456)*(EXCEPCIONES_FECHA!$B$2:$B$201=""),0)),IFERROR(INDEX(IF($I1456="FIN",HISTORIAL_HORARIOS!$J$2:$J$201,HISTORIAL_HORARIOS!$F$2:$F$201),MATCH(1,(HISTORIAL_HORARIOS!$A$2:$A$201=$B1456)*(HISTORIAL_HORARIOS!$C$2:$C$201&lt;=$A1456)*(HISTORIAL_HORARIOS!$D$2:$D$201&gt;=$A1456),0)),INDEX(IF($I1456="FIN",PERSONAL!$J$2:$J$80,PERSONAL!$F$2:$F$80),MATCH($B1456,PERSONAL!$A$2:$A$80,0)))))</f>
        <v/>
      </c>
      <c r="N1456" s="53">
        <f t="array" ref="N1456">IFERROR(INDEX(EXCEPCIONES_FECHA!$E$2:$E$201,MATCH(1,(EXCEPCIONES_FECHA!$A$2:$A$201=$A1456)*(EXCEPCIONES_FECHA!$B$2:$B$201=$B1456),0)),IFERROR(INDEX(EXCEPCIONES_FECHA!$E$2:$E$201,MATCH(1,(EXCEPCIONES_FECHA!$A$2:$A$201=$A1456)*(EXCEPCIONES_FECHA!$B$2:$B$201=""),0)),IFERROR(INDEX(IF($I1456="FIN",HISTORIAL_HORARIOS!$K$2:$K$201,HISTORIAL_HORARIOS!$G$2:$G$201),MATCH(1,(HISTORIAL_HORARIOS!$A$2:$A$201=$B1456)*(HISTORIAL_HORARIOS!$C$2:$C$201&lt;=$A1456)*(HISTORIAL_HORARIOS!$D$2:$D$201&gt;=$A1456),0)),INDEX(IF($I1456="FIN",PERSONAL!$K$2:$K$80,PERSONAL!$G$2:$G$80),MATCH($B1456,PERSONAL!$A$2:$A$80,0)))))</f>
        <v/>
      </c>
      <c r="O1456" s="53">
        <f t="array" ref="O1456">IFERROR(INDEX(EXCEPCIONES_FECHA!$F$2:$F$201,MATCH(1,(EXCEPCIONES_FECHA!$A$2:$A$201=$A1456)*(EXCEPCIONES_FECHA!$B$2:$B$201=$B1456),0)),IFERROR(INDEX(EXCEPCIONES_FECHA!$F$2:$F$201,MATCH(1,(EXCEPCIONES_FECHA!$A$2:$A$201=$A1456)*(EXCEPCIONES_FECHA!$B$2:$B$201=""),0)),IFERROR(INDEX(IF($I1456="FIN",HISTORIAL_HORARIOS!$L$2:$L$201,HISTORIAL_HORARIOS!$H$2:$H$201),MATCH(1,(HISTORIAL_HORARIOS!$A$2:$A$201=$B1456)*(HISTORIAL_HORARIOS!$C$2:$C$201&lt;=$A1456)*(HISTORIAL_HORARIOS!$D$2:$D$201&gt;=$A1456),0)),INDEX(IF($I1456="FIN",PERSONAL!$L$2:$L$80,PERSONAL!$H$2:$H$80),MATCH($B1456,PERSONAL!$A$2:$A$80,0)))))</f>
        <v/>
      </c>
    </row>
    <row r="1457" ht="15" customHeight="1" s="58">
      <c r="A1457" s="40" t="n"/>
      <c r="B1457" s="38" t="n"/>
      <c r="C1457" s="40" t="n"/>
      <c r="D1457" s="40" t="n"/>
      <c r="E1457" s="34">
        <f t="array" ref="E1457">IF($B1457="","",IFERROR(INDEX(PERSONAL!$B$2:$B$80,MATCH($B1457,PERSONAL!$A$2:$A$80,0)),"NO EXISTE"))</f>
        <v/>
      </c>
      <c r="F1457" s="34">
        <f t="array" ref="F1457">IF($B1457="","",IFERROR(INDEX(PERSONAL!$C$2:$C$80,MATCH($B1457,PERSONAL!$A$2:$A$80,0)),""))</f>
        <v/>
      </c>
      <c r="G1457" s="34">
        <f>IF($A1457="","",CHOOSE(WEEKDAY($A1457,2),"LUNES","MARTES","MIÉRCOLES","JUEVES","VIERNES","SÁBADO","DOMINGO"))</f>
        <v/>
      </c>
      <c r="H1457" s="34">
        <f>IF($A1457="","",CHOOSE(MONTH($A1457),"ENERO","FEBRERO","MARZO","ABRIL","MAYO","JUNIO","JULIO","AGOSTO","SEPTIEMBRE","OCTUBRE","NOVIEMBRE","DICIEMBRE"))</f>
        <v/>
      </c>
      <c r="I1457" s="34">
        <f>IF($A1457="","",IF(OR($G1457="SÁBADO",$G1457="DOMINGO"),"FIN","LV"))</f>
        <v/>
      </c>
      <c r="J1457" s="34">
        <f>IF(OR($A1457="",$B1457=""),"",IF($L1457&lt;&gt;"",UPPER($L1457),IF($C1457="","FALTA",IFERROR(IF($C1457&gt;=$O1457,"ROJO FUERTE",IF($C1457&gt;=$N1457,"ROJO",IF($C1457&gt;=$M1457,"AMARILLO","VERDE"))),"REVISAR"))))</f>
        <v/>
      </c>
      <c r="K1457" s="36">
        <f>IF(OR($C1457="",$D1457=""),"",IF($D1457&gt;=$C1457,($D1457-$C1457)*24,(1-$C1457+$D1457)*24))</f>
        <v/>
      </c>
      <c r="L1457" s="34" t="n"/>
      <c r="M1457" s="53">
        <f t="array" ref="M1457">IFERROR(INDEX(EXCEPCIONES_FECHA!$D$2:$D$201,MATCH(1,(EXCEPCIONES_FECHA!$A$2:$A$201=$A1457)*(EXCEPCIONES_FECHA!$B$2:$B$201=$B1457),0)),IFERROR(INDEX(EXCEPCIONES_FECHA!$D$2:$D$201,MATCH(1,(EXCEPCIONES_FECHA!$A$2:$A$201=$A1457)*(EXCEPCIONES_FECHA!$B$2:$B$201=""),0)),IFERROR(INDEX(IF($I1457="FIN",HISTORIAL_HORARIOS!$J$2:$J$201,HISTORIAL_HORARIOS!$F$2:$F$201),MATCH(1,(HISTORIAL_HORARIOS!$A$2:$A$201=$B1457)*(HISTORIAL_HORARIOS!$C$2:$C$201&lt;=$A1457)*(HISTORIAL_HORARIOS!$D$2:$D$201&gt;=$A1457),0)),INDEX(IF($I1457="FIN",PERSONAL!$J$2:$J$80,PERSONAL!$F$2:$F$80),MATCH($B1457,PERSONAL!$A$2:$A$80,0)))))</f>
        <v/>
      </c>
      <c r="N1457" s="53">
        <f t="array" ref="N1457">IFERROR(INDEX(EXCEPCIONES_FECHA!$E$2:$E$201,MATCH(1,(EXCEPCIONES_FECHA!$A$2:$A$201=$A1457)*(EXCEPCIONES_FECHA!$B$2:$B$201=$B1457),0)),IFERROR(INDEX(EXCEPCIONES_FECHA!$E$2:$E$201,MATCH(1,(EXCEPCIONES_FECHA!$A$2:$A$201=$A1457)*(EXCEPCIONES_FECHA!$B$2:$B$201=""),0)),IFERROR(INDEX(IF($I1457="FIN",HISTORIAL_HORARIOS!$K$2:$K$201,HISTORIAL_HORARIOS!$G$2:$G$201),MATCH(1,(HISTORIAL_HORARIOS!$A$2:$A$201=$B1457)*(HISTORIAL_HORARIOS!$C$2:$C$201&lt;=$A1457)*(HISTORIAL_HORARIOS!$D$2:$D$201&gt;=$A1457),0)),INDEX(IF($I1457="FIN",PERSONAL!$K$2:$K$80,PERSONAL!$G$2:$G$80),MATCH($B1457,PERSONAL!$A$2:$A$80,0)))))</f>
        <v/>
      </c>
      <c r="O1457" s="53">
        <f t="array" ref="O1457">IFERROR(INDEX(EXCEPCIONES_FECHA!$F$2:$F$201,MATCH(1,(EXCEPCIONES_FECHA!$A$2:$A$201=$A1457)*(EXCEPCIONES_FECHA!$B$2:$B$201=$B1457),0)),IFERROR(INDEX(EXCEPCIONES_FECHA!$F$2:$F$201,MATCH(1,(EXCEPCIONES_FECHA!$A$2:$A$201=$A1457)*(EXCEPCIONES_FECHA!$B$2:$B$201=""),0)),IFERROR(INDEX(IF($I1457="FIN",HISTORIAL_HORARIOS!$L$2:$L$201,HISTORIAL_HORARIOS!$H$2:$H$201),MATCH(1,(HISTORIAL_HORARIOS!$A$2:$A$201=$B1457)*(HISTORIAL_HORARIOS!$C$2:$C$201&lt;=$A1457)*(HISTORIAL_HORARIOS!$D$2:$D$201&gt;=$A1457),0)),INDEX(IF($I1457="FIN",PERSONAL!$L$2:$L$80,PERSONAL!$H$2:$H$80),MATCH($B1457,PERSONAL!$A$2:$A$80,0)))))</f>
        <v/>
      </c>
    </row>
    <row r="1458" ht="15" customHeight="1" s="58">
      <c r="A1458" s="40" t="n"/>
      <c r="B1458" s="38" t="n"/>
      <c r="C1458" s="40" t="n"/>
      <c r="D1458" s="40" t="n"/>
      <c r="E1458" s="34">
        <f t="array" ref="E1458">IF($B1458="","",IFERROR(INDEX(PERSONAL!$B$2:$B$80,MATCH($B1458,PERSONAL!$A$2:$A$80,0)),"NO EXISTE"))</f>
        <v/>
      </c>
      <c r="F1458" s="34">
        <f t="array" ref="F1458">IF($B1458="","",IFERROR(INDEX(PERSONAL!$C$2:$C$80,MATCH($B1458,PERSONAL!$A$2:$A$80,0)),""))</f>
        <v/>
      </c>
      <c r="G1458" s="34">
        <f>IF($A1458="","",CHOOSE(WEEKDAY($A1458,2),"LUNES","MARTES","MIÉRCOLES","JUEVES","VIERNES","SÁBADO","DOMINGO"))</f>
        <v/>
      </c>
      <c r="H1458" s="34">
        <f>IF($A1458="","",CHOOSE(MONTH($A1458),"ENERO","FEBRERO","MARZO","ABRIL","MAYO","JUNIO","JULIO","AGOSTO","SEPTIEMBRE","OCTUBRE","NOVIEMBRE","DICIEMBRE"))</f>
        <v/>
      </c>
      <c r="I1458" s="34">
        <f>IF($A1458="","",IF(OR($G1458="SÁBADO",$G1458="DOMINGO"),"FIN","LV"))</f>
        <v/>
      </c>
      <c r="J1458" s="34">
        <f>IF(OR($A1458="",$B1458=""),"",IF($L1458&lt;&gt;"",UPPER($L1458),IF($C1458="","FALTA",IFERROR(IF($C1458&gt;=$O1458,"ROJO FUERTE",IF($C1458&gt;=$N1458,"ROJO",IF($C1458&gt;=$M1458,"AMARILLO","VERDE"))),"REVISAR"))))</f>
        <v/>
      </c>
      <c r="K1458" s="36">
        <f>IF(OR($C1458="",$D1458=""),"",IF($D1458&gt;=$C1458,($D1458-$C1458)*24,(1-$C1458+$D1458)*24))</f>
        <v/>
      </c>
      <c r="L1458" s="34" t="n"/>
      <c r="M1458" s="53">
        <f t="array" ref="M1458">IFERROR(INDEX(EXCEPCIONES_FECHA!$D$2:$D$201,MATCH(1,(EXCEPCIONES_FECHA!$A$2:$A$201=$A1458)*(EXCEPCIONES_FECHA!$B$2:$B$201=$B1458),0)),IFERROR(INDEX(EXCEPCIONES_FECHA!$D$2:$D$201,MATCH(1,(EXCEPCIONES_FECHA!$A$2:$A$201=$A1458)*(EXCEPCIONES_FECHA!$B$2:$B$201=""),0)),IFERROR(INDEX(IF($I1458="FIN",HISTORIAL_HORARIOS!$J$2:$J$201,HISTORIAL_HORARIOS!$F$2:$F$201),MATCH(1,(HISTORIAL_HORARIOS!$A$2:$A$201=$B1458)*(HISTORIAL_HORARIOS!$C$2:$C$201&lt;=$A1458)*(HISTORIAL_HORARIOS!$D$2:$D$201&gt;=$A1458),0)),INDEX(IF($I1458="FIN",PERSONAL!$J$2:$J$80,PERSONAL!$F$2:$F$80),MATCH($B1458,PERSONAL!$A$2:$A$80,0)))))</f>
        <v/>
      </c>
      <c r="N1458" s="53">
        <f t="array" ref="N1458">IFERROR(INDEX(EXCEPCIONES_FECHA!$E$2:$E$201,MATCH(1,(EXCEPCIONES_FECHA!$A$2:$A$201=$A1458)*(EXCEPCIONES_FECHA!$B$2:$B$201=$B1458),0)),IFERROR(INDEX(EXCEPCIONES_FECHA!$E$2:$E$201,MATCH(1,(EXCEPCIONES_FECHA!$A$2:$A$201=$A1458)*(EXCEPCIONES_FECHA!$B$2:$B$201=""),0)),IFERROR(INDEX(IF($I1458="FIN",HISTORIAL_HORARIOS!$K$2:$K$201,HISTORIAL_HORARIOS!$G$2:$G$201),MATCH(1,(HISTORIAL_HORARIOS!$A$2:$A$201=$B1458)*(HISTORIAL_HORARIOS!$C$2:$C$201&lt;=$A1458)*(HISTORIAL_HORARIOS!$D$2:$D$201&gt;=$A1458),0)),INDEX(IF($I1458="FIN",PERSONAL!$K$2:$K$80,PERSONAL!$G$2:$G$80),MATCH($B1458,PERSONAL!$A$2:$A$80,0)))))</f>
        <v/>
      </c>
      <c r="O1458" s="53">
        <f t="array" ref="O1458">IFERROR(INDEX(EXCEPCIONES_FECHA!$F$2:$F$201,MATCH(1,(EXCEPCIONES_FECHA!$A$2:$A$201=$A1458)*(EXCEPCIONES_FECHA!$B$2:$B$201=$B1458),0)),IFERROR(INDEX(EXCEPCIONES_FECHA!$F$2:$F$201,MATCH(1,(EXCEPCIONES_FECHA!$A$2:$A$201=$A1458)*(EXCEPCIONES_FECHA!$B$2:$B$201=""),0)),IFERROR(INDEX(IF($I1458="FIN",HISTORIAL_HORARIOS!$L$2:$L$201,HISTORIAL_HORARIOS!$H$2:$H$201),MATCH(1,(HISTORIAL_HORARIOS!$A$2:$A$201=$B1458)*(HISTORIAL_HORARIOS!$C$2:$C$201&lt;=$A1458)*(HISTORIAL_HORARIOS!$D$2:$D$201&gt;=$A1458),0)),INDEX(IF($I1458="FIN",PERSONAL!$L$2:$L$80,PERSONAL!$H$2:$H$80),MATCH($B1458,PERSONAL!$A$2:$A$80,0)))))</f>
        <v/>
      </c>
    </row>
    <row r="1459" ht="15" customHeight="1" s="58">
      <c r="A1459" s="40" t="n"/>
      <c r="B1459" s="38" t="n"/>
      <c r="C1459" s="40" t="n"/>
      <c r="D1459" s="40" t="n"/>
      <c r="E1459" s="34">
        <f t="array" ref="E1459">IF($B1459="","",IFERROR(INDEX(PERSONAL!$B$2:$B$80,MATCH($B1459,PERSONAL!$A$2:$A$80,0)),"NO EXISTE"))</f>
        <v/>
      </c>
      <c r="F1459" s="34">
        <f t="array" ref="F1459">IF($B1459="","",IFERROR(INDEX(PERSONAL!$C$2:$C$80,MATCH($B1459,PERSONAL!$A$2:$A$80,0)),""))</f>
        <v/>
      </c>
      <c r="G1459" s="34">
        <f>IF($A1459="","",CHOOSE(WEEKDAY($A1459,2),"LUNES","MARTES","MIÉRCOLES","JUEVES","VIERNES","SÁBADO","DOMINGO"))</f>
        <v/>
      </c>
      <c r="H1459" s="34">
        <f>IF($A1459="","",CHOOSE(MONTH($A1459),"ENERO","FEBRERO","MARZO","ABRIL","MAYO","JUNIO","JULIO","AGOSTO","SEPTIEMBRE","OCTUBRE","NOVIEMBRE","DICIEMBRE"))</f>
        <v/>
      </c>
      <c r="I1459" s="34">
        <f>IF($A1459="","",IF(OR($G1459="SÁBADO",$G1459="DOMINGO"),"FIN","LV"))</f>
        <v/>
      </c>
      <c r="J1459" s="34">
        <f>IF(OR($A1459="",$B1459=""),"",IF($L1459&lt;&gt;"",UPPER($L1459),IF($C1459="","FALTA",IFERROR(IF($C1459&gt;=$O1459,"ROJO FUERTE",IF($C1459&gt;=$N1459,"ROJO",IF($C1459&gt;=$M1459,"AMARILLO","VERDE"))),"REVISAR"))))</f>
        <v/>
      </c>
      <c r="K1459" s="36">
        <f>IF(OR($C1459="",$D1459=""),"",IF($D1459&gt;=$C1459,($D1459-$C1459)*24,(1-$C1459+$D1459)*24))</f>
        <v/>
      </c>
      <c r="L1459" s="34" t="n"/>
      <c r="M1459" s="53">
        <f t="array" ref="M1459">IFERROR(INDEX(EXCEPCIONES_FECHA!$D$2:$D$201,MATCH(1,(EXCEPCIONES_FECHA!$A$2:$A$201=$A1459)*(EXCEPCIONES_FECHA!$B$2:$B$201=$B1459),0)),IFERROR(INDEX(EXCEPCIONES_FECHA!$D$2:$D$201,MATCH(1,(EXCEPCIONES_FECHA!$A$2:$A$201=$A1459)*(EXCEPCIONES_FECHA!$B$2:$B$201=""),0)),IFERROR(INDEX(IF($I1459="FIN",HISTORIAL_HORARIOS!$J$2:$J$201,HISTORIAL_HORARIOS!$F$2:$F$201),MATCH(1,(HISTORIAL_HORARIOS!$A$2:$A$201=$B1459)*(HISTORIAL_HORARIOS!$C$2:$C$201&lt;=$A1459)*(HISTORIAL_HORARIOS!$D$2:$D$201&gt;=$A1459),0)),INDEX(IF($I1459="FIN",PERSONAL!$J$2:$J$80,PERSONAL!$F$2:$F$80),MATCH($B1459,PERSONAL!$A$2:$A$80,0)))))</f>
        <v/>
      </c>
      <c r="N1459" s="53">
        <f t="array" ref="N1459">IFERROR(INDEX(EXCEPCIONES_FECHA!$E$2:$E$201,MATCH(1,(EXCEPCIONES_FECHA!$A$2:$A$201=$A1459)*(EXCEPCIONES_FECHA!$B$2:$B$201=$B1459),0)),IFERROR(INDEX(EXCEPCIONES_FECHA!$E$2:$E$201,MATCH(1,(EXCEPCIONES_FECHA!$A$2:$A$201=$A1459)*(EXCEPCIONES_FECHA!$B$2:$B$201=""),0)),IFERROR(INDEX(IF($I1459="FIN",HISTORIAL_HORARIOS!$K$2:$K$201,HISTORIAL_HORARIOS!$G$2:$G$201),MATCH(1,(HISTORIAL_HORARIOS!$A$2:$A$201=$B1459)*(HISTORIAL_HORARIOS!$C$2:$C$201&lt;=$A1459)*(HISTORIAL_HORARIOS!$D$2:$D$201&gt;=$A1459),0)),INDEX(IF($I1459="FIN",PERSONAL!$K$2:$K$80,PERSONAL!$G$2:$G$80),MATCH($B1459,PERSONAL!$A$2:$A$80,0)))))</f>
        <v/>
      </c>
      <c r="O1459" s="53">
        <f t="array" ref="O1459">IFERROR(INDEX(EXCEPCIONES_FECHA!$F$2:$F$201,MATCH(1,(EXCEPCIONES_FECHA!$A$2:$A$201=$A1459)*(EXCEPCIONES_FECHA!$B$2:$B$201=$B1459),0)),IFERROR(INDEX(EXCEPCIONES_FECHA!$F$2:$F$201,MATCH(1,(EXCEPCIONES_FECHA!$A$2:$A$201=$A1459)*(EXCEPCIONES_FECHA!$B$2:$B$201=""),0)),IFERROR(INDEX(IF($I1459="FIN",HISTORIAL_HORARIOS!$L$2:$L$201,HISTORIAL_HORARIOS!$H$2:$H$201),MATCH(1,(HISTORIAL_HORARIOS!$A$2:$A$201=$B1459)*(HISTORIAL_HORARIOS!$C$2:$C$201&lt;=$A1459)*(HISTORIAL_HORARIOS!$D$2:$D$201&gt;=$A1459),0)),INDEX(IF($I1459="FIN",PERSONAL!$L$2:$L$80,PERSONAL!$H$2:$H$80),MATCH($B1459,PERSONAL!$A$2:$A$80,0)))))</f>
        <v/>
      </c>
    </row>
    <row r="1460" ht="15" customHeight="1" s="58">
      <c r="A1460" s="40" t="n"/>
      <c r="B1460" s="38" t="n"/>
      <c r="C1460" s="40" t="n"/>
      <c r="D1460" s="40" t="n"/>
      <c r="E1460" s="34">
        <f t="array" ref="E1460">IF($B1460="","",IFERROR(INDEX(PERSONAL!$B$2:$B$80,MATCH($B1460,PERSONAL!$A$2:$A$80,0)),"NO EXISTE"))</f>
        <v/>
      </c>
      <c r="F1460" s="34">
        <f t="array" ref="F1460">IF($B1460="","",IFERROR(INDEX(PERSONAL!$C$2:$C$80,MATCH($B1460,PERSONAL!$A$2:$A$80,0)),""))</f>
        <v/>
      </c>
      <c r="G1460" s="34">
        <f>IF($A1460="","",CHOOSE(WEEKDAY($A1460,2),"LUNES","MARTES","MIÉRCOLES","JUEVES","VIERNES","SÁBADO","DOMINGO"))</f>
        <v/>
      </c>
      <c r="H1460" s="34">
        <f>IF($A1460="","",CHOOSE(MONTH($A1460),"ENERO","FEBRERO","MARZO","ABRIL","MAYO","JUNIO","JULIO","AGOSTO","SEPTIEMBRE","OCTUBRE","NOVIEMBRE","DICIEMBRE"))</f>
        <v/>
      </c>
      <c r="I1460" s="34">
        <f>IF($A1460="","",IF(OR($G1460="SÁBADO",$G1460="DOMINGO"),"FIN","LV"))</f>
        <v/>
      </c>
      <c r="J1460" s="34">
        <f>IF(OR($A1460="",$B1460=""),"",IF($L1460&lt;&gt;"",UPPER($L1460),IF($C1460="","FALTA",IFERROR(IF($C1460&gt;=$O1460,"ROJO FUERTE",IF($C1460&gt;=$N1460,"ROJO",IF($C1460&gt;=$M1460,"AMARILLO","VERDE"))),"REVISAR"))))</f>
        <v/>
      </c>
      <c r="K1460" s="36">
        <f>IF(OR($C1460="",$D1460=""),"",IF($D1460&gt;=$C1460,($D1460-$C1460)*24,(1-$C1460+$D1460)*24))</f>
        <v/>
      </c>
      <c r="L1460" s="34" t="n"/>
      <c r="M1460" s="53">
        <f t="array" ref="M1460">IFERROR(INDEX(EXCEPCIONES_FECHA!$D$2:$D$201,MATCH(1,(EXCEPCIONES_FECHA!$A$2:$A$201=$A1460)*(EXCEPCIONES_FECHA!$B$2:$B$201=$B1460),0)),IFERROR(INDEX(EXCEPCIONES_FECHA!$D$2:$D$201,MATCH(1,(EXCEPCIONES_FECHA!$A$2:$A$201=$A1460)*(EXCEPCIONES_FECHA!$B$2:$B$201=""),0)),IFERROR(INDEX(IF($I1460="FIN",HISTORIAL_HORARIOS!$J$2:$J$201,HISTORIAL_HORARIOS!$F$2:$F$201),MATCH(1,(HISTORIAL_HORARIOS!$A$2:$A$201=$B1460)*(HISTORIAL_HORARIOS!$C$2:$C$201&lt;=$A1460)*(HISTORIAL_HORARIOS!$D$2:$D$201&gt;=$A1460),0)),INDEX(IF($I1460="FIN",PERSONAL!$J$2:$J$80,PERSONAL!$F$2:$F$80),MATCH($B1460,PERSONAL!$A$2:$A$80,0)))))</f>
        <v/>
      </c>
      <c r="N1460" s="53">
        <f t="array" ref="N1460">IFERROR(INDEX(EXCEPCIONES_FECHA!$E$2:$E$201,MATCH(1,(EXCEPCIONES_FECHA!$A$2:$A$201=$A1460)*(EXCEPCIONES_FECHA!$B$2:$B$201=$B1460),0)),IFERROR(INDEX(EXCEPCIONES_FECHA!$E$2:$E$201,MATCH(1,(EXCEPCIONES_FECHA!$A$2:$A$201=$A1460)*(EXCEPCIONES_FECHA!$B$2:$B$201=""),0)),IFERROR(INDEX(IF($I1460="FIN",HISTORIAL_HORARIOS!$K$2:$K$201,HISTORIAL_HORARIOS!$G$2:$G$201),MATCH(1,(HISTORIAL_HORARIOS!$A$2:$A$201=$B1460)*(HISTORIAL_HORARIOS!$C$2:$C$201&lt;=$A1460)*(HISTORIAL_HORARIOS!$D$2:$D$201&gt;=$A1460),0)),INDEX(IF($I1460="FIN",PERSONAL!$K$2:$K$80,PERSONAL!$G$2:$G$80),MATCH($B1460,PERSONAL!$A$2:$A$80,0)))))</f>
        <v/>
      </c>
      <c r="O1460" s="53">
        <f t="array" ref="O1460">IFERROR(INDEX(EXCEPCIONES_FECHA!$F$2:$F$201,MATCH(1,(EXCEPCIONES_FECHA!$A$2:$A$201=$A1460)*(EXCEPCIONES_FECHA!$B$2:$B$201=$B1460),0)),IFERROR(INDEX(EXCEPCIONES_FECHA!$F$2:$F$201,MATCH(1,(EXCEPCIONES_FECHA!$A$2:$A$201=$A1460)*(EXCEPCIONES_FECHA!$B$2:$B$201=""),0)),IFERROR(INDEX(IF($I1460="FIN",HISTORIAL_HORARIOS!$L$2:$L$201,HISTORIAL_HORARIOS!$H$2:$H$201),MATCH(1,(HISTORIAL_HORARIOS!$A$2:$A$201=$B1460)*(HISTORIAL_HORARIOS!$C$2:$C$201&lt;=$A1460)*(HISTORIAL_HORARIOS!$D$2:$D$201&gt;=$A1460),0)),INDEX(IF($I1460="FIN",PERSONAL!$L$2:$L$80,PERSONAL!$H$2:$H$80),MATCH($B1460,PERSONAL!$A$2:$A$80,0)))))</f>
        <v/>
      </c>
    </row>
    <row r="1461" ht="15" customHeight="1" s="58">
      <c r="A1461" s="40" t="n"/>
      <c r="B1461" s="38" t="n"/>
      <c r="C1461" s="40" t="n"/>
      <c r="D1461" s="40" t="n"/>
      <c r="E1461" s="34">
        <f t="array" ref="E1461">IF($B1461="","",IFERROR(INDEX(PERSONAL!$B$2:$B$80,MATCH($B1461,PERSONAL!$A$2:$A$80,0)),"NO EXISTE"))</f>
        <v/>
      </c>
      <c r="F1461" s="34">
        <f t="array" ref="F1461">IF($B1461="","",IFERROR(INDEX(PERSONAL!$C$2:$C$80,MATCH($B1461,PERSONAL!$A$2:$A$80,0)),""))</f>
        <v/>
      </c>
      <c r="G1461" s="34">
        <f>IF($A1461="","",CHOOSE(WEEKDAY($A1461,2),"LUNES","MARTES","MIÉRCOLES","JUEVES","VIERNES","SÁBADO","DOMINGO"))</f>
        <v/>
      </c>
      <c r="H1461" s="34">
        <f>IF($A1461="","",CHOOSE(MONTH($A1461),"ENERO","FEBRERO","MARZO","ABRIL","MAYO","JUNIO","JULIO","AGOSTO","SEPTIEMBRE","OCTUBRE","NOVIEMBRE","DICIEMBRE"))</f>
        <v/>
      </c>
      <c r="I1461" s="34">
        <f>IF($A1461="","",IF(OR($G1461="SÁBADO",$G1461="DOMINGO"),"FIN","LV"))</f>
        <v/>
      </c>
      <c r="J1461" s="34">
        <f>IF(OR($A1461="",$B1461=""),"",IF($L1461&lt;&gt;"",UPPER($L1461),IF($C1461="","FALTA",IFERROR(IF($C1461&gt;=$O1461,"ROJO FUERTE",IF($C1461&gt;=$N1461,"ROJO",IF($C1461&gt;=$M1461,"AMARILLO","VERDE"))),"REVISAR"))))</f>
        <v/>
      </c>
      <c r="K1461" s="36">
        <f>IF(OR($C1461="",$D1461=""),"",IF($D1461&gt;=$C1461,($D1461-$C1461)*24,(1-$C1461+$D1461)*24))</f>
        <v/>
      </c>
      <c r="L1461" s="34" t="n"/>
      <c r="M1461" s="53">
        <f t="array" ref="M1461">IFERROR(INDEX(EXCEPCIONES_FECHA!$D$2:$D$201,MATCH(1,(EXCEPCIONES_FECHA!$A$2:$A$201=$A1461)*(EXCEPCIONES_FECHA!$B$2:$B$201=$B1461),0)),IFERROR(INDEX(EXCEPCIONES_FECHA!$D$2:$D$201,MATCH(1,(EXCEPCIONES_FECHA!$A$2:$A$201=$A1461)*(EXCEPCIONES_FECHA!$B$2:$B$201=""),0)),IFERROR(INDEX(IF($I1461="FIN",HISTORIAL_HORARIOS!$J$2:$J$201,HISTORIAL_HORARIOS!$F$2:$F$201),MATCH(1,(HISTORIAL_HORARIOS!$A$2:$A$201=$B1461)*(HISTORIAL_HORARIOS!$C$2:$C$201&lt;=$A1461)*(HISTORIAL_HORARIOS!$D$2:$D$201&gt;=$A1461),0)),INDEX(IF($I1461="FIN",PERSONAL!$J$2:$J$80,PERSONAL!$F$2:$F$80),MATCH($B1461,PERSONAL!$A$2:$A$80,0)))))</f>
        <v/>
      </c>
      <c r="N1461" s="53">
        <f t="array" ref="N1461">IFERROR(INDEX(EXCEPCIONES_FECHA!$E$2:$E$201,MATCH(1,(EXCEPCIONES_FECHA!$A$2:$A$201=$A1461)*(EXCEPCIONES_FECHA!$B$2:$B$201=$B1461),0)),IFERROR(INDEX(EXCEPCIONES_FECHA!$E$2:$E$201,MATCH(1,(EXCEPCIONES_FECHA!$A$2:$A$201=$A1461)*(EXCEPCIONES_FECHA!$B$2:$B$201=""),0)),IFERROR(INDEX(IF($I1461="FIN",HISTORIAL_HORARIOS!$K$2:$K$201,HISTORIAL_HORARIOS!$G$2:$G$201),MATCH(1,(HISTORIAL_HORARIOS!$A$2:$A$201=$B1461)*(HISTORIAL_HORARIOS!$C$2:$C$201&lt;=$A1461)*(HISTORIAL_HORARIOS!$D$2:$D$201&gt;=$A1461),0)),INDEX(IF($I1461="FIN",PERSONAL!$K$2:$K$80,PERSONAL!$G$2:$G$80),MATCH($B1461,PERSONAL!$A$2:$A$80,0)))))</f>
        <v/>
      </c>
      <c r="O1461" s="53">
        <f t="array" ref="O1461">IFERROR(INDEX(EXCEPCIONES_FECHA!$F$2:$F$201,MATCH(1,(EXCEPCIONES_FECHA!$A$2:$A$201=$A1461)*(EXCEPCIONES_FECHA!$B$2:$B$201=$B1461),0)),IFERROR(INDEX(EXCEPCIONES_FECHA!$F$2:$F$201,MATCH(1,(EXCEPCIONES_FECHA!$A$2:$A$201=$A1461)*(EXCEPCIONES_FECHA!$B$2:$B$201=""),0)),IFERROR(INDEX(IF($I1461="FIN",HISTORIAL_HORARIOS!$L$2:$L$201,HISTORIAL_HORARIOS!$H$2:$H$201),MATCH(1,(HISTORIAL_HORARIOS!$A$2:$A$201=$B1461)*(HISTORIAL_HORARIOS!$C$2:$C$201&lt;=$A1461)*(HISTORIAL_HORARIOS!$D$2:$D$201&gt;=$A1461),0)),INDEX(IF($I1461="FIN",PERSONAL!$L$2:$L$80,PERSONAL!$H$2:$H$80),MATCH($B1461,PERSONAL!$A$2:$A$80,0)))))</f>
        <v/>
      </c>
    </row>
    <row r="1462" ht="15" customHeight="1" s="58">
      <c r="A1462" s="40" t="n"/>
      <c r="B1462" s="38" t="n"/>
      <c r="C1462" s="40" t="n"/>
      <c r="D1462" s="40" t="n"/>
      <c r="E1462" s="34">
        <f t="array" ref="E1462">IF($B1462="","",IFERROR(INDEX(PERSONAL!$B$2:$B$80,MATCH($B1462,PERSONAL!$A$2:$A$80,0)),"NO EXISTE"))</f>
        <v/>
      </c>
      <c r="F1462" s="34">
        <f t="array" ref="F1462">IF($B1462="","",IFERROR(INDEX(PERSONAL!$C$2:$C$80,MATCH($B1462,PERSONAL!$A$2:$A$80,0)),""))</f>
        <v/>
      </c>
      <c r="G1462" s="34">
        <f>IF($A1462="","",CHOOSE(WEEKDAY($A1462,2),"LUNES","MARTES","MIÉRCOLES","JUEVES","VIERNES","SÁBADO","DOMINGO"))</f>
        <v/>
      </c>
      <c r="H1462" s="34">
        <f>IF($A1462="","",CHOOSE(MONTH($A1462),"ENERO","FEBRERO","MARZO","ABRIL","MAYO","JUNIO","JULIO","AGOSTO","SEPTIEMBRE","OCTUBRE","NOVIEMBRE","DICIEMBRE"))</f>
        <v/>
      </c>
      <c r="I1462" s="34">
        <f>IF($A1462="","",IF(OR($G1462="SÁBADO",$G1462="DOMINGO"),"FIN","LV"))</f>
        <v/>
      </c>
      <c r="J1462" s="34">
        <f>IF(OR($A1462="",$B1462=""),"",IF($L1462&lt;&gt;"",UPPER($L1462),IF($C1462="","FALTA",IFERROR(IF($C1462&gt;=$O1462,"ROJO FUERTE",IF($C1462&gt;=$N1462,"ROJO",IF($C1462&gt;=$M1462,"AMARILLO","VERDE"))),"REVISAR"))))</f>
        <v/>
      </c>
      <c r="K1462" s="36">
        <f>IF(OR($C1462="",$D1462=""),"",IF($D1462&gt;=$C1462,($D1462-$C1462)*24,(1-$C1462+$D1462)*24))</f>
        <v/>
      </c>
      <c r="L1462" s="34" t="n"/>
      <c r="M1462" s="53">
        <f t="array" ref="M1462">IFERROR(INDEX(EXCEPCIONES_FECHA!$D$2:$D$201,MATCH(1,(EXCEPCIONES_FECHA!$A$2:$A$201=$A1462)*(EXCEPCIONES_FECHA!$B$2:$B$201=$B1462),0)),IFERROR(INDEX(EXCEPCIONES_FECHA!$D$2:$D$201,MATCH(1,(EXCEPCIONES_FECHA!$A$2:$A$201=$A1462)*(EXCEPCIONES_FECHA!$B$2:$B$201=""),0)),IFERROR(INDEX(IF($I1462="FIN",HISTORIAL_HORARIOS!$J$2:$J$201,HISTORIAL_HORARIOS!$F$2:$F$201),MATCH(1,(HISTORIAL_HORARIOS!$A$2:$A$201=$B1462)*(HISTORIAL_HORARIOS!$C$2:$C$201&lt;=$A1462)*(HISTORIAL_HORARIOS!$D$2:$D$201&gt;=$A1462),0)),INDEX(IF($I1462="FIN",PERSONAL!$J$2:$J$80,PERSONAL!$F$2:$F$80),MATCH($B1462,PERSONAL!$A$2:$A$80,0)))))</f>
        <v/>
      </c>
      <c r="N1462" s="53">
        <f t="array" ref="N1462">IFERROR(INDEX(EXCEPCIONES_FECHA!$E$2:$E$201,MATCH(1,(EXCEPCIONES_FECHA!$A$2:$A$201=$A1462)*(EXCEPCIONES_FECHA!$B$2:$B$201=$B1462),0)),IFERROR(INDEX(EXCEPCIONES_FECHA!$E$2:$E$201,MATCH(1,(EXCEPCIONES_FECHA!$A$2:$A$201=$A1462)*(EXCEPCIONES_FECHA!$B$2:$B$201=""),0)),IFERROR(INDEX(IF($I1462="FIN",HISTORIAL_HORARIOS!$K$2:$K$201,HISTORIAL_HORARIOS!$G$2:$G$201),MATCH(1,(HISTORIAL_HORARIOS!$A$2:$A$201=$B1462)*(HISTORIAL_HORARIOS!$C$2:$C$201&lt;=$A1462)*(HISTORIAL_HORARIOS!$D$2:$D$201&gt;=$A1462),0)),INDEX(IF($I1462="FIN",PERSONAL!$K$2:$K$80,PERSONAL!$G$2:$G$80),MATCH($B1462,PERSONAL!$A$2:$A$80,0)))))</f>
        <v/>
      </c>
      <c r="O1462" s="53">
        <f t="array" ref="O1462">IFERROR(INDEX(EXCEPCIONES_FECHA!$F$2:$F$201,MATCH(1,(EXCEPCIONES_FECHA!$A$2:$A$201=$A1462)*(EXCEPCIONES_FECHA!$B$2:$B$201=$B1462),0)),IFERROR(INDEX(EXCEPCIONES_FECHA!$F$2:$F$201,MATCH(1,(EXCEPCIONES_FECHA!$A$2:$A$201=$A1462)*(EXCEPCIONES_FECHA!$B$2:$B$201=""),0)),IFERROR(INDEX(IF($I1462="FIN",HISTORIAL_HORARIOS!$L$2:$L$201,HISTORIAL_HORARIOS!$H$2:$H$201),MATCH(1,(HISTORIAL_HORARIOS!$A$2:$A$201=$B1462)*(HISTORIAL_HORARIOS!$C$2:$C$201&lt;=$A1462)*(HISTORIAL_HORARIOS!$D$2:$D$201&gt;=$A1462),0)),INDEX(IF($I1462="FIN",PERSONAL!$L$2:$L$80,PERSONAL!$H$2:$H$80),MATCH($B1462,PERSONAL!$A$2:$A$80,0)))))</f>
        <v/>
      </c>
    </row>
    <row r="1463" ht="15" customHeight="1" s="58">
      <c r="A1463" s="40" t="n"/>
      <c r="B1463" s="38" t="n"/>
      <c r="C1463" s="40" t="n"/>
      <c r="D1463" s="40" t="n"/>
      <c r="E1463" s="34">
        <f t="array" ref="E1463">IF($B1463="","",IFERROR(INDEX(PERSONAL!$B$2:$B$80,MATCH($B1463,PERSONAL!$A$2:$A$80,0)),"NO EXISTE"))</f>
        <v/>
      </c>
      <c r="F1463" s="34">
        <f t="array" ref="F1463">IF($B1463="","",IFERROR(INDEX(PERSONAL!$C$2:$C$80,MATCH($B1463,PERSONAL!$A$2:$A$80,0)),""))</f>
        <v/>
      </c>
      <c r="G1463" s="34">
        <f>IF($A1463="","",CHOOSE(WEEKDAY($A1463,2),"LUNES","MARTES","MIÉRCOLES","JUEVES","VIERNES","SÁBADO","DOMINGO"))</f>
        <v/>
      </c>
      <c r="H1463" s="34">
        <f>IF($A1463="","",CHOOSE(MONTH($A1463),"ENERO","FEBRERO","MARZO","ABRIL","MAYO","JUNIO","JULIO","AGOSTO","SEPTIEMBRE","OCTUBRE","NOVIEMBRE","DICIEMBRE"))</f>
        <v/>
      </c>
      <c r="I1463" s="34">
        <f>IF($A1463="","",IF(OR($G1463="SÁBADO",$G1463="DOMINGO"),"FIN","LV"))</f>
        <v/>
      </c>
      <c r="J1463" s="34">
        <f>IF(OR($A1463="",$B1463=""),"",IF($L1463&lt;&gt;"",UPPER($L1463),IF($C1463="","FALTA",IFERROR(IF($C1463&gt;=$O1463,"ROJO FUERTE",IF($C1463&gt;=$N1463,"ROJO",IF($C1463&gt;=$M1463,"AMARILLO","VERDE"))),"REVISAR"))))</f>
        <v/>
      </c>
      <c r="K1463" s="36">
        <f>IF(OR($C1463="",$D1463=""),"",IF($D1463&gt;=$C1463,($D1463-$C1463)*24,(1-$C1463+$D1463)*24))</f>
        <v/>
      </c>
      <c r="L1463" s="34" t="n"/>
      <c r="M1463" s="53">
        <f t="array" ref="M1463">IFERROR(INDEX(EXCEPCIONES_FECHA!$D$2:$D$201,MATCH(1,(EXCEPCIONES_FECHA!$A$2:$A$201=$A1463)*(EXCEPCIONES_FECHA!$B$2:$B$201=$B1463),0)),IFERROR(INDEX(EXCEPCIONES_FECHA!$D$2:$D$201,MATCH(1,(EXCEPCIONES_FECHA!$A$2:$A$201=$A1463)*(EXCEPCIONES_FECHA!$B$2:$B$201=""),0)),IFERROR(INDEX(IF($I1463="FIN",HISTORIAL_HORARIOS!$J$2:$J$201,HISTORIAL_HORARIOS!$F$2:$F$201),MATCH(1,(HISTORIAL_HORARIOS!$A$2:$A$201=$B1463)*(HISTORIAL_HORARIOS!$C$2:$C$201&lt;=$A1463)*(HISTORIAL_HORARIOS!$D$2:$D$201&gt;=$A1463),0)),INDEX(IF($I1463="FIN",PERSONAL!$J$2:$J$80,PERSONAL!$F$2:$F$80),MATCH($B1463,PERSONAL!$A$2:$A$80,0)))))</f>
        <v/>
      </c>
      <c r="N1463" s="53">
        <f t="array" ref="N1463">IFERROR(INDEX(EXCEPCIONES_FECHA!$E$2:$E$201,MATCH(1,(EXCEPCIONES_FECHA!$A$2:$A$201=$A1463)*(EXCEPCIONES_FECHA!$B$2:$B$201=$B1463),0)),IFERROR(INDEX(EXCEPCIONES_FECHA!$E$2:$E$201,MATCH(1,(EXCEPCIONES_FECHA!$A$2:$A$201=$A1463)*(EXCEPCIONES_FECHA!$B$2:$B$201=""),0)),IFERROR(INDEX(IF($I1463="FIN",HISTORIAL_HORARIOS!$K$2:$K$201,HISTORIAL_HORARIOS!$G$2:$G$201),MATCH(1,(HISTORIAL_HORARIOS!$A$2:$A$201=$B1463)*(HISTORIAL_HORARIOS!$C$2:$C$201&lt;=$A1463)*(HISTORIAL_HORARIOS!$D$2:$D$201&gt;=$A1463),0)),INDEX(IF($I1463="FIN",PERSONAL!$K$2:$K$80,PERSONAL!$G$2:$G$80),MATCH($B1463,PERSONAL!$A$2:$A$80,0)))))</f>
        <v/>
      </c>
      <c r="O1463" s="53">
        <f t="array" ref="O1463">IFERROR(INDEX(EXCEPCIONES_FECHA!$F$2:$F$201,MATCH(1,(EXCEPCIONES_FECHA!$A$2:$A$201=$A1463)*(EXCEPCIONES_FECHA!$B$2:$B$201=$B1463),0)),IFERROR(INDEX(EXCEPCIONES_FECHA!$F$2:$F$201,MATCH(1,(EXCEPCIONES_FECHA!$A$2:$A$201=$A1463)*(EXCEPCIONES_FECHA!$B$2:$B$201=""),0)),IFERROR(INDEX(IF($I1463="FIN",HISTORIAL_HORARIOS!$L$2:$L$201,HISTORIAL_HORARIOS!$H$2:$H$201),MATCH(1,(HISTORIAL_HORARIOS!$A$2:$A$201=$B1463)*(HISTORIAL_HORARIOS!$C$2:$C$201&lt;=$A1463)*(HISTORIAL_HORARIOS!$D$2:$D$201&gt;=$A1463),0)),INDEX(IF($I1463="FIN",PERSONAL!$L$2:$L$80,PERSONAL!$H$2:$H$80),MATCH($B1463,PERSONAL!$A$2:$A$80,0)))))</f>
        <v/>
      </c>
    </row>
    <row r="1464" ht="15" customHeight="1" s="58">
      <c r="A1464" s="40" t="n"/>
      <c r="B1464" s="38" t="n"/>
      <c r="C1464" s="40" t="n"/>
      <c r="D1464" s="40" t="n"/>
      <c r="E1464" s="34">
        <f t="array" ref="E1464">IF($B1464="","",IFERROR(INDEX(PERSONAL!$B$2:$B$80,MATCH($B1464,PERSONAL!$A$2:$A$80,0)),"NO EXISTE"))</f>
        <v/>
      </c>
      <c r="F1464" s="34">
        <f t="array" ref="F1464">IF($B1464="","",IFERROR(INDEX(PERSONAL!$C$2:$C$80,MATCH($B1464,PERSONAL!$A$2:$A$80,0)),""))</f>
        <v/>
      </c>
      <c r="G1464" s="34">
        <f>IF($A1464="","",CHOOSE(WEEKDAY($A1464,2),"LUNES","MARTES","MIÉRCOLES","JUEVES","VIERNES","SÁBADO","DOMINGO"))</f>
        <v/>
      </c>
      <c r="H1464" s="34">
        <f>IF($A1464="","",CHOOSE(MONTH($A1464),"ENERO","FEBRERO","MARZO","ABRIL","MAYO","JUNIO","JULIO","AGOSTO","SEPTIEMBRE","OCTUBRE","NOVIEMBRE","DICIEMBRE"))</f>
        <v/>
      </c>
      <c r="I1464" s="34">
        <f>IF($A1464="","",IF(OR($G1464="SÁBADO",$G1464="DOMINGO"),"FIN","LV"))</f>
        <v/>
      </c>
      <c r="J1464" s="34">
        <f>IF(OR($A1464="",$B1464=""),"",IF($L1464&lt;&gt;"",UPPER($L1464),IF($C1464="","FALTA",IFERROR(IF($C1464&gt;=$O1464,"ROJO FUERTE",IF($C1464&gt;=$N1464,"ROJO",IF($C1464&gt;=$M1464,"AMARILLO","VERDE"))),"REVISAR"))))</f>
        <v/>
      </c>
      <c r="K1464" s="36">
        <f>IF(OR($C1464="",$D1464=""),"",IF($D1464&gt;=$C1464,($D1464-$C1464)*24,(1-$C1464+$D1464)*24))</f>
        <v/>
      </c>
      <c r="L1464" s="34" t="n"/>
      <c r="M1464" s="53">
        <f t="array" ref="M1464">IFERROR(INDEX(EXCEPCIONES_FECHA!$D$2:$D$201,MATCH(1,(EXCEPCIONES_FECHA!$A$2:$A$201=$A1464)*(EXCEPCIONES_FECHA!$B$2:$B$201=$B1464),0)),IFERROR(INDEX(EXCEPCIONES_FECHA!$D$2:$D$201,MATCH(1,(EXCEPCIONES_FECHA!$A$2:$A$201=$A1464)*(EXCEPCIONES_FECHA!$B$2:$B$201=""),0)),IFERROR(INDEX(IF($I1464="FIN",HISTORIAL_HORARIOS!$J$2:$J$201,HISTORIAL_HORARIOS!$F$2:$F$201),MATCH(1,(HISTORIAL_HORARIOS!$A$2:$A$201=$B1464)*(HISTORIAL_HORARIOS!$C$2:$C$201&lt;=$A1464)*(HISTORIAL_HORARIOS!$D$2:$D$201&gt;=$A1464),0)),INDEX(IF($I1464="FIN",PERSONAL!$J$2:$J$80,PERSONAL!$F$2:$F$80),MATCH($B1464,PERSONAL!$A$2:$A$80,0)))))</f>
        <v/>
      </c>
      <c r="N1464" s="53">
        <f t="array" ref="N1464">IFERROR(INDEX(EXCEPCIONES_FECHA!$E$2:$E$201,MATCH(1,(EXCEPCIONES_FECHA!$A$2:$A$201=$A1464)*(EXCEPCIONES_FECHA!$B$2:$B$201=$B1464),0)),IFERROR(INDEX(EXCEPCIONES_FECHA!$E$2:$E$201,MATCH(1,(EXCEPCIONES_FECHA!$A$2:$A$201=$A1464)*(EXCEPCIONES_FECHA!$B$2:$B$201=""),0)),IFERROR(INDEX(IF($I1464="FIN",HISTORIAL_HORARIOS!$K$2:$K$201,HISTORIAL_HORARIOS!$G$2:$G$201),MATCH(1,(HISTORIAL_HORARIOS!$A$2:$A$201=$B1464)*(HISTORIAL_HORARIOS!$C$2:$C$201&lt;=$A1464)*(HISTORIAL_HORARIOS!$D$2:$D$201&gt;=$A1464),0)),INDEX(IF($I1464="FIN",PERSONAL!$K$2:$K$80,PERSONAL!$G$2:$G$80),MATCH($B1464,PERSONAL!$A$2:$A$80,0)))))</f>
        <v/>
      </c>
      <c r="O1464" s="53">
        <f t="array" ref="O1464">IFERROR(INDEX(EXCEPCIONES_FECHA!$F$2:$F$201,MATCH(1,(EXCEPCIONES_FECHA!$A$2:$A$201=$A1464)*(EXCEPCIONES_FECHA!$B$2:$B$201=$B1464),0)),IFERROR(INDEX(EXCEPCIONES_FECHA!$F$2:$F$201,MATCH(1,(EXCEPCIONES_FECHA!$A$2:$A$201=$A1464)*(EXCEPCIONES_FECHA!$B$2:$B$201=""),0)),IFERROR(INDEX(IF($I1464="FIN",HISTORIAL_HORARIOS!$L$2:$L$201,HISTORIAL_HORARIOS!$H$2:$H$201),MATCH(1,(HISTORIAL_HORARIOS!$A$2:$A$201=$B1464)*(HISTORIAL_HORARIOS!$C$2:$C$201&lt;=$A1464)*(HISTORIAL_HORARIOS!$D$2:$D$201&gt;=$A1464),0)),INDEX(IF($I1464="FIN",PERSONAL!$L$2:$L$80,PERSONAL!$H$2:$H$80),MATCH($B1464,PERSONAL!$A$2:$A$80,0)))))</f>
        <v/>
      </c>
    </row>
    <row r="1465" ht="15" customHeight="1" s="58">
      <c r="A1465" s="40" t="n"/>
      <c r="B1465" s="38" t="n"/>
      <c r="C1465" s="40" t="n"/>
      <c r="D1465" s="40" t="n"/>
      <c r="E1465" s="34">
        <f t="array" ref="E1465">IF($B1465="","",IFERROR(INDEX(PERSONAL!$B$2:$B$80,MATCH($B1465,PERSONAL!$A$2:$A$80,0)),"NO EXISTE"))</f>
        <v/>
      </c>
      <c r="F1465" s="34">
        <f t="array" ref="F1465">IF($B1465="","",IFERROR(INDEX(PERSONAL!$C$2:$C$80,MATCH($B1465,PERSONAL!$A$2:$A$80,0)),""))</f>
        <v/>
      </c>
      <c r="G1465" s="34">
        <f>IF($A1465="","",CHOOSE(WEEKDAY($A1465,2),"LUNES","MARTES","MIÉRCOLES","JUEVES","VIERNES","SÁBADO","DOMINGO"))</f>
        <v/>
      </c>
      <c r="H1465" s="34">
        <f>IF($A1465="","",CHOOSE(MONTH($A1465),"ENERO","FEBRERO","MARZO","ABRIL","MAYO","JUNIO","JULIO","AGOSTO","SEPTIEMBRE","OCTUBRE","NOVIEMBRE","DICIEMBRE"))</f>
        <v/>
      </c>
      <c r="I1465" s="34">
        <f>IF($A1465="","",IF(OR($G1465="SÁBADO",$G1465="DOMINGO"),"FIN","LV"))</f>
        <v/>
      </c>
      <c r="J1465" s="34">
        <f>IF(OR($A1465="",$B1465=""),"",IF($L1465&lt;&gt;"",UPPER($L1465),IF($C1465="","FALTA",IFERROR(IF($C1465&gt;=$O1465,"ROJO FUERTE",IF($C1465&gt;=$N1465,"ROJO",IF($C1465&gt;=$M1465,"AMARILLO","VERDE"))),"REVISAR"))))</f>
        <v/>
      </c>
      <c r="K1465" s="36">
        <f>IF(OR($C1465="",$D1465=""),"",IF($D1465&gt;=$C1465,($D1465-$C1465)*24,(1-$C1465+$D1465)*24))</f>
        <v/>
      </c>
      <c r="L1465" s="34" t="n"/>
      <c r="M1465" s="53">
        <f t="array" ref="M1465">IFERROR(INDEX(EXCEPCIONES_FECHA!$D$2:$D$201,MATCH(1,(EXCEPCIONES_FECHA!$A$2:$A$201=$A1465)*(EXCEPCIONES_FECHA!$B$2:$B$201=$B1465),0)),IFERROR(INDEX(EXCEPCIONES_FECHA!$D$2:$D$201,MATCH(1,(EXCEPCIONES_FECHA!$A$2:$A$201=$A1465)*(EXCEPCIONES_FECHA!$B$2:$B$201=""),0)),IFERROR(INDEX(IF($I1465="FIN",HISTORIAL_HORARIOS!$J$2:$J$201,HISTORIAL_HORARIOS!$F$2:$F$201),MATCH(1,(HISTORIAL_HORARIOS!$A$2:$A$201=$B1465)*(HISTORIAL_HORARIOS!$C$2:$C$201&lt;=$A1465)*(HISTORIAL_HORARIOS!$D$2:$D$201&gt;=$A1465),0)),INDEX(IF($I1465="FIN",PERSONAL!$J$2:$J$80,PERSONAL!$F$2:$F$80),MATCH($B1465,PERSONAL!$A$2:$A$80,0)))))</f>
        <v/>
      </c>
      <c r="N1465" s="53">
        <f t="array" ref="N1465">IFERROR(INDEX(EXCEPCIONES_FECHA!$E$2:$E$201,MATCH(1,(EXCEPCIONES_FECHA!$A$2:$A$201=$A1465)*(EXCEPCIONES_FECHA!$B$2:$B$201=$B1465),0)),IFERROR(INDEX(EXCEPCIONES_FECHA!$E$2:$E$201,MATCH(1,(EXCEPCIONES_FECHA!$A$2:$A$201=$A1465)*(EXCEPCIONES_FECHA!$B$2:$B$201=""),0)),IFERROR(INDEX(IF($I1465="FIN",HISTORIAL_HORARIOS!$K$2:$K$201,HISTORIAL_HORARIOS!$G$2:$G$201),MATCH(1,(HISTORIAL_HORARIOS!$A$2:$A$201=$B1465)*(HISTORIAL_HORARIOS!$C$2:$C$201&lt;=$A1465)*(HISTORIAL_HORARIOS!$D$2:$D$201&gt;=$A1465),0)),INDEX(IF($I1465="FIN",PERSONAL!$K$2:$K$80,PERSONAL!$G$2:$G$80),MATCH($B1465,PERSONAL!$A$2:$A$80,0)))))</f>
        <v/>
      </c>
      <c r="O1465" s="53">
        <f t="array" ref="O1465">IFERROR(INDEX(EXCEPCIONES_FECHA!$F$2:$F$201,MATCH(1,(EXCEPCIONES_FECHA!$A$2:$A$201=$A1465)*(EXCEPCIONES_FECHA!$B$2:$B$201=$B1465),0)),IFERROR(INDEX(EXCEPCIONES_FECHA!$F$2:$F$201,MATCH(1,(EXCEPCIONES_FECHA!$A$2:$A$201=$A1465)*(EXCEPCIONES_FECHA!$B$2:$B$201=""),0)),IFERROR(INDEX(IF($I1465="FIN",HISTORIAL_HORARIOS!$L$2:$L$201,HISTORIAL_HORARIOS!$H$2:$H$201),MATCH(1,(HISTORIAL_HORARIOS!$A$2:$A$201=$B1465)*(HISTORIAL_HORARIOS!$C$2:$C$201&lt;=$A1465)*(HISTORIAL_HORARIOS!$D$2:$D$201&gt;=$A1465),0)),INDEX(IF($I1465="FIN",PERSONAL!$L$2:$L$80,PERSONAL!$H$2:$H$80),MATCH($B1465,PERSONAL!$A$2:$A$80,0)))))</f>
        <v/>
      </c>
    </row>
    <row r="1466" ht="15" customHeight="1" s="58">
      <c r="A1466" s="40" t="n"/>
      <c r="B1466" s="38" t="n"/>
      <c r="C1466" s="40" t="n"/>
      <c r="D1466" s="40" t="n"/>
      <c r="E1466" s="34">
        <f t="array" ref="E1466">IF($B1466="","",IFERROR(INDEX(PERSONAL!$B$2:$B$80,MATCH($B1466,PERSONAL!$A$2:$A$80,0)),"NO EXISTE"))</f>
        <v/>
      </c>
      <c r="F1466" s="34">
        <f t="array" ref="F1466">IF($B1466="","",IFERROR(INDEX(PERSONAL!$C$2:$C$80,MATCH($B1466,PERSONAL!$A$2:$A$80,0)),""))</f>
        <v/>
      </c>
      <c r="G1466" s="34">
        <f>IF($A1466="","",CHOOSE(WEEKDAY($A1466,2),"LUNES","MARTES","MIÉRCOLES","JUEVES","VIERNES","SÁBADO","DOMINGO"))</f>
        <v/>
      </c>
      <c r="H1466" s="34">
        <f>IF($A1466="","",CHOOSE(MONTH($A1466),"ENERO","FEBRERO","MARZO","ABRIL","MAYO","JUNIO","JULIO","AGOSTO","SEPTIEMBRE","OCTUBRE","NOVIEMBRE","DICIEMBRE"))</f>
        <v/>
      </c>
      <c r="I1466" s="34">
        <f>IF($A1466="","",IF(OR($G1466="SÁBADO",$G1466="DOMINGO"),"FIN","LV"))</f>
        <v/>
      </c>
      <c r="J1466" s="34">
        <f>IF(OR($A1466="",$B1466=""),"",IF($L1466&lt;&gt;"",UPPER($L1466),IF($C1466="","FALTA",IFERROR(IF($C1466&gt;=$O1466,"ROJO FUERTE",IF($C1466&gt;=$N1466,"ROJO",IF($C1466&gt;=$M1466,"AMARILLO","VERDE"))),"REVISAR"))))</f>
        <v/>
      </c>
      <c r="K1466" s="36">
        <f>IF(OR($C1466="",$D1466=""),"",IF($D1466&gt;=$C1466,($D1466-$C1466)*24,(1-$C1466+$D1466)*24))</f>
        <v/>
      </c>
      <c r="L1466" s="34" t="n"/>
      <c r="M1466" s="53">
        <f t="array" ref="M1466">IFERROR(INDEX(EXCEPCIONES_FECHA!$D$2:$D$201,MATCH(1,(EXCEPCIONES_FECHA!$A$2:$A$201=$A1466)*(EXCEPCIONES_FECHA!$B$2:$B$201=$B1466),0)),IFERROR(INDEX(EXCEPCIONES_FECHA!$D$2:$D$201,MATCH(1,(EXCEPCIONES_FECHA!$A$2:$A$201=$A1466)*(EXCEPCIONES_FECHA!$B$2:$B$201=""),0)),IFERROR(INDEX(IF($I1466="FIN",HISTORIAL_HORARIOS!$J$2:$J$201,HISTORIAL_HORARIOS!$F$2:$F$201),MATCH(1,(HISTORIAL_HORARIOS!$A$2:$A$201=$B1466)*(HISTORIAL_HORARIOS!$C$2:$C$201&lt;=$A1466)*(HISTORIAL_HORARIOS!$D$2:$D$201&gt;=$A1466),0)),INDEX(IF($I1466="FIN",PERSONAL!$J$2:$J$80,PERSONAL!$F$2:$F$80),MATCH($B1466,PERSONAL!$A$2:$A$80,0)))))</f>
        <v/>
      </c>
      <c r="N1466" s="53">
        <f t="array" ref="N1466">IFERROR(INDEX(EXCEPCIONES_FECHA!$E$2:$E$201,MATCH(1,(EXCEPCIONES_FECHA!$A$2:$A$201=$A1466)*(EXCEPCIONES_FECHA!$B$2:$B$201=$B1466),0)),IFERROR(INDEX(EXCEPCIONES_FECHA!$E$2:$E$201,MATCH(1,(EXCEPCIONES_FECHA!$A$2:$A$201=$A1466)*(EXCEPCIONES_FECHA!$B$2:$B$201=""),0)),IFERROR(INDEX(IF($I1466="FIN",HISTORIAL_HORARIOS!$K$2:$K$201,HISTORIAL_HORARIOS!$G$2:$G$201),MATCH(1,(HISTORIAL_HORARIOS!$A$2:$A$201=$B1466)*(HISTORIAL_HORARIOS!$C$2:$C$201&lt;=$A1466)*(HISTORIAL_HORARIOS!$D$2:$D$201&gt;=$A1466),0)),INDEX(IF($I1466="FIN",PERSONAL!$K$2:$K$80,PERSONAL!$G$2:$G$80),MATCH($B1466,PERSONAL!$A$2:$A$80,0)))))</f>
        <v/>
      </c>
      <c r="O1466" s="53">
        <f t="array" ref="O1466">IFERROR(INDEX(EXCEPCIONES_FECHA!$F$2:$F$201,MATCH(1,(EXCEPCIONES_FECHA!$A$2:$A$201=$A1466)*(EXCEPCIONES_FECHA!$B$2:$B$201=$B1466),0)),IFERROR(INDEX(EXCEPCIONES_FECHA!$F$2:$F$201,MATCH(1,(EXCEPCIONES_FECHA!$A$2:$A$201=$A1466)*(EXCEPCIONES_FECHA!$B$2:$B$201=""),0)),IFERROR(INDEX(IF($I1466="FIN",HISTORIAL_HORARIOS!$L$2:$L$201,HISTORIAL_HORARIOS!$H$2:$H$201),MATCH(1,(HISTORIAL_HORARIOS!$A$2:$A$201=$B1466)*(HISTORIAL_HORARIOS!$C$2:$C$201&lt;=$A1466)*(HISTORIAL_HORARIOS!$D$2:$D$201&gt;=$A1466),0)),INDEX(IF($I1466="FIN",PERSONAL!$L$2:$L$80,PERSONAL!$H$2:$H$80),MATCH($B1466,PERSONAL!$A$2:$A$80,0)))))</f>
        <v/>
      </c>
    </row>
    <row r="1467" ht="15" customHeight="1" s="58">
      <c r="A1467" s="40" t="n"/>
      <c r="B1467" s="38" t="n"/>
      <c r="C1467" s="40" t="n"/>
      <c r="D1467" s="40" t="n"/>
      <c r="E1467" s="34">
        <f t="array" ref="E1467">IF($B1467="","",IFERROR(INDEX(PERSONAL!$B$2:$B$80,MATCH($B1467,PERSONAL!$A$2:$A$80,0)),"NO EXISTE"))</f>
        <v/>
      </c>
      <c r="F1467" s="34">
        <f t="array" ref="F1467">IF($B1467="","",IFERROR(INDEX(PERSONAL!$C$2:$C$80,MATCH($B1467,PERSONAL!$A$2:$A$80,0)),""))</f>
        <v/>
      </c>
      <c r="G1467" s="34">
        <f>IF($A1467="","",CHOOSE(WEEKDAY($A1467,2),"LUNES","MARTES","MIÉRCOLES","JUEVES","VIERNES","SÁBADO","DOMINGO"))</f>
        <v/>
      </c>
      <c r="H1467" s="34">
        <f>IF($A1467="","",CHOOSE(MONTH($A1467),"ENERO","FEBRERO","MARZO","ABRIL","MAYO","JUNIO","JULIO","AGOSTO","SEPTIEMBRE","OCTUBRE","NOVIEMBRE","DICIEMBRE"))</f>
        <v/>
      </c>
      <c r="I1467" s="34">
        <f>IF($A1467="","",IF(OR($G1467="SÁBADO",$G1467="DOMINGO"),"FIN","LV"))</f>
        <v/>
      </c>
      <c r="J1467" s="34">
        <f>IF(OR($A1467="",$B1467=""),"",IF($L1467&lt;&gt;"",UPPER($L1467),IF($C1467="","FALTA",IFERROR(IF($C1467&gt;=$O1467,"ROJO FUERTE",IF($C1467&gt;=$N1467,"ROJO",IF($C1467&gt;=$M1467,"AMARILLO","VERDE"))),"REVISAR"))))</f>
        <v/>
      </c>
      <c r="K1467" s="36">
        <f>IF(OR($C1467="",$D1467=""),"",IF($D1467&gt;=$C1467,($D1467-$C1467)*24,(1-$C1467+$D1467)*24))</f>
        <v/>
      </c>
      <c r="L1467" s="34" t="n"/>
      <c r="M1467" s="53">
        <f t="array" ref="M1467">IFERROR(INDEX(EXCEPCIONES_FECHA!$D$2:$D$201,MATCH(1,(EXCEPCIONES_FECHA!$A$2:$A$201=$A1467)*(EXCEPCIONES_FECHA!$B$2:$B$201=$B1467),0)),IFERROR(INDEX(EXCEPCIONES_FECHA!$D$2:$D$201,MATCH(1,(EXCEPCIONES_FECHA!$A$2:$A$201=$A1467)*(EXCEPCIONES_FECHA!$B$2:$B$201=""),0)),IFERROR(INDEX(IF($I1467="FIN",HISTORIAL_HORARIOS!$J$2:$J$201,HISTORIAL_HORARIOS!$F$2:$F$201),MATCH(1,(HISTORIAL_HORARIOS!$A$2:$A$201=$B1467)*(HISTORIAL_HORARIOS!$C$2:$C$201&lt;=$A1467)*(HISTORIAL_HORARIOS!$D$2:$D$201&gt;=$A1467),0)),INDEX(IF($I1467="FIN",PERSONAL!$J$2:$J$80,PERSONAL!$F$2:$F$80),MATCH($B1467,PERSONAL!$A$2:$A$80,0)))))</f>
        <v/>
      </c>
      <c r="N1467" s="53">
        <f t="array" ref="N1467">IFERROR(INDEX(EXCEPCIONES_FECHA!$E$2:$E$201,MATCH(1,(EXCEPCIONES_FECHA!$A$2:$A$201=$A1467)*(EXCEPCIONES_FECHA!$B$2:$B$201=$B1467),0)),IFERROR(INDEX(EXCEPCIONES_FECHA!$E$2:$E$201,MATCH(1,(EXCEPCIONES_FECHA!$A$2:$A$201=$A1467)*(EXCEPCIONES_FECHA!$B$2:$B$201=""),0)),IFERROR(INDEX(IF($I1467="FIN",HISTORIAL_HORARIOS!$K$2:$K$201,HISTORIAL_HORARIOS!$G$2:$G$201),MATCH(1,(HISTORIAL_HORARIOS!$A$2:$A$201=$B1467)*(HISTORIAL_HORARIOS!$C$2:$C$201&lt;=$A1467)*(HISTORIAL_HORARIOS!$D$2:$D$201&gt;=$A1467),0)),INDEX(IF($I1467="FIN",PERSONAL!$K$2:$K$80,PERSONAL!$G$2:$G$80),MATCH($B1467,PERSONAL!$A$2:$A$80,0)))))</f>
        <v/>
      </c>
      <c r="O1467" s="53">
        <f t="array" ref="O1467">IFERROR(INDEX(EXCEPCIONES_FECHA!$F$2:$F$201,MATCH(1,(EXCEPCIONES_FECHA!$A$2:$A$201=$A1467)*(EXCEPCIONES_FECHA!$B$2:$B$201=$B1467),0)),IFERROR(INDEX(EXCEPCIONES_FECHA!$F$2:$F$201,MATCH(1,(EXCEPCIONES_FECHA!$A$2:$A$201=$A1467)*(EXCEPCIONES_FECHA!$B$2:$B$201=""),0)),IFERROR(INDEX(IF($I1467="FIN",HISTORIAL_HORARIOS!$L$2:$L$201,HISTORIAL_HORARIOS!$H$2:$H$201),MATCH(1,(HISTORIAL_HORARIOS!$A$2:$A$201=$B1467)*(HISTORIAL_HORARIOS!$C$2:$C$201&lt;=$A1467)*(HISTORIAL_HORARIOS!$D$2:$D$201&gt;=$A1467),0)),INDEX(IF($I1467="FIN",PERSONAL!$L$2:$L$80,PERSONAL!$H$2:$H$80),MATCH($B1467,PERSONAL!$A$2:$A$80,0)))))</f>
        <v/>
      </c>
    </row>
    <row r="1468" ht="15" customHeight="1" s="58">
      <c r="A1468" s="40" t="n"/>
      <c r="B1468" s="38" t="n"/>
      <c r="C1468" s="40" t="n"/>
      <c r="D1468" s="40" t="n"/>
      <c r="E1468" s="34">
        <f t="array" ref="E1468">IF($B1468="","",IFERROR(INDEX(PERSONAL!$B$2:$B$80,MATCH($B1468,PERSONAL!$A$2:$A$80,0)),"NO EXISTE"))</f>
        <v/>
      </c>
      <c r="F1468" s="34">
        <f t="array" ref="F1468">IF($B1468="","",IFERROR(INDEX(PERSONAL!$C$2:$C$80,MATCH($B1468,PERSONAL!$A$2:$A$80,0)),""))</f>
        <v/>
      </c>
      <c r="G1468" s="34">
        <f>IF($A1468="","",CHOOSE(WEEKDAY($A1468,2),"LUNES","MARTES","MIÉRCOLES","JUEVES","VIERNES","SÁBADO","DOMINGO"))</f>
        <v/>
      </c>
      <c r="H1468" s="34">
        <f>IF($A1468="","",CHOOSE(MONTH($A1468),"ENERO","FEBRERO","MARZO","ABRIL","MAYO","JUNIO","JULIO","AGOSTO","SEPTIEMBRE","OCTUBRE","NOVIEMBRE","DICIEMBRE"))</f>
        <v/>
      </c>
      <c r="I1468" s="34">
        <f>IF($A1468="","",IF(OR($G1468="SÁBADO",$G1468="DOMINGO"),"FIN","LV"))</f>
        <v/>
      </c>
      <c r="J1468" s="34">
        <f>IF(OR($A1468="",$B1468=""),"",IF($L1468&lt;&gt;"",UPPER($L1468),IF($C1468="","FALTA",IFERROR(IF($C1468&gt;=$O1468,"ROJO FUERTE",IF($C1468&gt;=$N1468,"ROJO",IF($C1468&gt;=$M1468,"AMARILLO","VERDE"))),"REVISAR"))))</f>
        <v/>
      </c>
      <c r="K1468" s="36">
        <f>IF(OR($C1468="",$D1468=""),"",IF($D1468&gt;=$C1468,($D1468-$C1468)*24,(1-$C1468+$D1468)*24))</f>
        <v/>
      </c>
      <c r="L1468" s="34" t="n"/>
      <c r="M1468" s="53">
        <f t="array" ref="M1468">IFERROR(INDEX(EXCEPCIONES_FECHA!$D$2:$D$201,MATCH(1,(EXCEPCIONES_FECHA!$A$2:$A$201=$A1468)*(EXCEPCIONES_FECHA!$B$2:$B$201=$B1468),0)),IFERROR(INDEX(EXCEPCIONES_FECHA!$D$2:$D$201,MATCH(1,(EXCEPCIONES_FECHA!$A$2:$A$201=$A1468)*(EXCEPCIONES_FECHA!$B$2:$B$201=""),0)),IFERROR(INDEX(IF($I1468="FIN",HISTORIAL_HORARIOS!$J$2:$J$201,HISTORIAL_HORARIOS!$F$2:$F$201),MATCH(1,(HISTORIAL_HORARIOS!$A$2:$A$201=$B1468)*(HISTORIAL_HORARIOS!$C$2:$C$201&lt;=$A1468)*(HISTORIAL_HORARIOS!$D$2:$D$201&gt;=$A1468),0)),INDEX(IF($I1468="FIN",PERSONAL!$J$2:$J$80,PERSONAL!$F$2:$F$80),MATCH($B1468,PERSONAL!$A$2:$A$80,0)))))</f>
        <v/>
      </c>
      <c r="N1468" s="53">
        <f t="array" ref="N1468">IFERROR(INDEX(EXCEPCIONES_FECHA!$E$2:$E$201,MATCH(1,(EXCEPCIONES_FECHA!$A$2:$A$201=$A1468)*(EXCEPCIONES_FECHA!$B$2:$B$201=$B1468),0)),IFERROR(INDEX(EXCEPCIONES_FECHA!$E$2:$E$201,MATCH(1,(EXCEPCIONES_FECHA!$A$2:$A$201=$A1468)*(EXCEPCIONES_FECHA!$B$2:$B$201=""),0)),IFERROR(INDEX(IF($I1468="FIN",HISTORIAL_HORARIOS!$K$2:$K$201,HISTORIAL_HORARIOS!$G$2:$G$201),MATCH(1,(HISTORIAL_HORARIOS!$A$2:$A$201=$B1468)*(HISTORIAL_HORARIOS!$C$2:$C$201&lt;=$A1468)*(HISTORIAL_HORARIOS!$D$2:$D$201&gt;=$A1468),0)),INDEX(IF($I1468="FIN",PERSONAL!$K$2:$K$80,PERSONAL!$G$2:$G$80),MATCH($B1468,PERSONAL!$A$2:$A$80,0)))))</f>
        <v/>
      </c>
      <c r="O1468" s="53">
        <f t="array" ref="O1468">IFERROR(INDEX(EXCEPCIONES_FECHA!$F$2:$F$201,MATCH(1,(EXCEPCIONES_FECHA!$A$2:$A$201=$A1468)*(EXCEPCIONES_FECHA!$B$2:$B$201=$B1468),0)),IFERROR(INDEX(EXCEPCIONES_FECHA!$F$2:$F$201,MATCH(1,(EXCEPCIONES_FECHA!$A$2:$A$201=$A1468)*(EXCEPCIONES_FECHA!$B$2:$B$201=""),0)),IFERROR(INDEX(IF($I1468="FIN",HISTORIAL_HORARIOS!$L$2:$L$201,HISTORIAL_HORARIOS!$H$2:$H$201),MATCH(1,(HISTORIAL_HORARIOS!$A$2:$A$201=$B1468)*(HISTORIAL_HORARIOS!$C$2:$C$201&lt;=$A1468)*(HISTORIAL_HORARIOS!$D$2:$D$201&gt;=$A1468),0)),INDEX(IF($I1468="FIN",PERSONAL!$L$2:$L$80,PERSONAL!$H$2:$H$80),MATCH($B1468,PERSONAL!$A$2:$A$80,0)))))</f>
        <v/>
      </c>
    </row>
    <row r="1469" ht="15" customHeight="1" s="58">
      <c r="A1469" s="40" t="n"/>
      <c r="B1469" s="38" t="n"/>
      <c r="C1469" s="40" t="n"/>
      <c r="D1469" s="40" t="n"/>
      <c r="E1469" s="34">
        <f t="array" ref="E1469">IF($B1469="","",IFERROR(INDEX(PERSONAL!$B$2:$B$80,MATCH($B1469,PERSONAL!$A$2:$A$80,0)),"NO EXISTE"))</f>
        <v/>
      </c>
      <c r="F1469" s="34">
        <f t="array" ref="F1469">IF($B1469="","",IFERROR(INDEX(PERSONAL!$C$2:$C$80,MATCH($B1469,PERSONAL!$A$2:$A$80,0)),""))</f>
        <v/>
      </c>
      <c r="G1469" s="34">
        <f>IF($A1469="","",CHOOSE(WEEKDAY($A1469,2),"LUNES","MARTES","MIÉRCOLES","JUEVES","VIERNES","SÁBADO","DOMINGO"))</f>
        <v/>
      </c>
      <c r="H1469" s="34">
        <f>IF($A1469="","",CHOOSE(MONTH($A1469),"ENERO","FEBRERO","MARZO","ABRIL","MAYO","JUNIO","JULIO","AGOSTO","SEPTIEMBRE","OCTUBRE","NOVIEMBRE","DICIEMBRE"))</f>
        <v/>
      </c>
      <c r="I1469" s="34">
        <f>IF($A1469="","",IF(OR($G1469="SÁBADO",$G1469="DOMINGO"),"FIN","LV"))</f>
        <v/>
      </c>
      <c r="J1469" s="34">
        <f>IF(OR($A1469="",$B1469=""),"",IF($L1469&lt;&gt;"",UPPER($L1469),IF($C1469="","FALTA",IFERROR(IF($C1469&gt;=$O1469,"ROJO FUERTE",IF($C1469&gt;=$N1469,"ROJO",IF($C1469&gt;=$M1469,"AMARILLO","VERDE"))),"REVISAR"))))</f>
        <v/>
      </c>
      <c r="K1469" s="36">
        <f>IF(OR($C1469="",$D1469=""),"",IF($D1469&gt;=$C1469,($D1469-$C1469)*24,(1-$C1469+$D1469)*24))</f>
        <v/>
      </c>
      <c r="L1469" s="34" t="n"/>
      <c r="M1469" s="53">
        <f t="array" ref="M1469">IFERROR(INDEX(EXCEPCIONES_FECHA!$D$2:$D$201,MATCH(1,(EXCEPCIONES_FECHA!$A$2:$A$201=$A1469)*(EXCEPCIONES_FECHA!$B$2:$B$201=$B1469),0)),IFERROR(INDEX(EXCEPCIONES_FECHA!$D$2:$D$201,MATCH(1,(EXCEPCIONES_FECHA!$A$2:$A$201=$A1469)*(EXCEPCIONES_FECHA!$B$2:$B$201=""),0)),IFERROR(INDEX(IF($I1469="FIN",HISTORIAL_HORARIOS!$J$2:$J$201,HISTORIAL_HORARIOS!$F$2:$F$201),MATCH(1,(HISTORIAL_HORARIOS!$A$2:$A$201=$B1469)*(HISTORIAL_HORARIOS!$C$2:$C$201&lt;=$A1469)*(HISTORIAL_HORARIOS!$D$2:$D$201&gt;=$A1469),0)),INDEX(IF($I1469="FIN",PERSONAL!$J$2:$J$80,PERSONAL!$F$2:$F$80),MATCH($B1469,PERSONAL!$A$2:$A$80,0)))))</f>
        <v/>
      </c>
      <c r="N1469" s="53">
        <f t="array" ref="N1469">IFERROR(INDEX(EXCEPCIONES_FECHA!$E$2:$E$201,MATCH(1,(EXCEPCIONES_FECHA!$A$2:$A$201=$A1469)*(EXCEPCIONES_FECHA!$B$2:$B$201=$B1469),0)),IFERROR(INDEX(EXCEPCIONES_FECHA!$E$2:$E$201,MATCH(1,(EXCEPCIONES_FECHA!$A$2:$A$201=$A1469)*(EXCEPCIONES_FECHA!$B$2:$B$201=""),0)),IFERROR(INDEX(IF($I1469="FIN",HISTORIAL_HORARIOS!$K$2:$K$201,HISTORIAL_HORARIOS!$G$2:$G$201),MATCH(1,(HISTORIAL_HORARIOS!$A$2:$A$201=$B1469)*(HISTORIAL_HORARIOS!$C$2:$C$201&lt;=$A1469)*(HISTORIAL_HORARIOS!$D$2:$D$201&gt;=$A1469),0)),INDEX(IF($I1469="FIN",PERSONAL!$K$2:$K$80,PERSONAL!$G$2:$G$80),MATCH($B1469,PERSONAL!$A$2:$A$80,0)))))</f>
        <v/>
      </c>
      <c r="O1469" s="53">
        <f t="array" ref="O1469">IFERROR(INDEX(EXCEPCIONES_FECHA!$F$2:$F$201,MATCH(1,(EXCEPCIONES_FECHA!$A$2:$A$201=$A1469)*(EXCEPCIONES_FECHA!$B$2:$B$201=$B1469),0)),IFERROR(INDEX(EXCEPCIONES_FECHA!$F$2:$F$201,MATCH(1,(EXCEPCIONES_FECHA!$A$2:$A$201=$A1469)*(EXCEPCIONES_FECHA!$B$2:$B$201=""),0)),IFERROR(INDEX(IF($I1469="FIN",HISTORIAL_HORARIOS!$L$2:$L$201,HISTORIAL_HORARIOS!$H$2:$H$201),MATCH(1,(HISTORIAL_HORARIOS!$A$2:$A$201=$B1469)*(HISTORIAL_HORARIOS!$C$2:$C$201&lt;=$A1469)*(HISTORIAL_HORARIOS!$D$2:$D$201&gt;=$A1469),0)),INDEX(IF($I1469="FIN",PERSONAL!$L$2:$L$80,PERSONAL!$H$2:$H$80),MATCH($B1469,PERSONAL!$A$2:$A$80,0)))))</f>
        <v/>
      </c>
    </row>
    <row r="1470" ht="15" customHeight="1" s="58">
      <c r="A1470" s="40" t="n"/>
      <c r="B1470" s="38" t="n"/>
      <c r="C1470" s="40" t="n"/>
      <c r="D1470" s="40" t="n"/>
      <c r="E1470" s="34">
        <f t="array" ref="E1470">IF($B1470="","",IFERROR(INDEX(PERSONAL!$B$2:$B$80,MATCH($B1470,PERSONAL!$A$2:$A$80,0)),"NO EXISTE"))</f>
        <v/>
      </c>
      <c r="F1470" s="34">
        <f t="array" ref="F1470">IF($B1470="","",IFERROR(INDEX(PERSONAL!$C$2:$C$80,MATCH($B1470,PERSONAL!$A$2:$A$80,0)),""))</f>
        <v/>
      </c>
      <c r="G1470" s="34">
        <f>IF($A1470="","",CHOOSE(WEEKDAY($A1470,2),"LUNES","MARTES","MIÉRCOLES","JUEVES","VIERNES","SÁBADO","DOMINGO"))</f>
        <v/>
      </c>
      <c r="H1470" s="34">
        <f>IF($A1470="","",CHOOSE(MONTH($A1470),"ENERO","FEBRERO","MARZO","ABRIL","MAYO","JUNIO","JULIO","AGOSTO","SEPTIEMBRE","OCTUBRE","NOVIEMBRE","DICIEMBRE"))</f>
        <v/>
      </c>
      <c r="I1470" s="34">
        <f>IF($A1470="","",IF(OR($G1470="SÁBADO",$G1470="DOMINGO"),"FIN","LV"))</f>
        <v/>
      </c>
      <c r="J1470" s="34">
        <f>IF(OR($A1470="",$B1470=""),"",IF($L1470&lt;&gt;"",UPPER($L1470),IF($C1470="","FALTA",IFERROR(IF($C1470&gt;=$O1470,"ROJO FUERTE",IF($C1470&gt;=$N1470,"ROJO",IF($C1470&gt;=$M1470,"AMARILLO","VERDE"))),"REVISAR"))))</f>
        <v/>
      </c>
      <c r="K1470" s="36">
        <f>IF(OR($C1470="",$D1470=""),"",IF($D1470&gt;=$C1470,($D1470-$C1470)*24,(1-$C1470+$D1470)*24))</f>
        <v/>
      </c>
      <c r="L1470" s="34" t="n"/>
      <c r="M1470" s="53">
        <f t="array" ref="M1470">IFERROR(INDEX(EXCEPCIONES_FECHA!$D$2:$D$201,MATCH(1,(EXCEPCIONES_FECHA!$A$2:$A$201=$A1470)*(EXCEPCIONES_FECHA!$B$2:$B$201=$B1470),0)),IFERROR(INDEX(EXCEPCIONES_FECHA!$D$2:$D$201,MATCH(1,(EXCEPCIONES_FECHA!$A$2:$A$201=$A1470)*(EXCEPCIONES_FECHA!$B$2:$B$201=""),0)),IFERROR(INDEX(IF($I1470="FIN",HISTORIAL_HORARIOS!$J$2:$J$201,HISTORIAL_HORARIOS!$F$2:$F$201),MATCH(1,(HISTORIAL_HORARIOS!$A$2:$A$201=$B1470)*(HISTORIAL_HORARIOS!$C$2:$C$201&lt;=$A1470)*(HISTORIAL_HORARIOS!$D$2:$D$201&gt;=$A1470),0)),INDEX(IF($I1470="FIN",PERSONAL!$J$2:$J$80,PERSONAL!$F$2:$F$80),MATCH($B1470,PERSONAL!$A$2:$A$80,0)))))</f>
        <v/>
      </c>
      <c r="N1470" s="53">
        <f t="array" ref="N1470">IFERROR(INDEX(EXCEPCIONES_FECHA!$E$2:$E$201,MATCH(1,(EXCEPCIONES_FECHA!$A$2:$A$201=$A1470)*(EXCEPCIONES_FECHA!$B$2:$B$201=$B1470),0)),IFERROR(INDEX(EXCEPCIONES_FECHA!$E$2:$E$201,MATCH(1,(EXCEPCIONES_FECHA!$A$2:$A$201=$A1470)*(EXCEPCIONES_FECHA!$B$2:$B$201=""),0)),IFERROR(INDEX(IF($I1470="FIN",HISTORIAL_HORARIOS!$K$2:$K$201,HISTORIAL_HORARIOS!$G$2:$G$201),MATCH(1,(HISTORIAL_HORARIOS!$A$2:$A$201=$B1470)*(HISTORIAL_HORARIOS!$C$2:$C$201&lt;=$A1470)*(HISTORIAL_HORARIOS!$D$2:$D$201&gt;=$A1470),0)),INDEX(IF($I1470="FIN",PERSONAL!$K$2:$K$80,PERSONAL!$G$2:$G$80),MATCH($B1470,PERSONAL!$A$2:$A$80,0)))))</f>
        <v/>
      </c>
      <c r="O1470" s="53">
        <f t="array" ref="O1470">IFERROR(INDEX(EXCEPCIONES_FECHA!$F$2:$F$201,MATCH(1,(EXCEPCIONES_FECHA!$A$2:$A$201=$A1470)*(EXCEPCIONES_FECHA!$B$2:$B$201=$B1470),0)),IFERROR(INDEX(EXCEPCIONES_FECHA!$F$2:$F$201,MATCH(1,(EXCEPCIONES_FECHA!$A$2:$A$201=$A1470)*(EXCEPCIONES_FECHA!$B$2:$B$201=""),0)),IFERROR(INDEX(IF($I1470="FIN",HISTORIAL_HORARIOS!$L$2:$L$201,HISTORIAL_HORARIOS!$H$2:$H$201),MATCH(1,(HISTORIAL_HORARIOS!$A$2:$A$201=$B1470)*(HISTORIAL_HORARIOS!$C$2:$C$201&lt;=$A1470)*(HISTORIAL_HORARIOS!$D$2:$D$201&gt;=$A1470),0)),INDEX(IF($I1470="FIN",PERSONAL!$L$2:$L$80,PERSONAL!$H$2:$H$80),MATCH($B1470,PERSONAL!$A$2:$A$80,0)))))</f>
        <v/>
      </c>
    </row>
    <row r="1471" ht="15" customHeight="1" s="58">
      <c r="A1471" s="40" t="n"/>
      <c r="B1471" s="38" t="n"/>
      <c r="C1471" s="40" t="n"/>
      <c r="D1471" s="40" t="n"/>
      <c r="E1471" s="34">
        <f t="array" ref="E1471">IF($B1471="","",IFERROR(INDEX(PERSONAL!$B$2:$B$80,MATCH($B1471,PERSONAL!$A$2:$A$80,0)),"NO EXISTE"))</f>
        <v/>
      </c>
      <c r="F1471" s="34">
        <f t="array" ref="F1471">IF($B1471="","",IFERROR(INDEX(PERSONAL!$C$2:$C$80,MATCH($B1471,PERSONAL!$A$2:$A$80,0)),""))</f>
        <v/>
      </c>
      <c r="G1471" s="34">
        <f>IF($A1471="","",CHOOSE(WEEKDAY($A1471,2),"LUNES","MARTES","MIÉRCOLES","JUEVES","VIERNES","SÁBADO","DOMINGO"))</f>
        <v/>
      </c>
      <c r="H1471" s="34">
        <f>IF($A1471="","",CHOOSE(MONTH($A1471),"ENERO","FEBRERO","MARZO","ABRIL","MAYO","JUNIO","JULIO","AGOSTO","SEPTIEMBRE","OCTUBRE","NOVIEMBRE","DICIEMBRE"))</f>
        <v/>
      </c>
      <c r="I1471" s="34">
        <f>IF($A1471="","",IF(OR($G1471="SÁBADO",$G1471="DOMINGO"),"FIN","LV"))</f>
        <v/>
      </c>
      <c r="J1471" s="34">
        <f>IF(OR($A1471="",$B1471=""),"",IF($L1471&lt;&gt;"",UPPER($L1471),IF($C1471="","FALTA",IFERROR(IF($C1471&gt;=$O1471,"ROJO FUERTE",IF($C1471&gt;=$N1471,"ROJO",IF($C1471&gt;=$M1471,"AMARILLO","VERDE"))),"REVISAR"))))</f>
        <v/>
      </c>
      <c r="K1471" s="36">
        <f>IF(OR($C1471="",$D1471=""),"",IF($D1471&gt;=$C1471,($D1471-$C1471)*24,(1-$C1471+$D1471)*24))</f>
        <v/>
      </c>
      <c r="L1471" s="34" t="n"/>
      <c r="M1471" s="53">
        <f t="array" ref="M1471">IFERROR(INDEX(EXCEPCIONES_FECHA!$D$2:$D$201,MATCH(1,(EXCEPCIONES_FECHA!$A$2:$A$201=$A1471)*(EXCEPCIONES_FECHA!$B$2:$B$201=$B1471),0)),IFERROR(INDEX(EXCEPCIONES_FECHA!$D$2:$D$201,MATCH(1,(EXCEPCIONES_FECHA!$A$2:$A$201=$A1471)*(EXCEPCIONES_FECHA!$B$2:$B$201=""),0)),IFERROR(INDEX(IF($I1471="FIN",HISTORIAL_HORARIOS!$J$2:$J$201,HISTORIAL_HORARIOS!$F$2:$F$201),MATCH(1,(HISTORIAL_HORARIOS!$A$2:$A$201=$B1471)*(HISTORIAL_HORARIOS!$C$2:$C$201&lt;=$A1471)*(HISTORIAL_HORARIOS!$D$2:$D$201&gt;=$A1471),0)),INDEX(IF($I1471="FIN",PERSONAL!$J$2:$J$80,PERSONAL!$F$2:$F$80),MATCH($B1471,PERSONAL!$A$2:$A$80,0)))))</f>
        <v/>
      </c>
      <c r="N1471" s="53">
        <f t="array" ref="N1471">IFERROR(INDEX(EXCEPCIONES_FECHA!$E$2:$E$201,MATCH(1,(EXCEPCIONES_FECHA!$A$2:$A$201=$A1471)*(EXCEPCIONES_FECHA!$B$2:$B$201=$B1471),0)),IFERROR(INDEX(EXCEPCIONES_FECHA!$E$2:$E$201,MATCH(1,(EXCEPCIONES_FECHA!$A$2:$A$201=$A1471)*(EXCEPCIONES_FECHA!$B$2:$B$201=""),0)),IFERROR(INDEX(IF($I1471="FIN",HISTORIAL_HORARIOS!$K$2:$K$201,HISTORIAL_HORARIOS!$G$2:$G$201),MATCH(1,(HISTORIAL_HORARIOS!$A$2:$A$201=$B1471)*(HISTORIAL_HORARIOS!$C$2:$C$201&lt;=$A1471)*(HISTORIAL_HORARIOS!$D$2:$D$201&gt;=$A1471),0)),INDEX(IF($I1471="FIN",PERSONAL!$K$2:$K$80,PERSONAL!$G$2:$G$80),MATCH($B1471,PERSONAL!$A$2:$A$80,0)))))</f>
        <v/>
      </c>
      <c r="O1471" s="53">
        <f t="array" ref="O1471">IFERROR(INDEX(EXCEPCIONES_FECHA!$F$2:$F$201,MATCH(1,(EXCEPCIONES_FECHA!$A$2:$A$201=$A1471)*(EXCEPCIONES_FECHA!$B$2:$B$201=$B1471),0)),IFERROR(INDEX(EXCEPCIONES_FECHA!$F$2:$F$201,MATCH(1,(EXCEPCIONES_FECHA!$A$2:$A$201=$A1471)*(EXCEPCIONES_FECHA!$B$2:$B$201=""),0)),IFERROR(INDEX(IF($I1471="FIN",HISTORIAL_HORARIOS!$L$2:$L$201,HISTORIAL_HORARIOS!$H$2:$H$201),MATCH(1,(HISTORIAL_HORARIOS!$A$2:$A$201=$B1471)*(HISTORIAL_HORARIOS!$C$2:$C$201&lt;=$A1471)*(HISTORIAL_HORARIOS!$D$2:$D$201&gt;=$A1471),0)),INDEX(IF($I1471="FIN",PERSONAL!$L$2:$L$80,PERSONAL!$H$2:$H$80),MATCH($B1471,PERSONAL!$A$2:$A$80,0)))))</f>
        <v/>
      </c>
    </row>
    <row r="1472" ht="15" customHeight="1" s="58">
      <c r="A1472" s="40" t="n"/>
      <c r="B1472" s="38" t="n"/>
      <c r="C1472" s="40" t="n"/>
      <c r="D1472" s="40" t="n"/>
      <c r="E1472" s="34">
        <f t="array" ref="E1472">IF($B1472="","",IFERROR(INDEX(PERSONAL!$B$2:$B$80,MATCH($B1472,PERSONAL!$A$2:$A$80,0)),"NO EXISTE"))</f>
        <v/>
      </c>
      <c r="F1472" s="34">
        <f t="array" ref="F1472">IF($B1472="","",IFERROR(INDEX(PERSONAL!$C$2:$C$80,MATCH($B1472,PERSONAL!$A$2:$A$80,0)),""))</f>
        <v/>
      </c>
      <c r="G1472" s="34">
        <f>IF($A1472="","",CHOOSE(WEEKDAY($A1472,2),"LUNES","MARTES","MIÉRCOLES","JUEVES","VIERNES","SÁBADO","DOMINGO"))</f>
        <v/>
      </c>
      <c r="H1472" s="34">
        <f>IF($A1472="","",CHOOSE(MONTH($A1472),"ENERO","FEBRERO","MARZO","ABRIL","MAYO","JUNIO","JULIO","AGOSTO","SEPTIEMBRE","OCTUBRE","NOVIEMBRE","DICIEMBRE"))</f>
        <v/>
      </c>
      <c r="I1472" s="34">
        <f>IF($A1472="","",IF(OR($G1472="SÁBADO",$G1472="DOMINGO"),"FIN","LV"))</f>
        <v/>
      </c>
      <c r="J1472" s="34">
        <f>IF(OR($A1472="",$B1472=""),"",IF($L1472&lt;&gt;"",UPPER($L1472),IF($C1472="","FALTA",IFERROR(IF($C1472&gt;=$O1472,"ROJO FUERTE",IF($C1472&gt;=$N1472,"ROJO",IF($C1472&gt;=$M1472,"AMARILLO","VERDE"))),"REVISAR"))))</f>
        <v/>
      </c>
      <c r="K1472" s="36">
        <f>IF(OR($C1472="",$D1472=""),"",IF($D1472&gt;=$C1472,($D1472-$C1472)*24,(1-$C1472+$D1472)*24))</f>
        <v/>
      </c>
      <c r="L1472" s="34" t="n"/>
      <c r="M1472" s="53">
        <f t="array" ref="M1472">IFERROR(INDEX(EXCEPCIONES_FECHA!$D$2:$D$201,MATCH(1,(EXCEPCIONES_FECHA!$A$2:$A$201=$A1472)*(EXCEPCIONES_FECHA!$B$2:$B$201=$B1472),0)),IFERROR(INDEX(EXCEPCIONES_FECHA!$D$2:$D$201,MATCH(1,(EXCEPCIONES_FECHA!$A$2:$A$201=$A1472)*(EXCEPCIONES_FECHA!$B$2:$B$201=""),0)),IFERROR(INDEX(IF($I1472="FIN",HISTORIAL_HORARIOS!$J$2:$J$201,HISTORIAL_HORARIOS!$F$2:$F$201),MATCH(1,(HISTORIAL_HORARIOS!$A$2:$A$201=$B1472)*(HISTORIAL_HORARIOS!$C$2:$C$201&lt;=$A1472)*(HISTORIAL_HORARIOS!$D$2:$D$201&gt;=$A1472),0)),INDEX(IF($I1472="FIN",PERSONAL!$J$2:$J$80,PERSONAL!$F$2:$F$80),MATCH($B1472,PERSONAL!$A$2:$A$80,0)))))</f>
        <v/>
      </c>
      <c r="N1472" s="53">
        <f t="array" ref="N1472">IFERROR(INDEX(EXCEPCIONES_FECHA!$E$2:$E$201,MATCH(1,(EXCEPCIONES_FECHA!$A$2:$A$201=$A1472)*(EXCEPCIONES_FECHA!$B$2:$B$201=$B1472),0)),IFERROR(INDEX(EXCEPCIONES_FECHA!$E$2:$E$201,MATCH(1,(EXCEPCIONES_FECHA!$A$2:$A$201=$A1472)*(EXCEPCIONES_FECHA!$B$2:$B$201=""),0)),IFERROR(INDEX(IF($I1472="FIN",HISTORIAL_HORARIOS!$K$2:$K$201,HISTORIAL_HORARIOS!$G$2:$G$201),MATCH(1,(HISTORIAL_HORARIOS!$A$2:$A$201=$B1472)*(HISTORIAL_HORARIOS!$C$2:$C$201&lt;=$A1472)*(HISTORIAL_HORARIOS!$D$2:$D$201&gt;=$A1472),0)),INDEX(IF($I1472="FIN",PERSONAL!$K$2:$K$80,PERSONAL!$G$2:$G$80),MATCH($B1472,PERSONAL!$A$2:$A$80,0)))))</f>
        <v/>
      </c>
      <c r="O1472" s="53">
        <f t="array" ref="O1472">IFERROR(INDEX(EXCEPCIONES_FECHA!$F$2:$F$201,MATCH(1,(EXCEPCIONES_FECHA!$A$2:$A$201=$A1472)*(EXCEPCIONES_FECHA!$B$2:$B$201=$B1472),0)),IFERROR(INDEX(EXCEPCIONES_FECHA!$F$2:$F$201,MATCH(1,(EXCEPCIONES_FECHA!$A$2:$A$201=$A1472)*(EXCEPCIONES_FECHA!$B$2:$B$201=""),0)),IFERROR(INDEX(IF($I1472="FIN",HISTORIAL_HORARIOS!$L$2:$L$201,HISTORIAL_HORARIOS!$H$2:$H$201),MATCH(1,(HISTORIAL_HORARIOS!$A$2:$A$201=$B1472)*(HISTORIAL_HORARIOS!$C$2:$C$201&lt;=$A1472)*(HISTORIAL_HORARIOS!$D$2:$D$201&gt;=$A1472),0)),INDEX(IF($I1472="FIN",PERSONAL!$L$2:$L$80,PERSONAL!$H$2:$H$80),MATCH($B1472,PERSONAL!$A$2:$A$80,0)))))</f>
        <v/>
      </c>
    </row>
    <row r="1473" ht="15" customHeight="1" s="58">
      <c r="A1473" s="40" t="n"/>
      <c r="B1473" s="38" t="n"/>
      <c r="C1473" s="40" t="n"/>
      <c r="D1473" s="40" t="n"/>
      <c r="E1473" s="34">
        <f t="array" ref="E1473">IF($B1473="","",IFERROR(INDEX(PERSONAL!$B$2:$B$80,MATCH($B1473,PERSONAL!$A$2:$A$80,0)),"NO EXISTE"))</f>
        <v/>
      </c>
      <c r="F1473" s="34">
        <f t="array" ref="F1473">IF($B1473="","",IFERROR(INDEX(PERSONAL!$C$2:$C$80,MATCH($B1473,PERSONAL!$A$2:$A$80,0)),""))</f>
        <v/>
      </c>
      <c r="G1473" s="34">
        <f>IF($A1473="","",CHOOSE(WEEKDAY($A1473,2),"LUNES","MARTES","MIÉRCOLES","JUEVES","VIERNES","SÁBADO","DOMINGO"))</f>
        <v/>
      </c>
      <c r="H1473" s="34">
        <f>IF($A1473="","",CHOOSE(MONTH($A1473),"ENERO","FEBRERO","MARZO","ABRIL","MAYO","JUNIO","JULIO","AGOSTO","SEPTIEMBRE","OCTUBRE","NOVIEMBRE","DICIEMBRE"))</f>
        <v/>
      </c>
      <c r="I1473" s="34">
        <f>IF($A1473="","",IF(OR($G1473="SÁBADO",$G1473="DOMINGO"),"FIN","LV"))</f>
        <v/>
      </c>
      <c r="J1473" s="34">
        <f>IF(OR($A1473="",$B1473=""),"",IF($L1473&lt;&gt;"",UPPER($L1473),IF($C1473="","FALTA",IFERROR(IF($C1473&gt;=$O1473,"ROJO FUERTE",IF($C1473&gt;=$N1473,"ROJO",IF($C1473&gt;=$M1473,"AMARILLO","VERDE"))),"REVISAR"))))</f>
        <v/>
      </c>
      <c r="K1473" s="36">
        <f>IF(OR($C1473="",$D1473=""),"",IF($D1473&gt;=$C1473,($D1473-$C1473)*24,(1-$C1473+$D1473)*24))</f>
        <v/>
      </c>
      <c r="L1473" s="34" t="n"/>
      <c r="M1473" s="53">
        <f t="array" ref="M1473">IFERROR(INDEX(EXCEPCIONES_FECHA!$D$2:$D$201,MATCH(1,(EXCEPCIONES_FECHA!$A$2:$A$201=$A1473)*(EXCEPCIONES_FECHA!$B$2:$B$201=$B1473),0)),IFERROR(INDEX(EXCEPCIONES_FECHA!$D$2:$D$201,MATCH(1,(EXCEPCIONES_FECHA!$A$2:$A$201=$A1473)*(EXCEPCIONES_FECHA!$B$2:$B$201=""),0)),IFERROR(INDEX(IF($I1473="FIN",HISTORIAL_HORARIOS!$J$2:$J$201,HISTORIAL_HORARIOS!$F$2:$F$201),MATCH(1,(HISTORIAL_HORARIOS!$A$2:$A$201=$B1473)*(HISTORIAL_HORARIOS!$C$2:$C$201&lt;=$A1473)*(HISTORIAL_HORARIOS!$D$2:$D$201&gt;=$A1473),0)),INDEX(IF($I1473="FIN",PERSONAL!$J$2:$J$80,PERSONAL!$F$2:$F$80),MATCH($B1473,PERSONAL!$A$2:$A$80,0)))))</f>
        <v/>
      </c>
      <c r="N1473" s="53">
        <f t="array" ref="N1473">IFERROR(INDEX(EXCEPCIONES_FECHA!$E$2:$E$201,MATCH(1,(EXCEPCIONES_FECHA!$A$2:$A$201=$A1473)*(EXCEPCIONES_FECHA!$B$2:$B$201=$B1473),0)),IFERROR(INDEX(EXCEPCIONES_FECHA!$E$2:$E$201,MATCH(1,(EXCEPCIONES_FECHA!$A$2:$A$201=$A1473)*(EXCEPCIONES_FECHA!$B$2:$B$201=""),0)),IFERROR(INDEX(IF($I1473="FIN",HISTORIAL_HORARIOS!$K$2:$K$201,HISTORIAL_HORARIOS!$G$2:$G$201),MATCH(1,(HISTORIAL_HORARIOS!$A$2:$A$201=$B1473)*(HISTORIAL_HORARIOS!$C$2:$C$201&lt;=$A1473)*(HISTORIAL_HORARIOS!$D$2:$D$201&gt;=$A1473),0)),INDEX(IF($I1473="FIN",PERSONAL!$K$2:$K$80,PERSONAL!$G$2:$G$80),MATCH($B1473,PERSONAL!$A$2:$A$80,0)))))</f>
        <v/>
      </c>
      <c r="O1473" s="53">
        <f t="array" ref="O1473">IFERROR(INDEX(EXCEPCIONES_FECHA!$F$2:$F$201,MATCH(1,(EXCEPCIONES_FECHA!$A$2:$A$201=$A1473)*(EXCEPCIONES_FECHA!$B$2:$B$201=$B1473),0)),IFERROR(INDEX(EXCEPCIONES_FECHA!$F$2:$F$201,MATCH(1,(EXCEPCIONES_FECHA!$A$2:$A$201=$A1473)*(EXCEPCIONES_FECHA!$B$2:$B$201=""),0)),IFERROR(INDEX(IF($I1473="FIN",HISTORIAL_HORARIOS!$L$2:$L$201,HISTORIAL_HORARIOS!$H$2:$H$201),MATCH(1,(HISTORIAL_HORARIOS!$A$2:$A$201=$B1473)*(HISTORIAL_HORARIOS!$C$2:$C$201&lt;=$A1473)*(HISTORIAL_HORARIOS!$D$2:$D$201&gt;=$A1473),0)),INDEX(IF($I1473="FIN",PERSONAL!$L$2:$L$80,PERSONAL!$H$2:$H$80),MATCH($B1473,PERSONAL!$A$2:$A$80,0)))))</f>
        <v/>
      </c>
    </row>
    <row r="1474" ht="15" customHeight="1" s="58">
      <c r="A1474" s="40" t="n"/>
      <c r="B1474" s="38" t="n"/>
      <c r="C1474" s="40" t="n"/>
      <c r="D1474" s="40" t="n"/>
      <c r="E1474" s="34">
        <f t="array" ref="E1474">IF($B1474="","",IFERROR(INDEX(PERSONAL!$B$2:$B$80,MATCH($B1474,PERSONAL!$A$2:$A$80,0)),"NO EXISTE"))</f>
        <v/>
      </c>
      <c r="F1474" s="34">
        <f t="array" ref="F1474">IF($B1474="","",IFERROR(INDEX(PERSONAL!$C$2:$C$80,MATCH($B1474,PERSONAL!$A$2:$A$80,0)),""))</f>
        <v/>
      </c>
      <c r="G1474" s="34">
        <f>IF($A1474="","",CHOOSE(WEEKDAY($A1474,2),"LUNES","MARTES","MIÉRCOLES","JUEVES","VIERNES","SÁBADO","DOMINGO"))</f>
        <v/>
      </c>
      <c r="H1474" s="34">
        <f>IF($A1474="","",CHOOSE(MONTH($A1474),"ENERO","FEBRERO","MARZO","ABRIL","MAYO","JUNIO","JULIO","AGOSTO","SEPTIEMBRE","OCTUBRE","NOVIEMBRE","DICIEMBRE"))</f>
        <v/>
      </c>
      <c r="I1474" s="34">
        <f>IF($A1474="","",IF(OR($G1474="SÁBADO",$G1474="DOMINGO"),"FIN","LV"))</f>
        <v/>
      </c>
      <c r="J1474" s="34">
        <f>IF(OR($A1474="",$B1474=""),"",IF($L1474&lt;&gt;"",UPPER($L1474),IF($C1474="","FALTA",IFERROR(IF($C1474&gt;=$O1474,"ROJO FUERTE",IF($C1474&gt;=$N1474,"ROJO",IF($C1474&gt;=$M1474,"AMARILLO","VERDE"))),"REVISAR"))))</f>
        <v/>
      </c>
      <c r="K1474" s="36">
        <f>IF(OR($C1474="",$D1474=""),"",IF($D1474&gt;=$C1474,($D1474-$C1474)*24,(1-$C1474+$D1474)*24))</f>
        <v/>
      </c>
      <c r="L1474" s="34" t="n"/>
      <c r="M1474" s="53">
        <f t="array" ref="M1474">IFERROR(INDEX(EXCEPCIONES_FECHA!$D$2:$D$201,MATCH(1,(EXCEPCIONES_FECHA!$A$2:$A$201=$A1474)*(EXCEPCIONES_FECHA!$B$2:$B$201=$B1474),0)),IFERROR(INDEX(EXCEPCIONES_FECHA!$D$2:$D$201,MATCH(1,(EXCEPCIONES_FECHA!$A$2:$A$201=$A1474)*(EXCEPCIONES_FECHA!$B$2:$B$201=""),0)),IFERROR(INDEX(IF($I1474="FIN",HISTORIAL_HORARIOS!$J$2:$J$201,HISTORIAL_HORARIOS!$F$2:$F$201),MATCH(1,(HISTORIAL_HORARIOS!$A$2:$A$201=$B1474)*(HISTORIAL_HORARIOS!$C$2:$C$201&lt;=$A1474)*(HISTORIAL_HORARIOS!$D$2:$D$201&gt;=$A1474),0)),INDEX(IF($I1474="FIN",PERSONAL!$J$2:$J$80,PERSONAL!$F$2:$F$80),MATCH($B1474,PERSONAL!$A$2:$A$80,0)))))</f>
        <v/>
      </c>
      <c r="N1474" s="53">
        <f t="array" ref="N1474">IFERROR(INDEX(EXCEPCIONES_FECHA!$E$2:$E$201,MATCH(1,(EXCEPCIONES_FECHA!$A$2:$A$201=$A1474)*(EXCEPCIONES_FECHA!$B$2:$B$201=$B1474),0)),IFERROR(INDEX(EXCEPCIONES_FECHA!$E$2:$E$201,MATCH(1,(EXCEPCIONES_FECHA!$A$2:$A$201=$A1474)*(EXCEPCIONES_FECHA!$B$2:$B$201=""),0)),IFERROR(INDEX(IF($I1474="FIN",HISTORIAL_HORARIOS!$K$2:$K$201,HISTORIAL_HORARIOS!$G$2:$G$201),MATCH(1,(HISTORIAL_HORARIOS!$A$2:$A$201=$B1474)*(HISTORIAL_HORARIOS!$C$2:$C$201&lt;=$A1474)*(HISTORIAL_HORARIOS!$D$2:$D$201&gt;=$A1474),0)),INDEX(IF($I1474="FIN",PERSONAL!$K$2:$K$80,PERSONAL!$G$2:$G$80),MATCH($B1474,PERSONAL!$A$2:$A$80,0)))))</f>
        <v/>
      </c>
      <c r="O1474" s="53">
        <f t="array" ref="O1474">IFERROR(INDEX(EXCEPCIONES_FECHA!$F$2:$F$201,MATCH(1,(EXCEPCIONES_FECHA!$A$2:$A$201=$A1474)*(EXCEPCIONES_FECHA!$B$2:$B$201=$B1474),0)),IFERROR(INDEX(EXCEPCIONES_FECHA!$F$2:$F$201,MATCH(1,(EXCEPCIONES_FECHA!$A$2:$A$201=$A1474)*(EXCEPCIONES_FECHA!$B$2:$B$201=""),0)),IFERROR(INDEX(IF($I1474="FIN",HISTORIAL_HORARIOS!$L$2:$L$201,HISTORIAL_HORARIOS!$H$2:$H$201),MATCH(1,(HISTORIAL_HORARIOS!$A$2:$A$201=$B1474)*(HISTORIAL_HORARIOS!$C$2:$C$201&lt;=$A1474)*(HISTORIAL_HORARIOS!$D$2:$D$201&gt;=$A1474),0)),INDEX(IF($I1474="FIN",PERSONAL!$L$2:$L$80,PERSONAL!$H$2:$H$80),MATCH($B1474,PERSONAL!$A$2:$A$80,0)))))</f>
        <v/>
      </c>
    </row>
    <row r="1475" ht="15" customHeight="1" s="58">
      <c r="A1475" s="40" t="n"/>
      <c r="B1475" s="38" t="n"/>
      <c r="C1475" s="40" t="n"/>
      <c r="D1475" s="40" t="n"/>
      <c r="E1475" s="34">
        <f t="array" ref="E1475">IF($B1475="","",IFERROR(INDEX(PERSONAL!$B$2:$B$80,MATCH($B1475,PERSONAL!$A$2:$A$80,0)),"NO EXISTE"))</f>
        <v/>
      </c>
      <c r="F1475" s="34">
        <f t="array" ref="F1475">IF($B1475="","",IFERROR(INDEX(PERSONAL!$C$2:$C$80,MATCH($B1475,PERSONAL!$A$2:$A$80,0)),""))</f>
        <v/>
      </c>
      <c r="G1475" s="34">
        <f>IF($A1475="","",CHOOSE(WEEKDAY($A1475,2),"LUNES","MARTES","MIÉRCOLES","JUEVES","VIERNES","SÁBADO","DOMINGO"))</f>
        <v/>
      </c>
      <c r="H1475" s="34">
        <f>IF($A1475="","",CHOOSE(MONTH($A1475),"ENERO","FEBRERO","MARZO","ABRIL","MAYO","JUNIO","JULIO","AGOSTO","SEPTIEMBRE","OCTUBRE","NOVIEMBRE","DICIEMBRE"))</f>
        <v/>
      </c>
      <c r="I1475" s="34">
        <f>IF($A1475="","",IF(OR($G1475="SÁBADO",$G1475="DOMINGO"),"FIN","LV"))</f>
        <v/>
      </c>
      <c r="J1475" s="34">
        <f>IF(OR($A1475="",$B1475=""),"",IF($L1475&lt;&gt;"",UPPER($L1475),IF($C1475="","FALTA",IFERROR(IF($C1475&gt;=$O1475,"ROJO FUERTE",IF($C1475&gt;=$N1475,"ROJO",IF($C1475&gt;=$M1475,"AMARILLO","VERDE"))),"REVISAR"))))</f>
        <v/>
      </c>
      <c r="K1475" s="36">
        <f>IF(OR($C1475="",$D1475=""),"",IF($D1475&gt;=$C1475,($D1475-$C1475)*24,(1-$C1475+$D1475)*24))</f>
        <v/>
      </c>
      <c r="L1475" s="34" t="n"/>
      <c r="M1475" s="53">
        <f t="array" ref="M1475">IFERROR(INDEX(EXCEPCIONES_FECHA!$D$2:$D$201,MATCH(1,(EXCEPCIONES_FECHA!$A$2:$A$201=$A1475)*(EXCEPCIONES_FECHA!$B$2:$B$201=$B1475),0)),IFERROR(INDEX(EXCEPCIONES_FECHA!$D$2:$D$201,MATCH(1,(EXCEPCIONES_FECHA!$A$2:$A$201=$A1475)*(EXCEPCIONES_FECHA!$B$2:$B$201=""),0)),IFERROR(INDEX(IF($I1475="FIN",HISTORIAL_HORARIOS!$J$2:$J$201,HISTORIAL_HORARIOS!$F$2:$F$201),MATCH(1,(HISTORIAL_HORARIOS!$A$2:$A$201=$B1475)*(HISTORIAL_HORARIOS!$C$2:$C$201&lt;=$A1475)*(HISTORIAL_HORARIOS!$D$2:$D$201&gt;=$A1475),0)),INDEX(IF($I1475="FIN",PERSONAL!$J$2:$J$80,PERSONAL!$F$2:$F$80),MATCH($B1475,PERSONAL!$A$2:$A$80,0)))))</f>
        <v/>
      </c>
      <c r="N1475" s="53">
        <f t="array" ref="N1475">IFERROR(INDEX(EXCEPCIONES_FECHA!$E$2:$E$201,MATCH(1,(EXCEPCIONES_FECHA!$A$2:$A$201=$A1475)*(EXCEPCIONES_FECHA!$B$2:$B$201=$B1475),0)),IFERROR(INDEX(EXCEPCIONES_FECHA!$E$2:$E$201,MATCH(1,(EXCEPCIONES_FECHA!$A$2:$A$201=$A1475)*(EXCEPCIONES_FECHA!$B$2:$B$201=""),0)),IFERROR(INDEX(IF($I1475="FIN",HISTORIAL_HORARIOS!$K$2:$K$201,HISTORIAL_HORARIOS!$G$2:$G$201),MATCH(1,(HISTORIAL_HORARIOS!$A$2:$A$201=$B1475)*(HISTORIAL_HORARIOS!$C$2:$C$201&lt;=$A1475)*(HISTORIAL_HORARIOS!$D$2:$D$201&gt;=$A1475),0)),INDEX(IF($I1475="FIN",PERSONAL!$K$2:$K$80,PERSONAL!$G$2:$G$80),MATCH($B1475,PERSONAL!$A$2:$A$80,0)))))</f>
        <v/>
      </c>
      <c r="O1475" s="53">
        <f t="array" ref="O1475">IFERROR(INDEX(EXCEPCIONES_FECHA!$F$2:$F$201,MATCH(1,(EXCEPCIONES_FECHA!$A$2:$A$201=$A1475)*(EXCEPCIONES_FECHA!$B$2:$B$201=$B1475),0)),IFERROR(INDEX(EXCEPCIONES_FECHA!$F$2:$F$201,MATCH(1,(EXCEPCIONES_FECHA!$A$2:$A$201=$A1475)*(EXCEPCIONES_FECHA!$B$2:$B$201=""),0)),IFERROR(INDEX(IF($I1475="FIN",HISTORIAL_HORARIOS!$L$2:$L$201,HISTORIAL_HORARIOS!$H$2:$H$201),MATCH(1,(HISTORIAL_HORARIOS!$A$2:$A$201=$B1475)*(HISTORIAL_HORARIOS!$C$2:$C$201&lt;=$A1475)*(HISTORIAL_HORARIOS!$D$2:$D$201&gt;=$A1475),0)),INDEX(IF($I1475="FIN",PERSONAL!$L$2:$L$80,PERSONAL!$H$2:$H$80),MATCH($B1475,PERSONAL!$A$2:$A$80,0)))))</f>
        <v/>
      </c>
    </row>
    <row r="1476" ht="15" customHeight="1" s="58">
      <c r="A1476" s="40" t="n"/>
      <c r="B1476" s="38" t="n"/>
      <c r="C1476" s="40" t="n"/>
      <c r="D1476" s="40" t="n"/>
      <c r="E1476" s="34">
        <f t="array" ref="E1476">IF($B1476="","",IFERROR(INDEX(PERSONAL!$B$2:$B$80,MATCH($B1476,PERSONAL!$A$2:$A$80,0)),"NO EXISTE"))</f>
        <v/>
      </c>
      <c r="F1476" s="34">
        <f t="array" ref="F1476">IF($B1476="","",IFERROR(INDEX(PERSONAL!$C$2:$C$80,MATCH($B1476,PERSONAL!$A$2:$A$80,0)),""))</f>
        <v/>
      </c>
      <c r="G1476" s="34">
        <f>IF($A1476="","",CHOOSE(WEEKDAY($A1476,2),"LUNES","MARTES","MIÉRCOLES","JUEVES","VIERNES","SÁBADO","DOMINGO"))</f>
        <v/>
      </c>
      <c r="H1476" s="34">
        <f>IF($A1476="","",CHOOSE(MONTH($A1476),"ENERO","FEBRERO","MARZO","ABRIL","MAYO","JUNIO","JULIO","AGOSTO","SEPTIEMBRE","OCTUBRE","NOVIEMBRE","DICIEMBRE"))</f>
        <v/>
      </c>
      <c r="I1476" s="34">
        <f>IF($A1476="","",IF(OR($G1476="SÁBADO",$G1476="DOMINGO"),"FIN","LV"))</f>
        <v/>
      </c>
      <c r="J1476" s="34">
        <f>IF(OR($A1476="",$B1476=""),"",IF($L1476&lt;&gt;"",UPPER($L1476),IF($C1476="","FALTA",IFERROR(IF($C1476&gt;=$O1476,"ROJO FUERTE",IF($C1476&gt;=$N1476,"ROJO",IF($C1476&gt;=$M1476,"AMARILLO","VERDE"))),"REVISAR"))))</f>
        <v/>
      </c>
      <c r="K1476" s="36">
        <f>IF(OR($C1476="",$D1476=""),"",IF($D1476&gt;=$C1476,($D1476-$C1476)*24,(1-$C1476+$D1476)*24))</f>
        <v/>
      </c>
      <c r="L1476" s="34" t="n"/>
      <c r="M1476" s="53">
        <f t="array" ref="M1476">IFERROR(INDEX(EXCEPCIONES_FECHA!$D$2:$D$201,MATCH(1,(EXCEPCIONES_FECHA!$A$2:$A$201=$A1476)*(EXCEPCIONES_FECHA!$B$2:$B$201=$B1476),0)),IFERROR(INDEX(EXCEPCIONES_FECHA!$D$2:$D$201,MATCH(1,(EXCEPCIONES_FECHA!$A$2:$A$201=$A1476)*(EXCEPCIONES_FECHA!$B$2:$B$201=""),0)),IFERROR(INDEX(IF($I1476="FIN",HISTORIAL_HORARIOS!$J$2:$J$201,HISTORIAL_HORARIOS!$F$2:$F$201),MATCH(1,(HISTORIAL_HORARIOS!$A$2:$A$201=$B1476)*(HISTORIAL_HORARIOS!$C$2:$C$201&lt;=$A1476)*(HISTORIAL_HORARIOS!$D$2:$D$201&gt;=$A1476),0)),INDEX(IF($I1476="FIN",PERSONAL!$J$2:$J$80,PERSONAL!$F$2:$F$80),MATCH($B1476,PERSONAL!$A$2:$A$80,0)))))</f>
        <v/>
      </c>
      <c r="N1476" s="53">
        <f t="array" ref="N1476">IFERROR(INDEX(EXCEPCIONES_FECHA!$E$2:$E$201,MATCH(1,(EXCEPCIONES_FECHA!$A$2:$A$201=$A1476)*(EXCEPCIONES_FECHA!$B$2:$B$201=$B1476),0)),IFERROR(INDEX(EXCEPCIONES_FECHA!$E$2:$E$201,MATCH(1,(EXCEPCIONES_FECHA!$A$2:$A$201=$A1476)*(EXCEPCIONES_FECHA!$B$2:$B$201=""),0)),IFERROR(INDEX(IF($I1476="FIN",HISTORIAL_HORARIOS!$K$2:$K$201,HISTORIAL_HORARIOS!$G$2:$G$201),MATCH(1,(HISTORIAL_HORARIOS!$A$2:$A$201=$B1476)*(HISTORIAL_HORARIOS!$C$2:$C$201&lt;=$A1476)*(HISTORIAL_HORARIOS!$D$2:$D$201&gt;=$A1476),0)),INDEX(IF($I1476="FIN",PERSONAL!$K$2:$K$80,PERSONAL!$G$2:$G$80),MATCH($B1476,PERSONAL!$A$2:$A$80,0)))))</f>
        <v/>
      </c>
      <c r="O1476" s="53">
        <f t="array" ref="O1476">IFERROR(INDEX(EXCEPCIONES_FECHA!$F$2:$F$201,MATCH(1,(EXCEPCIONES_FECHA!$A$2:$A$201=$A1476)*(EXCEPCIONES_FECHA!$B$2:$B$201=$B1476),0)),IFERROR(INDEX(EXCEPCIONES_FECHA!$F$2:$F$201,MATCH(1,(EXCEPCIONES_FECHA!$A$2:$A$201=$A1476)*(EXCEPCIONES_FECHA!$B$2:$B$201=""),0)),IFERROR(INDEX(IF($I1476="FIN",HISTORIAL_HORARIOS!$L$2:$L$201,HISTORIAL_HORARIOS!$H$2:$H$201),MATCH(1,(HISTORIAL_HORARIOS!$A$2:$A$201=$B1476)*(HISTORIAL_HORARIOS!$C$2:$C$201&lt;=$A1476)*(HISTORIAL_HORARIOS!$D$2:$D$201&gt;=$A1476),0)),INDEX(IF($I1476="FIN",PERSONAL!$L$2:$L$80,PERSONAL!$H$2:$H$80),MATCH($B1476,PERSONAL!$A$2:$A$80,0)))))</f>
        <v/>
      </c>
    </row>
    <row r="1477" ht="15" customHeight="1" s="58">
      <c r="A1477" s="40" t="n"/>
      <c r="B1477" s="38" t="n"/>
      <c r="C1477" s="40" t="n"/>
      <c r="D1477" s="40" t="n"/>
      <c r="E1477" s="34">
        <f t="array" ref="E1477">IF($B1477="","",IFERROR(INDEX(PERSONAL!$B$2:$B$80,MATCH($B1477,PERSONAL!$A$2:$A$80,0)),"NO EXISTE"))</f>
        <v/>
      </c>
      <c r="F1477" s="34">
        <f t="array" ref="F1477">IF($B1477="","",IFERROR(INDEX(PERSONAL!$C$2:$C$80,MATCH($B1477,PERSONAL!$A$2:$A$80,0)),""))</f>
        <v/>
      </c>
      <c r="G1477" s="34">
        <f>IF($A1477="","",CHOOSE(WEEKDAY($A1477,2),"LUNES","MARTES","MIÉRCOLES","JUEVES","VIERNES","SÁBADO","DOMINGO"))</f>
        <v/>
      </c>
      <c r="H1477" s="34">
        <f>IF($A1477="","",CHOOSE(MONTH($A1477),"ENERO","FEBRERO","MARZO","ABRIL","MAYO","JUNIO","JULIO","AGOSTO","SEPTIEMBRE","OCTUBRE","NOVIEMBRE","DICIEMBRE"))</f>
        <v/>
      </c>
      <c r="I1477" s="34">
        <f>IF($A1477="","",IF(OR($G1477="SÁBADO",$G1477="DOMINGO"),"FIN","LV"))</f>
        <v/>
      </c>
      <c r="J1477" s="34">
        <f>IF(OR($A1477="",$B1477=""),"",IF($L1477&lt;&gt;"",UPPER($L1477),IF($C1477="","FALTA",IFERROR(IF($C1477&gt;=$O1477,"ROJO FUERTE",IF($C1477&gt;=$N1477,"ROJO",IF($C1477&gt;=$M1477,"AMARILLO","VERDE"))),"REVISAR"))))</f>
        <v/>
      </c>
      <c r="K1477" s="36">
        <f>IF(OR($C1477="",$D1477=""),"",IF($D1477&gt;=$C1477,($D1477-$C1477)*24,(1-$C1477+$D1477)*24))</f>
        <v/>
      </c>
      <c r="L1477" s="34" t="n"/>
      <c r="M1477" s="53">
        <f t="array" ref="M1477">IFERROR(INDEX(EXCEPCIONES_FECHA!$D$2:$D$201,MATCH(1,(EXCEPCIONES_FECHA!$A$2:$A$201=$A1477)*(EXCEPCIONES_FECHA!$B$2:$B$201=$B1477),0)),IFERROR(INDEX(EXCEPCIONES_FECHA!$D$2:$D$201,MATCH(1,(EXCEPCIONES_FECHA!$A$2:$A$201=$A1477)*(EXCEPCIONES_FECHA!$B$2:$B$201=""),0)),IFERROR(INDEX(IF($I1477="FIN",HISTORIAL_HORARIOS!$J$2:$J$201,HISTORIAL_HORARIOS!$F$2:$F$201),MATCH(1,(HISTORIAL_HORARIOS!$A$2:$A$201=$B1477)*(HISTORIAL_HORARIOS!$C$2:$C$201&lt;=$A1477)*(HISTORIAL_HORARIOS!$D$2:$D$201&gt;=$A1477),0)),INDEX(IF($I1477="FIN",PERSONAL!$J$2:$J$80,PERSONAL!$F$2:$F$80),MATCH($B1477,PERSONAL!$A$2:$A$80,0)))))</f>
        <v/>
      </c>
      <c r="N1477" s="53">
        <f t="array" ref="N1477">IFERROR(INDEX(EXCEPCIONES_FECHA!$E$2:$E$201,MATCH(1,(EXCEPCIONES_FECHA!$A$2:$A$201=$A1477)*(EXCEPCIONES_FECHA!$B$2:$B$201=$B1477),0)),IFERROR(INDEX(EXCEPCIONES_FECHA!$E$2:$E$201,MATCH(1,(EXCEPCIONES_FECHA!$A$2:$A$201=$A1477)*(EXCEPCIONES_FECHA!$B$2:$B$201=""),0)),IFERROR(INDEX(IF($I1477="FIN",HISTORIAL_HORARIOS!$K$2:$K$201,HISTORIAL_HORARIOS!$G$2:$G$201),MATCH(1,(HISTORIAL_HORARIOS!$A$2:$A$201=$B1477)*(HISTORIAL_HORARIOS!$C$2:$C$201&lt;=$A1477)*(HISTORIAL_HORARIOS!$D$2:$D$201&gt;=$A1477),0)),INDEX(IF($I1477="FIN",PERSONAL!$K$2:$K$80,PERSONAL!$G$2:$G$80),MATCH($B1477,PERSONAL!$A$2:$A$80,0)))))</f>
        <v/>
      </c>
      <c r="O1477" s="53">
        <f t="array" ref="O1477">IFERROR(INDEX(EXCEPCIONES_FECHA!$F$2:$F$201,MATCH(1,(EXCEPCIONES_FECHA!$A$2:$A$201=$A1477)*(EXCEPCIONES_FECHA!$B$2:$B$201=$B1477),0)),IFERROR(INDEX(EXCEPCIONES_FECHA!$F$2:$F$201,MATCH(1,(EXCEPCIONES_FECHA!$A$2:$A$201=$A1477)*(EXCEPCIONES_FECHA!$B$2:$B$201=""),0)),IFERROR(INDEX(IF($I1477="FIN",HISTORIAL_HORARIOS!$L$2:$L$201,HISTORIAL_HORARIOS!$H$2:$H$201),MATCH(1,(HISTORIAL_HORARIOS!$A$2:$A$201=$B1477)*(HISTORIAL_HORARIOS!$C$2:$C$201&lt;=$A1477)*(HISTORIAL_HORARIOS!$D$2:$D$201&gt;=$A1477),0)),INDEX(IF($I1477="FIN",PERSONAL!$L$2:$L$80,PERSONAL!$H$2:$H$80),MATCH($B1477,PERSONAL!$A$2:$A$80,0)))))</f>
        <v/>
      </c>
    </row>
    <row r="1478" ht="15" customHeight="1" s="58">
      <c r="A1478" s="40" t="n"/>
      <c r="B1478" s="38" t="n"/>
      <c r="C1478" s="40" t="n"/>
      <c r="D1478" s="40" t="n"/>
      <c r="E1478" s="34">
        <f t="array" ref="E1478">IF($B1478="","",IFERROR(INDEX(PERSONAL!$B$2:$B$80,MATCH($B1478,PERSONAL!$A$2:$A$80,0)),"NO EXISTE"))</f>
        <v/>
      </c>
      <c r="F1478" s="34">
        <f t="array" ref="F1478">IF($B1478="","",IFERROR(INDEX(PERSONAL!$C$2:$C$80,MATCH($B1478,PERSONAL!$A$2:$A$80,0)),""))</f>
        <v/>
      </c>
      <c r="G1478" s="34">
        <f>IF($A1478="","",CHOOSE(WEEKDAY($A1478,2),"LUNES","MARTES","MIÉRCOLES","JUEVES","VIERNES","SÁBADO","DOMINGO"))</f>
        <v/>
      </c>
      <c r="H1478" s="34">
        <f>IF($A1478="","",CHOOSE(MONTH($A1478),"ENERO","FEBRERO","MARZO","ABRIL","MAYO","JUNIO","JULIO","AGOSTO","SEPTIEMBRE","OCTUBRE","NOVIEMBRE","DICIEMBRE"))</f>
        <v/>
      </c>
      <c r="I1478" s="34">
        <f>IF($A1478="","",IF(OR($G1478="SÁBADO",$G1478="DOMINGO"),"FIN","LV"))</f>
        <v/>
      </c>
      <c r="J1478" s="34">
        <f>IF(OR($A1478="",$B1478=""),"",IF($L1478&lt;&gt;"",UPPER($L1478),IF($C1478="","FALTA",IFERROR(IF($C1478&gt;=$O1478,"ROJO FUERTE",IF($C1478&gt;=$N1478,"ROJO",IF($C1478&gt;=$M1478,"AMARILLO","VERDE"))),"REVISAR"))))</f>
        <v/>
      </c>
      <c r="K1478" s="36">
        <f>IF(OR($C1478="",$D1478=""),"",IF($D1478&gt;=$C1478,($D1478-$C1478)*24,(1-$C1478+$D1478)*24))</f>
        <v/>
      </c>
      <c r="L1478" s="34" t="n"/>
      <c r="M1478" s="53">
        <f t="array" ref="M1478">IFERROR(INDEX(EXCEPCIONES_FECHA!$D$2:$D$201,MATCH(1,(EXCEPCIONES_FECHA!$A$2:$A$201=$A1478)*(EXCEPCIONES_FECHA!$B$2:$B$201=$B1478),0)),IFERROR(INDEX(EXCEPCIONES_FECHA!$D$2:$D$201,MATCH(1,(EXCEPCIONES_FECHA!$A$2:$A$201=$A1478)*(EXCEPCIONES_FECHA!$B$2:$B$201=""),0)),IFERROR(INDEX(IF($I1478="FIN",HISTORIAL_HORARIOS!$J$2:$J$201,HISTORIAL_HORARIOS!$F$2:$F$201),MATCH(1,(HISTORIAL_HORARIOS!$A$2:$A$201=$B1478)*(HISTORIAL_HORARIOS!$C$2:$C$201&lt;=$A1478)*(HISTORIAL_HORARIOS!$D$2:$D$201&gt;=$A1478),0)),INDEX(IF($I1478="FIN",PERSONAL!$J$2:$J$80,PERSONAL!$F$2:$F$80),MATCH($B1478,PERSONAL!$A$2:$A$80,0)))))</f>
        <v/>
      </c>
      <c r="N1478" s="53">
        <f t="array" ref="N1478">IFERROR(INDEX(EXCEPCIONES_FECHA!$E$2:$E$201,MATCH(1,(EXCEPCIONES_FECHA!$A$2:$A$201=$A1478)*(EXCEPCIONES_FECHA!$B$2:$B$201=$B1478),0)),IFERROR(INDEX(EXCEPCIONES_FECHA!$E$2:$E$201,MATCH(1,(EXCEPCIONES_FECHA!$A$2:$A$201=$A1478)*(EXCEPCIONES_FECHA!$B$2:$B$201=""),0)),IFERROR(INDEX(IF($I1478="FIN",HISTORIAL_HORARIOS!$K$2:$K$201,HISTORIAL_HORARIOS!$G$2:$G$201),MATCH(1,(HISTORIAL_HORARIOS!$A$2:$A$201=$B1478)*(HISTORIAL_HORARIOS!$C$2:$C$201&lt;=$A1478)*(HISTORIAL_HORARIOS!$D$2:$D$201&gt;=$A1478),0)),INDEX(IF($I1478="FIN",PERSONAL!$K$2:$K$80,PERSONAL!$G$2:$G$80),MATCH($B1478,PERSONAL!$A$2:$A$80,0)))))</f>
        <v/>
      </c>
      <c r="O1478" s="53">
        <f t="array" ref="O1478">IFERROR(INDEX(EXCEPCIONES_FECHA!$F$2:$F$201,MATCH(1,(EXCEPCIONES_FECHA!$A$2:$A$201=$A1478)*(EXCEPCIONES_FECHA!$B$2:$B$201=$B1478),0)),IFERROR(INDEX(EXCEPCIONES_FECHA!$F$2:$F$201,MATCH(1,(EXCEPCIONES_FECHA!$A$2:$A$201=$A1478)*(EXCEPCIONES_FECHA!$B$2:$B$201=""),0)),IFERROR(INDEX(IF($I1478="FIN",HISTORIAL_HORARIOS!$L$2:$L$201,HISTORIAL_HORARIOS!$H$2:$H$201),MATCH(1,(HISTORIAL_HORARIOS!$A$2:$A$201=$B1478)*(HISTORIAL_HORARIOS!$C$2:$C$201&lt;=$A1478)*(HISTORIAL_HORARIOS!$D$2:$D$201&gt;=$A1478),0)),INDEX(IF($I1478="FIN",PERSONAL!$L$2:$L$80,PERSONAL!$H$2:$H$80),MATCH($B1478,PERSONAL!$A$2:$A$80,0)))))</f>
        <v/>
      </c>
    </row>
    <row r="1479" ht="15" customHeight="1" s="58">
      <c r="A1479" s="40" t="n"/>
      <c r="B1479" s="38" t="n"/>
      <c r="C1479" s="40" t="n"/>
      <c r="D1479" s="40" t="n"/>
      <c r="E1479" s="34">
        <f t="array" ref="E1479">IF($B1479="","",IFERROR(INDEX(PERSONAL!$B$2:$B$80,MATCH($B1479,PERSONAL!$A$2:$A$80,0)),"NO EXISTE"))</f>
        <v/>
      </c>
      <c r="F1479" s="34">
        <f t="array" ref="F1479">IF($B1479="","",IFERROR(INDEX(PERSONAL!$C$2:$C$80,MATCH($B1479,PERSONAL!$A$2:$A$80,0)),""))</f>
        <v/>
      </c>
      <c r="G1479" s="34">
        <f>IF($A1479="","",CHOOSE(WEEKDAY($A1479,2),"LUNES","MARTES","MIÉRCOLES","JUEVES","VIERNES","SÁBADO","DOMINGO"))</f>
        <v/>
      </c>
      <c r="H1479" s="34">
        <f>IF($A1479="","",CHOOSE(MONTH($A1479),"ENERO","FEBRERO","MARZO","ABRIL","MAYO","JUNIO","JULIO","AGOSTO","SEPTIEMBRE","OCTUBRE","NOVIEMBRE","DICIEMBRE"))</f>
        <v/>
      </c>
      <c r="I1479" s="34">
        <f>IF($A1479="","",IF(OR($G1479="SÁBADO",$G1479="DOMINGO"),"FIN","LV"))</f>
        <v/>
      </c>
      <c r="J1479" s="34">
        <f>IF(OR($A1479="",$B1479=""),"",IF($L1479&lt;&gt;"",UPPER($L1479),IF($C1479="","FALTA",IFERROR(IF($C1479&gt;=$O1479,"ROJO FUERTE",IF($C1479&gt;=$N1479,"ROJO",IF($C1479&gt;=$M1479,"AMARILLO","VERDE"))),"REVISAR"))))</f>
        <v/>
      </c>
      <c r="K1479" s="36">
        <f>IF(OR($C1479="",$D1479=""),"",IF($D1479&gt;=$C1479,($D1479-$C1479)*24,(1-$C1479+$D1479)*24))</f>
        <v/>
      </c>
      <c r="L1479" s="34" t="n"/>
      <c r="M1479" s="53">
        <f t="array" ref="M1479">IFERROR(INDEX(EXCEPCIONES_FECHA!$D$2:$D$201,MATCH(1,(EXCEPCIONES_FECHA!$A$2:$A$201=$A1479)*(EXCEPCIONES_FECHA!$B$2:$B$201=$B1479),0)),IFERROR(INDEX(EXCEPCIONES_FECHA!$D$2:$D$201,MATCH(1,(EXCEPCIONES_FECHA!$A$2:$A$201=$A1479)*(EXCEPCIONES_FECHA!$B$2:$B$201=""),0)),IFERROR(INDEX(IF($I1479="FIN",HISTORIAL_HORARIOS!$J$2:$J$201,HISTORIAL_HORARIOS!$F$2:$F$201),MATCH(1,(HISTORIAL_HORARIOS!$A$2:$A$201=$B1479)*(HISTORIAL_HORARIOS!$C$2:$C$201&lt;=$A1479)*(HISTORIAL_HORARIOS!$D$2:$D$201&gt;=$A1479),0)),INDEX(IF($I1479="FIN",PERSONAL!$J$2:$J$80,PERSONAL!$F$2:$F$80),MATCH($B1479,PERSONAL!$A$2:$A$80,0)))))</f>
        <v/>
      </c>
      <c r="N1479" s="53">
        <f t="array" ref="N1479">IFERROR(INDEX(EXCEPCIONES_FECHA!$E$2:$E$201,MATCH(1,(EXCEPCIONES_FECHA!$A$2:$A$201=$A1479)*(EXCEPCIONES_FECHA!$B$2:$B$201=$B1479),0)),IFERROR(INDEX(EXCEPCIONES_FECHA!$E$2:$E$201,MATCH(1,(EXCEPCIONES_FECHA!$A$2:$A$201=$A1479)*(EXCEPCIONES_FECHA!$B$2:$B$201=""),0)),IFERROR(INDEX(IF($I1479="FIN",HISTORIAL_HORARIOS!$K$2:$K$201,HISTORIAL_HORARIOS!$G$2:$G$201),MATCH(1,(HISTORIAL_HORARIOS!$A$2:$A$201=$B1479)*(HISTORIAL_HORARIOS!$C$2:$C$201&lt;=$A1479)*(HISTORIAL_HORARIOS!$D$2:$D$201&gt;=$A1479),0)),INDEX(IF($I1479="FIN",PERSONAL!$K$2:$K$80,PERSONAL!$G$2:$G$80),MATCH($B1479,PERSONAL!$A$2:$A$80,0)))))</f>
        <v/>
      </c>
      <c r="O1479" s="53">
        <f t="array" ref="O1479">IFERROR(INDEX(EXCEPCIONES_FECHA!$F$2:$F$201,MATCH(1,(EXCEPCIONES_FECHA!$A$2:$A$201=$A1479)*(EXCEPCIONES_FECHA!$B$2:$B$201=$B1479),0)),IFERROR(INDEX(EXCEPCIONES_FECHA!$F$2:$F$201,MATCH(1,(EXCEPCIONES_FECHA!$A$2:$A$201=$A1479)*(EXCEPCIONES_FECHA!$B$2:$B$201=""),0)),IFERROR(INDEX(IF($I1479="FIN",HISTORIAL_HORARIOS!$L$2:$L$201,HISTORIAL_HORARIOS!$H$2:$H$201),MATCH(1,(HISTORIAL_HORARIOS!$A$2:$A$201=$B1479)*(HISTORIAL_HORARIOS!$C$2:$C$201&lt;=$A1479)*(HISTORIAL_HORARIOS!$D$2:$D$201&gt;=$A1479),0)),INDEX(IF($I1479="FIN",PERSONAL!$L$2:$L$80,PERSONAL!$H$2:$H$80),MATCH($B1479,PERSONAL!$A$2:$A$80,0)))))</f>
        <v/>
      </c>
    </row>
    <row r="1480" ht="15" customHeight="1" s="58">
      <c r="A1480" s="40" t="n"/>
      <c r="B1480" s="38" t="n"/>
      <c r="C1480" s="40" t="n"/>
      <c r="D1480" s="40" t="n"/>
      <c r="E1480" s="34">
        <f t="array" ref="E1480">IF($B1480="","",IFERROR(INDEX(PERSONAL!$B$2:$B$80,MATCH($B1480,PERSONAL!$A$2:$A$80,0)),"NO EXISTE"))</f>
        <v/>
      </c>
      <c r="F1480" s="34">
        <f t="array" ref="F1480">IF($B1480="","",IFERROR(INDEX(PERSONAL!$C$2:$C$80,MATCH($B1480,PERSONAL!$A$2:$A$80,0)),""))</f>
        <v/>
      </c>
      <c r="G1480" s="34">
        <f>IF($A1480="","",CHOOSE(WEEKDAY($A1480,2),"LUNES","MARTES","MIÉRCOLES","JUEVES","VIERNES","SÁBADO","DOMINGO"))</f>
        <v/>
      </c>
      <c r="H1480" s="34">
        <f>IF($A1480="","",CHOOSE(MONTH($A1480),"ENERO","FEBRERO","MARZO","ABRIL","MAYO","JUNIO","JULIO","AGOSTO","SEPTIEMBRE","OCTUBRE","NOVIEMBRE","DICIEMBRE"))</f>
        <v/>
      </c>
      <c r="I1480" s="34">
        <f>IF($A1480="","",IF(OR($G1480="SÁBADO",$G1480="DOMINGO"),"FIN","LV"))</f>
        <v/>
      </c>
      <c r="J1480" s="34">
        <f>IF(OR($A1480="",$B1480=""),"",IF($L1480&lt;&gt;"",UPPER($L1480),IF($C1480="","FALTA",IFERROR(IF($C1480&gt;=$O1480,"ROJO FUERTE",IF($C1480&gt;=$N1480,"ROJO",IF($C1480&gt;=$M1480,"AMARILLO","VERDE"))),"REVISAR"))))</f>
        <v/>
      </c>
      <c r="K1480" s="36">
        <f>IF(OR($C1480="",$D1480=""),"",IF($D1480&gt;=$C1480,($D1480-$C1480)*24,(1-$C1480+$D1480)*24))</f>
        <v/>
      </c>
      <c r="L1480" s="34" t="n"/>
      <c r="M1480" s="53">
        <f t="array" ref="M1480">IFERROR(INDEX(EXCEPCIONES_FECHA!$D$2:$D$201,MATCH(1,(EXCEPCIONES_FECHA!$A$2:$A$201=$A1480)*(EXCEPCIONES_FECHA!$B$2:$B$201=$B1480),0)),IFERROR(INDEX(EXCEPCIONES_FECHA!$D$2:$D$201,MATCH(1,(EXCEPCIONES_FECHA!$A$2:$A$201=$A1480)*(EXCEPCIONES_FECHA!$B$2:$B$201=""),0)),IFERROR(INDEX(IF($I1480="FIN",HISTORIAL_HORARIOS!$J$2:$J$201,HISTORIAL_HORARIOS!$F$2:$F$201),MATCH(1,(HISTORIAL_HORARIOS!$A$2:$A$201=$B1480)*(HISTORIAL_HORARIOS!$C$2:$C$201&lt;=$A1480)*(HISTORIAL_HORARIOS!$D$2:$D$201&gt;=$A1480),0)),INDEX(IF($I1480="FIN",PERSONAL!$J$2:$J$80,PERSONAL!$F$2:$F$80),MATCH($B1480,PERSONAL!$A$2:$A$80,0)))))</f>
        <v/>
      </c>
      <c r="N1480" s="53">
        <f t="array" ref="N1480">IFERROR(INDEX(EXCEPCIONES_FECHA!$E$2:$E$201,MATCH(1,(EXCEPCIONES_FECHA!$A$2:$A$201=$A1480)*(EXCEPCIONES_FECHA!$B$2:$B$201=$B1480),0)),IFERROR(INDEX(EXCEPCIONES_FECHA!$E$2:$E$201,MATCH(1,(EXCEPCIONES_FECHA!$A$2:$A$201=$A1480)*(EXCEPCIONES_FECHA!$B$2:$B$201=""),0)),IFERROR(INDEX(IF($I1480="FIN",HISTORIAL_HORARIOS!$K$2:$K$201,HISTORIAL_HORARIOS!$G$2:$G$201),MATCH(1,(HISTORIAL_HORARIOS!$A$2:$A$201=$B1480)*(HISTORIAL_HORARIOS!$C$2:$C$201&lt;=$A1480)*(HISTORIAL_HORARIOS!$D$2:$D$201&gt;=$A1480),0)),INDEX(IF($I1480="FIN",PERSONAL!$K$2:$K$80,PERSONAL!$G$2:$G$80),MATCH($B1480,PERSONAL!$A$2:$A$80,0)))))</f>
        <v/>
      </c>
      <c r="O1480" s="53">
        <f t="array" ref="O1480">IFERROR(INDEX(EXCEPCIONES_FECHA!$F$2:$F$201,MATCH(1,(EXCEPCIONES_FECHA!$A$2:$A$201=$A1480)*(EXCEPCIONES_FECHA!$B$2:$B$201=$B1480),0)),IFERROR(INDEX(EXCEPCIONES_FECHA!$F$2:$F$201,MATCH(1,(EXCEPCIONES_FECHA!$A$2:$A$201=$A1480)*(EXCEPCIONES_FECHA!$B$2:$B$201=""),0)),IFERROR(INDEX(IF($I1480="FIN",HISTORIAL_HORARIOS!$L$2:$L$201,HISTORIAL_HORARIOS!$H$2:$H$201),MATCH(1,(HISTORIAL_HORARIOS!$A$2:$A$201=$B1480)*(HISTORIAL_HORARIOS!$C$2:$C$201&lt;=$A1480)*(HISTORIAL_HORARIOS!$D$2:$D$201&gt;=$A1480),0)),INDEX(IF($I1480="FIN",PERSONAL!$L$2:$L$80,PERSONAL!$H$2:$H$80),MATCH($B1480,PERSONAL!$A$2:$A$80,0)))))</f>
        <v/>
      </c>
    </row>
    <row r="1481" ht="15" customHeight="1" s="58">
      <c r="A1481" s="40" t="n"/>
      <c r="B1481" s="38" t="n"/>
      <c r="C1481" s="40" t="n"/>
      <c r="D1481" s="40" t="n"/>
      <c r="E1481" s="34">
        <f t="array" ref="E1481">IF($B1481="","",IFERROR(INDEX(PERSONAL!$B$2:$B$80,MATCH($B1481,PERSONAL!$A$2:$A$80,0)),"NO EXISTE"))</f>
        <v/>
      </c>
      <c r="F1481" s="34">
        <f t="array" ref="F1481">IF($B1481="","",IFERROR(INDEX(PERSONAL!$C$2:$C$80,MATCH($B1481,PERSONAL!$A$2:$A$80,0)),""))</f>
        <v/>
      </c>
      <c r="G1481" s="34">
        <f>IF($A1481="","",CHOOSE(WEEKDAY($A1481,2),"LUNES","MARTES","MIÉRCOLES","JUEVES","VIERNES","SÁBADO","DOMINGO"))</f>
        <v/>
      </c>
      <c r="H1481" s="34">
        <f>IF($A1481="","",CHOOSE(MONTH($A1481),"ENERO","FEBRERO","MARZO","ABRIL","MAYO","JUNIO","JULIO","AGOSTO","SEPTIEMBRE","OCTUBRE","NOVIEMBRE","DICIEMBRE"))</f>
        <v/>
      </c>
      <c r="I1481" s="34">
        <f>IF($A1481="","",IF(OR($G1481="SÁBADO",$G1481="DOMINGO"),"FIN","LV"))</f>
        <v/>
      </c>
      <c r="J1481" s="34">
        <f>IF(OR($A1481="",$B1481=""),"",IF($L1481&lt;&gt;"",UPPER($L1481),IF($C1481="","FALTA",IFERROR(IF($C1481&gt;=$O1481,"ROJO FUERTE",IF($C1481&gt;=$N1481,"ROJO",IF($C1481&gt;=$M1481,"AMARILLO","VERDE"))),"REVISAR"))))</f>
        <v/>
      </c>
      <c r="K1481" s="36">
        <f>IF(OR($C1481="",$D1481=""),"",IF($D1481&gt;=$C1481,($D1481-$C1481)*24,(1-$C1481+$D1481)*24))</f>
        <v/>
      </c>
      <c r="L1481" s="34" t="n"/>
      <c r="M1481" s="53">
        <f t="array" ref="M1481">IFERROR(INDEX(EXCEPCIONES_FECHA!$D$2:$D$201,MATCH(1,(EXCEPCIONES_FECHA!$A$2:$A$201=$A1481)*(EXCEPCIONES_FECHA!$B$2:$B$201=$B1481),0)),IFERROR(INDEX(EXCEPCIONES_FECHA!$D$2:$D$201,MATCH(1,(EXCEPCIONES_FECHA!$A$2:$A$201=$A1481)*(EXCEPCIONES_FECHA!$B$2:$B$201=""),0)),IFERROR(INDEX(IF($I1481="FIN",HISTORIAL_HORARIOS!$J$2:$J$201,HISTORIAL_HORARIOS!$F$2:$F$201),MATCH(1,(HISTORIAL_HORARIOS!$A$2:$A$201=$B1481)*(HISTORIAL_HORARIOS!$C$2:$C$201&lt;=$A1481)*(HISTORIAL_HORARIOS!$D$2:$D$201&gt;=$A1481),0)),INDEX(IF($I1481="FIN",PERSONAL!$J$2:$J$80,PERSONAL!$F$2:$F$80),MATCH($B1481,PERSONAL!$A$2:$A$80,0)))))</f>
        <v/>
      </c>
      <c r="N1481" s="53">
        <f t="array" ref="N1481">IFERROR(INDEX(EXCEPCIONES_FECHA!$E$2:$E$201,MATCH(1,(EXCEPCIONES_FECHA!$A$2:$A$201=$A1481)*(EXCEPCIONES_FECHA!$B$2:$B$201=$B1481),0)),IFERROR(INDEX(EXCEPCIONES_FECHA!$E$2:$E$201,MATCH(1,(EXCEPCIONES_FECHA!$A$2:$A$201=$A1481)*(EXCEPCIONES_FECHA!$B$2:$B$201=""),0)),IFERROR(INDEX(IF($I1481="FIN",HISTORIAL_HORARIOS!$K$2:$K$201,HISTORIAL_HORARIOS!$G$2:$G$201),MATCH(1,(HISTORIAL_HORARIOS!$A$2:$A$201=$B1481)*(HISTORIAL_HORARIOS!$C$2:$C$201&lt;=$A1481)*(HISTORIAL_HORARIOS!$D$2:$D$201&gt;=$A1481),0)),INDEX(IF($I1481="FIN",PERSONAL!$K$2:$K$80,PERSONAL!$G$2:$G$80),MATCH($B1481,PERSONAL!$A$2:$A$80,0)))))</f>
        <v/>
      </c>
      <c r="O1481" s="53">
        <f t="array" ref="O1481">IFERROR(INDEX(EXCEPCIONES_FECHA!$F$2:$F$201,MATCH(1,(EXCEPCIONES_FECHA!$A$2:$A$201=$A1481)*(EXCEPCIONES_FECHA!$B$2:$B$201=$B1481),0)),IFERROR(INDEX(EXCEPCIONES_FECHA!$F$2:$F$201,MATCH(1,(EXCEPCIONES_FECHA!$A$2:$A$201=$A1481)*(EXCEPCIONES_FECHA!$B$2:$B$201=""),0)),IFERROR(INDEX(IF($I1481="FIN",HISTORIAL_HORARIOS!$L$2:$L$201,HISTORIAL_HORARIOS!$H$2:$H$201),MATCH(1,(HISTORIAL_HORARIOS!$A$2:$A$201=$B1481)*(HISTORIAL_HORARIOS!$C$2:$C$201&lt;=$A1481)*(HISTORIAL_HORARIOS!$D$2:$D$201&gt;=$A1481),0)),INDEX(IF($I1481="FIN",PERSONAL!$L$2:$L$80,PERSONAL!$H$2:$H$80),MATCH($B1481,PERSONAL!$A$2:$A$80,0)))))</f>
        <v/>
      </c>
    </row>
    <row r="1482" ht="15" customHeight="1" s="58">
      <c r="A1482" s="40" t="n"/>
      <c r="B1482" s="38" t="n"/>
      <c r="C1482" s="40" t="n"/>
      <c r="D1482" s="40" t="n"/>
      <c r="E1482" s="34">
        <f t="array" ref="E1482">IF($B1482="","",IFERROR(INDEX(PERSONAL!$B$2:$B$80,MATCH($B1482,PERSONAL!$A$2:$A$80,0)),"NO EXISTE"))</f>
        <v/>
      </c>
      <c r="F1482" s="34">
        <f t="array" ref="F1482">IF($B1482="","",IFERROR(INDEX(PERSONAL!$C$2:$C$80,MATCH($B1482,PERSONAL!$A$2:$A$80,0)),""))</f>
        <v/>
      </c>
      <c r="G1482" s="34">
        <f>IF($A1482="","",CHOOSE(WEEKDAY($A1482,2),"LUNES","MARTES","MIÉRCOLES","JUEVES","VIERNES","SÁBADO","DOMINGO"))</f>
        <v/>
      </c>
      <c r="H1482" s="34">
        <f>IF($A1482="","",CHOOSE(MONTH($A1482),"ENERO","FEBRERO","MARZO","ABRIL","MAYO","JUNIO","JULIO","AGOSTO","SEPTIEMBRE","OCTUBRE","NOVIEMBRE","DICIEMBRE"))</f>
        <v/>
      </c>
      <c r="I1482" s="34">
        <f>IF($A1482="","",IF(OR($G1482="SÁBADO",$G1482="DOMINGO"),"FIN","LV"))</f>
        <v/>
      </c>
      <c r="J1482" s="34">
        <f>IF(OR($A1482="",$B1482=""),"",IF($L1482&lt;&gt;"",UPPER($L1482),IF($C1482="","FALTA",IFERROR(IF($C1482&gt;=$O1482,"ROJO FUERTE",IF($C1482&gt;=$N1482,"ROJO",IF($C1482&gt;=$M1482,"AMARILLO","VERDE"))),"REVISAR"))))</f>
        <v/>
      </c>
      <c r="K1482" s="36">
        <f>IF(OR($C1482="",$D1482=""),"",IF($D1482&gt;=$C1482,($D1482-$C1482)*24,(1-$C1482+$D1482)*24))</f>
        <v/>
      </c>
      <c r="L1482" s="34" t="n"/>
      <c r="M1482" s="53">
        <f t="array" ref="M1482">IFERROR(INDEX(EXCEPCIONES_FECHA!$D$2:$D$201,MATCH(1,(EXCEPCIONES_FECHA!$A$2:$A$201=$A1482)*(EXCEPCIONES_FECHA!$B$2:$B$201=$B1482),0)),IFERROR(INDEX(EXCEPCIONES_FECHA!$D$2:$D$201,MATCH(1,(EXCEPCIONES_FECHA!$A$2:$A$201=$A1482)*(EXCEPCIONES_FECHA!$B$2:$B$201=""),0)),IFERROR(INDEX(IF($I1482="FIN",HISTORIAL_HORARIOS!$J$2:$J$201,HISTORIAL_HORARIOS!$F$2:$F$201),MATCH(1,(HISTORIAL_HORARIOS!$A$2:$A$201=$B1482)*(HISTORIAL_HORARIOS!$C$2:$C$201&lt;=$A1482)*(HISTORIAL_HORARIOS!$D$2:$D$201&gt;=$A1482),0)),INDEX(IF($I1482="FIN",PERSONAL!$J$2:$J$80,PERSONAL!$F$2:$F$80),MATCH($B1482,PERSONAL!$A$2:$A$80,0)))))</f>
        <v/>
      </c>
      <c r="N1482" s="53">
        <f t="array" ref="N1482">IFERROR(INDEX(EXCEPCIONES_FECHA!$E$2:$E$201,MATCH(1,(EXCEPCIONES_FECHA!$A$2:$A$201=$A1482)*(EXCEPCIONES_FECHA!$B$2:$B$201=$B1482),0)),IFERROR(INDEX(EXCEPCIONES_FECHA!$E$2:$E$201,MATCH(1,(EXCEPCIONES_FECHA!$A$2:$A$201=$A1482)*(EXCEPCIONES_FECHA!$B$2:$B$201=""),0)),IFERROR(INDEX(IF($I1482="FIN",HISTORIAL_HORARIOS!$K$2:$K$201,HISTORIAL_HORARIOS!$G$2:$G$201),MATCH(1,(HISTORIAL_HORARIOS!$A$2:$A$201=$B1482)*(HISTORIAL_HORARIOS!$C$2:$C$201&lt;=$A1482)*(HISTORIAL_HORARIOS!$D$2:$D$201&gt;=$A1482),0)),INDEX(IF($I1482="FIN",PERSONAL!$K$2:$K$80,PERSONAL!$G$2:$G$80),MATCH($B1482,PERSONAL!$A$2:$A$80,0)))))</f>
        <v/>
      </c>
      <c r="O1482" s="53">
        <f t="array" ref="O1482">IFERROR(INDEX(EXCEPCIONES_FECHA!$F$2:$F$201,MATCH(1,(EXCEPCIONES_FECHA!$A$2:$A$201=$A1482)*(EXCEPCIONES_FECHA!$B$2:$B$201=$B1482),0)),IFERROR(INDEX(EXCEPCIONES_FECHA!$F$2:$F$201,MATCH(1,(EXCEPCIONES_FECHA!$A$2:$A$201=$A1482)*(EXCEPCIONES_FECHA!$B$2:$B$201=""),0)),IFERROR(INDEX(IF($I1482="FIN",HISTORIAL_HORARIOS!$L$2:$L$201,HISTORIAL_HORARIOS!$H$2:$H$201),MATCH(1,(HISTORIAL_HORARIOS!$A$2:$A$201=$B1482)*(HISTORIAL_HORARIOS!$C$2:$C$201&lt;=$A1482)*(HISTORIAL_HORARIOS!$D$2:$D$201&gt;=$A1482),0)),INDEX(IF($I1482="FIN",PERSONAL!$L$2:$L$80,PERSONAL!$H$2:$H$80),MATCH($B1482,PERSONAL!$A$2:$A$80,0)))))</f>
        <v/>
      </c>
    </row>
    <row r="1483" ht="15" customHeight="1" s="58">
      <c r="A1483" s="40" t="n"/>
      <c r="B1483" s="38" t="n"/>
      <c r="C1483" s="40" t="n"/>
      <c r="D1483" s="40" t="n"/>
      <c r="E1483" s="34">
        <f t="array" ref="E1483">IF($B1483="","",IFERROR(INDEX(PERSONAL!$B$2:$B$80,MATCH($B1483,PERSONAL!$A$2:$A$80,0)),"NO EXISTE"))</f>
        <v/>
      </c>
      <c r="F1483" s="34">
        <f t="array" ref="F1483">IF($B1483="","",IFERROR(INDEX(PERSONAL!$C$2:$C$80,MATCH($B1483,PERSONAL!$A$2:$A$80,0)),""))</f>
        <v/>
      </c>
      <c r="G1483" s="34">
        <f>IF($A1483="","",CHOOSE(WEEKDAY($A1483,2),"LUNES","MARTES","MIÉRCOLES","JUEVES","VIERNES","SÁBADO","DOMINGO"))</f>
        <v/>
      </c>
      <c r="H1483" s="34">
        <f>IF($A1483="","",CHOOSE(MONTH($A1483),"ENERO","FEBRERO","MARZO","ABRIL","MAYO","JUNIO","JULIO","AGOSTO","SEPTIEMBRE","OCTUBRE","NOVIEMBRE","DICIEMBRE"))</f>
        <v/>
      </c>
      <c r="I1483" s="34">
        <f>IF($A1483="","",IF(OR($G1483="SÁBADO",$G1483="DOMINGO"),"FIN","LV"))</f>
        <v/>
      </c>
      <c r="J1483" s="34">
        <f>IF(OR($A1483="",$B1483=""),"",IF($L1483&lt;&gt;"",UPPER($L1483),IF($C1483="","FALTA",IFERROR(IF($C1483&gt;=$O1483,"ROJO FUERTE",IF($C1483&gt;=$N1483,"ROJO",IF($C1483&gt;=$M1483,"AMARILLO","VERDE"))),"REVISAR"))))</f>
        <v/>
      </c>
      <c r="K1483" s="36">
        <f>IF(OR($C1483="",$D1483=""),"",IF($D1483&gt;=$C1483,($D1483-$C1483)*24,(1-$C1483+$D1483)*24))</f>
        <v/>
      </c>
      <c r="L1483" s="34" t="n"/>
      <c r="M1483" s="53">
        <f t="array" ref="M1483">IFERROR(INDEX(EXCEPCIONES_FECHA!$D$2:$D$201,MATCH(1,(EXCEPCIONES_FECHA!$A$2:$A$201=$A1483)*(EXCEPCIONES_FECHA!$B$2:$B$201=$B1483),0)),IFERROR(INDEX(EXCEPCIONES_FECHA!$D$2:$D$201,MATCH(1,(EXCEPCIONES_FECHA!$A$2:$A$201=$A1483)*(EXCEPCIONES_FECHA!$B$2:$B$201=""),0)),IFERROR(INDEX(IF($I1483="FIN",HISTORIAL_HORARIOS!$J$2:$J$201,HISTORIAL_HORARIOS!$F$2:$F$201),MATCH(1,(HISTORIAL_HORARIOS!$A$2:$A$201=$B1483)*(HISTORIAL_HORARIOS!$C$2:$C$201&lt;=$A1483)*(HISTORIAL_HORARIOS!$D$2:$D$201&gt;=$A1483),0)),INDEX(IF($I1483="FIN",PERSONAL!$J$2:$J$80,PERSONAL!$F$2:$F$80),MATCH($B1483,PERSONAL!$A$2:$A$80,0)))))</f>
        <v/>
      </c>
      <c r="N1483" s="53">
        <f t="array" ref="N1483">IFERROR(INDEX(EXCEPCIONES_FECHA!$E$2:$E$201,MATCH(1,(EXCEPCIONES_FECHA!$A$2:$A$201=$A1483)*(EXCEPCIONES_FECHA!$B$2:$B$201=$B1483),0)),IFERROR(INDEX(EXCEPCIONES_FECHA!$E$2:$E$201,MATCH(1,(EXCEPCIONES_FECHA!$A$2:$A$201=$A1483)*(EXCEPCIONES_FECHA!$B$2:$B$201=""),0)),IFERROR(INDEX(IF($I1483="FIN",HISTORIAL_HORARIOS!$K$2:$K$201,HISTORIAL_HORARIOS!$G$2:$G$201),MATCH(1,(HISTORIAL_HORARIOS!$A$2:$A$201=$B1483)*(HISTORIAL_HORARIOS!$C$2:$C$201&lt;=$A1483)*(HISTORIAL_HORARIOS!$D$2:$D$201&gt;=$A1483),0)),INDEX(IF($I1483="FIN",PERSONAL!$K$2:$K$80,PERSONAL!$G$2:$G$80),MATCH($B1483,PERSONAL!$A$2:$A$80,0)))))</f>
        <v/>
      </c>
      <c r="O1483" s="53">
        <f t="array" ref="O1483">IFERROR(INDEX(EXCEPCIONES_FECHA!$F$2:$F$201,MATCH(1,(EXCEPCIONES_FECHA!$A$2:$A$201=$A1483)*(EXCEPCIONES_FECHA!$B$2:$B$201=$B1483),0)),IFERROR(INDEX(EXCEPCIONES_FECHA!$F$2:$F$201,MATCH(1,(EXCEPCIONES_FECHA!$A$2:$A$201=$A1483)*(EXCEPCIONES_FECHA!$B$2:$B$201=""),0)),IFERROR(INDEX(IF($I1483="FIN",HISTORIAL_HORARIOS!$L$2:$L$201,HISTORIAL_HORARIOS!$H$2:$H$201),MATCH(1,(HISTORIAL_HORARIOS!$A$2:$A$201=$B1483)*(HISTORIAL_HORARIOS!$C$2:$C$201&lt;=$A1483)*(HISTORIAL_HORARIOS!$D$2:$D$201&gt;=$A1483),0)),INDEX(IF($I1483="FIN",PERSONAL!$L$2:$L$80,PERSONAL!$H$2:$H$80),MATCH($B1483,PERSONAL!$A$2:$A$80,0)))))</f>
        <v/>
      </c>
    </row>
    <row r="1484" ht="15" customHeight="1" s="58">
      <c r="A1484" s="40" t="n"/>
      <c r="B1484" s="38" t="n"/>
      <c r="C1484" s="40" t="n"/>
      <c r="D1484" s="40" t="n"/>
      <c r="E1484" s="34">
        <f t="array" ref="E1484">IF($B1484="","",IFERROR(INDEX(PERSONAL!$B$2:$B$80,MATCH($B1484,PERSONAL!$A$2:$A$80,0)),"NO EXISTE"))</f>
        <v/>
      </c>
      <c r="F1484" s="34">
        <f t="array" ref="F1484">IF($B1484="","",IFERROR(INDEX(PERSONAL!$C$2:$C$80,MATCH($B1484,PERSONAL!$A$2:$A$80,0)),""))</f>
        <v/>
      </c>
      <c r="G1484" s="34">
        <f>IF($A1484="","",CHOOSE(WEEKDAY($A1484,2),"LUNES","MARTES","MIÉRCOLES","JUEVES","VIERNES","SÁBADO","DOMINGO"))</f>
        <v/>
      </c>
      <c r="H1484" s="34">
        <f>IF($A1484="","",CHOOSE(MONTH($A1484),"ENERO","FEBRERO","MARZO","ABRIL","MAYO","JUNIO","JULIO","AGOSTO","SEPTIEMBRE","OCTUBRE","NOVIEMBRE","DICIEMBRE"))</f>
        <v/>
      </c>
      <c r="I1484" s="34">
        <f>IF($A1484="","",IF(OR($G1484="SÁBADO",$G1484="DOMINGO"),"FIN","LV"))</f>
        <v/>
      </c>
      <c r="J1484" s="34">
        <f>IF(OR($A1484="",$B1484=""),"",IF($L1484&lt;&gt;"",UPPER($L1484),IF($C1484="","FALTA",IFERROR(IF($C1484&gt;=$O1484,"ROJO FUERTE",IF($C1484&gt;=$N1484,"ROJO",IF($C1484&gt;=$M1484,"AMARILLO","VERDE"))),"REVISAR"))))</f>
        <v/>
      </c>
      <c r="K1484" s="36">
        <f>IF(OR($C1484="",$D1484=""),"",IF($D1484&gt;=$C1484,($D1484-$C1484)*24,(1-$C1484+$D1484)*24))</f>
        <v/>
      </c>
      <c r="L1484" s="34" t="n"/>
      <c r="M1484" s="53">
        <f t="array" ref="M1484">IFERROR(INDEX(EXCEPCIONES_FECHA!$D$2:$D$201,MATCH(1,(EXCEPCIONES_FECHA!$A$2:$A$201=$A1484)*(EXCEPCIONES_FECHA!$B$2:$B$201=$B1484),0)),IFERROR(INDEX(EXCEPCIONES_FECHA!$D$2:$D$201,MATCH(1,(EXCEPCIONES_FECHA!$A$2:$A$201=$A1484)*(EXCEPCIONES_FECHA!$B$2:$B$201=""),0)),IFERROR(INDEX(IF($I1484="FIN",HISTORIAL_HORARIOS!$J$2:$J$201,HISTORIAL_HORARIOS!$F$2:$F$201),MATCH(1,(HISTORIAL_HORARIOS!$A$2:$A$201=$B1484)*(HISTORIAL_HORARIOS!$C$2:$C$201&lt;=$A1484)*(HISTORIAL_HORARIOS!$D$2:$D$201&gt;=$A1484),0)),INDEX(IF($I1484="FIN",PERSONAL!$J$2:$J$80,PERSONAL!$F$2:$F$80),MATCH($B1484,PERSONAL!$A$2:$A$80,0)))))</f>
        <v/>
      </c>
      <c r="N1484" s="53">
        <f t="array" ref="N1484">IFERROR(INDEX(EXCEPCIONES_FECHA!$E$2:$E$201,MATCH(1,(EXCEPCIONES_FECHA!$A$2:$A$201=$A1484)*(EXCEPCIONES_FECHA!$B$2:$B$201=$B1484),0)),IFERROR(INDEX(EXCEPCIONES_FECHA!$E$2:$E$201,MATCH(1,(EXCEPCIONES_FECHA!$A$2:$A$201=$A1484)*(EXCEPCIONES_FECHA!$B$2:$B$201=""),0)),IFERROR(INDEX(IF($I1484="FIN",HISTORIAL_HORARIOS!$K$2:$K$201,HISTORIAL_HORARIOS!$G$2:$G$201),MATCH(1,(HISTORIAL_HORARIOS!$A$2:$A$201=$B1484)*(HISTORIAL_HORARIOS!$C$2:$C$201&lt;=$A1484)*(HISTORIAL_HORARIOS!$D$2:$D$201&gt;=$A1484),0)),INDEX(IF($I1484="FIN",PERSONAL!$K$2:$K$80,PERSONAL!$G$2:$G$80),MATCH($B1484,PERSONAL!$A$2:$A$80,0)))))</f>
        <v/>
      </c>
      <c r="O1484" s="53">
        <f t="array" ref="O1484">IFERROR(INDEX(EXCEPCIONES_FECHA!$F$2:$F$201,MATCH(1,(EXCEPCIONES_FECHA!$A$2:$A$201=$A1484)*(EXCEPCIONES_FECHA!$B$2:$B$201=$B1484),0)),IFERROR(INDEX(EXCEPCIONES_FECHA!$F$2:$F$201,MATCH(1,(EXCEPCIONES_FECHA!$A$2:$A$201=$A1484)*(EXCEPCIONES_FECHA!$B$2:$B$201=""),0)),IFERROR(INDEX(IF($I1484="FIN",HISTORIAL_HORARIOS!$L$2:$L$201,HISTORIAL_HORARIOS!$H$2:$H$201),MATCH(1,(HISTORIAL_HORARIOS!$A$2:$A$201=$B1484)*(HISTORIAL_HORARIOS!$C$2:$C$201&lt;=$A1484)*(HISTORIAL_HORARIOS!$D$2:$D$201&gt;=$A1484),0)),INDEX(IF($I1484="FIN",PERSONAL!$L$2:$L$80,PERSONAL!$H$2:$H$80),MATCH($B1484,PERSONAL!$A$2:$A$80,0)))))</f>
        <v/>
      </c>
    </row>
    <row r="1485" ht="15" customHeight="1" s="58">
      <c r="A1485" s="40" t="n"/>
      <c r="B1485" s="38" t="n"/>
      <c r="C1485" s="40" t="n"/>
      <c r="D1485" s="40" t="n"/>
      <c r="E1485" s="34">
        <f t="array" ref="E1485">IF($B1485="","",IFERROR(INDEX(PERSONAL!$B$2:$B$80,MATCH($B1485,PERSONAL!$A$2:$A$80,0)),"NO EXISTE"))</f>
        <v/>
      </c>
      <c r="F1485" s="34">
        <f t="array" ref="F1485">IF($B1485="","",IFERROR(INDEX(PERSONAL!$C$2:$C$80,MATCH($B1485,PERSONAL!$A$2:$A$80,0)),""))</f>
        <v/>
      </c>
      <c r="G1485" s="34">
        <f>IF($A1485="","",CHOOSE(WEEKDAY($A1485,2),"LUNES","MARTES","MIÉRCOLES","JUEVES","VIERNES","SÁBADO","DOMINGO"))</f>
        <v/>
      </c>
      <c r="H1485" s="34">
        <f>IF($A1485="","",CHOOSE(MONTH($A1485),"ENERO","FEBRERO","MARZO","ABRIL","MAYO","JUNIO","JULIO","AGOSTO","SEPTIEMBRE","OCTUBRE","NOVIEMBRE","DICIEMBRE"))</f>
        <v/>
      </c>
      <c r="I1485" s="34">
        <f>IF($A1485="","",IF(OR($G1485="SÁBADO",$G1485="DOMINGO"),"FIN","LV"))</f>
        <v/>
      </c>
      <c r="J1485" s="34">
        <f>IF(OR($A1485="",$B1485=""),"",IF($L1485&lt;&gt;"",UPPER($L1485),IF($C1485="","FALTA",IFERROR(IF($C1485&gt;=$O1485,"ROJO FUERTE",IF($C1485&gt;=$N1485,"ROJO",IF($C1485&gt;=$M1485,"AMARILLO","VERDE"))),"REVISAR"))))</f>
        <v/>
      </c>
      <c r="K1485" s="36">
        <f>IF(OR($C1485="",$D1485=""),"",IF($D1485&gt;=$C1485,($D1485-$C1485)*24,(1-$C1485+$D1485)*24))</f>
        <v/>
      </c>
      <c r="L1485" s="34" t="n"/>
      <c r="M1485" s="53">
        <f t="array" ref="M1485">IFERROR(INDEX(EXCEPCIONES_FECHA!$D$2:$D$201,MATCH(1,(EXCEPCIONES_FECHA!$A$2:$A$201=$A1485)*(EXCEPCIONES_FECHA!$B$2:$B$201=$B1485),0)),IFERROR(INDEX(EXCEPCIONES_FECHA!$D$2:$D$201,MATCH(1,(EXCEPCIONES_FECHA!$A$2:$A$201=$A1485)*(EXCEPCIONES_FECHA!$B$2:$B$201=""),0)),IFERROR(INDEX(IF($I1485="FIN",HISTORIAL_HORARIOS!$J$2:$J$201,HISTORIAL_HORARIOS!$F$2:$F$201),MATCH(1,(HISTORIAL_HORARIOS!$A$2:$A$201=$B1485)*(HISTORIAL_HORARIOS!$C$2:$C$201&lt;=$A1485)*(HISTORIAL_HORARIOS!$D$2:$D$201&gt;=$A1485),0)),INDEX(IF($I1485="FIN",PERSONAL!$J$2:$J$80,PERSONAL!$F$2:$F$80),MATCH($B1485,PERSONAL!$A$2:$A$80,0)))))</f>
        <v/>
      </c>
      <c r="N1485" s="53">
        <f t="array" ref="N1485">IFERROR(INDEX(EXCEPCIONES_FECHA!$E$2:$E$201,MATCH(1,(EXCEPCIONES_FECHA!$A$2:$A$201=$A1485)*(EXCEPCIONES_FECHA!$B$2:$B$201=$B1485),0)),IFERROR(INDEX(EXCEPCIONES_FECHA!$E$2:$E$201,MATCH(1,(EXCEPCIONES_FECHA!$A$2:$A$201=$A1485)*(EXCEPCIONES_FECHA!$B$2:$B$201=""),0)),IFERROR(INDEX(IF($I1485="FIN",HISTORIAL_HORARIOS!$K$2:$K$201,HISTORIAL_HORARIOS!$G$2:$G$201),MATCH(1,(HISTORIAL_HORARIOS!$A$2:$A$201=$B1485)*(HISTORIAL_HORARIOS!$C$2:$C$201&lt;=$A1485)*(HISTORIAL_HORARIOS!$D$2:$D$201&gt;=$A1485),0)),INDEX(IF($I1485="FIN",PERSONAL!$K$2:$K$80,PERSONAL!$G$2:$G$80),MATCH($B1485,PERSONAL!$A$2:$A$80,0)))))</f>
        <v/>
      </c>
      <c r="O1485" s="53">
        <f t="array" ref="O1485">IFERROR(INDEX(EXCEPCIONES_FECHA!$F$2:$F$201,MATCH(1,(EXCEPCIONES_FECHA!$A$2:$A$201=$A1485)*(EXCEPCIONES_FECHA!$B$2:$B$201=$B1485),0)),IFERROR(INDEX(EXCEPCIONES_FECHA!$F$2:$F$201,MATCH(1,(EXCEPCIONES_FECHA!$A$2:$A$201=$A1485)*(EXCEPCIONES_FECHA!$B$2:$B$201=""),0)),IFERROR(INDEX(IF($I1485="FIN",HISTORIAL_HORARIOS!$L$2:$L$201,HISTORIAL_HORARIOS!$H$2:$H$201),MATCH(1,(HISTORIAL_HORARIOS!$A$2:$A$201=$B1485)*(HISTORIAL_HORARIOS!$C$2:$C$201&lt;=$A1485)*(HISTORIAL_HORARIOS!$D$2:$D$201&gt;=$A1485),0)),INDEX(IF($I1485="FIN",PERSONAL!$L$2:$L$80,PERSONAL!$H$2:$H$80),MATCH($B1485,PERSONAL!$A$2:$A$80,0)))))</f>
        <v/>
      </c>
    </row>
    <row r="1486" ht="15" customHeight="1" s="58">
      <c r="A1486" s="40" t="n"/>
      <c r="B1486" s="38" t="n"/>
      <c r="C1486" s="40" t="n"/>
      <c r="D1486" s="40" t="n"/>
      <c r="E1486" s="34">
        <f t="array" ref="E1486">IF($B1486="","",IFERROR(INDEX(PERSONAL!$B$2:$B$80,MATCH($B1486,PERSONAL!$A$2:$A$80,0)),"NO EXISTE"))</f>
        <v/>
      </c>
      <c r="F1486" s="34">
        <f t="array" ref="F1486">IF($B1486="","",IFERROR(INDEX(PERSONAL!$C$2:$C$80,MATCH($B1486,PERSONAL!$A$2:$A$80,0)),""))</f>
        <v/>
      </c>
      <c r="G1486" s="34">
        <f>IF($A1486="","",CHOOSE(WEEKDAY($A1486,2),"LUNES","MARTES","MIÉRCOLES","JUEVES","VIERNES","SÁBADO","DOMINGO"))</f>
        <v/>
      </c>
      <c r="H1486" s="34">
        <f>IF($A1486="","",CHOOSE(MONTH($A1486),"ENERO","FEBRERO","MARZO","ABRIL","MAYO","JUNIO","JULIO","AGOSTO","SEPTIEMBRE","OCTUBRE","NOVIEMBRE","DICIEMBRE"))</f>
        <v/>
      </c>
      <c r="I1486" s="34">
        <f>IF($A1486="","",IF(OR($G1486="SÁBADO",$G1486="DOMINGO"),"FIN","LV"))</f>
        <v/>
      </c>
      <c r="J1486" s="34">
        <f>IF(OR($A1486="",$B1486=""),"",IF($L1486&lt;&gt;"",UPPER($L1486),IF($C1486="","FALTA",IFERROR(IF($C1486&gt;=$O1486,"ROJO FUERTE",IF($C1486&gt;=$N1486,"ROJO",IF($C1486&gt;=$M1486,"AMARILLO","VERDE"))),"REVISAR"))))</f>
        <v/>
      </c>
      <c r="K1486" s="36">
        <f>IF(OR($C1486="",$D1486=""),"",IF($D1486&gt;=$C1486,($D1486-$C1486)*24,(1-$C1486+$D1486)*24))</f>
        <v/>
      </c>
      <c r="L1486" s="34" t="n"/>
      <c r="M1486" s="53">
        <f t="array" ref="M1486">IFERROR(INDEX(EXCEPCIONES_FECHA!$D$2:$D$201,MATCH(1,(EXCEPCIONES_FECHA!$A$2:$A$201=$A1486)*(EXCEPCIONES_FECHA!$B$2:$B$201=$B1486),0)),IFERROR(INDEX(EXCEPCIONES_FECHA!$D$2:$D$201,MATCH(1,(EXCEPCIONES_FECHA!$A$2:$A$201=$A1486)*(EXCEPCIONES_FECHA!$B$2:$B$201=""),0)),IFERROR(INDEX(IF($I1486="FIN",HISTORIAL_HORARIOS!$J$2:$J$201,HISTORIAL_HORARIOS!$F$2:$F$201),MATCH(1,(HISTORIAL_HORARIOS!$A$2:$A$201=$B1486)*(HISTORIAL_HORARIOS!$C$2:$C$201&lt;=$A1486)*(HISTORIAL_HORARIOS!$D$2:$D$201&gt;=$A1486),0)),INDEX(IF($I1486="FIN",PERSONAL!$J$2:$J$80,PERSONAL!$F$2:$F$80),MATCH($B1486,PERSONAL!$A$2:$A$80,0)))))</f>
        <v/>
      </c>
      <c r="N1486" s="53">
        <f t="array" ref="N1486">IFERROR(INDEX(EXCEPCIONES_FECHA!$E$2:$E$201,MATCH(1,(EXCEPCIONES_FECHA!$A$2:$A$201=$A1486)*(EXCEPCIONES_FECHA!$B$2:$B$201=$B1486),0)),IFERROR(INDEX(EXCEPCIONES_FECHA!$E$2:$E$201,MATCH(1,(EXCEPCIONES_FECHA!$A$2:$A$201=$A1486)*(EXCEPCIONES_FECHA!$B$2:$B$201=""),0)),IFERROR(INDEX(IF($I1486="FIN",HISTORIAL_HORARIOS!$K$2:$K$201,HISTORIAL_HORARIOS!$G$2:$G$201),MATCH(1,(HISTORIAL_HORARIOS!$A$2:$A$201=$B1486)*(HISTORIAL_HORARIOS!$C$2:$C$201&lt;=$A1486)*(HISTORIAL_HORARIOS!$D$2:$D$201&gt;=$A1486),0)),INDEX(IF($I1486="FIN",PERSONAL!$K$2:$K$80,PERSONAL!$G$2:$G$80),MATCH($B1486,PERSONAL!$A$2:$A$80,0)))))</f>
        <v/>
      </c>
      <c r="O1486" s="53">
        <f t="array" ref="O1486">IFERROR(INDEX(EXCEPCIONES_FECHA!$F$2:$F$201,MATCH(1,(EXCEPCIONES_FECHA!$A$2:$A$201=$A1486)*(EXCEPCIONES_FECHA!$B$2:$B$201=$B1486),0)),IFERROR(INDEX(EXCEPCIONES_FECHA!$F$2:$F$201,MATCH(1,(EXCEPCIONES_FECHA!$A$2:$A$201=$A1486)*(EXCEPCIONES_FECHA!$B$2:$B$201=""),0)),IFERROR(INDEX(IF($I1486="FIN",HISTORIAL_HORARIOS!$L$2:$L$201,HISTORIAL_HORARIOS!$H$2:$H$201),MATCH(1,(HISTORIAL_HORARIOS!$A$2:$A$201=$B1486)*(HISTORIAL_HORARIOS!$C$2:$C$201&lt;=$A1486)*(HISTORIAL_HORARIOS!$D$2:$D$201&gt;=$A1486),0)),INDEX(IF($I1486="FIN",PERSONAL!$L$2:$L$80,PERSONAL!$H$2:$H$80),MATCH($B1486,PERSONAL!$A$2:$A$80,0)))))</f>
        <v/>
      </c>
    </row>
    <row r="1487" ht="15" customHeight="1" s="58">
      <c r="A1487" s="40" t="n"/>
      <c r="B1487" s="38" t="n"/>
      <c r="C1487" s="40" t="n"/>
      <c r="D1487" s="40" t="n"/>
      <c r="E1487" s="34">
        <f t="array" ref="E1487">IF($B1487="","",IFERROR(INDEX(PERSONAL!$B$2:$B$80,MATCH($B1487,PERSONAL!$A$2:$A$80,0)),"NO EXISTE"))</f>
        <v/>
      </c>
      <c r="F1487" s="34">
        <f t="array" ref="F1487">IF($B1487="","",IFERROR(INDEX(PERSONAL!$C$2:$C$80,MATCH($B1487,PERSONAL!$A$2:$A$80,0)),""))</f>
        <v/>
      </c>
      <c r="G1487" s="34">
        <f>IF($A1487="","",CHOOSE(WEEKDAY($A1487,2),"LUNES","MARTES","MIÉRCOLES","JUEVES","VIERNES","SÁBADO","DOMINGO"))</f>
        <v/>
      </c>
      <c r="H1487" s="34">
        <f>IF($A1487="","",CHOOSE(MONTH($A1487),"ENERO","FEBRERO","MARZO","ABRIL","MAYO","JUNIO","JULIO","AGOSTO","SEPTIEMBRE","OCTUBRE","NOVIEMBRE","DICIEMBRE"))</f>
        <v/>
      </c>
      <c r="I1487" s="34">
        <f>IF($A1487="","",IF(OR($G1487="SÁBADO",$G1487="DOMINGO"),"FIN","LV"))</f>
        <v/>
      </c>
      <c r="J1487" s="34">
        <f>IF(OR($A1487="",$B1487=""),"",IF($L1487&lt;&gt;"",UPPER($L1487),IF($C1487="","FALTA",IFERROR(IF($C1487&gt;=$O1487,"ROJO FUERTE",IF($C1487&gt;=$N1487,"ROJO",IF($C1487&gt;=$M1487,"AMARILLO","VERDE"))),"REVISAR"))))</f>
        <v/>
      </c>
      <c r="K1487" s="36">
        <f>IF(OR($C1487="",$D1487=""),"",IF($D1487&gt;=$C1487,($D1487-$C1487)*24,(1-$C1487+$D1487)*24))</f>
        <v/>
      </c>
      <c r="L1487" s="34" t="n"/>
      <c r="M1487" s="53">
        <f t="array" ref="M1487">IFERROR(INDEX(EXCEPCIONES_FECHA!$D$2:$D$201,MATCH(1,(EXCEPCIONES_FECHA!$A$2:$A$201=$A1487)*(EXCEPCIONES_FECHA!$B$2:$B$201=$B1487),0)),IFERROR(INDEX(EXCEPCIONES_FECHA!$D$2:$D$201,MATCH(1,(EXCEPCIONES_FECHA!$A$2:$A$201=$A1487)*(EXCEPCIONES_FECHA!$B$2:$B$201=""),0)),IFERROR(INDEX(IF($I1487="FIN",HISTORIAL_HORARIOS!$J$2:$J$201,HISTORIAL_HORARIOS!$F$2:$F$201),MATCH(1,(HISTORIAL_HORARIOS!$A$2:$A$201=$B1487)*(HISTORIAL_HORARIOS!$C$2:$C$201&lt;=$A1487)*(HISTORIAL_HORARIOS!$D$2:$D$201&gt;=$A1487),0)),INDEX(IF($I1487="FIN",PERSONAL!$J$2:$J$80,PERSONAL!$F$2:$F$80),MATCH($B1487,PERSONAL!$A$2:$A$80,0)))))</f>
        <v/>
      </c>
      <c r="N1487" s="53">
        <f t="array" ref="N1487">IFERROR(INDEX(EXCEPCIONES_FECHA!$E$2:$E$201,MATCH(1,(EXCEPCIONES_FECHA!$A$2:$A$201=$A1487)*(EXCEPCIONES_FECHA!$B$2:$B$201=$B1487),0)),IFERROR(INDEX(EXCEPCIONES_FECHA!$E$2:$E$201,MATCH(1,(EXCEPCIONES_FECHA!$A$2:$A$201=$A1487)*(EXCEPCIONES_FECHA!$B$2:$B$201=""),0)),IFERROR(INDEX(IF($I1487="FIN",HISTORIAL_HORARIOS!$K$2:$K$201,HISTORIAL_HORARIOS!$G$2:$G$201),MATCH(1,(HISTORIAL_HORARIOS!$A$2:$A$201=$B1487)*(HISTORIAL_HORARIOS!$C$2:$C$201&lt;=$A1487)*(HISTORIAL_HORARIOS!$D$2:$D$201&gt;=$A1487),0)),INDEX(IF($I1487="FIN",PERSONAL!$K$2:$K$80,PERSONAL!$G$2:$G$80),MATCH($B1487,PERSONAL!$A$2:$A$80,0)))))</f>
        <v/>
      </c>
      <c r="O1487" s="53">
        <f t="array" ref="O1487">IFERROR(INDEX(EXCEPCIONES_FECHA!$F$2:$F$201,MATCH(1,(EXCEPCIONES_FECHA!$A$2:$A$201=$A1487)*(EXCEPCIONES_FECHA!$B$2:$B$201=$B1487),0)),IFERROR(INDEX(EXCEPCIONES_FECHA!$F$2:$F$201,MATCH(1,(EXCEPCIONES_FECHA!$A$2:$A$201=$A1487)*(EXCEPCIONES_FECHA!$B$2:$B$201=""),0)),IFERROR(INDEX(IF($I1487="FIN",HISTORIAL_HORARIOS!$L$2:$L$201,HISTORIAL_HORARIOS!$H$2:$H$201),MATCH(1,(HISTORIAL_HORARIOS!$A$2:$A$201=$B1487)*(HISTORIAL_HORARIOS!$C$2:$C$201&lt;=$A1487)*(HISTORIAL_HORARIOS!$D$2:$D$201&gt;=$A1487),0)),INDEX(IF($I1487="FIN",PERSONAL!$L$2:$L$80,PERSONAL!$H$2:$H$80),MATCH($B1487,PERSONAL!$A$2:$A$80,0)))))</f>
        <v/>
      </c>
    </row>
    <row r="1488" ht="15" customHeight="1" s="58">
      <c r="A1488" s="40" t="n"/>
      <c r="B1488" s="38" t="n"/>
      <c r="C1488" s="40" t="n"/>
      <c r="D1488" s="40" t="n"/>
      <c r="E1488" s="34">
        <f t="array" ref="E1488">IF($B1488="","",IFERROR(INDEX(PERSONAL!$B$2:$B$80,MATCH($B1488,PERSONAL!$A$2:$A$80,0)),"NO EXISTE"))</f>
        <v/>
      </c>
      <c r="F1488" s="34">
        <f t="array" ref="F1488">IF($B1488="","",IFERROR(INDEX(PERSONAL!$C$2:$C$80,MATCH($B1488,PERSONAL!$A$2:$A$80,0)),""))</f>
        <v/>
      </c>
      <c r="G1488" s="34">
        <f>IF($A1488="","",CHOOSE(WEEKDAY($A1488,2),"LUNES","MARTES","MIÉRCOLES","JUEVES","VIERNES","SÁBADO","DOMINGO"))</f>
        <v/>
      </c>
      <c r="H1488" s="34">
        <f>IF($A1488="","",CHOOSE(MONTH($A1488),"ENERO","FEBRERO","MARZO","ABRIL","MAYO","JUNIO","JULIO","AGOSTO","SEPTIEMBRE","OCTUBRE","NOVIEMBRE","DICIEMBRE"))</f>
        <v/>
      </c>
      <c r="I1488" s="34">
        <f>IF($A1488="","",IF(OR($G1488="SÁBADO",$G1488="DOMINGO"),"FIN","LV"))</f>
        <v/>
      </c>
      <c r="J1488" s="34">
        <f>IF(OR($A1488="",$B1488=""),"",IF($L1488&lt;&gt;"",UPPER($L1488),IF($C1488="","FALTA",IFERROR(IF($C1488&gt;=$O1488,"ROJO FUERTE",IF($C1488&gt;=$N1488,"ROJO",IF($C1488&gt;=$M1488,"AMARILLO","VERDE"))),"REVISAR"))))</f>
        <v/>
      </c>
      <c r="K1488" s="36">
        <f>IF(OR($C1488="",$D1488=""),"",IF($D1488&gt;=$C1488,($D1488-$C1488)*24,(1-$C1488+$D1488)*24))</f>
        <v/>
      </c>
      <c r="L1488" s="34" t="n"/>
      <c r="M1488" s="53">
        <f t="array" ref="M1488">IFERROR(INDEX(EXCEPCIONES_FECHA!$D$2:$D$201,MATCH(1,(EXCEPCIONES_FECHA!$A$2:$A$201=$A1488)*(EXCEPCIONES_FECHA!$B$2:$B$201=$B1488),0)),IFERROR(INDEX(EXCEPCIONES_FECHA!$D$2:$D$201,MATCH(1,(EXCEPCIONES_FECHA!$A$2:$A$201=$A1488)*(EXCEPCIONES_FECHA!$B$2:$B$201=""),0)),IFERROR(INDEX(IF($I1488="FIN",HISTORIAL_HORARIOS!$J$2:$J$201,HISTORIAL_HORARIOS!$F$2:$F$201),MATCH(1,(HISTORIAL_HORARIOS!$A$2:$A$201=$B1488)*(HISTORIAL_HORARIOS!$C$2:$C$201&lt;=$A1488)*(HISTORIAL_HORARIOS!$D$2:$D$201&gt;=$A1488),0)),INDEX(IF($I1488="FIN",PERSONAL!$J$2:$J$80,PERSONAL!$F$2:$F$80),MATCH($B1488,PERSONAL!$A$2:$A$80,0)))))</f>
        <v/>
      </c>
      <c r="N1488" s="53">
        <f t="array" ref="N1488">IFERROR(INDEX(EXCEPCIONES_FECHA!$E$2:$E$201,MATCH(1,(EXCEPCIONES_FECHA!$A$2:$A$201=$A1488)*(EXCEPCIONES_FECHA!$B$2:$B$201=$B1488),0)),IFERROR(INDEX(EXCEPCIONES_FECHA!$E$2:$E$201,MATCH(1,(EXCEPCIONES_FECHA!$A$2:$A$201=$A1488)*(EXCEPCIONES_FECHA!$B$2:$B$201=""),0)),IFERROR(INDEX(IF($I1488="FIN",HISTORIAL_HORARIOS!$K$2:$K$201,HISTORIAL_HORARIOS!$G$2:$G$201),MATCH(1,(HISTORIAL_HORARIOS!$A$2:$A$201=$B1488)*(HISTORIAL_HORARIOS!$C$2:$C$201&lt;=$A1488)*(HISTORIAL_HORARIOS!$D$2:$D$201&gt;=$A1488),0)),INDEX(IF($I1488="FIN",PERSONAL!$K$2:$K$80,PERSONAL!$G$2:$G$80),MATCH($B1488,PERSONAL!$A$2:$A$80,0)))))</f>
        <v/>
      </c>
      <c r="O1488" s="53">
        <f t="array" ref="O1488">IFERROR(INDEX(EXCEPCIONES_FECHA!$F$2:$F$201,MATCH(1,(EXCEPCIONES_FECHA!$A$2:$A$201=$A1488)*(EXCEPCIONES_FECHA!$B$2:$B$201=$B1488),0)),IFERROR(INDEX(EXCEPCIONES_FECHA!$F$2:$F$201,MATCH(1,(EXCEPCIONES_FECHA!$A$2:$A$201=$A1488)*(EXCEPCIONES_FECHA!$B$2:$B$201=""),0)),IFERROR(INDEX(IF($I1488="FIN",HISTORIAL_HORARIOS!$L$2:$L$201,HISTORIAL_HORARIOS!$H$2:$H$201),MATCH(1,(HISTORIAL_HORARIOS!$A$2:$A$201=$B1488)*(HISTORIAL_HORARIOS!$C$2:$C$201&lt;=$A1488)*(HISTORIAL_HORARIOS!$D$2:$D$201&gt;=$A1488),0)),INDEX(IF($I1488="FIN",PERSONAL!$L$2:$L$80,PERSONAL!$H$2:$H$80),MATCH($B1488,PERSONAL!$A$2:$A$80,0)))))</f>
        <v/>
      </c>
    </row>
    <row r="1489" ht="15" customHeight="1" s="58">
      <c r="A1489" s="40" t="n"/>
      <c r="B1489" s="38" t="n"/>
      <c r="C1489" s="40" t="n"/>
      <c r="D1489" s="40" t="n"/>
      <c r="E1489" s="34">
        <f t="array" ref="E1489">IF($B1489="","",IFERROR(INDEX(PERSONAL!$B$2:$B$80,MATCH($B1489,PERSONAL!$A$2:$A$80,0)),"NO EXISTE"))</f>
        <v/>
      </c>
      <c r="F1489" s="34">
        <f t="array" ref="F1489">IF($B1489="","",IFERROR(INDEX(PERSONAL!$C$2:$C$80,MATCH($B1489,PERSONAL!$A$2:$A$80,0)),""))</f>
        <v/>
      </c>
      <c r="G1489" s="34">
        <f>IF($A1489="","",CHOOSE(WEEKDAY($A1489,2),"LUNES","MARTES","MIÉRCOLES","JUEVES","VIERNES","SÁBADO","DOMINGO"))</f>
        <v/>
      </c>
      <c r="H1489" s="34">
        <f>IF($A1489="","",CHOOSE(MONTH($A1489),"ENERO","FEBRERO","MARZO","ABRIL","MAYO","JUNIO","JULIO","AGOSTO","SEPTIEMBRE","OCTUBRE","NOVIEMBRE","DICIEMBRE"))</f>
        <v/>
      </c>
      <c r="I1489" s="34">
        <f>IF($A1489="","",IF(OR($G1489="SÁBADO",$G1489="DOMINGO"),"FIN","LV"))</f>
        <v/>
      </c>
      <c r="J1489" s="34">
        <f>IF(OR($A1489="",$B1489=""),"",IF($L1489&lt;&gt;"",UPPER($L1489),IF($C1489="","FALTA",IFERROR(IF($C1489&gt;=$O1489,"ROJO FUERTE",IF($C1489&gt;=$N1489,"ROJO",IF($C1489&gt;=$M1489,"AMARILLO","VERDE"))),"REVISAR"))))</f>
        <v/>
      </c>
      <c r="K1489" s="36">
        <f>IF(OR($C1489="",$D1489=""),"",IF($D1489&gt;=$C1489,($D1489-$C1489)*24,(1-$C1489+$D1489)*24))</f>
        <v/>
      </c>
      <c r="L1489" s="34" t="n"/>
      <c r="M1489" s="53">
        <f t="array" ref="M1489">IFERROR(INDEX(EXCEPCIONES_FECHA!$D$2:$D$201,MATCH(1,(EXCEPCIONES_FECHA!$A$2:$A$201=$A1489)*(EXCEPCIONES_FECHA!$B$2:$B$201=$B1489),0)),IFERROR(INDEX(EXCEPCIONES_FECHA!$D$2:$D$201,MATCH(1,(EXCEPCIONES_FECHA!$A$2:$A$201=$A1489)*(EXCEPCIONES_FECHA!$B$2:$B$201=""),0)),IFERROR(INDEX(IF($I1489="FIN",HISTORIAL_HORARIOS!$J$2:$J$201,HISTORIAL_HORARIOS!$F$2:$F$201),MATCH(1,(HISTORIAL_HORARIOS!$A$2:$A$201=$B1489)*(HISTORIAL_HORARIOS!$C$2:$C$201&lt;=$A1489)*(HISTORIAL_HORARIOS!$D$2:$D$201&gt;=$A1489),0)),INDEX(IF($I1489="FIN",PERSONAL!$J$2:$J$80,PERSONAL!$F$2:$F$80),MATCH($B1489,PERSONAL!$A$2:$A$80,0)))))</f>
        <v/>
      </c>
      <c r="N1489" s="53">
        <f t="array" ref="N1489">IFERROR(INDEX(EXCEPCIONES_FECHA!$E$2:$E$201,MATCH(1,(EXCEPCIONES_FECHA!$A$2:$A$201=$A1489)*(EXCEPCIONES_FECHA!$B$2:$B$201=$B1489),0)),IFERROR(INDEX(EXCEPCIONES_FECHA!$E$2:$E$201,MATCH(1,(EXCEPCIONES_FECHA!$A$2:$A$201=$A1489)*(EXCEPCIONES_FECHA!$B$2:$B$201=""),0)),IFERROR(INDEX(IF($I1489="FIN",HISTORIAL_HORARIOS!$K$2:$K$201,HISTORIAL_HORARIOS!$G$2:$G$201),MATCH(1,(HISTORIAL_HORARIOS!$A$2:$A$201=$B1489)*(HISTORIAL_HORARIOS!$C$2:$C$201&lt;=$A1489)*(HISTORIAL_HORARIOS!$D$2:$D$201&gt;=$A1489),0)),INDEX(IF($I1489="FIN",PERSONAL!$K$2:$K$80,PERSONAL!$G$2:$G$80),MATCH($B1489,PERSONAL!$A$2:$A$80,0)))))</f>
        <v/>
      </c>
      <c r="O1489" s="53">
        <f t="array" ref="O1489">IFERROR(INDEX(EXCEPCIONES_FECHA!$F$2:$F$201,MATCH(1,(EXCEPCIONES_FECHA!$A$2:$A$201=$A1489)*(EXCEPCIONES_FECHA!$B$2:$B$201=$B1489),0)),IFERROR(INDEX(EXCEPCIONES_FECHA!$F$2:$F$201,MATCH(1,(EXCEPCIONES_FECHA!$A$2:$A$201=$A1489)*(EXCEPCIONES_FECHA!$B$2:$B$201=""),0)),IFERROR(INDEX(IF($I1489="FIN",HISTORIAL_HORARIOS!$L$2:$L$201,HISTORIAL_HORARIOS!$H$2:$H$201),MATCH(1,(HISTORIAL_HORARIOS!$A$2:$A$201=$B1489)*(HISTORIAL_HORARIOS!$C$2:$C$201&lt;=$A1489)*(HISTORIAL_HORARIOS!$D$2:$D$201&gt;=$A1489),0)),INDEX(IF($I1489="FIN",PERSONAL!$L$2:$L$80,PERSONAL!$H$2:$H$80),MATCH($B1489,PERSONAL!$A$2:$A$80,0)))))</f>
        <v/>
      </c>
    </row>
    <row r="1490" ht="15" customHeight="1" s="58">
      <c r="A1490" s="40" t="n"/>
      <c r="B1490" s="38" t="n"/>
      <c r="C1490" s="40" t="n"/>
      <c r="D1490" s="40" t="n"/>
      <c r="E1490" s="34">
        <f t="array" ref="E1490">IF($B1490="","",IFERROR(INDEX(PERSONAL!$B$2:$B$80,MATCH($B1490,PERSONAL!$A$2:$A$80,0)),"NO EXISTE"))</f>
        <v/>
      </c>
      <c r="F1490" s="34">
        <f t="array" ref="F1490">IF($B1490="","",IFERROR(INDEX(PERSONAL!$C$2:$C$80,MATCH($B1490,PERSONAL!$A$2:$A$80,0)),""))</f>
        <v/>
      </c>
      <c r="G1490" s="34">
        <f>IF($A1490="","",CHOOSE(WEEKDAY($A1490,2),"LUNES","MARTES","MIÉRCOLES","JUEVES","VIERNES","SÁBADO","DOMINGO"))</f>
        <v/>
      </c>
      <c r="H1490" s="34">
        <f>IF($A1490="","",CHOOSE(MONTH($A1490),"ENERO","FEBRERO","MARZO","ABRIL","MAYO","JUNIO","JULIO","AGOSTO","SEPTIEMBRE","OCTUBRE","NOVIEMBRE","DICIEMBRE"))</f>
        <v/>
      </c>
      <c r="I1490" s="34">
        <f>IF($A1490="","",IF(OR($G1490="SÁBADO",$G1490="DOMINGO"),"FIN","LV"))</f>
        <v/>
      </c>
      <c r="J1490" s="34">
        <f>IF(OR($A1490="",$B1490=""),"",IF($L1490&lt;&gt;"",UPPER($L1490),IF($C1490="","FALTA",IFERROR(IF($C1490&gt;=$O1490,"ROJO FUERTE",IF($C1490&gt;=$N1490,"ROJO",IF($C1490&gt;=$M1490,"AMARILLO","VERDE"))),"REVISAR"))))</f>
        <v/>
      </c>
      <c r="K1490" s="36">
        <f>IF(OR($C1490="",$D1490=""),"",IF($D1490&gt;=$C1490,($D1490-$C1490)*24,(1-$C1490+$D1490)*24))</f>
        <v/>
      </c>
      <c r="L1490" s="34" t="n"/>
      <c r="M1490" s="53">
        <f t="array" ref="M1490">IFERROR(INDEX(EXCEPCIONES_FECHA!$D$2:$D$201,MATCH(1,(EXCEPCIONES_FECHA!$A$2:$A$201=$A1490)*(EXCEPCIONES_FECHA!$B$2:$B$201=$B1490),0)),IFERROR(INDEX(EXCEPCIONES_FECHA!$D$2:$D$201,MATCH(1,(EXCEPCIONES_FECHA!$A$2:$A$201=$A1490)*(EXCEPCIONES_FECHA!$B$2:$B$201=""),0)),IFERROR(INDEX(IF($I1490="FIN",HISTORIAL_HORARIOS!$J$2:$J$201,HISTORIAL_HORARIOS!$F$2:$F$201),MATCH(1,(HISTORIAL_HORARIOS!$A$2:$A$201=$B1490)*(HISTORIAL_HORARIOS!$C$2:$C$201&lt;=$A1490)*(HISTORIAL_HORARIOS!$D$2:$D$201&gt;=$A1490),0)),INDEX(IF($I1490="FIN",PERSONAL!$J$2:$J$80,PERSONAL!$F$2:$F$80),MATCH($B1490,PERSONAL!$A$2:$A$80,0)))))</f>
        <v/>
      </c>
      <c r="N1490" s="53">
        <f t="array" ref="N1490">IFERROR(INDEX(EXCEPCIONES_FECHA!$E$2:$E$201,MATCH(1,(EXCEPCIONES_FECHA!$A$2:$A$201=$A1490)*(EXCEPCIONES_FECHA!$B$2:$B$201=$B1490),0)),IFERROR(INDEX(EXCEPCIONES_FECHA!$E$2:$E$201,MATCH(1,(EXCEPCIONES_FECHA!$A$2:$A$201=$A1490)*(EXCEPCIONES_FECHA!$B$2:$B$201=""),0)),IFERROR(INDEX(IF($I1490="FIN",HISTORIAL_HORARIOS!$K$2:$K$201,HISTORIAL_HORARIOS!$G$2:$G$201),MATCH(1,(HISTORIAL_HORARIOS!$A$2:$A$201=$B1490)*(HISTORIAL_HORARIOS!$C$2:$C$201&lt;=$A1490)*(HISTORIAL_HORARIOS!$D$2:$D$201&gt;=$A1490),0)),INDEX(IF($I1490="FIN",PERSONAL!$K$2:$K$80,PERSONAL!$G$2:$G$80),MATCH($B1490,PERSONAL!$A$2:$A$80,0)))))</f>
        <v/>
      </c>
      <c r="O1490" s="53">
        <f t="array" ref="O1490">IFERROR(INDEX(EXCEPCIONES_FECHA!$F$2:$F$201,MATCH(1,(EXCEPCIONES_FECHA!$A$2:$A$201=$A1490)*(EXCEPCIONES_FECHA!$B$2:$B$201=$B1490),0)),IFERROR(INDEX(EXCEPCIONES_FECHA!$F$2:$F$201,MATCH(1,(EXCEPCIONES_FECHA!$A$2:$A$201=$A1490)*(EXCEPCIONES_FECHA!$B$2:$B$201=""),0)),IFERROR(INDEX(IF($I1490="FIN",HISTORIAL_HORARIOS!$L$2:$L$201,HISTORIAL_HORARIOS!$H$2:$H$201),MATCH(1,(HISTORIAL_HORARIOS!$A$2:$A$201=$B1490)*(HISTORIAL_HORARIOS!$C$2:$C$201&lt;=$A1490)*(HISTORIAL_HORARIOS!$D$2:$D$201&gt;=$A1490),0)),INDEX(IF($I1490="FIN",PERSONAL!$L$2:$L$80,PERSONAL!$H$2:$H$80),MATCH($B1490,PERSONAL!$A$2:$A$80,0)))))</f>
        <v/>
      </c>
    </row>
    <row r="1491" ht="15" customHeight="1" s="58">
      <c r="A1491" s="40" t="n"/>
      <c r="B1491" s="38" t="n"/>
      <c r="C1491" s="40" t="n"/>
      <c r="D1491" s="40" t="n"/>
      <c r="E1491" s="34">
        <f t="array" ref="E1491">IF($B1491="","",IFERROR(INDEX(PERSONAL!$B$2:$B$80,MATCH($B1491,PERSONAL!$A$2:$A$80,0)),"NO EXISTE"))</f>
        <v/>
      </c>
      <c r="F1491" s="34">
        <f t="array" ref="F1491">IF($B1491="","",IFERROR(INDEX(PERSONAL!$C$2:$C$80,MATCH($B1491,PERSONAL!$A$2:$A$80,0)),""))</f>
        <v/>
      </c>
      <c r="G1491" s="34">
        <f>IF($A1491="","",CHOOSE(WEEKDAY($A1491,2),"LUNES","MARTES","MIÉRCOLES","JUEVES","VIERNES","SÁBADO","DOMINGO"))</f>
        <v/>
      </c>
      <c r="H1491" s="34">
        <f>IF($A1491="","",CHOOSE(MONTH($A1491),"ENERO","FEBRERO","MARZO","ABRIL","MAYO","JUNIO","JULIO","AGOSTO","SEPTIEMBRE","OCTUBRE","NOVIEMBRE","DICIEMBRE"))</f>
        <v/>
      </c>
      <c r="I1491" s="34">
        <f>IF($A1491="","",IF(OR($G1491="SÁBADO",$G1491="DOMINGO"),"FIN","LV"))</f>
        <v/>
      </c>
      <c r="J1491" s="34">
        <f>IF(OR($A1491="",$B1491=""),"",IF($L1491&lt;&gt;"",UPPER($L1491),IF($C1491="","FALTA",IFERROR(IF($C1491&gt;=$O1491,"ROJO FUERTE",IF($C1491&gt;=$N1491,"ROJO",IF($C1491&gt;=$M1491,"AMARILLO","VERDE"))),"REVISAR"))))</f>
        <v/>
      </c>
      <c r="K1491" s="36">
        <f>IF(OR($C1491="",$D1491=""),"",IF($D1491&gt;=$C1491,($D1491-$C1491)*24,(1-$C1491+$D1491)*24))</f>
        <v/>
      </c>
      <c r="L1491" s="34" t="n"/>
      <c r="M1491" s="53">
        <f t="array" ref="M1491">IFERROR(INDEX(EXCEPCIONES_FECHA!$D$2:$D$201,MATCH(1,(EXCEPCIONES_FECHA!$A$2:$A$201=$A1491)*(EXCEPCIONES_FECHA!$B$2:$B$201=$B1491),0)),IFERROR(INDEX(EXCEPCIONES_FECHA!$D$2:$D$201,MATCH(1,(EXCEPCIONES_FECHA!$A$2:$A$201=$A1491)*(EXCEPCIONES_FECHA!$B$2:$B$201=""),0)),IFERROR(INDEX(IF($I1491="FIN",HISTORIAL_HORARIOS!$J$2:$J$201,HISTORIAL_HORARIOS!$F$2:$F$201),MATCH(1,(HISTORIAL_HORARIOS!$A$2:$A$201=$B1491)*(HISTORIAL_HORARIOS!$C$2:$C$201&lt;=$A1491)*(HISTORIAL_HORARIOS!$D$2:$D$201&gt;=$A1491),0)),INDEX(IF($I1491="FIN",PERSONAL!$J$2:$J$80,PERSONAL!$F$2:$F$80),MATCH($B1491,PERSONAL!$A$2:$A$80,0)))))</f>
        <v/>
      </c>
      <c r="N1491" s="53">
        <f t="array" ref="N1491">IFERROR(INDEX(EXCEPCIONES_FECHA!$E$2:$E$201,MATCH(1,(EXCEPCIONES_FECHA!$A$2:$A$201=$A1491)*(EXCEPCIONES_FECHA!$B$2:$B$201=$B1491),0)),IFERROR(INDEX(EXCEPCIONES_FECHA!$E$2:$E$201,MATCH(1,(EXCEPCIONES_FECHA!$A$2:$A$201=$A1491)*(EXCEPCIONES_FECHA!$B$2:$B$201=""),0)),IFERROR(INDEX(IF($I1491="FIN",HISTORIAL_HORARIOS!$K$2:$K$201,HISTORIAL_HORARIOS!$G$2:$G$201),MATCH(1,(HISTORIAL_HORARIOS!$A$2:$A$201=$B1491)*(HISTORIAL_HORARIOS!$C$2:$C$201&lt;=$A1491)*(HISTORIAL_HORARIOS!$D$2:$D$201&gt;=$A1491),0)),INDEX(IF($I1491="FIN",PERSONAL!$K$2:$K$80,PERSONAL!$G$2:$G$80),MATCH($B1491,PERSONAL!$A$2:$A$80,0)))))</f>
        <v/>
      </c>
      <c r="O1491" s="53">
        <f t="array" ref="O1491">IFERROR(INDEX(EXCEPCIONES_FECHA!$F$2:$F$201,MATCH(1,(EXCEPCIONES_FECHA!$A$2:$A$201=$A1491)*(EXCEPCIONES_FECHA!$B$2:$B$201=$B1491),0)),IFERROR(INDEX(EXCEPCIONES_FECHA!$F$2:$F$201,MATCH(1,(EXCEPCIONES_FECHA!$A$2:$A$201=$A1491)*(EXCEPCIONES_FECHA!$B$2:$B$201=""),0)),IFERROR(INDEX(IF($I1491="FIN",HISTORIAL_HORARIOS!$L$2:$L$201,HISTORIAL_HORARIOS!$H$2:$H$201),MATCH(1,(HISTORIAL_HORARIOS!$A$2:$A$201=$B1491)*(HISTORIAL_HORARIOS!$C$2:$C$201&lt;=$A1491)*(HISTORIAL_HORARIOS!$D$2:$D$201&gt;=$A1491),0)),INDEX(IF($I1491="FIN",PERSONAL!$L$2:$L$80,PERSONAL!$H$2:$H$80),MATCH($B1491,PERSONAL!$A$2:$A$80,0)))))</f>
        <v/>
      </c>
    </row>
    <row r="1492" ht="15" customHeight="1" s="58">
      <c r="A1492" s="40" t="n"/>
      <c r="B1492" s="38" t="n"/>
      <c r="C1492" s="40" t="n"/>
      <c r="D1492" s="40" t="n"/>
      <c r="E1492" s="34">
        <f t="array" ref="E1492">IF($B1492="","",IFERROR(INDEX(PERSONAL!$B$2:$B$80,MATCH($B1492,PERSONAL!$A$2:$A$80,0)),"NO EXISTE"))</f>
        <v/>
      </c>
      <c r="F1492" s="34">
        <f t="array" ref="F1492">IF($B1492="","",IFERROR(INDEX(PERSONAL!$C$2:$C$80,MATCH($B1492,PERSONAL!$A$2:$A$80,0)),""))</f>
        <v/>
      </c>
      <c r="G1492" s="34">
        <f>IF($A1492="","",CHOOSE(WEEKDAY($A1492,2),"LUNES","MARTES","MIÉRCOLES","JUEVES","VIERNES","SÁBADO","DOMINGO"))</f>
        <v/>
      </c>
      <c r="H1492" s="34">
        <f>IF($A1492="","",CHOOSE(MONTH($A1492),"ENERO","FEBRERO","MARZO","ABRIL","MAYO","JUNIO","JULIO","AGOSTO","SEPTIEMBRE","OCTUBRE","NOVIEMBRE","DICIEMBRE"))</f>
        <v/>
      </c>
      <c r="I1492" s="34">
        <f>IF($A1492="","",IF(OR($G1492="SÁBADO",$G1492="DOMINGO"),"FIN","LV"))</f>
        <v/>
      </c>
      <c r="J1492" s="34">
        <f>IF(OR($A1492="",$B1492=""),"",IF($L1492&lt;&gt;"",UPPER($L1492),IF($C1492="","FALTA",IFERROR(IF($C1492&gt;=$O1492,"ROJO FUERTE",IF($C1492&gt;=$N1492,"ROJO",IF($C1492&gt;=$M1492,"AMARILLO","VERDE"))),"REVISAR"))))</f>
        <v/>
      </c>
      <c r="K1492" s="36">
        <f>IF(OR($C1492="",$D1492=""),"",IF($D1492&gt;=$C1492,($D1492-$C1492)*24,(1-$C1492+$D1492)*24))</f>
        <v/>
      </c>
      <c r="L1492" s="34" t="n"/>
      <c r="M1492" s="53">
        <f t="array" ref="M1492">IFERROR(INDEX(EXCEPCIONES_FECHA!$D$2:$D$201,MATCH(1,(EXCEPCIONES_FECHA!$A$2:$A$201=$A1492)*(EXCEPCIONES_FECHA!$B$2:$B$201=$B1492),0)),IFERROR(INDEX(EXCEPCIONES_FECHA!$D$2:$D$201,MATCH(1,(EXCEPCIONES_FECHA!$A$2:$A$201=$A1492)*(EXCEPCIONES_FECHA!$B$2:$B$201=""),0)),IFERROR(INDEX(IF($I1492="FIN",HISTORIAL_HORARIOS!$J$2:$J$201,HISTORIAL_HORARIOS!$F$2:$F$201),MATCH(1,(HISTORIAL_HORARIOS!$A$2:$A$201=$B1492)*(HISTORIAL_HORARIOS!$C$2:$C$201&lt;=$A1492)*(HISTORIAL_HORARIOS!$D$2:$D$201&gt;=$A1492),0)),INDEX(IF($I1492="FIN",PERSONAL!$J$2:$J$80,PERSONAL!$F$2:$F$80),MATCH($B1492,PERSONAL!$A$2:$A$80,0)))))</f>
        <v/>
      </c>
      <c r="N1492" s="53">
        <f t="array" ref="N1492">IFERROR(INDEX(EXCEPCIONES_FECHA!$E$2:$E$201,MATCH(1,(EXCEPCIONES_FECHA!$A$2:$A$201=$A1492)*(EXCEPCIONES_FECHA!$B$2:$B$201=$B1492),0)),IFERROR(INDEX(EXCEPCIONES_FECHA!$E$2:$E$201,MATCH(1,(EXCEPCIONES_FECHA!$A$2:$A$201=$A1492)*(EXCEPCIONES_FECHA!$B$2:$B$201=""),0)),IFERROR(INDEX(IF($I1492="FIN",HISTORIAL_HORARIOS!$K$2:$K$201,HISTORIAL_HORARIOS!$G$2:$G$201),MATCH(1,(HISTORIAL_HORARIOS!$A$2:$A$201=$B1492)*(HISTORIAL_HORARIOS!$C$2:$C$201&lt;=$A1492)*(HISTORIAL_HORARIOS!$D$2:$D$201&gt;=$A1492),0)),INDEX(IF($I1492="FIN",PERSONAL!$K$2:$K$80,PERSONAL!$G$2:$G$80),MATCH($B1492,PERSONAL!$A$2:$A$80,0)))))</f>
        <v/>
      </c>
      <c r="O1492" s="53">
        <f t="array" ref="O1492">IFERROR(INDEX(EXCEPCIONES_FECHA!$F$2:$F$201,MATCH(1,(EXCEPCIONES_FECHA!$A$2:$A$201=$A1492)*(EXCEPCIONES_FECHA!$B$2:$B$201=$B1492),0)),IFERROR(INDEX(EXCEPCIONES_FECHA!$F$2:$F$201,MATCH(1,(EXCEPCIONES_FECHA!$A$2:$A$201=$A1492)*(EXCEPCIONES_FECHA!$B$2:$B$201=""),0)),IFERROR(INDEX(IF($I1492="FIN",HISTORIAL_HORARIOS!$L$2:$L$201,HISTORIAL_HORARIOS!$H$2:$H$201),MATCH(1,(HISTORIAL_HORARIOS!$A$2:$A$201=$B1492)*(HISTORIAL_HORARIOS!$C$2:$C$201&lt;=$A1492)*(HISTORIAL_HORARIOS!$D$2:$D$201&gt;=$A1492),0)),INDEX(IF($I1492="FIN",PERSONAL!$L$2:$L$80,PERSONAL!$H$2:$H$80),MATCH($B1492,PERSONAL!$A$2:$A$80,0)))))</f>
        <v/>
      </c>
    </row>
    <row r="1493" ht="15" customHeight="1" s="58">
      <c r="A1493" s="40" t="n"/>
      <c r="B1493" s="38" t="n"/>
      <c r="C1493" s="40" t="n"/>
      <c r="D1493" s="40" t="n"/>
      <c r="E1493" s="34">
        <f t="array" ref="E1493">IF($B1493="","",IFERROR(INDEX(PERSONAL!$B$2:$B$80,MATCH($B1493,PERSONAL!$A$2:$A$80,0)),"NO EXISTE"))</f>
        <v/>
      </c>
      <c r="F1493" s="34">
        <f t="array" ref="F1493">IF($B1493="","",IFERROR(INDEX(PERSONAL!$C$2:$C$80,MATCH($B1493,PERSONAL!$A$2:$A$80,0)),""))</f>
        <v/>
      </c>
      <c r="G1493" s="34">
        <f>IF($A1493="","",CHOOSE(WEEKDAY($A1493,2),"LUNES","MARTES","MIÉRCOLES","JUEVES","VIERNES","SÁBADO","DOMINGO"))</f>
        <v/>
      </c>
      <c r="H1493" s="34">
        <f>IF($A1493="","",CHOOSE(MONTH($A1493),"ENERO","FEBRERO","MARZO","ABRIL","MAYO","JUNIO","JULIO","AGOSTO","SEPTIEMBRE","OCTUBRE","NOVIEMBRE","DICIEMBRE"))</f>
        <v/>
      </c>
      <c r="I1493" s="34">
        <f>IF($A1493="","",IF(OR($G1493="SÁBADO",$G1493="DOMINGO"),"FIN","LV"))</f>
        <v/>
      </c>
      <c r="J1493" s="34">
        <f>IF(OR($A1493="",$B1493=""),"",IF($L1493&lt;&gt;"",UPPER($L1493),IF($C1493="","FALTA",IFERROR(IF($C1493&gt;=$O1493,"ROJO FUERTE",IF($C1493&gt;=$N1493,"ROJO",IF($C1493&gt;=$M1493,"AMARILLO","VERDE"))),"REVISAR"))))</f>
        <v/>
      </c>
      <c r="K1493" s="36">
        <f>IF(OR($C1493="",$D1493=""),"",IF($D1493&gt;=$C1493,($D1493-$C1493)*24,(1-$C1493+$D1493)*24))</f>
        <v/>
      </c>
      <c r="L1493" s="34" t="n"/>
      <c r="M1493" s="53">
        <f t="array" ref="M1493">IFERROR(INDEX(EXCEPCIONES_FECHA!$D$2:$D$201,MATCH(1,(EXCEPCIONES_FECHA!$A$2:$A$201=$A1493)*(EXCEPCIONES_FECHA!$B$2:$B$201=$B1493),0)),IFERROR(INDEX(EXCEPCIONES_FECHA!$D$2:$D$201,MATCH(1,(EXCEPCIONES_FECHA!$A$2:$A$201=$A1493)*(EXCEPCIONES_FECHA!$B$2:$B$201=""),0)),IFERROR(INDEX(IF($I1493="FIN",HISTORIAL_HORARIOS!$J$2:$J$201,HISTORIAL_HORARIOS!$F$2:$F$201),MATCH(1,(HISTORIAL_HORARIOS!$A$2:$A$201=$B1493)*(HISTORIAL_HORARIOS!$C$2:$C$201&lt;=$A1493)*(HISTORIAL_HORARIOS!$D$2:$D$201&gt;=$A1493),0)),INDEX(IF($I1493="FIN",PERSONAL!$J$2:$J$80,PERSONAL!$F$2:$F$80),MATCH($B1493,PERSONAL!$A$2:$A$80,0)))))</f>
        <v/>
      </c>
      <c r="N1493" s="53">
        <f t="array" ref="N1493">IFERROR(INDEX(EXCEPCIONES_FECHA!$E$2:$E$201,MATCH(1,(EXCEPCIONES_FECHA!$A$2:$A$201=$A1493)*(EXCEPCIONES_FECHA!$B$2:$B$201=$B1493),0)),IFERROR(INDEX(EXCEPCIONES_FECHA!$E$2:$E$201,MATCH(1,(EXCEPCIONES_FECHA!$A$2:$A$201=$A1493)*(EXCEPCIONES_FECHA!$B$2:$B$201=""),0)),IFERROR(INDEX(IF($I1493="FIN",HISTORIAL_HORARIOS!$K$2:$K$201,HISTORIAL_HORARIOS!$G$2:$G$201),MATCH(1,(HISTORIAL_HORARIOS!$A$2:$A$201=$B1493)*(HISTORIAL_HORARIOS!$C$2:$C$201&lt;=$A1493)*(HISTORIAL_HORARIOS!$D$2:$D$201&gt;=$A1493),0)),INDEX(IF($I1493="FIN",PERSONAL!$K$2:$K$80,PERSONAL!$G$2:$G$80),MATCH($B1493,PERSONAL!$A$2:$A$80,0)))))</f>
        <v/>
      </c>
      <c r="O1493" s="53">
        <f t="array" ref="O1493">IFERROR(INDEX(EXCEPCIONES_FECHA!$F$2:$F$201,MATCH(1,(EXCEPCIONES_FECHA!$A$2:$A$201=$A1493)*(EXCEPCIONES_FECHA!$B$2:$B$201=$B1493),0)),IFERROR(INDEX(EXCEPCIONES_FECHA!$F$2:$F$201,MATCH(1,(EXCEPCIONES_FECHA!$A$2:$A$201=$A1493)*(EXCEPCIONES_FECHA!$B$2:$B$201=""),0)),IFERROR(INDEX(IF($I1493="FIN",HISTORIAL_HORARIOS!$L$2:$L$201,HISTORIAL_HORARIOS!$H$2:$H$201),MATCH(1,(HISTORIAL_HORARIOS!$A$2:$A$201=$B1493)*(HISTORIAL_HORARIOS!$C$2:$C$201&lt;=$A1493)*(HISTORIAL_HORARIOS!$D$2:$D$201&gt;=$A1493),0)),INDEX(IF($I1493="FIN",PERSONAL!$L$2:$L$80,PERSONAL!$H$2:$H$80),MATCH($B1493,PERSONAL!$A$2:$A$80,0)))))</f>
        <v/>
      </c>
    </row>
    <row r="1494" ht="15" customHeight="1" s="58">
      <c r="A1494" s="40" t="n"/>
      <c r="B1494" s="38" t="n"/>
      <c r="C1494" s="40" t="n"/>
      <c r="D1494" s="40" t="n"/>
      <c r="E1494" s="34">
        <f t="array" ref="E1494">IF($B1494="","",IFERROR(INDEX(PERSONAL!$B$2:$B$80,MATCH($B1494,PERSONAL!$A$2:$A$80,0)),"NO EXISTE"))</f>
        <v/>
      </c>
      <c r="F1494" s="34">
        <f t="array" ref="F1494">IF($B1494="","",IFERROR(INDEX(PERSONAL!$C$2:$C$80,MATCH($B1494,PERSONAL!$A$2:$A$80,0)),""))</f>
        <v/>
      </c>
      <c r="G1494" s="34">
        <f>IF($A1494="","",CHOOSE(WEEKDAY($A1494,2),"LUNES","MARTES","MIÉRCOLES","JUEVES","VIERNES","SÁBADO","DOMINGO"))</f>
        <v/>
      </c>
      <c r="H1494" s="34">
        <f>IF($A1494="","",CHOOSE(MONTH($A1494),"ENERO","FEBRERO","MARZO","ABRIL","MAYO","JUNIO","JULIO","AGOSTO","SEPTIEMBRE","OCTUBRE","NOVIEMBRE","DICIEMBRE"))</f>
        <v/>
      </c>
      <c r="I1494" s="34">
        <f>IF($A1494="","",IF(OR($G1494="SÁBADO",$G1494="DOMINGO"),"FIN","LV"))</f>
        <v/>
      </c>
      <c r="J1494" s="34">
        <f>IF(OR($A1494="",$B1494=""),"",IF($L1494&lt;&gt;"",UPPER($L1494),IF($C1494="","FALTA",IFERROR(IF($C1494&gt;=$O1494,"ROJO FUERTE",IF($C1494&gt;=$N1494,"ROJO",IF($C1494&gt;=$M1494,"AMARILLO","VERDE"))),"REVISAR"))))</f>
        <v/>
      </c>
      <c r="K1494" s="36">
        <f>IF(OR($C1494="",$D1494=""),"",IF($D1494&gt;=$C1494,($D1494-$C1494)*24,(1-$C1494+$D1494)*24))</f>
        <v/>
      </c>
      <c r="L1494" s="34" t="n"/>
      <c r="M1494" s="53">
        <f t="array" ref="M1494">IFERROR(INDEX(EXCEPCIONES_FECHA!$D$2:$D$201,MATCH(1,(EXCEPCIONES_FECHA!$A$2:$A$201=$A1494)*(EXCEPCIONES_FECHA!$B$2:$B$201=$B1494),0)),IFERROR(INDEX(EXCEPCIONES_FECHA!$D$2:$D$201,MATCH(1,(EXCEPCIONES_FECHA!$A$2:$A$201=$A1494)*(EXCEPCIONES_FECHA!$B$2:$B$201=""),0)),IFERROR(INDEX(IF($I1494="FIN",HISTORIAL_HORARIOS!$J$2:$J$201,HISTORIAL_HORARIOS!$F$2:$F$201),MATCH(1,(HISTORIAL_HORARIOS!$A$2:$A$201=$B1494)*(HISTORIAL_HORARIOS!$C$2:$C$201&lt;=$A1494)*(HISTORIAL_HORARIOS!$D$2:$D$201&gt;=$A1494),0)),INDEX(IF($I1494="FIN",PERSONAL!$J$2:$J$80,PERSONAL!$F$2:$F$80),MATCH($B1494,PERSONAL!$A$2:$A$80,0)))))</f>
        <v/>
      </c>
      <c r="N1494" s="53">
        <f t="array" ref="N1494">IFERROR(INDEX(EXCEPCIONES_FECHA!$E$2:$E$201,MATCH(1,(EXCEPCIONES_FECHA!$A$2:$A$201=$A1494)*(EXCEPCIONES_FECHA!$B$2:$B$201=$B1494),0)),IFERROR(INDEX(EXCEPCIONES_FECHA!$E$2:$E$201,MATCH(1,(EXCEPCIONES_FECHA!$A$2:$A$201=$A1494)*(EXCEPCIONES_FECHA!$B$2:$B$201=""),0)),IFERROR(INDEX(IF($I1494="FIN",HISTORIAL_HORARIOS!$K$2:$K$201,HISTORIAL_HORARIOS!$G$2:$G$201),MATCH(1,(HISTORIAL_HORARIOS!$A$2:$A$201=$B1494)*(HISTORIAL_HORARIOS!$C$2:$C$201&lt;=$A1494)*(HISTORIAL_HORARIOS!$D$2:$D$201&gt;=$A1494),0)),INDEX(IF($I1494="FIN",PERSONAL!$K$2:$K$80,PERSONAL!$G$2:$G$80),MATCH($B1494,PERSONAL!$A$2:$A$80,0)))))</f>
        <v/>
      </c>
      <c r="O1494" s="53">
        <f t="array" ref="O1494">IFERROR(INDEX(EXCEPCIONES_FECHA!$F$2:$F$201,MATCH(1,(EXCEPCIONES_FECHA!$A$2:$A$201=$A1494)*(EXCEPCIONES_FECHA!$B$2:$B$201=$B1494),0)),IFERROR(INDEX(EXCEPCIONES_FECHA!$F$2:$F$201,MATCH(1,(EXCEPCIONES_FECHA!$A$2:$A$201=$A1494)*(EXCEPCIONES_FECHA!$B$2:$B$201=""),0)),IFERROR(INDEX(IF($I1494="FIN",HISTORIAL_HORARIOS!$L$2:$L$201,HISTORIAL_HORARIOS!$H$2:$H$201),MATCH(1,(HISTORIAL_HORARIOS!$A$2:$A$201=$B1494)*(HISTORIAL_HORARIOS!$C$2:$C$201&lt;=$A1494)*(HISTORIAL_HORARIOS!$D$2:$D$201&gt;=$A1494),0)),INDEX(IF($I1494="FIN",PERSONAL!$L$2:$L$80,PERSONAL!$H$2:$H$80),MATCH($B1494,PERSONAL!$A$2:$A$80,0)))))</f>
        <v/>
      </c>
    </row>
    <row r="1495" ht="15" customHeight="1" s="58">
      <c r="A1495" s="40" t="n"/>
      <c r="B1495" s="38" t="n"/>
      <c r="C1495" s="40" t="n"/>
      <c r="D1495" s="40" t="n"/>
      <c r="E1495" s="34">
        <f t="array" ref="E1495">IF($B1495="","",IFERROR(INDEX(PERSONAL!$B$2:$B$80,MATCH($B1495,PERSONAL!$A$2:$A$80,0)),"NO EXISTE"))</f>
        <v/>
      </c>
      <c r="F1495" s="34">
        <f t="array" ref="F1495">IF($B1495="","",IFERROR(INDEX(PERSONAL!$C$2:$C$80,MATCH($B1495,PERSONAL!$A$2:$A$80,0)),""))</f>
        <v/>
      </c>
      <c r="G1495" s="34">
        <f>IF($A1495="","",CHOOSE(WEEKDAY($A1495,2),"LUNES","MARTES","MIÉRCOLES","JUEVES","VIERNES","SÁBADO","DOMINGO"))</f>
        <v/>
      </c>
      <c r="H1495" s="34">
        <f>IF($A1495="","",CHOOSE(MONTH($A1495),"ENERO","FEBRERO","MARZO","ABRIL","MAYO","JUNIO","JULIO","AGOSTO","SEPTIEMBRE","OCTUBRE","NOVIEMBRE","DICIEMBRE"))</f>
        <v/>
      </c>
      <c r="I1495" s="34">
        <f>IF($A1495="","",IF(OR($G1495="SÁBADO",$G1495="DOMINGO"),"FIN","LV"))</f>
        <v/>
      </c>
      <c r="J1495" s="34">
        <f>IF(OR($A1495="",$B1495=""),"",IF($L1495&lt;&gt;"",UPPER($L1495),IF($C1495="","FALTA",IFERROR(IF($C1495&gt;=$O1495,"ROJO FUERTE",IF($C1495&gt;=$N1495,"ROJO",IF($C1495&gt;=$M1495,"AMARILLO","VERDE"))),"REVISAR"))))</f>
        <v/>
      </c>
      <c r="K1495" s="36">
        <f>IF(OR($C1495="",$D1495=""),"",IF($D1495&gt;=$C1495,($D1495-$C1495)*24,(1-$C1495+$D1495)*24))</f>
        <v/>
      </c>
      <c r="L1495" s="34" t="n"/>
      <c r="M1495" s="53">
        <f t="array" ref="M1495">IFERROR(INDEX(EXCEPCIONES_FECHA!$D$2:$D$201,MATCH(1,(EXCEPCIONES_FECHA!$A$2:$A$201=$A1495)*(EXCEPCIONES_FECHA!$B$2:$B$201=$B1495),0)),IFERROR(INDEX(EXCEPCIONES_FECHA!$D$2:$D$201,MATCH(1,(EXCEPCIONES_FECHA!$A$2:$A$201=$A1495)*(EXCEPCIONES_FECHA!$B$2:$B$201=""),0)),IFERROR(INDEX(IF($I1495="FIN",HISTORIAL_HORARIOS!$J$2:$J$201,HISTORIAL_HORARIOS!$F$2:$F$201),MATCH(1,(HISTORIAL_HORARIOS!$A$2:$A$201=$B1495)*(HISTORIAL_HORARIOS!$C$2:$C$201&lt;=$A1495)*(HISTORIAL_HORARIOS!$D$2:$D$201&gt;=$A1495),0)),INDEX(IF($I1495="FIN",PERSONAL!$J$2:$J$80,PERSONAL!$F$2:$F$80),MATCH($B1495,PERSONAL!$A$2:$A$80,0)))))</f>
        <v/>
      </c>
      <c r="N1495" s="53">
        <f t="array" ref="N1495">IFERROR(INDEX(EXCEPCIONES_FECHA!$E$2:$E$201,MATCH(1,(EXCEPCIONES_FECHA!$A$2:$A$201=$A1495)*(EXCEPCIONES_FECHA!$B$2:$B$201=$B1495),0)),IFERROR(INDEX(EXCEPCIONES_FECHA!$E$2:$E$201,MATCH(1,(EXCEPCIONES_FECHA!$A$2:$A$201=$A1495)*(EXCEPCIONES_FECHA!$B$2:$B$201=""),0)),IFERROR(INDEX(IF($I1495="FIN",HISTORIAL_HORARIOS!$K$2:$K$201,HISTORIAL_HORARIOS!$G$2:$G$201),MATCH(1,(HISTORIAL_HORARIOS!$A$2:$A$201=$B1495)*(HISTORIAL_HORARIOS!$C$2:$C$201&lt;=$A1495)*(HISTORIAL_HORARIOS!$D$2:$D$201&gt;=$A1495),0)),INDEX(IF($I1495="FIN",PERSONAL!$K$2:$K$80,PERSONAL!$G$2:$G$80),MATCH($B1495,PERSONAL!$A$2:$A$80,0)))))</f>
        <v/>
      </c>
      <c r="O1495" s="53">
        <f t="array" ref="O1495">IFERROR(INDEX(EXCEPCIONES_FECHA!$F$2:$F$201,MATCH(1,(EXCEPCIONES_FECHA!$A$2:$A$201=$A1495)*(EXCEPCIONES_FECHA!$B$2:$B$201=$B1495),0)),IFERROR(INDEX(EXCEPCIONES_FECHA!$F$2:$F$201,MATCH(1,(EXCEPCIONES_FECHA!$A$2:$A$201=$A1495)*(EXCEPCIONES_FECHA!$B$2:$B$201=""),0)),IFERROR(INDEX(IF($I1495="FIN",HISTORIAL_HORARIOS!$L$2:$L$201,HISTORIAL_HORARIOS!$H$2:$H$201),MATCH(1,(HISTORIAL_HORARIOS!$A$2:$A$201=$B1495)*(HISTORIAL_HORARIOS!$C$2:$C$201&lt;=$A1495)*(HISTORIAL_HORARIOS!$D$2:$D$201&gt;=$A1495),0)),INDEX(IF($I1495="FIN",PERSONAL!$L$2:$L$80,PERSONAL!$H$2:$H$80),MATCH($B1495,PERSONAL!$A$2:$A$80,0)))))</f>
        <v/>
      </c>
    </row>
    <row r="1496" ht="15" customHeight="1" s="58">
      <c r="A1496" s="40" t="n"/>
      <c r="B1496" s="38" t="n"/>
      <c r="C1496" s="40" t="n"/>
      <c r="D1496" s="40" t="n"/>
      <c r="E1496" s="34">
        <f t="array" ref="E1496">IF($B1496="","",IFERROR(INDEX(PERSONAL!$B$2:$B$80,MATCH($B1496,PERSONAL!$A$2:$A$80,0)),"NO EXISTE"))</f>
        <v/>
      </c>
      <c r="F1496" s="34">
        <f t="array" ref="F1496">IF($B1496="","",IFERROR(INDEX(PERSONAL!$C$2:$C$80,MATCH($B1496,PERSONAL!$A$2:$A$80,0)),""))</f>
        <v/>
      </c>
      <c r="G1496" s="34">
        <f>IF($A1496="","",CHOOSE(WEEKDAY($A1496,2),"LUNES","MARTES","MIÉRCOLES","JUEVES","VIERNES","SÁBADO","DOMINGO"))</f>
        <v/>
      </c>
      <c r="H1496" s="34">
        <f>IF($A1496="","",CHOOSE(MONTH($A1496),"ENERO","FEBRERO","MARZO","ABRIL","MAYO","JUNIO","JULIO","AGOSTO","SEPTIEMBRE","OCTUBRE","NOVIEMBRE","DICIEMBRE"))</f>
        <v/>
      </c>
      <c r="I1496" s="34">
        <f>IF($A1496="","",IF(OR($G1496="SÁBADO",$G1496="DOMINGO"),"FIN","LV"))</f>
        <v/>
      </c>
      <c r="J1496" s="34">
        <f>IF(OR($A1496="",$B1496=""),"",IF($L1496&lt;&gt;"",UPPER($L1496),IF($C1496="","FALTA",IFERROR(IF($C1496&gt;=$O1496,"ROJO FUERTE",IF($C1496&gt;=$N1496,"ROJO",IF($C1496&gt;=$M1496,"AMARILLO","VERDE"))),"REVISAR"))))</f>
        <v/>
      </c>
      <c r="K1496" s="36">
        <f>IF(OR($C1496="",$D1496=""),"",IF($D1496&gt;=$C1496,($D1496-$C1496)*24,(1-$C1496+$D1496)*24))</f>
        <v/>
      </c>
      <c r="L1496" s="34" t="n"/>
      <c r="M1496" s="53">
        <f t="array" ref="M1496">IFERROR(INDEX(EXCEPCIONES_FECHA!$D$2:$D$201,MATCH(1,(EXCEPCIONES_FECHA!$A$2:$A$201=$A1496)*(EXCEPCIONES_FECHA!$B$2:$B$201=$B1496),0)),IFERROR(INDEX(EXCEPCIONES_FECHA!$D$2:$D$201,MATCH(1,(EXCEPCIONES_FECHA!$A$2:$A$201=$A1496)*(EXCEPCIONES_FECHA!$B$2:$B$201=""),0)),IFERROR(INDEX(IF($I1496="FIN",HISTORIAL_HORARIOS!$J$2:$J$201,HISTORIAL_HORARIOS!$F$2:$F$201),MATCH(1,(HISTORIAL_HORARIOS!$A$2:$A$201=$B1496)*(HISTORIAL_HORARIOS!$C$2:$C$201&lt;=$A1496)*(HISTORIAL_HORARIOS!$D$2:$D$201&gt;=$A1496),0)),INDEX(IF($I1496="FIN",PERSONAL!$J$2:$J$80,PERSONAL!$F$2:$F$80),MATCH($B1496,PERSONAL!$A$2:$A$80,0)))))</f>
        <v/>
      </c>
      <c r="N1496" s="53">
        <f t="array" ref="N1496">IFERROR(INDEX(EXCEPCIONES_FECHA!$E$2:$E$201,MATCH(1,(EXCEPCIONES_FECHA!$A$2:$A$201=$A1496)*(EXCEPCIONES_FECHA!$B$2:$B$201=$B1496),0)),IFERROR(INDEX(EXCEPCIONES_FECHA!$E$2:$E$201,MATCH(1,(EXCEPCIONES_FECHA!$A$2:$A$201=$A1496)*(EXCEPCIONES_FECHA!$B$2:$B$201=""),0)),IFERROR(INDEX(IF($I1496="FIN",HISTORIAL_HORARIOS!$K$2:$K$201,HISTORIAL_HORARIOS!$G$2:$G$201),MATCH(1,(HISTORIAL_HORARIOS!$A$2:$A$201=$B1496)*(HISTORIAL_HORARIOS!$C$2:$C$201&lt;=$A1496)*(HISTORIAL_HORARIOS!$D$2:$D$201&gt;=$A1496),0)),INDEX(IF($I1496="FIN",PERSONAL!$K$2:$K$80,PERSONAL!$G$2:$G$80),MATCH($B1496,PERSONAL!$A$2:$A$80,0)))))</f>
        <v/>
      </c>
      <c r="O1496" s="53">
        <f t="array" ref="O1496">IFERROR(INDEX(EXCEPCIONES_FECHA!$F$2:$F$201,MATCH(1,(EXCEPCIONES_FECHA!$A$2:$A$201=$A1496)*(EXCEPCIONES_FECHA!$B$2:$B$201=$B1496),0)),IFERROR(INDEX(EXCEPCIONES_FECHA!$F$2:$F$201,MATCH(1,(EXCEPCIONES_FECHA!$A$2:$A$201=$A1496)*(EXCEPCIONES_FECHA!$B$2:$B$201=""),0)),IFERROR(INDEX(IF($I1496="FIN",HISTORIAL_HORARIOS!$L$2:$L$201,HISTORIAL_HORARIOS!$H$2:$H$201),MATCH(1,(HISTORIAL_HORARIOS!$A$2:$A$201=$B1496)*(HISTORIAL_HORARIOS!$C$2:$C$201&lt;=$A1496)*(HISTORIAL_HORARIOS!$D$2:$D$201&gt;=$A1496),0)),INDEX(IF($I1496="FIN",PERSONAL!$L$2:$L$80,PERSONAL!$H$2:$H$80),MATCH($B1496,PERSONAL!$A$2:$A$80,0)))))</f>
        <v/>
      </c>
    </row>
    <row r="1497" ht="15" customHeight="1" s="58">
      <c r="A1497" s="40" t="n"/>
      <c r="B1497" s="38" t="n"/>
      <c r="C1497" s="40" t="n"/>
      <c r="D1497" s="40" t="n"/>
      <c r="E1497" s="34">
        <f t="array" ref="E1497">IF($B1497="","",IFERROR(INDEX(PERSONAL!$B$2:$B$80,MATCH($B1497,PERSONAL!$A$2:$A$80,0)),"NO EXISTE"))</f>
        <v/>
      </c>
      <c r="F1497" s="34">
        <f t="array" ref="F1497">IF($B1497="","",IFERROR(INDEX(PERSONAL!$C$2:$C$80,MATCH($B1497,PERSONAL!$A$2:$A$80,0)),""))</f>
        <v/>
      </c>
      <c r="G1497" s="34">
        <f>IF($A1497="","",CHOOSE(WEEKDAY($A1497,2),"LUNES","MARTES","MIÉRCOLES","JUEVES","VIERNES","SÁBADO","DOMINGO"))</f>
        <v/>
      </c>
      <c r="H1497" s="34">
        <f>IF($A1497="","",CHOOSE(MONTH($A1497),"ENERO","FEBRERO","MARZO","ABRIL","MAYO","JUNIO","JULIO","AGOSTO","SEPTIEMBRE","OCTUBRE","NOVIEMBRE","DICIEMBRE"))</f>
        <v/>
      </c>
      <c r="I1497" s="34">
        <f>IF($A1497="","",IF(OR($G1497="SÁBADO",$G1497="DOMINGO"),"FIN","LV"))</f>
        <v/>
      </c>
      <c r="J1497" s="34">
        <f>IF(OR($A1497="",$B1497=""),"",IF($L1497&lt;&gt;"",UPPER($L1497),IF($C1497="","FALTA",IFERROR(IF($C1497&gt;=$O1497,"ROJO FUERTE",IF($C1497&gt;=$N1497,"ROJO",IF($C1497&gt;=$M1497,"AMARILLO","VERDE"))),"REVISAR"))))</f>
        <v/>
      </c>
      <c r="K1497" s="36">
        <f>IF(OR($C1497="",$D1497=""),"",IF($D1497&gt;=$C1497,($D1497-$C1497)*24,(1-$C1497+$D1497)*24))</f>
        <v/>
      </c>
      <c r="L1497" s="34" t="n"/>
      <c r="M1497" s="53">
        <f t="array" ref="M1497">IFERROR(INDEX(EXCEPCIONES_FECHA!$D$2:$D$201,MATCH(1,(EXCEPCIONES_FECHA!$A$2:$A$201=$A1497)*(EXCEPCIONES_FECHA!$B$2:$B$201=$B1497),0)),IFERROR(INDEX(EXCEPCIONES_FECHA!$D$2:$D$201,MATCH(1,(EXCEPCIONES_FECHA!$A$2:$A$201=$A1497)*(EXCEPCIONES_FECHA!$B$2:$B$201=""),0)),IFERROR(INDEX(IF($I1497="FIN",HISTORIAL_HORARIOS!$J$2:$J$201,HISTORIAL_HORARIOS!$F$2:$F$201),MATCH(1,(HISTORIAL_HORARIOS!$A$2:$A$201=$B1497)*(HISTORIAL_HORARIOS!$C$2:$C$201&lt;=$A1497)*(HISTORIAL_HORARIOS!$D$2:$D$201&gt;=$A1497),0)),INDEX(IF($I1497="FIN",PERSONAL!$J$2:$J$80,PERSONAL!$F$2:$F$80),MATCH($B1497,PERSONAL!$A$2:$A$80,0)))))</f>
        <v/>
      </c>
      <c r="N1497" s="53">
        <f t="array" ref="N1497">IFERROR(INDEX(EXCEPCIONES_FECHA!$E$2:$E$201,MATCH(1,(EXCEPCIONES_FECHA!$A$2:$A$201=$A1497)*(EXCEPCIONES_FECHA!$B$2:$B$201=$B1497),0)),IFERROR(INDEX(EXCEPCIONES_FECHA!$E$2:$E$201,MATCH(1,(EXCEPCIONES_FECHA!$A$2:$A$201=$A1497)*(EXCEPCIONES_FECHA!$B$2:$B$201=""),0)),IFERROR(INDEX(IF($I1497="FIN",HISTORIAL_HORARIOS!$K$2:$K$201,HISTORIAL_HORARIOS!$G$2:$G$201),MATCH(1,(HISTORIAL_HORARIOS!$A$2:$A$201=$B1497)*(HISTORIAL_HORARIOS!$C$2:$C$201&lt;=$A1497)*(HISTORIAL_HORARIOS!$D$2:$D$201&gt;=$A1497),0)),INDEX(IF($I1497="FIN",PERSONAL!$K$2:$K$80,PERSONAL!$G$2:$G$80),MATCH($B1497,PERSONAL!$A$2:$A$80,0)))))</f>
        <v/>
      </c>
      <c r="O1497" s="53">
        <f t="array" ref="O1497">IFERROR(INDEX(EXCEPCIONES_FECHA!$F$2:$F$201,MATCH(1,(EXCEPCIONES_FECHA!$A$2:$A$201=$A1497)*(EXCEPCIONES_FECHA!$B$2:$B$201=$B1497),0)),IFERROR(INDEX(EXCEPCIONES_FECHA!$F$2:$F$201,MATCH(1,(EXCEPCIONES_FECHA!$A$2:$A$201=$A1497)*(EXCEPCIONES_FECHA!$B$2:$B$201=""),0)),IFERROR(INDEX(IF($I1497="FIN",HISTORIAL_HORARIOS!$L$2:$L$201,HISTORIAL_HORARIOS!$H$2:$H$201),MATCH(1,(HISTORIAL_HORARIOS!$A$2:$A$201=$B1497)*(HISTORIAL_HORARIOS!$C$2:$C$201&lt;=$A1497)*(HISTORIAL_HORARIOS!$D$2:$D$201&gt;=$A1497),0)),INDEX(IF($I1497="FIN",PERSONAL!$L$2:$L$80,PERSONAL!$H$2:$H$80),MATCH($B1497,PERSONAL!$A$2:$A$80,0)))))</f>
        <v/>
      </c>
    </row>
    <row r="1498" ht="15" customHeight="1" s="58">
      <c r="A1498" s="40" t="n"/>
      <c r="B1498" s="38" t="n"/>
      <c r="C1498" s="40" t="n"/>
      <c r="D1498" s="40" t="n"/>
      <c r="E1498" s="34">
        <f t="array" ref="E1498">IF($B1498="","",IFERROR(INDEX(PERSONAL!$B$2:$B$80,MATCH($B1498,PERSONAL!$A$2:$A$80,0)),"NO EXISTE"))</f>
        <v/>
      </c>
      <c r="F1498" s="34">
        <f t="array" ref="F1498">IF($B1498="","",IFERROR(INDEX(PERSONAL!$C$2:$C$80,MATCH($B1498,PERSONAL!$A$2:$A$80,0)),""))</f>
        <v/>
      </c>
      <c r="G1498" s="34">
        <f>IF($A1498="","",CHOOSE(WEEKDAY($A1498,2),"LUNES","MARTES","MIÉRCOLES","JUEVES","VIERNES","SÁBADO","DOMINGO"))</f>
        <v/>
      </c>
      <c r="H1498" s="34">
        <f>IF($A1498="","",CHOOSE(MONTH($A1498),"ENERO","FEBRERO","MARZO","ABRIL","MAYO","JUNIO","JULIO","AGOSTO","SEPTIEMBRE","OCTUBRE","NOVIEMBRE","DICIEMBRE"))</f>
        <v/>
      </c>
      <c r="I1498" s="34">
        <f>IF($A1498="","",IF(OR($G1498="SÁBADO",$G1498="DOMINGO"),"FIN","LV"))</f>
        <v/>
      </c>
      <c r="J1498" s="34">
        <f>IF(OR($A1498="",$B1498=""),"",IF($L1498&lt;&gt;"",UPPER($L1498),IF($C1498="","FALTA",IFERROR(IF($C1498&gt;=$O1498,"ROJO FUERTE",IF($C1498&gt;=$N1498,"ROJO",IF($C1498&gt;=$M1498,"AMARILLO","VERDE"))),"REVISAR"))))</f>
        <v/>
      </c>
      <c r="K1498" s="36">
        <f>IF(OR($C1498="",$D1498=""),"",IF($D1498&gt;=$C1498,($D1498-$C1498)*24,(1-$C1498+$D1498)*24))</f>
        <v/>
      </c>
      <c r="L1498" s="34" t="n"/>
      <c r="M1498" s="53">
        <f t="array" ref="M1498">IFERROR(INDEX(EXCEPCIONES_FECHA!$D$2:$D$201,MATCH(1,(EXCEPCIONES_FECHA!$A$2:$A$201=$A1498)*(EXCEPCIONES_FECHA!$B$2:$B$201=$B1498),0)),IFERROR(INDEX(EXCEPCIONES_FECHA!$D$2:$D$201,MATCH(1,(EXCEPCIONES_FECHA!$A$2:$A$201=$A1498)*(EXCEPCIONES_FECHA!$B$2:$B$201=""),0)),IFERROR(INDEX(IF($I1498="FIN",HISTORIAL_HORARIOS!$J$2:$J$201,HISTORIAL_HORARIOS!$F$2:$F$201),MATCH(1,(HISTORIAL_HORARIOS!$A$2:$A$201=$B1498)*(HISTORIAL_HORARIOS!$C$2:$C$201&lt;=$A1498)*(HISTORIAL_HORARIOS!$D$2:$D$201&gt;=$A1498),0)),INDEX(IF($I1498="FIN",PERSONAL!$J$2:$J$80,PERSONAL!$F$2:$F$80),MATCH($B1498,PERSONAL!$A$2:$A$80,0)))))</f>
        <v/>
      </c>
      <c r="N1498" s="53">
        <f t="array" ref="N1498">IFERROR(INDEX(EXCEPCIONES_FECHA!$E$2:$E$201,MATCH(1,(EXCEPCIONES_FECHA!$A$2:$A$201=$A1498)*(EXCEPCIONES_FECHA!$B$2:$B$201=$B1498),0)),IFERROR(INDEX(EXCEPCIONES_FECHA!$E$2:$E$201,MATCH(1,(EXCEPCIONES_FECHA!$A$2:$A$201=$A1498)*(EXCEPCIONES_FECHA!$B$2:$B$201=""),0)),IFERROR(INDEX(IF($I1498="FIN",HISTORIAL_HORARIOS!$K$2:$K$201,HISTORIAL_HORARIOS!$G$2:$G$201),MATCH(1,(HISTORIAL_HORARIOS!$A$2:$A$201=$B1498)*(HISTORIAL_HORARIOS!$C$2:$C$201&lt;=$A1498)*(HISTORIAL_HORARIOS!$D$2:$D$201&gt;=$A1498),0)),INDEX(IF($I1498="FIN",PERSONAL!$K$2:$K$80,PERSONAL!$G$2:$G$80),MATCH($B1498,PERSONAL!$A$2:$A$80,0)))))</f>
        <v/>
      </c>
      <c r="O1498" s="53">
        <f t="array" ref="O1498">IFERROR(INDEX(EXCEPCIONES_FECHA!$F$2:$F$201,MATCH(1,(EXCEPCIONES_FECHA!$A$2:$A$201=$A1498)*(EXCEPCIONES_FECHA!$B$2:$B$201=$B1498),0)),IFERROR(INDEX(EXCEPCIONES_FECHA!$F$2:$F$201,MATCH(1,(EXCEPCIONES_FECHA!$A$2:$A$201=$A1498)*(EXCEPCIONES_FECHA!$B$2:$B$201=""),0)),IFERROR(INDEX(IF($I1498="FIN",HISTORIAL_HORARIOS!$L$2:$L$201,HISTORIAL_HORARIOS!$H$2:$H$201),MATCH(1,(HISTORIAL_HORARIOS!$A$2:$A$201=$B1498)*(HISTORIAL_HORARIOS!$C$2:$C$201&lt;=$A1498)*(HISTORIAL_HORARIOS!$D$2:$D$201&gt;=$A1498),0)),INDEX(IF($I1498="FIN",PERSONAL!$L$2:$L$80,PERSONAL!$H$2:$H$80),MATCH($B1498,PERSONAL!$A$2:$A$80,0)))))</f>
        <v/>
      </c>
    </row>
    <row r="1499" ht="15" customHeight="1" s="58">
      <c r="A1499" s="40" t="n"/>
      <c r="B1499" s="38" t="n"/>
      <c r="C1499" s="40" t="n"/>
      <c r="D1499" s="40" t="n"/>
      <c r="E1499" s="34">
        <f t="array" ref="E1499">IF($B1499="","",IFERROR(INDEX(PERSONAL!$B$2:$B$80,MATCH($B1499,PERSONAL!$A$2:$A$80,0)),"NO EXISTE"))</f>
        <v/>
      </c>
      <c r="F1499" s="34">
        <f t="array" ref="F1499">IF($B1499="","",IFERROR(INDEX(PERSONAL!$C$2:$C$80,MATCH($B1499,PERSONAL!$A$2:$A$80,0)),""))</f>
        <v/>
      </c>
      <c r="G1499" s="34">
        <f>IF($A1499="","",CHOOSE(WEEKDAY($A1499,2),"LUNES","MARTES","MIÉRCOLES","JUEVES","VIERNES","SÁBADO","DOMINGO"))</f>
        <v/>
      </c>
      <c r="H1499" s="34">
        <f>IF($A1499="","",CHOOSE(MONTH($A1499),"ENERO","FEBRERO","MARZO","ABRIL","MAYO","JUNIO","JULIO","AGOSTO","SEPTIEMBRE","OCTUBRE","NOVIEMBRE","DICIEMBRE"))</f>
        <v/>
      </c>
      <c r="I1499" s="34">
        <f>IF($A1499="","",IF(OR($G1499="SÁBADO",$G1499="DOMINGO"),"FIN","LV"))</f>
        <v/>
      </c>
      <c r="J1499" s="34">
        <f>IF(OR($A1499="",$B1499=""),"",IF($L1499&lt;&gt;"",UPPER($L1499),IF($C1499="","FALTA",IFERROR(IF($C1499&gt;=$O1499,"ROJO FUERTE",IF($C1499&gt;=$N1499,"ROJO",IF($C1499&gt;=$M1499,"AMARILLO","VERDE"))),"REVISAR"))))</f>
        <v/>
      </c>
      <c r="K1499" s="36">
        <f>IF(OR($C1499="",$D1499=""),"",IF($D1499&gt;=$C1499,($D1499-$C1499)*24,(1-$C1499+$D1499)*24))</f>
        <v/>
      </c>
      <c r="L1499" s="34" t="n"/>
      <c r="M1499" s="53">
        <f t="array" ref="M1499">IFERROR(INDEX(EXCEPCIONES_FECHA!$D$2:$D$201,MATCH(1,(EXCEPCIONES_FECHA!$A$2:$A$201=$A1499)*(EXCEPCIONES_FECHA!$B$2:$B$201=$B1499),0)),IFERROR(INDEX(EXCEPCIONES_FECHA!$D$2:$D$201,MATCH(1,(EXCEPCIONES_FECHA!$A$2:$A$201=$A1499)*(EXCEPCIONES_FECHA!$B$2:$B$201=""),0)),IFERROR(INDEX(IF($I1499="FIN",HISTORIAL_HORARIOS!$J$2:$J$201,HISTORIAL_HORARIOS!$F$2:$F$201),MATCH(1,(HISTORIAL_HORARIOS!$A$2:$A$201=$B1499)*(HISTORIAL_HORARIOS!$C$2:$C$201&lt;=$A1499)*(HISTORIAL_HORARIOS!$D$2:$D$201&gt;=$A1499),0)),INDEX(IF($I1499="FIN",PERSONAL!$J$2:$J$80,PERSONAL!$F$2:$F$80),MATCH($B1499,PERSONAL!$A$2:$A$80,0)))))</f>
        <v/>
      </c>
      <c r="N1499" s="53">
        <f t="array" ref="N1499">IFERROR(INDEX(EXCEPCIONES_FECHA!$E$2:$E$201,MATCH(1,(EXCEPCIONES_FECHA!$A$2:$A$201=$A1499)*(EXCEPCIONES_FECHA!$B$2:$B$201=$B1499),0)),IFERROR(INDEX(EXCEPCIONES_FECHA!$E$2:$E$201,MATCH(1,(EXCEPCIONES_FECHA!$A$2:$A$201=$A1499)*(EXCEPCIONES_FECHA!$B$2:$B$201=""),0)),IFERROR(INDEX(IF($I1499="FIN",HISTORIAL_HORARIOS!$K$2:$K$201,HISTORIAL_HORARIOS!$G$2:$G$201),MATCH(1,(HISTORIAL_HORARIOS!$A$2:$A$201=$B1499)*(HISTORIAL_HORARIOS!$C$2:$C$201&lt;=$A1499)*(HISTORIAL_HORARIOS!$D$2:$D$201&gt;=$A1499),0)),INDEX(IF($I1499="FIN",PERSONAL!$K$2:$K$80,PERSONAL!$G$2:$G$80),MATCH($B1499,PERSONAL!$A$2:$A$80,0)))))</f>
        <v/>
      </c>
      <c r="O1499" s="53">
        <f t="array" ref="O1499">IFERROR(INDEX(EXCEPCIONES_FECHA!$F$2:$F$201,MATCH(1,(EXCEPCIONES_FECHA!$A$2:$A$201=$A1499)*(EXCEPCIONES_FECHA!$B$2:$B$201=$B1499),0)),IFERROR(INDEX(EXCEPCIONES_FECHA!$F$2:$F$201,MATCH(1,(EXCEPCIONES_FECHA!$A$2:$A$201=$A1499)*(EXCEPCIONES_FECHA!$B$2:$B$201=""),0)),IFERROR(INDEX(IF($I1499="FIN",HISTORIAL_HORARIOS!$L$2:$L$201,HISTORIAL_HORARIOS!$H$2:$H$201),MATCH(1,(HISTORIAL_HORARIOS!$A$2:$A$201=$B1499)*(HISTORIAL_HORARIOS!$C$2:$C$201&lt;=$A1499)*(HISTORIAL_HORARIOS!$D$2:$D$201&gt;=$A1499),0)),INDEX(IF($I1499="FIN",PERSONAL!$L$2:$L$80,PERSONAL!$H$2:$H$80),MATCH($B1499,PERSONAL!$A$2:$A$80,0)))))</f>
        <v/>
      </c>
    </row>
    <row r="1500" ht="15" customHeight="1" s="58">
      <c r="A1500" s="40" t="n"/>
      <c r="B1500" s="38" t="n"/>
      <c r="C1500" s="40" t="n"/>
      <c r="D1500" s="40" t="n"/>
      <c r="E1500" s="34">
        <f t="array" ref="E1500">IF($B1500="","",IFERROR(INDEX(PERSONAL!$B$2:$B$80,MATCH($B1500,PERSONAL!$A$2:$A$80,0)),"NO EXISTE"))</f>
        <v/>
      </c>
      <c r="F1500" s="34">
        <f t="array" ref="F1500">IF($B1500="","",IFERROR(INDEX(PERSONAL!$C$2:$C$80,MATCH($B1500,PERSONAL!$A$2:$A$80,0)),""))</f>
        <v/>
      </c>
      <c r="G1500" s="34">
        <f>IF($A1500="","",CHOOSE(WEEKDAY($A1500,2),"LUNES","MARTES","MIÉRCOLES","JUEVES","VIERNES","SÁBADO","DOMINGO"))</f>
        <v/>
      </c>
      <c r="H1500" s="34">
        <f>IF($A1500="","",CHOOSE(MONTH($A1500),"ENERO","FEBRERO","MARZO","ABRIL","MAYO","JUNIO","JULIO","AGOSTO","SEPTIEMBRE","OCTUBRE","NOVIEMBRE","DICIEMBRE"))</f>
        <v/>
      </c>
      <c r="I1500" s="34">
        <f>IF($A1500="","",IF(OR($G1500="SÁBADO",$G1500="DOMINGO"),"FIN","LV"))</f>
        <v/>
      </c>
      <c r="J1500" s="34">
        <f>IF(OR($A1500="",$B1500=""),"",IF($L1500&lt;&gt;"",UPPER($L1500),IF($C1500="","FALTA",IFERROR(IF($C1500&gt;=$O1500,"ROJO FUERTE",IF($C1500&gt;=$N1500,"ROJO",IF($C1500&gt;=$M1500,"AMARILLO","VERDE"))),"REVISAR"))))</f>
        <v/>
      </c>
      <c r="K1500" s="36">
        <f>IF(OR($C1500="",$D1500=""),"",IF($D1500&gt;=$C1500,($D1500-$C1500)*24,(1-$C1500+$D1500)*24))</f>
        <v/>
      </c>
      <c r="L1500" s="34" t="n"/>
      <c r="M1500" s="53">
        <f t="array" ref="M1500">IFERROR(INDEX(EXCEPCIONES_FECHA!$D$2:$D$201,MATCH(1,(EXCEPCIONES_FECHA!$A$2:$A$201=$A1500)*(EXCEPCIONES_FECHA!$B$2:$B$201=$B1500),0)),IFERROR(INDEX(EXCEPCIONES_FECHA!$D$2:$D$201,MATCH(1,(EXCEPCIONES_FECHA!$A$2:$A$201=$A1500)*(EXCEPCIONES_FECHA!$B$2:$B$201=""),0)),IFERROR(INDEX(IF($I1500="FIN",HISTORIAL_HORARIOS!$J$2:$J$201,HISTORIAL_HORARIOS!$F$2:$F$201),MATCH(1,(HISTORIAL_HORARIOS!$A$2:$A$201=$B1500)*(HISTORIAL_HORARIOS!$C$2:$C$201&lt;=$A1500)*(HISTORIAL_HORARIOS!$D$2:$D$201&gt;=$A1500),0)),INDEX(IF($I1500="FIN",PERSONAL!$J$2:$J$80,PERSONAL!$F$2:$F$80),MATCH($B1500,PERSONAL!$A$2:$A$80,0)))))</f>
        <v/>
      </c>
      <c r="N1500" s="53">
        <f t="array" ref="N1500">IFERROR(INDEX(EXCEPCIONES_FECHA!$E$2:$E$201,MATCH(1,(EXCEPCIONES_FECHA!$A$2:$A$201=$A1500)*(EXCEPCIONES_FECHA!$B$2:$B$201=$B1500),0)),IFERROR(INDEX(EXCEPCIONES_FECHA!$E$2:$E$201,MATCH(1,(EXCEPCIONES_FECHA!$A$2:$A$201=$A1500)*(EXCEPCIONES_FECHA!$B$2:$B$201=""),0)),IFERROR(INDEX(IF($I1500="FIN",HISTORIAL_HORARIOS!$K$2:$K$201,HISTORIAL_HORARIOS!$G$2:$G$201),MATCH(1,(HISTORIAL_HORARIOS!$A$2:$A$201=$B1500)*(HISTORIAL_HORARIOS!$C$2:$C$201&lt;=$A1500)*(HISTORIAL_HORARIOS!$D$2:$D$201&gt;=$A1500),0)),INDEX(IF($I1500="FIN",PERSONAL!$K$2:$K$80,PERSONAL!$G$2:$G$80),MATCH($B1500,PERSONAL!$A$2:$A$80,0)))))</f>
        <v/>
      </c>
      <c r="O1500" s="53">
        <f t="array" ref="O1500">IFERROR(INDEX(EXCEPCIONES_FECHA!$F$2:$F$201,MATCH(1,(EXCEPCIONES_FECHA!$A$2:$A$201=$A1500)*(EXCEPCIONES_FECHA!$B$2:$B$201=$B1500),0)),IFERROR(INDEX(EXCEPCIONES_FECHA!$F$2:$F$201,MATCH(1,(EXCEPCIONES_FECHA!$A$2:$A$201=$A1500)*(EXCEPCIONES_FECHA!$B$2:$B$201=""),0)),IFERROR(INDEX(IF($I1500="FIN",HISTORIAL_HORARIOS!$L$2:$L$201,HISTORIAL_HORARIOS!$H$2:$H$201),MATCH(1,(HISTORIAL_HORARIOS!$A$2:$A$201=$B1500)*(HISTORIAL_HORARIOS!$C$2:$C$201&lt;=$A1500)*(HISTORIAL_HORARIOS!$D$2:$D$201&gt;=$A1500),0)),INDEX(IF($I1500="FIN",PERSONAL!$L$2:$L$80,PERSONAL!$H$2:$H$80),MATCH($B1500,PERSONAL!$A$2:$A$80,0)))))</f>
        <v/>
      </c>
    </row>
    <row r="1501" ht="15" customHeight="1" s="58">
      <c r="A1501" s="40" t="n"/>
      <c r="B1501" s="38" t="n"/>
      <c r="C1501" s="40" t="n"/>
      <c r="D1501" s="40" t="n"/>
      <c r="E1501" s="34">
        <f t="array" ref="E1501">IF($B1501="","",IFERROR(INDEX(PERSONAL!$B$2:$B$80,MATCH($B1501,PERSONAL!$A$2:$A$80,0)),"NO EXISTE"))</f>
        <v/>
      </c>
      <c r="F1501" s="34">
        <f t="array" ref="F1501">IF($B1501="","",IFERROR(INDEX(PERSONAL!$C$2:$C$80,MATCH($B1501,PERSONAL!$A$2:$A$80,0)),""))</f>
        <v/>
      </c>
      <c r="G1501" s="34">
        <f>IF($A1501="","",CHOOSE(WEEKDAY($A1501,2),"LUNES","MARTES","MIÉRCOLES","JUEVES","VIERNES","SÁBADO","DOMINGO"))</f>
        <v/>
      </c>
      <c r="H1501" s="34">
        <f>IF($A1501="","",CHOOSE(MONTH($A1501),"ENERO","FEBRERO","MARZO","ABRIL","MAYO","JUNIO","JULIO","AGOSTO","SEPTIEMBRE","OCTUBRE","NOVIEMBRE","DICIEMBRE"))</f>
        <v/>
      </c>
      <c r="I1501" s="34">
        <f>IF($A1501="","",IF(OR($G1501="SÁBADO",$G1501="DOMINGO"),"FIN","LV"))</f>
        <v/>
      </c>
      <c r="J1501" s="34">
        <f>IF(OR($A1501="",$B1501=""),"",IF($L1501&lt;&gt;"",UPPER($L1501),IF($C1501="","FALTA",IFERROR(IF($C1501&gt;=$O1501,"ROJO FUERTE",IF($C1501&gt;=$N1501,"ROJO",IF($C1501&gt;=$M1501,"AMARILLO","VERDE"))),"REVISAR"))))</f>
        <v/>
      </c>
      <c r="K1501" s="36">
        <f>IF(OR($C1501="",$D1501=""),"",IF($D1501&gt;=$C1501,($D1501-$C1501)*24,(1-$C1501+$D1501)*24))</f>
        <v/>
      </c>
      <c r="L1501" s="34" t="n"/>
      <c r="M1501" s="53">
        <f t="array" ref="M1501">IFERROR(INDEX(EXCEPCIONES_FECHA!$D$2:$D$201,MATCH(1,(EXCEPCIONES_FECHA!$A$2:$A$201=$A1501)*(EXCEPCIONES_FECHA!$B$2:$B$201=$B1501),0)),IFERROR(INDEX(EXCEPCIONES_FECHA!$D$2:$D$201,MATCH(1,(EXCEPCIONES_FECHA!$A$2:$A$201=$A1501)*(EXCEPCIONES_FECHA!$B$2:$B$201=""),0)),IFERROR(INDEX(IF($I1501="FIN",HISTORIAL_HORARIOS!$J$2:$J$201,HISTORIAL_HORARIOS!$F$2:$F$201),MATCH(1,(HISTORIAL_HORARIOS!$A$2:$A$201=$B1501)*(HISTORIAL_HORARIOS!$C$2:$C$201&lt;=$A1501)*(HISTORIAL_HORARIOS!$D$2:$D$201&gt;=$A1501),0)),INDEX(IF($I1501="FIN",PERSONAL!$J$2:$J$80,PERSONAL!$F$2:$F$80),MATCH($B1501,PERSONAL!$A$2:$A$80,0)))))</f>
        <v/>
      </c>
      <c r="N1501" s="53">
        <f t="array" ref="N1501">IFERROR(INDEX(EXCEPCIONES_FECHA!$E$2:$E$201,MATCH(1,(EXCEPCIONES_FECHA!$A$2:$A$201=$A1501)*(EXCEPCIONES_FECHA!$B$2:$B$201=$B1501),0)),IFERROR(INDEX(EXCEPCIONES_FECHA!$E$2:$E$201,MATCH(1,(EXCEPCIONES_FECHA!$A$2:$A$201=$A1501)*(EXCEPCIONES_FECHA!$B$2:$B$201=""),0)),IFERROR(INDEX(IF($I1501="FIN",HISTORIAL_HORARIOS!$K$2:$K$201,HISTORIAL_HORARIOS!$G$2:$G$201),MATCH(1,(HISTORIAL_HORARIOS!$A$2:$A$201=$B1501)*(HISTORIAL_HORARIOS!$C$2:$C$201&lt;=$A1501)*(HISTORIAL_HORARIOS!$D$2:$D$201&gt;=$A1501),0)),INDEX(IF($I1501="FIN",PERSONAL!$K$2:$K$80,PERSONAL!$G$2:$G$80),MATCH($B1501,PERSONAL!$A$2:$A$80,0)))))</f>
        <v/>
      </c>
      <c r="O1501" s="53">
        <f t="array" ref="O1501">IFERROR(INDEX(EXCEPCIONES_FECHA!$F$2:$F$201,MATCH(1,(EXCEPCIONES_FECHA!$A$2:$A$201=$A1501)*(EXCEPCIONES_FECHA!$B$2:$B$201=$B1501),0)),IFERROR(INDEX(EXCEPCIONES_FECHA!$F$2:$F$201,MATCH(1,(EXCEPCIONES_FECHA!$A$2:$A$201=$A1501)*(EXCEPCIONES_FECHA!$B$2:$B$201=""),0)),IFERROR(INDEX(IF($I1501="FIN",HISTORIAL_HORARIOS!$L$2:$L$201,HISTORIAL_HORARIOS!$H$2:$H$201),MATCH(1,(HISTORIAL_HORARIOS!$A$2:$A$201=$B1501)*(HISTORIAL_HORARIOS!$C$2:$C$201&lt;=$A1501)*(HISTORIAL_HORARIOS!$D$2:$D$201&gt;=$A1501),0)),INDEX(IF($I1501="FIN",PERSONAL!$L$2:$L$80,PERSONAL!$H$2:$H$80),MATCH($B1501,PERSONAL!$A$2:$A$80,0)))))</f>
        <v/>
      </c>
    </row>
    <row r="1502" ht="15" customHeight="1" s="58">
      <c r="A1502" s="40" t="n"/>
      <c r="B1502" s="38" t="n"/>
      <c r="C1502" s="40" t="n"/>
      <c r="D1502" s="40" t="n"/>
      <c r="E1502" s="34">
        <f t="array" ref="E1502">IF($B1502="","",IFERROR(INDEX(PERSONAL!$B$2:$B$80,MATCH($B1502,PERSONAL!$A$2:$A$80,0)),"NO EXISTE"))</f>
        <v/>
      </c>
      <c r="F1502" s="34">
        <f t="array" ref="F1502">IF($B1502="","",IFERROR(INDEX(PERSONAL!$C$2:$C$80,MATCH($B1502,PERSONAL!$A$2:$A$80,0)),""))</f>
        <v/>
      </c>
      <c r="G1502" s="34">
        <f>IF($A1502="","",CHOOSE(WEEKDAY($A1502,2),"LUNES","MARTES","MIÉRCOLES","JUEVES","VIERNES","SÁBADO","DOMINGO"))</f>
        <v/>
      </c>
      <c r="H1502" s="34">
        <f>IF($A1502="","",CHOOSE(MONTH($A1502),"ENERO","FEBRERO","MARZO","ABRIL","MAYO","JUNIO","JULIO","AGOSTO","SEPTIEMBRE","OCTUBRE","NOVIEMBRE","DICIEMBRE"))</f>
        <v/>
      </c>
      <c r="I1502" s="34">
        <f>IF($A1502="","",IF(OR($G1502="SÁBADO",$G1502="DOMINGO"),"FIN","LV"))</f>
        <v/>
      </c>
      <c r="J1502" s="34">
        <f>IF(OR($A1502="",$B1502=""),"",IF($L1502&lt;&gt;"",UPPER($L1502),IF($C1502="","FALTA",IFERROR(IF($C1502&gt;=$O1502,"ROJO FUERTE",IF($C1502&gt;=$N1502,"ROJO",IF($C1502&gt;=$M1502,"AMARILLO","VERDE"))),"REVISAR"))))</f>
        <v/>
      </c>
      <c r="K1502" s="36">
        <f>IF(OR($C1502="",$D1502=""),"",IF($D1502&gt;=$C1502,($D1502-$C1502)*24,(1-$C1502+$D1502)*24))</f>
        <v/>
      </c>
      <c r="L1502" s="34" t="n"/>
      <c r="M1502" s="53">
        <f t="array" ref="M1502">IFERROR(INDEX(EXCEPCIONES_FECHA!$D$2:$D$201,MATCH(1,(EXCEPCIONES_FECHA!$A$2:$A$201=$A1502)*(EXCEPCIONES_FECHA!$B$2:$B$201=$B1502),0)),IFERROR(INDEX(EXCEPCIONES_FECHA!$D$2:$D$201,MATCH(1,(EXCEPCIONES_FECHA!$A$2:$A$201=$A1502)*(EXCEPCIONES_FECHA!$B$2:$B$201=""),0)),IFERROR(INDEX(IF($I1502="FIN",HISTORIAL_HORARIOS!$J$2:$J$201,HISTORIAL_HORARIOS!$F$2:$F$201),MATCH(1,(HISTORIAL_HORARIOS!$A$2:$A$201=$B1502)*(HISTORIAL_HORARIOS!$C$2:$C$201&lt;=$A1502)*(HISTORIAL_HORARIOS!$D$2:$D$201&gt;=$A1502),0)),INDEX(IF($I1502="FIN",PERSONAL!$J$2:$J$80,PERSONAL!$F$2:$F$80),MATCH($B1502,PERSONAL!$A$2:$A$80,0)))))</f>
        <v/>
      </c>
      <c r="N1502" s="53">
        <f t="array" ref="N1502">IFERROR(INDEX(EXCEPCIONES_FECHA!$E$2:$E$201,MATCH(1,(EXCEPCIONES_FECHA!$A$2:$A$201=$A1502)*(EXCEPCIONES_FECHA!$B$2:$B$201=$B1502),0)),IFERROR(INDEX(EXCEPCIONES_FECHA!$E$2:$E$201,MATCH(1,(EXCEPCIONES_FECHA!$A$2:$A$201=$A1502)*(EXCEPCIONES_FECHA!$B$2:$B$201=""),0)),IFERROR(INDEX(IF($I1502="FIN",HISTORIAL_HORARIOS!$K$2:$K$201,HISTORIAL_HORARIOS!$G$2:$G$201),MATCH(1,(HISTORIAL_HORARIOS!$A$2:$A$201=$B1502)*(HISTORIAL_HORARIOS!$C$2:$C$201&lt;=$A1502)*(HISTORIAL_HORARIOS!$D$2:$D$201&gt;=$A1502),0)),INDEX(IF($I1502="FIN",PERSONAL!$K$2:$K$80,PERSONAL!$G$2:$G$80),MATCH($B1502,PERSONAL!$A$2:$A$80,0)))))</f>
        <v/>
      </c>
      <c r="O1502" s="53">
        <f t="array" ref="O1502">IFERROR(INDEX(EXCEPCIONES_FECHA!$F$2:$F$201,MATCH(1,(EXCEPCIONES_FECHA!$A$2:$A$201=$A1502)*(EXCEPCIONES_FECHA!$B$2:$B$201=$B1502),0)),IFERROR(INDEX(EXCEPCIONES_FECHA!$F$2:$F$201,MATCH(1,(EXCEPCIONES_FECHA!$A$2:$A$201=$A1502)*(EXCEPCIONES_FECHA!$B$2:$B$201=""),0)),IFERROR(INDEX(IF($I1502="FIN",HISTORIAL_HORARIOS!$L$2:$L$201,HISTORIAL_HORARIOS!$H$2:$H$201),MATCH(1,(HISTORIAL_HORARIOS!$A$2:$A$201=$B1502)*(HISTORIAL_HORARIOS!$C$2:$C$201&lt;=$A1502)*(HISTORIAL_HORARIOS!$D$2:$D$201&gt;=$A1502),0)),INDEX(IF($I1502="FIN",PERSONAL!$L$2:$L$80,PERSONAL!$H$2:$H$80),MATCH($B1502,PERSONAL!$A$2:$A$80,0)))))</f>
        <v/>
      </c>
    </row>
    <row r="1503" ht="15" customHeight="1" s="58">
      <c r="A1503" s="40" t="n"/>
      <c r="B1503" s="38" t="n"/>
      <c r="C1503" s="40" t="n"/>
      <c r="D1503" s="40" t="n"/>
      <c r="E1503" s="34">
        <f t="array" ref="E1503">IF($B1503="","",IFERROR(INDEX(PERSONAL!$B$2:$B$80,MATCH($B1503,PERSONAL!$A$2:$A$80,0)),"NO EXISTE"))</f>
        <v/>
      </c>
      <c r="F1503" s="34">
        <f t="array" ref="F1503">IF($B1503="","",IFERROR(INDEX(PERSONAL!$C$2:$C$80,MATCH($B1503,PERSONAL!$A$2:$A$80,0)),""))</f>
        <v/>
      </c>
      <c r="G1503" s="34">
        <f>IF($A1503="","",CHOOSE(WEEKDAY($A1503,2),"LUNES","MARTES","MIÉRCOLES","JUEVES","VIERNES","SÁBADO","DOMINGO"))</f>
        <v/>
      </c>
      <c r="H1503" s="34">
        <f>IF($A1503="","",CHOOSE(MONTH($A1503),"ENERO","FEBRERO","MARZO","ABRIL","MAYO","JUNIO","JULIO","AGOSTO","SEPTIEMBRE","OCTUBRE","NOVIEMBRE","DICIEMBRE"))</f>
        <v/>
      </c>
      <c r="I1503" s="34">
        <f>IF($A1503="","",IF(OR($G1503="SÁBADO",$G1503="DOMINGO"),"FIN","LV"))</f>
        <v/>
      </c>
      <c r="J1503" s="34">
        <f>IF(OR($A1503="",$B1503=""),"",IF($L1503&lt;&gt;"",UPPER($L1503),IF($C1503="","FALTA",IFERROR(IF($C1503&gt;=$O1503,"ROJO FUERTE",IF($C1503&gt;=$N1503,"ROJO",IF($C1503&gt;=$M1503,"AMARILLO","VERDE"))),"REVISAR"))))</f>
        <v/>
      </c>
      <c r="K1503" s="36">
        <f>IF(OR($C1503="",$D1503=""),"",IF($D1503&gt;=$C1503,($D1503-$C1503)*24,(1-$C1503+$D1503)*24))</f>
        <v/>
      </c>
      <c r="L1503" s="34" t="n"/>
      <c r="M1503" s="53">
        <f t="array" ref="M1503">IFERROR(INDEX(EXCEPCIONES_FECHA!$D$2:$D$201,MATCH(1,(EXCEPCIONES_FECHA!$A$2:$A$201=$A1503)*(EXCEPCIONES_FECHA!$B$2:$B$201=$B1503),0)),IFERROR(INDEX(EXCEPCIONES_FECHA!$D$2:$D$201,MATCH(1,(EXCEPCIONES_FECHA!$A$2:$A$201=$A1503)*(EXCEPCIONES_FECHA!$B$2:$B$201=""),0)),IFERROR(INDEX(IF($I1503="FIN",HISTORIAL_HORARIOS!$J$2:$J$201,HISTORIAL_HORARIOS!$F$2:$F$201),MATCH(1,(HISTORIAL_HORARIOS!$A$2:$A$201=$B1503)*(HISTORIAL_HORARIOS!$C$2:$C$201&lt;=$A1503)*(HISTORIAL_HORARIOS!$D$2:$D$201&gt;=$A1503),0)),INDEX(IF($I1503="FIN",PERSONAL!$J$2:$J$80,PERSONAL!$F$2:$F$80),MATCH($B1503,PERSONAL!$A$2:$A$80,0)))))</f>
        <v/>
      </c>
      <c r="N1503" s="53">
        <f t="array" ref="N1503">IFERROR(INDEX(EXCEPCIONES_FECHA!$E$2:$E$201,MATCH(1,(EXCEPCIONES_FECHA!$A$2:$A$201=$A1503)*(EXCEPCIONES_FECHA!$B$2:$B$201=$B1503),0)),IFERROR(INDEX(EXCEPCIONES_FECHA!$E$2:$E$201,MATCH(1,(EXCEPCIONES_FECHA!$A$2:$A$201=$A1503)*(EXCEPCIONES_FECHA!$B$2:$B$201=""),0)),IFERROR(INDEX(IF($I1503="FIN",HISTORIAL_HORARIOS!$K$2:$K$201,HISTORIAL_HORARIOS!$G$2:$G$201),MATCH(1,(HISTORIAL_HORARIOS!$A$2:$A$201=$B1503)*(HISTORIAL_HORARIOS!$C$2:$C$201&lt;=$A1503)*(HISTORIAL_HORARIOS!$D$2:$D$201&gt;=$A1503),0)),INDEX(IF($I1503="FIN",PERSONAL!$K$2:$K$80,PERSONAL!$G$2:$G$80),MATCH($B1503,PERSONAL!$A$2:$A$80,0)))))</f>
        <v/>
      </c>
      <c r="O1503" s="53">
        <f t="array" ref="O1503">IFERROR(INDEX(EXCEPCIONES_FECHA!$F$2:$F$201,MATCH(1,(EXCEPCIONES_FECHA!$A$2:$A$201=$A1503)*(EXCEPCIONES_FECHA!$B$2:$B$201=$B1503),0)),IFERROR(INDEX(EXCEPCIONES_FECHA!$F$2:$F$201,MATCH(1,(EXCEPCIONES_FECHA!$A$2:$A$201=$A1503)*(EXCEPCIONES_FECHA!$B$2:$B$201=""),0)),IFERROR(INDEX(IF($I1503="FIN",HISTORIAL_HORARIOS!$L$2:$L$201,HISTORIAL_HORARIOS!$H$2:$H$201),MATCH(1,(HISTORIAL_HORARIOS!$A$2:$A$201=$B1503)*(HISTORIAL_HORARIOS!$C$2:$C$201&lt;=$A1503)*(HISTORIAL_HORARIOS!$D$2:$D$201&gt;=$A1503),0)),INDEX(IF($I1503="FIN",PERSONAL!$L$2:$L$80,PERSONAL!$H$2:$H$80),MATCH($B1503,PERSONAL!$A$2:$A$80,0)))))</f>
        <v/>
      </c>
    </row>
    <row r="1504" ht="15" customHeight="1" s="58">
      <c r="A1504" s="40" t="n"/>
      <c r="B1504" s="38" t="n"/>
      <c r="C1504" s="40" t="n"/>
      <c r="D1504" s="40" t="n"/>
      <c r="E1504" s="34">
        <f t="array" ref="E1504">IF($B1504="","",IFERROR(INDEX(PERSONAL!$B$2:$B$80,MATCH($B1504,PERSONAL!$A$2:$A$80,0)),"NO EXISTE"))</f>
        <v/>
      </c>
      <c r="F1504" s="34">
        <f t="array" ref="F1504">IF($B1504="","",IFERROR(INDEX(PERSONAL!$C$2:$C$80,MATCH($B1504,PERSONAL!$A$2:$A$80,0)),""))</f>
        <v/>
      </c>
      <c r="G1504" s="34">
        <f>IF($A1504="","",CHOOSE(WEEKDAY($A1504,2),"LUNES","MARTES","MIÉRCOLES","JUEVES","VIERNES","SÁBADO","DOMINGO"))</f>
        <v/>
      </c>
      <c r="H1504" s="34">
        <f>IF($A1504="","",CHOOSE(MONTH($A1504),"ENERO","FEBRERO","MARZO","ABRIL","MAYO","JUNIO","JULIO","AGOSTO","SEPTIEMBRE","OCTUBRE","NOVIEMBRE","DICIEMBRE"))</f>
        <v/>
      </c>
      <c r="I1504" s="34">
        <f>IF($A1504="","",IF(OR($G1504="SÁBADO",$G1504="DOMINGO"),"FIN","LV"))</f>
        <v/>
      </c>
      <c r="J1504" s="34">
        <f>IF(OR($A1504="",$B1504=""),"",IF($L1504&lt;&gt;"",UPPER($L1504),IF($C1504="","FALTA",IFERROR(IF($C1504&gt;=$O1504,"ROJO FUERTE",IF($C1504&gt;=$N1504,"ROJO",IF($C1504&gt;=$M1504,"AMARILLO","VERDE"))),"REVISAR"))))</f>
        <v/>
      </c>
      <c r="K1504" s="36">
        <f>IF(OR($C1504="",$D1504=""),"",IF($D1504&gt;=$C1504,($D1504-$C1504)*24,(1-$C1504+$D1504)*24))</f>
        <v/>
      </c>
      <c r="L1504" s="34" t="n"/>
      <c r="M1504" s="53">
        <f t="array" ref="M1504">IFERROR(INDEX(EXCEPCIONES_FECHA!$D$2:$D$201,MATCH(1,(EXCEPCIONES_FECHA!$A$2:$A$201=$A1504)*(EXCEPCIONES_FECHA!$B$2:$B$201=$B1504),0)),IFERROR(INDEX(EXCEPCIONES_FECHA!$D$2:$D$201,MATCH(1,(EXCEPCIONES_FECHA!$A$2:$A$201=$A1504)*(EXCEPCIONES_FECHA!$B$2:$B$201=""),0)),IFERROR(INDEX(IF($I1504="FIN",HISTORIAL_HORARIOS!$J$2:$J$201,HISTORIAL_HORARIOS!$F$2:$F$201),MATCH(1,(HISTORIAL_HORARIOS!$A$2:$A$201=$B1504)*(HISTORIAL_HORARIOS!$C$2:$C$201&lt;=$A1504)*(HISTORIAL_HORARIOS!$D$2:$D$201&gt;=$A1504),0)),INDEX(IF($I1504="FIN",PERSONAL!$J$2:$J$80,PERSONAL!$F$2:$F$80),MATCH($B1504,PERSONAL!$A$2:$A$80,0)))))</f>
        <v/>
      </c>
      <c r="N1504" s="53">
        <f t="array" ref="N1504">IFERROR(INDEX(EXCEPCIONES_FECHA!$E$2:$E$201,MATCH(1,(EXCEPCIONES_FECHA!$A$2:$A$201=$A1504)*(EXCEPCIONES_FECHA!$B$2:$B$201=$B1504),0)),IFERROR(INDEX(EXCEPCIONES_FECHA!$E$2:$E$201,MATCH(1,(EXCEPCIONES_FECHA!$A$2:$A$201=$A1504)*(EXCEPCIONES_FECHA!$B$2:$B$201=""),0)),IFERROR(INDEX(IF($I1504="FIN",HISTORIAL_HORARIOS!$K$2:$K$201,HISTORIAL_HORARIOS!$G$2:$G$201),MATCH(1,(HISTORIAL_HORARIOS!$A$2:$A$201=$B1504)*(HISTORIAL_HORARIOS!$C$2:$C$201&lt;=$A1504)*(HISTORIAL_HORARIOS!$D$2:$D$201&gt;=$A1504),0)),INDEX(IF($I1504="FIN",PERSONAL!$K$2:$K$80,PERSONAL!$G$2:$G$80),MATCH($B1504,PERSONAL!$A$2:$A$80,0)))))</f>
        <v/>
      </c>
      <c r="O1504" s="53">
        <f t="array" ref="O1504">IFERROR(INDEX(EXCEPCIONES_FECHA!$F$2:$F$201,MATCH(1,(EXCEPCIONES_FECHA!$A$2:$A$201=$A1504)*(EXCEPCIONES_FECHA!$B$2:$B$201=$B1504),0)),IFERROR(INDEX(EXCEPCIONES_FECHA!$F$2:$F$201,MATCH(1,(EXCEPCIONES_FECHA!$A$2:$A$201=$A1504)*(EXCEPCIONES_FECHA!$B$2:$B$201=""),0)),IFERROR(INDEX(IF($I1504="FIN",HISTORIAL_HORARIOS!$L$2:$L$201,HISTORIAL_HORARIOS!$H$2:$H$201),MATCH(1,(HISTORIAL_HORARIOS!$A$2:$A$201=$B1504)*(HISTORIAL_HORARIOS!$C$2:$C$201&lt;=$A1504)*(HISTORIAL_HORARIOS!$D$2:$D$201&gt;=$A1504),0)),INDEX(IF($I1504="FIN",PERSONAL!$L$2:$L$80,PERSONAL!$H$2:$H$80),MATCH($B1504,PERSONAL!$A$2:$A$80,0)))))</f>
        <v/>
      </c>
    </row>
    <row r="1505" ht="15" customHeight="1" s="58">
      <c r="A1505" s="40" t="n"/>
      <c r="B1505" s="38" t="n"/>
      <c r="C1505" s="40" t="n"/>
      <c r="D1505" s="40" t="n"/>
      <c r="E1505" s="34">
        <f t="array" ref="E1505">IF($B1505="","",IFERROR(INDEX(PERSONAL!$B$2:$B$80,MATCH($B1505,PERSONAL!$A$2:$A$80,0)),"NO EXISTE"))</f>
        <v/>
      </c>
      <c r="F1505" s="34">
        <f t="array" ref="F1505">IF($B1505="","",IFERROR(INDEX(PERSONAL!$C$2:$C$80,MATCH($B1505,PERSONAL!$A$2:$A$80,0)),""))</f>
        <v/>
      </c>
      <c r="G1505" s="34">
        <f>IF($A1505="","",CHOOSE(WEEKDAY($A1505,2),"LUNES","MARTES","MIÉRCOLES","JUEVES","VIERNES","SÁBADO","DOMINGO"))</f>
        <v/>
      </c>
      <c r="H1505" s="34">
        <f>IF($A1505="","",CHOOSE(MONTH($A1505),"ENERO","FEBRERO","MARZO","ABRIL","MAYO","JUNIO","JULIO","AGOSTO","SEPTIEMBRE","OCTUBRE","NOVIEMBRE","DICIEMBRE"))</f>
        <v/>
      </c>
      <c r="I1505" s="34">
        <f>IF($A1505="","",IF(OR($G1505="SÁBADO",$G1505="DOMINGO"),"FIN","LV"))</f>
        <v/>
      </c>
      <c r="J1505" s="34">
        <f>IF(OR($A1505="",$B1505=""),"",IF($L1505&lt;&gt;"",UPPER($L1505),IF($C1505="","FALTA",IFERROR(IF($C1505&gt;=$O1505,"ROJO FUERTE",IF($C1505&gt;=$N1505,"ROJO",IF($C1505&gt;=$M1505,"AMARILLO","VERDE"))),"REVISAR"))))</f>
        <v/>
      </c>
      <c r="K1505" s="36">
        <f>IF(OR($C1505="",$D1505=""),"",IF($D1505&gt;=$C1505,($D1505-$C1505)*24,(1-$C1505+$D1505)*24))</f>
        <v/>
      </c>
      <c r="L1505" s="34" t="n"/>
      <c r="M1505" s="53">
        <f t="array" ref="M1505">IFERROR(INDEX(EXCEPCIONES_FECHA!$D$2:$D$201,MATCH(1,(EXCEPCIONES_FECHA!$A$2:$A$201=$A1505)*(EXCEPCIONES_FECHA!$B$2:$B$201=$B1505),0)),IFERROR(INDEX(EXCEPCIONES_FECHA!$D$2:$D$201,MATCH(1,(EXCEPCIONES_FECHA!$A$2:$A$201=$A1505)*(EXCEPCIONES_FECHA!$B$2:$B$201=""),0)),IFERROR(INDEX(IF($I1505="FIN",HISTORIAL_HORARIOS!$J$2:$J$201,HISTORIAL_HORARIOS!$F$2:$F$201),MATCH(1,(HISTORIAL_HORARIOS!$A$2:$A$201=$B1505)*(HISTORIAL_HORARIOS!$C$2:$C$201&lt;=$A1505)*(HISTORIAL_HORARIOS!$D$2:$D$201&gt;=$A1505),0)),INDEX(IF($I1505="FIN",PERSONAL!$J$2:$J$80,PERSONAL!$F$2:$F$80),MATCH($B1505,PERSONAL!$A$2:$A$80,0)))))</f>
        <v/>
      </c>
      <c r="N1505" s="53">
        <f t="array" ref="N1505">IFERROR(INDEX(EXCEPCIONES_FECHA!$E$2:$E$201,MATCH(1,(EXCEPCIONES_FECHA!$A$2:$A$201=$A1505)*(EXCEPCIONES_FECHA!$B$2:$B$201=$B1505),0)),IFERROR(INDEX(EXCEPCIONES_FECHA!$E$2:$E$201,MATCH(1,(EXCEPCIONES_FECHA!$A$2:$A$201=$A1505)*(EXCEPCIONES_FECHA!$B$2:$B$201=""),0)),IFERROR(INDEX(IF($I1505="FIN",HISTORIAL_HORARIOS!$K$2:$K$201,HISTORIAL_HORARIOS!$G$2:$G$201),MATCH(1,(HISTORIAL_HORARIOS!$A$2:$A$201=$B1505)*(HISTORIAL_HORARIOS!$C$2:$C$201&lt;=$A1505)*(HISTORIAL_HORARIOS!$D$2:$D$201&gt;=$A1505),0)),INDEX(IF($I1505="FIN",PERSONAL!$K$2:$K$80,PERSONAL!$G$2:$G$80),MATCH($B1505,PERSONAL!$A$2:$A$80,0)))))</f>
        <v/>
      </c>
      <c r="O1505" s="53">
        <f t="array" ref="O1505">IFERROR(INDEX(EXCEPCIONES_FECHA!$F$2:$F$201,MATCH(1,(EXCEPCIONES_FECHA!$A$2:$A$201=$A1505)*(EXCEPCIONES_FECHA!$B$2:$B$201=$B1505),0)),IFERROR(INDEX(EXCEPCIONES_FECHA!$F$2:$F$201,MATCH(1,(EXCEPCIONES_FECHA!$A$2:$A$201=$A1505)*(EXCEPCIONES_FECHA!$B$2:$B$201=""),0)),IFERROR(INDEX(IF($I1505="FIN",HISTORIAL_HORARIOS!$L$2:$L$201,HISTORIAL_HORARIOS!$H$2:$H$201),MATCH(1,(HISTORIAL_HORARIOS!$A$2:$A$201=$B1505)*(HISTORIAL_HORARIOS!$C$2:$C$201&lt;=$A1505)*(HISTORIAL_HORARIOS!$D$2:$D$201&gt;=$A1505),0)),INDEX(IF($I1505="FIN",PERSONAL!$L$2:$L$80,PERSONAL!$H$2:$H$80),MATCH($B1505,PERSONAL!$A$2:$A$80,0)))))</f>
        <v/>
      </c>
    </row>
    <row r="1506" ht="15" customHeight="1" s="58">
      <c r="A1506" s="40" t="n"/>
      <c r="B1506" s="38" t="n"/>
      <c r="C1506" s="40" t="n"/>
      <c r="D1506" s="40" t="n"/>
      <c r="E1506" s="34">
        <f t="array" ref="E1506">IF($B1506="","",IFERROR(INDEX(PERSONAL!$B$2:$B$80,MATCH($B1506,PERSONAL!$A$2:$A$80,0)),"NO EXISTE"))</f>
        <v/>
      </c>
      <c r="F1506" s="34">
        <f t="array" ref="F1506">IF($B1506="","",IFERROR(INDEX(PERSONAL!$C$2:$C$80,MATCH($B1506,PERSONAL!$A$2:$A$80,0)),""))</f>
        <v/>
      </c>
      <c r="G1506" s="34">
        <f>IF($A1506="","",CHOOSE(WEEKDAY($A1506,2),"LUNES","MARTES","MIÉRCOLES","JUEVES","VIERNES","SÁBADO","DOMINGO"))</f>
        <v/>
      </c>
      <c r="H1506" s="34">
        <f>IF($A1506="","",CHOOSE(MONTH($A1506),"ENERO","FEBRERO","MARZO","ABRIL","MAYO","JUNIO","JULIO","AGOSTO","SEPTIEMBRE","OCTUBRE","NOVIEMBRE","DICIEMBRE"))</f>
        <v/>
      </c>
      <c r="I1506" s="34">
        <f>IF($A1506="","",IF(OR($G1506="SÁBADO",$G1506="DOMINGO"),"FIN","LV"))</f>
        <v/>
      </c>
      <c r="J1506" s="34">
        <f>IF(OR($A1506="",$B1506=""),"",IF($L1506&lt;&gt;"",UPPER($L1506),IF($C1506="","FALTA",IFERROR(IF($C1506&gt;=$O1506,"ROJO FUERTE",IF($C1506&gt;=$N1506,"ROJO",IF($C1506&gt;=$M1506,"AMARILLO","VERDE"))),"REVISAR"))))</f>
        <v/>
      </c>
      <c r="K1506" s="36">
        <f>IF(OR($C1506="",$D1506=""),"",IF($D1506&gt;=$C1506,($D1506-$C1506)*24,(1-$C1506+$D1506)*24))</f>
        <v/>
      </c>
      <c r="L1506" s="34" t="n"/>
      <c r="M1506" s="53">
        <f t="array" ref="M1506">IFERROR(INDEX(EXCEPCIONES_FECHA!$D$2:$D$201,MATCH(1,(EXCEPCIONES_FECHA!$A$2:$A$201=$A1506)*(EXCEPCIONES_FECHA!$B$2:$B$201=$B1506),0)),IFERROR(INDEX(EXCEPCIONES_FECHA!$D$2:$D$201,MATCH(1,(EXCEPCIONES_FECHA!$A$2:$A$201=$A1506)*(EXCEPCIONES_FECHA!$B$2:$B$201=""),0)),IFERROR(INDEX(IF($I1506="FIN",HISTORIAL_HORARIOS!$J$2:$J$201,HISTORIAL_HORARIOS!$F$2:$F$201),MATCH(1,(HISTORIAL_HORARIOS!$A$2:$A$201=$B1506)*(HISTORIAL_HORARIOS!$C$2:$C$201&lt;=$A1506)*(HISTORIAL_HORARIOS!$D$2:$D$201&gt;=$A1506),0)),INDEX(IF($I1506="FIN",PERSONAL!$J$2:$J$80,PERSONAL!$F$2:$F$80),MATCH($B1506,PERSONAL!$A$2:$A$80,0)))))</f>
        <v/>
      </c>
      <c r="N1506" s="53">
        <f t="array" ref="N1506">IFERROR(INDEX(EXCEPCIONES_FECHA!$E$2:$E$201,MATCH(1,(EXCEPCIONES_FECHA!$A$2:$A$201=$A1506)*(EXCEPCIONES_FECHA!$B$2:$B$201=$B1506),0)),IFERROR(INDEX(EXCEPCIONES_FECHA!$E$2:$E$201,MATCH(1,(EXCEPCIONES_FECHA!$A$2:$A$201=$A1506)*(EXCEPCIONES_FECHA!$B$2:$B$201=""),0)),IFERROR(INDEX(IF($I1506="FIN",HISTORIAL_HORARIOS!$K$2:$K$201,HISTORIAL_HORARIOS!$G$2:$G$201),MATCH(1,(HISTORIAL_HORARIOS!$A$2:$A$201=$B1506)*(HISTORIAL_HORARIOS!$C$2:$C$201&lt;=$A1506)*(HISTORIAL_HORARIOS!$D$2:$D$201&gt;=$A1506),0)),INDEX(IF($I1506="FIN",PERSONAL!$K$2:$K$80,PERSONAL!$G$2:$G$80),MATCH($B1506,PERSONAL!$A$2:$A$80,0)))))</f>
        <v/>
      </c>
      <c r="O1506" s="53">
        <f t="array" ref="O1506">IFERROR(INDEX(EXCEPCIONES_FECHA!$F$2:$F$201,MATCH(1,(EXCEPCIONES_FECHA!$A$2:$A$201=$A1506)*(EXCEPCIONES_FECHA!$B$2:$B$201=$B1506),0)),IFERROR(INDEX(EXCEPCIONES_FECHA!$F$2:$F$201,MATCH(1,(EXCEPCIONES_FECHA!$A$2:$A$201=$A1506)*(EXCEPCIONES_FECHA!$B$2:$B$201=""),0)),IFERROR(INDEX(IF($I1506="FIN",HISTORIAL_HORARIOS!$L$2:$L$201,HISTORIAL_HORARIOS!$H$2:$H$201),MATCH(1,(HISTORIAL_HORARIOS!$A$2:$A$201=$B1506)*(HISTORIAL_HORARIOS!$C$2:$C$201&lt;=$A1506)*(HISTORIAL_HORARIOS!$D$2:$D$201&gt;=$A1506),0)),INDEX(IF($I1506="FIN",PERSONAL!$L$2:$L$80,PERSONAL!$H$2:$H$80),MATCH($B1506,PERSONAL!$A$2:$A$80,0)))))</f>
        <v/>
      </c>
    </row>
    <row r="1507" ht="15" customHeight="1" s="58">
      <c r="A1507" s="40" t="n"/>
      <c r="B1507" s="38" t="n"/>
      <c r="C1507" s="40" t="n"/>
      <c r="D1507" s="40" t="n"/>
      <c r="E1507" s="34">
        <f t="array" ref="E1507">IF($B1507="","",IFERROR(INDEX(PERSONAL!$B$2:$B$80,MATCH($B1507,PERSONAL!$A$2:$A$80,0)),"NO EXISTE"))</f>
        <v/>
      </c>
      <c r="F1507" s="34">
        <f t="array" ref="F1507">IF($B1507="","",IFERROR(INDEX(PERSONAL!$C$2:$C$80,MATCH($B1507,PERSONAL!$A$2:$A$80,0)),""))</f>
        <v/>
      </c>
      <c r="G1507" s="34">
        <f>IF($A1507="","",CHOOSE(WEEKDAY($A1507,2),"LUNES","MARTES","MIÉRCOLES","JUEVES","VIERNES","SÁBADO","DOMINGO"))</f>
        <v/>
      </c>
      <c r="H1507" s="34">
        <f>IF($A1507="","",CHOOSE(MONTH($A1507),"ENERO","FEBRERO","MARZO","ABRIL","MAYO","JUNIO","JULIO","AGOSTO","SEPTIEMBRE","OCTUBRE","NOVIEMBRE","DICIEMBRE"))</f>
        <v/>
      </c>
      <c r="I1507" s="34">
        <f>IF($A1507="","",IF(OR($G1507="SÁBADO",$G1507="DOMINGO"),"FIN","LV"))</f>
        <v/>
      </c>
      <c r="J1507" s="34">
        <f>IF(OR($A1507="",$B1507=""),"",IF($L1507&lt;&gt;"",UPPER($L1507),IF($C1507="","FALTA",IFERROR(IF($C1507&gt;=$O1507,"ROJO FUERTE",IF($C1507&gt;=$N1507,"ROJO",IF($C1507&gt;=$M1507,"AMARILLO","VERDE"))),"REVISAR"))))</f>
        <v/>
      </c>
      <c r="K1507" s="36">
        <f>IF(OR($C1507="",$D1507=""),"",IF($D1507&gt;=$C1507,($D1507-$C1507)*24,(1-$C1507+$D1507)*24))</f>
        <v/>
      </c>
      <c r="L1507" s="34" t="n"/>
      <c r="M1507" s="53">
        <f t="array" ref="M1507">IFERROR(INDEX(EXCEPCIONES_FECHA!$D$2:$D$201,MATCH(1,(EXCEPCIONES_FECHA!$A$2:$A$201=$A1507)*(EXCEPCIONES_FECHA!$B$2:$B$201=$B1507),0)),IFERROR(INDEX(EXCEPCIONES_FECHA!$D$2:$D$201,MATCH(1,(EXCEPCIONES_FECHA!$A$2:$A$201=$A1507)*(EXCEPCIONES_FECHA!$B$2:$B$201=""),0)),IFERROR(INDEX(IF($I1507="FIN",HISTORIAL_HORARIOS!$J$2:$J$201,HISTORIAL_HORARIOS!$F$2:$F$201),MATCH(1,(HISTORIAL_HORARIOS!$A$2:$A$201=$B1507)*(HISTORIAL_HORARIOS!$C$2:$C$201&lt;=$A1507)*(HISTORIAL_HORARIOS!$D$2:$D$201&gt;=$A1507),0)),INDEX(IF($I1507="FIN",PERSONAL!$J$2:$J$80,PERSONAL!$F$2:$F$80),MATCH($B1507,PERSONAL!$A$2:$A$80,0)))))</f>
        <v/>
      </c>
      <c r="N1507" s="53">
        <f t="array" ref="N1507">IFERROR(INDEX(EXCEPCIONES_FECHA!$E$2:$E$201,MATCH(1,(EXCEPCIONES_FECHA!$A$2:$A$201=$A1507)*(EXCEPCIONES_FECHA!$B$2:$B$201=$B1507),0)),IFERROR(INDEX(EXCEPCIONES_FECHA!$E$2:$E$201,MATCH(1,(EXCEPCIONES_FECHA!$A$2:$A$201=$A1507)*(EXCEPCIONES_FECHA!$B$2:$B$201=""),0)),IFERROR(INDEX(IF($I1507="FIN",HISTORIAL_HORARIOS!$K$2:$K$201,HISTORIAL_HORARIOS!$G$2:$G$201),MATCH(1,(HISTORIAL_HORARIOS!$A$2:$A$201=$B1507)*(HISTORIAL_HORARIOS!$C$2:$C$201&lt;=$A1507)*(HISTORIAL_HORARIOS!$D$2:$D$201&gt;=$A1507),0)),INDEX(IF($I1507="FIN",PERSONAL!$K$2:$K$80,PERSONAL!$G$2:$G$80),MATCH($B1507,PERSONAL!$A$2:$A$80,0)))))</f>
        <v/>
      </c>
      <c r="O1507" s="53">
        <f t="array" ref="O1507">IFERROR(INDEX(EXCEPCIONES_FECHA!$F$2:$F$201,MATCH(1,(EXCEPCIONES_FECHA!$A$2:$A$201=$A1507)*(EXCEPCIONES_FECHA!$B$2:$B$201=$B1507),0)),IFERROR(INDEX(EXCEPCIONES_FECHA!$F$2:$F$201,MATCH(1,(EXCEPCIONES_FECHA!$A$2:$A$201=$A1507)*(EXCEPCIONES_FECHA!$B$2:$B$201=""),0)),IFERROR(INDEX(IF($I1507="FIN",HISTORIAL_HORARIOS!$L$2:$L$201,HISTORIAL_HORARIOS!$H$2:$H$201),MATCH(1,(HISTORIAL_HORARIOS!$A$2:$A$201=$B1507)*(HISTORIAL_HORARIOS!$C$2:$C$201&lt;=$A1507)*(HISTORIAL_HORARIOS!$D$2:$D$201&gt;=$A1507),0)),INDEX(IF($I1507="FIN",PERSONAL!$L$2:$L$80,PERSONAL!$H$2:$H$80),MATCH($B1507,PERSONAL!$A$2:$A$80,0)))))</f>
        <v/>
      </c>
    </row>
    <row r="1508" ht="15" customHeight="1" s="58">
      <c r="A1508" s="40" t="n"/>
      <c r="B1508" s="38" t="n"/>
      <c r="C1508" s="40" t="n"/>
      <c r="D1508" s="40" t="n"/>
      <c r="E1508" s="34">
        <f t="array" ref="E1508">IF($B1508="","",IFERROR(INDEX(PERSONAL!$B$2:$B$80,MATCH($B1508,PERSONAL!$A$2:$A$80,0)),"NO EXISTE"))</f>
        <v/>
      </c>
      <c r="F1508" s="34">
        <f t="array" ref="F1508">IF($B1508="","",IFERROR(INDEX(PERSONAL!$C$2:$C$80,MATCH($B1508,PERSONAL!$A$2:$A$80,0)),""))</f>
        <v/>
      </c>
      <c r="G1508" s="34">
        <f>IF($A1508="","",CHOOSE(WEEKDAY($A1508,2),"LUNES","MARTES","MIÉRCOLES","JUEVES","VIERNES","SÁBADO","DOMINGO"))</f>
        <v/>
      </c>
      <c r="H1508" s="34">
        <f>IF($A1508="","",CHOOSE(MONTH($A1508),"ENERO","FEBRERO","MARZO","ABRIL","MAYO","JUNIO","JULIO","AGOSTO","SEPTIEMBRE","OCTUBRE","NOVIEMBRE","DICIEMBRE"))</f>
        <v/>
      </c>
      <c r="I1508" s="34">
        <f>IF($A1508="","",IF(OR($G1508="SÁBADO",$G1508="DOMINGO"),"FIN","LV"))</f>
        <v/>
      </c>
      <c r="J1508" s="34">
        <f>IF(OR($A1508="",$B1508=""),"",IF($L1508&lt;&gt;"",UPPER($L1508),IF($C1508="","FALTA",IFERROR(IF($C1508&gt;=$O1508,"ROJO FUERTE",IF($C1508&gt;=$N1508,"ROJO",IF($C1508&gt;=$M1508,"AMARILLO","VERDE"))),"REVISAR"))))</f>
        <v/>
      </c>
      <c r="K1508" s="36">
        <f>IF(OR($C1508="",$D1508=""),"",IF($D1508&gt;=$C1508,($D1508-$C1508)*24,(1-$C1508+$D1508)*24))</f>
        <v/>
      </c>
      <c r="L1508" s="34" t="n"/>
      <c r="M1508" s="53">
        <f t="array" ref="M1508">IFERROR(INDEX(EXCEPCIONES_FECHA!$D$2:$D$201,MATCH(1,(EXCEPCIONES_FECHA!$A$2:$A$201=$A1508)*(EXCEPCIONES_FECHA!$B$2:$B$201=$B1508),0)),IFERROR(INDEX(EXCEPCIONES_FECHA!$D$2:$D$201,MATCH(1,(EXCEPCIONES_FECHA!$A$2:$A$201=$A1508)*(EXCEPCIONES_FECHA!$B$2:$B$201=""),0)),IFERROR(INDEX(IF($I1508="FIN",HISTORIAL_HORARIOS!$J$2:$J$201,HISTORIAL_HORARIOS!$F$2:$F$201),MATCH(1,(HISTORIAL_HORARIOS!$A$2:$A$201=$B1508)*(HISTORIAL_HORARIOS!$C$2:$C$201&lt;=$A1508)*(HISTORIAL_HORARIOS!$D$2:$D$201&gt;=$A1508),0)),INDEX(IF($I1508="FIN",PERSONAL!$J$2:$J$80,PERSONAL!$F$2:$F$80),MATCH($B1508,PERSONAL!$A$2:$A$80,0)))))</f>
        <v/>
      </c>
      <c r="N1508" s="53">
        <f t="array" ref="N1508">IFERROR(INDEX(EXCEPCIONES_FECHA!$E$2:$E$201,MATCH(1,(EXCEPCIONES_FECHA!$A$2:$A$201=$A1508)*(EXCEPCIONES_FECHA!$B$2:$B$201=$B1508),0)),IFERROR(INDEX(EXCEPCIONES_FECHA!$E$2:$E$201,MATCH(1,(EXCEPCIONES_FECHA!$A$2:$A$201=$A1508)*(EXCEPCIONES_FECHA!$B$2:$B$201=""),0)),IFERROR(INDEX(IF($I1508="FIN",HISTORIAL_HORARIOS!$K$2:$K$201,HISTORIAL_HORARIOS!$G$2:$G$201),MATCH(1,(HISTORIAL_HORARIOS!$A$2:$A$201=$B1508)*(HISTORIAL_HORARIOS!$C$2:$C$201&lt;=$A1508)*(HISTORIAL_HORARIOS!$D$2:$D$201&gt;=$A1508),0)),INDEX(IF($I1508="FIN",PERSONAL!$K$2:$K$80,PERSONAL!$G$2:$G$80),MATCH($B1508,PERSONAL!$A$2:$A$80,0)))))</f>
        <v/>
      </c>
      <c r="O1508" s="53">
        <f t="array" ref="O1508">IFERROR(INDEX(EXCEPCIONES_FECHA!$F$2:$F$201,MATCH(1,(EXCEPCIONES_FECHA!$A$2:$A$201=$A1508)*(EXCEPCIONES_FECHA!$B$2:$B$201=$B1508),0)),IFERROR(INDEX(EXCEPCIONES_FECHA!$F$2:$F$201,MATCH(1,(EXCEPCIONES_FECHA!$A$2:$A$201=$A1508)*(EXCEPCIONES_FECHA!$B$2:$B$201=""),0)),IFERROR(INDEX(IF($I1508="FIN",HISTORIAL_HORARIOS!$L$2:$L$201,HISTORIAL_HORARIOS!$H$2:$H$201),MATCH(1,(HISTORIAL_HORARIOS!$A$2:$A$201=$B1508)*(HISTORIAL_HORARIOS!$C$2:$C$201&lt;=$A1508)*(HISTORIAL_HORARIOS!$D$2:$D$201&gt;=$A1508),0)),INDEX(IF($I1508="FIN",PERSONAL!$L$2:$L$80,PERSONAL!$H$2:$H$80),MATCH($B1508,PERSONAL!$A$2:$A$80,0)))))</f>
        <v/>
      </c>
    </row>
    <row r="1509" ht="15" customHeight="1" s="58">
      <c r="A1509" s="40" t="n"/>
      <c r="B1509" s="38" t="n"/>
      <c r="C1509" s="40" t="n"/>
      <c r="D1509" s="40" t="n"/>
      <c r="E1509" s="34">
        <f t="array" ref="E1509">IF($B1509="","",IFERROR(INDEX(PERSONAL!$B$2:$B$80,MATCH($B1509,PERSONAL!$A$2:$A$80,0)),"NO EXISTE"))</f>
        <v/>
      </c>
      <c r="F1509" s="34">
        <f t="array" ref="F1509">IF($B1509="","",IFERROR(INDEX(PERSONAL!$C$2:$C$80,MATCH($B1509,PERSONAL!$A$2:$A$80,0)),""))</f>
        <v/>
      </c>
      <c r="G1509" s="34">
        <f>IF($A1509="","",CHOOSE(WEEKDAY($A1509,2),"LUNES","MARTES","MIÉRCOLES","JUEVES","VIERNES","SÁBADO","DOMINGO"))</f>
        <v/>
      </c>
      <c r="H1509" s="34">
        <f>IF($A1509="","",CHOOSE(MONTH($A1509),"ENERO","FEBRERO","MARZO","ABRIL","MAYO","JUNIO","JULIO","AGOSTO","SEPTIEMBRE","OCTUBRE","NOVIEMBRE","DICIEMBRE"))</f>
        <v/>
      </c>
      <c r="I1509" s="34">
        <f>IF($A1509="","",IF(OR($G1509="SÁBADO",$G1509="DOMINGO"),"FIN","LV"))</f>
        <v/>
      </c>
      <c r="J1509" s="34">
        <f>IF(OR($A1509="",$B1509=""),"",IF($L1509&lt;&gt;"",UPPER($L1509),IF($C1509="","FALTA",IFERROR(IF($C1509&gt;=$O1509,"ROJO FUERTE",IF($C1509&gt;=$N1509,"ROJO",IF($C1509&gt;=$M1509,"AMARILLO","VERDE"))),"REVISAR"))))</f>
        <v/>
      </c>
      <c r="K1509" s="36">
        <f>IF(OR($C1509="",$D1509=""),"",IF($D1509&gt;=$C1509,($D1509-$C1509)*24,(1-$C1509+$D1509)*24))</f>
        <v/>
      </c>
      <c r="L1509" s="34" t="n"/>
      <c r="M1509" s="53">
        <f t="array" ref="M1509">IFERROR(INDEX(EXCEPCIONES_FECHA!$D$2:$D$201,MATCH(1,(EXCEPCIONES_FECHA!$A$2:$A$201=$A1509)*(EXCEPCIONES_FECHA!$B$2:$B$201=$B1509),0)),IFERROR(INDEX(EXCEPCIONES_FECHA!$D$2:$D$201,MATCH(1,(EXCEPCIONES_FECHA!$A$2:$A$201=$A1509)*(EXCEPCIONES_FECHA!$B$2:$B$201=""),0)),IFERROR(INDEX(IF($I1509="FIN",HISTORIAL_HORARIOS!$J$2:$J$201,HISTORIAL_HORARIOS!$F$2:$F$201),MATCH(1,(HISTORIAL_HORARIOS!$A$2:$A$201=$B1509)*(HISTORIAL_HORARIOS!$C$2:$C$201&lt;=$A1509)*(HISTORIAL_HORARIOS!$D$2:$D$201&gt;=$A1509),0)),INDEX(IF($I1509="FIN",PERSONAL!$J$2:$J$80,PERSONAL!$F$2:$F$80),MATCH($B1509,PERSONAL!$A$2:$A$80,0)))))</f>
        <v/>
      </c>
      <c r="N1509" s="53">
        <f t="array" ref="N1509">IFERROR(INDEX(EXCEPCIONES_FECHA!$E$2:$E$201,MATCH(1,(EXCEPCIONES_FECHA!$A$2:$A$201=$A1509)*(EXCEPCIONES_FECHA!$B$2:$B$201=$B1509),0)),IFERROR(INDEX(EXCEPCIONES_FECHA!$E$2:$E$201,MATCH(1,(EXCEPCIONES_FECHA!$A$2:$A$201=$A1509)*(EXCEPCIONES_FECHA!$B$2:$B$201=""),0)),IFERROR(INDEX(IF($I1509="FIN",HISTORIAL_HORARIOS!$K$2:$K$201,HISTORIAL_HORARIOS!$G$2:$G$201),MATCH(1,(HISTORIAL_HORARIOS!$A$2:$A$201=$B1509)*(HISTORIAL_HORARIOS!$C$2:$C$201&lt;=$A1509)*(HISTORIAL_HORARIOS!$D$2:$D$201&gt;=$A1509),0)),INDEX(IF($I1509="FIN",PERSONAL!$K$2:$K$80,PERSONAL!$G$2:$G$80),MATCH($B1509,PERSONAL!$A$2:$A$80,0)))))</f>
        <v/>
      </c>
      <c r="O1509" s="53">
        <f t="array" ref="O1509">IFERROR(INDEX(EXCEPCIONES_FECHA!$F$2:$F$201,MATCH(1,(EXCEPCIONES_FECHA!$A$2:$A$201=$A1509)*(EXCEPCIONES_FECHA!$B$2:$B$201=$B1509),0)),IFERROR(INDEX(EXCEPCIONES_FECHA!$F$2:$F$201,MATCH(1,(EXCEPCIONES_FECHA!$A$2:$A$201=$A1509)*(EXCEPCIONES_FECHA!$B$2:$B$201=""),0)),IFERROR(INDEX(IF($I1509="FIN",HISTORIAL_HORARIOS!$L$2:$L$201,HISTORIAL_HORARIOS!$H$2:$H$201),MATCH(1,(HISTORIAL_HORARIOS!$A$2:$A$201=$B1509)*(HISTORIAL_HORARIOS!$C$2:$C$201&lt;=$A1509)*(HISTORIAL_HORARIOS!$D$2:$D$201&gt;=$A1509),0)),INDEX(IF($I1509="FIN",PERSONAL!$L$2:$L$80,PERSONAL!$H$2:$H$80),MATCH($B1509,PERSONAL!$A$2:$A$80,0)))))</f>
        <v/>
      </c>
    </row>
    <row r="1510" ht="15" customHeight="1" s="58">
      <c r="A1510" s="40" t="n"/>
      <c r="B1510" s="38" t="n"/>
      <c r="C1510" s="40" t="n"/>
      <c r="D1510" s="40" t="n"/>
      <c r="E1510" s="34">
        <f t="array" ref="E1510">IF($B1510="","",IFERROR(INDEX(PERSONAL!$B$2:$B$80,MATCH($B1510,PERSONAL!$A$2:$A$80,0)),"NO EXISTE"))</f>
        <v/>
      </c>
      <c r="F1510" s="34">
        <f t="array" ref="F1510">IF($B1510="","",IFERROR(INDEX(PERSONAL!$C$2:$C$80,MATCH($B1510,PERSONAL!$A$2:$A$80,0)),""))</f>
        <v/>
      </c>
      <c r="G1510" s="34">
        <f>IF($A1510="","",CHOOSE(WEEKDAY($A1510,2),"LUNES","MARTES","MIÉRCOLES","JUEVES","VIERNES","SÁBADO","DOMINGO"))</f>
        <v/>
      </c>
      <c r="H1510" s="34">
        <f>IF($A1510="","",CHOOSE(MONTH($A1510),"ENERO","FEBRERO","MARZO","ABRIL","MAYO","JUNIO","JULIO","AGOSTO","SEPTIEMBRE","OCTUBRE","NOVIEMBRE","DICIEMBRE"))</f>
        <v/>
      </c>
      <c r="I1510" s="34">
        <f>IF($A1510="","",IF(OR($G1510="SÁBADO",$G1510="DOMINGO"),"FIN","LV"))</f>
        <v/>
      </c>
      <c r="J1510" s="34">
        <f>IF(OR($A1510="",$B1510=""),"",IF($L1510&lt;&gt;"",UPPER($L1510),IF($C1510="","FALTA",IFERROR(IF($C1510&gt;=$O1510,"ROJO FUERTE",IF($C1510&gt;=$N1510,"ROJO",IF($C1510&gt;=$M1510,"AMARILLO","VERDE"))),"REVISAR"))))</f>
        <v/>
      </c>
      <c r="K1510" s="36">
        <f>IF(OR($C1510="",$D1510=""),"",IF($D1510&gt;=$C1510,($D1510-$C1510)*24,(1-$C1510+$D1510)*24))</f>
        <v/>
      </c>
      <c r="L1510" s="34" t="n"/>
      <c r="M1510" s="53">
        <f t="array" ref="M1510">IFERROR(INDEX(EXCEPCIONES_FECHA!$D$2:$D$201,MATCH(1,(EXCEPCIONES_FECHA!$A$2:$A$201=$A1510)*(EXCEPCIONES_FECHA!$B$2:$B$201=$B1510),0)),IFERROR(INDEX(EXCEPCIONES_FECHA!$D$2:$D$201,MATCH(1,(EXCEPCIONES_FECHA!$A$2:$A$201=$A1510)*(EXCEPCIONES_FECHA!$B$2:$B$201=""),0)),IFERROR(INDEX(IF($I1510="FIN",HISTORIAL_HORARIOS!$J$2:$J$201,HISTORIAL_HORARIOS!$F$2:$F$201),MATCH(1,(HISTORIAL_HORARIOS!$A$2:$A$201=$B1510)*(HISTORIAL_HORARIOS!$C$2:$C$201&lt;=$A1510)*(HISTORIAL_HORARIOS!$D$2:$D$201&gt;=$A1510),0)),INDEX(IF($I1510="FIN",PERSONAL!$J$2:$J$80,PERSONAL!$F$2:$F$80),MATCH($B1510,PERSONAL!$A$2:$A$80,0)))))</f>
        <v/>
      </c>
      <c r="N1510" s="53">
        <f t="array" ref="N1510">IFERROR(INDEX(EXCEPCIONES_FECHA!$E$2:$E$201,MATCH(1,(EXCEPCIONES_FECHA!$A$2:$A$201=$A1510)*(EXCEPCIONES_FECHA!$B$2:$B$201=$B1510),0)),IFERROR(INDEX(EXCEPCIONES_FECHA!$E$2:$E$201,MATCH(1,(EXCEPCIONES_FECHA!$A$2:$A$201=$A1510)*(EXCEPCIONES_FECHA!$B$2:$B$201=""),0)),IFERROR(INDEX(IF($I1510="FIN",HISTORIAL_HORARIOS!$K$2:$K$201,HISTORIAL_HORARIOS!$G$2:$G$201),MATCH(1,(HISTORIAL_HORARIOS!$A$2:$A$201=$B1510)*(HISTORIAL_HORARIOS!$C$2:$C$201&lt;=$A1510)*(HISTORIAL_HORARIOS!$D$2:$D$201&gt;=$A1510),0)),INDEX(IF($I1510="FIN",PERSONAL!$K$2:$K$80,PERSONAL!$G$2:$G$80),MATCH($B1510,PERSONAL!$A$2:$A$80,0)))))</f>
        <v/>
      </c>
      <c r="O1510" s="53">
        <f t="array" ref="O1510">IFERROR(INDEX(EXCEPCIONES_FECHA!$F$2:$F$201,MATCH(1,(EXCEPCIONES_FECHA!$A$2:$A$201=$A1510)*(EXCEPCIONES_FECHA!$B$2:$B$201=$B1510),0)),IFERROR(INDEX(EXCEPCIONES_FECHA!$F$2:$F$201,MATCH(1,(EXCEPCIONES_FECHA!$A$2:$A$201=$A1510)*(EXCEPCIONES_FECHA!$B$2:$B$201=""),0)),IFERROR(INDEX(IF($I1510="FIN",HISTORIAL_HORARIOS!$L$2:$L$201,HISTORIAL_HORARIOS!$H$2:$H$201),MATCH(1,(HISTORIAL_HORARIOS!$A$2:$A$201=$B1510)*(HISTORIAL_HORARIOS!$C$2:$C$201&lt;=$A1510)*(HISTORIAL_HORARIOS!$D$2:$D$201&gt;=$A1510),0)),INDEX(IF($I1510="FIN",PERSONAL!$L$2:$L$80,PERSONAL!$H$2:$H$80),MATCH($B1510,PERSONAL!$A$2:$A$80,0)))))</f>
        <v/>
      </c>
    </row>
    <row r="1511" ht="15" customHeight="1" s="58">
      <c r="A1511" s="40" t="n"/>
      <c r="B1511" s="38" t="n"/>
      <c r="C1511" s="40" t="n"/>
      <c r="D1511" s="40" t="n"/>
      <c r="E1511" s="34">
        <f t="array" ref="E1511">IF($B1511="","",IFERROR(INDEX(PERSONAL!$B$2:$B$80,MATCH($B1511,PERSONAL!$A$2:$A$80,0)),"NO EXISTE"))</f>
        <v/>
      </c>
      <c r="F1511" s="34">
        <f t="array" ref="F1511">IF($B1511="","",IFERROR(INDEX(PERSONAL!$C$2:$C$80,MATCH($B1511,PERSONAL!$A$2:$A$80,0)),""))</f>
        <v/>
      </c>
      <c r="G1511" s="34">
        <f>IF($A1511="","",CHOOSE(WEEKDAY($A1511,2),"LUNES","MARTES","MIÉRCOLES","JUEVES","VIERNES","SÁBADO","DOMINGO"))</f>
        <v/>
      </c>
      <c r="H1511" s="34">
        <f>IF($A1511="","",CHOOSE(MONTH($A1511),"ENERO","FEBRERO","MARZO","ABRIL","MAYO","JUNIO","JULIO","AGOSTO","SEPTIEMBRE","OCTUBRE","NOVIEMBRE","DICIEMBRE"))</f>
        <v/>
      </c>
      <c r="I1511" s="34">
        <f>IF($A1511="","",IF(OR($G1511="SÁBADO",$G1511="DOMINGO"),"FIN","LV"))</f>
        <v/>
      </c>
      <c r="J1511" s="34">
        <f>IF(OR($A1511="",$B1511=""),"",IF($L1511&lt;&gt;"",UPPER($L1511),IF($C1511="","FALTA",IFERROR(IF($C1511&gt;=$O1511,"ROJO FUERTE",IF($C1511&gt;=$N1511,"ROJO",IF($C1511&gt;=$M1511,"AMARILLO","VERDE"))),"REVISAR"))))</f>
        <v/>
      </c>
      <c r="K1511" s="36">
        <f>IF(OR($C1511="",$D1511=""),"",IF($D1511&gt;=$C1511,($D1511-$C1511)*24,(1-$C1511+$D1511)*24))</f>
        <v/>
      </c>
      <c r="L1511" s="34" t="n"/>
      <c r="M1511" s="53">
        <f t="array" ref="M1511">IFERROR(INDEX(EXCEPCIONES_FECHA!$D$2:$D$201,MATCH(1,(EXCEPCIONES_FECHA!$A$2:$A$201=$A1511)*(EXCEPCIONES_FECHA!$B$2:$B$201=$B1511),0)),IFERROR(INDEX(EXCEPCIONES_FECHA!$D$2:$D$201,MATCH(1,(EXCEPCIONES_FECHA!$A$2:$A$201=$A1511)*(EXCEPCIONES_FECHA!$B$2:$B$201=""),0)),IFERROR(INDEX(IF($I1511="FIN",HISTORIAL_HORARIOS!$J$2:$J$201,HISTORIAL_HORARIOS!$F$2:$F$201),MATCH(1,(HISTORIAL_HORARIOS!$A$2:$A$201=$B1511)*(HISTORIAL_HORARIOS!$C$2:$C$201&lt;=$A1511)*(HISTORIAL_HORARIOS!$D$2:$D$201&gt;=$A1511),0)),INDEX(IF($I1511="FIN",PERSONAL!$J$2:$J$80,PERSONAL!$F$2:$F$80),MATCH($B1511,PERSONAL!$A$2:$A$80,0)))))</f>
        <v/>
      </c>
      <c r="N1511" s="53">
        <f t="array" ref="N1511">IFERROR(INDEX(EXCEPCIONES_FECHA!$E$2:$E$201,MATCH(1,(EXCEPCIONES_FECHA!$A$2:$A$201=$A1511)*(EXCEPCIONES_FECHA!$B$2:$B$201=$B1511),0)),IFERROR(INDEX(EXCEPCIONES_FECHA!$E$2:$E$201,MATCH(1,(EXCEPCIONES_FECHA!$A$2:$A$201=$A1511)*(EXCEPCIONES_FECHA!$B$2:$B$201=""),0)),IFERROR(INDEX(IF($I1511="FIN",HISTORIAL_HORARIOS!$K$2:$K$201,HISTORIAL_HORARIOS!$G$2:$G$201),MATCH(1,(HISTORIAL_HORARIOS!$A$2:$A$201=$B1511)*(HISTORIAL_HORARIOS!$C$2:$C$201&lt;=$A1511)*(HISTORIAL_HORARIOS!$D$2:$D$201&gt;=$A1511),0)),INDEX(IF($I1511="FIN",PERSONAL!$K$2:$K$80,PERSONAL!$G$2:$G$80),MATCH($B1511,PERSONAL!$A$2:$A$80,0)))))</f>
        <v/>
      </c>
      <c r="O1511" s="53">
        <f t="array" ref="O1511">IFERROR(INDEX(EXCEPCIONES_FECHA!$F$2:$F$201,MATCH(1,(EXCEPCIONES_FECHA!$A$2:$A$201=$A1511)*(EXCEPCIONES_FECHA!$B$2:$B$201=$B1511),0)),IFERROR(INDEX(EXCEPCIONES_FECHA!$F$2:$F$201,MATCH(1,(EXCEPCIONES_FECHA!$A$2:$A$201=$A1511)*(EXCEPCIONES_FECHA!$B$2:$B$201=""),0)),IFERROR(INDEX(IF($I1511="FIN",HISTORIAL_HORARIOS!$L$2:$L$201,HISTORIAL_HORARIOS!$H$2:$H$201),MATCH(1,(HISTORIAL_HORARIOS!$A$2:$A$201=$B1511)*(HISTORIAL_HORARIOS!$C$2:$C$201&lt;=$A1511)*(HISTORIAL_HORARIOS!$D$2:$D$201&gt;=$A1511),0)),INDEX(IF($I1511="FIN",PERSONAL!$L$2:$L$80,PERSONAL!$H$2:$H$80),MATCH($B1511,PERSONAL!$A$2:$A$80,0)))))</f>
        <v/>
      </c>
    </row>
    <row r="1512" ht="15" customHeight="1" s="58">
      <c r="A1512" s="40" t="n"/>
      <c r="B1512" s="38" t="n"/>
      <c r="C1512" s="40" t="n"/>
      <c r="D1512" s="40" t="n"/>
      <c r="E1512" s="34">
        <f t="array" ref="E1512">IF($B1512="","",IFERROR(INDEX(PERSONAL!$B$2:$B$80,MATCH($B1512,PERSONAL!$A$2:$A$80,0)),"NO EXISTE"))</f>
        <v/>
      </c>
      <c r="F1512" s="34">
        <f t="array" ref="F1512">IF($B1512="","",IFERROR(INDEX(PERSONAL!$C$2:$C$80,MATCH($B1512,PERSONAL!$A$2:$A$80,0)),""))</f>
        <v/>
      </c>
      <c r="G1512" s="34">
        <f>IF($A1512="","",CHOOSE(WEEKDAY($A1512,2),"LUNES","MARTES","MIÉRCOLES","JUEVES","VIERNES","SÁBADO","DOMINGO"))</f>
        <v/>
      </c>
      <c r="H1512" s="34">
        <f>IF($A1512="","",CHOOSE(MONTH($A1512),"ENERO","FEBRERO","MARZO","ABRIL","MAYO","JUNIO","JULIO","AGOSTO","SEPTIEMBRE","OCTUBRE","NOVIEMBRE","DICIEMBRE"))</f>
        <v/>
      </c>
      <c r="I1512" s="34">
        <f>IF($A1512="","",IF(OR($G1512="SÁBADO",$G1512="DOMINGO"),"FIN","LV"))</f>
        <v/>
      </c>
      <c r="J1512" s="34">
        <f>IF(OR($A1512="",$B1512=""),"",IF($L1512&lt;&gt;"",UPPER($L1512),IF($C1512="","FALTA",IFERROR(IF($C1512&gt;=$O1512,"ROJO FUERTE",IF($C1512&gt;=$N1512,"ROJO",IF($C1512&gt;=$M1512,"AMARILLO","VERDE"))),"REVISAR"))))</f>
        <v/>
      </c>
      <c r="K1512" s="36">
        <f>IF(OR($C1512="",$D1512=""),"",IF($D1512&gt;=$C1512,($D1512-$C1512)*24,(1-$C1512+$D1512)*24))</f>
        <v/>
      </c>
      <c r="L1512" s="34" t="n"/>
      <c r="M1512" s="53">
        <f t="array" ref="M1512">IFERROR(INDEX(EXCEPCIONES_FECHA!$D$2:$D$201,MATCH(1,(EXCEPCIONES_FECHA!$A$2:$A$201=$A1512)*(EXCEPCIONES_FECHA!$B$2:$B$201=$B1512),0)),IFERROR(INDEX(EXCEPCIONES_FECHA!$D$2:$D$201,MATCH(1,(EXCEPCIONES_FECHA!$A$2:$A$201=$A1512)*(EXCEPCIONES_FECHA!$B$2:$B$201=""),0)),IFERROR(INDEX(IF($I1512="FIN",HISTORIAL_HORARIOS!$J$2:$J$201,HISTORIAL_HORARIOS!$F$2:$F$201),MATCH(1,(HISTORIAL_HORARIOS!$A$2:$A$201=$B1512)*(HISTORIAL_HORARIOS!$C$2:$C$201&lt;=$A1512)*(HISTORIAL_HORARIOS!$D$2:$D$201&gt;=$A1512),0)),INDEX(IF($I1512="FIN",PERSONAL!$J$2:$J$80,PERSONAL!$F$2:$F$80),MATCH($B1512,PERSONAL!$A$2:$A$80,0)))))</f>
        <v/>
      </c>
      <c r="N1512" s="53">
        <f t="array" ref="N1512">IFERROR(INDEX(EXCEPCIONES_FECHA!$E$2:$E$201,MATCH(1,(EXCEPCIONES_FECHA!$A$2:$A$201=$A1512)*(EXCEPCIONES_FECHA!$B$2:$B$201=$B1512),0)),IFERROR(INDEX(EXCEPCIONES_FECHA!$E$2:$E$201,MATCH(1,(EXCEPCIONES_FECHA!$A$2:$A$201=$A1512)*(EXCEPCIONES_FECHA!$B$2:$B$201=""),0)),IFERROR(INDEX(IF($I1512="FIN",HISTORIAL_HORARIOS!$K$2:$K$201,HISTORIAL_HORARIOS!$G$2:$G$201),MATCH(1,(HISTORIAL_HORARIOS!$A$2:$A$201=$B1512)*(HISTORIAL_HORARIOS!$C$2:$C$201&lt;=$A1512)*(HISTORIAL_HORARIOS!$D$2:$D$201&gt;=$A1512),0)),INDEX(IF($I1512="FIN",PERSONAL!$K$2:$K$80,PERSONAL!$G$2:$G$80),MATCH($B1512,PERSONAL!$A$2:$A$80,0)))))</f>
        <v/>
      </c>
      <c r="O1512" s="53">
        <f t="array" ref="O1512">IFERROR(INDEX(EXCEPCIONES_FECHA!$F$2:$F$201,MATCH(1,(EXCEPCIONES_FECHA!$A$2:$A$201=$A1512)*(EXCEPCIONES_FECHA!$B$2:$B$201=$B1512),0)),IFERROR(INDEX(EXCEPCIONES_FECHA!$F$2:$F$201,MATCH(1,(EXCEPCIONES_FECHA!$A$2:$A$201=$A1512)*(EXCEPCIONES_FECHA!$B$2:$B$201=""),0)),IFERROR(INDEX(IF($I1512="FIN",HISTORIAL_HORARIOS!$L$2:$L$201,HISTORIAL_HORARIOS!$H$2:$H$201),MATCH(1,(HISTORIAL_HORARIOS!$A$2:$A$201=$B1512)*(HISTORIAL_HORARIOS!$C$2:$C$201&lt;=$A1512)*(HISTORIAL_HORARIOS!$D$2:$D$201&gt;=$A1512),0)),INDEX(IF($I1512="FIN",PERSONAL!$L$2:$L$80,PERSONAL!$H$2:$H$80),MATCH($B1512,PERSONAL!$A$2:$A$80,0)))))</f>
        <v/>
      </c>
    </row>
    <row r="1513" ht="15" customHeight="1" s="58">
      <c r="A1513" s="40" t="n"/>
      <c r="B1513" s="38" t="n"/>
      <c r="C1513" s="40" t="n"/>
      <c r="D1513" s="40" t="n"/>
      <c r="E1513" s="34">
        <f t="array" ref="E1513">IF($B1513="","",IFERROR(INDEX(PERSONAL!$B$2:$B$80,MATCH($B1513,PERSONAL!$A$2:$A$80,0)),"NO EXISTE"))</f>
        <v/>
      </c>
      <c r="F1513" s="34">
        <f t="array" ref="F1513">IF($B1513="","",IFERROR(INDEX(PERSONAL!$C$2:$C$80,MATCH($B1513,PERSONAL!$A$2:$A$80,0)),""))</f>
        <v/>
      </c>
      <c r="G1513" s="34">
        <f>IF($A1513="","",CHOOSE(WEEKDAY($A1513,2),"LUNES","MARTES","MIÉRCOLES","JUEVES","VIERNES","SÁBADO","DOMINGO"))</f>
        <v/>
      </c>
      <c r="H1513" s="34">
        <f>IF($A1513="","",CHOOSE(MONTH($A1513),"ENERO","FEBRERO","MARZO","ABRIL","MAYO","JUNIO","JULIO","AGOSTO","SEPTIEMBRE","OCTUBRE","NOVIEMBRE","DICIEMBRE"))</f>
        <v/>
      </c>
      <c r="I1513" s="34">
        <f>IF($A1513="","",IF(OR($G1513="SÁBADO",$G1513="DOMINGO"),"FIN","LV"))</f>
        <v/>
      </c>
      <c r="J1513" s="34">
        <f>IF(OR($A1513="",$B1513=""),"",IF($L1513&lt;&gt;"",UPPER($L1513),IF($C1513="","FALTA",IFERROR(IF($C1513&gt;=$O1513,"ROJO FUERTE",IF($C1513&gt;=$N1513,"ROJO",IF($C1513&gt;=$M1513,"AMARILLO","VERDE"))),"REVISAR"))))</f>
        <v/>
      </c>
      <c r="K1513" s="36">
        <f>IF(OR($C1513="",$D1513=""),"",IF($D1513&gt;=$C1513,($D1513-$C1513)*24,(1-$C1513+$D1513)*24))</f>
        <v/>
      </c>
      <c r="L1513" s="34" t="n"/>
      <c r="M1513" s="53">
        <f t="array" ref="M1513">IFERROR(INDEX(EXCEPCIONES_FECHA!$D$2:$D$201,MATCH(1,(EXCEPCIONES_FECHA!$A$2:$A$201=$A1513)*(EXCEPCIONES_FECHA!$B$2:$B$201=$B1513),0)),IFERROR(INDEX(EXCEPCIONES_FECHA!$D$2:$D$201,MATCH(1,(EXCEPCIONES_FECHA!$A$2:$A$201=$A1513)*(EXCEPCIONES_FECHA!$B$2:$B$201=""),0)),IFERROR(INDEX(IF($I1513="FIN",HISTORIAL_HORARIOS!$J$2:$J$201,HISTORIAL_HORARIOS!$F$2:$F$201),MATCH(1,(HISTORIAL_HORARIOS!$A$2:$A$201=$B1513)*(HISTORIAL_HORARIOS!$C$2:$C$201&lt;=$A1513)*(HISTORIAL_HORARIOS!$D$2:$D$201&gt;=$A1513),0)),INDEX(IF($I1513="FIN",PERSONAL!$J$2:$J$80,PERSONAL!$F$2:$F$80),MATCH($B1513,PERSONAL!$A$2:$A$80,0)))))</f>
        <v/>
      </c>
      <c r="N1513" s="53">
        <f t="array" ref="N1513">IFERROR(INDEX(EXCEPCIONES_FECHA!$E$2:$E$201,MATCH(1,(EXCEPCIONES_FECHA!$A$2:$A$201=$A1513)*(EXCEPCIONES_FECHA!$B$2:$B$201=$B1513),0)),IFERROR(INDEX(EXCEPCIONES_FECHA!$E$2:$E$201,MATCH(1,(EXCEPCIONES_FECHA!$A$2:$A$201=$A1513)*(EXCEPCIONES_FECHA!$B$2:$B$201=""),0)),IFERROR(INDEX(IF($I1513="FIN",HISTORIAL_HORARIOS!$K$2:$K$201,HISTORIAL_HORARIOS!$G$2:$G$201),MATCH(1,(HISTORIAL_HORARIOS!$A$2:$A$201=$B1513)*(HISTORIAL_HORARIOS!$C$2:$C$201&lt;=$A1513)*(HISTORIAL_HORARIOS!$D$2:$D$201&gt;=$A1513),0)),INDEX(IF($I1513="FIN",PERSONAL!$K$2:$K$80,PERSONAL!$G$2:$G$80),MATCH($B1513,PERSONAL!$A$2:$A$80,0)))))</f>
        <v/>
      </c>
      <c r="O1513" s="53">
        <f t="array" ref="O1513">IFERROR(INDEX(EXCEPCIONES_FECHA!$F$2:$F$201,MATCH(1,(EXCEPCIONES_FECHA!$A$2:$A$201=$A1513)*(EXCEPCIONES_FECHA!$B$2:$B$201=$B1513),0)),IFERROR(INDEX(EXCEPCIONES_FECHA!$F$2:$F$201,MATCH(1,(EXCEPCIONES_FECHA!$A$2:$A$201=$A1513)*(EXCEPCIONES_FECHA!$B$2:$B$201=""),0)),IFERROR(INDEX(IF($I1513="FIN",HISTORIAL_HORARIOS!$L$2:$L$201,HISTORIAL_HORARIOS!$H$2:$H$201),MATCH(1,(HISTORIAL_HORARIOS!$A$2:$A$201=$B1513)*(HISTORIAL_HORARIOS!$C$2:$C$201&lt;=$A1513)*(HISTORIAL_HORARIOS!$D$2:$D$201&gt;=$A1513),0)),INDEX(IF($I1513="FIN",PERSONAL!$L$2:$L$80,PERSONAL!$H$2:$H$80),MATCH($B1513,PERSONAL!$A$2:$A$80,0)))))</f>
        <v/>
      </c>
    </row>
    <row r="1514" ht="15" customHeight="1" s="58">
      <c r="A1514" s="40" t="n"/>
      <c r="B1514" s="38" t="n"/>
      <c r="C1514" s="40" t="n"/>
      <c r="D1514" s="40" t="n"/>
      <c r="E1514" s="34">
        <f t="array" ref="E1514">IF($B1514="","",IFERROR(INDEX(PERSONAL!$B$2:$B$80,MATCH($B1514,PERSONAL!$A$2:$A$80,0)),"NO EXISTE"))</f>
        <v/>
      </c>
      <c r="F1514" s="34">
        <f t="array" ref="F1514">IF($B1514="","",IFERROR(INDEX(PERSONAL!$C$2:$C$80,MATCH($B1514,PERSONAL!$A$2:$A$80,0)),""))</f>
        <v/>
      </c>
      <c r="G1514" s="34">
        <f>IF($A1514="","",CHOOSE(WEEKDAY($A1514,2),"LUNES","MARTES","MIÉRCOLES","JUEVES","VIERNES","SÁBADO","DOMINGO"))</f>
        <v/>
      </c>
      <c r="H1514" s="34">
        <f>IF($A1514="","",CHOOSE(MONTH($A1514),"ENERO","FEBRERO","MARZO","ABRIL","MAYO","JUNIO","JULIO","AGOSTO","SEPTIEMBRE","OCTUBRE","NOVIEMBRE","DICIEMBRE"))</f>
        <v/>
      </c>
      <c r="I1514" s="34">
        <f>IF($A1514="","",IF(OR($G1514="SÁBADO",$G1514="DOMINGO"),"FIN","LV"))</f>
        <v/>
      </c>
      <c r="J1514" s="34">
        <f>IF(OR($A1514="",$B1514=""),"",IF($L1514&lt;&gt;"",UPPER($L1514),IF($C1514="","FALTA",IFERROR(IF($C1514&gt;=$O1514,"ROJO FUERTE",IF($C1514&gt;=$N1514,"ROJO",IF($C1514&gt;=$M1514,"AMARILLO","VERDE"))),"REVISAR"))))</f>
        <v/>
      </c>
      <c r="K1514" s="36">
        <f>IF(OR($C1514="",$D1514=""),"",IF($D1514&gt;=$C1514,($D1514-$C1514)*24,(1-$C1514+$D1514)*24))</f>
        <v/>
      </c>
      <c r="L1514" s="34" t="n"/>
      <c r="M1514" s="53">
        <f t="array" ref="M1514">IFERROR(INDEX(EXCEPCIONES_FECHA!$D$2:$D$201,MATCH(1,(EXCEPCIONES_FECHA!$A$2:$A$201=$A1514)*(EXCEPCIONES_FECHA!$B$2:$B$201=$B1514),0)),IFERROR(INDEX(EXCEPCIONES_FECHA!$D$2:$D$201,MATCH(1,(EXCEPCIONES_FECHA!$A$2:$A$201=$A1514)*(EXCEPCIONES_FECHA!$B$2:$B$201=""),0)),IFERROR(INDEX(IF($I1514="FIN",HISTORIAL_HORARIOS!$J$2:$J$201,HISTORIAL_HORARIOS!$F$2:$F$201),MATCH(1,(HISTORIAL_HORARIOS!$A$2:$A$201=$B1514)*(HISTORIAL_HORARIOS!$C$2:$C$201&lt;=$A1514)*(HISTORIAL_HORARIOS!$D$2:$D$201&gt;=$A1514),0)),INDEX(IF($I1514="FIN",PERSONAL!$J$2:$J$80,PERSONAL!$F$2:$F$80),MATCH($B1514,PERSONAL!$A$2:$A$80,0)))))</f>
        <v/>
      </c>
      <c r="N1514" s="53">
        <f t="array" ref="N1514">IFERROR(INDEX(EXCEPCIONES_FECHA!$E$2:$E$201,MATCH(1,(EXCEPCIONES_FECHA!$A$2:$A$201=$A1514)*(EXCEPCIONES_FECHA!$B$2:$B$201=$B1514),0)),IFERROR(INDEX(EXCEPCIONES_FECHA!$E$2:$E$201,MATCH(1,(EXCEPCIONES_FECHA!$A$2:$A$201=$A1514)*(EXCEPCIONES_FECHA!$B$2:$B$201=""),0)),IFERROR(INDEX(IF($I1514="FIN",HISTORIAL_HORARIOS!$K$2:$K$201,HISTORIAL_HORARIOS!$G$2:$G$201),MATCH(1,(HISTORIAL_HORARIOS!$A$2:$A$201=$B1514)*(HISTORIAL_HORARIOS!$C$2:$C$201&lt;=$A1514)*(HISTORIAL_HORARIOS!$D$2:$D$201&gt;=$A1514),0)),INDEX(IF($I1514="FIN",PERSONAL!$K$2:$K$80,PERSONAL!$G$2:$G$80),MATCH($B1514,PERSONAL!$A$2:$A$80,0)))))</f>
        <v/>
      </c>
      <c r="O1514" s="53">
        <f t="array" ref="O1514">IFERROR(INDEX(EXCEPCIONES_FECHA!$F$2:$F$201,MATCH(1,(EXCEPCIONES_FECHA!$A$2:$A$201=$A1514)*(EXCEPCIONES_FECHA!$B$2:$B$201=$B1514),0)),IFERROR(INDEX(EXCEPCIONES_FECHA!$F$2:$F$201,MATCH(1,(EXCEPCIONES_FECHA!$A$2:$A$201=$A1514)*(EXCEPCIONES_FECHA!$B$2:$B$201=""),0)),IFERROR(INDEX(IF($I1514="FIN",HISTORIAL_HORARIOS!$L$2:$L$201,HISTORIAL_HORARIOS!$H$2:$H$201),MATCH(1,(HISTORIAL_HORARIOS!$A$2:$A$201=$B1514)*(HISTORIAL_HORARIOS!$C$2:$C$201&lt;=$A1514)*(HISTORIAL_HORARIOS!$D$2:$D$201&gt;=$A1514),0)),INDEX(IF($I1514="FIN",PERSONAL!$L$2:$L$80,PERSONAL!$H$2:$H$80),MATCH($B1514,PERSONAL!$A$2:$A$80,0)))))</f>
        <v/>
      </c>
    </row>
    <row r="1515" ht="15" customHeight="1" s="58">
      <c r="A1515" s="40" t="n"/>
      <c r="B1515" s="38" t="n"/>
      <c r="C1515" s="40" t="n"/>
      <c r="D1515" s="40" t="n"/>
      <c r="E1515" s="34">
        <f t="array" ref="E1515">IF($B1515="","",IFERROR(INDEX(PERSONAL!$B$2:$B$80,MATCH($B1515,PERSONAL!$A$2:$A$80,0)),"NO EXISTE"))</f>
        <v/>
      </c>
      <c r="F1515" s="34">
        <f t="array" ref="F1515">IF($B1515="","",IFERROR(INDEX(PERSONAL!$C$2:$C$80,MATCH($B1515,PERSONAL!$A$2:$A$80,0)),""))</f>
        <v/>
      </c>
      <c r="G1515" s="34">
        <f>IF($A1515="","",CHOOSE(WEEKDAY($A1515,2),"LUNES","MARTES","MIÉRCOLES","JUEVES","VIERNES","SÁBADO","DOMINGO"))</f>
        <v/>
      </c>
      <c r="H1515" s="34">
        <f>IF($A1515="","",CHOOSE(MONTH($A1515),"ENERO","FEBRERO","MARZO","ABRIL","MAYO","JUNIO","JULIO","AGOSTO","SEPTIEMBRE","OCTUBRE","NOVIEMBRE","DICIEMBRE"))</f>
        <v/>
      </c>
      <c r="I1515" s="34">
        <f>IF($A1515="","",IF(OR($G1515="SÁBADO",$G1515="DOMINGO"),"FIN","LV"))</f>
        <v/>
      </c>
      <c r="J1515" s="34">
        <f>IF(OR($A1515="",$B1515=""),"",IF($L1515&lt;&gt;"",UPPER($L1515),IF($C1515="","FALTA",IFERROR(IF($C1515&gt;=$O1515,"ROJO FUERTE",IF($C1515&gt;=$N1515,"ROJO",IF($C1515&gt;=$M1515,"AMARILLO","VERDE"))),"REVISAR"))))</f>
        <v/>
      </c>
      <c r="K1515" s="36">
        <f>IF(OR($C1515="",$D1515=""),"",IF($D1515&gt;=$C1515,($D1515-$C1515)*24,(1-$C1515+$D1515)*24))</f>
        <v/>
      </c>
      <c r="L1515" s="34" t="n"/>
      <c r="M1515" s="53">
        <f t="array" ref="M1515">IFERROR(INDEX(EXCEPCIONES_FECHA!$D$2:$D$201,MATCH(1,(EXCEPCIONES_FECHA!$A$2:$A$201=$A1515)*(EXCEPCIONES_FECHA!$B$2:$B$201=$B1515),0)),IFERROR(INDEX(EXCEPCIONES_FECHA!$D$2:$D$201,MATCH(1,(EXCEPCIONES_FECHA!$A$2:$A$201=$A1515)*(EXCEPCIONES_FECHA!$B$2:$B$201=""),0)),IFERROR(INDEX(IF($I1515="FIN",HISTORIAL_HORARIOS!$J$2:$J$201,HISTORIAL_HORARIOS!$F$2:$F$201),MATCH(1,(HISTORIAL_HORARIOS!$A$2:$A$201=$B1515)*(HISTORIAL_HORARIOS!$C$2:$C$201&lt;=$A1515)*(HISTORIAL_HORARIOS!$D$2:$D$201&gt;=$A1515),0)),INDEX(IF($I1515="FIN",PERSONAL!$J$2:$J$80,PERSONAL!$F$2:$F$80),MATCH($B1515,PERSONAL!$A$2:$A$80,0)))))</f>
        <v/>
      </c>
      <c r="N1515" s="53">
        <f t="array" ref="N1515">IFERROR(INDEX(EXCEPCIONES_FECHA!$E$2:$E$201,MATCH(1,(EXCEPCIONES_FECHA!$A$2:$A$201=$A1515)*(EXCEPCIONES_FECHA!$B$2:$B$201=$B1515),0)),IFERROR(INDEX(EXCEPCIONES_FECHA!$E$2:$E$201,MATCH(1,(EXCEPCIONES_FECHA!$A$2:$A$201=$A1515)*(EXCEPCIONES_FECHA!$B$2:$B$201=""),0)),IFERROR(INDEX(IF($I1515="FIN",HISTORIAL_HORARIOS!$K$2:$K$201,HISTORIAL_HORARIOS!$G$2:$G$201),MATCH(1,(HISTORIAL_HORARIOS!$A$2:$A$201=$B1515)*(HISTORIAL_HORARIOS!$C$2:$C$201&lt;=$A1515)*(HISTORIAL_HORARIOS!$D$2:$D$201&gt;=$A1515),0)),INDEX(IF($I1515="FIN",PERSONAL!$K$2:$K$80,PERSONAL!$G$2:$G$80),MATCH($B1515,PERSONAL!$A$2:$A$80,0)))))</f>
        <v/>
      </c>
      <c r="O1515" s="53">
        <f t="array" ref="O1515">IFERROR(INDEX(EXCEPCIONES_FECHA!$F$2:$F$201,MATCH(1,(EXCEPCIONES_FECHA!$A$2:$A$201=$A1515)*(EXCEPCIONES_FECHA!$B$2:$B$201=$B1515),0)),IFERROR(INDEX(EXCEPCIONES_FECHA!$F$2:$F$201,MATCH(1,(EXCEPCIONES_FECHA!$A$2:$A$201=$A1515)*(EXCEPCIONES_FECHA!$B$2:$B$201=""),0)),IFERROR(INDEX(IF($I1515="FIN",HISTORIAL_HORARIOS!$L$2:$L$201,HISTORIAL_HORARIOS!$H$2:$H$201),MATCH(1,(HISTORIAL_HORARIOS!$A$2:$A$201=$B1515)*(HISTORIAL_HORARIOS!$C$2:$C$201&lt;=$A1515)*(HISTORIAL_HORARIOS!$D$2:$D$201&gt;=$A1515),0)),INDEX(IF($I1515="FIN",PERSONAL!$L$2:$L$80,PERSONAL!$H$2:$H$80),MATCH($B1515,PERSONAL!$A$2:$A$80,0)))))</f>
        <v/>
      </c>
    </row>
    <row r="1516" ht="15" customHeight="1" s="58">
      <c r="A1516" s="40" t="n"/>
      <c r="B1516" s="38" t="n"/>
      <c r="C1516" s="40" t="n"/>
      <c r="D1516" s="40" t="n"/>
      <c r="E1516" s="34">
        <f t="array" ref="E1516">IF($B1516="","",IFERROR(INDEX(PERSONAL!$B$2:$B$80,MATCH($B1516,PERSONAL!$A$2:$A$80,0)),"NO EXISTE"))</f>
        <v/>
      </c>
      <c r="F1516" s="34">
        <f t="array" ref="F1516">IF($B1516="","",IFERROR(INDEX(PERSONAL!$C$2:$C$80,MATCH($B1516,PERSONAL!$A$2:$A$80,0)),""))</f>
        <v/>
      </c>
      <c r="G1516" s="34">
        <f>IF($A1516="","",CHOOSE(WEEKDAY($A1516,2),"LUNES","MARTES","MIÉRCOLES","JUEVES","VIERNES","SÁBADO","DOMINGO"))</f>
        <v/>
      </c>
      <c r="H1516" s="34">
        <f>IF($A1516="","",CHOOSE(MONTH($A1516),"ENERO","FEBRERO","MARZO","ABRIL","MAYO","JUNIO","JULIO","AGOSTO","SEPTIEMBRE","OCTUBRE","NOVIEMBRE","DICIEMBRE"))</f>
        <v/>
      </c>
      <c r="I1516" s="34">
        <f>IF($A1516="","",IF(OR($G1516="SÁBADO",$G1516="DOMINGO"),"FIN","LV"))</f>
        <v/>
      </c>
      <c r="J1516" s="34">
        <f>IF(OR($A1516="",$B1516=""),"",IF($L1516&lt;&gt;"",UPPER($L1516),IF($C1516="","FALTA",IFERROR(IF($C1516&gt;=$O1516,"ROJO FUERTE",IF($C1516&gt;=$N1516,"ROJO",IF($C1516&gt;=$M1516,"AMARILLO","VERDE"))),"REVISAR"))))</f>
        <v/>
      </c>
      <c r="K1516" s="36">
        <f>IF(OR($C1516="",$D1516=""),"",IF($D1516&gt;=$C1516,($D1516-$C1516)*24,(1-$C1516+$D1516)*24))</f>
        <v/>
      </c>
      <c r="L1516" s="34" t="n"/>
      <c r="M1516" s="53">
        <f t="array" ref="M1516">IFERROR(INDEX(EXCEPCIONES_FECHA!$D$2:$D$201,MATCH(1,(EXCEPCIONES_FECHA!$A$2:$A$201=$A1516)*(EXCEPCIONES_FECHA!$B$2:$B$201=$B1516),0)),IFERROR(INDEX(EXCEPCIONES_FECHA!$D$2:$D$201,MATCH(1,(EXCEPCIONES_FECHA!$A$2:$A$201=$A1516)*(EXCEPCIONES_FECHA!$B$2:$B$201=""),0)),IFERROR(INDEX(IF($I1516="FIN",HISTORIAL_HORARIOS!$J$2:$J$201,HISTORIAL_HORARIOS!$F$2:$F$201),MATCH(1,(HISTORIAL_HORARIOS!$A$2:$A$201=$B1516)*(HISTORIAL_HORARIOS!$C$2:$C$201&lt;=$A1516)*(HISTORIAL_HORARIOS!$D$2:$D$201&gt;=$A1516),0)),INDEX(IF($I1516="FIN",PERSONAL!$J$2:$J$80,PERSONAL!$F$2:$F$80),MATCH($B1516,PERSONAL!$A$2:$A$80,0)))))</f>
        <v/>
      </c>
      <c r="N1516" s="53">
        <f t="array" ref="N1516">IFERROR(INDEX(EXCEPCIONES_FECHA!$E$2:$E$201,MATCH(1,(EXCEPCIONES_FECHA!$A$2:$A$201=$A1516)*(EXCEPCIONES_FECHA!$B$2:$B$201=$B1516),0)),IFERROR(INDEX(EXCEPCIONES_FECHA!$E$2:$E$201,MATCH(1,(EXCEPCIONES_FECHA!$A$2:$A$201=$A1516)*(EXCEPCIONES_FECHA!$B$2:$B$201=""),0)),IFERROR(INDEX(IF($I1516="FIN",HISTORIAL_HORARIOS!$K$2:$K$201,HISTORIAL_HORARIOS!$G$2:$G$201),MATCH(1,(HISTORIAL_HORARIOS!$A$2:$A$201=$B1516)*(HISTORIAL_HORARIOS!$C$2:$C$201&lt;=$A1516)*(HISTORIAL_HORARIOS!$D$2:$D$201&gt;=$A1516),0)),INDEX(IF($I1516="FIN",PERSONAL!$K$2:$K$80,PERSONAL!$G$2:$G$80),MATCH($B1516,PERSONAL!$A$2:$A$80,0)))))</f>
        <v/>
      </c>
      <c r="O1516" s="53">
        <f t="array" ref="O1516">IFERROR(INDEX(EXCEPCIONES_FECHA!$F$2:$F$201,MATCH(1,(EXCEPCIONES_FECHA!$A$2:$A$201=$A1516)*(EXCEPCIONES_FECHA!$B$2:$B$201=$B1516),0)),IFERROR(INDEX(EXCEPCIONES_FECHA!$F$2:$F$201,MATCH(1,(EXCEPCIONES_FECHA!$A$2:$A$201=$A1516)*(EXCEPCIONES_FECHA!$B$2:$B$201=""),0)),IFERROR(INDEX(IF($I1516="FIN",HISTORIAL_HORARIOS!$L$2:$L$201,HISTORIAL_HORARIOS!$H$2:$H$201),MATCH(1,(HISTORIAL_HORARIOS!$A$2:$A$201=$B1516)*(HISTORIAL_HORARIOS!$C$2:$C$201&lt;=$A1516)*(HISTORIAL_HORARIOS!$D$2:$D$201&gt;=$A1516),0)),INDEX(IF($I1516="FIN",PERSONAL!$L$2:$L$80,PERSONAL!$H$2:$H$80),MATCH($B1516,PERSONAL!$A$2:$A$80,0)))))</f>
        <v/>
      </c>
    </row>
    <row r="1517" ht="15" customHeight="1" s="58">
      <c r="A1517" s="40" t="n"/>
      <c r="B1517" s="38" t="n"/>
      <c r="C1517" s="40" t="n"/>
      <c r="D1517" s="40" t="n"/>
      <c r="E1517" s="34">
        <f t="array" ref="E1517">IF($B1517="","",IFERROR(INDEX(PERSONAL!$B$2:$B$80,MATCH($B1517,PERSONAL!$A$2:$A$80,0)),"NO EXISTE"))</f>
        <v/>
      </c>
      <c r="F1517" s="34">
        <f t="array" ref="F1517">IF($B1517="","",IFERROR(INDEX(PERSONAL!$C$2:$C$80,MATCH($B1517,PERSONAL!$A$2:$A$80,0)),""))</f>
        <v/>
      </c>
      <c r="G1517" s="34">
        <f>IF($A1517="","",CHOOSE(WEEKDAY($A1517,2),"LUNES","MARTES","MIÉRCOLES","JUEVES","VIERNES","SÁBADO","DOMINGO"))</f>
        <v/>
      </c>
      <c r="H1517" s="34">
        <f>IF($A1517="","",CHOOSE(MONTH($A1517),"ENERO","FEBRERO","MARZO","ABRIL","MAYO","JUNIO","JULIO","AGOSTO","SEPTIEMBRE","OCTUBRE","NOVIEMBRE","DICIEMBRE"))</f>
        <v/>
      </c>
      <c r="I1517" s="34">
        <f>IF($A1517="","",IF(OR($G1517="SÁBADO",$G1517="DOMINGO"),"FIN","LV"))</f>
        <v/>
      </c>
      <c r="J1517" s="34">
        <f>IF(OR($A1517="",$B1517=""),"",IF($L1517&lt;&gt;"",UPPER($L1517),IF($C1517="","FALTA",IFERROR(IF($C1517&gt;=$O1517,"ROJO FUERTE",IF($C1517&gt;=$N1517,"ROJO",IF($C1517&gt;=$M1517,"AMARILLO","VERDE"))),"REVISAR"))))</f>
        <v/>
      </c>
      <c r="K1517" s="36">
        <f>IF(OR($C1517="",$D1517=""),"",IF($D1517&gt;=$C1517,($D1517-$C1517)*24,(1-$C1517+$D1517)*24))</f>
        <v/>
      </c>
      <c r="L1517" s="34" t="n"/>
      <c r="M1517" s="53">
        <f t="array" ref="M1517">IFERROR(INDEX(EXCEPCIONES_FECHA!$D$2:$D$201,MATCH(1,(EXCEPCIONES_FECHA!$A$2:$A$201=$A1517)*(EXCEPCIONES_FECHA!$B$2:$B$201=$B1517),0)),IFERROR(INDEX(EXCEPCIONES_FECHA!$D$2:$D$201,MATCH(1,(EXCEPCIONES_FECHA!$A$2:$A$201=$A1517)*(EXCEPCIONES_FECHA!$B$2:$B$201=""),0)),IFERROR(INDEX(IF($I1517="FIN",HISTORIAL_HORARIOS!$J$2:$J$201,HISTORIAL_HORARIOS!$F$2:$F$201),MATCH(1,(HISTORIAL_HORARIOS!$A$2:$A$201=$B1517)*(HISTORIAL_HORARIOS!$C$2:$C$201&lt;=$A1517)*(HISTORIAL_HORARIOS!$D$2:$D$201&gt;=$A1517),0)),INDEX(IF($I1517="FIN",PERSONAL!$J$2:$J$80,PERSONAL!$F$2:$F$80),MATCH($B1517,PERSONAL!$A$2:$A$80,0)))))</f>
        <v/>
      </c>
      <c r="N1517" s="53">
        <f t="array" ref="N1517">IFERROR(INDEX(EXCEPCIONES_FECHA!$E$2:$E$201,MATCH(1,(EXCEPCIONES_FECHA!$A$2:$A$201=$A1517)*(EXCEPCIONES_FECHA!$B$2:$B$201=$B1517),0)),IFERROR(INDEX(EXCEPCIONES_FECHA!$E$2:$E$201,MATCH(1,(EXCEPCIONES_FECHA!$A$2:$A$201=$A1517)*(EXCEPCIONES_FECHA!$B$2:$B$201=""),0)),IFERROR(INDEX(IF($I1517="FIN",HISTORIAL_HORARIOS!$K$2:$K$201,HISTORIAL_HORARIOS!$G$2:$G$201),MATCH(1,(HISTORIAL_HORARIOS!$A$2:$A$201=$B1517)*(HISTORIAL_HORARIOS!$C$2:$C$201&lt;=$A1517)*(HISTORIAL_HORARIOS!$D$2:$D$201&gt;=$A1517),0)),INDEX(IF($I1517="FIN",PERSONAL!$K$2:$K$80,PERSONAL!$G$2:$G$80),MATCH($B1517,PERSONAL!$A$2:$A$80,0)))))</f>
        <v/>
      </c>
      <c r="O1517" s="53">
        <f t="array" ref="O1517">IFERROR(INDEX(EXCEPCIONES_FECHA!$F$2:$F$201,MATCH(1,(EXCEPCIONES_FECHA!$A$2:$A$201=$A1517)*(EXCEPCIONES_FECHA!$B$2:$B$201=$B1517),0)),IFERROR(INDEX(EXCEPCIONES_FECHA!$F$2:$F$201,MATCH(1,(EXCEPCIONES_FECHA!$A$2:$A$201=$A1517)*(EXCEPCIONES_FECHA!$B$2:$B$201=""),0)),IFERROR(INDEX(IF($I1517="FIN",HISTORIAL_HORARIOS!$L$2:$L$201,HISTORIAL_HORARIOS!$H$2:$H$201),MATCH(1,(HISTORIAL_HORARIOS!$A$2:$A$201=$B1517)*(HISTORIAL_HORARIOS!$C$2:$C$201&lt;=$A1517)*(HISTORIAL_HORARIOS!$D$2:$D$201&gt;=$A1517),0)),INDEX(IF($I1517="FIN",PERSONAL!$L$2:$L$80,PERSONAL!$H$2:$H$80),MATCH($B1517,PERSONAL!$A$2:$A$80,0)))))</f>
        <v/>
      </c>
    </row>
    <row r="1518" ht="15" customHeight="1" s="58">
      <c r="A1518" s="40" t="n"/>
      <c r="B1518" s="38" t="n"/>
      <c r="C1518" s="40" t="n"/>
      <c r="D1518" s="40" t="n"/>
      <c r="E1518" s="34">
        <f t="array" ref="E1518">IF($B1518="","",IFERROR(INDEX(PERSONAL!$B$2:$B$80,MATCH($B1518,PERSONAL!$A$2:$A$80,0)),"NO EXISTE"))</f>
        <v/>
      </c>
      <c r="F1518" s="34">
        <f t="array" ref="F1518">IF($B1518="","",IFERROR(INDEX(PERSONAL!$C$2:$C$80,MATCH($B1518,PERSONAL!$A$2:$A$80,0)),""))</f>
        <v/>
      </c>
      <c r="G1518" s="34">
        <f>IF($A1518="","",CHOOSE(WEEKDAY($A1518,2),"LUNES","MARTES","MIÉRCOLES","JUEVES","VIERNES","SÁBADO","DOMINGO"))</f>
        <v/>
      </c>
      <c r="H1518" s="34">
        <f>IF($A1518="","",CHOOSE(MONTH($A1518),"ENERO","FEBRERO","MARZO","ABRIL","MAYO","JUNIO","JULIO","AGOSTO","SEPTIEMBRE","OCTUBRE","NOVIEMBRE","DICIEMBRE"))</f>
        <v/>
      </c>
      <c r="I1518" s="34">
        <f>IF($A1518="","",IF(OR($G1518="SÁBADO",$G1518="DOMINGO"),"FIN","LV"))</f>
        <v/>
      </c>
      <c r="J1518" s="34">
        <f>IF(OR($A1518="",$B1518=""),"",IF($L1518&lt;&gt;"",UPPER($L1518),IF($C1518="","FALTA",IFERROR(IF($C1518&gt;=$O1518,"ROJO FUERTE",IF($C1518&gt;=$N1518,"ROJO",IF($C1518&gt;=$M1518,"AMARILLO","VERDE"))),"REVISAR"))))</f>
        <v/>
      </c>
      <c r="K1518" s="36">
        <f>IF(OR($C1518="",$D1518=""),"",IF($D1518&gt;=$C1518,($D1518-$C1518)*24,(1-$C1518+$D1518)*24))</f>
        <v/>
      </c>
      <c r="L1518" s="34" t="n"/>
      <c r="M1518" s="53">
        <f t="array" ref="M1518">IFERROR(INDEX(EXCEPCIONES_FECHA!$D$2:$D$201,MATCH(1,(EXCEPCIONES_FECHA!$A$2:$A$201=$A1518)*(EXCEPCIONES_FECHA!$B$2:$B$201=$B1518),0)),IFERROR(INDEX(EXCEPCIONES_FECHA!$D$2:$D$201,MATCH(1,(EXCEPCIONES_FECHA!$A$2:$A$201=$A1518)*(EXCEPCIONES_FECHA!$B$2:$B$201=""),0)),IFERROR(INDEX(IF($I1518="FIN",HISTORIAL_HORARIOS!$J$2:$J$201,HISTORIAL_HORARIOS!$F$2:$F$201),MATCH(1,(HISTORIAL_HORARIOS!$A$2:$A$201=$B1518)*(HISTORIAL_HORARIOS!$C$2:$C$201&lt;=$A1518)*(HISTORIAL_HORARIOS!$D$2:$D$201&gt;=$A1518),0)),INDEX(IF($I1518="FIN",PERSONAL!$J$2:$J$80,PERSONAL!$F$2:$F$80),MATCH($B1518,PERSONAL!$A$2:$A$80,0)))))</f>
        <v/>
      </c>
      <c r="N1518" s="53">
        <f t="array" ref="N1518">IFERROR(INDEX(EXCEPCIONES_FECHA!$E$2:$E$201,MATCH(1,(EXCEPCIONES_FECHA!$A$2:$A$201=$A1518)*(EXCEPCIONES_FECHA!$B$2:$B$201=$B1518),0)),IFERROR(INDEX(EXCEPCIONES_FECHA!$E$2:$E$201,MATCH(1,(EXCEPCIONES_FECHA!$A$2:$A$201=$A1518)*(EXCEPCIONES_FECHA!$B$2:$B$201=""),0)),IFERROR(INDEX(IF($I1518="FIN",HISTORIAL_HORARIOS!$K$2:$K$201,HISTORIAL_HORARIOS!$G$2:$G$201),MATCH(1,(HISTORIAL_HORARIOS!$A$2:$A$201=$B1518)*(HISTORIAL_HORARIOS!$C$2:$C$201&lt;=$A1518)*(HISTORIAL_HORARIOS!$D$2:$D$201&gt;=$A1518),0)),INDEX(IF($I1518="FIN",PERSONAL!$K$2:$K$80,PERSONAL!$G$2:$G$80),MATCH($B1518,PERSONAL!$A$2:$A$80,0)))))</f>
        <v/>
      </c>
      <c r="O1518" s="53">
        <f t="array" ref="O1518">IFERROR(INDEX(EXCEPCIONES_FECHA!$F$2:$F$201,MATCH(1,(EXCEPCIONES_FECHA!$A$2:$A$201=$A1518)*(EXCEPCIONES_FECHA!$B$2:$B$201=$B1518),0)),IFERROR(INDEX(EXCEPCIONES_FECHA!$F$2:$F$201,MATCH(1,(EXCEPCIONES_FECHA!$A$2:$A$201=$A1518)*(EXCEPCIONES_FECHA!$B$2:$B$201=""),0)),IFERROR(INDEX(IF($I1518="FIN",HISTORIAL_HORARIOS!$L$2:$L$201,HISTORIAL_HORARIOS!$H$2:$H$201),MATCH(1,(HISTORIAL_HORARIOS!$A$2:$A$201=$B1518)*(HISTORIAL_HORARIOS!$C$2:$C$201&lt;=$A1518)*(HISTORIAL_HORARIOS!$D$2:$D$201&gt;=$A1518),0)),INDEX(IF($I1518="FIN",PERSONAL!$L$2:$L$80,PERSONAL!$H$2:$H$80),MATCH($B1518,PERSONAL!$A$2:$A$80,0)))))</f>
        <v/>
      </c>
    </row>
    <row r="1519" ht="15" customHeight="1" s="58">
      <c r="A1519" s="40" t="n"/>
      <c r="B1519" s="38" t="n"/>
      <c r="C1519" s="40" t="n"/>
      <c r="D1519" s="40" t="n"/>
      <c r="E1519" s="34">
        <f t="array" ref="E1519">IF($B1519="","",IFERROR(INDEX(PERSONAL!$B$2:$B$80,MATCH($B1519,PERSONAL!$A$2:$A$80,0)),"NO EXISTE"))</f>
        <v/>
      </c>
      <c r="F1519" s="34">
        <f t="array" ref="F1519">IF($B1519="","",IFERROR(INDEX(PERSONAL!$C$2:$C$80,MATCH($B1519,PERSONAL!$A$2:$A$80,0)),""))</f>
        <v/>
      </c>
      <c r="G1519" s="34">
        <f>IF($A1519="","",CHOOSE(WEEKDAY($A1519,2),"LUNES","MARTES","MIÉRCOLES","JUEVES","VIERNES","SÁBADO","DOMINGO"))</f>
        <v/>
      </c>
      <c r="H1519" s="34">
        <f>IF($A1519="","",CHOOSE(MONTH($A1519),"ENERO","FEBRERO","MARZO","ABRIL","MAYO","JUNIO","JULIO","AGOSTO","SEPTIEMBRE","OCTUBRE","NOVIEMBRE","DICIEMBRE"))</f>
        <v/>
      </c>
      <c r="I1519" s="34">
        <f>IF($A1519="","",IF(OR($G1519="SÁBADO",$G1519="DOMINGO"),"FIN","LV"))</f>
        <v/>
      </c>
      <c r="J1519" s="34">
        <f>IF(OR($A1519="",$B1519=""),"",IF($L1519&lt;&gt;"",UPPER($L1519),IF($C1519="","FALTA",IFERROR(IF($C1519&gt;=$O1519,"ROJO FUERTE",IF($C1519&gt;=$N1519,"ROJO",IF($C1519&gt;=$M1519,"AMARILLO","VERDE"))),"REVISAR"))))</f>
        <v/>
      </c>
      <c r="K1519" s="36">
        <f>IF(OR($C1519="",$D1519=""),"",IF($D1519&gt;=$C1519,($D1519-$C1519)*24,(1-$C1519+$D1519)*24))</f>
        <v/>
      </c>
      <c r="L1519" s="34" t="n"/>
      <c r="M1519" s="53">
        <f t="array" ref="M1519">IFERROR(INDEX(EXCEPCIONES_FECHA!$D$2:$D$201,MATCH(1,(EXCEPCIONES_FECHA!$A$2:$A$201=$A1519)*(EXCEPCIONES_FECHA!$B$2:$B$201=$B1519),0)),IFERROR(INDEX(EXCEPCIONES_FECHA!$D$2:$D$201,MATCH(1,(EXCEPCIONES_FECHA!$A$2:$A$201=$A1519)*(EXCEPCIONES_FECHA!$B$2:$B$201=""),0)),IFERROR(INDEX(IF($I1519="FIN",HISTORIAL_HORARIOS!$J$2:$J$201,HISTORIAL_HORARIOS!$F$2:$F$201),MATCH(1,(HISTORIAL_HORARIOS!$A$2:$A$201=$B1519)*(HISTORIAL_HORARIOS!$C$2:$C$201&lt;=$A1519)*(HISTORIAL_HORARIOS!$D$2:$D$201&gt;=$A1519),0)),INDEX(IF($I1519="FIN",PERSONAL!$J$2:$J$80,PERSONAL!$F$2:$F$80),MATCH($B1519,PERSONAL!$A$2:$A$80,0)))))</f>
        <v/>
      </c>
      <c r="N1519" s="53">
        <f t="array" ref="N1519">IFERROR(INDEX(EXCEPCIONES_FECHA!$E$2:$E$201,MATCH(1,(EXCEPCIONES_FECHA!$A$2:$A$201=$A1519)*(EXCEPCIONES_FECHA!$B$2:$B$201=$B1519),0)),IFERROR(INDEX(EXCEPCIONES_FECHA!$E$2:$E$201,MATCH(1,(EXCEPCIONES_FECHA!$A$2:$A$201=$A1519)*(EXCEPCIONES_FECHA!$B$2:$B$201=""),0)),IFERROR(INDEX(IF($I1519="FIN",HISTORIAL_HORARIOS!$K$2:$K$201,HISTORIAL_HORARIOS!$G$2:$G$201),MATCH(1,(HISTORIAL_HORARIOS!$A$2:$A$201=$B1519)*(HISTORIAL_HORARIOS!$C$2:$C$201&lt;=$A1519)*(HISTORIAL_HORARIOS!$D$2:$D$201&gt;=$A1519),0)),INDEX(IF($I1519="FIN",PERSONAL!$K$2:$K$80,PERSONAL!$G$2:$G$80),MATCH($B1519,PERSONAL!$A$2:$A$80,0)))))</f>
        <v/>
      </c>
      <c r="O1519" s="53">
        <f t="array" ref="O1519">IFERROR(INDEX(EXCEPCIONES_FECHA!$F$2:$F$201,MATCH(1,(EXCEPCIONES_FECHA!$A$2:$A$201=$A1519)*(EXCEPCIONES_FECHA!$B$2:$B$201=$B1519),0)),IFERROR(INDEX(EXCEPCIONES_FECHA!$F$2:$F$201,MATCH(1,(EXCEPCIONES_FECHA!$A$2:$A$201=$A1519)*(EXCEPCIONES_FECHA!$B$2:$B$201=""),0)),IFERROR(INDEX(IF($I1519="FIN",HISTORIAL_HORARIOS!$L$2:$L$201,HISTORIAL_HORARIOS!$H$2:$H$201),MATCH(1,(HISTORIAL_HORARIOS!$A$2:$A$201=$B1519)*(HISTORIAL_HORARIOS!$C$2:$C$201&lt;=$A1519)*(HISTORIAL_HORARIOS!$D$2:$D$201&gt;=$A1519),0)),INDEX(IF($I1519="FIN",PERSONAL!$L$2:$L$80,PERSONAL!$H$2:$H$80),MATCH($B1519,PERSONAL!$A$2:$A$80,0)))))</f>
        <v/>
      </c>
    </row>
    <row r="1520" ht="15" customHeight="1" s="58">
      <c r="A1520" s="40" t="n"/>
      <c r="B1520" s="38" t="n"/>
      <c r="C1520" s="40" t="n"/>
      <c r="D1520" s="40" t="n"/>
      <c r="E1520" s="34">
        <f t="array" ref="E1520">IF($B1520="","",IFERROR(INDEX(PERSONAL!$B$2:$B$80,MATCH($B1520,PERSONAL!$A$2:$A$80,0)),"NO EXISTE"))</f>
        <v/>
      </c>
      <c r="F1520" s="34">
        <f t="array" ref="F1520">IF($B1520="","",IFERROR(INDEX(PERSONAL!$C$2:$C$80,MATCH($B1520,PERSONAL!$A$2:$A$80,0)),""))</f>
        <v/>
      </c>
      <c r="G1520" s="34">
        <f>IF($A1520="","",CHOOSE(WEEKDAY($A1520,2),"LUNES","MARTES","MIÉRCOLES","JUEVES","VIERNES","SÁBADO","DOMINGO"))</f>
        <v/>
      </c>
      <c r="H1520" s="34">
        <f>IF($A1520="","",CHOOSE(MONTH($A1520),"ENERO","FEBRERO","MARZO","ABRIL","MAYO","JUNIO","JULIO","AGOSTO","SEPTIEMBRE","OCTUBRE","NOVIEMBRE","DICIEMBRE"))</f>
        <v/>
      </c>
      <c r="I1520" s="34">
        <f>IF($A1520="","",IF(OR($G1520="SÁBADO",$G1520="DOMINGO"),"FIN","LV"))</f>
        <v/>
      </c>
      <c r="J1520" s="34">
        <f>IF(OR($A1520="",$B1520=""),"",IF($L1520&lt;&gt;"",UPPER($L1520),IF($C1520="","FALTA",IFERROR(IF($C1520&gt;=$O1520,"ROJO FUERTE",IF($C1520&gt;=$N1520,"ROJO",IF($C1520&gt;=$M1520,"AMARILLO","VERDE"))),"REVISAR"))))</f>
        <v/>
      </c>
      <c r="K1520" s="36">
        <f>IF(OR($C1520="",$D1520=""),"",IF($D1520&gt;=$C1520,($D1520-$C1520)*24,(1-$C1520+$D1520)*24))</f>
        <v/>
      </c>
      <c r="L1520" s="34" t="n"/>
      <c r="M1520" s="53">
        <f t="array" ref="M1520">IFERROR(INDEX(EXCEPCIONES_FECHA!$D$2:$D$201,MATCH(1,(EXCEPCIONES_FECHA!$A$2:$A$201=$A1520)*(EXCEPCIONES_FECHA!$B$2:$B$201=$B1520),0)),IFERROR(INDEX(EXCEPCIONES_FECHA!$D$2:$D$201,MATCH(1,(EXCEPCIONES_FECHA!$A$2:$A$201=$A1520)*(EXCEPCIONES_FECHA!$B$2:$B$201=""),0)),IFERROR(INDEX(IF($I1520="FIN",HISTORIAL_HORARIOS!$J$2:$J$201,HISTORIAL_HORARIOS!$F$2:$F$201),MATCH(1,(HISTORIAL_HORARIOS!$A$2:$A$201=$B1520)*(HISTORIAL_HORARIOS!$C$2:$C$201&lt;=$A1520)*(HISTORIAL_HORARIOS!$D$2:$D$201&gt;=$A1520),0)),INDEX(IF($I1520="FIN",PERSONAL!$J$2:$J$80,PERSONAL!$F$2:$F$80),MATCH($B1520,PERSONAL!$A$2:$A$80,0)))))</f>
        <v/>
      </c>
      <c r="N1520" s="53">
        <f t="array" ref="N1520">IFERROR(INDEX(EXCEPCIONES_FECHA!$E$2:$E$201,MATCH(1,(EXCEPCIONES_FECHA!$A$2:$A$201=$A1520)*(EXCEPCIONES_FECHA!$B$2:$B$201=$B1520),0)),IFERROR(INDEX(EXCEPCIONES_FECHA!$E$2:$E$201,MATCH(1,(EXCEPCIONES_FECHA!$A$2:$A$201=$A1520)*(EXCEPCIONES_FECHA!$B$2:$B$201=""),0)),IFERROR(INDEX(IF($I1520="FIN",HISTORIAL_HORARIOS!$K$2:$K$201,HISTORIAL_HORARIOS!$G$2:$G$201),MATCH(1,(HISTORIAL_HORARIOS!$A$2:$A$201=$B1520)*(HISTORIAL_HORARIOS!$C$2:$C$201&lt;=$A1520)*(HISTORIAL_HORARIOS!$D$2:$D$201&gt;=$A1520),0)),INDEX(IF($I1520="FIN",PERSONAL!$K$2:$K$80,PERSONAL!$G$2:$G$80),MATCH($B1520,PERSONAL!$A$2:$A$80,0)))))</f>
        <v/>
      </c>
      <c r="O1520" s="53">
        <f t="array" ref="O1520">IFERROR(INDEX(EXCEPCIONES_FECHA!$F$2:$F$201,MATCH(1,(EXCEPCIONES_FECHA!$A$2:$A$201=$A1520)*(EXCEPCIONES_FECHA!$B$2:$B$201=$B1520),0)),IFERROR(INDEX(EXCEPCIONES_FECHA!$F$2:$F$201,MATCH(1,(EXCEPCIONES_FECHA!$A$2:$A$201=$A1520)*(EXCEPCIONES_FECHA!$B$2:$B$201=""),0)),IFERROR(INDEX(IF($I1520="FIN",HISTORIAL_HORARIOS!$L$2:$L$201,HISTORIAL_HORARIOS!$H$2:$H$201),MATCH(1,(HISTORIAL_HORARIOS!$A$2:$A$201=$B1520)*(HISTORIAL_HORARIOS!$C$2:$C$201&lt;=$A1520)*(HISTORIAL_HORARIOS!$D$2:$D$201&gt;=$A1520),0)),INDEX(IF($I1520="FIN",PERSONAL!$L$2:$L$80,PERSONAL!$H$2:$H$80),MATCH($B1520,PERSONAL!$A$2:$A$80,0)))))</f>
        <v/>
      </c>
    </row>
    <row r="1521" ht="15" customHeight="1" s="58">
      <c r="A1521" s="40" t="n"/>
      <c r="B1521" s="38" t="n"/>
      <c r="C1521" s="40" t="n"/>
      <c r="D1521" s="40" t="n"/>
      <c r="E1521" s="34">
        <f t="array" ref="E1521">IF($B1521="","",IFERROR(INDEX(PERSONAL!$B$2:$B$80,MATCH($B1521,PERSONAL!$A$2:$A$80,0)),"NO EXISTE"))</f>
        <v/>
      </c>
      <c r="F1521" s="34">
        <f t="array" ref="F1521">IF($B1521="","",IFERROR(INDEX(PERSONAL!$C$2:$C$80,MATCH($B1521,PERSONAL!$A$2:$A$80,0)),""))</f>
        <v/>
      </c>
      <c r="G1521" s="34">
        <f>IF($A1521="","",CHOOSE(WEEKDAY($A1521,2),"LUNES","MARTES","MIÉRCOLES","JUEVES","VIERNES","SÁBADO","DOMINGO"))</f>
        <v/>
      </c>
      <c r="H1521" s="34">
        <f>IF($A1521="","",CHOOSE(MONTH($A1521),"ENERO","FEBRERO","MARZO","ABRIL","MAYO","JUNIO","JULIO","AGOSTO","SEPTIEMBRE","OCTUBRE","NOVIEMBRE","DICIEMBRE"))</f>
        <v/>
      </c>
      <c r="I1521" s="34">
        <f>IF($A1521="","",IF(OR($G1521="SÁBADO",$G1521="DOMINGO"),"FIN","LV"))</f>
        <v/>
      </c>
      <c r="J1521" s="34">
        <f>IF(OR($A1521="",$B1521=""),"",IF($L1521&lt;&gt;"",UPPER($L1521),IF($C1521="","FALTA",IFERROR(IF($C1521&gt;=$O1521,"ROJO FUERTE",IF($C1521&gt;=$N1521,"ROJO",IF($C1521&gt;=$M1521,"AMARILLO","VERDE"))),"REVISAR"))))</f>
        <v/>
      </c>
      <c r="K1521" s="36">
        <f>IF(OR($C1521="",$D1521=""),"",IF($D1521&gt;=$C1521,($D1521-$C1521)*24,(1-$C1521+$D1521)*24))</f>
        <v/>
      </c>
      <c r="L1521" s="34" t="n"/>
      <c r="M1521" s="53">
        <f t="array" ref="M1521">IFERROR(INDEX(EXCEPCIONES_FECHA!$D$2:$D$201,MATCH(1,(EXCEPCIONES_FECHA!$A$2:$A$201=$A1521)*(EXCEPCIONES_FECHA!$B$2:$B$201=$B1521),0)),IFERROR(INDEX(EXCEPCIONES_FECHA!$D$2:$D$201,MATCH(1,(EXCEPCIONES_FECHA!$A$2:$A$201=$A1521)*(EXCEPCIONES_FECHA!$B$2:$B$201=""),0)),IFERROR(INDEX(IF($I1521="FIN",HISTORIAL_HORARIOS!$J$2:$J$201,HISTORIAL_HORARIOS!$F$2:$F$201),MATCH(1,(HISTORIAL_HORARIOS!$A$2:$A$201=$B1521)*(HISTORIAL_HORARIOS!$C$2:$C$201&lt;=$A1521)*(HISTORIAL_HORARIOS!$D$2:$D$201&gt;=$A1521),0)),INDEX(IF($I1521="FIN",PERSONAL!$J$2:$J$80,PERSONAL!$F$2:$F$80),MATCH($B1521,PERSONAL!$A$2:$A$80,0)))))</f>
        <v/>
      </c>
      <c r="N1521" s="53">
        <f t="array" ref="N1521">IFERROR(INDEX(EXCEPCIONES_FECHA!$E$2:$E$201,MATCH(1,(EXCEPCIONES_FECHA!$A$2:$A$201=$A1521)*(EXCEPCIONES_FECHA!$B$2:$B$201=$B1521),0)),IFERROR(INDEX(EXCEPCIONES_FECHA!$E$2:$E$201,MATCH(1,(EXCEPCIONES_FECHA!$A$2:$A$201=$A1521)*(EXCEPCIONES_FECHA!$B$2:$B$201=""),0)),IFERROR(INDEX(IF($I1521="FIN",HISTORIAL_HORARIOS!$K$2:$K$201,HISTORIAL_HORARIOS!$G$2:$G$201),MATCH(1,(HISTORIAL_HORARIOS!$A$2:$A$201=$B1521)*(HISTORIAL_HORARIOS!$C$2:$C$201&lt;=$A1521)*(HISTORIAL_HORARIOS!$D$2:$D$201&gt;=$A1521),0)),INDEX(IF($I1521="FIN",PERSONAL!$K$2:$K$80,PERSONAL!$G$2:$G$80),MATCH($B1521,PERSONAL!$A$2:$A$80,0)))))</f>
        <v/>
      </c>
      <c r="O1521" s="53">
        <f t="array" ref="O1521">IFERROR(INDEX(EXCEPCIONES_FECHA!$F$2:$F$201,MATCH(1,(EXCEPCIONES_FECHA!$A$2:$A$201=$A1521)*(EXCEPCIONES_FECHA!$B$2:$B$201=$B1521),0)),IFERROR(INDEX(EXCEPCIONES_FECHA!$F$2:$F$201,MATCH(1,(EXCEPCIONES_FECHA!$A$2:$A$201=$A1521)*(EXCEPCIONES_FECHA!$B$2:$B$201=""),0)),IFERROR(INDEX(IF($I1521="FIN",HISTORIAL_HORARIOS!$L$2:$L$201,HISTORIAL_HORARIOS!$H$2:$H$201),MATCH(1,(HISTORIAL_HORARIOS!$A$2:$A$201=$B1521)*(HISTORIAL_HORARIOS!$C$2:$C$201&lt;=$A1521)*(HISTORIAL_HORARIOS!$D$2:$D$201&gt;=$A1521),0)),INDEX(IF($I1521="FIN",PERSONAL!$L$2:$L$80,PERSONAL!$H$2:$H$80),MATCH($B1521,PERSONAL!$A$2:$A$80,0)))))</f>
        <v/>
      </c>
    </row>
    <row r="1522" ht="15" customHeight="1" s="58">
      <c r="A1522" s="40" t="n"/>
      <c r="B1522" s="38" t="n"/>
      <c r="C1522" s="40" t="n"/>
      <c r="D1522" s="40" t="n"/>
      <c r="E1522" s="34">
        <f t="array" ref="E1522">IF($B1522="","",IFERROR(INDEX(PERSONAL!$B$2:$B$80,MATCH($B1522,PERSONAL!$A$2:$A$80,0)),"NO EXISTE"))</f>
        <v/>
      </c>
      <c r="F1522" s="34">
        <f t="array" ref="F1522">IF($B1522="","",IFERROR(INDEX(PERSONAL!$C$2:$C$80,MATCH($B1522,PERSONAL!$A$2:$A$80,0)),""))</f>
        <v/>
      </c>
      <c r="G1522" s="34">
        <f>IF($A1522="","",CHOOSE(WEEKDAY($A1522,2),"LUNES","MARTES","MIÉRCOLES","JUEVES","VIERNES","SÁBADO","DOMINGO"))</f>
        <v/>
      </c>
      <c r="H1522" s="34">
        <f>IF($A1522="","",CHOOSE(MONTH($A1522),"ENERO","FEBRERO","MARZO","ABRIL","MAYO","JUNIO","JULIO","AGOSTO","SEPTIEMBRE","OCTUBRE","NOVIEMBRE","DICIEMBRE"))</f>
        <v/>
      </c>
      <c r="I1522" s="34">
        <f>IF($A1522="","",IF(OR($G1522="SÁBADO",$G1522="DOMINGO"),"FIN","LV"))</f>
        <v/>
      </c>
      <c r="J1522" s="34">
        <f>IF(OR($A1522="",$B1522=""),"",IF($L1522&lt;&gt;"",UPPER($L1522),IF($C1522="","FALTA",IFERROR(IF($C1522&gt;=$O1522,"ROJO FUERTE",IF($C1522&gt;=$N1522,"ROJO",IF($C1522&gt;=$M1522,"AMARILLO","VERDE"))),"REVISAR"))))</f>
        <v/>
      </c>
      <c r="K1522" s="36">
        <f>IF(OR($C1522="",$D1522=""),"",IF($D1522&gt;=$C1522,($D1522-$C1522)*24,(1-$C1522+$D1522)*24))</f>
        <v/>
      </c>
      <c r="L1522" s="34" t="n"/>
      <c r="M1522" s="53">
        <f t="array" ref="M1522">IFERROR(INDEX(EXCEPCIONES_FECHA!$D$2:$D$201,MATCH(1,(EXCEPCIONES_FECHA!$A$2:$A$201=$A1522)*(EXCEPCIONES_FECHA!$B$2:$B$201=$B1522),0)),IFERROR(INDEX(EXCEPCIONES_FECHA!$D$2:$D$201,MATCH(1,(EXCEPCIONES_FECHA!$A$2:$A$201=$A1522)*(EXCEPCIONES_FECHA!$B$2:$B$201=""),0)),IFERROR(INDEX(IF($I1522="FIN",HISTORIAL_HORARIOS!$J$2:$J$201,HISTORIAL_HORARIOS!$F$2:$F$201),MATCH(1,(HISTORIAL_HORARIOS!$A$2:$A$201=$B1522)*(HISTORIAL_HORARIOS!$C$2:$C$201&lt;=$A1522)*(HISTORIAL_HORARIOS!$D$2:$D$201&gt;=$A1522),0)),INDEX(IF($I1522="FIN",PERSONAL!$J$2:$J$80,PERSONAL!$F$2:$F$80),MATCH($B1522,PERSONAL!$A$2:$A$80,0)))))</f>
        <v/>
      </c>
      <c r="N1522" s="53">
        <f t="array" ref="N1522">IFERROR(INDEX(EXCEPCIONES_FECHA!$E$2:$E$201,MATCH(1,(EXCEPCIONES_FECHA!$A$2:$A$201=$A1522)*(EXCEPCIONES_FECHA!$B$2:$B$201=$B1522),0)),IFERROR(INDEX(EXCEPCIONES_FECHA!$E$2:$E$201,MATCH(1,(EXCEPCIONES_FECHA!$A$2:$A$201=$A1522)*(EXCEPCIONES_FECHA!$B$2:$B$201=""),0)),IFERROR(INDEX(IF($I1522="FIN",HISTORIAL_HORARIOS!$K$2:$K$201,HISTORIAL_HORARIOS!$G$2:$G$201),MATCH(1,(HISTORIAL_HORARIOS!$A$2:$A$201=$B1522)*(HISTORIAL_HORARIOS!$C$2:$C$201&lt;=$A1522)*(HISTORIAL_HORARIOS!$D$2:$D$201&gt;=$A1522),0)),INDEX(IF($I1522="FIN",PERSONAL!$K$2:$K$80,PERSONAL!$G$2:$G$80),MATCH($B1522,PERSONAL!$A$2:$A$80,0)))))</f>
        <v/>
      </c>
      <c r="O1522" s="53">
        <f t="array" ref="O1522">IFERROR(INDEX(EXCEPCIONES_FECHA!$F$2:$F$201,MATCH(1,(EXCEPCIONES_FECHA!$A$2:$A$201=$A1522)*(EXCEPCIONES_FECHA!$B$2:$B$201=$B1522),0)),IFERROR(INDEX(EXCEPCIONES_FECHA!$F$2:$F$201,MATCH(1,(EXCEPCIONES_FECHA!$A$2:$A$201=$A1522)*(EXCEPCIONES_FECHA!$B$2:$B$201=""),0)),IFERROR(INDEX(IF($I1522="FIN",HISTORIAL_HORARIOS!$L$2:$L$201,HISTORIAL_HORARIOS!$H$2:$H$201),MATCH(1,(HISTORIAL_HORARIOS!$A$2:$A$201=$B1522)*(HISTORIAL_HORARIOS!$C$2:$C$201&lt;=$A1522)*(HISTORIAL_HORARIOS!$D$2:$D$201&gt;=$A1522),0)),INDEX(IF($I1522="FIN",PERSONAL!$L$2:$L$80,PERSONAL!$H$2:$H$80),MATCH($B1522,PERSONAL!$A$2:$A$80,0)))))</f>
        <v/>
      </c>
    </row>
    <row r="1523" ht="15" customHeight="1" s="58">
      <c r="A1523" s="40" t="n"/>
      <c r="B1523" s="38" t="n"/>
      <c r="C1523" s="40" t="n"/>
      <c r="D1523" s="40" t="n"/>
      <c r="E1523" s="34">
        <f t="array" ref="E1523">IF($B1523="","",IFERROR(INDEX(PERSONAL!$B$2:$B$80,MATCH($B1523,PERSONAL!$A$2:$A$80,0)),"NO EXISTE"))</f>
        <v/>
      </c>
      <c r="F1523" s="34">
        <f t="array" ref="F1523">IF($B1523="","",IFERROR(INDEX(PERSONAL!$C$2:$C$80,MATCH($B1523,PERSONAL!$A$2:$A$80,0)),""))</f>
        <v/>
      </c>
      <c r="G1523" s="34">
        <f>IF($A1523="","",CHOOSE(WEEKDAY($A1523,2),"LUNES","MARTES","MIÉRCOLES","JUEVES","VIERNES","SÁBADO","DOMINGO"))</f>
        <v/>
      </c>
      <c r="H1523" s="34">
        <f>IF($A1523="","",CHOOSE(MONTH($A1523),"ENERO","FEBRERO","MARZO","ABRIL","MAYO","JUNIO","JULIO","AGOSTO","SEPTIEMBRE","OCTUBRE","NOVIEMBRE","DICIEMBRE"))</f>
        <v/>
      </c>
      <c r="I1523" s="34">
        <f>IF($A1523="","",IF(OR($G1523="SÁBADO",$G1523="DOMINGO"),"FIN","LV"))</f>
        <v/>
      </c>
      <c r="J1523" s="34">
        <f>IF(OR($A1523="",$B1523=""),"",IF($L1523&lt;&gt;"",UPPER($L1523),IF($C1523="","FALTA",IFERROR(IF($C1523&gt;=$O1523,"ROJO FUERTE",IF($C1523&gt;=$N1523,"ROJO",IF($C1523&gt;=$M1523,"AMARILLO","VERDE"))),"REVISAR"))))</f>
        <v/>
      </c>
      <c r="K1523" s="36">
        <f>IF(OR($C1523="",$D1523=""),"",IF($D1523&gt;=$C1523,($D1523-$C1523)*24,(1-$C1523+$D1523)*24))</f>
        <v/>
      </c>
      <c r="L1523" s="34" t="n"/>
      <c r="M1523" s="53">
        <f t="array" ref="M1523">IFERROR(INDEX(EXCEPCIONES_FECHA!$D$2:$D$201,MATCH(1,(EXCEPCIONES_FECHA!$A$2:$A$201=$A1523)*(EXCEPCIONES_FECHA!$B$2:$B$201=$B1523),0)),IFERROR(INDEX(EXCEPCIONES_FECHA!$D$2:$D$201,MATCH(1,(EXCEPCIONES_FECHA!$A$2:$A$201=$A1523)*(EXCEPCIONES_FECHA!$B$2:$B$201=""),0)),IFERROR(INDEX(IF($I1523="FIN",HISTORIAL_HORARIOS!$J$2:$J$201,HISTORIAL_HORARIOS!$F$2:$F$201),MATCH(1,(HISTORIAL_HORARIOS!$A$2:$A$201=$B1523)*(HISTORIAL_HORARIOS!$C$2:$C$201&lt;=$A1523)*(HISTORIAL_HORARIOS!$D$2:$D$201&gt;=$A1523),0)),INDEX(IF($I1523="FIN",PERSONAL!$J$2:$J$80,PERSONAL!$F$2:$F$80),MATCH($B1523,PERSONAL!$A$2:$A$80,0)))))</f>
        <v/>
      </c>
      <c r="N1523" s="53">
        <f t="array" ref="N1523">IFERROR(INDEX(EXCEPCIONES_FECHA!$E$2:$E$201,MATCH(1,(EXCEPCIONES_FECHA!$A$2:$A$201=$A1523)*(EXCEPCIONES_FECHA!$B$2:$B$201=$B1523),0)),IFERROR(INDEX(EXCEPCIONES_FECHA!$E$2:$E$201,MATCH(1,(EXCEPCIONES_FECHA!$A$2:$A$201=$A1523)*(EXCEPCIONES_FECHA!$B$2:$B$201=""),0)),IFERROR(INDEX(IF($I1523="FIN",HISTORIAL_HORARIOS!$K$2:$K$201,HISTORIAL_HORARIOS!$G$2:$G$201),MATCH(1,(HISTORIAL_HORARIOS!$A$2:$A$201=$B1523)*(HISTORIAL_HORARIOS!$C$2:$C$201&lt;=$A1523)*(HISTORIAL_HORARIOS!$D$2:$D$201&gt;=$A1523),0)),INDEX(IF($I1523="FIN",PERSONAL!$K$2:$K$80,PERSONAL!$G$2:$G$80),MATCH($B1523,PERSONAL!$A$2:$A$80,0)))))</f>
        <v/>
      </c>
      <c r="O1523" s="53">
        <f t="array" ref="O1523">IFERROR(INDEX(EXCEPCIONES_FECHA!$F$2:$F$201,MATCH(1,(EXCEPCIONES_FECHA!$A$2:$A$201=$A1523)*(EXCEPCIONES_FECHA!$B$2:$B$201=$B1523),0)),IFERROR(INDEX(EXCEPCIONES_FECHA!$F$2:$F$201,MATCH(1,(EXCEPCIONES_FECHA!$A$2:$A$201=$A1523)*(EXCEPCIONES_FECHA!$B$2:$B$201=""),0)),IFERROR(INDEX(IF($I1523="FIN",HISTORIAL_HORARIOS!$L$2:$L$201,HISTORIAL_HORARIOS!$H$2:$H$201),MATCH(1,(HISTORIAL_HORARIOS!$A$2:$A$201=$B1523)*(HISTORIAL_HORARIOS!$C$2:$C$201&lt;=$A1523)*(HISTORIAL_HORARIOS!$D$2:$D$201&gt;=$A1523),0)),INDEX(IF($I1523="FIN",PERSONAL!$L$2:$L$80,PERSONAL!$H$2:$H$80),MATCH($B1523,PERSONAL!$A$2:$A$80,0)))))</f>
        <v/>
      </c>
    </row>
    <row r="1524" ht="15" customHeight="1" s="58">
      <c r="A1524" s="40" t="n"/>
      <c r="B1524" s="38" t="n"/>
      <c r="C1524" s="40" t="n"/>
      <c r="D1524" s="40" t="n"/>
      <c r="E1524" s="34">
        <f t="array" ref="E1524">IF($B1524="","",IFERROR(INDEX(PERSONAL!$B$2:$B$80,MATCH($B1524,PERSONAL!$A$2:$A$80,0)),"NO EXISTE"))</f>
        <v/>
      </c>
      <c r="F1524" s="34">
        <f t="array" ref="F1524">IF($B1524="","",IFERROR(INDEX(PERSONAL!$C$2:$C$80,MATCH($B1524,PERSONAL!$A$2:$A$80,0)),""))</f>
        <v/>
      </c>
      <c r="G1524" s="34">
        <f>IF($A1524="","",CHOOSE(WEEKDAY($A1524,2),"LUNES","MARTES","MIÉRCOLES","JUEVES","VIERNES","SÁBADO","DOMINGO"))</f>
        <v/>
      </c>
      <c r="H1524" s="34">
        <f>IF($A1524="","",CHOOSE(MONTH($A1524),"ENERO","FEBRERO","MARZO","ABRIL","MAYO","JUNIO","JULIO","AGOSTO","SEPTIEMBRE","OCTUBRE","NOVIEMBRE","DICIEMBRE"))</f>
        <v/>
      </c>
      <c r="I1524" s="34">
        <f>IF($A1524="","",IF(OR($G1524="SÁBADO",$G1524="DOMINGO"),"FIN","LV"))</f>
        <v/>
      </c>
      <c r="J1524" s="34">
        <f>IF(OR($A1524="",$B1524=""),"",IF($L1524&lt;&gt;"",UPPER($L1524),IF($C1524="","FALTA",IFERROR(IF($C1524&gt;=$O1524,"ROJO FUERTE",IF($C1524&gt;=$N1524,"ROJO",IF($C1524&gt;=$M1524,"AMARILLO","VERDE"))),"REVISAR"))))</f>
        <v/>
      </c>
      <c r="K1524" s="36">
        <f>IF(OR($C1524="",$D1524=""),"",IF($D1524&gt;=$C1524,($D1524-$C1524)*24,(1-$C1524+$D1524)*24))</f>
        <v/>
      </c>
      <c r="L1524" s="34" t="n"/>
      <c r="M1524" s="53">
        <f t="array" ref="M1524">IFERROR(INDEX(EXCEPCIONES_FECHA!$D$2:$D$201,MATCH(1,(EXCEPCIONES_FECHA!$A$2:$A$201=$A1524)*(EXCEPCIONES_FECHA!$B$2:$B$201=$B1524),0)),IFERROR(INDEX(EXCEPCIONES_FECHA!$D$2:$D$201,MATCH(1,(EXCEPCIONES_FECHA!$A$2:$A$201=$A1524)*(EXCEPCIONES_FECHA!$B$2:$B$201=""),0)),IFERROR(INDEX(IF($I1524="FIN",HISTORIAL_HORARIOS!$J$2:$J$201,HISTORIAL_HORARIOS!$F$2:$F$201),MATCH(1,(HISTORIAL_HORARIOS!$A$2:$A$201=$B1524)*(HISTORIAL_HORARIOS!$C$2:$C$201&lt;=$A1524)*(HISTORIAL_HORARIOS!$D$2:$D$201&gt;=$A1524),0)),INDEX(IF($I1524="FIN",PERSONAL!$J$2:$J$80,PERSONAL!$F$2:$F$80),MATCH($B1524,PERSONAL!$A$2:$A$80,0)))))</f>
        <v/>
      </c>
      <c r="N1524" s="53">
        <f t="array" ref="N1524">IFERROR(INDEX(EXCEPCIONES_FECHA!$E$2:$E$201,MATCH(1,(EXCEPCIONES_FECHA!$A$2:$A$201=$A1524)*(EXCEPCIONES_FECHA!$B$2:$B$201=$B1524),0)),IFERROR(INDEX(EXCEPCIONES_FECHA!$E$2:$E$201,MATCH(1,(EXCEPCIONES_FECHA!$A$2:$A$201=$A1524)*(EXCEPCIONES_FECHA!$B$2:$B$201=""),0)),IFERROR(INDEX(IF($I1524="FIN",HISTORIAL_HORARIOS!$K$2:$K$201,HISTORIAL_HORARIOS!$G$2:$G$201),MATCH(1,(HISTORIAL_HORARIOS!$A$2:$A$201=$B1524)*(HISTORIAL_HORARIOS!$C$2:$C$201&lt;=$A1524)*(HISTORIAL_HORARIOS!$D$2:$D$201&gt;=$A1524),0)),INDEX(IF($I1524="FIN",PERSONAL!$K$2:$K$80,PERSONAL!$G$2:$G$80),MATCH($B1524,PERSONAL!$A$2:$A$80,0)))))</f>
        <v/>
      </c>
      <c r="O1524" s="53">
        <f t="array" ref="O1524">IFERROR(INDEX(EXCEPCIONES_FECHA!$F$2:$F$201,MATCH(1,(EXCEPCIONES_FECHA!$A$2:$A$201=$A1524)*(EXCEPCIONES_FECHA!$B$2:$B$201=$B1524),0)),IFERROR(INDEX(EXCEPCIONES_FECHA!$F$2:$F$201,MATCH(1,(EXCEPCIONES_FECHA!$A$2:$A$201=$A1524)*(EXCEPCIONES_FECHA!$B$2:$B$201=""),0)),IFERROR(INDEX(IF($I1524="FIN",HISTORIAL_HORARIOS!$L$2:$L$201,HISTORIAL_HORARIOS!$H$2:$H$201),MATCH(1,(HISTORIAL_HORARIOS!$A$2:$A$201=$B1524)*(HISTORIAL_HORARIOS!$C$2:$C$201&lt;=$A1524)*(HISTORIAL_HORARIOS!$D$2:$D$201&gt;=$A1524),0)),INDEX(IF($I1524="FIN",PERSONAL!$L$2:$L$80,PERSONAL!$H$2:$H$80),MATCH($B1524,PERSONAL!$A$2:$A$80,0)))))</f>
        <v/>
      </c>
    </row>
    <row r="1525" ht="15" customHeight="1" s="58">
      <c r="A1525" s="40" t="n"/>
      <c r="B1525" s="38" t="n"/>
      <c r="C1525" s="40" t="n"/>
      <c r="D1525" s="40" t="n"/>
      <c r="E1525" s="34">
        <f t="array" ref="E1525">IF($B1525="","",IFERROR(INDEX(PERSONAL!$B$2:$B$80,MATCH($B1525,PERSONAL!$A$2:$A$80,0)),"NO EXISTE"))</f>
        <v/>
      </c>
      <c r="F1525" s="34">
        <f t="array" ref="F1525">IF($B1525="","",IFERROR(INDEX(PERSONAL!$C$2:$C$80,MATCH($B1525,PERSONAL!$A$2:$A$80,0)),""))</f>
        <v/>
      </c>
      <c r="G1525" s="34">
        <f>IF($A1525="","",CHOOSE(WEEKDAY($A1525,2),"LUNES","MARTES","MIÉRCOLES","JUEVES","VIERNES","SÁBADO","DOMINGO"))</f>
        <v/>
      </c>
      <c r="H1525" s="34">
        <f>IF($A1525="","",CHOOSE(MONTH($A1525),"ENERO","FEBRERO","MARZO","ABRIL","MAYO","JUNIO","JULIO","AGOSTO","SEPTIEMBRE","OCTUBRE","NOVIEMBRE","DICIEMBRE"))</f>
        <v/>
      </c>
      <c r="I1525" s="34">
        <f>IF($A1525="","",IF(OR($G1525="SÁBADO",$G1525="DOMINGO"),"FIN","LV"))</f>
        <v/>
      </c>
      <c r="J1525" s="34">
        <f>IF(OR($A1525="",$B1525=""),"",IF($L1525&lt;&gt;"",UPPER($L1525),IF($C1525="","FALTA",IFERROR(IF($C1525&gt;=$O1525,"ROJO FUERTE",IF($C1525&gt;=$N1525,"ROJO",IF($C1525&gt;=$M1525,"AMARILLO","VERDE"))),"REVISAR"))))</f>
        <v/>
      </c>
      <c r="K1525" s="36">
        <f>IF(OR($C1525="",$D1525=""),"",IF($D1525&gt;=$C1525,($D1525-$C1525)*24,(1-$C1525+$D1525)*24))</f>
        <v/>
      </c>
      <c r="L1525" s="34" t="n"/>
      <c r="M1525" s="53">
        <f t="array" ref="M1525">IFERROR(INDEX(EXCEPCIONES_FECHA!$D$2:$D$201,MATCH(1,(EXCEPCIONES_FECHA!$A$2:$A$201=$A1525)*(EXCEPCIONES_FECHA!$B$2:$B$201=$B1525),0)),IFERROR(INDEX(EXCEPCIONES_FECHA!$D$2:$D$201,MATCH(1,(EXCEPCIONES_FECHA!$A$2:$A$201=$A1525)*(EXCEPCIONES_FECHA!$B$2:$B$201=""),0)),IFERROR(INDEX(IF($I1525="FIN",HISTORIAL_HORARIOS!$J$2:$J$201,HISTORIAL_HORARIOS!$F$2:$F$201),MATCH(1,(HISTORIAL_HORARIOS!$A$2:$A$201=$B1525)*(HISTORIAL_HORARIOS!$C$2:$C$201&lt;=$A1525)*(HISTORIAL_HORARIOS!$D$2:$D$201&gt;=$A1525),0)),INDEX(IF($I1525="FIN",PERSONAL!$J$2:$J$80,PERSONAL!$F$2:$F$80),MATCH($B1525,PERSONAL!$A$2:$A$80,0)))))</f>
        <v/>
      </c>
      <c r="N1525" s="53">
        <f t="array" ref="N1525">IFERROR(INDEX(EXCEPCIONES_FECHA!$E$2:$E$201,MATCH(1,(EXCEPCIONES_FECHA!$A$2:$A$201=$A1525)*(EXCEPCIONES_FECHA!$B$2:$B$201=$B1525),0)),IFERROR(INDEX(EXCEPCIONES_FECHA!$E$2:$E$201,MATCH(1,(EXCEPCIONES_FECHA!$A$2:$A$201=$A1525)*(EXCEPCIONES_FECHA!$B$2:$B$201=""),0)),IFERROR(INDEX(IF($I1525="FIN",HISTORIAL_HORARIOS!$K$2:$K$201,HISTORIAL_HORARIOS!$G$2:$G$201),MATCH(1,(HISTORIAL_HORARIOS!$A$2:$A$201=$B1525)*(HISTORIAL_HORARIOS!$C$2:$C$201&lt;=$A1525)*(HISTORIAL_HORARIOS!$D$2:$D$201&gt;=$A1525),0)),INDEX(IF($I1525="FIN",PERSONAL!$K$2:$K$80,PERSONAL!$G$2:$G$80),MATCH($B1525,PERSONAL!$A$2:$A$80,0)))))</f>
        <v/>
      </c>
      <c r="O1525" s="53">
        <f t="array" ref="O1525">IFERROR(INDEX(EXCEPCIONES_FECHA!$F$2:$F$201,MATCH(1,(EXCEPCIONES_FECHA!$A$2:$A$201=$A1525)*(EXCEPCIONES_FECHA!$B$2:$B$201=$B1525),0)),IFERROR(INDEX(EXCEPCIONES_FECHA!$F$2:$F$201,MATCH(1,(EXCEPCIONES_FECHA!$A$2:$A$201=$A1525)*(EXCEPCIONES_FECHA!$B$2:$B$201=""),0)),IFERROR(INDEX(IF($I1525="FIN",HISTORIAL_HORARIOS!$L$2:$L$201,HISTORIAL_HORARIOS!$H$2:$H$201),MATCH(1,(HISTORIAL_HORARIOS!$A$2:$A$201=$B1525)*(HISTORIAL_HORARIOS!$C$2:$C$201&lt;=$A1525)*(HISTORIAL_HORARIOS!$D$2:$D$201&gt;=$A1525),0)),INDEX(IF($I1525="FIN",PERSONAL!$L$2:$L$80,PERSONAL!$H$2:$H$80),MATCH($B1525,PERSONAL!$A$2:$A$80,0)))))</f>
        <v/>
      </c>
    </row>
    <row r="1526" ht="15" customHeight="1" s="58">
      <c r="A1526" s="40" t="n"/>
      <c r="B1526" s="38" t="n"/>
      <c r="C1526" s="40" t="n"/>
      <c r="D1526" s="40" t="n"/>
      <c r="E1526" s="34">
        <f t="array" ref="E1526">IF($B1526="","",IFERROR(INDEX(PERSONAL!$B$2:$B$80,MATCH($B1526,PERSONAL!$A$2:$A$80,0)),"NO EXISTE"))</f>
        <v/>
      </c>
      <c r="F1526" s="34">
        <f t="array" ref="F1526">IF($B1526="","",IFERROR(INDEX(PERSONAL!$C$2:$C$80,MATCH($B1526,PERSONAL!$A$2:$A$80,0)),""))</f>
        <v/>
      </c>
      <c r="G1526" s="34">
        <f>IF($A1526="","",CHOOSE(WEEKDAY($A1526,2),"LUNES","MARTES","MIÉRCOLES","JUEVES","VIERNES","SÁBADO","DOMINGO"))</f>
        <v/>
      </c>
      <c r="H1526" s="34">
        <f>IF($A1526="","",CHOOSE(MONTH($A1526),"ENERO","FEBRERO","MARZO","ABRIL","MAYO","JUNIO","JULIO","AGOSTO","SEPTIEMBRE","OCTUBRE","NOVIEMBRE","DICIEMBRE"))</f>
        <v/>
      </c>
      <c r="I1526" s="34">
        <f>IF($A1526="","",IF(OR($G1526="SÁBADO",$G1526="DOMINGO"),"FIN","LV"))</f>
        <v/>
      </c>
      <c r="J1526" s="34">
        <f>IF(OR($A1526="",$B1526=""),"",IF($L1526&lt;&gt;"",UPPER($L1526),IF($C1526="","FALTA",IFERROR(IF($C1526&gt;=$O1526,"ROJO FUERTE",IF($C1526&gt;=$N1526,"ROJO",IF($C1526&gt;=$M1526,"AMARILLO","VERDE"))),"REVISAR"))))</f>
        <v/>
      </c>
      <c r="K1526" s="36">
        <f>IF(OR($C1526="",$D1526=""),"",IF($D1526&gt;=$C1526,($D1526-$C1526)*24,(1-$C1526+$D1526)*24))</f>
        <v/>
      </c>
      <c r="L1526" s="34" t="n"/>
      <c r="M1526" s="53">
        <f t="array" ref="M1526">IFERROR(INDEX(EXCEPCIONES_FECHA!$D$2:$D$201,MATCH(1,(EXCEPCIONES_FECHA!$A$2:$A$201=$A1526)*(EXCEPCIONES_FECHA!$B$2:$B$201=$B1526),0)),IFERROR(INDEX(EXCEPCIONES_FECHA!$D$2:$D$201,MATCH(1,(EXCEPCIONES_FECHA!$A$2:$A$201=$A1526)*(EXCEPCIONES_FECHA!$B$2:$B$201=""),0)),IFERROR(INDEX(IF($I1526="FIN",HISTORIAL_HORARIOS!$J$2:$J$201,HISTORIAL_HORARIOS!$F$2:$F$201),MATCH(1,(HISTORIAL_HORARIOS!$A$2:$A$201=$B1526)*(HISTORIAL_HORARIOS!$C$2:$C$201&lt;=$A1526)*(HISTORIAL_HORARIOS!$D$2:$D$201&gt;=$A1526),0)),INDEX(IF($I1526="FIN",PERSONAL!$J$2:$J$80,PERSONAL!$F$2:$F$80),MATCH($B1526,PERSONAL!$A$2:$A$80,0)))))</f>
        <v/>
      </c>
      <c r="N1526" s="53">
        <f t="array" ref="N1526">IFERROR(INDEX(EXCEPCIONES_FECHA!$E$2:$E$201,MATCH(1,(EXCEPCIONES_FECHA!$A$2:$A$201=$A1526)*(EXCEPCIONES_FECHA!$B$2:$B$201=$B1526),0)),IFERROR(INDEX(EXCEPCIONES_FECHA!$E$2:$E$201,MATCH(1,(EXCEPCIONES_FECHA!$A$2:$A$201=$A1526)*(EXCEPCIONES_FECHA!$B$2:$B$201=""),0)),IFERROR(INDEX(IF($I1526="FIN",HISTORIAL_HORARIOS!$K$2:$K$201,HISTORIAL_HORARIOS!$G$2:$G$201),MATCH(1,(HISTORIAL_HORARIOS!$A$2:$A$201=$B1526)*(HISTORIAL_HORARIOS!$C$2:$C$201&lt;=$A1526)*(HISTORIAL_HORARIOS!$D$2:$D$201&gt;=$A1526),0)),INDEX(IF($I1526="FIN",PERSONAL!$K$2:$K$80,PERSONAL!$G$2:$G$80),MATCH($B1526,PERSONAL!$A$2:$A$80,0)))))</f>
        <v/>
      </c>
      <c r="O1526" s="53">
        <f t="array" ref="O1526">IFERROR(INDEX(EXCEPCIONES_FECHA!$F$2:$F$201,MATCH(1,(EXCEPCIONES_FECHA!$A$2:$A$201=$A1526)*(EXCEPCIONES_FECHA!$B$2:$B$201=$B1526),0)),IFERROR(INDEX(EXCEPCIONES_FECHA!$F$2:$F$201,MATCH(1,(EXCEPCIONES_FECHA!$A$2:$A$201=$A1526)*(EXCEPCIONES_FECHA!$B$2:$B$201=""),0)),IFERROR(INDEX(IF($I1526="FIN",HISTORIAL_HORARIOS!$L$2:$L$201,HISTORIAL_HORARIOS!$H$2:$H$201),MATCH(1,(HISTORIAL_HORARIOS!$A$2:$A$201=$B1526)*(HISTORIAL_HORARIOS!$C$2:$C$201&lt;=$A1526)*(HISTORIAL_HORARIOS!$D$2:$D$201&gt;=$A1526),0)),INDEX(IF($I1526="FIN",PERSONAL!$L$2:$L$80,PERSONAL!$H$2:$H$80),MATCH($B1526,PERSONAL!$A$2:$A$80,0)))))</f>
        <v/>
      </c>
    </row>
    <row r="1527" ht="15" customHeight="1" s="58">
      <c r="A1527" s="40" t="n"/>
      <c r="B1527" s="38" t="n"/>
      <c r="C1527" s="40" t="n"/>
      <c r="D1527" s="40" t="n"/>
      <c r="E1527" s="34">
        <f t="array" ref="E1527">IF($B1527="","",IFERROR(INDEX(PERSONAL!$B$2:$B$80,MATCH($B1527,PERSONAL!$A$2:$A$80,0)),"NO EXISTE"))</f>
        <v/>
      </c>
      <c r="F1527" s="34">
        <f t="array" ref="F1527">IF($B1527="","",IFERROR(INDEX(PERSONAL!$C$2:$C$80,MATCH($B1527,PERSONAL!$A$2:$A$80,0)),""))</f>
        <v/>
      </c>
      <c r="G1527" s="34">
        <f>IF($A1527="","",CHOOSE(WEEKDAY($A1527,2),"LUNES","MARTES","MIÉRCOLES","JUEVES","VIERNES","SÁBADO","DOMINGO"))</f>
        <v/>
      </c>
      <c r="H1527" s="34">
        <f>IF($A1527="","",CHOOSE(MONTH($A1527),"ENERO","FEBRERO","MARZO","ABRIL","MAYO","JUNIO","JULIO","AGOSTO","SEPTIEMBRE","OCTUBRE","NOVIEMBRE","DICIEMBRE"))</f>
        <v/>
      </c>
      <c r="I1527" s="34">
        <f>IF($A1527="","",IF(OR($G1527="SÁBADO",$G1527="DOMINGO"),"FIN","LV"))</f>
        <v/>
      </c>
      <c r="J1527" s="34">
        <f>IF(OR($A1527="",$B1527=""),"",IF($L1527&lt;&gt;"",UPPER($L1527),IF($C1527="","FALTA",IFERROR(IF($C1527&gt;=$O1527,"ROJO FUERTE",IF($C1527&gt;=$N1527,"ROJO",IF($C1527&gt;=$M1527,"AMARILLO","VERDE"))),"REVISAR"))))</f>
        <v/>
      </c>
      <c r="K1527" s="36">
        <f>IF(OR($C1527="",$D1527=""),"",IF($D1527&gt;=$C1527,($D1527-$C1527)*24,(1-$C1527+$D1527)*24))</f>
        <v/>
      </c>
      <c r="L1527" s="34" t="n"/>
      <c r="M1527" s="53">
        <f t="array" ref="M1527">IFERROR(INDEX(EXCEPCIONES_FECHA!$D$2:$D$201,MATCH(1,(EXCEPCIONES_FECHA!$A$2:$A$201=$A1527)*(EXCEPCIONES_FECHA!$B$2:$B$201=$B1527),0)),IFERROR(INDEX(EXCEPCIONES_FECHA!$D$2:$D$201,MATCH(1,(EXCEPCIONES_FECHA!$A$2:$A$201=$A1527)*(EXCEPCIONES_FECHA!$B$2:$B$201=""),0)),IFERROR(INDEX(IF($I1527="FIN",HISTORIAL_HORARIOS!$J$2:$J$201,HISTORIAL_HORARIOS!$F$2:$F$201),MATCH(1,(HISTORIAL_HORARIOS!$A$2:$A$201=$B1527)*(HISTORIAL_HORARIOS!$C$2:$C$201&lt;=$A1527)*(HISTORIAL_HORARIOS!$D$2:$D$201&gt;=$A1527),0)),INDEX(IF($I1527="FIN",PERSONAL!$J$2:$J$80,PERSONAL!$F$2:$F$80),MATCH($B1527,PERSONAL!$A$2:$A$80,0)))))</f>
        <v/>
      </c>
      <c r="N1527" s="53">
        <f t="array" ref="N1527">IFERROR(INDEX(EXCEPCIONES_FECHA!$E$2:$E$201,MATCH(1,(EXCEPCIONES_FECHA!$A$2:$A$201=$A1527)*(EXCEPCIONES_FECHA!$B$2:$B$201=$B1527),0)),IFERROR(INDEX(EXCEPCIONES_FECHA!$E$2:$E$201,MATCH(1,(EXCEPCIONES_FECHA!$A$2:$A$201=$A1527)*(EXCEPCIONES_FECHA!$B$2:$B$201=""),0)),IFERROR(INDEX(IF($I1527="FIN",HISTORIAL_HORARIOS!$K$2:$K$201,HISTORIAL_HORARIOS!$G$2:$G$201),MATCH(1,(HISTORIAL_HORARIOS!$A$2:$A$201=$B1527)*(HISTORIAL_HORARIOS!$C$2:$C$201&lt;=$A1527)*(HISTORIAL_HORARIOS!$D$2:$D$201&gt;=$A1527),0)),INDEX(IF($I1527="FIN",PERSONAL!$K$2:$K$80,PERSONAL!$G$2:$G$80),MATCH($B1527,PERSONAL!$A$2:$A$80,0)))))</f>
        <v/>
      </c>
      <c r="O1527" s="53">
        <f t="array" ref="O1527">IFERROR(INDEX(EXCEPCIONES_FECHA!$F$2:$F$201,MATCH(1,(EXCEPCIONES_FECHA!$A$2:$A$201=$A1527)*(EXCEPCIONES_FECHA!$B$2:$B$201=$B1527),0)),IFERROR(INDEX(EXCEPCIONES_FECHA!$F$2:$F$201,MATCH(1,(EXCEPCIONES_FECHA!$A$2:$A$201=$A1527)*(EXCEPCIONES_FECHA!$B$2:$B$201=""),0)),IFERROR(INDEX(IF($I1527="FIN",HISTORIAL_HORARIOS!$L$2:$L$201,HISTORIAL_HORARIOS!$H$2:$H$201),MATCH(1,(HISTORIAL_HORARIOS!$A$2:$A$201=$B1527)*(HISTORIAL_HORARIOS!$C$2:$C$201&lt;=$A1527)*(HISTORIAL_HORARIOS!$D$2:$D$201&gt;=$A1527),0)),INDEX(IF($I1527="FIN",PERSONAL!$L$2:$L$80,PERSONAL!$H$2:$H$80),MATCH($B1527,PERSONAL!$A$2:$A$80,0)))))</f>
        <v/>
      </c>
    </row>
    <row r="1528" ht="15" customHeight="1" s="58">
      <c r="A1528" s="40" t="n"/>
      <c r="B1528" s="38" t="n"/>
      <c r="C1528" s="40" t="n"/>
      <c r="D1528" s="40" t="n"/>
      <c r="E1528" s="34">
        <f t="array" ref="E1528">IF($B1528="","",IFERROR(INDEX(PERSONAL!$B$2:$B$80,MATCH($B1528,PERSONAL!$A$2:$A$80,0)),"NO EXISTE"))</f>
        <v/>
      </c>
      <c r="F1528" s="34">
        <f t="array" ref="F1528">IF($B1528="","",IFERROR(INDEX(PERSONAL!$C$2:$C$80,MATCH($B1528,PERSONAL!$A$2:$A$80,0)),""))</f>
        <v/>
      </c>
      <c r="G1528" s="34">
        <f>IF($A1528="","",CHOOSE(WEEKDAY($A1528,2),"LUNES","MARTES","MIÉRCOLES","JUEVES","VIERNES","SÁBADO","DOMINGO"))</f>
        <v/>
      </c>
      <c r="H1528" s="34">
        <f>IF($A1528="","",CHOOSE(MONTH($A1528),"ENERO","FEBRERO","MARZO","ABRIL","MAYO","JUNIO","JULIO","AGOSTO","SEPTIEMBRE","OCTUBRE","NOVIEMBRE","DICIEMBRE"))</f>
        <v/>
      </c>
      <c r="I1528" s="34">
        <f>IF($A1528="","",IF(OR($G1528="SÁBADO",$G1528="DOMINGO"),"FIN","LV"))</f>
        <v/>
      </c>
      <c r="J1528" s="34">
        <f>IF(OR($A1528="",$B1528=""),"",IF($L1528&lt;&gt;"",UPPER($L1528),IF($C1528="","FALTA",IFERROR(IF($C1528&gt;=$O1528,"ROJO FUERTE",IF($C1528&gt;=$N1528,"ROJO",IF($C1528&gt;=$M1528,"AMARILLO","VERDE"))),"REVISAR"))))</f>
        <v/>
      </c>
      <c r="K1528" s="36">
        <f>IF(OR($C1528="",$D1528=""),"",IF($D1528&gt;=$C1528,($D1528-$C1528)*24,(1-$C1528+$D1528)*24))</f>
        <v/>
      </c>
      <c r="L1528" s="34" t="n"/>
      <c r="M1528" s="53">
        <f t="array" ref="M1528">IFERROR(INDEX(EXCEPCIONES_FECHA!$D$2:$D$201,MATCH(1,(EXCEPCIONES_FECHA!$A$2:$A$201=$A1528)*(EXCEPCIONES_FECHA!$B$2:$B$201=$B1528),0)),IFERROR(INDEX(EXCEPCIONES_FECHA!$D$2:$D$201,MATCH(1,(EXCEPCIONES_FECHA!$A$2:$A$201=$A1528)*(EXCEPCIONES_FECHA!$B$2:$B$201=""),0)),IFERROR(INDEX(IF($I1528="FIN",HISTORIAL_HORARIOS!$J$2:$J$201,HISTORIAL_HORARIOS!$F$2:$F$201),MATCH(1,(HISTORIAL_HORARIOS!$A$2:$A$201=$B1528)*(HISTORIAL_HORARIOS!$C$2:$C$201&lt;=$A1528)*(HISTORIAL_HORARIOS!$D$2:$D$201&gt;=$A1528),0)),INDEX(IF($I1528="FIN",PERSONAL!$J$2:$J$80,PERSONAL!$F$2:$F$80),MATCH($B1528,PERSONAL!$A$2:$A$80,0)))))</f>
        <v/>
      </c>
      <c r="N1528" s="53">
        <f t="array" ref="N1528">IFERROR(INDEX(EXCEPCIONES_FECHA!$E$2:$E$201,MATCH(1,(EXCEPCIONES_FECHA!$A$2:$A$201=$A1528)*(EXCEPCIONES_FECHA!$B$2:$B$201=$B1528),0)),IFERROR(INDEX(EXCEPCIONES_FECHA!$E$2:$E$201,MATCH(1,(EXCEPCIONES_FECHA!$A$2:$A$201=$A1528)*(EXCEPCIONES_FECHA!$B$2:$B$201=""),0)),IFERROR(INDEX(IF($I1528="FIN",HISTORIAL_HORARIOS!$K$2:$K$201,HISTORIAL_HORARIOS!$G$2:$G$201),MATCH(1,(HISTORIAL_HORARIOS!$A$2:$A$201=$B1528)*(HISTORIAL_HORARIOS!$C$2:$C$201&lt;=$A1528)*(HISTORIAL_HORARIOS!$D$2:$D$201&gt;=$A1528),0)),INDEX(IF($I1528="FIN",PERSONAL!$K$2:$K$80,PERSONAL!$G$2:$G$80),MATCH($B1528,PERSONAL!$A$2:$A$80,0)))))</f>
        <v/>
      </c>
      <c r="O1528" s="53">
        <f t="array" ref="O1528">IFERROR(INDEX(EXCEPCIONES_FECHA!$F$2:$F$201,MATCH(1,(EXCEPCIONES_FECHA!$A$2:$A$201=$A1528)*(EXCEPCIONES_FECHA!$B$2:$B$201=$B1528),0)),IFERROR(INDEX(EXCEPCIONES_FECHA!$F$2:$F$201,MATCH(1,(EXCEPCIONES_FECHA!$A$2:$A$201=$A1528)*(EXCEPCIONES_FECHA!$B$2:$B$201=""),0)),IFERROR(INDEX(IF($I1528="FIN",HISTORIAL_HORARIOS!$L$2:$L$201,HISTORIAL_HORARIOS!$H$2:$H$201),MATCH(1,(HISTORIAL_HORARIOS!$A$2:$A$201=$B1528)*(HISTORIAL_HORARIOS!$C$2:$C$201&lt;=$A1528)*(HISTORIAL_HORARIOS!$D$2:$D$201&gt;=$A1528),0)),INDEX(IF($I1528="FIN",PERSONAL!$L$2:$L$80,PERSONAL!$H$2:$H$80),MATCH($B1528,PERSONAL!$A$2:$A$80,0)))))</f>
        <v/>
      </c>
    </row>
    <row r="1529" ht="15" customHeight="1" s="58">
      <c r="A1529" s="40" t="n"/>
      <c r="B1529" s="38" t="n"/>
      <c r="C1529" s="40" t="n"/>
      <c r="D1529" s="40" t="n"/>
      <c r="E1529" s="34">
        <f t="array" ref="E1529">IF($B1529="","",IFERROR(INDEX(PERSONAL!$B$2:$B$80,MATCH($B1529,PERSONAL!$A$2:$A$80,0)),"NO EXISTE"))</f>
        <v/>
      </c>
      <c r="F1529" s="34">
        <f t="array" ref="F1529">IF($B1529="","",IFERROR(INDEX(PERSONAL!$C$2:$C$80,MATCH($B1529,PERSONAL!$A$2:$A$80,0)),""))</f>
        <v/>
      </c>
      <c r="G1529" s="34">
        <f>IF($A1529="","",CHOOSE(WEEKDAY($A1529,2),"LUNES","MARTES","MIÉRCOLES","JUEVES","VIERNES","SÁBADO","DOMINGO"))</f>
        <v/>
      </c>
      <c r="H1529" s="34">
        <f>IF($A1529="","",CHOOSE(MONTH($A1529),"ENERO","FEBRERO","MARZO","ABRIL","MAYO","JUNIO","JULIO","AGOSTO","SEPTIEMBRE","OCTUBRE","NOVIEMBRE","DICIEMBRE"))</f>
        <v/>
      </c>
      <c r="I1529" s="34">
        <f>IF($A1529="","",IF(OR($G1529="SÁBADO",$G1529="DOMINGO"),"FIN","LV"))</f>
        <v/>
      </c>
      <c r="J1529" s="34">
        <f>IF(OR($A1529="",$B1529=""),"",IF($L1529&lt;&gt;"",UPPER($L1529),IF($C1529="","FALTA",IFERROR(IF($C1529&gt;=$O1529,"ROJO FUERTE",IF($C1529&gt;=$N1529,"ROJO",IF($C1529&gt;=$M1529,"AMARILLO","VERDE"))),"REVISAR"))))</f>
        <v/>
      </c>
      <c r="K1529" s="36">
        <f>IF(OR($C1529="",$D1529=""),"",IF($D1529&gt;=$C1529,($D1529-$C1529)*24,(1-$C1529+$D1529)*24))</f>
        <v/>
      </c>
      <c r="L1529" s="34" t="n"/>
      <c r="M1529" s="53">
        <f t="array" ref="M1529">IFERROR(INDEX(EXCEPCIONES_FECHA!$D$2:$D$201,MATCH(1,(EXCEPCIONES_FECHA!$A$2:$A$201=$A1529)*(EXCEPCIONES_FECHA!$B$2:$B$201=$B1529),0)),IFERROR(INDEX(EXCEPCIONES_FECHA!$D$2:$D$201,MATCH(1,(EXCEPCIONES_FECHA!$A$2:$A$201=$A1529)*(EXCEPCIONES_FECHA!$B$2:$B$201=""),0)),IFERROR(INDEX(IF($I1529="FIN",HISTORIAL_HORARIOS!$J$2:$J$201,HISTORIAL_HORARIOS!$F$2:$F$201),MATCH(1,(HISTORIAL_HORARIOS!$A$2:$A$201=$B1529)*(HISTORIAL_HORARIOS!$C$2:$C$201&lt;=$A1529)*(HISTORIAL_HORARIOS!$D$2:$D$201&gt;=$A1529),0)),INDEX(IF($I1529="FIN",PERSONAL!$J$2:$J$80,PERSONAL!$F$2:$F$80),MATCH($B1529,PERSONAL!$A$2:$A$80,0)))))</f>
        <v/>
      </c>
      <c r="N1529" s="53">
        <f t="array" ref="N1529">IFERROR(INDEX(EXCEPCIONES_FECHA!$E$2:$E$201,MATCH(1,(EXCEPCIONES_FECHA!$A$2:$A$201=$A1529)*(EXCEPCIONES_FECHA!$B$2:$B$201=$B1529),0)),IFERROR(INDEX(EXCEPCIONES_FECHA!$E$2:$E$201,MATCH(1,(EXCEPCIONES_FECHA!$A$2:$A$201=$A1529)*(EXCEPCIONES_FECHA!$B$2:$B$201=""),0)),IFERROR(INDEX(IF($I1529="FIN",HISTORIAL_HORARIOS!$K$2:$K$201,HISTORIAL_HORARIOS!$G$2:$G$201),MATCH(1,(HISTORIAL_HORARIOS!$A$2:$A$201=$B1529)*(HISTORIAL_HORARIOS!$C$2:$C$201&lt;=$A1529)*(HISTORIAL_HORARIOS!$D$2:$D$201&gt;=$A1529),0)),INDEX(IF($I1529="FIN",PERSONAL!$K$2:$K$80,PERSONAL!$G$2:$G$80),MATCH($B1529,PERSONAL!$A$2:$A$80,0)))))</f>
        <v/>
      </c>
      <c r="O1529" s="53">
        <f t="array" ref="O1529">IFERROR(INDEX(EXCEPCIONES_FECHA!$F$2:$F$201,MATCH(1,(EXCEPCIONES_FECHA!$A$2:$A$201=$A1529)*(EXCEPCIONES_FECHA!$B$2:$B$201=$B1529),0)),IFERROR(INDEX(EXCEPCIONES_FECHA!$F$2:$F$201,MATCH(1,(EXCEPCIONES_FECHA!$A$2:$A$201=$A1529)*(EXCEPCIONES_FECHA!$B$2:$B$201=""),0)),IFERROR(INDEX(IF($I1529="FIN",HISTORIAL_HORARIOS!$L$2:$L$201,HISTORIAL_HORARIOS!$H$2:$H$201),MATCH(1,(HISTORIAL_HORARIOS!$A$2:$A$201=$B1529)*(HISTORIAL_HORARIOS!$C$2:$C$201&lt;=$A1529)*(HISTORIAL_HORARIOS!$D$2:$D$201&gt;=$A1529),0)),INDEX(IF($I1529="FIN",PERSONAL!$L$2:$L$80,PERSONAL!$H$2:$H$80),MATCH($B1529,PERSONAL!$A$2:$A$80,0)))))</f>
        <v/>
      </c>
    </row>
    <row r="1530" ht="15" customHeight="1" s="58">
      <c r="A1530" s="40" t="n"/>
      <c r="B1530" s="38" t="n"/>
      <c r="C1530" s="40" t="n"/>
      <c r="D1530" s="40" t="n"/>
      <c r="E1530" s="34">
        <f t="array" ref="E1530">IF($B1530="","",IFERROR(INDEX(PERSONAL!$B$2:$B$80,MATCH($B1530,PERSONAL!$A$2:$A$80,0)),"NO EXISTE"))</f>
        <v/>
      </c>
      <c r="F1530" s="34">
        <f t="array" ref="F1530">IF($B1530="","",IFERROR(INDEX(PERSONAL!$C$2:$C$80,MATCH($B1530,PERSONAL!$A$2:$A$80,0)),""))</f>
        <v/>
      </c>
      <c r="G1530" s="34">
        <f>IF($A1530="","",CHOOSE(WEEKDAY($A1530,2),"LUNES","MARTES","MIÉRCOLES","JUEVES","VIERNES","SÁBADO","DOMINGO"))</f>
        <v/>
      </c>
      <c r="H1530" s="34">
        <f>IF($A1530="","",CHOOSE(MONTH($A1530),"ENERO","FEBRERO","MARZO","ABRIL","MAYO","JUNIO","JULIO","AGOSTO","SEPTIEMBRE","OCTUBRE","NOVIEMBRE","DICIEMBRE"))</f>
        <v/>
      </c>
      <c r="I1530" s="34">
        <f>IF($A1530="","",IF(OR($G1530="SÁBADO",$G1530="DOMINGO"),"FIN","LV"))</f>
        <v/>
      </c>
      <c r="J1530" s="34">
        <f>IF(OR($A1530="",$B1530=""),"",IF($L1530&lt;&gt;"",UPPER($L1530),IF($C1530="","FALTA",IFERROR(IF($C1530&gt;=$O1530,"ROJO FUERTE",IF($C1530&gt;=$N1530,"ROJO",IF($C1530&gt;=$M1530,"AMARILLO","VERDE"))),"REVISAR"))))</f>
        <v/>
      </c>
      <c r="K1530" s="36">
        <f>IF(OR($C1530="",$D1530=""),"",IF($D1530&gt;=$C1530,($D1530-$C1530)*24,(1-$C1530+$D1530)*24))</f>
        <v/>
      </c>
      <c r="L1530" s="34" t="n"/>
      <c r="M1530" s="53">
        <f t="array" ref="M1530">IFERROR(INDEX(EXCEPCIONES_FECHA!$D$2:$D$201,MATCH(1,(EXCEPCIONES_FECHA!$A$2:$A$201=$A1530)*(EXCEPCIONES_FECHA!$B$2:$B$201=$B1530),0)),IFERROR(INDEX(EXCEPCIONES_FECHA!$D$2:$D$201,MATCH(1,(EXCEPCIONES_FECHA!$A$2:$A$201=$A1530)*(EXCEPCIONES_FECHA!$B$2:$B$201=""),0)),IFERROR(INDEX(IF($I1530="FIN",HISTORIAL_HORARIOS!$J$2:$J$201,HISTORIAL_HORARIOS!$F$2:$F$201),MATCH(1,(HISTORIAL_HORARIOS!$A$2:$A$201=$B1530)*(HISTORIAL_HORARIOS!$C$2:$C$201&lt;=$A1530)*(HISTORIAL_HORARIOS!$D$2:$D$201&gt;=$A1530),0)),INDEX(IF($I1530="FIN",PERSONAL!$J$2:$J$80,PERSONAL!$F$2:$F$80),MATCH($B1530,PERSONAL!$A$2:$A$80,0)))))</f>
        <v/>
      </c>
      <c r="N1530" s="53">
        <f t="array" ref="N1530">IFERROR(INDEX(EXCEPCIONES_FECHA!$E$2:$E$201,MATCH(1,(EXCEPCIONES_FECHA!$A$2:$A$201=$A1530)*(EXCEPCIONES_FECHA!$B$2:$B$201=$B1530),0)),IFERROR(INDEX(EXCEPCIONES_FECHA!$E$2:$E$201,MATCH(1,(EXCEPCIONES_FECHA!$A$2:$A$201=$A1530)*(EXCEPCIONES_FECHA!$B$2:$B$201=""),0)),IFERROR(INDEX(IF($I1530="FIN",HISTORIAL_HORARIOS!$K$2:$K$201,HISTORIAL_HORARIOS!$G$2:$G$201),MATCH(1,(HISTORIAL_HORARIOS!$A$2:$A$201=$B1530)*(HISTORIAL_HORARIOS!$C$2:$C$201&lt;=$A1530)*(HISTORIAL_HORARIOS!$D$2:$D$201&gt;=$A1530),0)),INDEX(IF($I1530="FIN",PERSONAL!$K$2:$K$80,PERSONAL!$G$2:$G$80),MATCH($B1530,PERSONAL!$A$2:$A$80,0)))))</f>
        <v/>
      </c>
      <c r="O1530" s="53">
        <f t="array" ref="O1530">IFERROR(INDEX(EXCEPCIONES_FECHA!$F$2:$F$201,MATCH(1,(EXCEPCIONES_FECHA!$A$2:$A$201=$A1530)*(EXCEPCIONES_FECHA!$B$2:$B$201=$B1530),0)),IFERROR(INDEX(EXCEPCIONES_FECHA!$F$2:$F$201,MATCH(1,(EXCEPCIONES_FECHA!$A$2:$A$201=$A1530)*(EXCEPCIONES_FECHA!$B$2:$B$201=""),0)),IFERROR(INDEX(IF($I1530="FIN",HISTORIAL_HORARIOS!$L$2:$L$201,HISTORIAL_HORARIOS!$H$2:$H$201),MATCH(1,(HISTORIAL_HORARIOS!$A$2:$A$201=$B1530)*(HISTORIAL_HORARIOS!$C$2:$C$201&lt;=$A1530)*(HISTORIAL_HORARIOS!$D$2:$D$201&gt;=$A1530),0)),INDEX(IF($I1530="FIN",PERSONAL!$L$2:$L$80,PERSONAL!$H$2:$H$80),MATCH($B1530,PERSONAL!$A$2:$A$80,0)))))</f>
        <v/>
      </c>
    </row>
    <row r="1531" ht="15" customHeight="1" s="58">
      <c r="A1531" s="40" t="n"/>
      <c r="B1531" s="38" t="n"/>
      <c r="C1531" s="40" t="n"/>
      <c r="D1531" s="40" t="n"/>
      <c r="E1531" s="34">
        <f t="array" ref="E1531">IF($B1531="","",IFERROR(INDEX(PERSONAL!$B$2:$B$80,MATCH($B1531,PERSONAL!$A$2:$A$80,0)),"NO EXISTE"))</f>
        <v/>
      </c>
      <c r="F1531" s="34">
        <f t="array" ref="F1531">IF($B1531="","",IFERROR(INDEX(PERSONAL!$C$2:$C$80,MATCH($B1531,PERSONAL!$A$2:$A$80,0)),""))</f>
        <v/>
      </c>
      <c r="G1531" s="34">
        <f>IF($A1531="","",CHOOSE(WEEKDAY($A1531,2),"LUNES","MARTES","MIÉRCOLES","JUEVES","VIERNES","SÁBADO","DOMINGO"))</f>
        <v/>
      </c>
      <c r="H1531" s="34">
        <f>IF($A1531="","",CHOOSE(MONTH($A1531),"ENERO","FEBRERO","MARZO","ABRIL","MAYO","JUNIO","JULIO","AGOSTO","SEPTIEMBRE","OCTUBRE","NOVIEMBRE","DICIEMBRE"))</f>
        <v/>
      </c>
      <c r="I1531" s="34">
        <f>IF($A1531="","",IF(OR($G1531="SÁBADO",$G1531="DOMINGO"),"FIN","LV"))</f>
        <v/>
      </c>
      <c r="J1531" s="34">
        <f>IF(OR($A1531="",$B1531=""),"",IF($L1531&lt;&gt;"",UPPER($L1531),IF($C1531="","FALTA",IFERROR(IF($C1531&gt;=$O1531,"ROJO FUERTE",IF($C1531&gt;=$N1531,"ROJO",IF($C1531&gt;=$M1531,"AMARILLO","VERDE"))),"REVISAR"))))</f>
        <v/>
      </c>
      <c r="K1531" s="36">
        <f>IF(OR($C1531="",$D1531=""),"",IF($D1531&gt;=$C1531,($D1531-$C1531)*24,(1-$C1531+$D1531)*24))</f>
        <v/>
      </c>
      <c r="L1531" s="34" t="n"/>
      <c r="M1531" s="53">
        <f t="array" ref="M1531">IFERROR(INDEX(EXCEPCIONES_FECHA!$D$2:$D$201,MATCH(1,(EXCEPCIONES_FECHA!$A$2:$A$201=$A1531)*(EXCEPCIONES_FECHA!$B$2:$B$201=$B1531),0)),IFERROR(INDEX(EXCEPCIONES_FECHA!$D$2:$D$201,MATCH(1,(EXCEPCIONES_FECHA!$A$2:$A$201=$A1531)*(EXCEPCIONES_FECHA!$B$2:$B$201=""),0)),IFERROR(INDEX(IF($I1531="FIN",HISTORIAL_HORARIOS!$J$2:$J$201,HISTORIAL_HORARIOS!$F$2:$F$201),MATCH(1,(HISTORIAL_HORARIOS!$A$2:$A$201=$B1531)*(HISTORIAL_HORARIOS!$C$2:$C$201&lt;=$A1531)*(HISTORIAL_HORARIOS!$D$2:$D$201&gt;=$A1531),0)),INDEX(IF($I1531="FIN",PERSONAL!$J$2:$J$80,PERSONAL!$F$2:$F$80),MATCH($B1531,PERSONAL!$A$2:$A$80,0)))))</f>
        <v/>
      </c>
      <c r="N1531" s="53">
        <f t="array" ref="N1531">IFERROR(INDEX(EXCEPCIONES_FECHA!$E$2:$E$201,MATCH(1,(EXCEPCIONES_FECHA!$A$2:$A$201=$A1531)*(EXCEPCIONES_FECHA!$B$2:$B$201=$B1531),0)),IFERROR(INDEX(EXCEPCIONES_FECHA!$E$2:$E$201,MATCH(1,(EXCEPCIONES_FECHA!$A$2:$A$201=$A1531)*(EXCEPCIONES_FECHA!$B$2:$B$201=""),0)),IFERROR(INDEX(IF($I1531="FIN",HISTORIAL_HORARIOS!$K$2:$K$201,HISTORIAL_HORARIOS!$G$2:$G$201),MATCH(1,(HISTORIAL_HORARIOS!$A$2:$A$201=$B1531)*(HISTORIAL_HORARIOS!$C$2:$C$201&lt;=$A1531)*(HISTORIAL_HORARIOS!$D$2:$D$201&gt;=$A1531),0)),INDEX(IF($I1531="FIN",PERSONAL!$K$2:$K$80,PERSONAL!$G$2:$G$80),MATCH($B1531,PERSONAL!$A$2:$A$80,0)))))</f>
        <v/>
      </c>
      <c r="O1531" s="53">
        <f t="array" ref="O1531">IFERROR(INDEX(EXCEPCIONES_FECHA!$F$2:$F$201,MATCH(1,(EXCEPCIONES_FECHA!$A$2:$A$201=$A1531)*(EXCEPCIONES_FECHA!$B$2:$B$201=$B1531),0)),IFERROR(INDEX(EXCEPCIONES_FECHA!$F$2:$F$201,MATCH(1,(EXCEPCIONES_FECHA!$A$2:$A$201=$A1531)*(EXCEPCIONES_FECHA!$B$2:$B$201=""),0)),IFERROR(INDEX(IF($I1531="FIN",HISTORIAL_HORARIOS!$L$2:$L$201,HISTORIAL_HORARIOS!$H$2:$H$201),MATCH(1,(HISTORIAL_HORARIOS!$A$2:$A$201=$B1531)*(HISTORIAL_HORARIOS!$C$2:$C$201&lt;=$A1531)*(HISTORIAL_HORARIOS!$D$2:$D$201&gt;=$A1531),0)),INDEX(IF($I1531="FIN",PERSONAL!$L$2:$L$80,PERSONAL!$H$2:$H$80),MATCH($B1531,PERSONAL!$A$2:$A$80,0)))))</f>
        <v/>
      </c>
    </row>
    <row r="1532" ht="15" customHeight="1" s="58">
      <c r="A1532" s="40" t="n"/>
      <c r="B1532" s="38" t="n"/>
      <c r="C1532" s="40" t="n"/>
      <c r="D1532" s="40" t="n"/>
      <c r="E1532" s="34">
        <f t="array" ref="E1532">IF($B1532="","",IFERROR(INDEX(PERSONAL!$B$2:$B$80,MATCH($B1532,PERSONAL!$A$2:$A$80,0)),"NO EXISTE"))</f>
        <v/>
      </c>
      <c r="F1532" s="34">
        <f t="array" ref="F1532">IF($B1532="","",IFERROR(INDEX(PERSONAL!$C$2:$C$80,MATCH($B1532,PERSONAL!$A$2:$A$80,0)),""))</f>
        <v/>
      </c>
      <c r="G1532" s="34">
        <f>IF($A1532="","",CHOOSE(WEEKDAY($A1532,2),"LUNES","MARTES","MIÉRCOLES","JUEVES","VIERNES","SÁBADO","DOMINGO"))</f>
        <v/>
      </c>
      <c r="H1532" s="34">
        <f>IF($A1532="","",CHOOSE(MONTH($A1532),"ENERO","FEBRERO","MARZO","ABRIL","MAYO","JUNIO","JULIO","AGOSTO","SEPTIEMBRE","OCTUBRE","NOVIEMBRE","DICIEMBRE"))</f>
        <v/>
      </c>
      <c r="I1532" s="34">
        <f>IF($A1532="","",IF(OR($G1532="SÁBADO",$G1532="DOMINGO"),"FIN","LV"))</f>
        <v/>
      </c>
      <c r="J1532" s="34">
        <f>IF(OR($A1532="",$B1532=""),"",IF($L1532&lt;&gt;"",UPPER($L1532),IF($C1532="","FALTA",IFERROR(IF($C1532&gt;=$O1532,"ROJO FUERTE",IF($C1532&gt;=$N1532,"ROJO",IF($C1532&gt;=$M1532,"AMARILLO","VERDE"))),"REVISAR"))))</f>
        <v/>
      </c>
      <c r="K1532" s="36">
        <f>IF(OR($C1532="",$D1532=""),"",IF($D1532&gt;=$C1532,($D1532-$C1532)*24,(1-$C1532+$D1532)*24))</f>
        <v/>
      </c>
      <c r="L1532" s="34" t="n"/>
      <c r="M1532" s="53">
        <f t="array" ref="M1532">IFERROR(INDEX(EXCEPCIONES_FECHA!$D$2:$D$201,MATCH(1,(EXCEPCIONES_FECHA!$A$2:$A$201=$A1532)*(EXCEPCIONES_FECHA!$B$2:$B$201=$B1532),0)),IFERROR(INDEX(EXCEPCIONES_FECHA!$D$2:$D$201,MATCH(1,(EXCEPCIONES_FECHA!$A$2:$A$201=$A1532)*(EXCEPCIONES_FECHA!$B$2:$B$201=""),0)),IFERROR(INDEX(IF($I1532="FIN",HISTORIAL_HORARIOS!$J$2:$J$201,HISTORIAL_HORARIOS!$F$2:$F$201),MATCH(1,(HISTORIAL_HORARIOS!$A$2:$A$201=$B1532)*(HISTORIAL_HORARIOS!$C$2:$C$201&lt;=$A1532)*(HISTORIAL_HORARIOS!$D$2:$D$201&gt;=$A1532),0)),INDEX(IF($I1532="FIN",PERSONAL!$J$2:$J$80,PERSONAL!$F$2:$F$80),MATCH($B1532,PERSONAL!$A$2:$A$80,0)))))</f>
        <v/>
      </c>
      <c r="N1532" s="53">
        <f t="array" ref="N1532">IFERROR(INDEX(EXCEPCIONES_FECHA!$E$2:$E$201,MATCH(1,(EXCEPCIONES_FECHA!$A$2:$A$201=$A1532)*(EXCEPCIONES_FECHA!$B$2:$B$201=$B1532),0)),IFERROR(INDEX(EXCEPCIONES_FECHA!$E$2:$E$201,MATCH(1,(EXCEPCIONES_FECHA!$A$2:$A$201=$A1532)*(EXCEPCIONES_FECHA!$B$2:$B$201=""),0)),IFERROR(INDEX(IF($I1532="FIN",HISTORIAL_HORARIOS!$K$2:$K$201,HISTORIAL_HORARIOS!$G$2:$G$201),MATCH(1,(HISTORIAL_HORARIOS!$A$2:$A$201=$B1532)*(HISTORIAL_HORARIOS!$C$2:$C$201&lt;=$A1532)*(HISTORIAL_HORARIOS!$D$2:$D$201&gt;=$A1532),0)),INDEX(IF($I1532="FIN",PERSONAL!$K$2:$K$80,PERSONAL!$G$2:$G$80),MATCH($B1532,PERSONAL!$A$2:$A$80,0)))))</f>
        <v/>
      </c>
      <c r="O1532" s="53">
        <f t="array" ref="O1532">IFERROR(INDEX(EXCEPCIONES_FECHA!$F$2:$F$201,MATCH(1,(EXCEPCIONES_FECHA!$A$2:$A$201=$A1532)*(EXCEPCIONES_FECHA!$B$2:$B$201=$B1532),0)),IFERROR(INDEX(EXCEPCIONES_FECHA!$F$2:$F$201,MATCH(1,(EXCEPCIONES_FECHA!$A$2:$A$201=$A1532)*(EXCEPCIONES_FECHA!$B$2:$B$201=""),0)),IFERROR(INDEX(IF($I1532="FIN",HISTORIAL_HORARIOS!$L$2:$L$201,HISTORIAL_HORARIOS!$H$2:$H$201),MATCH(1,(HISTORIAL_HORARIOS!$A$2:$A$201=$B1532)*(HISTORIAL_HORARIOS!$C$2:$C$201&lt;=$A1532)*(HISTORIAL_HORARIOS!$D$2:$D$201&gt;=$A1532),0)),INDEX(IF($I1532="FIN",PERSONAL!$L$2:$L$80,PERSONAL!$H$2:$H$80),MATCH($B1532,PERSONAL!$A$2:$A$80,0)))))</f>
        <v/>
      </c>
    </row>
    <row r="1533" ht="15" customHeight="1" s="58">
      <c r="A1533" s="40" t="n"/>
      <c r="B1533" s="38" t="n"/>
      <c r="C1533" s="40" t="n"/>
      <c r="D1533" s="40" t="n"/>
      <c r="E1533" s="34">
        <f t="array" ref="E1533">IF($B1533="","",IFERROR(INDEX(PERSONAL!$B$2:$B$80,MATCH($B1533,PERSONAL!$A$2:$A$80,0)),"NO EXISTE"))</f>
        <v/>
      </c>
      <c r="F1533" s="34">
        <f t="array" ref="F1533">IF($B1533="","",IFERROR(INDEX(PERSONAL!$C$2:$C$80,MATCH($B1533,PERSONAL!$A$2:$A$80,0)),""))</f>
        <v/>
      </c>
      <c r="G1533" s="34">
        <f>IF($A1533="","",CHOOSE(WEEKDAY($A1533,2),"LUNES","MARTES","MIÉRCOLES","JUEVES","VIERNES","SÁBADO","DOMINGO"))</f>
        <v/>
      </c>
      <c r="H1533" s="34">
        <f>IF($A1533="","",CHOOSE(MONTH($A1533),"ENERO","FEBRERO","MARZO","ABRIL","MAYO","JUNIO","JULIO","AGOSTO","SEPTIEMBRE","OCTUBRE","NOVIEMBRE","DICIEMBRE"))</f>
        <v/>
      </c>
      <c r="I1533" s="34">
        <f>IF($A1533="","",IF(OR($G1533="SÁBADO",$G1533="DOMINGO"),"FIN","LV"))</f>
        <v/>
      </c>
      <c r="J1533" s="34">
        <f>IF(OR($A1533="",$B1533=""),"",IF($L1533&lt;&gt;"",UPPER($L1533),IF($C1533="","FALTA",IFERROR(IF($C1533&gt;=$O1533,"ROJO FUERTE",IF($C1533&gt;=$N1533,"ROJO",IF($C1533&gt;=$M1533,"AMARILLO","VERDE"))),"REVISAR"))))</f>
        <v/>
      </c>
      <c r="K1533" s="36">
        <f>IF(OR($C1533="",$D1533=""),"",IF($D1533&gt;=$C1533,($D1533-$C1533)*24,(1-$C1533+$D1533)*24))</f>
        <v/>
      </c>
      <c r="L1533" s="34" t="n"/>
      <c r="M1533" s="53">
        <f t="array" ref="M1533">IFERROR(INDEX(EXCEPCIONES_FECHA!$D$2:$D$201,MATCH(1,(EXCEPCIONES_FECHA!$A$2:$A$201=$A1533)*(EXCEPCIONES_FECHA!$B$2:$B$201=$B1533),0)),IFERROR(INDEX(EXCEPCIONES_FECHA!$D$2:$D$201,MATCH(1,(EXCEPCIONES_FECHA!$A$2:$A$201=$A1533)*(EXCEPCIONES_FECHA!$B$2:$B$201=""),0)),IFERROR(INDEX(IF($I1533="FIN",HISTORIAL_HORARIOS!$J$2:$J$201,HISTORIAL_HORARIOS!$F$2:$F$201),MATCH(1,(HISTORIAL_HORARIOS!$A$2:$A$201=$B1533)*(HISTORIAL_HORARIOS!$C$2:$C$201&lt;=$A1533)*(HISTORIAL_HORARIOS!$D$2:$D$201&gt;=$A1533),0)),INDEX(IF($I1533="FIN",PERSONAL!$J$2:$J$80,PERSONAL!$F$2:$F$80),MATCH($B1533,PERSONAL!$A$2:$A$80,0)))))</f>
        <v/>
      </c>
      <c r="N1533" s="53">
        <f t="array" ref="N1533">IFERROR(INDEX(EXCEPCIONES_FECHA!$E$2:$E$201,MATCH(1,(EXCEPCIONES_FECHA!$A$2:$A$201=$A1533)*(EXCEPCIONES_FECHA!$B$2:$B$201=$B1533),0)),IFERROR(INDEX(EXCEPCIONES_FECHA!$E$2:$E$201,MATCH(1,(EXCEPCIONES_FECHA!$A$2:$A$201=$A1533)*(EXCEPCIONES_FECHA!$B$2:$B$201=""),0)),IFERROR(INDEX(IF($I1533="FIN",HISTORIAL_HORARIOS!$K$2:$K$201,HISTORIAL_HORARIOS!$G$2:$G$201),MATCH(1,(HISTORIAL_HORARIOS!$A$2:$A$201=$B1533)*(HISTORIAL_HORARIOS!$C$2:$C$201&lt;=$A1533)*(HISTORIAL_HORARIOS!$D$2:$D$201&gt;=$A1533),0)),INDEX(IF($I1533="FIN",PERSONAL!$K$2:$K$80,PERSONAL!$G$2:$G$80),MATCH($B1533,PERSONAL!$A$2:$A$80,0)))))</f>
        <v/>
      </c>
      <c r="O1533" s="53">
        <f t="array" ref="O1533">IFERROR(INDEX(EXCEPCIONES_FECHA!$F$2:$F$201,MATCH(1,(EXCEPCIONES_FECHA!$A$2:$A$201=$A1533)*(EXCEPCIONES_FECHA!$B$2:$B$201=$B1533),0)),IFERROR(INDEX(EXCEPCIONES_FECHA!$F$2:$F$201,MATCH(1,(EXCEPCIONES_FECHA!$A$2:$A$201=$A1533)*(EXCEPCIONES_FECHA!$B$2:$B$201=""),0)),IFERROR(INDEX(IF($I1533="FIN",HISTORIAL_HORARIOS!$L$2:$L$201,HISTORIAL_HORARIOS!$H$2:$H$201),MATCH(1,(HISTORIAL_HORARIOS!$A$2:$A$201=$B1533)*(HISTORIAL_HORARIOS!$C$2:$C$201&lt;=$A1533)*(HISTORIAL_HORARIOS!$D$2:$D$201&gt;=$A1533),0)),INDEX(IF($I1533="FIN",PERSONAL!$L$2:$L$80,PERSONAL!$H$2:$H$80),MATCH($B1533,PERSONAL!$A$2:$A$80,0)))))</f>
        <v/>
      </c>
    </row>
    <row r="1534" ht="15" customHeight="1" s="58">
      <c r="A1534" s="40" t="n"/>
      <c r="B1534" s="38" t="n"/>
      <c r="C1534" s="40" t="n"/>
      <c r="D1534" s="40" t="n"/>
      <c r="E1534" s="34">
        <f t="array" ref="E1534">IF($B1534="","",IFERROR(INDEX(PERSONAL!$B$2:$B$80,MATCH($B1534,PERSONAL!$A$2:$A$80,0)),"NO EXISTE"))</f>
        <v/>
      </c>
      <c r="F1534" s="34">
        <f t="array" ref="F1534">IF($B1534="","",IFERROR(INDEX(PERSONAL!$C$2:$C$80,MATCH($B1534,PERSONAL!$A$2:$A$80,0)),""))</f>
        <v/>
      </c>
      <c r="G1534" s="34">
        <f>IF($A1534="","",CHOOSE(WEEKDAY($A1534,2),"LUNES","MARTES","MIÉRCOLES","JUEVES","VIERNES","SÁBADO","DOMINGO"))</f>
        <v/>
      </c>
      <c r="H1534" s="34">
        <f>IF($A1534="","",CHOOSE(MONTH($A1534),"ENERO","FEBRERO","MARZO","ABRIL","MAYO","JUNIO","JULIO","AGOSTO","SEPTIEMBRE","OCTUBRE","NOVIEMBRE","DICIEMBRE"))</f>
        <v/>
      </c>
      <c r="I1534" s="34">
        <f>IF($A1534="","",IF(OR($G1534="SÁBADO",$G1534="DOMINGO"),"FIN","LV"))</f>
        <v/>
      </c>
      <c r="J1534" s="34">
        <f>IF(OR($A1534="",$B1534=""),"",IF($L1534&lt;&gt;"",UPPER($L1534),IF($C1534="","FALTA",IFERROR(IF($C1534&gt;=$O1534,"ROJO FUERTE",IF($C1534&gt;=$N1534,"ROJO",IF($C1534&gt;=$M1534,"AMARILLO","VERDE"))),"REVISAR"))))</f>
        <v/>
      </c>
      <c r="K1534" s="36">
        <f>IF(OR($C1534="",$D1534=""),"",IF($D1534&gt;=$C1534,($D1534-$C1534)*24,(1-$C1534+$D1534)*24))</f>
        <v/>
      </c>
      <c r="L1534" s="34" t="n"/>
      <c r="M1534" s="53">
        <f t="array" ref="M1534">IFERROR(INDEX(EXCEPCIONES_FECHA!$D$2:$D$201,MATCH(1,(EXCEPCIONES_FECHA!$A$2:$A$201=$A1534)*(EXCEPCIONES_FECHA!$B$2:$B$201=$B1534),0)),IFERROR(INDEX(EXCEPCIONES_FECHA!$D$2:$D$201,MATCH(1,(EXCEPCIONES_FECHA!$A$2:$A$201=$A1534)*(EXCEPCIONES_FECHA!$B$2:$B$201=""),0)),IFERROR(INDEX(IF($I1534="FIN",HISTORIAL_HORARIOS!$J$2:$J$201,HISTORIAL_HORARIOS!$F$2:$F$201),MATCH(1,(HISTORIAL_HORARIOS!$A$2:$A$201=$B1534)*(HISTORIAL_HORARIOS!$C$2:$C$201&lt;=$A1534)*(HISTORIAL_HORARIOS!$D$2:$D$201&gt;=$A1534),0)),INDEX(IF($I1534="FIN",PERSONAL!$J$2:$J$80,PERSONAL!$F$2:$F$80),MATCH($B1534,PERSONAL!$A$2:$A$80,0)))))</f>
        <v/>
      </c>
      <c r="N1534" s="53">
        <f t="array" ref="N1534">IFERROR(INDEX(EXCEPCIONES_FECHA!$E$2:$E$201,MATCH(1,(EXCEPCIONES_FECHA!$A$2:$A$201=$A1534)*(EXCEPCIONES_FECHA!$B$2:$B$201=$B1534),0)),IFERROR(INDEX(EXCEPCIONES_FECHA!$E$2:$E$201,MATCH(1,(EXCEPCIONES_FECHA!$A$2:$A$201=$A1534)*(EXCEPCIONES_FECHA!$B$2:$B$201=""),0)),IFERROR(INDEX(IF($I1534="FIN",HISTORIAL_HORARIOS!$K$2:$K$201,HISTORIAL_HORARIOS!$G$2:$G$201),MATCH(1,(HISTORIAL_HORARIOS!$A$2:$A$201=$B1534)*(HISTORIAL_HORARIOS!$C$2:$C$201&lt;=$A1534)*(HISTORIAL_HORARIOS!$D$2:$D$201&gt;=$A1534),0)),INDEX(IF($I1534="FIN",PERSONAL!$K$2:$K$80,PERSONAL!$G$2:$G$80),MATCH($B1534,PERSONAL!$A$2:$A$80,0)))))</f>
        <v/>
      </c>
      <c r="O1534" s="53">
        <f t="array" ref="O1534">IFERROR(INDEX(EXCEPCIONES_FECHA!$F$2:$F$201,MATCH(1,(EXCEPCIONES_FECHA!$A$2:$A$201=$A1534)*(EXCEPCIONES_FECHA!$B$2:$B$201=$B1534),0)),IFERROR(INDEX(EXCEPCIONES_FECHA!$F$2:$F$201,MATCH(1,(EXCEPCIONES_FECHA!$A$2:$A$201=$A1534)*(EXCEPCIONES_FECHA!$B$2:$B$201=""),0)),IFERROR(INDEX(IF($I1534="FIN",HISTORIAL_HORARIOS!$L$2:$L$201,HISTORIAL_HORARIOS!$H$2:$H$201),MATCH(1,(HISTORIAL_HORARIOS!$A$2:$A$201=$B1534)*(HISTORIAL_HORARIOS!$C$2:$C$201&lt;=$A1534)*(HISTORIAL_HORARIOS!$D$2:$D$201&gt;=$A1534),0)),INDEX(IF($I1534="FIN",PERSONAL!$L$2:$L$80,PERSONAL!$H$2:$H$80),MATCH($B1534,PERSONAL!$A$2:$A$80,0)))))</f>
        <v/>
      </c>
    </row>
    <row r="1535" ht="15" customHeight="1" s="58">
      <c r="A1535" s="40" t="n"/>
      <c r="B1535" s="38" t="n"/>
      <c r="C1535" s="40" t="n"/>
      <c r="D1535" s="40" t="n"/>
      <c r="E1535" s="34">
        <f t="array" ref="E1535">IF($B1535="","",IFERROR(INDEX(PERSONAL!$B$2:$B$80,MATCH($B1535,PERSONAL!$A$2:$A$80,0)),"NO EXISTE"))</f>
        <v/>
      </c>
      <c r="F1535" s="34">
        <f t="array" ref="F1535">IF($B1535="","",IFERROR(INDEX(PERSONAL!$C$2:$C$80,MATCH($B1535,PERSONAL!$A$2:$A$80,0)),""))</f>
        <v/>
      </c>
      <c r="G1535" s="34">
        <f>IF($A1535="","",CHOOSE(WEEKDAY($A1535,2),"LUNES","MARTES","MIÉRCOLES","JUEVES","VIERNES","SÁBADO","DOMINGO"))</f>
        <v/>
      </c>
      <c r="H1535" s="34">
        <f>IF($A1535="","",CHOOSE(MONTH($A1535),"ENERO","FEBRERO","MARZO","ABRIL","MAYO","JUNIO","JULIO","AGOSTO","SEPTIEMBRE","OCTUBRE","NOVIEMBRE","DICIEMBRE"))</f>
        <v/>
      </c>
      <c r="I1535" s="34">
        <f>IF($A1535="","",IF(OR($G1535="SÁBADO",$G1535="DOMINGO"),"FIN","LV"))</f>
        <v/>
      </c>
      <c r="J1535" s="34">
        <f>IF(OR($A1535="",$B1535=""),"",IF($L1535&lt;&gt;"",UPPER($L1535),IF($C1535="","FALTA",IFERROR(IF($C1535&gt;=$O1535,"ROJO FUERTE",IF($C1535&gt;=$N1535,"ROJO",IF($C1535&gt;=$M1535,"AMARILLO","VERDE"))),"REVISAR"))))</f>
        <v/>
      </c>
      <c r="K1535" s="36">
        <f>IF(OR($C1535="",$D1535=""),"",IF($D1535&gt;=$C1535,($D1535-$C1535)*24,(1-$C1535+$D1535)*24))</f>
        <v/>
      </c>
      <c r="L1535" s="34" t="n"/>
      <c r="M1535" s="53">
        <f t="array" ref="M1535">IFERROR(INDEX(EXCEPCIONES_FECHA!$D$2:$D$201,MATCH(1,(EXCEPCIONES_FECHA!$A$2:$A$201=$A1535)*(EXCEPCIONES_FECHA!$B$2:$B$201=$B1535),0)),IFERROR(INDEX(EXCEPCIONES_FECHA!$D$2:$D$201,MATCH(1,(EXCEPCIONES_FECHA!$A$2:$A$201=$A1535)*(EXCEPCIONES_FECHA!$B$2:$B$201=""),0)),IFERROR(INDEX(IF($I1535="FIN",HISTORIAL_HORARIOS!$J$2:$J$201,HISTORIAL_HORARIOS!$F$2:$F$201),MATCH(1,(HISTORIAL_HORARIOS!$A$2:$A$201=$B1535)*(HISTORIAL_HORARIOS!$C$2:$C$201&lt;=$A1535)*(HISTORIAL_HORARIOS!$D$2:$D$201&gt;=$A1535),0)),INDEX(IF($I1535="FIN",PERSONAL!$J$2:$J$80,PERSONAL!$F$2:$F$80),MATCH($B1535,PERSONAL!$A$2:$A$80,0)))))</f>
        <v/>
      </c>
      <c r="N1535" s="53">
        <f t="array" ref="N1535">IFERROR(INDEX(EXCEPCIONES_FECHA!$E$2:$E$201,MATCH(1,(EXCEPCIONES_FECHA!$A$2:$A$201=$A1535)*(EXCEPCIONES_FECHA!$B$2:$B$201=$B1535),0)),IFERROR(INDEX(EXCEPCIONES_FECHA!$E$2:$E$201,MATCH(1,(EXCEPCIONES_FECHA!$A$2:$A$201=$A1535)*(EXCEPCIONES_FECHA!$B$2:$B$201=""),0)),IFERROR(INDEX(IF($I1535="FIN",HISTORIAL_HORARIOS!$K$2:$K$201,HISTORIAL_HORARIOS!$G$2:$G$201),MATCH(1,(HISTORIAL_HORARIOS!$A$2:$A$201=$B1535)*(HISTORIAL_HORARIOS!$C$2:$C$201&lt;=$A1535)*(HISTORIAL_HORARIOS!$D$2:$D$201&gt;=$A1535),0)),INDEX(IF($I1535="FIN",PERSONAL!$K$2:$K$80,PERSONAL!$G$2:$G$80),MATCH($B1535,PERSONAL!$A$2:$A$80,0)))))</f>
        <v/>
      </c>
      <c r="O1535" s="53">
        <f t="array" ref="O1535">IFERROR(INDEX(EXCEPCIONES_FECHA!$F$2:$F$201,MATCH(1,(EXCEPCIONES_FECHA!$A$2:$A$201=$A1535)*(EXCEPCIONES_FECHA!$B$2:$B$201=$B1535),0)),IFERROR(INDEX(EXCEPCIONES_FECHA!$F$2:$F$201,MATCH(1,(EXCEPCIONES_FECHA!$A$2:$A$201=$A1535)*(EXCEPCIONES_FECHA!$B$2:$B$201=""),0)),IFERROR(INDEX(IF($I1535="FIN",HISTORIAL_HORARIOS!$L$2:$L$201,HISTORIAL_HORARIOS!$H$2:$H$201),MATCH(1,(HISTORIAL_HORARIOS!$A$2:$A$201=$B1535)*(HISTORIAL_HORARIOS!$C$2:$C$201&lt;=$A1535)*(HISTORIAL_HORARIOS!$D$2:$D$201&gt;=$A1535),0)),INDEX(IF($I1535="FIN",PERSONAL!$L$2:$L$80,PERSONAL!$H$2:$H$80),MATCH($B1535,PERSONAL!$A$2:$A$80,0)))))</f>
        <v/>
      </c>
    </row>
    <row r="1536" ht="15" customHeight="1" s="58">
      <c r="A1536" s="40" t="n"/>
      <c r="B1536" s="38" t="n"/>
      <c r="C1536" s="40" t="n"/>
      <c r="D1536" s="40" t="n"/>
      <c r="E1536" s="34">
        <f t="array" ref="E1536">IF($B1536="","",IFERROR(INDEX(PERSONAL!$B$2:$B$80,MATCH($B1536,PERSONAL!$A$2:$A$80,0)),"NO EXISTE"))</f>
        <v/>
      </c>
      <c r="F1536" s="34">
        <f t="array" ref="F1536">IF($B1536="","",IFERROR(INDEX(PERSONAL!$C$2:$C$80,MATCH($B1536,PERSONAL!$A$2:$A$80,0)),""))</f>
        <v/>
      </c>
      <c r="G1536" s="34">
        <f>IF($A1536="","",CHOOSE(WEEKDAY($A1536,2),"LUNES","MARTES","MIÉRCOLES","JUEVES","VIERNES","SÁBADO","DOMINGO"))</f>
        <v/>
      </c>
      <c r="H1536" s="34">
        <f>IF($A1536="","",CHOOSE(MONTH($A1536),"ENERO","FEBRERO","MARZO","ABRIL","MAYO","JUNIO","JULIO","AGOSTO","SEPTIEMBRE","OCTUBRE","NOVIEMBRE","DICIEMBRE"))</f>
        <v/>
      </c>
      <c r="I1536" s="34">
        <f>IF($A1536="","",IF(OR($G1536="SÁBADO",$G1536="DOMINGO"),"FIN","LV"))</f>
        <v/>
      </c>
      <c r="J1536" s="34">
        <f>IF(OR($A1536="",$B1536=""),"",IF($L1536&lt;&gt;"",UPPER($L1536),IF($C1536="","FALTA",IFERROR(IF($C1536&gt;=$O1536,"ROJO FUERTE",IF($C1536&gt;=$N1536,"ROJO",IF($C1536&gt;=$M1536,"AMARILLO","VERDE"))),"REVISAR"))))</f>
        <v/>
      </c>
      <c r="K1536" s="36">
        <f>IF(OR($C1536="",$D1536=""),"",IF($D1536&gt;=$C1536,($D1536-$C1536)*24,(1-$C1536+$D1536)*24))</f>
        <v/>
      </c>
      <c r="L1536" s="34" t="n"/>
      <c r="M1536" s="53">
        <f t="array" ref="M1536">IFERROR(INDEX(EXCEPCIONES_FECHA!$D$2:$D$201,MATCH(1,(EXCEPCIONES_FECHA!$A$2:$A$201=$A1536)*(EXCEPCIONES_FECHA!$B$2:$B$201=$B1536),0)),IFERROR(INDEX(EXCEPCIONES_FECHA!$D$2:$D$201,MATCH(1,(EXCEPCIONES_FECHA!$A$2:$A$201=$A1536)*(EXCEPCIONES_FECHA!$B$2:$B$201=""),0)),IFERROR(INDEX(IF($I1536="FIN",HISTORIAL_HORARIOS!$J$2:$J$201,HISTORIAL_HORARIOS!$F$2:$F$201),MATCH(1,(HISTORIAL_HORARIOS!$A$2:$A$201=$B1536)*(HISTORIAL_HORARIOS!$C$2:$C$201&lt;=$A1536)*(HISTORIAL_HORARIOS!$D$2:$D$201&gt;=$A1536),0)),INDEX(IF($I1536="FIN",PERSONAL!$J$2:$J$80,PERSONAL!$F$2:$F$80),MATCH($B1536,PERSONAL!$A$2:$A$80,0)))))</f>
        <v/>
      </c>
      <c r="N1536" s="53">
        <f t="array" ref="N1536">IFERROR(INDEX(EXCEPCIONES_FECHA!$E$2:$E$201,MATCH(1,(EXCEPCIONES_FECHA!$A$2:$A$201=$A1536)*(EXCEPCIONES_FECHA!$B$2:$B$201=$B1536),0)),IFERROR(INDEX(EXCEPCIONES_FECHA!$E$2:$E$201,MATCH(1,(EXCEPCIONES_FECHA!$A$2:$A$201=$A1536)*(EXCEPCIONES_FECHA!$B$2:$B$201=""),0)),IFERROR(INDEX(IF($I1536="FIN",HISTORIAL_HORARIOS!$K$2:$K$201,HISTORIAL_HORARIOS!$G$2:$G$201),MATCH(1,(HISTORIAL_HORARIOS!$A$2:$A$201=$B1536)*(HISTORIAL_HORARIOS!$C$2:$C$201&lt;=$A1536)*(HISTORIAL_HORARIOS!$D$2:$D$201&gt;=$A1536),0)),INDEX(IF($I1536="FIN",PERSONAL!$K$2:$K$80,PERSONAL!$G$2:$G$80),MATCH($B1536,PERSONAL!$A$2:$A$80,0)))))</f>
        <v/>
      </c>
      <c r="O1536" s="53">
        <f t="array" ref="O1536">IFERROR(INDEX(EXCEPCIONES_FECHA!$F$2:$F$201,MATCH(1,(EXCEPCIONES_FECHA!$A$2:$A$201=$A1536)*(EXCEPCIONES_FECHA!$B$2:$B$201=$B1536),0)),IFERROR(INDEX(EXCEPCIONES_FECHA!$F$2:$F$201,MATCH(1,(EXCEPCIONES_FECHA!$A$2:$A$201=$A1536)*(EXCEPCIONES_FECHA!$B$2:$B$201=""),0)),IFERROR(INDEX(IF($I1536="FIN",HISTORIAL_HORARIOS!$L$2:$L$201,HISTORIAL_HORARIOS!$H$2:$H$201),MATCH(1,(HISTORIAL_HORARIOS!$A$2:$A$201=$B1536)*(HISTORIAL_HORARIOS!$C$2:$C$201&lt;=$A1536)*(HISTORIAL_HORARIOS!$D$2:$D$201&gt;=$A1536),0)),INDEX(IF($I1536="FIN",PERSONAL!$L$2:$L$80,PERSONAL!$H$2:$H$80),MATCH($B1536,PERSONAL!$A$2:$A$80,0)))))</f>
        <v/>
      </c>
    </row>
    <row r="1537" ht="15" customHeight="1" s="58">
      <c r="A1537" s="40" t="n"/>
      <c r="B1537" s="38" t="n"/>
      <c r="C1537" s="40" t="n"/>
      <c r="D1537" s="40" t="n"/>
      <c r="E1537" s="34">
        <f t="array" ref="E1537">IF($B1537="","",IFERROR(INDEX(PERSONAL!$B$2:$B$80,MATCH($B1537,PERSONAL!$A$2:$A$80,0)),"NO EXISTE"))</f>
        <v/>
      </c>
      <c r="F1537" s="34">
        <f t="array" ref="F1537">IF($B1537="","",IFERROR(INDEX(PERSONAL!$C$2:$C$80,MATCH($B1537,PERSONAL!$A$2:$A$80,0)),""))</f>
        <v/>
      </c>
      <c r="G1537" s="34">
        <f>IF($A1537="","",CHOOSE(WEEKDAY($A1537,2),"LUNES","MARTES","MIÉRCOLES","JUEVES","VIERNES","SÁBADO","DOMINGO"))</f>
        <v/>
      </c>
      <c r="H1537" s="34">
        <f>IF($A1537="","",CHOOSE(MONTH($A1537),"ENERO","FEBRERO","MARZO","ABRIL","MAYO","JUNIO","JULIO","AGOSTO","SEPTIEMBRE","OCTUBRE","NOVIEMBRE","DICIEMBRE"))</f>
        <v/>
      </c>
      <c r="I1537" s="34">
        <f>IF($A1537="","",IF(OR($G1537="SÁBADO",$G1537="DOMINGO"),"FIN","LV"))</f>
        <v/>
      </c>
      <c r="J1537" s="34">
        <f>IF(OR($A1537="",$B1537=""),"",IF($L1537&lt;&gt;"",UPPER($L1537),IF($C1537="","FALTA",IFERROR(IF($C1537&gt;=$O1537,"ROJO FUERTE",IF($C1537&gt;=$N1537,"ROJO",IF($C1537&gt;=$M1537,"AMARILLO","VERDE"))),"REVISAR"))))</f>
        <v/>
      </c>
      <c r="K1537" s="36">
        <f>IF(OR($C1537="",$D1537=""),"",IF($D1537&gt;=$C1537,($D1537-$C1537)*24,(1-$C1537+$D1537)*24))</f>
        <v/>
      </c>
      <c r="L1537" s="34" t="n"/>
      <c r="M1537" s="53">
        <f t="array" ref="M1537">IFERROR(INDEX(EXCEPCIONES_FECHA!$D$2:$D$201,MATCH(1,(EXCEPCIONES_FECHA!$A$2:$A$201=$A1537)*(EXCEPCIONES_FECHA!$B$2:$B$201=$B1537),0)),IFERROR(INDEX(EXCEPCIONES_FECHA!$D$2:$D$201,MATCH(1,(EXCEPCIONES_FECHA!$A$2:$A$201=$A1537)*(EXCEPCIONES_FECHA!$B$2:$B$201=""),0)),IFERROR(INDEX(IF($I1537="FIN",HISTORIAL_HORARIOS!$J$2:$J$201,HISTORIAL_HORARIOS!$F$2:$F$201),MATCH(1,(HISTORIAL_HORARIOS!$A$2:$A$201=$B1537)*(HISTORIAL_HORARIOS!$C$2:$C$201&lt;=$A1537)*(HISTORIAL_HORARIOS!$D$2:$D$201&gt;=$A1537),0)),INDEX(IF($I1537="FIN",PERSONAL!$J$2:$J$80,PERSONAL!$F$2:$F$80),MATCH($B1537,PERSONAL!$A$2:$A$80,0)))))</f>
        <v/>
      </c>
      <c r="N1537" s="53">
        <f t="array" ref="N1537">IFERROR(INDEX(EXCEPCIONES_FECHA!$E$2:$E$201,MATCH(1,(EXCEPCIONES_FECHA!$A$2:$A$201=$A1537)*(EXCEPCIONES_FECHA!$B$2:$B$201=$B1537),0)),IFERROR(INDEX(EXCEPCIONES_FECHA!$E$2:$E$201,MATCH(1,(EXCEPCIONES_FECHA!$A$2:$A$201=$A1537)*(EXCEPCIONES_FECHA!$B$2:$B$201=""),0)),IFERROR(INDEX(IF($I1537="FIN",HISTORIAL_HORARIOS!$K$2:$K$201,HISTORIAL_HORARIOS!$G$2:$G$201),MATCH(1,(HISTORIAL_HORARIOS!$A$2:$A$201=$B1537)*(HISTORIAL_HORARIOS!$C$2:$C$201&lt;=$A1537)*(HISTORIAL_HORARIOS!$D$2:$D$201&gt;=$A1537),0)),INDEX(IF($I1537="FIN",PERSONAL!$K$2:$K$80,PERSONAL!$G$2:$G$80),MATCH($B1537,PERSONAL!$A$2:$A$80,0)))))</f>
        <v/>
      </c>
      <c r="O1537" s="53">
        <f t="array" ref="O1537">IFERROR(INDEX(EXCEPCIONES_FECHA!$F$2:$F$201,MATCH(1,(EXCEPCIONES_FECHA!$A$2:$A$201=$A1537)*(EXCEPCIONES_FECHA!$B$2:$B$201=$B1537),0)),IFERROR(INDEX(EXCEPCIONES_FECHA!$F$2:$F$201,MATCH(1,(EXCEPCIONES_FECHA!$A$2:$A$201=$A1537)*(EXCEPCIONES_FECHA!$B$2:$B$201=""),0)),IFERROR(INDEX(IF($I1537="FIN",HISTORIAL_HORARIOS!$L$2:$L$201,HISTORIAL_HORARIOS!$H$2:$H$201),MATCH(1,(HISTORIAL_HORARIOS!$A$2:$A$201=$B1537)*(HISTORIAL_HORARIOS!$C$2:$C$201&lt;=$A1537)*(HISTORIAL_HORARIOS!$D$2:$D$201&gt;=$A1537),0)),INDEX(IF($I1537="FIN",PERSONAL!$L$2:$L$80,PERSONAL!$H$2:$H$80),MATCH($B1537,PERSONAL!$A$2:$A$80,0)))))</f>
        <v/>
      </c>
    </row>
    <row r="1538" ht="15" customHeight="1" s="58">
      <c r="A1538" s="40" t="n"/>
      <c r="B1538" s="38" t="n"/>
      <c r="C1538" s="40" t="n"/>
      <c r="D1538" s="40" t="n"/>
      <c r="E1538" s="34">
        <f t="array" ref="E1538">IF($B1538="","",IFERROR(INDEX(PERSONAL!$B$2:$B$80,MATCH($B1538,PERSONAL!$A$2:$A$80,0)),"NO EXISTE"))</f>
        <v/>
      </c>
      <c r="F1538" s="34">
        <f t="array" ref="F1538">IF($B1538="","",IFERROR(INDEX(PERSONAL!$C$2:$C$80,MATCH($B1538,PERSONAL!$A$2:$A$80,0)),""))</f>
        <v/>
      </c>
      <c r="G1538" s="34">
        <f>IF($A1538="","",CHOOSE(WEEKDAY($A1538,2),"LUNES","MARTES","MIÉRCOLES","JUEVES","VIERNES","SÁBADO","DOMINGO"))</f>
        <v/>
      </c>
      <c r="H1538" s="34">
        <f>IF($A1538="","",CHOOSE(MONTH($A1538),"ENERO","FEBRERO","MARZO","ABRIL","MAYO","JUNIO","JULIO","AGOSTO","SEPTIEMBRE","OCTUBRE","NOVIEMBRE","DICIEMBRE"))</f>
        <v/>
      </c>
      <c r="I1538" s="34">
        <f>IF($A1538="","",IF(OR($G1538="SÁBADO",$G1538="DOMINGO"),"FIN","LV"))</f>
        <v/>
      </c>
      <c r="J1538" s="34">
        <f>IF(OR($A1538="",$B1538=""),"",IF($L1538&lt;&gt;"",UPPER($L1538),IF($C1538="","FALTA",IFERROR(IF($C1538&gt;=$O1538,"ROJO FUERTE",IF($C1538&gt;=$N1538,"ROJO",IF($C1538&gt;=$M1538,"AMARILLO","VERDE"))),"REVISAR"))))</f>
        <v/>
      </c>
      <c r="K1538" s="36">
        <f>IF(OR($C1538="",$D1538=""),"",IF($D1538&gt;=$C1538,($D1538-$C1538)*24,(1-$C1538+$D1538)*24))</f>
        <v/>
      </c>
      <c r="L1538" s="34" t="n"/>
      <c r="M1538" s="53">
        <f t="array" ref="M1538">IFERROR(INDEX(EXCEPCIONES_FECHA!$D$2:$D$201,MATCH(1,(EXCEPCIONES_FECHA!$A$2:$A$201=$A1538)*(EXCEPCIONES_FECHA!$B$2:$B$201=$B1538),0)),IFERROR(INDEX(EXCEPCIONES_FECHA!$D$2:$D$201,MATCH(1,(EXCEPCIONES_FECHA!$A$2:$A$201=$A1538)*(EXCEPCIONES_FECHA!$B$2:$B$201=""),0)),IFERROR(INDEX(IF($I1538="FIN",HISTORIAL_HORARIOS!$J$2:$J$201,HISTORIAL_HORARIOS!$F$2:$F$201),MATCH(1,(HISTORIAL_HORARIOS!$A$2:$A$201=$B1538)*(HISTORIAL_HORARIOS!$C$2:$C$201&lt;=$A1538)*(HISTORIAL_HORARIOS!$D$2:$D$201&gt;=$A1538),0)),INDEX(IF($I1538="FIN",PERSONAL!$J$2:$J$80,PERSONAL!$F$2:$F$80),MATCH($B1538,PERSONAL!$A$2:$A$80,0)))))</f>
        <v/>
      </c>
      <c r="N1538" s="53">
        <f t="array" ref="N1538">IFERROR(INDEX(EXCEPCIONES_FECHA!$E$2:$E$201,MATCH(1,(EXCEPCIONES_FECHA!$A$2:$A$201=$A1538)*(EXCEPCIONES_FECHA!$B$2:$B$201=$B1538),0)),IFERROR(INDEX(EXCEPCIONES_FECHA!$E$2:$E$201,MATCH(1,(EXCEPCIONES_FECHA!$A$2:$A$201=$A1538)*(EXCEPCIONES_FECHA!$B$2:$B$201=""),0)),IFERROR(INDEX(IF($I1538="FIN",HISTORIAL_HORARIOS!$K$2:$K$201,HISTORIAL_HORARIOS!$G$2:$G$201),MATCH(1,(HISTORIAL_HORARIOS!$A$2:$A$201=$B1538)*(HISTORIAL_HORARIOS!$C$2:$C$201&lt;=$A1538)*(HISTORIAL_HORARIOS!$D$2:$D$201&gt;=$A1538),0)),INDEX(IF($I1538="FIN",PERSONAL!$K$2:$K$80,PERSONAL!$G$2:$G$80),MATCH($B1538,PERSONAL!$A$2:$A$80,0)))))</f>
        <v/>
      </c>
      <c r="O1538" s="53">
        <f t="array" ref="O1538">IFERROR(INDEX(EXCEPCIONES_FECHA!$F$2:$F$201,MATCH(1,(EXCEPCIONES_FECHA!$A$2:$A$201=$A1538)*(EXCEPCIONES_FECHA!$B$2:$B$201=$B1538),0)),IFERROR(INDEX(EXCEPCIONES_FECHA!$F$2:$F$201,MATCH(1,(EXCEPCIONES_FECHA!$A$2:$A$201=$A1538)*(EXCEPCIONES_FECHA!$B$2:$B$201=""),0)),IFERROR(INDEX(IF($I1538="FIN",HISTORIAL_HORARIOS!$L$2:$L$201,HISTORIAL_HORARIOS!$H$2:$H$201),MATCH(1,(HISTORIAL_HORARIOS!$A$2:$A$201=$B1538)*(HISTORIAL_HORARIOS!$C$2:$C$201&lt;=$A1538)*(HISTORIAL_HORARIOS!$D$2:$D$201&gt;=$A1538),0)),INDEX(IF($I1538="FIN",PERSONAL!$L$2:$L$80,PERSONAL!$H$2:$H$80),MATCH($B1538,PERSONAL!$A$2:$A$80,0)))))</f>
        <v/>
      </c>
    </row>
    <row r="1539" ht="15" customHeight="1" s="58">
      <c r="A1539" s="40" t="n"/>
      <c r="B1539" s="38" t="n"/>
      <c r="C1539" s="40" t="n"/>
      <c r="D1539" s="40" t="n"/>
      <c r="E1539" s="34">
        <f t="array" ref="E1539">IF($B1539="","",IFERROR(INDEX(PERSONAL!$B$2:$B$80,MATCH($B1539,PERSONAL!$A$2:$A$80,0)),"NO EXISTE"))</f>
        <v/>
      </c>
      <c r="F1539" s="34">
        <f t="array" ref="F1539">IF($B1539="","",IFERROR(INDEX(PERSONAL!$C$2:$C$80,MATCH($B1539,PERSONAL!$A$2:$A$80,0)),""))</f>
        <v/>
      </c>
      <c r="G1539" s="34">
        <f>IF($A1539="","",CHOOSE(WEEKDAY($A1539,2),"LUNES","MARTES","MIÉRCOLES","JUEVES","VIERNES","SÁBADO","DOMINGO"))</f>
        <v/>
      </c>
      <c r="H1539" s="34">
        <f>IF($A1539="","",CHOOSE(MONTH($A1539),"ENERO","FEBRERO","MARZO","ABRIL","MAYO","JUNIO","JULIO","AGOSTO","SEPTIEMBRE","OCTUBRE","NOVIEMBRE","DICIEMBRE"))</f>
        <v/>
      </c>
      <c r="I1539" s="34">
        <f>IF($A1539="","",IF(OR($G1539="SÁBADO",$G1539="DOMINGO"),"FIN","LV"))</f>
        <v/>
      </c>
      <c r="J1539" s="34">
        <f>IF(OR($A1539="",$B1539=""),"",IF($L1539&lt;&gt;"",UPPER($L1539),IF($C1539="","FALTA",IFERROR(IF($C1539&gt;=$O1539,"ROJO FUERTE",IF($C1539&gt;=$N1539,"ROJO",IF($C1539&gt;=$M1539,"AMARILLO","VERDE"))),"REVISAR"))))</f>
        <v/>
      </c>
      <c r="K1539" s="36">
        <f>IF(OR($C1539="",$D1539=""),"",IF($D1539&gt;=$C1539,($D1539-$C1539)*24,(1-$C1539+$D1539)*24))</f>
        <v/>
      </c>
      <c r="L1539" s="34" t="n"/>
      <c r="M1539" s="53">
        <f t="array" ref="M1539">IFERROR(INDEX(EXCEPCIONES_FECHA!$D$2:$D$201,MATCH(1,(EXCEPCIONES_FECHA!$A$2:$A$201=$A1539)*(EXCEPCIONES_FECHA!$B$2:$B$201=$B1539),0)),IFERROR(INDEX(EXCEPCIONES_FECHA!$D$2:$D$201,MATCH(1,(EXCEPCIONES_FECHA!$A$2:$A$201=$A1539)*(EXCEPCIONES_FECHA!$B$2:$B$201=""),0)),IFERROR(INDEX(IF($I1539="FIN",HISTORIAL_HORARIOS!$J$2:$J$201,HISTORIAL_HORARIOS!$F$2:$F$201),MATCH(1,(HISTORIAL_HORARIOS!$A$2:$A$201=$B1539)*(HISTORIAL_HORARIOS!$C$2:$C$201&lt;=$A1539)*(HISTORIAL_HORARIOS!$D$2:$D$201&gt;=$A1539),0)),INDEX(IF($I1539="FIN",PERSONAL!$J$2:$J$80,PERSONAL!$F$2:$F$80),MATCH($B1539,PERSONAL!$A$2:$A$80,0)))))</f>
        <v/>
      </c>
      <c r="N1539" s="53">
        <f t="array" ref="N1539">IFERROR(INDEX(EXCEPCIONES_FECHA!$E$2:$E$201,MATCH(1,(EXCEPCIONES_FECHA!$A$2:$A$201=$A1539)*(EXCEPCIONES_FECHA!$B$2:$B$201=$B1539),0)),IFERROR(INDEX(EXCEPCIONES_FECHA!$E$2:$E$201,MATCH(1,(EXCEPCIONES_FECHA!$A$2:$A$201=$A1539)*(EXCEPCIONES_FECHA!$B$2:$B$201=""),0)),IFERROR(INDEX(IF($I1539="FIN",HISTORIAL_HORARIOS!$K$2:$K$201,HISTORIAL_HORARIOS!$G$2:$G$201),MATCH(1,(HISTORIAL_HORARIOS!$A$2:$A$201=$B1539)*(HISTORIAL_HORARIOS!$C$2:$C$201&lt;=$A1539)*(HISTORIAL_HORARIOS!$D$2:$D$201&gt;=$A1539),0)),INDEX(IF($I1539="FIN",PERSONAL!$K$2:$K$80,PERSONAL!$G$2:$G$80),MATCH($B1539,PERSONAL!$A$2:$A$80,0)))))</f>
        <v/>
      </c>
      <c r="O1539" s="53">
        <f t="array" ref="O1539">IFERROR(INDEX(EXCEPCIONES_FECHA!$F$2:$F$201,MATCH(1,(EXCEPCIONES_FECHA!$A$2:$A$201=$A1539)*(EXCEPCIONES_FECHA!$B$2:$B$201=$B1539),0)),IFERROR(INDEX(EXCEPCIONES_FECHA!$F$2:$F$201,MATCH(1,(EXCEPCIONES_FECHA!$A$2:$A$201=$A1539)*(EXCEPCIONES_FECHA!$B$2:$B$201=""),0)),IFERROR(INDEX(IF($I1539="FIN",HISTORIAL_HORARIOS!$L$2:$L$201,HISTORIAL_HORARIOS!$H$2:$H$201),MATCH(1,(HISTORIAL_HORARIOS!$A$2:$A$201=$B1539)*(HISTORIAL_HORARIOS!$C$2:$C$201&lt;=$A1539)*(HISTORIAL_HORARIOS!$D$2:$D$201&gt;=$A1539),0)),INDEX(IF($I1539="FIN",PERSONAL!$L$2:$L$80,PERSONAL!$H$2:$H$80),MATCH($B1539,PERSONAL!$A$2:$A$80,0)))))</f>
        <v/>
      </c>
    </row>
    <row r="1540" ht="15" customHeight="1" s="58">
      <c r="A1540" s="40" t="n"/>
      <c r="B1540" s="38" t="n"/>
      <c r="C1540" s="40" t="n"/>
      <c r="D1540" s="40" t="n"/>
      <c r="E1540" s="34">
        <f t="array" ref="E1540">IF($B1540="","",IFERROR(INDEX(PERSONAL!$B$2:$B$80,MATCH($B1540,PERSONAL!$A$2:$A$80,0)),"NO EXISTE"))</f>
        <v/>
      </c>
      <c r="F1540" s="34">
        <f t="array" ref="F1540">IF($B1540="","",IFERROR(INDEX(PERSONAL!$C$2:$C$80,MATCH($B1540,PERSONAL!$A$2:$A$80,0)),""))</f>
        <v/>
      </c>
      <c r="G1540" s="34">
        <f>IF($A1540="","",CHOOSE(WEEKDAY($A1540,2),"LUNES","MARTES","MIÉRCOLES","JUEVES","VIERNES","SÁBADO","DOMINGO"))</f>
        <v/>
      </c>
      <c r="H1540" s="34">
        <f>IF($A1540="","",CHOOSE(MONTH($A1540),"ENERO","FEBRERO","MARZO","ABRIL","MAYO","JUNIO","JULIO","AGOSTO","SEPTIEMBRE","OCTUBRE","NOVIEMBRE","DICIEMBRE"))</f>
        <v/>
      </c>
      <c r="I1540" s="34">
        <f>IF($A1540="","",IF(OR($G1540="SÁBADO",$G1540="DOMINGO"),"FIN","LV"))</f>
        <v/>
      </c>
      <c r="J1540" s="34">
        <f>IF(OR($A1540="",$B1540=""),"",IF($L1540&lt;&gt;"",UPPER($L1540),IF($C1540="","FALTA",IFERROR(IF($C1540&gt;=$O1540,"ROJO FUERTE",IF($C1540&gt;=$N1540,"ROJO",IF($C1540&gt;=$M1540,"AMARILLO","VERDE"))),"REVISAR"))))</f>
        <v/>
      </c>
      <c r="K1540" s="36">
        <f>IF(OR($C1540="",$D1540=""),"",IF($D1540&gt;=$C1540,($D1540-$C1540)*24,(1-$C1540+$D1540)*24))</f>
        <v/>
      </c>
      <c r="L1540" s="34" t="n"/>
      <c r="M1540" s="53">
        <f t="array" ref="M1540">IFERROR(INDEX(EXCEPCIONES_FECHA!$D$2:$D$201,MATCH(1,(EXCEPCIONES_FECHA!$A$2:$A$201=$A1540)*(EXCEPCIONES_FECHA!$B$2:$B$201=$B1540),0)),IFERROR(INDEX(EXCEPCIONES_FECHA!$D$2:$D$201,MATCH(1,(EXCEPCIONES_FECHA!$A$2:$A$201=$A1540)*(EXCEPCIONES_FECHA!$B$2:$B$201=""),0)),IFERROR(INDEX(IF($I1540="FIN",HISTORIAL_HORARIOS!$J$2:$J$201,HISTORIAL_HORARIOS!$F$2:$F$201),MATCH(1,(HISTORIAL_HORARIOS!$A$2:$A$201=$B1540)*(HISTORIAL_HORARIOS!$C$2:$C$201&lt;=$A1540)*(HISTORIAL_HORARIOS!$D$2:$D$201&gt;=$A1540),0)),INDEX(IF($I1540="FIN",PERSONAL!$J$2:$J$80,PERSONAL!$F$2:$F$80),MATCH($B1540,PERSONAL!$A$2:$A$80,0)))))</f>
        <v/>
      </c>
      <c r="N1540" s="53">
        <f t="array" ref="N1540">IFERROR(INDEX(EXCEPCIONES_FECHA!$E$2:$E$201,MATCH(1,(EXCEPCIONES_FECHA!$A$2:$A$201=$A1540)*(EXCEPCIONES_FECHA!$B$2:$B$201=$B1540),0)),IFERROR(INDEX(EXCEPCIONES_FECHA!$E$2:$E$201,MATCH(1,(EXCEPCIONES_FECHA!$A$2:$A$201=$A1540)*(EXCEPCIONES_FECHA!$B$2:$B$201=""),0)),IFERROR(INDEX(IF($I1540="FIN",HISTORIAL_HORARIOS!$K$2:$K$201,HISTORIAL_HORARIOS!$G$2:$G$201),MATCH(1,(HISTORIAL_HORARIOS!$A$2:$A$201=$B1540)*(HISTORIAL_HORARIOS!$C$2:$C$201&lt;=$A1540)*(HISTORIAL_HORARIOS!$D$2:$D$201&gt;=$A1540),0)),INDEX(IF($I1540="FIN",PERSONAL!$K$2:$K$80,PERSONAL!$G$2:$G$80),MATCH($B1540,PERSONAL!$A$2:$A$80,0)))))</f>
        <v/>
      </c>
      <c r="O1540" s="53">
        <f t="array" ref="O1540">IFERROR(INDEX(EXCEPCIONES_FECHA!$F$2:$F$201,MATCH(1,(EXCEPCIONES_FECHA!$A$2:$A$201=$A1540)*(EXCEPCIONES_FECHA!$B$2:$B$201=$B1540),0)),IFERROR(INDEX(EXCEPCIONES_FECHA!$F$2:$F$201,MATCH(1,(EXCEPCIONES_FECHA!$A$2:$A$201=$A1540)*(EXCEPCIONES_FECHA!$B$2:$B$201=""),0)),IFERROR(INDEX(IF($I1540="FIN",HISTORIAL_HORARIOS!$L$2:$L$201,HISTORIAL_HORARIOS!$H$2:$H$201),MATCH(1,(HISTORIAL_HORARIOS!$A$2:$A$201=$B1540)*(HISTORIAL_HORARIOS!$C$2:$C$201&lt;=$A1540)*(HISTORIAL_HORARIOS!$D$2:$D$201&gt;=$A1540),0)),INDEX(IF($I1540="FIN",PERSONAL!$L$2:$L$80,PERSONAL!$H$2:$H$80),MATCH($B1540,PERSONAL!$A$2:$A$80,0)))))</f>
        <v/>
      </c>
    </row>
    <row r="1541" ht="15" customHeight="1" s="58">
      <c r="A1541" s="40" t="n"/>
      <c r="B1541" s="38" t="n"/>
      <c r="C1541" s="40" t="n"/>
      <c r="D1541" s="40" t="n"/>
      <c r="E1541" s="34">
        <f t="array" ref="E1541">IF($B1541="","",IFERROR(INDEX(PERSONAL!$B$2:$B$80,MATCH($B1541,PERSONAL!$A$2:$A$80,0)),"NO EXISTE"))</f>
        <v/>
      </c>
      <c r="F1541" s="34">
        <f t="array" ref="F1541">IF($B1541="","",IFERROR(INDEX(PERSONAL!$C$2:$C$80,MATCH($B1541,PERSONAL!$A$2:$A$80,0)),""))</f>
        <v/>
      </c>
      <c r="G1541" s="34">
        <f>IF($A1541="","",CHOOSE(WEEKDAY($A1541,2),"LUNES","MARTES","MIÉRCOLES","JUEVES","VIERNES","SÁBADO","DOMINGO"))</f>
        <v/>
      </c>
      <c r="H1541" s="34">
        <f>IF($A1541="","",CHOOSE(MONTH($A1541),"ENERO","FEBRERO","MARZO","ABRIL","MAYO","JUNIO","JULIO","AGOSTO","SEPTIEMBRE","OCTUBRE","NOVIEMBRE","DICIEMBRE"))</f>
        <v/>
      </c>
      <c r="I1541" s="34">
        <f>IF($A1541="","",IF(OR($G1541="SÁBADO",$G1541="DOMINGO"),"FIN","LV"))</f>
        <v/>
      </c>
      <c r="J1541" s="34">
        <f>IF(OR($A1541="",$B1541=""),"",IF($L1541&lt;&gt;"",UPPER($L1541),IF($C1541="","FALTA",IFERROR(IF($C1541&gt;=$O1541,"ROJO FUERTE",IF($C1541&gt;=$N1541,"ROJO",IF($C1541&gt;=$M1541,"AMARILLO","VERDE"))),"REVISAR"))))</f>
        <v/>
      </c>
      <c r="K1541" s="36">
        <f>IF(OR($C1541="",$D1541=""),"",IF($D1541&gt;=$C1541,($D1541-$C1541)*24,(1-$C1541+$D1541)*24))</f>
        <v/>
      </c>
      <c r="L1541" s="34" t="n"/>
      <c r="M1541" s="53">
        <f t="array" ref="M1541">IFERROR(INDEX(EXCEPCIONES_FECHA!$D$2:$D$201,MATCH(1,(EXCEPCIONES_FECHA!$A$2:$A$201=$A1541)*(EXCEPCIONES_FECHA!$B$2:$B$201=$B1541),0)),IFERROR(INDEX(EXCEPCIONES_FECHA!$D$2:$D$201,MATCH(1,(EXCEPCIONES_FECHA!$A$2:$A$201=$A1541)*(EXCEPCIONES_FECHA!$B$2:$B$201=""),0)),IFERROR(INDEX(IF($I1541="FIN",HISTORIAL_HORARIOS!$J$2:$J$201,HISTORIAL_HORARIOS!$F$2:$F$201),MATCH(1,(HISTORIAL_HORARIOS!$A$2:$A$201=$B1541)*(HISTORIAL_HORARIOS!$C$2:$C$201&lt;=$A1541)*(HISTORIAL_HORARIOS!$D$2:$D$201&gt;=$A1541),0)),INDEX(IF($I1541="FIN",PERSONAL!$J$2:$J$80,PERSONAL!$F$2:$F$80),MATCH($B1541,PERSONAL!$A$2:$A$80,0)))))</f>
        <v/>
      </c>
      <c r="N1541" s="53">
        <f t="array" ref="N1541">IFERROR(INDEX(EXCEPCIONES_FECHA!$E$2:$E$201,MATCH(1,(EXCEPCIONES_FECHA!$A$2:$A$201=$A1541)*(EXCEPCIONES_FECHA!$B$2:$B$201=$B1541),0)),IFERROR(INDEX(EXCEPCIONES_FECHA!$E$2:$E$201,MATCH(1,(EXCEPCIONES_FECHA!$A$2:$A$201=$A1541)*(EXCEPCIONES_FECHA!$B$2:$B$201=""),0)),IFERROR(INDEX(IF($I1541="FIN",HISTORIAL_HORARIOS!$K$2:$K$201,HISTORIAL_HORARIOS!$G$2:$G$201),MATCH(1,(HISTORIAL_HORARIOS!$A$2:$A$201=$B1541)*(HISTORIAL_HORARIOS!$C$2:$C$201&lt;=$A1541)*(HISTORIAL_HORARIOS!$D$2:$D$201&gt;=$A1541),0)),INDEX(IF($I1541="FIN",PERSONAL!$K$2:$K$80,PERSONAL!$G$2:$G$80),MATCH($B1541,PERSONAL!$A$2:$A$80,0)))))</f>
        <v/>
      </c>
      <c r="O1541" s="53">
        <f t="array" ref="O1541">IFERROR(INDEX(EXCEPCIONES_FECHA!$F$2:$F$201,MATCH(1,(EXCEPCIONES_FECHA!$A$2:$A$201=$A1541)*(EXCEPCIONES_FECHA!$B$2:$B$201=$B1541),0)),IFERROR(INDEX(EXCEPCIONES_FECHA!$F$2:$F$201,MATCH(1,(EXCEPCIONES_FECHA!$A$2:$A$201=$A1541)*(EXCEPCIONES_FECHA!$B$2:$B$201=""),0)),IFERROR(INDEX(IF($I1541="FIN",HISTORIAL_HORARIOS!$L$2:$L$201,HISTORIAL_HORARIOS!$H$2:$H$201),MATCH(1,(HISTORIAL_HORARIOS!$A$2:$A$201=$B1541)*(HISTORIAL_HORARIOS!$C$2:$C$201&lt;=$A1541)*(HISTORIAL_HORARIOS!$D$2:$D$201&gt;=$A1541),0)),INDEX(IF($I1541="FIN",PERSONAL!$L$2:$L$80,PERSONAL!$H$2:$H$80),MATCH($B1541,PERSONAL!$A$2:$A$80,0)))))</f>
        <v/>
      </c>
    </row>
    <row r="1542" ht="15" customHeight="1" s="58">
      <c r="A1542" s="40" t="n"/>
      <c r="B1542" s="38" t="n"/>
      <c r="C1542" s="40" t="n"/>
      <c r="D1542" s="40" t="n"/>
      <c r="E1542" s="34">
        <f t="array" ref="E1542">IF($B1542="","",IFERROR(INDEX(PERSONAL!$B$2:$B$80,MATCH($B1542,PERSONAL!$A$2:$A$80,0)),"NO EXISTE"))</f>
        <v/>
      </c>
      <c r="F1542" s="34">
        <f t="array" ref="F1542">IF($B1542="","",IFERROR(INDEX(PERSONAL!$C$2:$C$80,MATCH($B1542,PERSONAL!$A$2:$A$80,0)),""))</f>
        <v/>
      </c>
      <c r="G1542" s="34">
        <f>IF($A1542="","",CHOOSE(WEEKDAY($A1542,2),"LUNES","MARTES","MIÉRCOLES","JUEVES","VIERNES","SÁBADO","DOMINGO"))</f>
        <v/>
      </c>
      <c r="H1542" s="34">
        <f>IF($A1542="","",CHOOSE(MONTH($A1542),"ENERO","FEBRERO","MARZO","ABRIL","MAYO","JUNIO","JULIO","AGOSTO","SEPTIEMBRE","OCTUBRE","NOVIEMBRE","DICIEMBRE"))</f>
        <v/>
      </c>
      <c r="I1542" s="34">
        <f>IF($A1542="","",IF(OR($G1542="SÁBADO",$G1542="DOMINGO"),"FIN","LV"))</f>
        <v/>
      </c>
      <c r="J1542" s="34">
        <f>IF(OR($A1542="",$B1542=""),"",IF($L1542&lt;&gt;"",UPPER($L1542),IF($C1542="","FALTA",IFERROR(IF($C1542&gt;=$O1542,"ROJO FUERTE",IF($C1542&gt;=$N1542,"ROJO",IF($C1542&gt;=$M1542,"AMARILLO","VERDE"))),"REVISAR"))))</f>
        <v/>
      </c>
      <c r="K1542" s="36">
        <f>IF(OR($C1542="",$D1542=""),"",IF($D1542&gt;=$C1542,($D1542-$C1542)*24,(1-$C1542+$D1542)*24))</f>
        <v/>
      </c>
      <c r="L1542" s="34" t="n"/>
      <c r="M1542" s="53">
        <f t="array" ref="M1542">IFERROR(INDEX(EXCEPCIONES_FECHA!$D$2:$D$201,MATCH(1,(EXCEPCIONES_FECHA!$A$2:$A$201=$A1542)*(EXCEPCIONES_FECHA!$B$2:$B$201=$B1542),0)),IFERROR(INDEX(EXCEPCIONES_FECHA!$D$2:$D$201,MATCH(1,(EXCEPCIONES_FECHA!$A$2:$A$201=$A1542)*(EXCEPCIONES_FECHA!$B$2:$B$201=""),0)),IFERROR(INDEX(IF($I1542="FIN",HISTORIAL_HORARIOS!$J$2:$J$201,HISTORIAL_HORARIOS!$F$2:$F$201),MATCH(1,(HISTORIAL_HORARIOS!$A$2:$A$201=$B1542)*(HISTORIAL_HORARIOS!$C$2:$C$201&lt;=$A1542)*(HISTORIAL_HORARIOS!$D$2:$D$201&gt;=$A1542),0)),INDEX(IF($I1542="FIN",PERSONAL!$J$2:$J$80,PERSONAL!$F$2:$F$80),MATCH($B1542,PERSONAL!$A$2:$A$80,0)))))</f>
        <v/>
      </c>
      <c r="N1542" s="53">
        <f t="array" ref="N1542">IFERROR(INDEX(EXCEPCIONES_FECHA!$E$2:$E$201,MATCH(1,(EXCEPCIONES_FECHA!$A$2:$A$201=$A1542)*(EXCEPCIONES_FECHA!$B$2:$B$201=$B1542),0)),IFERROR(INDEX(EXCEPCIONES_FECHA!$E$2:$E$201,MATCH(1,(EXCEPCIONES_FECHA!$A$2:$A$201=$A1542)*(EXCEPCIONES_FECHA!$B$2:$B$201=""),0)),IFERROR(INDEX(IF($I1542="FIN",HISTORIAL_HORARIOS!$K$2:$K$201,HISTORIAL_HORARIOS!$G$2:$G$201),MATCH(1,(HISTORIAL_HORARIOS!$A$2:$A$201=$B1542)*(HISTORIAL_HORARIOS!$C$2:$C$201&lt;=$A1542)*(HISTORIAL_HORARIOS!$D$2:$D$201&gt;=$A1542),0)),INDEX(IF($I1542="FIN",PERSONAL!$K$2:$K$80,PERSONAL!$G$2:$G$80),MATCH($B1542,PERSONAL!$A$2:$A$80,0)))))</f>
        <v/>
      </c>
      <c r="O1542" s="53">
        <f t="array" ref="O1542">IFERROR(INDEX(EXCEPCIONES_FECHA!$F$2:$F$201,MATCH(1,(EXCEPCIONES_FECHA!$A$2:$A$201=$A1542)*(EXCEPCIONES_FECHA!$B$2:$B$201=$B1542),0)),IFERROR(INDEX(EXCEPCIONES_FECHA!$F$2:$F$201,MATCH(1,(EXCEPCIONES_FECHA!$A$2:$A$201=$A1542)*(EXCEPCIONES_FECHA!$B$2:$B$201=""),0)),IFERROR(INDEX(IF($I1542="FIN",HISTORIAL_HORARIOS!$L$2:$L$201,HISTORIAL_HORARIOS!$H$2:$H$201),MATCH(1,(HISTORIAL_HORARIOS!$A$2:$A$201=$B1542)*(HISTORIAL_HORARIOS!$C$2:$C$201&lt;=$A1542)*(HISTORIAL_HORARIOS!$D$2:$D$201&gt;=$A1542),0)),INDEX(IF($I1542="FIN",PERSONAL!$L$2:$L$80,PERSONAL!$H$2:$H$80),MATCH($B1542,PERSONAL!$A$2:$A$80,0)))))</f>
        <v/>
      </c>
    </row>
    <row r="1543" ht="15" customHeight="1" s="58">
      <c r="A1543" s="40" t="n"/>
      <c r="B1543" s="38" t="n"/>
      <c r="C1543" s="40" t="n"/>
      <c r="D1543" s="40" t="n"/>
      <c r="E1543" s="34">
        <f t="array" ref="E1543">IF($B1543="","",IFERROR(INDEX(PERSONAL!$B$2:$B$80,MATCH($B1543,PERSONAL!$A$2:$A$80,0)),"NO EXISTE"))</f>
        <v/>
      </c>
      <c r="F1543" s="34">
        <f t="array" ref="F1543">IF($B1543="","",IFERROR(INDEX(PERSONAL!$C$2:$C$80,MATCH($B1543,PERSONAL!$A$2:$A$80,0)),""))</f>
        <v/>
      </c>
      <c r="G1543" s="34">
        <f>IF($A1543="","",CHOOSE(WEEKDAY($A1543,2),"LUNES","MARTES","MIÉRCOLES","JUEVES","VIERNES","SÁBADO","DOMINGO"))</f>
        <v/>
      </c>
      <c r="H1543" s="34">
        <f>IF($A1543="","",CHOOSE(MONTH($A1543),"ENERO","FEBRERO","MARZO","ABRIL","MAYO","JUNIO","JULIO","AGOSTO","SEPTIEMBRE","OCTUBRE","NOVIEMBRE","DICIEMBRE"))</f>
        <v/>
      </c>
      <c r="I1543" s="34">
        <f>IF($A1543="","",IF(OR($G1543="SÁBADO",$G1543="DOMINGO"),"FIN","LV"))</f>
        <v/>
      </c>
      <c r="J1543" s="34">
        <f>IF(OR($A1543="",$B1543=""),"",IF($L1543&lt;&gt;"",UPPER($L1543),IF($C1543="","FALTA",IFERROR(IF($C1543&gt;=$O1543,"ROJO FUERTE",IF($C1543&gt;=$N1543,"ROJO",IF($C1543&gt;=$M1543,"AMARILLO","VERDE"))),"REVISAR"))))</f>
        <v/>
      </c>
      <c r="K1543" s="36">
        <f>IF(OR($C1543="",$D1543=""),"",IF($D1543&gt;=$C1543,($D1543-$C1543)*24,(1-$C1543+$D1543)*24))</f>
        <v/>
      </c>
      <c r="L1543" s="34" t="n"/>
      <c r="M1543" s="53">
        <f t="array" ref="M1543">IFERROR(INDEX(EXCEPCIONES_FECHA!$D$2:$D$201,MATCH(1,(EXCEPCIONES_FECHA!$A$2:$A$201=$A1543)*(EXCEPCIONES_FECHA!$B$2:$B$201=$B1543),0)),IFERROR(INDEX(EXCEPCIONES_FECHA!$D$2:$D$201,MATCH(1,(EXCEPCIONES_FECHA!$A$2:$A$201=$A1543)*(EXCEPCIONES_FECHA!$B$2:$B$201=""),0)),IFERROR(INDEX(IF($I1543="FIN",HISTORIAL_HORARIOS!$J$2:$J$201,HISTORIAL_HORARIOS!$F$2:$F$201),MATCH(1,(HISTORIAL_HORARIOS!$A$2:$A$201=$B1543)*(HISTORIAL_HORARIOS!$C$2:$C$201&lt;=$A1543)*(HISTORIAL_HORARIOS!$D$2:$D$201&gt;=$A1543),0)),INDEX(IF($I1543="FIN",PERSONAL!$J$2:$J$80,PERSONAL!$F$2:$F$80),MATCH($B1543,PERSONAL!$A$2:$A$80,0)))))</f>
        <v/>
      </c>
      <c r="N1543" s="53">
        <f t="array" ref="N1543">IFERROR(INDEX(EXCEPCIONES_FECHA!$E$2:$E$201,MATCH(1,(EXCEPCIONES_FECHA!$A$2:$A$201=$A1543)*(EXCEPCIONES_FECHA!$B$2:$B$201=$B1543),0)),IFERROR(INDEX(EXCEPCIONES_FECHA!$E$2:$E$201,MATCH(1,(EXCEPCIONES_FECHA!$A$2:$A$201=$A1543)*(EXCEPCIONES_FECHA!$B$2:$B$201=""),0)),IFERROR(INDEX(IF($I1543="FIN",HISTORIAL_HORARIOS!$K$2:$K$201,HISTORIAL_HORARIOS!$G$2:$G$201),MATCH(1,(HISTORIAL_HORARIOS!$A$2:$A$201=$B1543)*(HISTORIAL_HORARIOS!$C$2:$C$201&lt;=$A1543)*(HISTORIAL_HORARIOS!$D$2:$D$201&gt;=$A1543),0)),INDEX(IF($I1543="FIN",PERSONAL!$K$2:$K$80,PERSONAL!$G$2:$G$80),MATCH($B1543,PERSONAL!$A$2:$A$80,0)))))</f>
        <v/>
      </c>
      <c r="O1543" s="53">
        <f t="array" ref="O1543">IFERROR(INDEX(EXCEPCIONES_FECHA!$F$2:$F$201,MATCH(1,(EXCEPCIONES_FECHA!$A$2:$A$201=$A1543)*(EXCEPCIONES_FECHA!$B$2:$B$201=$B1543),0)),IFERROR(INDEX(EXCEPCIONES_FECHA!$F$2:$F$201,MATCH(1,(EXCEPCIONES_FECHA!$A$2:$A$201=$A1543)*(EXCEPCIONES_FECHA!$B$2:$B$201=""),0)),IFERROR(INDEX(IF($I1543="FIN",HISTORIAL_HORARIOS!$L$2:$L$201,HISTORIAL_HORARIOS!$H$2:$H$201),MATCH(1,(HISTORIAL_HORARIOS!$A$2:$A$201=$B1543)*(HISTORIAL_HORARIOS!$C$2:$C$201&lt;=$A1543)*(HISTORIAL_HORARIOS!$D$2:$D$201&gt;=$A1543),0)),INDEX(IF($I1543="FIN",PERSONAL!$L$2:$L$80,PERSONAL!$H$2:$H$80),MATCH($B1543,PERSONAL!$A$2:$A$80,0)))))</f>
        <v/>
      </c>
    </row>
    <row r="1544" ht="15" customHeight="1" s="58">
      <c r="A1544" s="40" t="n"/>
      <c r="B1544" s="38" t="n"/>
      <c r="C1544" s="40" t="n"/>
      <c r="D1544" s="40" t="n"/>
      <c r="E1544" s="34">
        <f t="array" ref="E1544">IF($B1544="","",IFERROR(INDEX(PERSONAL!$B$2:$B$80,MATCH($B1544,PERSONAL!$A$2:$A$80,0)),"NO EXISTE"))</f>
        <v/>
      </c>
      <c r="F1544" s="34">
        <f t="array" ref="F1544">IF($B1544="","",IFERROR(INDEX(PERSONAL!$C$2:$C$80,MATCH($B1544,PERSONAL!$A$2:$A$80,0)),""))</f>
        <v/>
      </c>
      <c r="G1544" s="34">
        <f>IF($A1544="","",CHOOSE(WEEKDAY($A1544,2),"LUNES","MARTES","MIÉRCOLES","JUEVES","VIERNES","SÁBADO","DOMINGO"))</f>
        <v/>
      </c>
      <c r="H1544" s="34">
        <f>IF($A1544="","",CHOOSE(MONTH($A1544),"ENERO","FEBRERO","MARZO","ABRIL","MAYO","JUNIO","JULIO","AGOSTO","SEPTIEMBRE","OCTUBRE","NOVIEMBRE","DICIEMBRE"))</f>
        <v/>
      </c>
      <c r="I1544" s="34">
        <f>IF($A1544="","",IF(OR($G1544="SÁBADO",$G1544="DOMINGO"),"FIN","LV"))</f>
        <v/>
      </c>
      <c r="J1544" s="34">
        <f>IF(OR($A1544="",$B1544=""),"",IF($L1544&lt;&gt;"",UPPER($L1544),IF($C1544="","FALTA",IFERROR(IF($C1544&gt;=$O1544,"ROJO FUERTE",IF($C1544&gt;=$N1544,"ROJO",IF($C1544&gt;=$M1544,"AMARILLO","VERDE"))),"REVISAR"))))</f>
        <v/>
      </c>
      <c r="K1544" s="36">
        <f>IF(OR($C1544="",$D1544=""),"",IF($D1544&gt;=$C1544,($D1544-$C1544)*24,(1-$C1544+$D1544)*24))</f>
        <v/>
      </c>
      <c r="L1544" s="34" t="n"/>
      <c r="M1544" s="53">
        <f t="array" ref="M1544">IFERROR(INDEX(EXCEPCIONES_FECHA!$D$2:$D$201,MATCH(1,(EXCEPCIONES_FECHA!$A$2:$A$201=$A1544)*(EXCEPCIONES_FECHA!$B$2:$B$201=$B1544),0)),IFERROR(INDEX(EXCEPCIONES_FECHA!$D$2:$D$201,MATCH(1,(EXCEPCIONES_FECHA!$A$2:$A$201=$A1544)*(EXCEPCIONES_FECHA!$B$2:$B$201=""),0)),IFERROR(INDEX(IF($I1544="FIN",HISTORIAL_HORARIOS!$J$2:$J$201,HISTORIAL_HORARIOS!$F$2:$F$201),MATCH(1,(HISTORIAL_HORARIOS!$A$2:$A$201=$B1544)*(HISTORIAL_HORARIOS!$C$2:$C$201&lt;=$A1544)*(HISTORIAL_HORARIOS!$D$2:$D$201&gt;=$A1544),0)),INDEX(IF($I1544="FIN",PERSONAL!$J$2:$J$80,PERSONAL!$F$2:$F$80),MATCH($B1544,PERSONAL!$A$2:$A$80,0)))))</f>
        <v/>
      </c>
      <c r="N1544" s="53">
        <f t="array" ref="N1544">IFERROR(INDEX(EXCEPCIONES_FECHA!$E$2:$E$201,MATCH(1,(EXCEPCIONES_FECHA!$A$2:$A$201=$A1544)*(EXCEPCIONES_FECHA!$B$2:$B$201=$B1544),0)),IFERROR(INDEX(EXCEPCIONES_FECHA!$E$2:$E$201,MATCH(1,(EXCEPCIONES_FECHA!$A$2:$A$201=$A1544)*(EXCEPCIONES_FECHA!$B$2:$B$201=""),0)),IFERROR(INDEX(IF($I1544="FIN",HISTORIAL_HORARIOS!$K$2:$K$201,HISTORIAL_HORARIOS!$G$2:$G$201),MATCH(1,(HISTORIAL_HORARIOS!$A$2:$A$201=$B1544)*(HISTORIAL_HORARIOS!$C$2:$C$201&lt;=$A1544)*(HISTORIAL_HORARIOS!$D$2:$D$201&gt;=$A1544),0)),INDEX(IF($I1544="FIN",PERSONAL!$K$2:$K$80,PERSONAL!$G$2:$G$80),MATCH($B1544,PERSONAL!$A$2:$A$80,0)))))</f>
        <v/>
      </c>
      <c r="O1544" s="53">
        <f t="array" ref="O1544">IFERROR(INDEX(EXCEPCIONES_FECHA!$F$2:$F$201,MATCH(1,(EXCEPCIONES_FECHA!$A$2:$A$201=$A1544)*(EXCEPCIONES_FECHA!$B$2:$B$201=$B1544),0)),IFERROR(INDEX(EXCEPCIONES_FECHA!$F$2:$F$201,MATCH(1,(EXCEPCIONES_FECHA!$A$2:$A$201=$A1544)*(EXCEPCIONES_FECHA!$B$2:$B$201=""),0)),IFERROR(INDEX(IF($I1544="FIN",HISTORIAL_HORARIOS!$L$2:$L$201,HISTORIAL_HORARIOS!$H$2:$H$201),MATCH(1,(HISTORIAL_HORARIOS!$A$2:$A$201=$B1544)*(HISTORIAL_HORARIOS!$C$2:$C$201&lt;=$A1544)*(HISTORIAL_HORARIOS!$D$2:$D$201&gt;=$A1544),0)),INDEX(IF($I1544="FIN",PERSONAL!$L$2:$L$80,PERSONAL!$H$2:$H$80),MATCH($B1544,PERSONAL!$A$2:$A$80,0)))))</f>
        <v/>
      </c>
    </row>
    <row r="1545" ht="15" customHeight="1" s="58">
      <c r="A1545" s="40" t="n"/>
      <c r="B1545" s="38" t="n"/>
      <c r="C1545" s="40" t="n"/>
      <c r="D1545" s="40" t="n"/>
      <c r="E1545" s="34">
        <f t="array" ref="E1545">IF($B1545="","",IFERROR(INDEX(PERSONAL!$B$2:$B$80,MATCH($B1545,PERSONAL!$A$2:$A$80,0)),"NO EXISTE"))</f>
        <v/>
      </c>
      <c r="F1545" s="34">
        <f t="array" ref="F1545">IF($B1545="","",IFERROR(INDEX(PERSONAL!$C$2:$C$80,MATCH($B1545,PERSONAL!$A$2:$A$80,0)),""))</f>
        <v/>
      </c>
      <c r="G1545" s="34">
        <f>IF($A1545="","",CHOOSE(WEEKDAY($A1545,2),"LUNES","MARTES","MIÉRCOLES","JUEVES","VIERNES","SÁBADO","DOMINGO"))</f>
        <v/>
      </c>
      <c r="H1545" s="34">
        <f>IF($A1545="","",CHOOSE(MONTH($A1545),"ENERO","FEBRERO","MARZO","ABRIL","MAYO","JUNIO","JULIO","AGOSTO","SEPTIEMBRE","OCTUBRE","NOVIEMBRE","DICIEMBRE"))</f>
        <v/>
      </c>
      <c r="I1545" s="34">
        <f>IF($A1545="","",IF(OR($G1545="SÁBADO",$G1545="DOMINGO"),"FIN","LV"))</f>
        <v/>
      </c>
      <c r="J1545" s="34">
        <f>IF(OR($A1545="",$B1545=""),"",IF($L1545&lt;&gt;"",UPPER($L1545),IF($C1545="","FALTA",IFERROR(IF($C1545&gt;=$O1545,"ROJO FUERTE",IF($C1545&gt;=$N1545,"ROJO",IF($C1545&gt;=$M1545,"AMARILLO","VERDE"))),"REVISAR"))))</f>
        <v/>
      </c>
      <c r="K1545" s="36">
        <f>IF(OR($C1545="",$D1545=""),"",IF($D1545&gt;=$C1545,($D1545-$C1545)*24,(1-$C1545+$D1545)*24))</f>
        <v/>
      </c>
      <c r="L1545" s="34" t="n"/>
      <c r="M1545" s="53">
        <f t="array" ref="M1545">IFERROR(INDEX(EXCEPCIONES_FECHA!$D$2:$D$201,MATCH(1,(EXCEPCIONES_FECHA!$A$2:$A$201=$A1545)*(EXCEPCIONES_FECHA!$B$2:$B$201=$B1545),0)),IFERROR(INDEX(EXCEPCIONES_FECHA!$D$2:$D$201,MATCH(1,(EXCEPCIONES_FECHA!$A$2:$A$201=$A1545)*(EXCEPCIONES_FECHA!$B$2:$B$201=""),0)),IFERROR(INDEX(IF($I1545="FIN",HISTORIAL_HORARIOS!$J$2:$J$201,HISTORIAL_HORARIOS!$F$2:$F$201),MATCH(1,(HISTORIAL_HORARIOS!$A$2:$A$201=$B1545)*(HISTORIAL_HORARIOS!$C$2:$C$201&lt;=$A1545)*(HISTORIAL_HORARIOS!$D$2:$D$201&gt;=$A1545),0)),INDEX(IF($I1545="FIN",PERSONAL!$J$2:$J$80,PERSONAL!$F$2:$F$80),MATCH($B1545,PERSONAL!$A$2:$A$80,0)))))</f>
        <v/>
      </c>
      <c r="N1545" s="53">
        <f t="array" ref="N1545">IFERROR(INDEX(EXCEPCIONES_FECHA!$E$2:$E$201,MATCH(1,(EXCEPCIONES_FECHA!$A$2:$A$201=$A1545)*(EXCEPCIONES_FECHA!$B$2:$B$201=$B1545),0)),IFERROR(INDEX(EXCEPCIONES_FECHA!$E$2:$E$201,MATCH(1,(EXCEPCIONES_FECHA!$A$2:$A$201=$A1545)*(EXCEPCIONES_FECHA!$B$2:$B$201=""),0)),IFERROR(INDEX(IF($I1545="FIN",HISTORIAL_HORARIOS!$K$2:$K$201,HISTORIAL_HORARIOS!$G$2:$G$201),MATCH(1,(HISTORIAL_HORARIOS!$A$2:$A$201=$B1545)*(HISTORIAL_HORARIOS!$C$2:$C$201&lt;=$A1545)*(HISTORIAL_HORARIOS!$D$2:$D$201&gt;=$A1545),0)),INDEX(IF($I1545="FIN",PERSONAL!$K$2:$K$80,PERSONAL!$G$2:$G$80),MATCH($B1545,PERSONAL!$A$2:$A$80,0)))))</f>
        <v/>
      </c>
      <c r="O1545" s="53">
        <f t="array" ref="O1545">IFERROR(INDEX(EXCEPCIONES_FECHA!$F$2:$F$201,MATCH(1,(EXCEPCIONES_FECHA!$A$2:$A$201=$A1545)*(EXCEPCIONES_FECHA!$B$2:$B$201=$B1545),0)),IFERROR(INDEX(EXCEPCIONES_FECHA!$F$2:$F$201,MATCH(1,(EXCEPCIONES_FECHA!$A$2:$A$201=$A1545)*(EXCEPCIONES_FECHA!$B$2:$B$201=""),0)),IFERROR(INDEX(IF($I1545="FIN",HISTORIAL_HORARIOS!$L$2:$L$201,HISTORIAL_HORARIOS!$H$2:$H$201),MATCH(1,(HISTORIAL_HORARIOS!$A$2:$A$201=$B1545)*(HISTORIAL_HORARIOS!$C$2:$C$201&lt;=$A1545)*(HISTORIAL_HORARIOS!$D$2:$D$201&gt;=$A1545),0)),INDEX(IF($I1545="FIN",PERSONAL!$L$2:$L$80,PERSONAL!$H$2:$H$80),MATCH($B1545,PERSONAL!$A$2:$A$80,0)))))</f>
        <v/>
      </c>
    </row>
    <row r="1546" ht="15" customHeight="1" s="58">
      <c r="A1546" s="40" t="n"/>
      <c r="B1546" s="38" t="n"/>
      <c r="C1546" s="40" t="n"/>
      <c r="D1546" s="40" t="n"/>
      <c r="E1546" s="34">
        <f t="array" ref="E1546">IF($B1546="","",IFERROR(INDEX(PERSONAL!$B$2:$B$80,MATCH($B1546,PERSONAL!$A$2:$A$80,0)),"NO EXISTE"))</f>
        <v/>
      </c>
      <c r="F1546" s="34">
        <f t="array" ref="F1546">IF($B1546="","",IFERROR(INDEX(PERSONAL!$C$2:$C$80,MATCH($B1546,PERSONAL!$A$2:$A$80,0)),""))</f>
        <v/>
      </c>
      <c r="G1546" s="34">
        <f>IF($A1546="","",CHOOSE(WEEKDAY($A1546,2),"LUNES","MARTES","MIÉRCOLES","JUEVES","VIERNES","SÁBADO","DOMINGO"))</f>
        <v/>
      </c>
      <c r="H1546" s="34">
        <f>IF($A1546="","",CHOOSE(MONTH($A1546),"ENERO","FEBRERO","MARZO","ABRIL","MAYO","JUNIO","JULIO","AGOSTO","SEPTIEMBRE","OCTUBRE","NOVIEMBRE","DICIEMBRE"))</f>
        <v/>
      </c>
      <c r="I1546" s="34">
        <f>IF($A1546="","",IF(OR($G1546="SÁBADO",$G1546="DOMINGO"),"FIN","LV"))</f>
        <v/>
      </c>
      <c r="J1546" s="34">
        <f>IF(OR($A1546="",$B1546=""),"",IF($L1546&lt;&gt;"",UPPER($L1546),IF($C1546="","FALTA",IFERROR(IF($C1546&gt;=$O1546,"ROJO FUERTE",IF($C1546&gt;=$N1546,"ROJO",IF($C1546&gt;=$M1546,"AMARILLO","VERDE"))),"REVISAR"))))</f>
        <v/>
      </c>
      <c r="K1546" s="36">
        <f>IF(OR($C1546="",$D1546=""),"",IF($D1546&gt;=$C1546,($D1546-$C1546)*24,(1-$C1546+$D1546)*24))</f>
        <v/>
      </c>
      <c r="L1546" s="34" t="n"/>
      <c r="M1546" s="53">
        <f t="array" ref="M1546">IFERROR(INDEX(EXCEPCIONES_FECHA!$D$2:$D$201,MATCH(1,(EXCEPCIONES_FECHA!$A$2:$A$201=$A1546)*(EXCEPCIONES_FECHA!$B$2:$B$201=$B1546),0)),IFERROR(INDEX(EXCEPCIONES_FECHA!$D$2:$D$201,MATCH(1,(EXCEPCIONES_FECHA!$A$2:$A$201=$A1546)*(EXCEPCIONES_FECHA!$B$2:$B$201=""),0)),IFERROR(INDEX(IF($I1546="FIN",HISTORIAL_HORARIOS!$J$2:$J$201,HISTORIAL_HORARIOS!$F$2:$F$201),MATCH(1,(HISTORIAL_HORARIOS!$A$2:$A$201=$B1546)*(HISTORIAL_HORARIOS!$C$2:$C$201&lt;=$A1546)*(HISTORIAL_HORARIOS!$D$2:$D$201&gt;=$A1546),0)),INDEX(IF($I1546="FIN",PERSONAL!$J$2:$J$80,PERSONAL!$F$2:$F$80),MATCH($B1546,PERSONAL!$A$2:$A$80,0)))))</f>
        <v/>
      </c>
      <c r="N1546" s="53">
        <f t="array" ref="N1546">IFERROR(INDEX(EXCEPCIONES_FECHA!$E$2:$E$201,MATCH(1,(EXCEPCIONES_FECHA!$A$2:$A$201=$A1546)*(EXCEPCIONES_FECHA!$B$2:$B$201=$B1546),0)),IFERROR(INDEX(EXCEPCIONES_FECHA!$E$2:$E$201,MATCH(1,(EXCEPCIONES_FECHA!$A$2:$A$201=$A1546)*(EXCEPCIONES_FECHA!$B$2:$B$201=""),0)),IFERROR(INDEX(IF($I1546="FIN",HISTORIAL_HORARIOS!$K$2:$K$201,HISTORIAL_HORARIOS!$G$2:$G$201),MATCH(1,(HISTORIAL_HORARIOS!$A$2:$A$201=$B1546)*(HISTORIAL_HORARIOS!$C$2:$C$201&lt;=$A1546)*(HISTORIAL_HORARIOS!$D$2:$D$201&gt;=$A1546),0)),INDEX(IF($I1546="FIN",PERSONAL!$K$2:$K$80,PERSONAL!$G$2:$G$80),MATCH($B1546,PERSONAL!$A$2:$A$80,0)))))</f>
        <v/>
      </c>
      <c r="O1546" s="53">
        <f t="array" ref="O1546">IFERROR(INDEX(EXCEPCIONES_FECHA!$F$2:$F$201,MATCH(1,(EXCEPCIONES_FECHA!$A$2:$A$201=$A1546)*(EXCEPCIONES_FECHA!$B$2:$B$201=$B1546),0)),IFERROR(INDEX(EXCEPCIONES_FECHA!$F$2:$F$201,MATCH(1,(EXCEPCIONES_FECHA!$A$2:$A$201=$A1546)*(EXCEPCIONES_FECHA!$B$2:$B$201=""),0)),IFERROR(INDEX(IF($I1546="FIN",HISTORIAL_HORARIOS!$L$2:$L$201,HISTORIAL_HORARIOS!$H$2:$H$201),MATCH(1,(HISTORIAL_HORARIOS!$A$2:$A$201=$B1546)*(HISTORIAL_HORARIOS!$C$2:$C$201&lt;=$A1546)*(HISTORIAL_HORARIOS!$D$2:$D$201&gt;=$A1546),0)),INDEX(IF($I1546="FIN",PERSONAL!$L$2:$L$80,PERSONAL!$H$2:$H$80),MATCH($B1546,PERSONAL!$A$2:$A$80,0)))))</f>
        <v/>
      </c>
    </row>
    <row r="1547" ht="15" customHeight="1" s="58">
      <c r="A1547" s="40" t="n"/>
      <c r="B1547" s="38" t="n"/>
      <c r="C1547" s="40" t="n"/>
      <c r="D1547" s="40" t="n"/>
      <c r="E1547" s="34">
        <f t="array" ref="E1547">IF($B1547="","",IFERROR(INDEX(PERSONAL!$B$2:$B$80,MATCH($B1547,PERSONAL!$A$2:$A$80,0)),"NO EXISTE"))</f>
        <v/>
      </c>
      <c r="F1547" s="34">
        <f t="array" ref="F1547">IF($B1547="","",IFERROR(INDEX(PERSONAL!$C$2:$C$80,MATCH($B1547,PERSONAL!$A$2:$A$80,0)),""))</f>
        <v/>
      </c>
      <c r="G1547" s="34">
        <f>IF($A1547="","",CHOOSE(WEEKDAY($A1547,2),"LUNES","MARTES","MIÉRCOLES","JUEVES","VIERNES","SÁBADO","DOMINGO"))</f>
        <v/>
      </c>
      <c r="H1547" s="34">
        <f>IF($A1547="","",CHOOSE(MONTH($A1547),"ENERO","FEBRERO","MARZO","ABRIL","MAYO","JUNIO","JULIO","AGOSTO","SEPTIEMBRE","OCTUBRE","NOVIEMBRE","DICIEMBRE"))</f>
        <v/>
      </c>
      <c r="I1547" s="34">
        <f>IF($A1547="","",IF(OR($G1547="SÁBADO",$G1547="DOMINGO"),"FIN","LV"))</f>
        <v/>
      </c>
      <c r="J1547" s="34">
        <f>IF(OR($A1547="",$B1547=""),"",IF($L1547&lt;&gt;"",UPPER($L1547),IF($C1547="","FALTA",IFERROR(IF($C1547&gt;=$O1547,"ROJO FUERTE",IF($C1547&gt;=$N1547,"ROJO",IF($C1547&gt;=$M1547,"AMARILLO","VERDE"))),"REVISAR"))))</f>
        <v/>
      </c>
      <c r="K1547" s="36">
        <f>IF(OR($C1547="",$D1547=""),"",IF($D1547&gt;=$C1547,($D1547-$C1547)*24,(1-$C1547+$D1547)*24))</f>
        <v/>
      </c>
      <c r="L1547" s="34" t="n"/>
      <c r="M1547" s="53">
        <f t="array" ref="M1547">IFERROR(INDEX(EXCEPCIONES_FECHA!$D$2:$D$201,MATCH(1,(EXCEPCIONES_FECHA!$A$2:$A$201=$A1547)*(EXCEPCIONES_FECHA!$B$2:$B$201=$B1547),0)),IFERROR(INDEX(EXCEPCIONES_FECHA!$D$2:$D$201,MATCH(1,(EXCEPCIONES_FECHA!$A$2:$A$201=$A1547)*(EXCEPCIONES_FECHA!$B$2:$B$201=""),0)),IFERROR(INDEX(IF($I1547="FIN",HISTORIAL_HORARIOS!$J$2:$J$201,HISTORIAL_HORARIOS!$F$2:$F$201),MATCH(1,(HISTORIAL_HORARIOS!$A$2:$A$201=$B1547)*(HISTORIAL_HORARIOS!$C$2:$C$201&lt;=$A1547)*(HISTORIAL_HORARIOS!$D$2:$D$201&gt;=$A1547),0)),INDEX(IF($I1547="FIN",PERSONAL!$J$2:$J$80,PERSONAL!$F$2:$F$80),MATCH($B1547,PERSONAL!$A$2:$A$80,0)))))</f>
        <v/>
      </c>
      <c r="N1547" s="53">
        <f t="array" ref="N1547">IFERROR(INDEX(EXCEPCIONES_FECHA!$E$2:$E$201,MATCH(1,(EXCEPCIONES_FECHA!$A$2:$A$201=$A1547)*(EXCEPCIONES_FECHA!$B$2:$B$201=$B1547),0)),IFERROR(INDEX(EXCEPCIONES_FECHA!$E$2:$E$201,MATCH(1,(EXCEPCIONES_FECHA!$A$2:$A$201=$A1547)*(EXCEPCIONES_FECHA!$B$2:$B$201=""),0)),IFERROR(INDEX(IF($I1547="FIN",HISTORIAL_HORARIOS!$K$2:$K$201,HISTORIAL_HORARIOS!$G$2:$G$201),MATCH(1,(HISTORIAL_HORARIOS!$A$2:$A$201=$B1547)*(HISTORIAL_HORARIOS!$C$2:$C$201&lt;=$A1547)*(HISTORIAL_HORARIOS!$D$2:$D$201&gt;=$A1547),0)),INDEX(IF($I1547="FIN",PERSONAL!$K$2:$K$80,PERSONAL!$G$2:$G$80),MATCH($B1547,PERSONAL!$A$2:$A$80,0)))))</f>
        <v/>
      </c>
      <c r="O1547" s="53">
        <f t="array" ref="O1547">IFERROR(INDEX(EXCEPCIONES_FECHA!$F$2:$F$201,MATCH(1,(EXCEPCIONES_FECHA!$A$2:$A$201=$A1547)*(EXCEPCIONES_FECHA!$B$2:$B$201=$B1547),0)),IFERROR(INDEX(EXCEPCIONES_FECHA!$F$2:$F$201,MATCH(1,(EXCEPCIONES_FECHA!$A$2:$A$201=$A1547)*(EXCEPCIONES_FECHA!$B$2:$B$201=""),0)),IFERROR(INDEX(IF($I1547="FIN",HISTORIAL_HORARIOS!$L$2:$L$201,HISTORIAL_HORARIOS!$H$2:$H$201),MATCH(1,(HISTORIAL_HORARIOS!$A$2:$A$201=$B1547)*(HISTORIAL_HORARIOS!$C$2:$C$201&lt;=$A1547)*(HISTORIAL_HORARIOS!$D$2:$D$201&gt;=$A1547),0)),INDEX(IF($I1547="FIN",PERSONAL!$L$2:$L$80,PERSONAL!$H$2:$H$80),MATCH($B1547,PERSONAL!$A$2:$A$80,0)))))</f>
        <v/>
      </c>
    </row>
    <row r="1548" ht="15" customHeight="1" s="58">
      <c r="A1548" s="40" t="n"/>
      <c r="B1548" s="38" t="n"/>
      <c r="C1548" s="40" t="n"/>
      <c r="D1548" s="40" t="n"/>
      <c r="E1548" s="34">
        <f t="array" ref="E1548">IF($B1548="","",IFERROR(INDEX(PERSONAL!$B$2:$B$80,MATCH($B1548,PERSONAL!$A$2:$A$80,0)),"NO EXISTE"))</f>
        <v/>
      </c>
      <c r="F1548" s="34">
        <f t="array" ref="F1548">IF($B1548="","",IFERROR(INDEX(PERSONAL!$C$2:$C$80,MATCH($B1548,PERSONAL!$A$2:$A$80,0)),""))</f>
        <v/>
      </c>
      <c r="G1548" s="34">
        <f>IF($A1548="","",CHOOSE(WEEKDAY($A1548,2),"LUNES","MARTES","MIÉRCOLES","JUEVES","VIERNES","SÁBADO","DOMINGO"))</f>
        <v/>
      </c>
      <c r="H1548" s="34">
        <f>IF($A1548="","",CHOOSE(MONTH($A1548),"ENERO","FEBRERO","MARZO","ABRIL","MAYO","JUNIO","JULIO","AGOSTO","SEPTIEMBRE","OCTUBRE","NOVIEMBRE","DICIEMBRE"))</f>
        <v/>
      </c>
      <c r="I1548" s="34">
        <f>IF($A1548="","",IF(OR($G1548="SÁBADO",$G1548="DOMINGO"),"FIN","LV"))</f>
        <v/>
      </c>
      <c r="J1548" s="34">
        <f>IF(OR($A1548="",$B1548=""),"",IF($L1548&lt;&gt;"",UPPER($L1548),IF($C1548="","FALTA",IFERROR(IF($C1548&gt;=$O1548,"ROJO FUERTE",IF($C1548&gt;=$N1548,"ROJO",IF($C1548&gt;=$M1548,"AMARILLO","VERDE"))),"REVISAR"))))</f>
        <v/>
      </c>
      <c r="K1548" s="36">
        <f>IF(OR($C1548="",$D1548=""),"",IF($D1548&gt;=$C1548,($D1548-$C1548)*24,(1-$C1548+$D1548)*24))</f>
        <v/>
      </c>
      <c r="L1548" s="34" t="n"/>
      <c r="M1548" s="53">
        <f t="array" ref="M1548">IFERROR(INDEX(EXCEPCIONES_FECHA!$D$2:$D$201,MATCH(1,(EXCEPCIONES_FECHA!$A$2:$A$201=$A1548)*(EXCEPCIONES_FECHA!$B$2:$B$201=$B1548),0)),IFERROR(INDEX(EXCEPCIONES_FECHA!$D$2:$D$201,MATCH(1,(EXCEPCIONES_FECHA!$A$2:$A$201=$A1548)*(EXCEPCIONES_FECHA!$B$2:$B$201=""),0)),IFERROR(INDEX(IF($I1548="FIN",HISTORIAL_HORARIOS!$J$2:$J$201,HISTORIAL_HORARIOS!$F$2:$F$201),MATCH(1,(HISTORIAL_HORARIOS!$A$2:$A$201=$B1548)*(HISTORIAL_HORARIOS!$C$2:$C$201&lt;=$A1548)*(HISTORIAL_HORARIOS!$D$2:$D$201&gt;=$A1548),0)),INDEX(IF($I1548="FIN",PERSONAL!$J$2:$J$80,PERSONAL!$F$2:$F$80),MATCH($B1548,PERSONAL!$A$2:$A$80,0)))))</f>
        <v/>
      </c>
      <c r="N1548" s="53">
        <f t="array" ref="N1548">IFERROR(INDEX(EXCEPCIONES_FECHA!$E$2:$E$201,MATCH(1,(EXCEPCIONES_FECHA!$A$2:$A$201=$A1548)*(EXCEPCIONES_FECHA!$B$2:$B$201=$B1548),0)),IFERROR(INDEX(EXCEPCIONES_FECHA!$E$2:$E$201,MATCH(1,(EXCEPCIONES_FECHA!$A$2:$A$201=$A1548)*(EXCEPCIONES_FECHA!$B$2:$B$201=""),0)),IFERROR(INDEX(IF($I1548="FIN",HISTORIAL_HORARIOS!$K$2:$K$201,HISTORIAL_HORARIOS!$G$2:$G$201),MATCH(1,(HISTORIAL_HORARIOS!$A$2:$A$201=$B1548)*(HISTORIAL_HORARIOS!$C$2:$C$201&lt;=$A1548)*(HISTORIAL_HORARIOS!$D$2:$D$201&gt;=$A1548),0)),INDEX(IF($I1548="FIN",PERSONAL!$K$2:$K$80,PERSONAL!$G$2:$G$80),MATCH($B1548,PERSONAL!$A$2:$A$80,0)))))</f>
        <v/>
      </c>
      <c r="O1548" s="53">
        <f t="array" ref="O1548">IFERROR(INDEX(EXCEPCIONES_FECHA!$F$2:$F$201,MATCH(1,(EXCEPCIONES_FECHA!$A$2:$A$201=$A1548)*(EXCEPCIONES_FECHA!$B$2:$B$201=$B1548),0)),IFERROR(INDEX(EXCEPCIONES_FECHA!$F$2:$F$201,MATCH(1,(EXCEPCIONES_FECHA!$A$2:$A$201=$A1548)*(EXCEPCIONES_FECHA!$B$2:$B$201=""),0)),IFERROR(INDEX(IF($I1548="FIN",HISTORIAL_HORARIOS!$L$2:$L$201,HISTORIAL_HORARIOS!$H$2:$H$201),MATCH(1,(HISTORIAL_HORARIOS!$A$2:$A$201=$B1548)*(HISTORIAL_HORARIOS!$C$2:$C$201&lt;=$A1548)*(HISTORIAL_HORARIOS!$D$2:$D$201&gt;=$A1548),0)),INDEX(IF($I1548="FIN",PERSONAL!$L$2:$L$80,PERSONAL!$H$2:$H$80),MATCH($B1548,PERSONAL!$A$2:$A$80,0)))))</f>
        <v/>
      </c>
    </row>
    <row r="1549" ht="15" customHeight="1" s="58">
      <c r="A1549" s="40" t="n"/>
      <c r="B1549" s="38" t="n"/>
      <c r="C1549" s="40" t="n"/>
      <c r="D1549" s="40" t="n"/>
      <c r="E1549" s="34">
        <f t="array" ref="E1549">IF($B1549="","",IFERROR(INDEX(PERSONAL!$B$2:$B$80,MATCH($B1549,PERSONAL!$A$2:$A$80,0)),"NO EXISTE"))</f>
        <v/>
      </c>
      <c r="F1549" s="34">
        <f t="array" ref="F1549">IF($B1549="","",IFERROR(INDEX(PERSONAL!$C$2:$C$80,MATCH($B1549,PERSONAL!$A$2:$A$80,0)),""))</f>
        <v/>
      </c>
      <c r="G1549" s="34">
        <f>IF($A1549="","",CHOOSE(WEEKDAY($A1549,2),"LUNES","MARTES","MIÉRCOLES","JUEVES","VIERNES","SÁBADO","DOMINGO"))</f>
        <v/>
      </c>
      <c r="H1549" s="34">
        <f>IF($A1549="","",CHOOSE(MONTH($A1549),"ENERO","FEBRERO","MARZO","ABRIL","MAYO","JUNIO","JULIO","AGOSTO","SEPTIEMBRE","OCTUBRE","NOVIEMBRE","DICIEMBRE"))</f>
        <v/>
      </c>
      <c r="I1549" s="34">
        <f>IF($A1549="","",IF(OR($G1549="SÁBADO",$G1549="DOMINGO"),"FIN","LV"))</f>
        <v/>
      </c>
      <c r="J1549" s="34">
        <f>IF(OR($A1549="",$B1549=""),"",IF($L1549&lt;&gt;"",UPPER($L1549),IF($C1549="","FALTA",IFERROR(IF($C1549&gt;=$O1549,"ROJO FUERTE",IF($C1549&gt;=$N1549,"ROJO",IF($C1549&gt;=$M1549,"AMARILLO","VERDE"))),"REVISAR"))))</f>
        <v/>
      </c>
      <c r="K1549" s="36">
        <f>IF(OR($C1549="",$D1549=""),"",IF($D1549&gt;=$C1549,($D1549-$C1549)*24,(1-$C1549+$D1549)*24))</f>
        <v/>
      </c>
      <c r="L1549" s="34" t="n"/>
      <c r="M1549" s="53">
        <f t="array" ref="M1549">IFERROR(INDEX(EXCEPCIONES_FECHA!$D$2:$D$201,MATCH(1,(EXCEPCIONES_FECHA!$A$2:$A$201=$A1549)*(EXCEPCIONES_FECHA!$B$2:$B$201=$B1549),0)),IFERROR(INDEX(EXCEPCIONES_FECHA!$D$2:$D$201,MATCH(1,(EXCEPCIONES_FECHA!$A$2:$A$201=$A1549)*(EXCEPCIONES_FECHA!$B$2:$B$201=""),0)),IFERROR(INDEX(IF($I1549="FIN",HISTORIAL_HORARIOS!$J$2:$J$201,HISTORIAL_HORARIOS!$F$2:$F$201),MATCH(1,(HISTORIAL_HORARIOS!$A$2:$A$201=$B1549)*(HISTORIAL_HORARIOS!$C$2:$C$201&lt;=$A1549)*(HISTORIAL_HORARIOS!$D$2:$D$201&gt;=$A1549),0)),INDEX(IF($I1549="FIN",PERSONAL!$J$2:$J$80,PERSONAL!$F$2:$F$80),MATCH($B1549,PERSONAL!$A$2:$A$80,0)))))</f>
        <v/>
      </c>
      <c r="N1549" s="53">
        <f t="array" ref="N1549">IFERROR(INDEX(EXCEPCIONES_FECHA!$E$2:$E$201,MATCH(1,(EXCEPCIONES_FECHA!$A$2:$A$201=$A1549)*(EXCEPCIONES_FECHA!$B$2:$B$201=$B1549),0)),IFERROR(INDEX(EXCEPCIONES_FECHA!$E$2:$E$201,MATCH(1,(EXCEPCIONES_FECHA!$A$2:$A$201=$A1549)*(EXCEPCIONES_FECHA!$B$2:$B$201=""),0)),IFERROR(INDEX(IF($I1549="FIN",HISTORIAL_HORARIOS!$K$2:$K$201,HISTORIAL_HORARIOS!$G$2:$G$201),MATCH(1,(HISTORIAL_HORARIOS!$A$2:$A$201=$B1549)*(HISTORIAL_HORARIOS!$C$2:$C$201&lt;=$A1549)*(HISTORIAL_HORARIOS!$D$2:$D$201&gt;=$A1549),0)),INDEX(IF($I1549="FIN",PERSONAL!$K$2:$K$80,PERSONAL!$G$2:$G$80),MATCH($B1549,PERSONAL!$A$2:$A$80,0)))))</f>
        <v/>
      </c>
      <c r="O1549" s="53">
        <f t="array" ref="O1549">IFERROR(INDEX(EXCEPCIONES_FECHA!$F$2:$F$201,MATCH(1,(EXCEPCIONES_FECHA!$A$2:$A$201=$A1549)*(EXCEPCIONES_FECHA!$B$2:$B$201=$B1549),0)),IFERROR(INDEX(EXCEPCIONES_FECHA!$F$2:$F$201,MATCH(1,(EXCEPCIONES_FECHA!$A$2:$A$201=$A1549)*(EXCEPCIONES_FECHA!$B$2:$B$201=""),0)),IFERROR(INDEX(IF($I1549="FIN",HISTORIAL_HORARIOS!$L$2:$L$201,HISTORIAL_HORARIOS!$H$2:$H$201),MATCH(1,(HISTORIAL_HORARIOS!$A$2:$A$201=$B1549)*(HISTORIAL_HORARIOS!$C$2:$C$201&lt;=$A1549)*(HISTORIAL_HORARIOS!$D$2:$D$201&gt;=$A1549),0)),INDEX(IF($I1549="FIN",PERSONAL!$L$2:$L$80,PERSONAL!$H$2:$H$80),MATCH($B1549,PERSONAL!$A$2:$A$80,0)))))</f>
        <v/>
      </c>
    </row>
    <row r="1550" ht="15" customHeight="1" s="58">
      <c r="A1550" s="40" t="n"/>
      <c r="B1550" s="38" t="n"/>
      <c r="C1550" s="40" t="n"/>
      <c r="D1550" s="40" t="n"/>
      <c r="E1550" s="34">
        <f t="array" ref="E1550">IF($B1550="","",IFERROR(INDEX(PERSONAL!$B$2:$B$80,MATCH($B1550,PERSONAL!$A$2:$A$80,0)),"NO EXISTE"))</f>
        <v/>
      </c>
      <c r="F1550" s="34">
        <f t="array" ref="F1550">IF($B1550="","",IFERROR(INDEX(PERSONAL!$C$2:$C$80,MATCH($B1550,PERSONAL!$A$2:$A$80,0)),""))</f>
        <v/>
      </c>
      <c r="G1550" s="34">
        <f>IF($A1550="","",CHOOSE(WEEKDAY($A1550,2),"LUNES","MARTES","MIÉRCOLES","JUEVES","VIERNES","SÁBADO","DOMINGO"))</f>
        <v/>
      </c>
      <c r="H1550" s="34">
        <f>IF($A1550="","",CHOOSE(MONTH($A1550),"ENERO","FEBRERO","MARZO","ABRIL","MAYO","JUNIO","JULIO","AGOSTO","SEPTIEMBRE","OCTUBRE","NOVIEMBRE","DICIEMBRE"))</f>
        <v/>
      </c>
      <c r="I1550" s="34">
        <f>IF($A1550="","",IF(OR($G1550="SÁBADO",$G1550="DOMINGO"),"FIN","LV"))</f>
        <v/>
      </c>
      <c r="J1550" s="34">
        <f>IF(OR($A1550="",$B1550=""),"",IF($L1550&lt;&gt;"",UPPER($L1550),IF($C1550="","FALTA",IFERROR(IF($C1550&gt;=$O1550,"ROJO FUERTE",IF($C1550&gt;=$N1550,"ROJO",IF($C1550&gt;=$M1550,"AMARILLO","VERDE"))),"REVISAR"))))</f>
        <v/>
      </c>
      <c r="K1550" s="36">
        <f>IF(OR($C1550="",$D1550=""),"",IF($D1550&gt;=$C1550,($D1550-$C1550)*24,(1-$C1550+$D1550)*24))</f>
        <v/>
      </c>
      <c r="L1550" s="34" t="n"/>
      <c r="M1550" s="53">
        <f t="array" ref="M1550">IFERROR(INDEX(EXCEPCIONES_FECHA!$D$2:$D$201,MATCH(1,(EXCEPCIONES_FECHA!$A$2:$A$201=$A1550)*(EXCEPCIONES_FECHA!$B$2:$B$201=$B1550),0)),IFERROR(INDEX(EXCEPCIONES_FECHA!$D$2:$D$201,MATCH(1,(EXCEPCIONES_FECHA!$A$2:$A$201=$A1550)*(EXCEPCIONES_FECHA!$B$2:$B$201=""),0)),IFERROR(INDEX(IF($I1550="FIN",HISTORIAL_HORARIOS!$J$2:$J$201,HISTORIAL_HORARIOS!$F$2:$F$201),MATCH(1,(HISTORIAL_HORARIOS!$A$2:$A$201=$B1550)*(HISTORIAL_HORARIOS!$C$2:$C$201&lt;=$A1550)*(HISTORIAL_HORARIOS!$D$2:$D$201&gt;=$A1550),0)),INDEX(IF($I1550="FIN",PERSONAL!$J$2:$J$80,PERSONAL!$F$2:$F$80),MATCH($B1550,PERSONAL!$A$2:$A$80,0)))))</f>
        <v/>
      </c>
      <c r="N1550" s="53">
        <f t="array" ref="N1550">IFERROR(INDEX(EXCEPCIONES_FECHA!$E$2:$E$201,MATCH(1,(EXCEPCIONES_FECHA!$A$2:$A$201=$A1550)*(EXCEPCIONES_FECHA!$B$2:$B$201=$B1550),0)),IFERROR(INDEX(EXCEPCIONES_FECHA!$E$2:$E$201,MATCH(1,(EXCEPCIONES_FECHA!$A$2:$A$201=$A1550)*(EXCEPCIONES_FECHA!$B$2:$B$201=""),0)),IFERROR(INDEX(IF($I1550="FIN",HISTORIAL_HORARIOS!$K$2:$K$201,HISTORIAL_HORARIOS!$G$2:$G$201),MATCH(1,(HISTORIAL_HORARIOS!$A$2:$A$201=$B1550)*(HISTORIAL_HORARIOS!$C$2:$C$201&lt;=$A1550)*(HISTORIAL_HORARIOS!$D$2:$D$201&gt;=$A1550),0)),INDEX(IF($I1550="FIN",PERSONAL!$K$2:$K$80,PERSONAL!$G$2:$G$80),MATCH($B1550,PERSONAL!$A$2:$A$80,0)))))</f>
        <v/>
      </c>
      <c r="O1550" s="53">
        <f t="array" ref="O1550">IFERROR(INDEX(EXCEPCIONES_FECHA!$F$2:$F$201,MATCH(1,(EXCEPCIONES_FECHA!$A$2:$A$201=$A1550)*(EXCEPCIONES_FECHA!$B$2:$B$201=$B1550),0)),IFERROR(INDEX(EXCEPCIONES_FECHA!$F$2:$F$201,MATCH(1,(EXCEPCIONES_FECHA!$A$2:$A$201=$A1550)*(EXCEPCIONES_FECHA!$B$2:$B$201=""),0)),IFERROR(INDEX(IF($I1550="FIN",HISTORIAL_HORARIOS!$L$2:$L$201,HISTORIAL_HORARIOS!$H$2:$H$201),MATCH(1,(HISTORIAL_HORARIOS!$A$2:$A$201=$B1550)*(HISTORIAL_HORARIOS!$C$2:$C$201&lt;=$A1550)*(HISTORIAL_HORARIOS!$D$2:$D$201&gt;=$A1550),0)),INDEX(IF($I1550="FIN",PERSONAL!$L$2:$L$80,PERSONAL!$H$2:$H$80),MATCH($B1550,PERSONAL!$A$2:$A$80,0)))))</f>
        <v/>
      </c>
    </row>
    <row r="1551" ht="15" customHeight="1" s="58">
      <c r="A1551" s="40" t="n"/>
      <c r="B1551" s="38" t="n"/>
      <c r="C1551" s="40" t="n"/>
      <c r="D1551" s="40" t="n"/>
      <c r="E1551" s="34">
        <f t="array" ref="E1551">IF($B1551="","",IFERROR(INDEX(PERSONAL!$B$2:$B$80,MATCH($B1551,PERSONAL!$A$2:$A$80,0)),"NO EXISTE"))</f>
        <v/>
      </c>
      <c r="F1551" s="34">
        <f t="array" ref="F1551">IF($B1551="","",IFERROR(INDEX(PERSONAL!$C$2:$C$80,MATCH($B1551,PERSONAL!$A$2:$A$80,0)),""))</f>
        <v/>
      </c>
      <c r="G1551" s="34">
        <f>IF($A1551="","",CHOOSE(WEEKDAY($A1551,2),"LUNES","MARTES","MIÉRCOLES","JUEVES","VIERNES","SÁBADO","DOMINGO"))</f>
        <v/>
      </c>
      <c r="H1551" s="34">
        <f>IF($A1551="","",CHOOSE(MONTH($A1551),"ENERO","FEBRERO","MARZO","ABRIL","MAYO","JUNIO","JULIO","AGOSTO","SEPTIEMBRE","OCTUBRE","NOVIEMBRE","DICIEMBRE"))</f>
        <v/>
      </c>
      <c r="I1551" s="34">
        <f>IF($A1551="","",IF(OR($G1551="SÁBADO",$G1551="DOMINGO"),"FIN","LV"))</f>
        <v/>
      </c>
      <c r="J1551" s="34">
        <f>IF(OR($A1551="",$B1551=""),"",IF($L1551&lt;&gt;"",UPPER($L1551),IF($C1551="","FALTA",IFERROR(IF($C1551&gt;=$O1551,"ROJO FUERTE",IF($C1551&gt;=$N1551,"ROJO",IF($C1551&gt;=$M1551,"AMARILLO","VERDE"))),"REVISAR"))))</f>
        <v/>
      </c>
      <c r="K1551" s="36">
        <f>IF(OR($C1551="",$D1551=""),"",IF($D1551&gt;=$C1551,($D1551-$C1551)*24,(1-$C1551+$D1551)*24))</f>
        <v/>
      </c>
      <c r="L1551" s="34" t="n"/>
      <c r="M1551" s="53">
        <f t="array" ref="M1551">IFERROR(INDEX(EXCEPCIONES_FECHA!$D$2:$D$201,MATCH(1,(EXCEPCIONES_FECHA!$A$2:$A$201=$A1551)*(EXCEPCIONES_FECHA!$B$2:$B$201=$B1551),0)),IFERROR(INDEX(EXCEPCIONES_FECHA!$D$2:$D$201,MATCH(1,(EXCEPCIONES_FECHA!$A$2:$A$201=$A1551)*(EXCEPCIONES_FECHA!$B$2:$B$201=""),0)),IFERROR(INDEX(IF($I1551="FIN",HISTORIAL_HORARIOS!$J$2:$J$201,HISTORIAL_HORARIOS!$F$2:$F$201),MATCH(1,(HISTORIAL_HORARIOS!$A$2:$A$201=$B1551)*(HISTORIAL_HORARIOS!$C$2:$C$201&lt;=$A1551)*(HISTORIAL_HORARIOS!$D$2:$D$201&gt;=$A1551),0)),INDEX(IF($I1551="FIN",PERSONAL!$J$2:$J$80,PERSONAL!$F$2:$F$80),MATCH($B1551,PERSONAL!$A$2:$A$80,0)))))</f>
        <v/>
      </c>
      <c r="N1551" s="53">
        <f t="array" ref="N1551">IFERROR(INDEX(EXCEPCIONES_FECHA!$E$2:$E$201,MATCH(1,(EXCEPCIONES_FECHA!$A$2:$A$201=$A1551)*(EXCEPCIONES_FECHA!$B$2:$B$201=$B1551),0)),IFERROR(INDEX(EXCEPCIONES_FECHA!$E$2:$E$201,MATCH(1,(EXCEPCIONES_FECHA!$A$2:$A$201=$A1551)*(EXCEPCIONES_FECHA!$B$2:$B$201=""),0)),IFERROR(INDEX(IF($I1551="FIN",HISTORIAL_HORARIOS!$K$2:$K$201,HISTORIAL_HORARIOS!$G$2:$G$201),MATCH(1,(HISTORIAL_HORARIOS!$A$2:$A$201=$B1551)*(HISTORIAL_HORARIOS!$C$2:$C$201&lt;=$A1551)*(HISTORIAL_HORARIOS!$D$2:$D$201&gt;=$A1551),0)),INDEX(IF($I1551="FIN",PERSONAL!$K$2:$K$80,PERSONAL!$G$2:$G$80),MATCH($B1551,PERSONAL!$A$2:$A$80,0)))))</f>
        <v/>
      </c>
      <c r="O1551" s="53">
        <f t="array" ref="O1551">IFERROR(INDEX(EXCEPCIONES_FECHA!$F$2:$F$201,MATCH(1,(EXCEPCIONES_FECHA!$A$2:$A$201=$A1551)*(EXCEPCIONES_FECHA!$B$2:$B$201=$B1551),0)),IFERROR(INDEX(EXCEPCIONES_FECHA!$F$2:$F$201,MATCH(1,(EXCEPCIONES_FECHA!$A$2:$A$201=$A1551)*(EXCEPCIONES_FECHA!$B$2:$B$201=""),0)),IFERROR(INDEX(IF($I1551="FIN",HISTORIAL_HORARIOS!$L$2:$L$201,HISTORIAL_HORARIOS!$H$2:$H$201),MATCH(1,(HISTORIAL_HORARIOS!$A$2:$A$201=$B1551)*(HISTORIAL_HORARIOS!$C$2:$C$201&lt;=$A1551)*(HISTORIAL_HORARIOS!$D$2:$D$201&gt;=$A1551),0)),INDEX(IF($I1551="FIN",PERSONAL!$L$2:$L$80,PERSONAL!$H$2:$H$80),MATCH($B1551,PERSONAL!$A$2:$A$80,0)))))</f>
        <v/>
      </c>
    </row>
    <row r="1552" ht="15" customHeight="1" s="58">
      <c r="A1552" s="40" t="n"/>
      <c r="B1552" s="38" t="n"/>
      <c r="C1552" s="40" t="n"/>
      <c r="D1552" s="40" t="n"/>
      <c r="E1552" s="34">
        <f t="array" ref="E1552">IF($B1552="","",IFERROR(INDEX(PERSONAL!$B$2:$B$80,MATCH($B1552,PERSONAL!$A$2:$A$80,0)),"NO EXISTE"))</f>
        <v/>
      </c>
      <c r="F1552" s="34">
        <f t="array" ref="F1552">IF($B1552="","",IFERROR(INDEX(PERSONAL!$C$2:$C$80,MATCH($B1552,PERSONAL!$A$2:$A$80,0)),""))</f>
        <v/>
      </c>
      <c r="G1552" s="34">
        <f>IF($A1552="","",CHOOSE(WEEKDAY($A1552,2),"LUNES","MARTES","MIÉRCOLES","JUEVES","VIERNES","SÁBADO","DOMINGO"))</f>
        <v/>
      </c>
      <c r="H1552" s="34">
        <f>IF($A1552="","",CHOOSE(MONTH($A1552),"ENERO","FEBRERO","MARZO","ABRIL","MAYO","JUNIO","JULIO","AGOSTO","SEPTIEMBRE","OCTUBRE","NOVIEMBRE","DICIEMBRE"))</f>
        <v/>
      </c>
      <c r="I1552" s="34">
        <f>IF($A1552="","",IF(OR($G1552="SÁBADO",$G1552="DOMINGO"),"FIN","LV"))</f>
        <v/>
      </c>
      <c r="J1552" s="34">
        <f>IF(OR($A1552="",$B1552=""),"",IF($L1552&lt;&gt;"",UPPER($L1552),IF($C1552="","FALTA",IFERROR(IF($C1552&gt;=$O1552,"ROJO FUERTE",IF($C1552&gt;=$N1552,"ROJO",IF($C1552&gt;=$M1552,"AMARILLO","VERDE"))),"REVISAR"))))</f>
        <v/>
      </c>
      <c r="K1552" s="36">
        <f>IF(OR($C1552="",$D1552=""),"",IF($D1552&gt;=$C1552,($D1552-$C1552)*24,(1-$C1552+$D1552)*24))</f>
        <v/>
      </c>
      <c r="L1552" s="34" t="n"/>
      <c r="M1552" s="53">
        <f t="array" ref="M1552">IFERROR(INDEX(EXCEPCIONES_FECHA!$D$2:$D$201,MATCH(1,(EXCEPCIONES_FECHA!$A$2:$A$201=$A1552)*(EXCEPCIONES_FECHA!$B$2:$B$201=$B1552),0)),IFERROR(INDEX(EXCEPCIONES_FECHA!$D$2:$D$201,MATCH(1,(EXCEPCIONES_FECHA!$A$2:$A$201=$A1552)*(EXCEPCIONES_FECHA!$B$2:$B$201=""),0)),IFERROR(INDEX(IF($I1552="FIN",HISTORIAL_HORARIOS!$J$2:$J$201,HISTORIAL_HORARIOS!$F$2:$F$201),MATCH(1,(HISTORIAL_HORARIOS!$A$2:$A$201=$B1552)*(HISTORIAL_HORARIOS!$C$2:$C$201&lt;=$A1552)*(HISTORIAL_HORARIOS!$D$2:$D$201&gt;=$A1552),0)),INDEX(IF($I1552="FIN",PERSONAL!$J$2:$J$80,PERSONAL!$F$2:$F$80),MATCH($B1552,PERSONAL!$A$2:$A$80,0)))))</f>
        <v/>
      </c>
      <c r="N1552" s="53">
        <f t="array" ref="N1552">IFERROR(INDEX(EXCEPCIONES_FECHA!$E$2:$E$201,MATCH(1,(EXCEPCIONES_FECHA!$A$2:$A$201=$A1552)*(EXCEPCIONES_FECHA!$B$2:$B$201=$B1552),0)),IFERROR(INDEX(EXCEPCIONES_FECHA!$E$2:$E$201,MATCH(1,(EXCEPCIONES_FECHA!$A$2:$A$201=$A1552)*(EXCEPCIONES_FECHA!$B$2:$B$201=""),0)),IFERROR(INDEX(IF($I1552="FIN",HISTORIAL_HORARIOS!$K$2:$K$201,HISTORIAL_HORARIOS!$G$2:$G$201),MATCH(1,(HISTORIAL_HORARIOS!$A$2:$A$201=$B1552)*(HISTORIAL_HORARIOS!$C$2:$C$201&lt;=$A1552)*(HISTORIAL_HORARIOS!$D$2:$D$201&gt;=$A1552),0)),INDEX(IF($I1552="FIN",PERSONAL!$K$2:$K$80,PERSONAL!$G$2:$G$80),MATCH($B1552,PERSONAL!$A$2:$A$80,0)))))</f>
        <v/>
      </c>
      <c r="O1552" s="53">
        <f t="array" ref="O1552">IFERROR(INDEX(EXCEPCIONES_FECHA!$F$2:$F$201,MATCH(1,(EXCEPCIONES_FECHA!$A$2:$A$201=$A1552)*(EXCEPCIONES_FECHA!$B$2:$B$201=$B1552),0)),IFERROR(INDEX(EXCEPCIONES_FECHA!$F$2:$F$201,MATCH(1,(EXCEPCIONES_FECHA!$A$2:$A$201=$A1552)*(EXCEPCIONES_FECHA!$B$2:$B$201=""),0)),IFERROR(INDEX(IF($I1552="FIN",HISTORIAL_HORARIOS!$L$2:$L$201,HISTORIAL_HORARIOS!$H$2:$H$201),MATCH(1,(HISTORIAL_HORARIOS!$A$2:$A$201=$B1552)*(HISTORIAL_HORARIOS!$C$2:$C$201&lt;=$A1552)*(HISTORIAL_HORARIOS!$D$2:$D$201&gt;=$A1552),0)),INDEX(IF($I1552="FIN",PERSONAL!$L$2:$L$80,PERSONAL!$H$2:$H$80),MATCH($B1552,PERSONAL!$A$2:$A$80,0)))))</f>
        <v/>
      </c>
    </row>
    <row r="1553" ht="15" customHeight="1" s="58">
      <c r="A1553" s="40" t="n"/>
      <c r="B1553" s="38" t="n"/>
      <c r="C1553" s="40" t="n"/>
      <c r="D1553" s="40" t="n"/>
      <c r="E1553" s="34">
        <f t="array" ref="E1553">IF($B1553="","",IFERROR(INDEX(PERSONAL!$B$2:$B$80,MATCH($B1553,PERSONAL!$A$2:$A$80,0)),"NO EXISTE"))</f>
        <v/>
      </c>
      <c r="F1553" s="34">
        <f t="array" ref="F1553">IF($B1553="","",IFERROR(INDEX(PERSONAL!$C$2:$C$80,MATCH($B1553,PERSONAL!$A$2:$A$80,0)),""))</f>
        <v/>
      </c>
      <c r="G1553" s="34">
        <f>IF($A1553="","",CHOOSE(WEEKDAY($A1553,2),"LUNES","MARTES","MIÉRCOLES","JUEVES","VIERNES","SÁBADO","DOMINGO"))</f>
        <v/>
      </c>
      <c r="H1553" s="34">
        <f>IF($A1553="","",CHOOSE(MONTH($A1553),"ENERO","FEBRERO","MARZO","ABRIL","MAYO","JUNIO","JULIO","AGOSTO","SEPTIEMBRE","OCTUBRE","NOVIEMBRE","DICIEMBRE"))</f>
        <v/>
      </c>
      <c r="I1553" s="34">
        <f>IF($A1553="","",IF(OR($G1553="SÁBADO",$G1553="DOMINGO"),"FIN","LV"))</f>
        <v/>
      </c>
      <c r="J1553" s="34">
        <f>IF(OR($A1553="",$B1553=""),"",IF($L1553&lt;&gt;"",UPPER($L1553),IF($C1553="","FALTA",IFERROR(IF($C1553&gt;=$O1553,"ROJO FUERTE",IF($C1553&gt;=$N1553,"ROJO",IF($C1553&gt;=$M1553,"AMARILLO","VERDE"))),"REVISAR"))))</f>
        <v/>
      </c>
      <c r="K1553" s="36">
        <f>IF(OR($C1553="",$D1553=""),"",IF($D1553&gt;=$C1553,($D1553-$C1553)*24,(1-$C1553+$D1553)*24))</f>
        <v/>
      </c>
      <c r="L1553" s="34" t="n"/>
      <c r="M1553" s="53">
        <f t="array" ref="M1553">IFERROR(INDEX(EXCEPCIONES_FECHA!$D$2:$D$201,MATCH(1,(EXCEPCIONES_FECHA!$A$2:$A$201=$A1553)*(EXCEPCIONES_FECHA!$B$2:$B$201=$B1553),0)),IFERROR(INDEX(EXCEPCIONES_FECHA!$D$2:$D$201,MATCH(1,(EXCEPCIONES_FECHA!$A$2:$A$201=$A1553)*(EXCEPCIONES_FECHA!$B$2:$B$201=""),0)),IFERROR(INDEX(IF($I1553="FIN",HISTORIAL_HORARIOS!$J$2:$J$201,HISTORIAL_HORARIOS!$F$2:$F$201),MATCH(1,(HISTORIAL_HORARIOS!$A$2:$A$201=$B1553)*(HISTORIAL_HORARIOS!$C$2:$C$201&lt;=$A1553)*(HISTORIAL_HORARIOS!$D$2:$D$201&gt;=$A1553),0)),INDEX(IF($I1553="FIN",PERSONAL!$J$2:$J$80,PERSONAL!$F$2:$F$80),MATCH($B1553,PERSONAL!$A$2:$A$80,0)))))</f>
        <v/>
      </c>
      <c r="N1553" s="53">
        <f t="array" ref="N1553">IFERROR(INDEX(EXCEPCIONES_FECHA!$E$2:$E$201,MATCH(1,(EXCEPCIONES_FECHA!$A$2:$A$201=$A1553)*(EXCEPCIONES_FECHA!$B$2:$B$201=$B1553),0)),IFERROR(INDEX(EXCEPCIONES_FECHA!$E$2:$E$201,MATCH(1,(EXCEPCIONES_FECHA!$A$2:$A$201=$A1553)*(EXCEPCIONES_FECHA!$B$2:$B$201=""),0)),IFERROR(INDEX(IF($I1553="FIN",HISTORIAL_HORARIOS!$K$2:$K$201,HISTORIAL_HORARIOS!$G$2:$G$201),MATCH(1,(HISTORIAL_HORARIOS!$A$2:$A$201=$B1553)*(HISTORIAL_HORARIOS!$C$2:$C$201&lt;=$A1553)*(HISTORIAL_HORARIOS!$D$2:$D$201&gt;=$A1553),0)),INDEX(IF($I1553="FIN",PERSONAL!$K$2:$K$80,PERSONAL!$G$2:$G$80),MATCH($B1553,PERSONAL!$A$2:$A$80,0)))))</f>
        <v/>
      </c>
      <c r="O1553" s="53">
        <f t="array" ref="O1553">IFERROR(INDEX(EXCEPCIONES_FECHA!$F$2:$F$201,MATCH(1,(EXCEPCIONES_FECHA!$A$2:$A$201=$A1553)*(EXCEPCIONES_FECHA!$B$2:$B$201=$B1553),0)),IFERROR(INDEX(EXCEPCIONES_FECHA!$F$2:$F$201,MATCH(1,(EXCEPCIONES_FECHA!$A$2:$A$201=$A1553)*(EXCEPCIONES_FECHA!$B$2:$B$201=""),0)),IFERROR(INDEX(IF($I1553="FIN",HISTORIAL_HORARIOS!$L$2:$L$201,HISTORIAL_HORARIOS!$H$2:$H$201),MATCH(1,(HISTORIAL_HORARIOS!$A$2:$A$201=$B1553)*(HISTORIAL_HORARIOS!$C$2:$C$201&lt;=$A1553)*(HISTORIAL_HORARIOS!$D$2:$D$201&gt;=$A1553),0)),INDEX(IF($I1553="FIN",PERSONAL!$L$2:$L$80,PERSONAL!$H$2:$H$80),MATCH($B1553,PERSONAL!$A$2:$A$80,0)))))</f>
        <v/>
      </c>
    </row>
    <row r="1554" ht="15" customHeight="1" s="58">
      <c r="A1554" s="40" t="n"/>
      <c r="B1554" s="38" t="n"/>
      <c r="C1554" s="40" t="n"/>
      <c r="D1554" s="40" t="n"/>
      <c r="E1554" s="34">
        <f t="array" ref="E1554">IF($B1554="","",IFERROR(INDEX(PERSONAL!$B$2:$B$80,MATCH($B1554,PERSONAL!$A$2:$A$80,0)),"NO EXISTE"))</f>
        <v/>
      </c>
      <c r="F1554" s="34">
        <f t="array" ref="F1554">IF($B1554="","",IFERROR(INDEX(PERSONAL!$C$2:$C$80,MATCH($B1554,PERSONAL!$A$2:$A$80,0)),""))</f>
        <v/>
      </c>
      <c r="G1554" s="34">
        <f>IF($A1554="","",CHOOSE(WEEKDAY($A1554,2),"LUNES","MARTES","MIÉRCOLES","JUEVES","VIERNES","SÁBADO","DOMINGO"))</f>
        <v/>
      </c>
      <c r="H1554" s="34">
        <f>IF($A1554="","",CHOOSE(MONTH($A1554),"ENERO","FEBRERO","MARZO","ABRIL","MAYO","JUNIO","JULIO","AGOSTO","SEPTIEMBRE","OCTUBRE","NOVIEMBRE","DICIEMBRE"))</f>
        <v/>
      </c>
      <c r="I1554" s="34">
        <f>IF($A1554="","",IF(OR($G1554="SÁBADO",$G1554="DOMINGO"),"FIN","LV"))</f>
        <v/>
      </c>
      <c r="J1554" s="34">
        <f>IF(OR($A1554="",$B1554=""),"",IF($L1554&lt;&gt;"",UPPER($L1554),IF($C1554="","FALTA",IFERROR(IF($C1554&gt;=$O1554,"ROJO FUERTE",IF($C1554&gt;=$N1554,"ROJO",IF($C1554&gt;=$M1554,"AMARILLO","VERDE"))),"REVISAR"))))</f>
        <v/>
      </c>
      <c r="K1554" s="36">
        <f>IF(OR($C1554="",$D1554=""),"",IF($D1554&gt;=$C1554,($D1554-$C1554)*24,(1-$C1554+$D1554)*24))</f>
        <v/>
      </c>
      <c r="L1554" s="34" t="n"/>
      <c r="M1554" s="53">
        <f t="array" ref="M1554">IFERROR(INDEX(EXCEPCIONES_FECHA!$D$2:$D$201,MATCH(1,(EXCEPCIONES_FECHA!$A$2:$A$201=$A1554)*(EXCEPCIONES_FECHA!$B$2:$B$201=$B1554),0)),IFERROR(INDEX(EXCEPCIONES_FECHA!$D$2:$D$201,MATCH(1,(EXCEPCIONES_FECHA!$A$2:$A$201=$A1554)*(EXCEPCIONES_FECHA!$B$2:$B$201=""),0)),IFERROR(INDEX(IF($I1554="FIN",HISTORIAL_HORARIOS!$J$2:$J$201,HISTORIAL_HORARIOS!$F$2:$F$201),MATCH(1,(HISTORIAL_HORARIOS!$A$2:$A$201=$B1554)*(HISTORIAL_HORARIOS!$C$2:$C$201&lt;=$A1554)*(HISTORIAL_HORARIOS!$D$2:$D$201&gt;=$A1554),0)),INDEX(IF($I1554="FIN",PERSONAL!$J$2:$J$80,PERSONAL!$F$2:$F$80),MATCH($B1554,PERSONAL!$A$2:$A$80,0)))))</f>
        <v/>
      </c>
      <c r="N1554" s="53">
        <f t="array" ref="N1554">IFERROR(INDEX(EXCEPCIONES_FECHA!$E$2:$E$201,MATCH(1,(EXCEPCIONES_FECHA!$A$2:$A$201=$A1554)*(EXCEPCIONES_FECHA!$B$2:$B$201=$B1554),0)),IFERROR(INDEX(EXCEPCIONES_FECHA!$E$2:$E$201,MATCH(1,(EXCEPCIONES_FECHA!$A$2:$A$201=$A1554)*(EXCEPCIONES_FECHA!$B$2:$B$201=""),0)),IFERROR(INDEX(IF($I1554="FIN",HISTORIAL_HORARIOS!$K$2:$K$201,HISTORIAL_HORARIOS!$G$2:$G$201),MATCH(1,(HISTORIAL_HORARIOS!$A$2:$A$201=$B1554)*(HISTORIAL_HORARIOS!$C$2:$C$201&lt;=$A1554)*(HISTORIAL_HORARIOS!$D$2:$D$201&gt;=$A1554),0)),INDEX(IF($I1554="FIN",PERSONAL!$K$2:$K$80,PERSONAL!$G$2:$G$80),MATCH($B1554,PERSONAL!$A$2:$A$80,0)))))</f>
        <v/>
      </c>
      <c r="O1554" s="53">
        <f t="array" ref="O1554">IFERROR(INDEX(EXCEPCIONES_FECHA!$F$2:$F$201,MATCH(1,(EXCEPCIONES_FECHA!$A$2:$A$201=$A1554)*(EXCEPCIONES_FECHA!$B$2:$B$201=$B1554),0)),IFERROR(INDEX(EXCEPCIONES_FECHA!$F$2:$F$201,MATCH(1,(EXCEPCIONES_FECHA!$A$2:$A$201=$A1554)*(EXCEPCIONES_FECHA!$B$2:$B$201=""),0)),IFERROR(INDEX(IF($I1554="FIN",HISTORIAL_HORARIOS!$L$2:$L$201,HISTORIAL_HORARIOS!$H$2:$H$201),MATCH(1,(HISTORIAL_HORARIOS!$A$2:$A$201=$B1554)*(HISTORIAL_HORARIOS!$C$2:$C$201&lt;=$A1554)*(HISTORIAL_HORARIOS!$D$2:$D$201&gt;=$A1554),0)),INDEX(IF($I1554="FIN",PERSONAL!$L$2:$L$80,PERSONAL!$H$2:$H$80),MATCH($B1554,PERSONAL!$A$2:$A$80,0)))))</f>
        <v/>
      </c>
    </row>
    <row r="1555" ht="15" customHeight="1" s="58">
      <c r="A1555" s="40" t="n"/>
      <c r="B1555" s="38" t="n"/>
      <c r="C1555" s="40" t="n"/>
      <c r="D1555" s="40" t="n"/>
      <c r="E1555" s="34">
        <f t="array" ref="E1555">IF($B1555="","",IFERROR(INDEX(PERSONAL!$B$2:$B$80,MATCH($B1555,PERSONAL!$A$2:$A$80,0)),"NO EXISTE"))</f>
        <v/>
      </c>
      <c r="F1555" s="34">
        <f t="array" ref="F1555">IF($B1555="","",IFERROR(INDEX(PERSONAL!$C$2:$C$80,MATCH($B1555,PERSONAL!$A$2:$A$80,0)),""))</f>
        <v/>
      </c>
      <c r="G1555" s="34">
        <f>IF($A1555="","",CHOOSE(WEEKDAY($A1555,2),"LUNES","MARTES","MIÉRCOLES","JUEVES","VIERNES","SÁBADO","DOMINGO"))</f>
        <v/>
      </c>
      <c r="H1555" s="34">
        <f>IF($A1555="","",CHOOSE(MONTH($A1555),"ENERO","FEBRERO","MARZO","ABRIL","MAYO","JUNIO","JULIO","AGOSTO","SEPTIEMBRE","OCTUBRE","NOVIEMBRE","DICIEMBRE"))</f>
        <v/>
      </c>
      <c r="I1555" s="34">
        <f>IF($A1555="","",IF(OR($G1555="SÁBADO",$G1555="DOMINGO"),"FIN","LV"))</f>
        <v/>
      </c>
      <c r="J1555" s="34">
        <f>IF(OR($A1555="",$B1555=""),"",IF($L1555&lt;&gt;"",UPPER($L1555),IF($C1555="","FALTA",IFERROR(IF($C1555&gt;=$O1555,"ROJO FUERTE",IF($C1555&gt;=$N1555,"ROJO",IF($C1555&gt;=$M1555,"AMARILLO","VERDE"))),"REVISAR"))))</f>
        <v/>
      </c>
      <c r="K1555" s="36">
        <f>IF(OR($C1555="",$D1555=""),"",IF($D1555&gt;=$C1555,($D1555-$C1555)*24,(1-$C1555+$D1555)*24))</f>
        <v/>
      </c>
      <c r="L1555" s="34" t="n"/>
      <c r="M1555" s="53">
        <f t="array" ref="M1555">IFERROR(INDEX(EXCEPCIONES_FECHA!$D$2:$D$201,MATCH(1,(EXCEPCIONES_FECHA!$A$2:$A$201=$A1555)*(EXCEPCIONES_FECHA!$B$2:$B$201=$B1555),0)),IFERROR(INDEX(EXCEPCIONES_FECHA!$D$2:$D$201,MATCH(1,(EXCEPCIONES_FECHA!$A$2:$A$201=$A1555)*(EXCEPCIONES_FECHA!$B$2:$B$201=""),0)),IFERROR(INDEX(IF($I1555="FIN",HISTORIAL_HORARIOS!$J$2:$J$201,HISTORIAL_HORARIOS!$F$2:$F$201),MATCH(1,(HISTORIAL_HORARIOS!$A$2:$A$201=$B1555)*(HISTORIAL_HORARIOS!$C$2:$C$201&lt;=$A1555)*(HISTORIAL_HORARIOS!$D$2:$D$201&gt;=$A1555),0)),INDEX(IF($I1555="FIN",PERSONAL!$J$2:$J$80,PERSONAL!$F$2:$F$80),MATCH($B1555,PERSONAL!$A$2:$A$80,0)))))</f>
        <v/>
      </c>
      <c r="N1555" s="53">
        <f t="array" ref="N1555">IFERROR(INDEX(EXCEPCIONES_FECHA!$E$2:$E$201,MATCH(1,(EXCEPCIONES_FECHA!$A$2:$A$201=$A1555)*(EXCEPCIONES_FECHA!$B$2:$B$201=$B1555),0)),IFERROR(INDEX(EXCEPCIONES_FECHA!$E$2:$E$201,MATCH(1,(EXCEPCIONES_FECHA!$A$2:$A$201=$A1555)*(EXCEPCIONES_FECHA!$B$2:$B$201=""),0)),IFERROR(INDEX(IF($I1555="FIN",HISTORIAL_HORARIOS!$K$2:$K$201,HISTORIAL_HORARIOS!$G$2:$G$201),MATCH(1,(HISTORIAL_HORARIOS!$A$2:$A$201=$B1555)*(HISTORIAL_HORARIOS!$C$2:$C$201&lt;=$A1555)*(HISTORIAL_HORARIOS!$D$2:$D$201&gt;=$A1555),0)),INDEX(IF($I1555="FIN",PERSONAL!$K$2:$K$80,PERSONAL!$G$2:$G$80),MATCH($B1555,PERSONAL!$A$2:$A$80,0)))))</f>
        <v/>
      </c>
      <c r="O1555" s="53">
        <f t="array" ref="O1555">IFERROR(INDEX(EXCEPCIONES_FECHA!$F$2:$F$201,MATCH(1,(EXCEPCIONES_FECHA!$A$2:$A$201=$A1555)*(EXCEPCIONES_FECHA!$B$2:$B$201=$B1555),0)),IFERROR(INDEX(EXCEPCIONES_FECHA!$F$2:$F$201,MATCH(1,(EXCEPCIONES_FECHA!$A$2:$A$201=$A1555)*(EXCEPCIONES_FECHA!$B$2:$B$201=""),0)),IFERROR(INDEX(IF($I1555="FIN",HISTORIAL_HORARIOS!$L$2:$L$201,HISTORIAL_HORARIOS!$H$2:$H$201),MATCH(1,(HISTORIAL_HORARIOS!$A$2:$A$201=$B1555)*(HISTORIAL_HORARIOS!$C$2:$C$201&lt;=$A1555)*(HISTORIAL_HORARIOS!$D$2:$D$201&gt;=$A1555),0)),INDEX(IF($I1555="FIN",PERSONAL!$L$2:$L$80,PERSONAL!$H$2:$H$80),MATCH($B1555,PERSONAL!$A$2:$A$80,0)))))</f>
        <v/>
      </c>
    </row>
    <row r="1556" ht="15" customHeight="1" s="58">
      <c r="A1556" s="40" t="n"/>
      <c r="B1556" s="38" t="n"/>
      <c r="C1556" s="40" t="n"/>
      <c r="D1556" s="40" t="n"/>
      <c r="E1556" s="34">
        <f t="array" ref="E1556">IF($B1556="","",IFERROR(INDEX(PERSONAL!$B$2:$B$80,MATCH($B1556,PERSONAL!$A$2:$A$80,0)),"NO EXISTE"))</f>
        <v/>
      </c>
      <c r="F1556" s="34">
        <f t="array" ref="F1556">IF($B1556="","",IFERROR(INDEX(PERSONAL!$C$2:$C$80,MATCH($B1556,PERSONAL!$A$2:$A$80,0)),""))</f>
        <v/>
      </c>
      <c r="G1556" s="34">
        <f>IF($A1556="","",CHOOSE(WEEKDAY($A1556,2),"LUNES","MARTES","MIÉRCOLES","JUEVES","VIERNES","SÁBADO","DOMINGO"))</f>
        <v/>
      </c>
      <c r="H1556" s="34">
        <f>IF($A1556="","",CHOOSE(MONTH($A1556),"ENERO","FEBRERO","MARZO","ABRIL","MAYO","JUNIO","JULIO","AGOSTO","SEPTIEMBRE","OCTUBRE","NOVIEMBRE","DICIEMBRE"))</f>
        <v/>
      </c>
      <c r="I1556" s="34">
        <f>IF($A1556="","",IF(OR($G1556="SÁBADO",$G1556="DOMINGO"),"FIN","LV"))</f>
        <v/>
      </c>
      <c r="J1556" s="34">
        <f>IF(OR($A1556="",$B1556=""),"",IF($L1556&lt;&gt;"",UPPER($L1556),IF($C1556="","FALTA",IFERROR(IF($C1556&gt;=$O1556,"ROJO FUERTE",IF($C1556&gt;=$N1556,"ROJO",IF($C1556&gt;=$M1556,"AMARILLO","VERDE"))),"REVISAR"))))</f>
        <v/>
      </c>
      <c r="K1556" s="36">
        <f>IF(OR($C1556="",$D1556=""),"",IF($D1556&gt;=$C1556,($D1556-$C1556)*24,(1-$C1556+$D1556)*24))</f>
        <v/>
      </c>
      <c r="L1556" s="34" t="n"/>
      <c r="M1556" s="53">
        <f t="array" ref="M1556">IFERROR(INDEX(EXCEPCIONES_FECHA!$D$2:$D$201,MATCH(1,(EXCEPCIONES_FECHA!$A$2:$A$201=$A1556)*(EXCEPCIONES_FECHA!$B$2:$B$201=$B1556),0)),IFERROR(INDEX(EXCEPCIONES_FECHA!$D$2:$D$201,MATCH(1,(EXCEPCIONES_FECHA!$A$2:$A$201=$A1556)*(EXCEPCIONES_FECHA!$B$2:$B$201=""),0)),IFERROR(INDEX(IF($I1556="FIN",HISTORIAL_HORARIOS!$J$2:$J$201,HISTORIAL_HORARIOS!$F$2:$F$201),MATCH(1,(HISTORIAL_HORARIOS!$A$2:$A$201=$B1556)*(HISTORIAL_HORARIOS!$C$2:$C$201&lt;=$A1556)*(HISTORIAL_HORARIOS!$D$2:$D$201&gt;=$A1556),0)),INDEX(IF($I1556="FIN",PERSONAL!$J$2:$J$80,PERSONAL!$F$2:$F$80),MATCH($B1556,PERSONAL!$A$2:$A$80,0)))))</f>
        <v/>
      </c>
      <c r="N1556" s="53">
        <f t="array" ref="N1556">IFERROR(INDEX(EXCEPCIONES_FECHA!$E$2:$E$201,MATCH(1,(EXCEPCIONES_FECHA!$A$2:$A$201=$A1556)*(EXCEPCIONES_FECHA!$B$2:$B$201=$B1556),0)),IFERROR(INDEX(EXCEPCIONES_FECHA!$E$2:$E$201,MATCH(1,(EXCEPCIONES_FECHA!$A$2:$A$201=$A1556)*(EXCEPCIONES_FECHA!$B$2:$B$201=""),0)),IFERROR(INDEX(IF($I1556="FIN",HISTORIAL_HORARIOS!$K$2:$K$201,HISTORIAL_HORARIOS!$G$2:$G$201),MATCH(1,(HISTORIAL_HORARIOS!$A$2:$A$201=$B1556)*(HISTORIAL_HORARIOS!$C$2:$C$201&lt;=$A1556)*(HISTORIAL_HORARIOS!$D$2:$D$201&gt;=$A1556),0)),INDEX(IF($I1556="FIN",PERSONAL!$K$2:$K$80,PERSONAL!$G$2:$G$80),MATCH($B1556,PERSONAL!$A$2:$A$80,0)))))</f>
        <v/>
      </c>
      <c r="O1556" s="53">
        <f t="array" ref="O1556">IFERROR(INDEX(EXCEPCIONES_FECHA!$F$2:$F$201,MATCH(1,(EXCEPCIONES_FECHA!$A$2:$A$201=$A1556)*(EXCEPCIONES_FECHA!$B$2:$B$201=$B1556),0)),IFERROR(INDEX(EXCEPCIONES_FECHA!$F$2:$F$201,MATCH(1,(EXCEPCIONES_FECHA!$A$2:$A$201=$A1556)*(EXCEPCIONES_FECHA!$B$2:$B$201=""),0)),IFERROR(INDEX(IF($I1556="FIN",HISTORIAL_HORARIOS!$L$2:$L$201,HISTORIAL_HORARIOS!$H$2:$H$201),MATCH(1,(HISTORIAL_HORARIOS!$A$2:$A$201=$B1556)*(HISTORIAL_HORARIOS!$C$2:$C$201&lt;=$A1556)*(HISTORIAL_HORARIOS!$D$2:$D$201&gt;=$A1556),0)),INDEX(IF($I1556="FIN",PERSONAL!$L$2:$L$80,PERSONAL!$H$2:$H$80),MATCH($B1556,PERSONAL!$A$2:$A$80,0)))))</f>
        <v/>
      </c>
    </row>
    <row r="1557" ht="15" customHeight="1" s="58">
      <c r="A1557" s="40" t="n"/>
      <c r="B1557" s="38" t="n"/>
      <c r="C1557" s="40" t="n"/>
      <c r="D1557" s="40" t="n"/>
      <c r="E1557" s="34">
        <f t="array" ref="E1557">IF($B1557="","",IFERROR(INDEX(PERSONAL!$B$2:$B$80,MATCH($B1557,PERSONAL!$A$2:$A$80,0)),"NO EXISTE"))</f>
        <v/>
      </c>
      <c r="F1557" s="34">
        <f t="array" ref="F1557">IF($B1557="","",IFERROR(INDEX(PERSONAL!$C$2:$C$80,MATCH($B1557,PERSONAL!$A$2:$A$80,0)),""))</f>
        <v/>
      </c>
      <c r="G1557" s="34">
        <f>IF($A1557="","",CHOOSE(WEEKDAY($A1557,2),"LUNES","MARTES","MIÉRCOLES","JUEVES","VIERNES","SÁBADO","DOMINGO"))</f>
        <v/>
      </c>
      <c r="H1557" s="34">
        <f>IF($A1557="","",CHOOSE(MONTH($A1557),"ENERO","FEBRERO","MARZO","ABRIL","MAYO","JUNIO","JULIO","AGOSTO","SEPTIEMBRE","OCTUBRE","NOVIEMBRE","DICIEMBRE"))</f>
        <v/>
      </c>
      <c r="I1557" s="34">
        <f>IF($A1557="","",IF(OR($G1557="SÁBADO",$G1557="DOMINGO"),"FIN","LV"))</f>
        <v/>
      </c>
      <c r="J1557" s="34">
        <f>IF(OR($A1557="",$B1557=""),"",IF($L1557&lt;&gt;"",UPPER($L1557),IF($C1557="","FALTA",IFERROR(IF($C1557&gt;=$O1557,"ROJO FUERTE",IF($C1557&gt;=$N1557,"ROJO",IF($C1557&gt;=$M1557,"AMARILLO","VERDE"))),"REVISAR"))))</f>
        <v/>
      </c>
      <c r="K1557" s="36">
        <f>IF(OR($C1557="",$D1557=""),"",IF($D1557&gt;=$C1557,($D1557-$C1557)*24,(1-$C1557+$D1557)*24))</f>
        <v/>
      </c>
      <c r="L1557" s="34" t="n"/>
      <c r="M1557" s="53">
        <f t="array" ref="M1557">IFERROR(INDEX(EXCEPCIONES_FECHA!$D$2:$D$201,MATCH(1,(EXCEPCIONES_FECHA!$A$2:$A$201=$A1557)*(EXCEPCIONES_FECHA!$B$2:$B$201=$B1557),0)),IFERROR(INDEX(EXCEPCIONES_FECHA!$D$2:$D$201,MATCH(1,(EXCEPCIONES_FECHA!$A$2:$A$201=$A1557)*(EXCEPCIONES_FECHA!$B$2:$B$201=""),0)),IFERROR(INDEX(IF($I1557="FIN",HISTORIAL_HORARIOS!$J$2:$J$201,HISTORIAL_HORARIOS!$F$2:$F$201),MATCH(1,(HISTORIAL_HORARIOS!$A$2:$A$201=$B1557)*(HISTORIAL_HORARIOS!$C$2:$C$201&lt;=$A1557)*(HISTORIAL_HORARIOS!$D$2:$D$201&gt;=$A1557),0)),INDEX(IF($I1557="FIN",PERSONAL!$J$2:$J$80,PERSONAL!$F$2:$F$80),MATCH($B1557,PERSONAL!$A$2:$A$80,0)))))</f>
        <v/>
      </c>
      <c r="N1557" s="53">
        <f t="array" ref="N1557">IFERROR(INDEX(EXCEPCIONES_FECHA!$E$2:$E$201,MATCH(1,(EXCEPCIONES_FECHA!$A$2:$A$201=$A1557)*(EXCEPCIONES_FECHA!$B$2:$B$201=$B1557),0)),IFERROR(INDEX(EXCEPCIONES_FECHA!$E$2:$E$201,MATCH(1,(EXCEPCIONES_FECHA!$A$2:$A$201=$A1557)*(EXCEPCIONES_FECHA!$B$2:$B$201=""),0)),IFERROR(INDEX(IF($I1557="FIN",HISTORIAL_HORARIOS!$K$2:$K$201,HISTORIAL_HORARIOS!$G$2:$G$201),MATCH(1,(HISTORIAL_HORARIOS!$A$2:$A$201=$B1557)*(HISTORIAL_HORARIOS!$C$2:$C$201&lt;=$A1557)*(HISTORIAL_HORARIOS!$D$2:$D$201&gt;=$A1557),0)),INDEX(IF($I1557="FIN",PERSONAL!$K$2:$K$80,PERSONAL!$G$2:$G$80),MATCH($B1557,PERSONAL!$A$2:$A$80,0)))))</f>
        <v/>
      </c>
      <c r="O1557" s="53">
        <f t="array" ref="O1557">IFERROR(INDEX(EXCEPCIONES_FECHA!$F$2:$F$201,MATCH(1,(EXCEPCIONES_FECHA!$A$2:$A$201=$A1557)*(EXCEPCIONES_FECHA!$B$2:$B$201=$B1557),0)),IFERROR(INDEX(EXCEPCIONES_FECHA!$F$2:$F$201,MATCH(1,(EXCEPCIONES_FECHA!$A$2:$A$201=$A1557)*(EXCEPCIONES_FECHA!$B$2:$B$201=""),0)),IFERROR(INDEX(IF($I1557="FIN",HISTORIAL_HORARIOS!$L$2:$L$201,HISTORIAL_HORARIOS!$H$2:$H$201),MATCH(1,(HISTORIAL_HORARIOS!$A$2:$A$201=$B1557)*(HISTORIAL_HORARIOS!$C$2:$C$201&lt;=$A1557)*(HISTORIAL_HORARIOS!$D$2:$D$201&gt;=$A1557),0)),INDEX(IF($I1557="FIN",PERSONAL!$L$2:$L$80,PERSONAL!$H$2:$H$80),MATCH($B1557,PERSONAL!$A$2:$A$80,0)))))</f>
        <v/>
      </c>
    </row>
    <row r="1558" ht="15" customHeight="1" s="58">
      <c r="A1558" s="40" t="n"/>
      <c r="B1558" s="38" t="n"/>
      <c r="C1558" s="40" t="n"/>
      <c r="D1558" s="40" t="n"/>
      <c r="E1558" s="34">
        <f t="array" ref="E1558">IF($B1558="","",IFERROR(INDEX(PERSONAL!$B$2:$B$80,MATCH($B1558,PERSONAL!$A$2:$A$80,0)),"NO EXISTE"))</f>
        <v/>
      </c>
      <c r="F1558" s="34">
        <f t="array" ref="F1558">IF($B1558="","",IFERROR(INDEX(PERSONAL!$C$2:$C$80,MATCH($B1558,PERSONAL!$A$2:$A$80,0)),""))</f>
        <v/>
      </c>
      <c r="G1558" s="34">
        <f>IF($A1558="","",CHOOSE(WEEKDAY($A1558,2),"LUNES","MARTES","MIÉRCOLES","JUEVES","VIERNES","SÁBADO","DOMINGO"))</f>
        <v/>
      </c>
      <c r="H1558" s="34">
        <f>IF($A1558="","",CHOOSE(MONTH($A1558),"ENERO","FEBRERO","MARZO","ABRIL","MAYO","JUNIO","JULIO","AGOSTO","SEPTIEMBRE","OCTUBRE","NOVIEMBRE","DICIEMBRE"))</f>
        <v/>
      </c>
      <c r="I1558" s="34">
        <f>IF($A1558="","",IF(OR($G1558="SÁBADO",$G1558="DOMINGO"),"FIN","LV"))</f>
        <v/>
      </c>
      <c r="J1558" s="34">
        <f>IF(OR($A1558="",$B1558=""),"",IF($L1558&lt;&gt;"",UPPER($L1558),IF($C1558="","FALTA",IFERROR(IF($C1558&gt;=$O1558,"ROJO FUERTE",IF($C1558&gt;=$N1558,"ROJO",IF($C1558&gt;=$M1558,"AMARILLO","VERDE"))),"REVISAR"))))</f>
        <v/>
      </c>
      <c r="K1558" s="36">
        <f>IF(OR($C1558="",$D1558=""),"",IF($D1558&gt;=$C1558,($D1558-$C1558)*24,(1-$C1558+$D1558)*24))</f>
        <v/>
      </c>
      <c r="L1558" s="34" t="n"/>
      <c r="M1558" s="53">
        <f t="array" ref="M1558">IFERROR(INDEX(EXCEPCIONES_FECHA!$D$2:$D$201,MATCH(1,(EXCEPCIONES_FECHA!$A$2:$A$201=$A1558)*(EXCEPCIONES_FECHA!$B$2:$B$201=$B1558),0)),IFERROR(INDEX(EXCEPCIONES_FECHA!$D$2:$D$201,MATCH(1,(EXCEPCIONES_FECHA!$A$2:$A$201=$A1558)*(EXCEPCIONES_FECHA!$B$2:$B$201=""),0)),IFERROR(INDEX(IF($I1558="FIN",HISTORIAL_HORARIOS!$J$2:$J$201,HISTORIAL_HORARIOS!$F$2:$F$201),MATCH(1,(HISTORIAL_HORARIOS!$A$2:$A$201=$B1558)*(HISTORIAL_HORARIOS!$C$2:$C$201&lt;=$A1558)*(HISTORIAL_HORARIOS!$D$2:$D$201&gt;=$A1558),0)),INDEX(IF($I1558="FIN",PERSONAL!$J$2:$J$80,PERSONAL!$F$2:$F$80),MATCH($B1558,PERSONAL!$A$2:$A$80,0)))))</f>
        <v/>
      </c>
      <c r="N1558" s="53">
        <f t="array" ref="N1558">IFERROR(INDEX(EXCEPCIONES_FECHA!$E$2:$E$201,MATCH(1,(EXCEPCIONES_FECHA!$A$2:$A$201=$A1558)*(EXCEPCIONES_FECHA!$B$2:$B$201=$B1558),0)),IFERROR(INDEX(EXCEPCIONES_FECHA!$E$2:$E$201,MATCH(1,(EXCEPCIONES_FECHA!$A$2:$A$201=$A1558)*(EXCEPCIONES_FECHA!$B$2:$B$201=""),0)),IFERROR(INDEX(IF($I1558="FIN",HISTORIAL_HORARIOS!$K$2:$K$201,HISTORIAL_HORARIOS!$G$2:$G$201),MATCH(1,(HISTORIAL_HORARIOS!$A$2:$A$201=$B1558)*(HISTORIAL_HORARIOS!$C$2:$C$201&lt;=$A1558)*(HISTORIAL_HORARIOS!$D$2:$D$201&gt;=$A1558),0)),INDEX(IF($I1558="FIN",PERSONAL!$K$2:$K$80,PERSONAL!$G$2:$G$80),MATCH($B1558,PERSONAL!$A$2:$A$80,0)))))</f>
        <v/>
      </c>
      <c r="O1558" s="53">
        <f t="array" ref="O1558">IFERROR(INDEX(EXCEPCIONES_FECHA!$F$2:$F$201,MATCH(1,(EXCEPCIONES_FECHA!$A$2:$A$201=$A1558)*(EXCEPCIONES_FECHA!$B$2:$B$201=$B1558),0)),IFERROR(INDEX(EXCEPCIONES_FECHA!$F$2:$F$201,MATCH(1,(EXCEPCIONES_FECHA!$A$2:$A$201=$A1558)*(EXCEPCIONES_FECHA!$B$2:$B$201=""),0)),IFERROR(INDEX(IF($I1558="FIN",HISTORIAL_HORARIOS!$L$2:$L$201,HISTORIAL_HORARIOS!$H$2:$H$201),MATCH(1,(HISTORIAL_HORARIOS!$A$2:$A$201=$B1558)*(HISTORIAL_HORARIOS!$C$2:$C$201&lt;=$A1558)*(HISTORIAL_HORARIOS!$D$2:$D$201&gt;=$A1558),0)),INDEX(IF($I1558="FIN",PERSONAL!$L$2:$L$80,PERSONAL!$H$2:$H$80),MATCH($B1558,PERSONAL!$A$2:$A$80,0)))))</f>
        <v/>
      </c>
    </row>
    <row r="1559" ht="15" customHeight="1" s="58">
      <c r="A1559" s="40" t="n"/>
      <c r="B1559" s="38" t="n"/>
      <c r="C1559" s="40" t="n"/>
      <c r="D1559" s="40" t="n"/>
      <c r="E1559" s="34">
        <f t="array" ref="E1559">IF($B1559="","",IFERROR(INDEX(PERSONAL!$B$2:$B$80,MATCH($B1559,PERSONAL!$A$2:$A$80,0)),"NO EXISTE"))</f>
        <v/>
      </c>
      <c r="F1559" s="34">
        <f t="array" ref="F1559">IF($B1559="","",IFERROR(INDEX(PERSONAL!$C$2:$C$80,MATCH($B1559,PERSONAL!$A$2:$A$80,0)),""))</f>
        <v/>
      </c>
      <c r="G1559" s="34">
        <f>IF($A1559="","",CHOOSE(WEEKDAY($A1559,2),"LUNES","MARTES","MIÉRCOLES","JUEVES","VIERNES","SÁBADO","DOMINGO"))</f>
        <v/>
      </c>
      <c r="H1559" s="34">
        <f>IF($A1559="","",CHOOSE(MONTH($A1559),"ENERO","FEBRERO","MARZO","ABRIL","MAYO","JUNIO","JULIO","AGOSTO","SEPTIEMBRE","OCTUBRE","NOVIEMBRE","DICIEMBRE"))</f>
        <v/>
      </c>
      <c r="I1559" s="34">
        <f>IF($A1559="","",IF(OR($G1559="SÁBADO",$G1559="DOMINGO"),"FIN","LV"))</f>
        <v/>
      </c>
      <c r="J1559" s="34">
        <f>IF(OR($A1559="",$B1559=""),"",IF($L1559&lt;&gt;"",UPPER($L1559),IF($C1559="","FALTA",IFERROR(IF($C1559&gt;=$O1559,"ROJO FUERTE",IF($C1559&gt;=$N1559,"ROJO",IF($C1559&gt;=$M1559,"AMARILLO","VERDE"))),"REVISAR"))))</f>
        <v/>
      </c>
      <c r="K1559" s="36">
        <f>IF(OR($C1559="",$D1559=""),"",IF($D1559&gt;=$C1559,($D1559-$C1559)*24,(1-$C1559+$D1559)*24))</f>
        <v/>
      </c>
      <c r="L1559" s="34" t="n"/>
      <c r="M1559" s="53">
        <f t="array" ref="M1559">IFERROR(INDEX(EXCEPCIONES_FECHA!$D$2:$D$201,MATCH(1,(EXCEPCIONES_FECHA!$A$2:$A$201=$A1559)*(EXCEPCIONES_FECHA!$B$2:$B$201=$B1559),0)),IFERROR(INDEX(EXCEPCIONES_FECHA!$D$2:$D$201,MATCH(1,(EXCEPCIONES_FECHA!$A$2:$A$201=$A1559)*(EXCEPCIONES_FECHA!$B$2:$B$201=""),0)),IFERROR(INDEX(IF($I1559="FIN",HISTORIAL_HORARIOS!$J$2:$J$201,HISTORIAL_HORARIOS!$F$2:$F$201),MATCH(1,(HISTORIAL_HORARIOS!$A$2:$A$201=$B1559)*(HISTORIAL_HORARIOS!$C$2:$C$201&lt;=$A1559)*(HISTORIAL_HORARIOS!$D$2:$D$201&gt;=$A1559),0)),INDEX(IF($I1559="FIN",PERSONAL!$J$2:$J$80,PERSONAL!$F$2:$F$80),MATCH($B1559,PERSONAL!$A$2:$A$80,0)))))</f>
        <v/>
      </c>
      <c r="N1559" s="53">
        <f t="array" ref="N1559">IFERROR(INDEX(EXCEPCIONES_FECHA!$E$2:$E$201,MATCH(1,(EXCEPCIONES_FECHA!$A$2:$A$201=$A1559)*(EXCEPCIONES_FECHA!$B$2:$B$201=$B1559),0)),IFERROR(INDEX(EXCEPCIONES_FECHA!$E$2:$E$201,MATCH(1,(EXCEPCIONES_FECHA!$A$2:$A$201=$A1559)*(EXCEPCIONES_FECHA!$B$2:$B$201=""),0)),IFERROR(INDEX(IF($I1559="FIN",HISTORIAL_HORARIOS!$K$2:$K$201,HISTORIAL_HORARIOS!$G$2:$G$201),MATCH(1,(HISTORIAL_HORARIOS!$A$2:$A$201=$B1559)*(HISTORIAL_HORARIOS!$C$2:$C$201&lt;=$A1559)*(HISTORIAL_HORARIOS!$D$2:$D$201&gt;=$A1559),0)),INDEX(IF($I1559="FIN",PERSONAL!$K$2:$K$80,PERSONAL!$G$2:$G$80),MATCH($B1559,PERSONAL!$A$2:$A$80,0)))))</f>
        <v/>
      </c>
      <c r="O1559" s="53">
        <f t="array" ref="O1559">IFERROR(INDEX(EXCEPCIONES_FECHA!$F$2:$F$201,MATCH(1,(EXCEPCIONES_FECHA!$A$2:$A$201=$A1559)*(EXCEPCIONES_FECHA!$B$2:$B$201=$B1559),0)),IFERROR(INDEX(EXCEPCIONES_FECHA!$F$2:$F$201,MATCH(1,(EXCEPCIONES_FECHA!$A$2:$A$201=$A1559)*(EXCEPCIONES_FECHA!$B$2:$B$201=""),0)),IFERROR(INDEX(IF($I1559="FIN",HISTORIAL_HORARIOS!$L$2:$L$201,HISTORIAL_HORARIOS!$H$2:$H$201),MATCH(1,(HISTORIAL_HORARIOS!$A$2:$A$201=$B1559)*(HISTORIAL_HORARIOS!$C$2:$C$201&lt;=$A1559)*(HISTORIAL_HORARIOS!$D$2:$D$201&gt;=$A1559),0)),INDEX(IF($I1559="FIN",PERSONAL!$L$2:$L$80,PERSONAL!$H$2:$H$80),MATCH($B1559,PERSONAL!$A$2:$A$80,0)))))</f>
        <v/>
      </c>
    </row>
    <row r="1560" ht="15" customHeight="1" s="58">
      <c r="A1560" s="40" t="n"/>
      <c r="B1560" s="38" t="n"/>
      <c r="C1560" s="40" t="n"/>
      <c r="D1560" s="40" t="n"/>
      <c r="E1560" s="34">
        <f t="array" ref="E1560">IF($B1560="","",IFERROR(INDEX(PERSONAL!$B$2:$B$80,MATCH($B1560,PERSONAL!$A$2:$A$80,0)),"NO EXISTE"))</f>
        <v/>
      </c>
      <c r="F1560" s="34">
        <f t="array" ref="F1560">IF($B1560="","",IFERROR(INDEX(PERSONAL!$C$2:$C$80,MATCH($B1560,PERSONAL!$A$2:$A$80,0)),""))</f>
        <v/>
      </c>
      <c r="G1560" s="34">
        <f>IF($A1560="","",CHOOSE(WEEKDAY($A1560,2),"LUNES","MARTES","MIÉRCOLES","JUEVES","VIERNES","SÁBADO","DOMINGO"))</f>
        <v/>
      </c>
      <c r="H1560" s="34">
        <f>IF($A1560="","",CHOOSE(MONTH($A1560),"ENERO","FEBRERO","MARZO","ABRIL","MAYO","JUNIO","JULIO","AGOSTO","SEPTIEMBRE","OCTUBRE","NOVIEMBRE","DICIEMBRE"))</f>
        <v/>
      </c>
      <c r="I1560" s="34">
        <f>IF($A1560="","",IF(OR($G1560="SÁBADO",$G1560="DOMINGO"),"FIN","LV"))</f>
        <v/>
      </c>
      <c r="J1560" s="34">
        <f>IF(OR($A1560="",$B1560=""),"",IF($L1560&lt;&gt;"",UPPER($L1560),IF($C1560="","FALTA",IFERROR(IF($C1560&gt;=$O1560,"ROJO FUERTE",IF($C1560&gt;=$N1560,"ROJO",IF($C1560&gt;=$M1560,"AMARILLO","VERDE"))),"REVISAR"))))</f>
        <v/>
      </c>
      <c r="K1560" s="36">
        <f>IF(OR($C1560="",$D1560=""),"",IF($D1560&gt;=$C1560,($D1560-$C1560)*24,(1-$C1560+$D1560)*24))</f>
        <v/>
      </c>
      <c r="L1560" s="34" t="n"/>
      <c r="M1560" s="53">
        <f t="array" ref="M1560">IFERROR(INDEX(EXCEPCIONES_FECHA!$D$2:$D$201,MATCH(1,(EXCEPCIONES_FECHA!$A$2:$A$201=$A1560)*(EXCEPCIONES_FECHA!$B$2:$B$201=$B1560),0)),IFERROR(INDEX(EXCEPCIONES_FECHA!$D$2:$D$201,MATCH(1,(EXCEPCIONES_FECHA!$A$2:$A$201=$A1560)*(EXCEPCIONES_FECHA!$B$2:$B$201=""),0)),IFERROR(INDEX(IF($I1560="FIN",HISTORIAL_HORARIOS!$J$2:$J$201,HISTORIAL_HORARIOS!$F$2:$F$201),MATCH(1,(HISTORIAL_HORARIOS!$A$2:$A$201=$B1560)*(HISTORIAL_HORARIOS!$C$2:$C$201&lt;=$A1560)*(HISTORIAL_HORARIOS!$D$2:$D$201&gt;=$A1560),0)),INDEX(IF($I1560="FIN",PERSONAL!$J$2:$J$80,PERSONAL!$F$2:$F$80),MATCH($B1560,PERSONAL!$A$2:$A$80,0)))))</f>
        <v/>
      </c>
      <c r="N1560" s="53">
        <f t="array" ref="N1560">IFERROR(INDEX(EXCEPCIONES_FECHA!$E$2:$E$201,MATCH(1,(EXCEPCIONES_FECHA!$A$2:$A$201=$A1560)*(EXCEPCIONES_FECHA!$B$2:$B$201=$B1560),0)),IFERROR(INDEX(EXCEPCIONES_FECHA!$E$2:$E$201,MATCH(1,(EXCEPCIONES_FECHA!$A$2:$A$201=$A1560)*(EXCEPCIONES_FECHA!$B$2:$B$201=""),0)),IFERROR(INDEX(IF($I1560="FIN",HISTORIAL_HORARIOS!$K$2:$K$201,HISTORIAL_HORARIOS!$G$2:$G$201),MATCH(1,(HISTORIAL_HORARIOS!$A$2:$A$201=$B1560)*(HISTORIAL_HORARIOS!$C$2:$C$201&lt;=$A1560)*(HISTORIAL_HORARIOS!$D$2:$D$201&gt;=$A1560),0)),INDEX(IF($I1560="FIN",PERSONAL!$K$2:$K$80,PERSONAL!$G$2:$G$80),MATCH($B1560,PERSONAL!$A$2:$A$80,0)))))</f>
        <v/>
      </c>
      <c r="O1560" s="53">
        <f t="array" ref="O1560">IFERROR(INDEX(EXCEPCIONES_FECHA!$F$2:$F$201,MATCH(1,(EXCEPCIONES_FECHA!$A$2:$A$201=$A1560)*(EXCEPCIONES_FECHA!$B$2:$B$201=$B1560),0)),IFERROR(INDEX(EXCEPCIONES_FECHA!$F$2:$F$201,MATCH(1,(EXCEPCIONES_FECHA!$A$2:$A$201=$A1560)*(EXCEPCIONES_FECHA!$B$2:$B$201=""),0)),IFERROR(INDEX(IF($I1560="FIN",HISTORIAL_HORARIOS!$L$2:$L$201,HISTORIAL_HORARIOS!$H$2:$H$201),MATCH(1,(HISTORIAL_HORARIOS!$A$2:$A$201=$B1560)*(HISTORIAL_HORARIOS!$C$2:$C$201&lt;=$A1560)*(HISTORIAL_HORARIOS!$D$2:$D$201&gt;=$A1560),0)),INDEX(IF($I1560="FIN",PERSONAL!$L$2:$L$80,PERSONAL!$H$2:$H$80),MATCH($B1560,PERSONAL!$A$2:$A$80,0)))))</f>
        <v/>
      </c>
    </row>
    <row r="1561" ht="15" customHeight="1" s="58">
      <c r="A1561" s="40" t="n"/>
      <c r="B1561" s="38" t="n"/>
      <c r="C1561" s="40" t="n"/>
      <c r="D1561" s="40" t="n"/>
      <c r="E1561" s="34">
        <f t="array" ref="E1561">IF($B1561="","",IFERROR(INDEX(PERSONAL!$B$2:$B$80,MATCH($B1561,PERSONAL!$A$2:$A$80,0)),"NO EXISTE"))</f>
        <v/>
      </c>
      <c r="F1561" s="34">
        <f t="array" ref="F1561">IF($B1561="","",IFERROR(INDEX(PERSONAL!$C$2:$C$80,MATCH($B1561,PERSONAL!$A$2:$A$80,0)),""))</f>
        <v/>
      </c>
      <c r="G1561" s="34">
        <f>IF($A1561="","",CHOOSE(WEEKDAY($A1561,2),"LUNES","MARTES","MIÉRCOLES","JUEVES","VIERNES","SÁBADO","DOMINGO"))</f>
        <v/>
      </c>
      <c r="H1561" s="34">
        <f>IF($A1561="","",CHOOSE(MONTH($A1561),"ENERO","FEBRERO","MARZO","ABRIL","MAYO","JUNIO","JULIO","AGOSTO","SEPTIEMBRE","OCTUBRE","NOVIEMBRE","DICIEMBRE"))</f>
        <v/>
      </c>
      <c r="I1561" s="34">
        <f>IF($A1561="","",IF(OR($G1561="SÁBADO",$G1561="DOMINGO"),"FIN","LV"))</f>
        <v/>
      </c>
      <c r="J1561" s="34">
        <f>IF(OR($A1561="",$B1561=""),"",IF($L1561&lt;&gt;"",UPPER($L1561),IF($C1561="","FALTA",IFERROR(IF($C1561&gt;=$O1561,"ROJO FUERTE",IF($C1561&gt;=$N1561,"ROJO",IF($C1561&gt;=$M1561,"AMARILLO","VERDE"))),"REVISAR"))))</f>
        <v/>
      </c>
      <c r="K1561" s="36">
        <f>IF(OR($C1561="",$D1561=""),"",IF($D1561&gt;=$C1561,($D1561-$C1561)*24,(1-$C1561+$D1561)*24))</f>
        <v/>
      </c>
      <c r="L1561" s="34" t="n"/>
      <c r="M1561" s="53">
        <f t="array" ref="M1561">IFERROR(INDEX(EXCEPCIONES_FECHA!$D$2:$D$201,MATCH(1,(EXCEPCIONES_FECHA!$A$2:$A$201=$A1561)*(EXCEPCIONES_FECHA!$B$2:$B$201=$B1561),0)),IFERROR(INDEX(EXCEPCIONES_FECHA!$D$2:$D$201,MATCH(1,(EXCEPCIONES_FECHA!$A$2:$A$201=$A1561)*(EXCEPCIONES_FECHA!$B$2:$B$201=""),0)),IFERROR(INDEX(IF($I1561="FIN",HISTORIAL_HORARIOS!$J$2:$J$201,HISTORIAL_HORARIOS!$F$2:$F$201),MATCH(1,(HISTORIAL_HORARIOS!$A$2:$A$201=$B1561)*(HISTORIAL_HORARIOS!$C$2:$C$201&lt;=$A1561)*(HISTORIAL_HORARIOS!$D$2:$D$201&gt;=$A1561),0)),INDEX(IF($I1561="FIN",PERSONAL!$J$2:$J$80,PERSONAL!$F$2:$F$80),MATCH($B1561,PERSONAL!$A$2:$A$80,0)))))</f>
        <v/>
      </c>
      <c r="N1561" s="53">
        <f t="array" ref="N1561">IFERROR(INDEX(EXCEPCIONES_FECHA!$E$2:$E$201,MATCH(1,(EXCEPCIONES_FECHA!$A$2:$A$201=$A1561)*(EXCEPCIONES_FECHA!$B$2:$B$201=$B1561),0)),IFERROR(INDEX(EXCEPCIONES_FECHA!$E$2:$E$201,MATCH(1,(EXCEPCIONES_FECHA!$A$2:$A$201=$A1561)*(EXCEPCIONES_FECHA!$B$2:$B$201=""),0)),IFERROR(INDEX(IF($I1561="FIN",HISTORIAL_HORARIOS!$K$2:$K$201,HISTORIAL_HORARIOS!$G$2:$G$201),MATCH(1,(HISTORIAL_HORARIOS!$A$2:$A$201=$B1561)*(HISTORIAL_HORARIOS!$C$2:$C$201&lt;=$A1561)*(HISTORIAL_HORARIOS!$D$2:$D$201&gt;=$A1561),0)),INDEX(IF($I1561="FIN",PERSONAL!$K$2:$K$80,PERSONAL!$G$2:$G$80),MATCH($B1561,PERSONAL!$A$2:$A$80,0)))))</f>
        <v/>
      </c>
      <c r="O1561" s="53">
        <f t="array" ref="O1561">IFERROR(INDEX(EXCEPCIONES_FECHA!$F$2:$F$201,MATCH(1,(EXCEPCIONES_FECHA!$A$2:$A$201=$A1561)*(EXCEPCIONES_FECHA!$B$2:$B$201=$B1561),0)),IFERROR(INDEX(EXCEPCIONES_FECHA!$F$2:$F$201,MATCH(1,(EXCEPCIONES_FECHA!$A$2:$A$201=$A1561)*(EXCEPCIONES_FECHA!$B$2:$B$201=""),0)),IFERROR(INDEX(IF($I1561="FIN",HISTORIAL_HORARIOS!$L$2:$L$201,HISTORIAL_HORARIOS!$H$2:$H$201),MATCH(1,(HISTORIAL_HORARIOS!$A$2:$A$201=$B1561)*(HISTORIAL_HORARIOS!$C$2:$C$201&lt;=$A1561)*(HISTORIAL_HORARIOS!$D$2:$D$201&gt;=$A1561),0)),INDEX(IF($I1561="FIN",PERSONAL!$L$2:$L$80,PERSONAL!$H$2:$H$80),MATCH($B1561,PERSONAL!$A$2:$A$80,0)))))</f>
        <v/>
      </c>
    </row>
    <row r="1562" ht="15" customHeight="1" s="58">
      <c r="A1562" s="40" t="n"/>
      <c r="B1562" s="38" t="n"/>
      <c r="C1562" s="40" t="n"/>
      <c r="D1562" s="40" t="n"/>
      <c r="E1562" s="34">
        <f t="array" ref="E1562">IF($B1562="","",IFERROR(INDEX(PERSONAL!$B$2:$B$80,MATCH($B1562,PERSONAL!$A$2:$A$80,0)),"NO EXISTE"))</f>
        <v/>
      </c>
      <c r="F1562" s="34">
        <f t="array" ref="F1562">IF($B1562="","",IFERROR(INDEX(PERSONAL!$C$2:$C$80,MATCH($B1562,PERSONAL!$A$2:$A$80,0)),""))</f>
        <v/>
      </c>
      <c r="G1562" s="34">
        <f>IF($A1562="","",CHOOSE(WEEKDAY($A1562,2),"LUNES","MARTES","MIÉRCOLES","JUEVES","VIERNES","SÁBADO","DOMINGO"))</f>
        <v/>
      </c>
      <c r="H1562" s="34">
        <f>IF($A1562="","",CHOOSE(MONTH($A1562),"ENERO","FEBRERO","MARZO","ABRIL","MAYO","JUNIO","JULIO","AGOSTO","SEPTIEMBRE","OCTUBRE","NOVIEMBRE","DICIEMBRE"))</f>
        <v/>
      </c>
      <c r="I1562" s="34">
        <f>IF($A1562="","",IF(OR($G1562="SÁBADO",$G1562="DOMINGO"),"FIN","LV"))</f>
        <v/>
      </c>
      <c r="J1562" s="34">
        <f>IF(OR($A1562="",$B1562=""),"",IF($L1562&lt;&gt;"",UPPER($L1562),IF($C1562="","FALTA",IFERROR(IF($C1562&gt;=$O1562,"ROJO FUERTE",IF($C1562&gt;=$N1562,"ROJO",IF($C1562&gt;=$M1562,"AMARILLO","VERDE"))),"REVISAR"))))</f>
        <v/>
      </c>
      <c r="K1562" s="36">
        <f>IF(OR($C1562="",$D1562=""),"",IF($D1562&gt;=$C1562,($D1562-$C1562)*24,(1-$C1562+$D1562)*24))</f>
        <v/>
      </c>
      <c r="L1562" s="34" t="n"/>
      <c r="M1562" s="53">
        <f t="array" ref="M1562">IFERROR(INDEX(EXCEPCIONES_FECHA!$D$2:$D$201,MATCH(1,(EXCEPCIONES_FECHA!$A$2:$A$201=$A1562)*(EXCEPCIONES_FECHA!$B$2:$B$201=$B1562),0)),IFERROR(INDEX(EXCEPCIONES_FECHA!$D$2:$D$201,MATCH(1,(EXCEPCIONES_FECHA!$A$2:$A$201=$A1562)*(EXCEPCIONES_FECHA!$B$2:$B$201=""),0)),IFERROR(INDEX(IF($I1562="FIN",HISTORIAL_HORARIOS!$J$2:$J$201,HISTORIAL_HORARIOS!$F$2:$F$201),MATCH(1,(HISTORIAL_HORARIOS!$A$2:$A$201=$B1562)*(HISTORIAL_HORARIOS!$C$2:$C$201&lt;=$A1562)*(HISTORIAL_HORARIOS!$D$2:$D$201&gt;=$A1562),0)),INDEX(IF($I1562="FIN",PERSONAL!$J$2:$J$80,PERSONAL!$F$2:$F$80),MATCH($B1562,PERSONAL!$A$2:$A$80,0)))))</f>
        <v/>
      </c>
      <c r="N1562" s="53">
        <f t="array" ref="N1562">IFERROR(INDEX(EXCEPCIONES_FECHA!$E$2:$E$201,MATCH(1,(EXCEPCIONES_FECHA!$A$2:$A$201=$A1562)*(EXCEPCIONES_FECHA!$B$2:$B$201=$B1562),0)),IFERROR(INDEX(EXCEPCIONES_FECHA!$E$2:$E$201,MATCH(1,(EXCEPCIONES_FECHA!$A$2:$A$201=$A1562)*(EXCEPCIONES_FECHA!$B$2:$B$201=""),0)),IFERROR(INDEX(IF($I1562="FIN",HISTORIAL_HORARIOS!$K$2:$K$201,HISTORIAL_HORARIOS!$G$2:$G$201),MATCH(1,(HISTORIAL_HORARIOS!$A$2:$A$201=$B1562)*(HISTORIAL_HORARIOS!$C$2:$C$201&lt;=$A1562)*(HISTORIAL_HORARIOS!$D$2:$D$201&gt;=$A1562),0)),INDEX(IF($I1562="FIN",PERSONAL!$K$2:$K$80,PERSONAL!$G$2:$G$80),MATCH($B1562,PERSONAL!$A$2:$A$80,0)))))</f>
        <v/>
      </c>
      <c r="O1562" s="53">
        <f t="array" ref="O1562">IFERROR(INDEX(EXCEPCIONES_FECHA!$F$2:$F$201,MATCH(1,(EXCEPCIONES_FECHA!$A$2:$A$201=$A1562)*(EXCEPCIONES_FECHA!$B$2:$B$201=$B1562),0)),IFERROR(INDEX(EXCEPCIONES_FECHA!$F$2:$F$201,MATCH(1,(EXCEPCIONES_FECHA!$A$2:$A$201=$A1562)*(EXCEPCIONES_FECHA!$B$2:$B$201=""),0)),IFERROR(INDEX(IF($I1562="FIN",HISTORIAL_HORARIOS!$L$2:$L$201,HISTORIAL_HORARIOS!$H$2:$H$201),MATCH(1,(HISTORIAL_HORARIOS!$A$2:$A$201=$B1562)*(HISTORIAL_HORARIOS!$C$2:$C$201&lt;=$A1562)*(HISTORIAL_HORARIOS!$D$2:$D$201&gt;=$A1562),0)),INDEX(IF($I1562="FIN",PERSONAL!$L$2:$L$80,PERSONAL!$H$2:$H$80),MATCH($B1562,PERSONAL!$A$2:$A$80,0)))))</f>
        <v/>
      </c>
    </row>
    <row r="1563" ht="15" customHeight="1" s="58">
      <c r="A1563" s="40" t="n"/>
      <c r="B1563" s="38" t="n"/>
      <c r="C1563" s="40" t="n"/>
      <c r="D1563" s="40" t="n"/>
      <c r="E1563" s="34">
        <f t="array" ref="E1563">IF($B1563="","",IFERROR(INDEX(PERSONAL!$B$2:$B$80,MATCH($B1563,PERSONAL!$A$2:$A$80,0)),"NO EXISTE"))</f>
        <v/>
      </c>
      <c r="F1563" s="34">
        <f t="array" ref="F1563">IF($B1563="","",IFERROR(INDEX(PERSONAL!$C$2:$C$80,MATCH($B1563,PERSONAL!$A$2:$A$80,0)),""))</f>
        <v/>
      </c>
      <c r="G1563" s="34">
        <f>IF($A1563="","",CHOOSE(WEEKDAY($A1563,2),"LUNES","MARTES","MIÉRCOLES","JUEVES","VIERNES","SÁBADO","DOMINGO"))</f>
        <v/>
      </c>
      <c r="H1563" s="34">
        <f>IF($A1563="","",CHOOSE(MONTH($A1563),"ENERO","FEBRERO","MARZO","ABRIL","MAYO","JUNIO","JULIO","AGOSTO","SEPTIEMBRE","OCTUBRE","NOVIEMBRE","DICIEMBRE"))</f>
        <v/>
      </c>
      <c r="I1563" s="34">
        <f>IF($A1563="","",IF(OR($G1563="SÁBADO",$G1563="DOMINGO"),"FIN","LV"))</f>
        <v/>
      </c>
      <c r="J1563" s="34">
        <f>IF(OR($A1563="",$B1563=""),"",IF($L1563&lt;&gt;"",UPPER($L1563),IF($C1563="","FALTA",IFERROR(IF($C1563&gt;=$O1563,"ROJO FUERTE",IF($C1563&gt;=$N1563,"ROJO",IF($C1563&gt;=$M1563,"AMARILLO","VERDE"))),"REVISAR"))))</f>
        <v/>
      </c>
      <c r="K1563" s="36">
        <f>IF(OR($C1563="",$D1563=""),"",IF($D1563&gt;=$C1563,($D1563-$C1563)*24,(1-$C1563+$D1563)*24))</f>
        <v/>
      </c>
      <c r="L1563" s="34" t="n"/>
      <c r="M1563" s="53">
        <f t="array" ref="M1563">IFERROR(INDEX(EXCEPCIONES_FECHA!$D$2:$D$201,MATCH(1,(EXCEPCIONES_FECHA!$A$2:$A$201=$A1563)*(EXCEPCIONES_FECHA!$B$2:$B$201=$B1563),0)),IFERROR(INDEX(EXCEPCIONES_FECHA!$D$2:$D$201,MATCH(1,(EXCEPCIONES_FECHA!$A$2:$A$201=$A1563)*(EXCEPCIONES_FECHA!$B$2:$B$201=""),0)),IFERROR(INDEX(IF($I1563="FIN",HISTORIAL_HORARIOS!$J$2:$J$201,HISTORIAL_HORARIOS!$F$2:$F$201),MATCH(1,(HISTORIAL_HORARIOS!$A$2:$A$201=$B1563)*(HISTORIAL_HORARIOS!$C$2:$C$201&lt;=$A1563)*(HISTORIAL_HORARIOS!$D$2:$D$201&gt;=$A1563),0)),INDEX(IF($I1563="FIN",PERSONAL!$J$2:$J$80,PERSONAL!$F$2:$F$80),MATCH($B1563,PERSONAL!$A$2:$A$80,0)))))</f>
        <v/>
      </c>
      <c r="N1563" s="53">
        <f t="array" ref="N1563">IFERROR(INDEX(EXCEPCIONES_FECHA!$E$2:$E$201,MATCH(1,(EXCEPCIONES_FECHA!$A$2:$A$201=$A1563)*(EXCEPCIONES_FECHA!$B$2:$B$201=$B1563),0)),IFERROR(INDEX(EXCEPCIONES_FECHA!$E$2:$E$201,MATCH(1,(EXCEPCIONES_FECHA!$A$2:$A$201=$A1563)*(EXCEPCIONES_FECHA!$B$2:$B$201=""),0)),IFERROR(INDEX(IF($I1563="FIN",HISTORIAL_HORARIOS!$K$2:$K$201,HISTORIAL_HORARIOS!$G$2:$G$201),MATCH(1,(HISTORIAL_HORARIOS!$A$2:$A$201=$B1563)*(HISTORIAL_HORARIOS!$C$2:$C$201&lt;=$A1563)*(HISTORIAL_HORARIOS!$D$2:$D$201&gt;=$A1563),0)),INDEX(IF($I1563="FIN",PERSONAL!$K$2:$K$80,PERSONAL!$G$2:$G$80),MATCH($B1563,PERSONAL!$A$2:$A$80,0)))))</f>
        <v/>
      </c>
      <c r="O1563" s="53">
        <f t="array" ref="O1563">IFERROR(INDEX(EXCEPCIONES_FECHA!$F$2:$F$201,MATCH(1,(EXCEPCIONES_FECHA!$A$2:$A$201=$A1563)*(EXCEPCIONES_FECHA!$B$2:$B$201=$B1563),0)),IFERROR(INDEX(EXCEPCIONES_FECHA!$F$2:$F$201,MATCH(1,(EXCEPCIONES_FECHA!$A$2:$A$201=$A1563)*(EXCEPCIONES_FECHA!$B$2:$B$201=""),0)),IFERROR(INDEX(IF($I1563="FIN",HISTORIAL_HORARIOS!$L$2:$L$201,HISTORIAL_HORARIOS!$H$2:$H$201),MATCH(1,(HISTORIAL_HORARIOS!$A$2:$A$201=$B1563)*(HISTORIAL_HORARIOS!$C$2:$C$201&lt;=$A1563)*(HISTORIAL_HORARIOS!$D$2:$D$201&gt;=$A1563),0)),INDEX(IF($I1563="FIN",PERSONAL!$L$2:$L$80,PERSONAL!$H$2:$H$80),MATCH($B1563,PERSONAL!$A$2:$A$80,0)))))</f>
        <v/>
      </c>
    </row>
    <row r="1564" ht="15" customHeight="1" s="58">
      <c r="A1564" s="40" t="n"/>
      <c r="B1564" s="38" t="n"/>
      <c r="C1564" s="40" t="n"/>
      <c r="D1564" s="40" t="n"/>
      <c r="E1564" s="34">
        <f t="array" ref="E1564">IF($B1564="","",IFERROR(INDEX(PERSONAL!$B$2:$B$80,MATCH($B1564,PERSONAL!$A$2:$A$80,0)),"NO EXISTE"))</f>
        <v/>
      </c>
      <c r="F1564" s="34">
        <f t="array" ref="F1564">IF($B1564="","",IFERROR(INDEX(PERSONAL!$C$2:$C$80,MATCH($B1564,PERSONAL!$A$2:$A$80,0)),""))</f>
        <v/>
      </c>
      <c r="G1564" s="34">
        <f>IF($A1564="","",CHOOSE(WEEKDAY($A1564,2),"LUNES","MARTES","MIÉRCOLES","JUEVES","VIERNES","SÁBADO","DOMINGO"))</f>
        <v/>
      </c>
      <c r="H1564" s="34">
        <f>IF($A1564="","",CHOOSE(MONTH($A1564),"ENERO","FEBRERO","MARZO","ABRIL","MAYO","JUNIO","JULIO","AGOSTO","SEPTIEMBRE","OCTUBRE","NOVIEMBRE","DICIEMBRE"))</f>
        <v/>
      </c>
      <c r="I1564" s="34">
        <f>IF($A1564="","",IF(OR($G1564="SÁBADO",$G1564="DOMINGO"),"FIN","LV"))</f>
        <v/>
      </c>
      <c r="J1564" s="34">
        <f>IF(OR($A1564="",$B1564=""),"",IF($L1564&lt;&gt;"",UPPER($L1564),IF($C1564="","FALTA",IFERROR(IF($C1564&gt;=$O1564,"ROJO FUERTE",IF($C1564&gt;=$N1564,"ROJO",IF($C1564&gt;=$M1564,"AMARILLO","VERDE"))),"REVISAR"))))</f>
        <v/>
      </c>
      <c r="K1564" s="36">
        <f>IF(OR($C1564="",$D1564=""),"",IF($D1564&gt;=$C1564,($D1564-$C1564)*24,(1-$C1564+$D1564)*24))</f>
        <v/>
      </c>
      <c r="L1564" s="34" t="n"/>
      <c r="M1564" s="53">
        <f t="array" ref="M1564">IFERROR(INDEX(EXCEPCIONES_FECHA!$D$2:$D$201,MATCH(1,(EXCEPCIONES_FECHA!$A$2:$A$201=$A1564)*(EXCEPCIONES_FECHA!$B$2:$B$201=$B1564),0)),IFERROR(INDEX(EXCEPCIONES_FECHA!$D$2:$D$201,MATCH(1,(EXCEPCIONES_FECHA!$A$2:$A$201=$A1564)*(EXCEPCIONES_FECHA!$B$2:$B$201=""),0)),IFERROR(INDEX(IF($I1564="FIN",HISTORIAL_HORARIOS!$J$2:$J$201,HISTORIAL_HORARIOS!$F$2:$F$201),MATCH(1,(HISTORIAL_HORARIOS!$A$2:$A$201=$B1564)*(HISTORIAL_HORARIOS!$C$2:$C$201&lt;=$A1564)*(HISTORIAL_HORARIOS!$D$2:$D$201&gt;=$A1564),0)),INDEX(IF($I1564="FIN",PERSONAL!$J$2:$J$80,PERSONAL!$F$2:$F$80),MATCH($B1564,PERSONAL!$A$2:$A$80,0)))))</f>
        <v/>
      </c>
      <c r="N1564" s="53">
        <f t="array" ref="N1564">IFERROR(INDEX(EXCEPCIONES_FECHA!$E$2:$E$201,MATCH(1,(EXCEPCIONES_FECHA!$A$2:$A$201=$A1564)*(EXCEPCIONES_FECHA!$B$2:$B$201=$B1564),0)),IFERROR(INDEX(EXCEPCIONES_FECHA!$E$2:$E$201,MATCH(1,(EXCEPCIONES_FECHA!$A$2:$A$201=$A1564)*(EXCEPCIONES_FECHA!$B$2:$B$201=""),0)),IFERROR(INDEX(IF($I1564="FIN",HISTORIAL_HORARIOS!$K$2:$K$201,HISTORIAL_HORARIOS!$G$2:$G$201),MATCH(1,(HISTORIAL_HORARIOS!$A$2:$A$201=$B1564)*(HISTORIAL_HORARIOS!$C$2:$C$201&lt;=$A1564)*(HISTORIAL_HORARIOS!$D$2:$D$201&gt;=$A1564),0)),INDEX(IF($I1564="FIN",PERSONAL!$K$2:$K$80,PERSONAL!$G$2:$G$80),MATCH($B1564,PERSONAL!$A$2:$A$80,0)))))</f>
        <v/>
      </c>
      <c r="O1564" s="53">
        <f t="array" ref="O1564">IFERROR(INDEX(EXCEPCIONES_FECHA!$F$2:$F$201,MATCH(1,(EXCEPCIONES_FECHA!$A$2:$A$201=$A1564)*(EXCEPCIONES_FECHA!$B$2:$B$201=$B1564),0)),IFERROR(INDEX(EXCEPCIONES_FECHA!$F$2:$F$201,MATCH(1,(EXCEPCIONES_FECHA!$A$2:$A$201=$A1564)*(EXCEPCIONES_FECHA!$B$2:$B$201=""),0)),IFERROR(INDEX(IF($I1564="FIN",HISTORIAL_HORARIOS!$L$2:$L$201,HISTORIAL_HORARIOS!$H$2:$H$201),MATCH(1,(HISTORIAL_HORARIOS!$A$2:$A$201=$B1564)*(HISTORIAL_HORARIOS!$C$2:$C$201&lt;=$A1564)*(HISTORIAL_HORARIOS!$D$2:$D$201&gt;=$A1564),0)),INDEX(IF($I1564="FIN",PERSONAL!$L$2:$L$80,PERSONAL!$H$2:$H$80),MATCH($B1564,PERSONAL!$A$2:$A$80,0)))))</f>
        <v/>
      </c>
    </row>
    <row r="1565" ht="15" customHeight="1" s="58">
      <c r="A1565" s="40" t="n"/>
      <c r="B1565" s="38" t="n"/>
      <c r="C1565" s="40" t="n"/>
      <c r="D1565" s="40" t="n"/>
      <c r="E1565" s="34">
        <f t="array" ref="E1565">IF($B1565="","",IFERROR(INDEX(PERSONAL!$B$2:$B$80,MATCH($B1565,PERSONAL!$A$2:$A$80,0)),"NO EXISTE"))</f>
        <v/>
      </c>
      <c r="F1565" s="34">
        <f t="array" ref="F1565">IF($B1565="","",IFERROR(INDEX(PERSONAL!$C$2:$C$80,MATCH($B1565,PERSONAL!$A$2:$A$80,0)),""))</f>
        <v/>
      </c>
      <c r="G1565" s="34">
        <f>IF($A1565="","",CHOOSE(WEEKDAY($A1565,2),"LUNES","MARTES","MIÉRCOLES","JUEVES","VIERNES","SÁBADO","DOMINGO"))</f>
        <v/>
      </c>
      <c r="H1565" s="34">
        <f>IF($A1565="","",CHOOSE(MONTH($A1565),"ENERO","FEBRERO","MARZO","ABRIL","MAYO","JUNIO","JULIO","AGOSTO","SEPTIEMBRE","OCTUBRE","NOVIEMBRE","DICIEMBRE"))</f>
        <v/>
      </c>
      <c r="I1565" s="34">
        <f>IF($A1565="","",IF(OR($G1565="SÁBADO",$G1565="DOMINGO"),"FIN","LV"))</f>
        <v/>
      </c>
      <c r="J1565" s="34">
        <f>IF(OR($A1565="",$B1565=""),"",IF($L1565&lt;&gt;"",UPPER($L1565),IF($C1565="","FALTA",IFERROR(IF($C1565&gt;=$O1565,"ROJO FUERTE",IF($C1565&gt;=$N1565,"ROJO",IF($C1565&gt;=$M1565,"AMARILLO","VERDE"))),"REVISAR"))))</f>
        <v/>
      </c>
      <c r="K1565" s="36">
        <f>IF(OR($C1565="",$D1565=""),"",IF($D1565&gt;=$C1565,($D1565-$C1565)*24,(1-$C1565+$D1565)*24))</f>
        <v/>
      </c>
      <c r="L1565" s="34" t="n"/>
      <c r="M1565" s="53">
        <f t="array" ref="M1565">IFERROR(INDEX(EXCEPCIONES_FECHA!$D$2:$D$201,MATCH(1,(EXCEPCIONES_FECHA!$A$2:$A$201=$A1565)*(EXCEPCIONES_FECHA!$B$2:$B$201=$B1565),0)),IFERROR(INDEX(EXCEPCIONES_FECHA!$D$2:$D$201,MATCH(1,(EXCEPCIONES_FECHA!$A$2:$A$201=$A1565)*(EXCEPCIONES_FECHA!$B$2:$B$201=""),0)),IFERROR(INDEX(IF($I1565="FIN",HISTORIAL_HORARIOS!$J$2:$J$201,HISTORIAL_HORARIOS!$F$2:$F$201),MATCH(1,(HISTORIAL_HORARIOS!$A$2:$A$201=$B1565)*(HISTORIAL_HORARIOS!$C$2:$C$201&lt;=$A1565)*(HISTORIAL_HORARIOS!$D$2:$D$201&gt;=$A1565),0)),INDEX(IF($I1565="FIN",PERSONAL!$J$2:$J$80,PERSONAL!$F$2:$F$80),MATCH($B1565,PERSONAL!$A$2:$A$80,0)))))</f>
        <v/>
      </c>
      <c r="N1565" s="53">
        <f t="array" ref="N1565">IFERROR(INDEX(EXCEPCIONES_FECHA!$E$2:$E$201,MATCH(1,(EXCEPCIONES_FECHA!$A$2:$A$201=$A1565)*(EXCEPCIONES_FECHA!$B$2:$B$201=$B1565),0)),IFERROR(INDEX(EXCEPCIONES_FECHA!$E$2:$E$201,MATCH(1,(EXCEPCIONES_FECHA!$A$2:$A$201=$A1565)*(EXCEPCIONES_FECHA!$B$2:$B$201=""),0)),IFERROR(INDEX(IF($I1565="FIN",HISTORIAL_HORARIOS!$K$2:$K$201,HISTORIAL_HORARIOS!$G$2:$G$201),MATCH(1,(HISTORIAL_HORARIOS!$A$2:$A$201=$B1565)*(HISTORIAL_HORARIOS!$C$2:$C$201&lt;=$A1565)*(HISTORIAL_HORARIOS!$D$2:$D$201&gt;=$A1565),0)),INDEX(IF($I1565="FIN",PERSONAL!$K$2:$K$80,PERSONAL!$G$2:$G$80),MATCH($B1565,PERSONAL!$A$2:$A$80,0)))))</f>
        <v/>
      </c>
      <c r="O1565" s="53">
        <f t="array" ref="O1565">IFERROR(INDEX(EXCEPCIONES_FECHA!$F$2:$F$201,MATCH(1,(EXCEPCIONES_FECHA!$A$2:$A$201=$A1565)*(EXCEPCIONES_FECHA!$B$2:$B$201=$B1565),0)),IFERROR(INDEX(EXCEPCIONES_FECHA!$F$2:$F$201,MATCH(1,(EXCEPCIONES_FECHA!$A$2:$A$201=$A1565)*(EXCEPCIONES_FECHA!$B$2:$B$201=""),0)),IFERROR(INDEX(IF($I1565="FIN",HISTORIAL_HORARIOS!$L$2:$L$201,HISTORIAL_HORARIOS!$H$2:$H$201),MATCH(1,(HISTORIAL_HORARIOS!$A$2:$A$201=$B1565)*(HISTORIAL_HORARIOS!$C$2:$C$201&lt;=$A1565)*(HISTORIAL_HORARIOS!$D$2:$D$201&gt;=$A1565),0)),INDEX(IF($I1565="FIN",PERSONAL!$L$2:$L$80,PERSONAL!$H$2:$H$80),MATCH($B1565,PERSONAL!$A$2:$A$80,0)))))</f>
        <v/>
      </c>
    </row>
    <row r="1566" ht="15" customHeight="1" s="58">
      <c r="A1566" s="40" t="n"/>
      <c r="B1566" s="38" t="n"/>
      <c r="C1566" s="40" t="n"/>
      <c r="D1566" s="40" t="n"/>
      <c r="E1566" s="34">
        <f t="array" ref="E1566">IF($B1566="","",IFERROR(INDEX(PERSONAL!$B$2:$B$80,MATCH($B1566,PERSONAL!$A$2:$A$80,0)),"NO EXISTE"))</f>
        <v/>
      </c>
      <c r="F1566" s="34">
        <f t="array" ref="F1566">IF($B1566="","",IFERROR(INDEX(PERSONAL!$C$2:$C$80,MATCH($B1566,PERSONAL!$A$2:$A$80,0)),""))</f>
        <v/>
      </c>
      <c r="G1566" s="34">
        <f>IF($A1566="","",CHOOSE(WEEKDAY($A1566,2),"LUNES","MARTES","MIÉRCOLES","JUEVES","VIERNES","SÁBADO","DOMINGO"))</f>
        <v/>
      </c>
      <c r="H1566" s="34">
        <f>IF($A1566="","",CHOOSE(MONTH($A1566),"ENERO","FEBRERO","MARZO","ABRIL","MAYO","JUNIO","JULIO","AGOSTO","SEPTIEMBRE","OCTUBRE","NOVIEMBRE","DICIEMBRE"))</f>
        <v/>
      </c>
      <c r="I1566" s="34">
        <f>IF($A1566="","",IF(OR($G1566="SÁBADO",$G1566="DOMINGO"),"FIN","LV"))</f>
        <v/>
      </c>
      <c r="J1566" s="34">
        <f>IF(OR($A1566="",$B1566=""),"",IF($L1566&lt;&gt;"",UPPER($L1566),IF($C1566="","FALTA",IFERROR(IF($C1566&gt;=$O1566,"ROJO FUERTE",IF($C1566&gt;=$N1566,"ROJO",IF($C1566&gt;=$M1566,"AMARILLO","VERDE"))),"REVISAR"))))</f>
        <v/>
      </c>
      <c r="K1566" s="36">
        <f>IF(OR($C1566="",$D1566=""),"",IF($D1566&gt;=$C1566,($D1566-$C1566)*24,(1-$C1566+$D1566)*24))</f>
        <v/>
      </c>
      <c r="L1566" s="34" t="n"/>
      <c r="M1566" s="53">
        <f t="array" ref="M1566">IFERROR(INDEX(EXCEPCIONES_FECHA!$D$2:$D$201,MATCH(1,(EXCEPCIONES_FECHA!$A$2:$A$201=$A1566)*(EXCEPCIONES_FECHA!$B$2:$B$201=$B1566),0)),IFERROR(INDEX(EXCEPCIONES_FECHA!$D$2:$D$201,MATCH(1,(EXCEPCIONES_FECHA!$A$2:$A$201=$A1566)*(EXCEPCIONES_FECHA!$B$2:$B$201=""),0)),IFERROR(INDEX(IF($I1566="FIN",HISTORIAL_HORARIOS!$J$2:$J$201,HISTORIAL_HORARIOS!$F$2:$F$201),MATCH(1,(HISTORIAL_HORARIOS!$A$2:$A$201=$B1566)*(HISTORIAL_HORARIOS!$C$2:$C$201&lt;=$A1566)*(HISTORIAL_HORARIOS!$D$2:$D$201&gt;=$A1566),0)),INDEX(IF($I1566="FIN",PERSONAL!$J$2:$J$80,PERSONAL!$F$2:$F$80),MATCH($B1566,PERSONAL!$A$2:$A$80,0)))))</f>
        <v/>
      </c>
      <c r="N1566" s="53">
        <f t="array" ref="N1566">IFERROR(INDEX(EXCEPCIONES_FECHA!$E$2:$E$201,MATCH(1,(EXCEPCIONES_FECHA!$A$2:$A$201=$A1566)*(EXCEPCIONES_FECHA!$B$2:$B$201=$B1566),0)),IFERROR(INDEX(EXCEPCIONES_FECHA!$E$2:$E$201,MATCH(1,(EXCEPCIONES_FECHA!$A$2:$A$201=$A1566)*(EXCEPCIONES_FECHA!$B$2:$B$201=""),0)),IFERROR(INDEX(IF($I1566="FIN",HISTORIAL_HORARIOS!$K$2:$K$201,HISTORIAL_HORARIOS!$G$2:$G$201),MATCH(1,(HISTORIAL_HORARIOS!$A$2:$A$201=$B1566)*(HISTORIAL_HORARIOS!$C$2:$C$201&lt;=$A1566)*(HISTORIAL_HORARIOS!$D$2:$D$201&gt;=$A1566),0)),INDEX(IF($I1566="FIN",PERSONAL!$K$2:$K$80,PERSONAL!$G$2:$G$80),MATCH($B1566,PERSONAL!$A$2:$A$80,0)))))</f>
        <v/>
      </c>
      <c r="O1566" s="53">
        <f t="array" ref="O1566">IFERROR(INDEX(EXCEPCIONES_FECHA!$F$2:$F$201,MATCH(1,(EXCEPCIONES_FECHA!$A$2:$A$201=$A1566)*(EXCEPCIONES_FECHA!$B$2:$B$201=$B1566),0)),IFERROR(INDEX(EXCEPCIONES_FECHA!$F$2:$F$201,MATCH(1,(EXCEPCIONES_FECHA!$A$2:$A$201=$A1566)*(EXCEPCIONES_FECHA!$B$2:$B$201=""),0)),IFERROR(INDEX(IF($I1566="FIN",HISTORIAL_HORARIOS!$L$2:$L$201,HISTORIAL_HORARIOS!$H$2:$H$201),MATCH(1,(HISTORIAL_HORARIOS!$A$2:$A$201=$B1566)*(HISTORIAL_HORARIOS!$C$2:$C$201&lt;=$A1566)*(HISTORIAL_HORARIOS!$D$2:$D$201&gt;=$A1566),0)),INDEX(IF($I1566="FIN",PERSONAL!$L$2:$L$80,PERSONAL!$H$2:$H$80),MATCH($B1566,PERSONAL!$A$2:$A$80,0)))))</f>
        <v/>
      </c>
    </row>
    <row r="1567" ht="15" customHeight="1" s="58">
      <c r="A1567" s="40" t="n"/>
      <c r="B1567" s="38" t="n"/>
      <c r="C1567" s="40" t="n"/>
      <c r="D1567" s="40" t="n"/>
      <c r="E1567" s="34">
        <f t="array" ref="E1567">IF($B1567="","",IFERROR(INDEX(PERSONAL!$B$2:$B$80,MATCH($B1567,PERSONAL!$A$2:$A$80,0)),"NO EXISTE"))</f>
        <v/>
      </c>
      <c r="F1567" s="34">
        <f t="array" ref="F1567">IF($B1567="","",IFERROR(INDEX(PERSONAL!$C$2:$C$80,MATCH($B1567,PERSONAL!$A$2:$A$80,0)),""))</f>
        <v/>
      </c>
      <c r="G1567" s="34">
        <f>IF($A1567="","",CHOOSE(WEEKDAY($A1567,2),"LUNES","MARTES","MIÉRCOLES","JUEVES","VIERNES","SÁBADO","DOMINGO"))</f>
        <v/>
      </c>
      <c r="H1567" s="34">
        <f>IF($A1567="","",CHOOSE(MONTH($A1567),"ENERO","FEBRERO","MARZO","ABRIL","MAYO","JUNIO","JULIO","AGOSTO","SEPTIEMBRE","OCTUBRE","NOVIEMBRE","DICIEMBRE"))</f>
        <v/>
      </c>
      <c r="I1567" s="34">
        <f>IF($A1567="","",IF(OR($G1567="SÁBADO",$G1567="DOMINGO"),"FIN","LV"))</f>
        <v/>
      </c>
      <c r="J1567" s="34">
        <f>IF(OR($A1567="",$B1567=""),"",IF($L1567&lt;&gt;"",UPPER($L1567),IF($C1567="","FALTA",IFERROR(IF($C1567&gt;=$O1567,"ROJO FUERTE",IF($C1567&gt;=$N1567,"ROJO",IF($C1567&gt;=$M1567,"AMARILLO","VERDE"))),"REVISAR"))))</f>
        <v/>
      </c>
      <c r="K1567" s="36">
        <f>IF(OR($C1567="",$D1567=""),"",IF($D1567&gt;=$C1567,($D1567-$C1567)*24,(1-$C1567+$D1567)*24))</f>
        <v/>
      </c>
      <c r="L1567" s="34" t="n"/>
      <c r="M1567" s="53">
        <f t="array" ref="M1567">IFERROR(INDEX(EXCEPCIONES_FECHA!$D$2:$D$201,MATCH(1,(EXCEPCIONES_FECHA!$A$2:$A$201=$A1567)*(EXCEPCIONES_FECHA!$B$2:$B$201=$B1567),0)),IFERROR(INDEX(EXCEPCIONES_FECHA!$D$2:$D$201,MATCH(1,(EXCEPCIONES_FECHA!$A$2:$A$201=$A1567)*(EXCEPCIONES_FECHA!$B$2:$B$201=""),0)),IFERROR(INDEX(IF($I1567="FIN",HISTORIAL_HORARIOS!$J$2:$J$201,HISTORIAL_HORARIOS!$F$2:$F$201),MATCH(1,(HISTORIAL_HORARIOS!$A$2:$A$201=$B1567)*(HISTORIAL_HORARIOS!$C$2:$C$201&lt;=$A1567)*(HISTORIAL_HORARIOS!$D$2:$D$201&gt;=$A1567),0)),INDEX(IF($I1567="FIN",PERSONAL!$J$2:$J$80,PERSONAL!$F$2:$F$80),MATCH($B1567,PERSONAL!$A$2:$A$80,0)))))</f>
        <v/>
      </c>
      <c r="N1567" s="53">
        <f t="array" ref="N1567">IFERROR(INDEX(EXCEPCIONES_FECHA!$E$2:$E$201,MATCH(1,(EXCEPCIONES_FECHA!$A$2:$A$201=$A1567)*(EXCEPCIONES_FECHA!$B$2:$B$201=$B1567),0)),IFERROR(INDEX(EXCEPCIONES_FECHA!$E$2:$E$201,MATCH(1,(EXCEPCIONES_FECHA!$A$2:$A$201=$A1567)*(EXCEPCIONES_FECHA!$B$2:$B$201=""),0)),IFERROR(INDEX(IF($I1567="FIN",HISTORIAL_HORARIOS!$K$2:$K$201,HISTORIAL_HORARIOS!$G$2:$G$201),MATCH(1,(HISTORIAL_HORARIOS!$A$2:$A$201=$B1567)*(HISTORIAL_HORARIOS!$C$2:$C$201&lt;=$A1567)*(HISTORIAL_HORARIOS!$D$2:$D$201&gt;=$A1567),0)),INDEX(IF($I1567="FIN",PERSONAL!$K$2:$K$80,PERSONAL!$G$2:$G$80),MATCH($B1567,PERSONAL!$A$2:$A$80,0)))))</f>
        <v/>
      </c>
      <c r="O1567" s="53">
        <f t="array" ref="O1567">IFERROR(INDEX(EXCEPCIONES_FECHA!$F$2:$F$201,MATCH(1,(EXCEPCIONES_FECHA!$A$2:$A$201=$A1567)*(EXCEPCIONES_FECHA!$B$2:$B$201=$B1567),0)),IFERROR(INDEX(EXCEPCIONES_FECHA!$F$2:$F$201,MATCH(1,(EXCEPCIONES_FECHA!$A$2:$A$201=$A1567)*(EXCEPCIONES_FECHA!$B$2:$B$201=""),0)),IFERROR(INDEX(IF($I1567="FIN",HISTORIAL_HORARIOS!$L$2:$L$201,HISTORIAL_HORARIOS!$H$2:$H$201),MATCH(1,(HISTORIAL_HORARIOS!$A$2:$A$201=$B1567)*(HISTORIAL_HORARIOS!$C$2:$C$201&lt;=$A1567)*(HISTORIAL_HORARIOS!$D$2:$D$201&gt;=$A1567),0)),INDEX(IF($I1567="FIN",PERSONAL!$L$2:$L$80,PERSONAL!$H$2:$H$80),MATCH($B1567,PERSONAL!$A$2:$A$80,0)))))</f>
        <v/>
      </c>
    </row>
    <row r="1568" ht="15" customHeight="1" s="58">
      <c r="A1568" s="40" t="n"/>
      <c r="B1568" s="38" t="n"/>
      <c r="C1568" s="40" t="n"/>
      <c r="D1568" s="40" t="n"/>
      <c r="E1568" s="34">
        <f t="array" ref="E1568">IF($B1568="","",IFERROR(INDEX(PERSONAL!$B$2:$B$80,MATCH($B1568,PERSONAL!$A$2:$A$80,0)),"NO EXISTE"))</f>
        <v/>
      </c>
      <c r="F1568" s="34">
        <f t="array" ref="F1568">IF($B1568="","",IFERROR(INDEX(PERSONAL!$C$2:$C$80,MATCH($B1568,PERSONAL!$A$2:$A$80,0)),""))</f>
        <v/>
      </c>
      <c r="G1568" s="34">
        <f>IF($A1568="","",CHOOSE(WEEKDAY($A1568,2),"LUNES","MARTES","MIÉRCOLES","JUEVES","VIERNES","SÁBADO","DOMINGO"))</f>
        <v/>
      </c>
      <c r="H1568" s="34">
        <f>IF($A1568="","",CHOOSE(MONTH($A1568),"ENERO","FEBRERO","MARZO","ABRIL","MAYO","JUNIO","JULIO","AGOSTO","SEPTIEMBRE","OCTUBRE","NOVIEMBRE","DICIEMBRE"))</f>
        <v/>
      </c>
      <c r="I1568" s="34">
        <f>IF($A1568="","",IF(OR($G1568="SÁBADO",$G1568="DOMINGO"),"FIN","LV"))</f>
        <v/>
      </c>
      <c r="J1568" s="34">
        <f>IF(OR($A1568="",$B1568=""),"",IF($L1568&lt;&gt;"",UPPER($L1568),IF($C1568="","FALTA",IFERROR(IF($C1568&gt;=$O1568,"ROJO FUERTE",IF($C1568&gt;=$N1568,"ROJO",IF($C1568&gt;=$M1568,"AMARILLO","VERDE"))),"REVISAR"))))</f>
        <v/>
      </c>
      <c r="K1568" s="36">
        <f>IF(OR($C1568="",$D1568=""),"",IF($D1568&gt;=$C1568,($D1568-$C1568)*24,(1-$C1568+$D1568)*24))</f>
        <v/>
      </c>
      <c r="L1568" s="34" t="n"/>
      <c r="M1568" s="53">
        <f t="array" ref="M1568">IFERROR(INDEX(EXCEPCIONES_FECHA!$D$2:$D$201,MATCH(1,(EXCEPCIONES_FECHA!$A$2:$A$201=$A1568)*(EXCEPCIONES_FECHA!$B$2:$B$201=$B1568),0)),IFERROR(INDEX(EXCEPCIONES_FECHA!$D$2:$D$201,MATCH(1,(EXCEPCIONES_FECHA!$A$2:$A$201=$A1568)*(EXCEPCIONES_FECHA!$B$2:$B$201=""),0)),IFERROR(INDEX(IF($I1568="FIN",HISTORIAL_HORARIOS!$J$2:$J$201,HISTORIAL_HORARIOS!$F$2:$F$201),MATCH(1,(HISTORIAL_HORARIOS!$A$2:$A$201=$B1568)*(HISTORIAL_HORARIOS!$C$2:$C$201&lt;=$A1568)*(HISTORIAL_HORARIOS!$D$2:$D$201&gt;=$A1568),0)),INDEX(IF($I1568="FIN",PERSONAL!$J$2:$J$80,PERSONAL!$F$2:$F$80),MATCH($B1568,PERSONAL!$A$2:$A$80,0)))))</f>
        <v/>
      </c>
      <c r="N1568" s="53">
        <f t="array" ref="N1568">IFERROR(INDEX(EXCEPCIONES_FECHA!$E$2:$E$201,MATCH(1,(EXCEPCIONES_FECHA!$A$2:$A$201=$A1568)*(EXCEPCIONES_FECHA!$B$2:$B$201=$B1568),0)),IFERROR(INDEX(EXCEPCIONES_FECHA!$E$2:$E$201,MATCH(1,(EXCEPCIONES_FECHA!$A$2:$A$201=$A1568)*(EXCEPCIONES_FECHA!$B$2:$B$201=""),0)),IFERROR(INDEX(IF($I1568="FIN",HISTORIAL_HORARIOS!$K$2:$K$201,HISTORIAL_HORARIOS!$G$2:$G$201),MATCH(1,(HISTORIAL_HORARIOS!$A$2:$A$201=$B1568)*(HISTORIAL_HORARIOS!$C$2:$C$201&lt;=$A1568)*(HISTORIAL_HORARIOS!$D$2:$D$201&gt;=$A1568),0)),INDEX(IF($I1568="FIN",PERSONAL!$K$2:$K$80,PERSONAL!$G$2:$G$80),MATCH($B1568,PERSONAL!$A$2:$A$80,0)))))</f>
        <v/>
      </c>
      <c r="O1568" s="53">
        <f t="array" ref="O1568">IFERROR(INDEX(EXCEPCIONES_FECHA!$F$2:$F$201,MATCH(1,(EXCEPCIONES_FECHA!$A$2:$A$201=$A1568)*(EXCEPCIONES_FECHA!$B$2:$B$201=$B1568),0)),IFERROR(INDEX(EXCEPCIONES_FECHA!$F$2:$F$201,MATCH(1,(EXCEPCIONES_FECHA!$A$2:$A$201=$A1568)*(EXCEPCIONES_FECHA!$B$2:$B$201=""),0)),IFERROR(INDEX(IF($I1568="FIN",HISTORIAL_HORARIOS!$L$2:$L$201,HISTORIAL_HORARIOS!$H$2:$H$201),MATCH(1,(HISTORIAL_HORARIOS!$A$2:$A$201=$B1568)*(HISTORIAL_HORARIOS!$C$2:$C$201&lt;=$A1568)*(HISTORIAL_HORARIOS!$D$2:$D$201&gt;=$A1568),0)),INDEX(IF($I1568="FIN",PERSONAL!$L$2:$L$80,PERSONAL!$H$2:$H$80),MATCH($B1568,PERSONAL!$A$2:$A$80,0)))))</f>
        <v/>
      </c>
    </row>
    <row r="1569" ht="15" customHeight="1" s="58">
      <c r="A1569" s="40" t="n"/>
      <c r="B1569" s="38" t="n"/>
      <c r="C1569" s="40" t="n"/>
      <c r="D1569" s="40" t="n"/>
      <c r="E1569" s="34">
        <f t="array" ref="E1569">IF($B1569="","",IFERROR(INDEX(PERSONAL!$B$2:$B$80,MATCH($B1569,PERSONAL!$A$2:$A$80,0)),"NO EXISTE"))</f>
        <v/>
      </c>
      <c r="F1569" s="34">
        <f t="array" ref="F1569">IF($B1569="","",IFERROR(INDEX(PERSONAL!$C$2:$C$80,MATCH($B1569,PERSONAL!$A$2:$A$80,0)),""))</f>
        <v/>
      </c>
      <c r="G1569" s="34">
        <f>IF($A1569="","",CHOOSE(WEEKDAY($A1569,2),"LUNES","MARTES","MIÉRCOLES","JUEVES","VIERNES","SÁBADO","DOMINGO"))</f>
        <v/>
      </c>
      <c r="H1569" s="34">
        <f>IF($A1569="","",CHOOSE(MONTH($A1569),"ENERO","FEBRERO","MARZO","ABRIL","MAYO","JUNIO","JULIO","AGOSTO","SEPTIEMBRE","OCTUBRE","NOVIEMBRE","DICIEMBRE"))</f>
        <v/>
      </c>
      <c r="I1569" s="34">
        <f>IF($A1569="","",IF(OR($G1569="SÁBADO",$G1569="DOMINGO"),"FIN","LV"))</f>
        <v/>
      </c>
      <c r="J1569" s="34">
        <f>IF(OR($A1569="",$B1569=""),"",IF($L1569&lt;&gt;"",UPPER($L1569),IF($C1569="","FALTA",IFERROR(IF($C1569&gt;=$O1569,"ROJO FUERTE",IF($C1569&gt;=$N1569,"ROJO",IF($C1569&gt;=$M1569,"AMARILLO","VERDE"))),"REVISAR"))))</f>
        <v/>
      </c>
      <c r="K1569" s="36">
        <f>IF(OR($C1569="",$D1569=""),"",IF($D1569&gt;=$C1569,($D1569-$C1569)*24,(1-$C1569+$D1569)*24))</f>
        <v/>
      </c>
      <c r="L1569" s="34" t="n"/>
      <c r="M1569" s="53">
        <f t="array" ref="M1569">IFERROR(INDEX(EXCEPCIONES_FECHA!$D$2:$D$201,MATCH(1,(EXCEPCIONES_FECHA!$A$2:$A$201=$A1569)*(EXCEPCIONES_FECHA!$B$2:$B$201=$B1569),0)),IFERROR(INDEX(EXCEPCIONES_FECHA!$D$2:$D$201,MATCH(1,(EXCEPCIONES_FECHA!$A$2:$A$201=$A1569)*(EXCEPCIONES_FECHA!$B$2:$B$201=""),0)),IFERROR(INDEX(IF($I1569="FIN",HISTORIAL_HORARIOS!$J$2:$J$201,HISTORIAL_HORARIOS!$F$2:$F$201),MATCH(1,(HISTORIAL_HORARIOS!$A$2:$A$201=$B1569)*(HISTORIAL_HORARIOS!$C$2:$C$201&lt;=$A1569)*(HISTORIAL_HORARIOS!$D$2:$D$201&gt;=$A1569),0)),INDEX(IF($I1569="FIN",PERSONAL!$J$2:$J$80,PERSONAL!$F$2:$F$80),MATCH($B1569,PERSONAL!$A$2:$A$80,0)))))</f>
        <v/>
      </c>
      <c r="N1569" s="53">
        <f t="array" ref="N1569">IFERROR(INDEX(EXCEPCIONES_FECHA!$E$2:$E$201,MATCH(1,(EXCEPCIONES_FECHA!$A$2:$A$201=$A1569)*(EXCEPCIONES_FECHA!$B$2:$B$201=$B1569),0)),IFERROR(INDEX(EXCEPCIONES_FECHA!$E$2:$E$201,MATCH(1,(EXCEPCIONES_FECHA!$A$2:$A$201=$A1569)*(EXCEPCIONES_FECHA!$B$2:$B$201=""),0)),IFERROR(INDEX(IF($I1569="FIN",HISTORIAL_HORARIOS!$K$2:$K$201,HISTORIAL_HORARIOS!$G$2:$G$201),MATCH(1,(HISTORIAL_HORARIOS!$A$2:$A$201=$B1569)*(HISTORIAL_HORARIOS!$C$2:$C$201&lt;=$A1569)*(HISTORIAL_HORARIOS!$D$2:$D$201&gt;=$A1569),0)),INDEX(IF($I1569="FIN",PERSONAL!$K$2:$K$80,PERSONAL!$G$2:$G$80),MATCH($B1569,PERSONAL!$A$2:$A$80,0)))))</f>
        <v/>
      </c>
      <c r="O1569" s="53">
        <f t="array" ref="O1569">IFERROR(INDEX(EXCEPCIONES_FECHA!$F$2:$F$201,MATCH(1,(EXCEPCIONES_FECHA!$A$2:$A$201=$A1569)*(EXCEPCIONES_FECHA!$B$2:$B$201=$B1569),0)),IFERROR(INDEX(EXCEPCIONES_FECHA!$F$2:$F$201,MATCH(1,(EXCEPCIONES_FECHA!$A$2:$A$201=$A1569)*(EXCEPCIONES_FECHA!$B$2:$B$201=""),0)),IFERROR(INDEX(IF($I1569="FIN",HISTORIAL_HORARIOS!$L$2:$L$201,HISTORIAL_HORARIOS!$H$2:$H$201),MATCH(1,(HISTORIAL_HORARIOS!$A$2:$A$201=$B1569)*(HISTORIAL_HORARIOS!$C$2:$C$201&lt;=$A1569)*(HISTORIAL_HORARIOS!$D$2:$D$201&gt;=$A1569),0)),INDEX(IF($I1569="FIN",PERSONAL!$L$2:$L$80,PERSONAL!$H$2:$H$80),MATCH($B1569,PERSONAL!$A$2:$A$80,0)))))</f>
        <v/>
      </c>
    </row>
    <row r="1570" ht="15" customHeight="1" s="58">
      <c r="A1570" s="40" t="n"/>
      <c r="B1570" s="38" t="n"/>
      <c r="C1570" s="40" t="n"/>
      <c r="D1570" s="40" t="n"/>
      <c r="E1570" s="34">
        <f t="array" ref="E1570">IF($B1570="","",IFERROR(INDEX(PERSONAL!$B$2:$B$80,MATCH($B1570,PERSONAL!$A$2:$A$80,0)),"NO EXISTE"))</f>
        <v/>
      </c>
      <c r="F1570" s="34">
        <f t="array" ref="F1570">IF($B1570="","",IFERROR(INDEX(PERSONAL!$C$2:$C$80,MATCH($B1570,PERSONAL!$A$2:$A$80,0)),""))</f>
        <v/>
      </c>
      <c r="G1570" s="34">
        <f>IF($A1570="","",CHOOSE(WEEKDAY($A1570,2),"LUNES","MARTES","MIÉRCOLES","JUEVES","VIERNES","SÁBADO","DOMINGO"))</f>
        <v/>
      </c>
      <c r="H1570" s="34">
        <f>IF($A1570="","",CHOOSE(MONTH($A1570),"ENERO","FEBRERO","MARZO","ABRIL","MAYO","JUNIO","JULIO","AGOSTO","SEPTIEMBRE","OCTUBRE","NOVIEMBRE","DICIEMBRE"))</f>
        <v/>
      </c>
      <c r="I1570" s="34">
        <f>IF($A1570="","",IF(OR($G1570="SÁBADO",$G1570="DOMINGO"),"FIN","LV"))</f>
        <v/>
      </c>
      <c r="J1570" s="34">
        <f>IF(OR($A1570="",$B1570=""),"",IF($L1570&lt;&gt;"",UPPER($L1570),IF($C1570="","FALTA",IFERROR(IF($C1570&gt;=$O1570,"ROJO FUERTE",IF($C1570&gt;=$N1570,"ROJO",IF($C1570&gt;=$M1570,"AMARILLO","VERDE"))),"REVISAR"))))</f>
        <v/>
      </c>
      <c r="K1570" s="36">
        <f>IF(OR($C1570="",$D1570=""),"",IF($D1570&gt;=$C1570,($D1570-$C1570)*24,(1-$C1570+$D1570)*24))</f>
        <v/>
      </c>
      <c r="L1570" s="34" t="n"/>
      <c r="M1570" s="53">
        <f t="array" ref="M1570">IFERROR(INDEX(EXCEPCIONES_FECHA!$D$2:$D$201,MATCH(1,(EXCEPCIONES_FECHA!$A$2:$A$201=$A1570)*(EXCEPCIONES_FECHA!$B$2:$B$201=$B1570),0)),IFERROR(INDEX(EXCEPCIONES_FECHA!$D$2:$D$201,MATCH(1,(EXCEPCIONES_FECHA!$A$2:$A$201=$A1570)*(EXCEPCIONES_FECHA!$B$2:$B$201=""),0)),IFERROR(INDEX(IF($I1570="FIN",HISTORIAL_HORARIOS!$J$2:$J$201,HISTORIAL_HORARIOS!$F$2:$F$201),MATCH(1,(HISTORIAL_HORARIOS!$A$2:$A$201=$B1570)*(HISTORIAL_HORARIOS!$C$2:$C$201&lt;=$A1570)*(HISTORIAL_HORARIOS!$D$2:$D$201&gt;=$A1570),0)),INDEX(IF($I1570="FIN",PERSONAL!$J$2:$J$80,PERSONAL!$F$2:$F$80),MATCH($B1570,PERSONAL!$A$2:$A$80,0)))))</f>
        <v/>
      </c>
      <c r="N1570" s="53">
        <f t="array" ref="N1570">IFERROR(INDEX(EXCEPCIONES_FECHA!$E$2:$E$201,MATCH(1,(EXCEPCIONES_FECHA!$A$2:$A$201=$A1570)*(EXCEPCIONES_FECHA!$B$2:$B$201=$B1570),0)),IFERROR(INDEX(EXCEPCIONES_FECHA!$E$2:$E$201,MATCH(1,(EXCEPCIONES_FECHA!$A$2:$A$201=$A1570)*(EXCEPCIONES_FECHA!$B$2:$B$201=""),0)),IFERROR(INDEX(IF($I1570="FIN",HISTORIAL_HORARIOS!$K$2:$K$201,HISTORIAL_HORARIOS!$G$2:$G$201),MATCH(1,(HISTORIAL_HORARIOS!$A$2:$A$201=$B1570)*(HISTORIAL_HORARIOS!$C$2:$C$201&lt;=$A1570)*(HISTORIAL_HORARIOS!$D$2:$D$201&gt;=$A1570),0)),INDEX(IF($I1570="FIN",PERSONAL!$K$2:$K$80,PERSONAL!$G$2:$G$80),MATCH($B1570,PERSONAL!$A$2:$A$80,0)))))</f>
        <v/>
      </c>
      <c r="O1570" s="53">
        <f t="array" ref="O1570">IFERROR(INDEX(EXCEPCIONES_FECHA!$F$2:$F$201,MATCH(1,(EXCEPCIONES_FECHA!$A$2:$A$201=$A1570)*(EXCEPCIONES_FECHA!$B$2:$B$201=$B1570),0)),IFERROR(INDEX(EXCEPCIONES_FECHA!$F$2:$F$201,MATCH(1,(EXCEPCIONES_FECHA!$A$2:$A$201=$A1570)*(EXCEPCIONES_FECHA!$B$2:$B$201=""),0)),IFERROR(INDEX(IF($I1570="FIN",HISTORIAL_HORARIOS!$L$2:$L$201,HISTORIAL_HORARIOS!$H$2:$H$201),MATCH(1,(HISTORIAL_HORARIOS!$A$2:$A$201=$B1570)*(HISTORIAL_HORARIOS!$C$2:$C$201&lt;=$A1570)*(HISTORIAL_HORARIOS!$D$2:$D$201&gt;=$A1570),0)),INDEX(IF($I1570="FIN",PERSONAL!$L$2:$L$80,PERSONAL!$H$2:$H$80),MATCH($B1570,PERSONAL!$A$2:$A$80,0)))))</f>
        <v/>
      </c>
    </row>
    <row r="1571" ht="15" customHeight="1" s="58">
      <c r="A1571" s="40" t="n"/>
      <c r="B1571" s="38" t="n"/>
      <c r="C1571" s="40" t="n"/>
      <c r="D1571" s="40" t="n"/>
      <c r="E1571" s="34">
        <f t="array" ref="E1571">IF($B1571="","",IFERROR(INDEX(PERSONAL!$B$2:$B$80,MATCH($B1571,PERSONAL!$A$2:$A$80,0)),"NO EXISTE"))</f>
        <v/>
      </c>
      <c r="F1571" s="34">
        <f t="array" ref="F1571">IF($B1571="","",IFERROR(INDEX(PERSONAL!$C$2:$C$80,MATCH($B1571,PERSONAL!$A$2:$A$80,0)),""))</f>
        <v/>
      </c>
      <c r="G1571" s="34">
        <f>IF($A1571="","",CHOOSE(WEEKDAY($A1571,2),"LUNES","MARTES","MIÉRCOLES","JUEVES","VIERNES","SÁBADO","DOMINGO"))</f>
        <v/>
      </c>
      <c r="H1571" s="34">
        <f>IF($A1571="","",CHOOSE(MONTH($A1571),"ENERO","FEBRERO","MARZO","ABRIL","MAYO","JUNIO","JULIO","AGOSTO","SEPTIEMBRE","OCTUBRE","NOVIEMBRE","DICIEMBRE"))</f>
        <v/>
      </c>
      <c r="I1571" s="34">
        <f>IF($A1571="","",IF(OR($G1571="SÁBADO",$G1571="DOMINGO"),"FIN","LV"))</f>
        <v/>
      </c>
      <c r="J1571" s="34">
        <f>IF(OR($A1571="",$B1571=""),"",IF($L1571&lt;&gt;"",UPPER($L1571),IF($C1571="","FALTA",IFERROR(IF($C1571&gt;=$O1571,"ROJO FUERTE",IF($C1571&gt;=$N1571,"ROJO",IF($C1571&gt;=$M1571,"AMARILLO","VERDE"))),"REVISAR"))))</f>
        <v/>
      </c>
      <c r="K1571" s="36">
        <f>IF(OR($C1571="",$D1571=""),"",IF($D1571&gt;=$C1571,($D1571-$C1571)*24,(1-$C1571+$D1571)*24))</f>
        <v/>
      </c>
      <c r="L1571" s="34" t="n"/>
      <c r="M1571" s="53">
        <f t="array" ref="M1571">IFERROR(INDEX(EXCEPCIONES_FECHA!$D$2:$D$201,MATCH(1,(EXCEPCIONES_FECHA!$A$2:$A$201=$A1571)*(EXCEPCIONES_FECHA!$B$2:$B$201=$B1571),0)),IFERROR(INDEX(EXCEPCIONES_FECHA!$D$2:$D$201,MATCH(1,(EXCEPCIONES_FECHA!$A$2:$A$201=$A1571)*(EXCEPCIONES_FECHA!$B$2:$B$201=""),0)),IFERROR(INDEX(IF($I1571="FIN",HISTORIAL_HORARIOS!$J$2:$J$201,HISTORIAL_HORARIOS!$F$2:$F$201),MATCH(1,(HISTORIAL_HORARIOS!$A$2:$A$201=$B1571)*(HISTORIAL_HORARIOS!$C$2:$C$201&lt;=$A1571)*(HISTORIAL_HORARIOS!$D$2:$D$201&gt;=$A1571),0)),INDEX(IF($I1571="FIN",PERSONAL!$J$2:$J$80,PERSONAL!$F$2:$F$80),MATCH($B1571,PERSONAL!$A$2:$A$80,0)))))</f>
        <v/>
      </c>
      <c r="N1571" s="53">
        <f t="array" ref="N1571">IFERROR(INDEX(EXCEPCIONES_FECHA!$E$2:$E$201,MATCH(1,(EXCEPCIONES_FECHA!$A$2:$A$201=$A1571)*(EXCEPCIONES_FECHA!$B$2:$B$201=$B1571),0)),IFERROR(INDEX(EXCEPCIONES_FECHA!$E$2:$E$201,MATCH(1,(EXCEPCIONES_FECHA!$A$2:$A$201=$A1571)*(EXCEPCIONES_FECHA!$B$2:$B$201=""),0)),IFERROR(INDEX(IF($I1571="FIN",HISTORIAL_HORARIOS!$K$2:$K$201,HISTORIAL_HORARIOS!$G$2:$G$201),MATCH(1,(HISTORIAL_HORARIOS!$A$2:$A$201=$B1571)*(HISTORIAL_HORARIOS!$C$2:$C$201&lt;=$A1571)*(HISTORIAL_HORARIOS!$D$2:$D$201&gt;=$A1571),0)),INDEX(IF($I1571="FIN",PERSONAL!$K$2:$K$80,PERSONAL!$G$2:$G$80),MATCH($B1571,PERSONAL!$A$2:$A$80,0)))))</f>
        <v/>
      </c>
      <c r="O1571" s="53">
        <f t="array" ref="O1571">IFERROR(INDEX(EXCEPCIONES_FECHA!$F$2:$F$201,MATCH(1,(EXCEPCIONES_FECHA!$A$2:$A$201=$A1571)*(EXCEPCIONES_FECHA!$B$2:$B$201=$B1571),0)),IFERROR(INDEX(EXCEPCIONES_FECHA!$F$2:$F$201,MATCH(1,(EXCEPCIONES_FECHA!$A$2:$A$201=$A1571)*(EXCEPCIONES_FECHA!$B$2:$B$201=""),0)),IFERROR(INDEX(IF($I1571="FIN",HISTORIAL_HORARIOS!$L$2:$L$201,HISTORIAL_HORARIOS!$H$2:$H$201),MATCH(1,(HISTORIAL_HORARIOS!$A$2:$A$201=$B1571)*(HISTORIAL_HORARIOS!$C$2:$C$201&lt;=$A1571)*(HISTORIAL_HORARIOS!$D$2:$D$201&gt;=$A1571),0)),INDEX(IF($I1571="FIN",PERSONAL!$L$2:$L$80,PERSONAL!$H$2:$H$80),MATCH($B1571,PERSONAL!$A$2:$A$80,0)))))</f>
        <v/>
      </c>
    </row>
    <row r="1572" ht="15" customHeight="1" s="58">
      <c r="A1572" s="40" t="n"/>
      <c r="B1572" s="38" t="n"/>
      <c r="C1572" s="40" t="n"/>
      <c r="D1572" s="40" t="n"/>
      <c r="E1572" s="34">
        <f t="array" ref="E1572">IF($B1572="","",IFERROR(INDEX(PERSONAL!$B$2:$B$80,MATCH($B1572,PERSONAL!$A$2:$A$80,0)),"NO EXISTE"))</f>
        <v/>
      </c>
      <c r="F1572" s="34">
        <f t="array" ref="F1572">IF($B1572="","",IFERROR(INDEX(PERSONAL!$C$2:$C$80,MATCH($B1572,PERSONAL!$A$2:$A$80,0)),""))</f>
        <v/>
      </c>
      <c r="G1572" s="34">
        <f>IF($A1572="","",CHOOSE(WEEKDAY($A1572,2),"LUNES","MARTES","MIÉRCOLES","JUEVES","VIERNES","SÁBADO","DOMINGO"))</f>
        <v/>
      </c>
      <c r="H1572" s="34">
        <f>IF($A1572="","",CHOOSE(MONTH($A1572),"ENERO","FEBRERO","MARZO","ABRIL","MAYO","JUNIO","JULIO","AGOSTO","SEPTIEMBRE","OCTUBRE","NOVIEMBRE","DICIEMBRE"))</f>
        <v/>
      </c>
      <c r="I1572" s="34">
        <f>IF($A1572="","",IF(OR($G1572="SÁBADO",$G1572="DOMINGO"),"FIN","LV"))</f>
        <v/>
      </c>
      <c r="J1572" s="34">
        <f>IF(OR($A1572="",$B1572=""),"",IF($L1572&lt;&gt;"",UPPER($L1572),IF($C1572="","FALTA",IFERROR(IF($C1572&gt;=$O1572,"ROJO FUERTE",IF($C1572&gt;=$N1572,"ROJO",IF($C1572&gt;=$M1572,"AMARILLO","VERDE"))),"REVISAR"))))</f>
        <v/>
      </c>
      <c r="K1572" s="36">
        <f>IF(OR($C1572="",$D1572=""),"",IF($D1572&gt;=$C1572,($D1572-$C1572)*24,(1-$C1572+$D1572)*24))</f>
        <v/>
      </c>
      <c r="L1572" s="34" t="n"/>
      <c r="M1572" s="53">
        <f t="array" ref="M1572">IFERROR(INDEX(EXCEPCIONES_FECHA!$D$2:$D$201,MATCH(1,(EXCEPCIONES_FECHA!$A$2:$A$201=$A1572)*(EXCEPCIONES_FECHA!$B$2:$B$201=$B1572),0)),IFERROR(INDEX(EXCEPCIONES_FECHA!$D$2:$D$201,MATCH(1,(EXCEPCIONES_FECHA!$A$2:$A$201=$A1572)*(EXCEPCIONES_FECHA!$B$2:$B$201=""),0)),IFERROR(INDEX(IF($I1572="FIN",HISTORIAL_HORARIOS!$J$2:$J$201,HISTORIAL_HORARIOS!$F$2:$F$201),MATCH(1,(HISTORIAL_HORARIOS!$A$2:$A$201=$B1572)*(HISTORIAL_HORARIOS!$C$2:$C$201&lt;=$A1572)*(HISTORIAL_HORARIOS!$D$2:$D$201&gt;=$A1572),0)),INDEX(IF($I1572="FIN",PERSONAL!$J$2:$J$80,PERSONAL!$F$2:$F$80),MATCH($B1572,PERSONAL!$A$2:$A$80,0)))))</f>
        <v/>
      </c>
      <c r="N1572" s="53">
        <f t="array" ref="N1572">IFERROR(INDEX(EXCEPCIONES_FECHA!$E$2:$E$201,MATCH(1,(EXCEPCIONES_FECHA!$A$2:$A$201=$A1572)*(EXCEPCIONES_FECHA!$B$2:$B$201=$B1572),0)),IFERROR(INDEX(EXCEPCIONES_FECHA!$E$2:$E$201,MATCH(1,(EXCEPCIONES_FECHA!$A$2:$A$201=$A1572)*(EXCEPCIONES_FECHA!$B$2:$B$201=""),0)),IFERROR(INDEX(IF($I1572="FIN",HISTORIAL_HORARIOS!$K$2:$K$201,HISTORIAL_HORARIOS!$G$2:$G$201),MATCH(1,(HISTORIAL_HORARIOS!$A$2:$A$201=$B1572)*(HISTORIAL_HORARIOS!$C$2:$C$201&lt;=$A1572)*(HISTORIAL_HORARIOS!$D$2:$D$201&gt;=$A1572),0)),INDEX(IF($I1572="FIN",PERSONAL!$K$2:$K$80,PERSONAL!$G$2:$G$80),MATCH($B1572,PERSONAL!$A$2:$A$80,0)))))</f>
        <v/>
      </c>
      <c r="O1572" s="53">
        <f t="array" ref="O1572">IFERROR(INDEX(EXCEPCIONES_FECHA!$F$2:$F$201,MATCH(1,(EXCEPCIONES_FECHA!$A$2:$A$201=$A1572)*(EXCEPCIONES_FECHA!$B$2:$B$201=$B1572),0)),IFERROR(INDEX(EXCEPCIONES_FECHA!$F$2:$F$201,MATCH(1,(EXCEPCIONES_FECHA!$A$2:$A$201=$A1572)*(EXCEPCIONES_FECHA!$B$2:$B$201=""),0)),IFERROR(INDEX(IF($I1572="FIN",HISTORIAL_HORARIOS!$L$2:$L$201,HISTORIAL_HORARIOS!$H$2:$H$201),MATCH(1,(HISTORIAL_HORARIOS!$A$2:$A$201=$B1572)*(HISTORIAL_HORARIOS!$C$2:$C$201&lt;=$A1572)*(HISTORIAL_HORARIOS!$D$2:$D$201&gt;=$A1572),0)),INDEX(IF($I1572="FIN",PERSONAL!$L$2:$L$80,PERSONAL!$H$2:$H$80),MATCH($B1572,PERSONAL!$A$2:$A$80,0)))))</f>
        <v/>
      </c>
    </row>
    <row r="1573" ht="15" customHeight="1" s="58">
      <c r="A1573" s="40" t="n"/>
      <c r="B1573" s="38" t="n"/>
      <c r="C1573" s="40" t="n"/>
      <c r="D1573" s="40" t="n"/>
      <c r="E1573" s="34">
        <f t="array" ref="E1573">IF($B1573="","",IFERROR(INDEX(PERSONAL!$B$2:$B$80,MATCH($B1573,PERSONAL!$A$2:$A$80,0)),"NO EXISTE"))</f>
        <v/>
      </c>
      <c r="F1573" s="34">
        <f t="array" ref="F1573">IF($B1573="","",IFERROR(INDEX(PERSONAL!$C$2:$C$80,MATCH($B1573,PERSONAL!$A$2:$A$80,0)),""))</f>
        <v/>
      </c>
      <c r="G1573" s="34">
        <f>IF($A1573="","",CHOOSE(WEEKDAY($A1573,2),"LUNES","MARTES","MIÉRCOLES","JUEVES","VIERNES","SÁBADO","DOMINGO"))</f>
        <v/>
      </c>
      <c r="H1573" s="34">
        <f>IF($A1573="","",CHOOSE(MONTH($A1573),"ENERO","FEBRERO","MARZO","ABRIL","MAYO","JUNIO","JULIO","AGOSTO","SEPTIEMBRE","OCTUBRE","NOVIEMBRE","DICIEMBRE"))</f>
        <v/>
      </c>
      <c r="I1573" s="34">
        <f>IF($A1573="","",IF(OR($G1573="SÁBADO",$G1573="DOMINGO"),"FIN","LV"))</f>
        <v/>
      </c>
      <c r="J1573" s="34">
        <f>IF(OR($A1573="",$B1573=""),"",IF($L1573&lt;&gt;"",UPPER($L1573),IF($C1573="","FALTA",IFERROR(IF($C1573&gt;=$O1573,"ROJO FUERTE",IF($C1573&gt;=$N1573,"ROJO",IF($C1573&gt;=$M1573,"AMARILLO","VERDE"))),"REVISAR"))))</f>
        <v/>
      </c>
      <c r="K1573" s="36">
        <f>IF(OR($C1573="",$D1573=""),"",IF($D1573&gt;=$C1573,($D1573-$C1573)*24,(1-$C1573+$D1573)*24))</f>
        <v/>
      </c>
      <c r="L1573" s="34" t="n"/>
      <c r="M1573" s="53">
        <f t="array" ref="M1573">IFERROR(INDEX(EXCEPCIONES_FECHA!$D$2:$D$201,MATCH(1,(EXCEPCIONES_FECHA!$A$2:$A$201=$A1573)*(EXCEPCIONES_FECHA!$B$2:$B$201=$B1573),0)),IFERROR(INDEX(EXCEPCIONES_FECHA!$D$2:$D$201,MATCH(1,(EXCEPCIONES_FECHA!$A$2:$A$201=$A1573)*(EXCEPCIONES_FECHA!$B$2:$B$201=""),0)),IFERROR(INDEX(IF($I1573="FIN",HISTORIAL_HORARIOS!$J$2:$J$201,HISTORIAL_HORARIOS!$F$2:$F$201),MATCH(1,(HISTORIAL_HORARIOS!$A$2:$A$201=$B1573)*(HISTORIAL_HORARIOS!$C$2:$C$201&lt;=$A1573)*(HISTORIAL_HORARIOS!$D$2:$D$201&gt;=$A1573),0)),INDEX(IF($I1573="FIN",PERSONAL!$J$2:$J$80,PERSONAL!$F$2:$F$80),MATCH($B1573,PERSONAL!$A$2:$A$80,0)))))</f>
        <v/>
      </c>
      <c r="N1573" s="53">
        <f t="array" ref="N1573">IFERROR(INDEX(EXCEPCIONES_FECHA!$E$2:$E$201,MATCH(1,(EXCEPCIONES_FECHA!$A$2:$A$201=$A1573)*(EXCEPCIONES_FECHA!$B$2:$B$201=$B1573),0)),IFERROR(INDEX(EXCEPCIONES_FECHA!$E$2:$E$201,MATCH(1,(EXCEPCIONES_FECHA!$A$2:$A$201=$A1573)*(EXCEPCIONES_FECHA!$B$2:$B$201=""),0)),IFERROR(INDEX(IF($I1573="FIN",HISTORIAL_HORARIOS!$K$2:$K$201,HISTORIAL_HORARIOS!$G$2:$G$201),MATCH(1,(HISTORIAL_HORARIOS!$A$2:$A$201=$B1573)*(HISTORIAL_HORARIOS!$C$2:$C$201&lt;=$A1573)*(HISTORIAL_HORARIOS!$D$2:$D$201&gt;=$A1573),0)),INDEX(IF($I1573="FIN",PERSONAL!$K$2:$K$80,PERSONAL!$G$2:$G$80),MATCH($B1573,PERSONAL!$A$2:$A$80,0)))))</f>
        <v/>
      </c>
      <c r="O1573" s="53">
        <f t="array" ref="O1573">IFERROR(INDEX(EXCEPCIONES_FECHA!$F$2:$F$201,MATCH(1,(EXCEPCIONES_FECHA!$A$2:$A$201=$A1573)*(EXCEPCIONES_FECHA!$B$2:$B$201=$B1573),0)),IFERROR(INDEX(EXCEPCIONES_FECHA!$F$2:$F$201,MATCH(1,(EXCEPCIONES_FECHA!$A$2:$A$201=$A1573)*(EXCEPCIONES_FECHA!$B$2:$B$201=""),0)),IFERROR(INDEX(IF($I1573="FIN",HISTORIAL_HORARIOS!$L$2:$L$201,HISTORIAL_HORARIOS!$H$2:$H$201),MATCH(1,(HISTORIAL_HORARIOS!$A$2:$A$201=$B1573)*(HISTORIAL_HORARIOS!$C$2:$C$201&lt;=$A1573)*(HISTORIAL_HORARIOS!$D$2:$D$201&gt;=$A1573),0)),INDEX(IF($I1573="FIN",PERSONAL!$L$2:$L$80,PERSONAL!$H$2:$H$80),MATCH($B1573,PERSONAL!$A$2:$A$80,0)))))</f>
        <v/>
      </c>
    </row>
    <row r="1574" ht="15" customHeight="1" s="58">
      <c r="A1574" s="40" t="n"/>
      <c r="B1574" s="38" t="n"/>
      <c r="C1574" s="40" t="n"/>
      <c r="D1574" s="40" t="n"/>
      <c r="E1574" s="34">
        <f t="array" ref="E1574">IF($B1574="","",IFERROR(INDEX(PERSONAL!$B$2:$B$80,MATCH($B1574,PERSONAL!$A$2:$A$80,0)),"NO EXISTE"))</f>
        <v/>
      </c>
      <c r="F1574" s="34">
        <f t="array" ref="F1574">IF($B1574="","",IFERROR(INDEX(PERSONAL!$C$2:$C$80,MATCH($B1574,PERSONAL!$A$2:$A$80,0)),""))</f>
        <v/>
      </c>
      <c r="G1574" s="34">
        <f>IF($A1574="","",CHOOSE(WEEKDAY($A1574,2),"LUNES","MARTES","MIÉRCOLES","JUEVES","VIERNES","SÁBADO","DOMINGO"))</f>
        <v/>
      </c>
      <c r="H1574" s="34">
        <f>IF($A1574="","",CHOOSE(MONTH($A1574),"ENERO","FEBRERO","MARZO","ABRIL","MAYO","JUNIO","JULIO","AGOSTO","SEPTIEMBRE","OCTUBRE","NOVIEMBRE","DICIEMBRE"))</f>
        <v/>
      </c>
      <c r="I1574" s="34">
        <f>IF($A1574="","",IF(OR($G1574="SÁBADO",$G1574="DOMINGO"),"FIN","LV"))</f>
        <v/>
      </c>
      <c r="J1574" s="34">
        <f>IF(OR($A1574="",$B1574=""),"",IF($L1574&lt;&gt;"",UPPER($L1574),IF($C1574="","FALTA",IFERROR(IF($C1574&gt;=$O1574,"ROJO FUERTE",IF($C1574&gt;=$N1574,"ROJO",IF($C1574&gt;=$M1574,"AMARILLO","VERDE"))),"REVISAR"))))</f>
        <v/>
      </c>
      <c r="K1574" s="36">
        <f>IF(OR($C1574="",$D1574=""),"",IF($D1574&gt;=$C1574,($D1574-$C1574)*24,(1-$C1574+$D1574)*24))</f>
        <v/>
      </c>
      <c r="L1574" s="34" t="n"/>
      <c r="M1574" s="53">
        <f t="array" ref="M1574">IFERROR(INDEX(EXCEPCIONES_FECHA!$D$2:$D$201,MATCH(1,(EXCEPCIONES_FECHA!$A$2:$A$201=$A1574)*(EXCEPCIONES_FECHA!$B$2:$B$201=$B1574),0)),IFERROR(INDEX(EXCEPCIONES_FECHA!$D$2:$D$201,MATCH(1,(EXCEPCIONES_FECHA!$A$2:$A$201=$A1574)*(EXCEPCIONES_FECHA!$B$2:$B$201=""),0)),IFERROR(INDEX(IF($I1574="FIN",HISTORIAL_HORARIOS!$J$2:$J$201,HISTORIAL_HORARIOS!$F$2:$F$201),MATCH(1,(HISTORIAL_HORARIOS!$A$2:$A$201=$B1574)*(HISTORIAL_HORARIOS!$C$2:$C$201&lt;=$A1574)*(HISTORIAL_HORARIOS!$D$2:$D$201&gt;=$A1574),0)),INDEX(IF($I1574="FIN",PERSONAL!$J$2:$J$80,PERSONAL!$F$2:$F$80),MATCH($B1574,PERSONAL!$A$2:$A$80,0)))))</f>
        <v/>
      </c>
      <c r="N1574" s="53">
        <f t="array" ref="N1574">IFERROR(INDEX(EXCEPCIONES_FECHA!$E$2:$E$201,MATCH(1,(EXCEPCIONES_FECHA!$A$2:$A$201=$A1574)*(EXCEPCIONES_FECHA!$B$2:$B$201=$B1574),0)),IFERROR(INDEX(EXCEPCIONES_FECHA!$E$2:$E$201,MATCH(1,(EXCEPCIONES_FECHA!$A$2:$A$201=$A1574)*(EXCEPCIONES_FECHA!$B$2:$B$201=""),0)),IFERROR(INDEX(IF($I1574="FIN",HISTORIAL_HORARIOS!$K$2:$K$201,HISTORIAL_HORARIOS!$G$2:$G$201),MATCH(1,(HISTORIAL_HORARIOS!$A$2:$A$201=$B1574)*(HISTORIAL_HORARIOS!$C$2:$C$201&lt;=$A1574)*(HISTORIAL_HORARIOS!$D$2:$D$201&gt;=$A1574),0)),INDEX(IF($I1574="FIN",PERSONAL!$K$2:$K$80,PERSONAL!$G$2:$G$80),MATCH($B1574,PERSONAL!$A$2:$A$80,0)))))</f>
        <v/>
      </c>
      <c r="O1574" s="53">
        <f t="array" ref="O1574">IFERROR(INDEX(EXCEPCIONES_FECHA!$F$2:$F$201,MATCH(1,(EXCEPCIONES_FECHA!$A$2:$A$201=$A1574)*(EXCEPCIONES_FECHA!$B$2:$B$201=$B1574),0)),IFERROR(INDEX(EXCEPCIONES_FECHA!$F$2:$F$201,MATCH(1,(EXCEPCIONES_FECHA!$A$2:$A$201=$A1574)*(EXCEPCIONES_FECHA!$B$2:$B$201=""),0)),IFERROR(INDEX(IF($I1574="FIN",HISTORIAL_HORARIOS!$L$2:$L$201,HISTORIAL_HORARIOS!$H$2:$H$201),MATCH(1,(HISTORIAL_HORARIOS!$A$2:$A$201=$B1574)*(HISTORIAL_HORARIOS!$C$2:$C$201&lt;=$A1574)*(HISTORIAL_HORARIOS!$D$2:$D$201&gt;=$A1574),0)),INDEX(IF($I1574="FIN",PERSONAL!$L$2:$L$80,PERSONAL!$H$2:$H$80),MATCH($B1574,PERSONAL!$A$2:$A$80,0)))))</f>
        <v/>
      </c>
    </row>
    <row r="1575" ht="15" customHeight="1" s="58">
      <c r="A1575" s="40" t="n"/>
      <c r="B1575" s="38" t="n"/>
      <c r="C1575" s="40" t="n"/>
      <c r="D1575" s="40" t="n"/>
      <c r="E1575" s="34">
        <f t="array" ref="E1575">IF($B1575="","",IFERROR(INDEX(PERSONAL!$B$2:$B$80,MATCH($B1575,PERSONAL!$A$2:$A$80,0)),"NO EXISTE"))</f>
        <v/>
      </c>
      <c r="F1575" s="34">
        <f t="array" ref="F1575">IF($B1575="","",IFERROR(INDEX(PERSONAL!$C$2:$C$80,MATCH($B1575,PERSONAL!$A$2:$A$80,0)),""))</f>
        <v/>
      </c>
      <c r="G1575" s="34">
        <f>IF($A1575="","",CHOOSE(WEEKDAY($A1575,2),"LUNES","MARTES","MIÉRCOLES","JUEVES","VIERNES","SÁBADO","DOMINGO"))</f>
        <v/>
      </c>
      <c r="H1575" s="34">
        <f>IF($A1575="","",CHOOSE(MONTH($A1575),"ENERO","FEBRERO","MARZO","ABRIL","MAYO","JUNIO","JULIO","AGOSTO","SEPTIEMBRE","OCTUBRE","NOVIEMBRE","DICIEMBRE"))</f>
        <v/>
      </c>
      <c r="I1575" s="34">
        <f>IF($A1575="","",IF(OR($G1575="SÁBADO",$G1575="DOMINGO"),"FIN","LV"))</f>
        <v/>
      </c>
      <c r="J1575" s="34">
        <f>IF(OR($A1575="",$B1575=""),"",IF($L1575&lt;&gt;"",UPPER($L1575),IF($C1575="","FALTA",IFERROR(IF($C1575&gt;=$O1575,"ROJO FUERTE",IF($C1575&gt;=$N1575,"ROJO",IF($C1575&gt;=$M1575,"AMARILLO","VERDE"))),"REVISAR"))))</f>
        <v/>
      </c>
      <c r="K1575" s="36">
        <f>IF(OR($C1575="",$D1575=""),"",IF($D1575&gt;=$C1575,($D1575-$C1575)*24,(1-$C1575+$D1575)*24))</f>
        <v/>
      </c>
      <c r="L1575" s="34" t="n"/>
      <c r="M1575" s="53">
        <f t="array" ref="M1575">IFERROR(INDEX(EXCEPCIONES_FECHA!$D$2:$D$201,MATCH(1,(EXCEPCIONES_FECHA!$A$2:$A$201=$A1575)*(EXCEPCIONES_FECHA!$B$2:$B$201=$B1575),0)),IFERROR(INDEX(EXCEPCIONES_FECHA!$D$2:$D$201,MATCH(1,(EXCEPCIONES_FECHA!$A$2:$A$201=$A1575)*(EXCEPCIONES_FECHA!$B$2:$B$201=""),0)),IFERROR(INDEX(IF($I1575="FIN",HISTORIAL_HORARIOS!$J$2:$J$201,HISTORIAL_HORARIOS!$F$2:$F$201),MATCH(1,(HISTORIAL_HORARIOS!$A$2:$A$201=$B1575)*(HISTORIAL_HORARIOS!$C$2:$C$201&lt;=$A1575)*(HISTORIAL_HORARIOS!$D$2:$D$201&gt;=$A1575),0)),INDEX(IF($I1575="FIN",PERSONAL!$J$2:$J$80,PERSONAL!$F$2:$F$80),MATCH($B1575,PERSONAL!$A$2:$A$80,0)))))</f>
        <v/>
      </c>
      <c r="N1575" s="53">
        <f t="array" ref="N1575">IFERROR(INDEX(EXCEPCIONES_FECHA!$E$2:$E$201,MATCH(1,(EXCEPCIONES_FECHA!$A$2:$A$201=$A1575)*(EXCEPCIONES_FECHA!$B$2:$B$201=$B1575),0)),IFERROR(INDEX(EXCEPCIONES_FECHA!$E$2:$E$201,MATCH(1,(EXCEPCIONES_FECHA!$A$2:$A$201=$A1575)*(EXCEPCIONES_FECHA!$B$2:$B$201=""),0)),IFERROR(INDEX(IF($I1575="FIN",HISTORIAL_HORARIOS!$K$2:$K$201,HISTORIAL_HORARIOS!$G$2:$G$201),MATCH(1,(HISTORIAL_HORARIOS!$A$2:$A$201=$B1575)*(HISTORIAL_HORARIOS!$C$2:$C$201&lt;=$A1575)*(HISTORIAL_HORARIOS!$D$2:$D$201&gt;=$A1575),0)),INDEX(IF($I1575="FIN",PERSONAL!$K$2:$K$80,PERSONAL!$G$2:$G$80),MATCH($B1575,PERSONAL!$A$2:$A$80,0)))))</f>
        <v/>
      </c>
      <c r="O1575" s="53">
        <f t="array" ref="O1575">IFERROR(INDEX(EXCEPCIONES_FECHA!$F$2:$F$201,MATCH(1,(EXCEPCIONES_FECHA!$A$2:$A$201=$A1575)*(EXCEPCIONES_FECHA!$B$2:$B$201=$B1575),0)),IFERROR(INDEX(EXCEPCIONES_FECHA!$F$2:$F$201,MATCH(1,(EXCEPCIONES_FECHA!$A$2:$A$201=$A1575)*(EXCEPCIONES_FECHA!$B$2:$B$201=""),0)),IFERROR(INDEX(IF($I1575="FIN",HISTORIAL_HORARIOS!$L$2:$L$201,HISTORIAL_HORARIOS!$H$2:$H$201),MATCH(1,(HISTORIAL_HORARIOS!$A$2:$A$201=$B1575)*(HISTORIAL_HORARIOS!$C$2:$C$201&lt;=$A1575)*(HISTORIAL_HORARIOS!$D$2:$D$201&gt;=$A1575),0)),INDEX(IF($I1575="FIN",PERSONAL!$L$2:$L$80,PERSONAL!$H$2:$H$80),MATCH($B1575,PERSONAL!$A$2:$A$80,0)))))</f>
        <v/>
      </c>
    </row>
    <row r="1576" ht="15" customHeight="1" s="58">
      <c r="A1576" s="40" t="n"/>
      <c r="B1576" s="38" t="n"/>
      <c r="C1576" s="40" t="n"/>
      <c r="D1576" s="40" t="n"/>
      <c r="E1576" s="34">
        <f t="array" ref="E1576">IF($B1576="","",IFERROR(INDEX(PERSONAL!$B$2:$B$80,MATCH($B1576,PERSONAL!$A$2:$A$80,0)),"NO EXISTE"))</f>
        <v/>
      </c>
      <c r="F1576" s="34">
        <f t="array" ref="F1576">IF($B1576="","",IFERROR(INDEX(PERSONAL!$C$2:$C$80,MATCH($B1576,PERSONAL!$A$2:$A$80,0)),""))</f>
        <v/>
      </c>
      <c r="G1576" s="34">
        <f>IF($A1576="","",CHOOSE(WEEKDAY($A1576,2),"LUNES","MARTES","MIÉRCOLES","JUEVES","VIERNES","SÁBADO","DOMINGO"))</f>
        <v/>
      </c>
      <c r="H1576" s="34">
        <f>IF($A1576="","",CHOOSE(MONTH($A1576),"ENERO","FEBRERO","MARZO","ABRIL","MAYO","JUNIO","JULIO","AGOSTO","SEPTIEMBRE","OCTUBRE","NOVIEMBRE","DICIEMBRE"))</f>
        <v/>
      </c>
      <c r="I1576" s="34">
        <f>IF($A1576="","",IF(OR($G1576="SÁBADO",$G1576="DOMINGO"),"FIN","LV"))</f>
        <v/>
      </c>
      <c r="J1576" s="34">
        <f>IF(OR($A1576="",$B1576=""),"",IF($L1576&lt;&gt;"",UPPER($L1576),IF($C1576="","FALTA",IFERROR(IF($C1576&gt;=$O1576,"ROJO FUERTE",IF($C1576&gt;=$N1576,"ROJO",IF($C1576&gt;=$M1576,"AMARILLO","VERDE"))),"REVISAR"))))</f>
        <v/>
      </c>
      <c r="K1576" s="36">
        <f>IF(OR($C1576="",$D1576=""),"",IF($D1576&gt;=$C1576,($D1576-$C1576)*24,(1-$C1576+$D1576)*24))</f>
        <v/>
      </c>
      <c r="L1576" s="34" t="n"/>
      <c r="M1576" s="53">
        <f t="array" ref="M1576">IFERROR(INDEX(EXCEPCIONES_FECHA!$D$2:$D$201,MATCH(1,(EXCEPCIONES_FECHA!$A$2:$A$201=$A1576)*(EXCEPCIONES_FECHA!$B$2:$B$201=$B1576),0)),IFERROR(INDEX(EXCEPCIONES_FECHA!$D$2:$D$201,MATCH(1,(EXCEPCIONES_FECHA!$A$2:$A$201=$A1576)*(EXCEPCIONES_FECHA!$B$2:$B$201=""),0)),IFERROR(INDEX(IF($I1576="FIN",HISTORIAL_HORARIOS!$J$2:$J$201,HISTORIAL_HORARIOS!$F$2:$F$201),MATCH(1,(HISTORIAL_HORARIOS!$A$2:$A$201=$B1576)*(HISTORIAL_HORARIOS!$C$2:$C$201&lt;=$A1576)*(HISTORIAL_HORARIOS!$D$2:$D$201&gt;=$A1576),0)),INDEX(IF($I1576="FIN",PERSONAL!$J$2:$J$80,PERSONAL!$F$2:$F$80),MATCH($B1576,PERSONAL!$A$2:$A$80,0)))))</f>
        <v/>
      </c>
      <c r="N1576" s="53">
        <f t="array" ref="N1576">IFERROR(INDEX(EXCEPCIONES_FECHA!$E$2:$E$201,MATCH(1,(EXCEPCIONES_FECHA!$A$2:$A$201=$A1576)*(EXCEPCIONES_FECHA!$B$2:$B$201=$B1576),0)),IFERROR(INDEX(EXCEPCIONES_FECHA!$E$2:$E$201,MATCH(1,(EXCEPCIONES_FECHA!$A$2:$A$201=$A1576)*(EXCEPCIONES_FECHA!$B$2:$B$201=""),0)),IFERROR(INDEX(IF($I1576="FIN",HISTORIAL_HORARIOS!$K$2:$K$201,HISTORIAL_HORARIOS!$G$2:$G$201),MATCH(1,(HISTORIAL_HORARIOS!$A$2:$A$201=$B1576)*(HISTORIAL_HORARIOS!$C$2:$C$201&lt;=$A1576)*(HISTORIAL_HORARIOS!$D$2:$D$201&gt;=$A1576),0)),INDEX(IF($I1576="FIN",PERSONAL!$K$2:$K$80,PERSONAL!$G$2:$G$80),MATCH($B1576,PERSONAL!$A$2:$A$80,0)))))</f>
        <v/>
      </c>
      <c r="O1576" s="53">
        <f t="array" ref="O1576">IFERROR(INDEX(EXCEPCIONES_FECHA!$F$2:$F$201,MATCH(1,(EXCEPCIONES_FECHA!$A$2:$A$201=$A1576)*(EXCEPCIONES_FECHA!$B$2:$B$201=$B1576),0)),IFERROR(INDEX(EXCEPCIONES_FECHA!$F$2:$F$201,MATCH(1,(EXCEPCIONES_FECHA!$A$2:$A$201=$A1576)*(EXCEPCIONES_FECHA!$B$2:$B$201=""),0)),IFERROR(INDEX(IF($I1576="FIN",HISTORIAL_HORARIOS!$L$2:$L$201,HISTORIAL_HORARIOS!$H$2:$H$201),MATCH(1,(HISTORIAL_HORARIOS!$A$2:$A$201=$B1576)*(HISTORIAL_HORARIOS!$C$2:$C$201&lt;=$A1576)*(HISTORIAL_HORARIOS!$D$2:$D$201&gt;=$A1576),0)),INDEX(IF($I1576="FIN",PERSONAL!$L$2:$L$80,PERSONAL!$H$2:$H$80),MATCH($B1576,PERSONAL!$A$2:$A$80,0)))))</f>
        <v/>
      </c>
    </row>
    <row r="1577" ht="15" customHeight="1" s="58">
      <c r="A1577" s="40" t="n"/>
      <c r="B1577" s="38" t="n"/>
      <c r="C1577" s="40" t="n"/>
      <c r="D1577" s="40" t="n"/>
      <c r="E1577" s="34">
        <f t="array" ref="E1577">IF($B1577="","",IFERROR(INDEX(PERSONAL!$B$2:$B$80,MATCH($B1577,PERSONAL!$A$2:$A$80,0)),"NO EXISTE"))</f>
        <v/>
      </c>
      <c r="F1577" s="34">
        <f t="array" ref="F1577">IF($B1577="","",IFERROR(INDEX(PERSONAL!$C$2:$C$80,MATCH($B1577,PERSONAL!$A$2:$A$80,0)),""))</f>
        <v/>
      </c>
      <c r="G1577" s="34">
        <f>IF($A1577="","",CHOOSE(WEEKDAY($A1577,2),"LUNES","MARTES","MIÉRCOLES","JUEVES","VIERNES","SÁBADO","DOMINGO"))</f>
        <v/>
      </c>
      <c r="H1577" s="34">
        <f>IF($A1577="","",CHOOSE(MONTH($A1577),"ENERO","FEBRERO","MARZO","ABRIL","MAYO","JUNIO","JULIO","AGOSTO","SEPTIEMBRE","OCTUBRE","NOVIEMBRE","DICIEMBRE"))</f>
        <v/>
      </c>
      <c r="I1577" s="34">
        <f>IF($A1577="","",IF(OR($G1577="SÁBADO",$G1577="DOMINGO"),"FIN","LV"))</f>
        <v/>
      </c>
      <c r="J1577" s="34">
        <f>IF(OR($A1577="",$B1577=""),"",IF($L1577&lt;&gt;"",UPPER($L1577),IF($C1577="","FALTA",IFERROR(IF($C1577&gt;=$O1577,"ROJO FUERTE",IF($C1577&gt;=$N1577,"ROJO",IF($C1577&gt;=$M1577,"AMARILLO","VERDE"))),"REVISAR"))))</f>
        <v/>
      </c>
      <c r="K1577" s="36">
        <f>IF(OR($C1577="",$D1577=""),"",IF($D1577&gt;=$C1577,($D1577-$C1577)*24,(1-$C1577+$D1577)*24))</f>
        <v/>
      </c>
      <c r="L1577" s="34" t="n"/>
      <c r="M1577" s="53">
        <f t="array" ref="M1577">IFERROR(INDEX(EXCEPCIONES_FECHA!$D$2:$D$201,MATCH(1,(EXCEPCIONES_FECHA!$A$2:$A$201=$A1577)*(EXCEPCIONES_FECHA!$B$2:$B$201=$B1577),0)),IFERROR(INDEX(EXCEPCIONES_FECHA!$D$2:$D$201,MATCH(1,(EXCEPCIONES_FECHA!$A$2:$A$201=$A1577)*(EXCEPCIONES_FECHA!$B$2:$B$201=""),0)),IFERROR(INDEX(IF($I1577="FIN",HISTORIAL_HORARIOS!$J$2:$J$201,HISTORIAL_HORARIOS!$F$2:$F$201),MATCH(1,(HISTORIAL_HORARIOS!$A$2:$A$201=$B1577)*(HISTORIAL_HORARIOS!$C$2:$C$201&lt;=$A1577)*(HISTORIAL_HORARIOS!$D$2:$D$201&gt;=$A1577),0)),INDEX(IF($I1577="FIN",PERSONAL!$J$2:$J$80,PERSONAL!$F$2:$F$80),MATCH($B1577,PERSONAL!$A$2:$A$80,0)))))</f>
        <v/>
      </c>
      <c r="N1577" s="53">
        <f t="array" ref="N1577">IFERROR(INDEX(EXCEPCIONES_FECHA!$E$2:$E$201,MATCH(1,(EXCEPCIONES_FECHA!$A$2:$A$201=$A1577)*(EXCEPCIONES_FECHA!$B$2:$B$201=$B1577),0)),IFERROR(INDEX(EXCEPCIONES_FECHA!$E$2:$E$201,MATCH(1,(EXCEPCIONES_FECHA!$A$2:$A$201=$A1577)*(EXCEPCIONES_FECHA!$B$2:$B$201=""),0)),IFERROR(INDEX(IF($I1577="FIN",HISTORIAL_HORARIOS!$K$2:$K$201,HISTORIAL_HORARIOS!$G$2:$G$201),MATCH(1,(HISTORIAL_HORARIOS!$A$2:$A$201=$B1577)*(HISTORIAL_HORARIOS!$C$2:$C$201&lt;=$A1577)*(HISTORIAL_HORARIOS!$D$2:$D$201&gt;=$A1577),0)),INDEX(IF($I1577="FIN",PERSONAL!$K$2:$K$80,PERSONAL!$G$2:$G$80),MATCH($B1577,PERSONAL!$A$2:$A$80,0)))))</f>
        <v/>
      </c>
      <c r="O1577" s="53">
        <f t="array" ref="O1577">IFERROR(INDEX(EXCEPCIONES_FECHA!$F$2:$F$201,MATCH(1,(EXCEPCIONES_FECHA!$A$2:$A$201=$A1577)*(EXCEPCIONES_FECHA!$B$2:$B$201=$B1577),0)),IFERROR(INDEX(EXCEPCIONES_FECHA!$F$2:$F$201,MATCH(1,(EXCEPCIONES_FECHA!$A$2:$A$201=$A1577)*(EXCEPCIONES_FECHA!$B$2:$B$201=""),0)),IFERROR(INDEX(IF($I1577="FIN",HISTORIAL_HORARIOS!$L$2:$L$201,HISTORIAL_HORARIOS!$H$2:$H$201),MATCH(1,(HISTORIAL_HORARIOS!$A$2:$A$201=$B1577)*(HISTORIAL_HORARIOS!$C$2:$C$201&lt;=$A1577)*(HISTORIAL_HORARIOS!$D$2:$D$201&gt;=$A1577),0)),INDEX(IF($I1577="FIN",PERSONAL!$L$2:$L$80,PERSONAL!$H$2:$H$80),MATCH($B1577,PERSONAL!$A$2:$A$80,0)))))</f>
        <v/>
      </c>
    </row>
    <row r="1578" ht="15" customHeight="1" s="58">
      <c r="A1578" s="40" t="n"/>
      <c r="B1578" s="38" t="n"/>
      <c r="C1578" s="40" t="n"/>
      <c r="D1578" s="40" t="n"/>
      <c r="E1578" s="34">
        <f t="array" ref="E1578">IF($B1578="","",IFERROR(INDEX(PERSONAL!$B$2:$B$80,MATCH($B1578,PERSONAL!$A$2:$A$80,0)),"NO EXISTE"))</f>
        <v/>
      </c>
      <c r="F1578" s="34">
        <f t="array" ref="F1578">IF($B1578="","",IFERROR(INDEX(PERSONAL!$C$2:$C$80,MATCH($B1578,PERSONAL!$A$2:$A$80,0)),""))</f>
        <v/>
      </c>
      <c r="G1578" s="34">
        <f>IF($A1578="","",CHOOSE(WEEKDAY($A1578,2),"LUNES","MARTES","MIÉRCOLES","JUEVES","VIERNES","SÁBADO","DOMINGO"))</f>
        <v/>
      </c>
      <c r="H1578" s="34">
        <f>IF($A1578="","",CHOOSE(MONTH($A1578),"ENERO","FEBRERO","MARZO","ABRIL","MAYO","JUNIO","JULIO","AGOSTO","SEPTIEMBRE","OCTUBRE","NOVIEMBRE","DICIEMBRE"))</f>
        <v/>
      </c>
      <c r="I1578" s="34">
        <f>IF($A1578="","",IF(OR($G1578="SÁBADO",$G1578="DOMINGO"),"FIN","LV"))</f>
        <v/>
      </c>
      <c r="J1578" s="34">
        <f>IF(OR($A1578="",$B1578=""),"",IF($L1578&lt;&gt;"",UPPER($L1578),IF($C1578="","FALTA",IFERROR(IF($C1578&gt;=$O1578,"ROJO FUERTE",IF($C1578&gt;=$N1578,"ROJO",IF($C1578&gt;=$M1578,"AMARILLO","VERDE"))),"REVISAR"))))</f>
        <v/>
      </c>
      <c r="K1578" s="36">
        <f>IF(OR($C1578="",$D1578=""),"",IF($D1578&gt;=$C1578,($D1578-$C1578)*24,(1-$C1578+$D1578)*24))</f>
        <v/>
      </c>
      <c r="L1578" s="34" t="n"/>
      <c r="M1578" s="53">
        <f t="array" ref="M1578">IFERROR(INDEX(EXCEPCIONES_FECHA!$D$2:$D$201,MATCH(1,(EXCEPCIONES_FECHA!$A$2:$A$201=$A1578)*(EXCEPCIONES_FECHA!$B$2:$B$201=$B1578),0)),IFERROR(INDEX(EXCEPCIONES_FECHA!$D$2:$D$201,MATCH(1,(EXCEPCIONES_FECHA!$A$2:$A$201=$A1578)*(EXCEPCIONES_FECHA!$B$2:$B$201=""),0)),IFERROR(INDEX(IF($I1578="FIN",HISTORIAL_HORARIOS!$J$2:$J$201,HISTORIAL_HORARIOS!$F$2:$F$201),MATCH(1,(HISTORIAL_HORARIOS!$A$2:$A$201=$B1578)*(HISTORIAL_HORARIOS!$C$2:$C$201&lt;=$A1578)*(HISTORIAL_HORARIOS!$D$2:$D$201&gt;=$A1578),0)),INDEX(IF($I1578="FIN",PERSONAL!$J$2:$J$80,PERSONAL!$F$2:$F$80),MATCH($B1578,PERSONAL!$A$2:$A$80,0)))))</f>
        <v/>
      </c>
      <c r="N1578" s="53">
        <f t="array" ref="N1578">IFERROR(INDEX(EXCEPCIONES_FECHA!$E$2:$E$201,MATCH(1,(EXCEPCIONES_FECHA!$A$2:$A$201=$A1578)*(EXCEPCIONES_FECHA!$B$2:$B$201=$B1578),0)),IFERROR(INDEX(EXCEPCIONES_FECHA!$E$2:$E$201,MATCH(1,(EXCEPCIONES_FECHA!$A$2:$A$201=$A1578)*(EXCEPCIONES_FECHA!$B$2:$B$201=""),0)),IFERROR(INDEX(IF($I1578="FIN",HISTORIAL_HORARIOS!$K$2:$K$201,HISTORIAL_HORARIOS!$G$2:$G$201),MATCH(1,(HISTORIAL_HORARIOS!$A$2:$A$201=$B1578)*(HISTORIAL_HORARIOS!$C$2:$C$201&lt;=$A1578)*(HISTORIAL_HORARIOS!$D$2:$D$201&gt;=$A1578),0)),INDEX(IF($I1578="FIN",PERSONAL!$K$2:$K$80,PERSONAL!$G$2:$G$80),MATCH($B1578,PERSONAL!$A$2:$A$80,0)))))</f>
        <v/>
      </c>
      <c r="O1578" s="53">
        <f t="array" ref="O1578">IFERROR(INDEX(EXCEPCIONES_FECHA!$F$2:$F$201,MATCH(1,(EXCEPCIONES_FECHA!$A$2:$A$201=$A1578)*(EXCEPCIONES_FECHA!$B$2:$B$201=$B1578),0)),IFERROR(INDEX(EXCEPCIONES_FECHA!$F$2:$F$201,MATCH(1,(EXCEPCIONES_FECHA!$A$2:$A$201=$A1578)*(EXCEPCIONES_FECHA!$B$2:$B$201=""),0)),IFERROR(INDEX(IF($I1578="FIN",HISTORIAL_HORARIOS!$L$2:$L$201,HISTORIAL_HORARIOS!$H$2:$H$201),MATCH(1,(HISTORIAL_HORARIOS!$A$2:$A$201=$B1578)*(HISTORIAL_HORARIOS!$C$2:$C$201&lt;=$A1578)*(HISTORIAL_HORARIOS!$D$2:$D$201&gt;=$A1578),0)),INDEX(IF($I1578="FIN",PERSONAL!$L$2:$L$80,PERSONAL!$H$2:$H$80),MATCH($B1578,PERSONAL!$A$2:$A$80,0)))))</f>
        <v/>
      </c>
    </row>
    <row r="1579" ht="15" customHeight="1" s="58">
      <c r="A1579" s="40" t="n"/>
      <c r="B1579" s="38" t="n"/>
      <c r="C1579" s="40" t="n"/>
      <c r="D1579" s="40" t="n"/>
      <c r="E1579" s="34">
        <f t="array" ref="E1579">IF($B1579="","",IFERROR(INDEX(PERSONAL!$B$2:$B$80,MATCH($B1579,PERSONAL!$A$2:$A$80,0)),"NO EXISTE"))</f>
        <v/>
      </c>
      <c r="F1579" s="34">
        <f t="array" ref="F1579">IF($B1579="","",IFERROR(INDEX(PERSONAL!$C$2:$C$80,MATCH($B1579,PERSONAL!$A$2:$A$80,0)),""))</f>
        <v/>
      </c>
      <c r="G1579" s="34">
        <f>IF($A1579="","",CHOOSE(WEEKDAY($A1579,2),"LUNES","MARTES","MIÉRCOLES","JUEVES","VIERNES","SÁBADO","DOMINGO"))</f>
        <v/>
      </c>
      <c r="H1579" s="34">
        <f>IF($A1579="","",CHOOSE(MONTH($A1579),"ENERO","FEBRERO","MARZO","ABRIL","MAYO","JUNIO","JULIO","AGOSTO","SEPTIEMBRE","OCTUBRE","NOVIEMBRE","DICIEMBRE"))</f>
        <v/>
      </c>
      <c r="I1579" s="34">
        <f>IF($A1579="","",IF(OR($G1579="SÁBADO",$G1579="DOMINGO"),"FIN","LV"))</f>
        <v/>
      </c>
      <c r="J1579" s="34">
        <f>IF(OR($A1579="",$B1579=""),"",IF($L1579&lt;&gt;"",UPPER($L1579),IF($C1579="","FALTA",IFERROR(IF($C1579&gt;=$O1579,"ROJO FUERTE",IF($C1579&gt;=$N1579,"ROJO",IF($C1579&gt;=$M1579,"AMARILLO","VERDE"))),"REVISAR"))))</f>
        <v/>
      </c>
      <c r="K1579" s="36">
        <f>IF(OR($C1579="",$D1579=""),"",IF($D1579&gt;=$C1579,($D1579-$C1579)*24,(1-$C1579+$D1579)*24))</f>
        <v/>
      </c>
      <c r="L1579" s="34" t="n"/>
      <c r="M1579" s="53">
        <f t="array" ref="M1579">IFERROR(INDEX(EXCEPCIONES_FECHA!$D$2:$D$201,MATCH(1,(EXCEPCIONES_FECHA!$A$2:$A$201=$A1579)*(EXCEPCIONES_FECHA!$B$2:$B$201=$B1579),0)),IFERROR(INDEX(EXCEPCIONES_FECHA!$D$2:$D$201,MATCH(1,(EXCEPCIONES_FECHA!$A$2:$A$201=$A1579)*(EXCEPCIONES_FECHA!$B$2:$B$201=""),0)),IFERROR(INDEX(IF($I1579="FIN",HISTORIAL_HORARIOS!$J$2:$J$201,HISTORIAL_HORARIOS!$F$2:$F$201),MATCH(1,(HISTORIAL_HORARIOS!$A$2:$A$201=$B1579)*(HISTORIAL_HORARIOS!$C$2:$C$201&lt;=$A1579)*(HISTORIAL_HORARIOS!$D$2:$D$201&gt;=$A1579),0)),INDEX(IF($I1579="FIN",PERSONAL!$J$2:$J$80,PERSONAL!$F$2:$F$80),MATCH($B1579,PERSONAL!$A$2:$A$80,0)))))</f>
        <v/>
      </c>
      <c r="N1579" s="53">
        <f t="array" ref="N1579">IFERROR(INDEX(EXCEPCIONES_FECHA!$E$2:$E$201,MATCH(1,(EXCEPCIONES_FECHA!$A$2:$A$201=$A1579)*(EXCEPCIONES_FECHA!$B$2:$B$201=$B1579),0)),IFERROR(INDEX(EXCEPCIONES_FECHA!$E$2:$E$201,MATCH(1,(EXCEPCIONES_FECHA!$A$2:$A$201=$A1579)*(EXCEPCIONES_FECHA!$B$2:$B$201=""),0)),IFERROR(INDEX(IF($I1579="FIN",HISTORIAL_HORARIOS!$K$2:$K$201,HISTORIAL_HORARIOS!$G$2:$G$201),MATCH(1,(HISTORIAL_HORARIOS!$A$2:$A$201=$B1579)*(HISTORIAL_HORARIOS!$C$2:$C$201&lt;=$A1579)*(HISTORIAL_HORARIOS!$D$2:$D$201&gt;=$A1579),0)),INDEX(IF($I1579="FIN",PERSONAL!$K$2:$K$80,PERSONAL!$G$2:$G$80),MATCH($B1579,PERSONAL!$A$2:$A$80,0)))))</f>
        <v/>
      </c>
      <c r="O1579" s="53">
        <f t="array" ref="O1579">IFERROR(INDEX(EXCEPCIONES_FECHA!$F$2:$F$201,MATCH(1,(EXCEPCIONES_FECHA!$A$2:$A$201=$A1579)*(EXCEPCIONES_FECHA!$B$2:$B$201=$B1579),0)),IFERROR(INDEX(EXCEPCIONES_FECHA!$F$2:$F$201,MATCH(1,(EXCEPCIONES_FECHA!$A$2:$A$201=$A1579)*(EXCEPCIONES_FECHA!$B$2:$B$201=""),0)),IFERROR(INDEX(IF($I1579="FIN",HISTORIAL_HORARIOS!$L$2:$L$201,HISTORIAL_HORARIOS!$H$2:$H$201),MATCH(1,(HISTORIAL_HORARIOS!$A$2:$A$201=$B1579)*(HISTORIAL_HORARIOS!$C$2:$C$201&lt;=$A1579)*(HISTORIAL_HORARIOS!$D$2:$D$201&gt;=$A1579),0)),INDEX(IF($I1579="FIN",PERSONAL!$L$2:$L$80,PERSONAL!$H$2:$H$80),MATCH($B1579,PERSONAL!$A$2:$A$80,0)))))</f>
        <v/>
      </c>
    </row>
    <row r="1580" ht="15" customHeight="1" s="58">
      <c r="A1580" s="40" t="n"/>
      <c r="B1580" s="38" t="n"/>
      <c r="C1580" s="40" t="n"/>
      <c r="D1580" s="40" t="n"/>
      <c r="E1580" s="34">
        <f t="array" ref="E1580">IF($B1580="","",IFERROR(INDEX(PERSONAL!$B$2:$B$80,MATCH($B1580,PERSONAL!$A$2:$A$80,0)),"NO EXISTE"))</f>
        <v/>
      </c>
      <c r="F1580" s="34">
        <f t="array" ref="F1580">IF($B1580="","",IFERROR(INDEX(PERSONAL!$C$2:$C$80,MATCH($B1580,PERSONAL!$A$2:$A$80,0)),""))</f>
        <v/>
      </c>
      <c r="G1580" s="34">
        <f>IF($A1580="","",CHOOSE(WEEKDAY($A1580,2),"LUNES","MARTES","MIÉRCOLES","JUEVES","VIERNES","SÁBADO","DOMINGO"))</f>
        <v/>
      </c>
      <c r="H1580" s="34">
        <f>IF($A1580="","",CHOOSE(MONTH($A1580),"ENERO","FEBRERO","MARZO","ABRIL","MAYO","JUNIO","JULIO","AGOSTO","SEPTIEMBRE","OCTUBRE","NOVIEMBRE","DICIEMBRE"))</f>
        <v/>
      </c>
      <c r="I1580" s="34">
        <f>IF($A1580="","",IF(OR($G1580="SÁBADO",$G1580="DOMINGO"),"FIN","LV"))</f>
        <v/>
      </c>
      <c r="J1580" s="34">
        <f>IF(OR($A1580="",$B1580=""),"",IF($L1580&lt;&gt;"",UPPER($L1580),IF($C1580="","FALTA",IFERROR(IF($C1580&gt;=$O1580,"ROJO FUERTE",IF($C1580&gt;=$N1580,"ROJO",IF($C1580&gt;=$M1580,"AMARILLO","VERDE"))),"REVISAR"))))</f>
        <v/>
      </c>
      <c r="K1580" s="36">
        <f>IF(OR($C1580="",$D1580=""),"",IF($D1580&gt;=$C1580,($D1580-$C1580)*24,(1-$C1580+$D1580)*24))</f>
        <v/>
      </c>
      <c r="L1580" s="34" t="n"/>
      <c r="M1580" s="53">
        <f t="array" ref="M1580">IFERROR(INDEX(EXCEPCIONES_FECHA!$D$2:$D$201,MATCH(1,(EXCEPCIONES_FECHA!$A$2:$A$201=$A1580)*(EXCEPCIONES_FECHA!$B$2:$B$201=$B1580),0)),IFERROR(INDEX(EXCEPCIONES_FECHA!$D$2:$D$201,MATCH(1,(EXCEPCIONES_FECHA!$A$2:$A$201=$A1580)*(EXCEPCIONES_FECHA!$B$2:$B$201=""),0)),IFERROR(INDEX(IF($I1580="FIN",HISTORIAL_HORARIOS!$J$2:$J$201,HISTORIAL_HORARIOS!$F$2:$F$201),MATCH(1,(HISTORIAL_HORARIOS!$A$2:$A$201=$B1580)*(HISTORIAL_HORARIOS!$C$2:$C$201&lt;=$A1580)*(HISTORIAL_HORARIOS!$D$2:$D$201&gt;=$A1580),0)),INDEX(IF($I1580="FIN",PERSONAL!$J$2:$J$80,PERSONAL!$F$2:$F$80),MATCH($B1580,PERSONAL!$A$2:$A$80,0)))))</f>
        <v/>
      </c>
      <c r="N1580" s="53">
        <f t="array" ref="N1580">IFERROR(INDEX(EXCEPCIONES_FECHA!$E$2:$E$201,MATCH(1,(EXCEPCIONES_FECHA!$A$2:$A$201=$A1580)*(EXCEPCIONES_FECHA!$B$2:$B$201=$B1580),0)),IFERROR(INDEX(EXCEPCIONES_FECHA!$E$2:$E$201,MATCH(1,(EXCEPCIONES_FECHA!$A$2:$A$201=$A1580)*(EXCEPCIONES_FECHA!$B$2:$B$201=""),0)),IFERROR(INDEX(IF($I1580="FIN",HISTORIAL_HORARIOS!$K$2:$K$201,HISTORIAL_HORARIOS!$G$2:$G$201),MATCH(1,(HISTORIAL_HORARIOS!$A$2:$A$201=$B1580)*(HISTORIAL_HORARIOS!$C$2:$C$201&lt;=$A1580)*(HISTORIAL_HORARIOS!$D$2:$D$201&gt;=$A1580),0)),INDEX(IF($I1580="FIN",PERSONAL!$K$2:$K$80,PERSONAL!$G$2:$G$80),MATCH($B1580,PERSONAL!$A$2:$A$80,0)))))</f>
        <v/>
      </c>
      <c r="O1580" s="53">
        <f t="array" ref="O1580">IFERROR(INDEX(EXCEPCIONES_FECHA!$F$2:$F$201,MATCH(1,(EXCEPCIONES_FECHA!$A$2:$A$201=$A1580)*(EXCEPCIONES_FECHA!$B$2:$B$201=$B1580),0)),IFERROR(INDEX(EXCEPCIONES_FECHA!$F$2:$F$201,MATCH(1,(EXCEPCIONES_FECHA!$A$2:$A$201=$A1580)*(EXCEPCIONES_FECHA!$B$2:$B$201=""),0)),IFERROR(INDEX(IF($I1580="FIN",HISTORIAL_HORARIOS!$L$2:$L$201,HISTORIAL_HORARIOS!$H$2:$H$201),MATCH(1,(HISTORIAL_HORARIOS!$A$2:$A$201=$B1580)*(HISTORIAL_HORARIOS!$C$2:$C$201&lt;=$A1580)*(HISTORIAL_HORARIOS!$D$2:$D$201&gt;=$A1580),0)),INDEX(IF($I1580="FIN",PERSONAL!$L$2:$L$80,PERSONAL!$H$2:$H$80),MATCH($B1580,PERSONAL!$A$2:$A$80,0)))))</f>
        <v/>
      </c>
    </row>
    <row r="1581" ht="15" customHeight="1" s="58">
      <c r="A1581" s="40" t="n"/>
      <c r="B1581" s="38" t="n"/>
      <c r="C1581" s="40" t="n"/>
      <c r="D1581" s="40" t="n"/>
      <c r="E1581" s="34">
        <f t="array" ref="E1581">IF($B1581="","",IFERROR(INDEX(PERSONAL!$B$2:$B$80,MATCH($B1581,PERSONAL!$A$2:$A$80,0)),"NO EXISTE"))</f>
        <v/>
      </c>
      <c r="F1581" s="34">
        <f t="array" ref="F1581">IF($B1581="","",IFERROR(INDEX(PERSONAL!$C$2:$C$80,MATCH($B1581,PERSONAL!$A$2:$A$80,0)),""))</f>
        <v/>
      </c>
      <c r="G1581" s="34">
        <f>IF($A1581="","",CHOOSE(WEEKDAY($A1581,2),"LUNES","MARTES","MIÉRCOLES","JUEVES","VIERNES","SÁBADO","DOMINGO"))</f>
        <v/>
      </c>
      <c r="H1581" s="34">
        <f>IF($A1581="","",CHOOSE(MONTH($A1581),"ENERO","FEBRERO","MARZO","ABRIL","MAYO","JUNIO","JULIO","AGOSTO","SEPTIEMBRE","OCTUBRE","NOVIEMBRE","DICIEMBRE"))</f>
        <v/>
      </c>
      <c r="I1581" s="34">
        <f>IF($A1581="","",IF(OR($G1581="SÁBADO",$G1581="DOMINGO"),"FIN","LV"))</f>
        <v/>
      </c>
      <c r="J1581" s="34">
        <f>IF(OR($A1581="",$B1581=""),"",IF($L1581&lt;&gt;"",UPPER($L1581),IF($C1581="","FALTA",IFERROR(IF($C1581&gt;=$O1581,"ROJO FUERTE",IF($C1581&gt;=$N1581,"ROJO",IF($C1581&gt;=$M1581,"AMARILLO","VERDE"))),"REVISAR"))))</f>
        <v/>
      </c>
      <c r="K1581" s="36">
        <f>IF(OR($C1581="",$D1581=""),"",IF($D1581&gt;=$C1581,($D1581-$C1581)*24,(1-$C1581+$D1581)*24))</f>
        <v/>
      </c>
      <c r="L1581" s="34" t="n"/>
      <c r="M1581" s="53">
        <f t="array" ref="M1581">IFERROR(INDEX(EXCEPCIONES_FECHA!$D$2:$D$201,MATCH(1,(EXCEPCIONES_FECHA!$A$2:$A$201=$A1581)*(EXCEPCIONES_FECHA!$B$2:$B$201=$B1581),0)),IFERROR(INDEX(EXCEPCIONES_FECHA!$D$2:$D$201,MATCH(1,(EXCEPCIONES_FECHA!$A$2:$A$201=$A1581)*(EXCEPCIONES_FECHA!$B$2:$B$201=""),0)),IFERROR(INDEX(IF($I1581="FIN",HISTORIAL_HORARIOS!$J$2:$J$201,HISTORIAL_HORARIOS!$F$2:$F$201),MATCH(1,(HISTORIAL_HORARIOS!$A$2:$A$201=$B1581)*(HISTORIAL_HORARIOS!$C$2:$C$201&lt;=$A1581)*(HISTORIAL_HORARIOS!$D$2:$D$201&gt;=$A1581),0)),INDEX(IF($I1581="FIN",PERSONAL!$J$2:$J$80,PERSONAL!$F$2:$F$80),MATCH($B1581,PERSONAL!$A$2:$A$80,0)))))</f>
        <v/>
      </c>
      <c r="N1581" s="53">
        <f t="array" ref="N1581">IFERROR(INDEX(EXCEPCIONES_FECHA!$E$2:$E$201,MATCH(1,(EXCEPCIONES_FECHA!$A$2:$A$201=$A1581)*(EXCEPCIONES_FECHA!$B$2:$B$201=$B1581),0)),IFERROR(INDEX(EXCEPCIONES_FECHA!$E$2:$E$201,MATCH(1,(EXCEPCIONES_FECHA!$A$2:$A$201=$A1581)*(EXCEPCIONES_FECHA!$B$2:$B$201=""),0)),IFERROR(INDEX(IF($I1581="FIN",HISTORIAL_HORARIOS!$K$2:$K$201,HISTORIAL_HORARIOS!$G$2:$G$201),MATCH(1,(HISTORIAL_HORARIOS!$A$2:$A$201=$B1581)*(HISTORIAL_HORARIOS!$C$2:$C$201&lt;=$A1581)*(HISTORIAL_HORARIOS!$D$2:$D$201&gt;=$A1581),0)),INDEX(IF($I1581="FIN",PERSONAL!$K$2:$K$80,PERSONAL!$G$2:$G$80),MATCH($B1581,PERSONAL!$A$2:$A$80,0)))))</f>
        <v/>
      </c>
      <c r="O1581" s="53">
        <f t="array" ref="O1581">IFERROR(INDEX(EXCEPCIONES_FECHA!$F$2:$F$201,MATCH(1,(EXCEPCIONES_FECHA!$A$2:$A$201=$A1581)*(EXCEPCIONES_FECHA!$B$2:$B$201=$B1581),0)),IFERROR(INDEX(EXCEPCIONES_FECHA!$F$2:$F$201,MATCH(1,(EXCEPCIONES_FECHA!$A$2:$A$201=$A1581)*(EXCEPCIONES_FECHA!$B$2:$B$201=""),0)),IFERROR(INDEX(IF($I1581="FIN",HISTORIAL_HORARIOS!$L$2:$L$201,HISTORIAL_HORARIOS!$H$2:$H$201),MATCH(1,(HISTORIAL_HORARIOS!$A$2:$A$201=$B1581)*(HISTORIAL_HORARIOS!$C$2:$C$201&lt;=$A1581)*(HISTORIAL_HORARIOS!$D$2:$D$201&gt;=$A1581),0)),INDEX(IF($I1581="FIN",PERSONAL!$L$2:$L$80,PERSONAL!$H$2:$H$80),MATCH($B1581,PERSONAL!$A$2:$A$80,0)))))</f>
        <v/>
      </c>
    </row>
    <row r="1582" ht="15" customHeight="1" s="58">
      <c r="A1582" s="40" t="n"/>
      <c r="B1582" s="38" t="n"/>
      <c r="C1582" s="40" t="n"/>
      <c r="D1582" s="40" t="n"/>
      <c r="E1582" s="34">
        <f t="array" ref="E1582">IF($B1582="","",IFERROR(INDEX(PERSONAL!$B$2:$B$80,MATCH($B1582,PERSONAL!$A$2:$A$80,0)),"NO EXISTE"))</f>
        <v/>
      </c>
      <c r="F1582" s="34">
        <f t="array" ref="F1582">IF($B1582="","",IFERROR(INDEX(PERSONAL!$C$2:$C$80,MATCH($B1582,PERSONAL!$A$2:$A$80,0)),""))</f>
        <v/>
      </c>
      <c r="G1582" s="34">
        <f>IF($A1582="","",CHOOSE(WEEKDAY($A1582,2),"LUNES","MARTES","MIÉRCOLES","JUEVES","VIERNES","SÁBADO","DOMINGO"))</f>
        <v/>
      </c>
      <c r="H1582" s="34">
        <f>IF($A1582="","",CHOOSE(MONTH($A1582),"ENERO","FEBRERO","MARZO","ABRIL","MAYO","JUNIO","JULIO","AGOSTO","SEPTIEMBRE","OCTUBRE","NOVIEMBRE","DICIEMBRE"))</f>
        <v/>
      </c>
      <c r="I1582" s="34">
        <f>IF($A1582="","",IF(OR($G1582="SÁBADO",$G1582="DOMINGO"),"FIN","LV"))</f>
        <v/>
      </c>
      <c r="J1582" s="34">
        <f>IF(OR($A1582="",$B1582=""),"",IF($L1582&lt;&gt;"",UPPER($L1582),IF($C1582="","FALTA",IFERROR(IF($C1582&gt;=$O1582,"ROJO FUERTE",IF($C1582&gt;=$N1582,"ROJO",IF($C1582&gt;=$M1582,"AMARILLO","VERDE"))),"REVISAR"))))</f>
        <v/>
      </c>
      <c r="K1582" s="36">
        <f>IF(OR($C1582="",$D1582=""),"",IF($D1582&gt;=$C1582,($D1582-$C1582)*24,(1-$C1582+$D1582)*24))</f>
        <v/>
      </c>
      <c r="L1582" s="34" t="n"/>
      <c r="M1582" s="53">
        <f t="array" ref="M1582">IFERROR(INDEX(EXCEPCIONES_FECHA!$D$2:$D$201,MATCH(1,(EXCEPCIONES_FECHA!$A$2:$A$201=$A1582)*(EXCEPCIONES_FECHA!$B$2:$B$201=$B1582),0)),IFERROR(INDEX(EXCEPCIONES_FECHA!$D$2:$D$201,MATCH(1,(EXCEPCIONES_FECHA!$A$2:$A$201=$A1582)*(EXCEPCIONES_FECHA!$B$2:$B$201=""),0)),IFERROR(INDEX(IF($I1582="FIN",HISTORIAL_HORARIOS!$J$2:$J$201,HISTORIAL_HORARIOS!$F$2:$F$201),MATCH(1,(HISTORIAL_HORARIOS!$A$2:$A$201=$B1582)*(HISTORIAL_HORARIOS!$C$2:$C$201&lt;=$A1582)*(HISTORIAL_HORARIOS!$D$2:$D$201&gt;=$A1582),0)),INDEX(IF($I1582="FIN",PERSONAL!$J$2:$J$80,PERSONAL!$F$2:$F$80),MATCH($B1582,PERSONAL!$A$2:$A$80,0)))))</f>
        <v/>
      </c>
      <c r="N1582" s="53">
        <f t="array" ref="N1582">IFERROR(INDEX(EXCEPCIONES_FECHA!$E$2:$E$201,MATCH(1,(EXCEPCIONES_FECHA!$A$2:$A$201=$A1582)*(EXCEPCIONES_FECHA!$B$2:$B$201=$B1582),0)),IFERROR(INDEX(EXCEPCIONES_FECHA!$E$2:$E$201,MATCH(1,(EXCEPCIONES_FECHA!$A$2:$A$201=$A1582)*(EXCEPCIONES_FECHA!$B$2:$B$201=""),0)),IFERROR(INDEX(IF($I1582="FIN",HISTORIAL_HORARIOS!$K$2:$K$201,HISTORIAL_HORARIOS!$G$2:$G$201),MATCH(1,(HISTORIAL_HORARIOS!$A$2:$A$201=$B1582)*(HISTORIAL_HORARIOS!$C$2:$C$201&lt;=$A1582)*(HISTORIAL_HORARIOS!$D$2:$D$201&gt;=$A1582),0)),INDEX(IF($I1582="FIN",PERSONAL!$K$2:$K$80,PERSONAL!$G$2:$G$80),MATCH($B1582,PERSONAL!$A$2:$A$80,0)))))</f>
        <v/>
      </c>
      <c r="O1582" s="53">
        <f t="array" ref="O1582">IFERROR(INDEX(EXCEPCIONES_FECHA!$F$2:$F$201,MATCH(1,(EXCEPCIONES_FECHA!$A$2:$A$201=$A1582)*(EXCEPCIONES_FECHA!$B$2:$B$201=$B1582),0)),IFERROR(INDEX(EXCEPCIONES_FECHA!$F$2:$F$201,MATCH(1,(EXCEPCIONES_FECHA!$A$2:$A$201=$A1582)*(EXCEPCIONES_FECHA!$B$2:$B$201=""),0)),IFERROR(INDEX(IF($I1582="FIN",HISTORIAL_HORARIOS!$L$2:$L$201,HISTORIAL_HORARIOS!$H$2:$H$201),MATCH(1,(HISTORIAL_HORARIOS!$A$2:$A$201=$B1582)*(HISTORIAL_HORARIOS!$C$2:$C$201&lt;=$A1582)*(HISTORIAL_HORARIOS!$D$2:$D$201&gt;=$A1582),0)),INDEX(IF($I1582="FIN",PERSONAL!$L$2:$L$80,PERSONAL!$H$2:$H$80),MATCH($B1582,PERSONAL!$A$2:$A$80,0)))))</f>
        <v/>
      </c>
    </row>
    <row r="1583" ht="15" customHeight="1" s="58">
      <c r="A1583" s="40" t="n"/>
      <c r="B1583" s="38" t="n"/>
      <c r="C1583" s="40" t="n"/>
      <c r="D1583" s="40" t="n"/>
      <c r="E1583" s="34">
        <f t="array" ref="E1583">IF($B1583="","",IFERROR(INDEX(PERSONAL!$B$2:$B$80,MATCH($B1583,PERSONAL!$A$2:$A$80,0)),"NO EXISTE"))</f>
        <v/>
      </c>
      <c r="F1583" s="34">
        <f t="array" ref="F1583">IF($B1583="","",IFERROR(INDEX(PERSONAL!$C$2:$C$80,MATCH($B1583,PERSONAL!$A$2:$A$80,0)),""))</f>
        <v/>
      </c>
      <c r="G1583" s="34">
        <f>IF($A1583="","",CHOOSE(WEEKDAY($A1583,2),"LUNES","MARTES","MIÉRCOLES","JUEVES","VIERNES","SÁBADO","DOMINGO"))</f>
        <v/>
      </c>
      <c r="H1583" s="34">
        <f>IF($A1583="","",CHOOSE(MONTH($A1583),"ENERO","FEBRERO","MARZO","ABRIL","MAYO","JUNIO","JULIO","AGOSTO","SEPTIEMBRE","OCTUBRE","NOVIEMBRE","DICIEMBRE"))</f>
        <v/>
      </c>
      <c r="I1583" s="34">
        <f>IF($A1583="","",IF(OR($G1583="SÁBADO",$G1583="DOMINGO"),"FIN","LV"))</f>
        <v/>
      </c>
      <c r="J1583" s="34">
        <f>IF(OR($A1583="",$B1583=""),"",IF($L1583&lt;&gt;"",UPPER($L1583),IF($C1583="","FALTA",IFERROR(IF($C1583&gt;=$O1583,"ROJO FUERTE",IF($C1583&gt;=$N1583,"ROJO",IF($C1583&gt;=$M1583,"AMARILLO","VERDE"))),"REVISAR"))))</f>
        <v/>
      </c>
      <c r="K1583" s="36">
        <f>IF(OR($C1583="",$D1583=""),"",IF($D1583&gt;=$C1583,($D1583-$C1583)*24,(1-$C1583+$D1583)*24))</f>
        <v/>
      </c>
      <c r="L1583" s="34" t="n"/>
      <c r="M1583" s="53">
        <f t="array" ref="M1583">IFERROR(INDEX(EXCEPCIONES_FECHA!$D$2:$D$201,MATCH(1,(EXCEPCIONES_FECHA!$A$2:$A$201=$A1583)*(EXCEPCIONES_FECHA!$B$2:$B$201=$B1583),0)),IFERROR(INDEX(EXCEPCIONES_FECHA!$D$2:$D$201,MATCH(1,(EXCEPCIONES_FECHA!$A$2:$A$201=$A1583)*(EXCEPCIONES_FECHA!$B$2:$B$201=""),0)),IFERROR(INDEX(IF($I1583="FIN",HISTORIAL_HORARIOS!$J$2:$J$201,HISTORIAL_HORARIOS!$F$2:$F$201),MATCH(1,(HISTORIAL_HORARIOS!$A$2:$A$201=$B1583)*(HISTORIAL_HORARIOS!$C$2:$C$201&lt;=$A1583)*(HISTORIAL_HORARIOS!$D$2:$D$201&gt;=$A1583),0)),INDEX(IF($I1583="FIN",PERSONAL!$J$2:$J$80,PERSONAL!$F$2:$F$80),MATCH($B1583,PERSONAL!$A$2:$A$80,0)))))</f>
        <v/>
      </c>
      <c r="N1583" s="53">
        <f t="array" ref="N1583">IFERROR(INDEX(EXCEPCIONES_FECHA!$E$2:$E$201,MATCH(1,(EXCEPCIONES_FECHA!$A$2:$A$201=$A1583)*(EXCEPCIONES_FECHA!$B$2:$B$201=$B1583),0)),IFERROR(INDEX(EXCEPCIONES_FECHA!$E$2:$E$201,MATCH(1,(EXCEPCIONES_FECHA!$A$2:$A$201=$A1583)*(EXCEPCIONES_FECHA!$B$2:$B$201=""),0)),IFERROR(INDEX(IF($I1583="FIN",HISTORIAL_HORARIOS!$K$2:$K$201,HISTORIAL_HORARIOS!$G$2:$G$201),MATCH(1,(HISTORIAL_HORARIOS!$A$2:$A$201=$B1583)*(HISTORIAL_HORARIOS!$C$2:$C$201&lt;=$A1583)*(HISTORIAL_HORARIOS!$D$2:$D$201&gt;=$A1583),0)),INDEX(IF($I1583="FIN",PERSONAL!$K$2:$K$80,PERSONAL!$G$2:$G$80),MATCH($B1583,PERSONAL!$A$2:$A$80,0)))))</f>
        <v/>
      </c>
      <c r="O1583" s="53">
        <f t="array" ref="O1583">IFERROR(INDEX(EXCEPCIONES_FECHA!$F$2:$F$201,MATCH(1,(EXCEPCIONES_FECHA!$A$2:$A$201=$A1583)*(EXCEPCIONES_FECHA!$B$2:$B$201=$B1583),0)),IFERROR(INDEX(EXCEPCIONES_FECHA!$F$2:$F$201,MATCH(1,(EXCEPCIONES_FECHA!$A$2:$A$201=$A1583)*(EXCEPCIONES_FECHA!$B$2:$B$201=""),0)),IFERROR(INDEX(IF($I1583="FIN",HISTORIAL_HORARIOS!$L$2:$L$201,HISTORIAL_HORARIOS!$H$2:$H$201),MATCH(1,(HISTORIAL_HORARIOS!$A$2:$A$201=$B1583)*(HISTORIAL_HORARIOS!$C$2:$C$201&lt;=$A1583)*(HISTORIAL_HORARIOS!$D$2:$D$201&gt;=$A1583),0)),INDEX(IF($I1583="FIN",PERSONAL!$L$2:$L$80,PERSONAL!$H$2:$H$80),MATCH($B1583,PERSONAL!$A$2:$A$80,0)))))</f>
        <v/>
      </c>
    </row>
    <row r="1584" ht="15" customHeight="1" s="58">
      <c r="A1584" s="40" t="n"/>
      <c r="B1584" s="38" t="n"/>
      <c r="C1584" s="40" t="n"/>
      <c r="D1584" s="40" t="n"/>
      <c r="E1584" s="34">
        <f t="array" ref="E1584">IF($B1584="","",IFERROR(INDEX(PERSONAL!$B$2:$B$80,MATCH($B1584,PERSONAL!$A$2:$A$80,0)),"NO EXISTE"))</f>
        <v/>
      </c>
      <c r="F1584" s="34">
        <f t="array" ref="F1584">IF($B1584="","",IFERROR(INDEX(PERSONAL!$C$2:$C$80,MATCH($B1584,PERSONAL!$A$2:$A$80,0)),""))</f>
        <v/>
      </c>
      <c r="G1584" s="34">
        <f>IF($A1584="","",CHOOSE(WEEKDAY($A1584,2),"LUNES","MARTES","MIÉRCOLES","JUEVES","VIERNES","SÁBADO","DOMINGO"))</f>
        <v/>
      </c>
      <c r="H1584" s="34">
        <f>IF($A1584="","",CHOOSE(MONTH($A1584),"ENERO","FEBRERO","MARZO","ABRIL","MAYO","JUNIO","JULIO","AGOSTO","SEPTIEMBRE","OCTUBRE","NOVIEMBRE","DICIEMBRE"))</f>
        <v/>
      </c>
      <c r="I1584" s="34">
        <f>IF($A1584="","",IF(OR($G1584="SÁBADO",$G1584="DOMINGO"),"FIN","LV"))</f>
        <v/>
      </c>
      <c r="J1584" s="34">
        <f>IF(OR($A1584="",$B1584=""),"",IF($L1584&lt;&gt;"",UPPER($L1584),IF($C1584="","FALTA",IFERROR(IF($C1584&gt;=$O1584,"ROJO FUERTE",IF($C1584&gt;=$N1584,"ROJO",IF($C1584&gt;=$M1584,"AMARILLO","VERDE"))),"REVISAR"))))</f>
        <v/>
      </c>
      <c r="K1584" s="36">
        <f>IF(OR($C1584="",$D1584=""),"",IF($D1584&gt;=$C1584,($D1584-$C1584)*24,(1-$C1584+$D1584)*24))</f>
        <v/>
      </c>
      <c r="L1584" s="34" t="n"/>
      <c r="M1584" s="53">
        <f t="array" ref="M1584">IFERROR(INDEX(EXCEPCIONES_FECHA!$D$2:$D$201,MATCH(1,(EXCEPCIONES_FECHA!$A$2:$A$201=$A1584)*(EXCEPCIONES_FECHA!$B$2:$B$201=$B1584),0)),IFERROR(INDEX(EXCEPCIONES_FECHA!$D$2:$D$201,MATCH(1,(EXCEPCIONES_FECHA!$A$2:$A$201=$A1584)*(EXCEPCIONES_FECHA!$B$2:$B$201=""),0)),IFERROR(INDEX(IF($I1584="FIN",HISTORIAL_HORARIOS!$J$2:$J$201,HISTORIAL_HORARIOS!$F$2:$F$201),MATCH(1,(HISTORIAL_HORARIOS!$A$2:$A$201=$B1584)*(HISTORIAL_HORARIOS!$C$2:$C$201&lt;=$A1584)*(HISTORIAL_HORARIOS!$D$2:$D$201&gt;=$A1584),0)),INDEX(IF($I1584="FIN",PERSONAL!$J$2:$J$80,PERSONAL!$F$2:$F$80),MATCH($B1584,PERSONAL!$A$2:$A$80,0)))))</f>
        <v/>
      </c>
      <c r="N1584" s="53">
        <f t="array" ref="N1584">IFERROR(INDEX(EXCEPCIONES_FECHA!$E$2:$E$201,MATCH(1,(EXCEPCIONES_FECHA!$A$2:$A$201=$A1584)*(EXCEPCIONES_FECHA!$B$2:$B$201=$B1584),0)),IFERROR(INDEX(EXCEPCIONES_FECHA!$E$2:$E$201,MATCH(1,(EXCEPCIONES_FECHA!$A$2:$A$201=$A1584)*(EXCEPCIONES_FECHA!$B$2:$B$201=""),0)),IFERROR(INDEX(IF($I1584="FIN",HISTORIAL_HORARIOS!$K$2:$K$201,HISTORIAL_HORARIOS!$G$2:$G$201),MATCH(1,(HISTORIAL_HORARIOS!$A$2:$A$201=$B1584)*(HISTORIAL_HORARIOS!$C$2:$C$201&lt;=$A1584)*(HISTORIAL_HORARIOS!$D$2:$D$201&gt;=$A1584),0)),INDEX(IF($I1584="FIN",PERSONAL!$K$2:$K$80,PERSONAL!$G$2:$G$80),MATCH($B1584,PERSONAL!$A$2:$A$80,0)))))</f>
        <v/>
      </c>
      <c r="O1584" s="53">
        <f t="array" ref="O1584">IFERROR(INDEX(EXCEPCIONES_FECHA!$F$2:$F$201,MATCH(1,(EXCEPCIONES_FECHA!$A$2:$A$201=$A1584)*(EXCEPCIONES_FECHA!$B$2:$B$201=$B1584),0)),IFERROR(INDEX(EXCEPCIONES_FECHA!$F$2:$F$201,MATCH(1,(EXCEPCIONES_FECHA!$A$2:$A$201=$A1584)*(EXCEPCIONES_FECHA!$B$2:$B$201=""),0)),IFERROR(INDEX(IF($I1584="FIN",HISTORIAL_HORARIOS!$L$2:$L$201,HISTORIAL_HORARIOS!$H$2:$H$201),MATCH(1,(HISTORIAL_HORARIOS!$A$2:$A$201=$B1584)*(HISTORIAL_HORARIOS!$C$2:$C$201&lt;=$A1584)*(HISTORIAL_HORARIOS!$D$2:$D$201&gt;=$A1584),0)),INDEX(IF($I1584="FIN",PERSONAL!$L$2:$L$80,PERSONAL!$H$2:$H$80),MATCH($B1584,PERSONAL!$A$2:$A$80,0)))))</f>
        <v/>
      </c>
    </row>
    <row r="1585" ht="15" customHeight="1" s="58">
      <c r="A1585" s="40" t="n"/>
      <c r="B1585" s="38" t="n"/>
      <c r="C1585" s="40" t="n"/>
      <c r="D1585" s="40" t="n"/>
      <c r="E1585" s="34">
        <f t="array" ref="E1585">IF($B1585="","",IFERROR(INDEX(PERSONAL!$B$2:$B$80,MATCH($B1585,PERSONAL!$A$2:$A$80,0)),"NO EXISTE"))</f>
        <v/>
      </c>
      <c r="F1585" s="34">
        <f t="array" ref="F1585">IF($B1585="","",IFERROR(INDEX(PERSONAL!$C$2:$C$80,MATCH($B1585,PERSONAL!$A$2:$A$80,0)),""))</f>
        <v/>
      </c>
      <c r="G1585" s="34">
        <f>IF($A1585="","",CHOOSE(WEEKDAY($A1585,2),"LUNES","MARTES","MIÉRCOLES","JUEVES","VIERNES","SÁBADO","DOMINGO"))</f>
        <v/>
      </c>
      <c r="H1585" s="34">
        <f>IF($A1585="","",CHOOSE(MONTH($A1585),"ENERO","FEBRERO","MARZO","ABRIL","MAYO","JUNIO","JULIO","AGOSTO","SEPTIEMBRE","OCTUBRE","NOVIEMBRE","DICIEMBRE"))</f>
        <v/>
      </c>
      <c r="I1585" s="34">
        <f>IF($A1585="","",IF(OR($G1585="SÁBADO",$G1585="DOMINGO"),"FIN","LV"))</f>
        <v/>
      </c>
      <c r="J1585" s="34">
        <f>IF(OR($A1585="",$B1585=""),"",IF($L1585&lt;&gt;"",UPPER($L1585),IF($C1585="","FALTA",IFERROR(IF($C1585&gt;=$O1585,"ROJO FUERTE",IF($C1585&gt;=$N1585,"ROJO",IF($C1585&gt;=$M1585,"AMARILLO","VERDE"))),"REVISAR"))))</f>
        <v/>
      </c>
      <c r="K1585" s="36">
        <f>IF(OR($C1585="",$D1585=""),"",IF($D1585&gt;=$C1585,($D1585-$C1585)*24,(1-$C1585+$D1585)*24))</f>
        <v/>
      </c>
      <c r="L1585" s="34" t="n"/>
      <c r="M1585" s="53">
        <f t="array" ref="M1585">IFERROR(INDEX(EXCEPCIONES_FECHA!$D$2:$D$201,MATCH(1,(EXCEPCIONES_FECHA!$A$2:$A$201=$A1585)*(EXCEPCIONES_FECHA!$B$2:$B$201=$B1585),0)),IFERROR(INDEX(EXCEPCIONES_FECHA!$D$2:$D$201,MATCH(1,(EXCEPCIONES_FECHA!$A$2:$A$201=$A1585)*(EXCEPCIONES_FECHA!$B$2:$B$201=""),0)),IFERROR(INDEX(IF($I1585="FIN",HISTORIAL_HORARIOS!$J$2:$J$201,HISTORIAL_HORARIOS!$F$2:$F$201),MATCH(1,(HISTORIAL_HORARIOS!$A$2:$A$201=$B1585)*(HISTORIAL_HORARIOS!$C$2:$C$201&lt;=$A1585)*(HISTORIAL_HORARIOS!$D$2:$D$201&gt;=$A1585),0)),INDEX(IF($I1585="FIN",PERSONAL!$J$2:$J$80,PERSONAL!$F$2:$F$80),MATCH($B1585,PERSONAL!$A$2:$A$80,0)))))</f>
        <v/>
      </c>
      <c r="N1585" s="53">
        <f t="array" ref="N1585">IFERROR(INDEX(EXCEPCIONES_FECHA!$E$2:$E$201,MATCH(1,(EXCEPCIONES_FECHA!$A$2:$A$201=$A1585)*(EXCEPCIONES_FECHA!$B$2:$B$201=$B1585),0)),IFERROR(INDEX(EXCEPCIONES_FECHA!$E$2:$E$201,MATCH(1,(EXCEPCIONES_FECHA!$A$2:$A$201=$A1585)*(EXCEPCIONES_FECHA!$B$2:$B$201=""),0)),IFERROR(INDEX(IF($I1585="FIN",HISTORIAL_HORARIOS!$K$2:$K$201,HISTORIAL_HORARIOS!$G$2:$G$201),MATCH(1,(HISTORIAL_HORARIOS!$A$2:$A$201=$B1585)*(HISTORIAL_HORARIOS!$C$2:$C$201&lt;=$A1585)*(HISTORIAL_HORARIOS!$D$2:$D$201&gt;=$A1585),0)),INDEX(IF($I1585="FIN",PERSONAL!$K$2:$K$80,PERSONAL!$G$2:$G$80),MATCH($B1585,PERSONAL!$A$2:$A$80,0)))))</f>
        <v/>
      </c>
      <c r="O1585" s="53">
        <f t="array" ref="O1585">IFERROR(INDEX(EXCEPCIONES_FECHA!$F$2:$F$201,MATCH(1,(EXCEPCIONES_FECHA!$A$2:$A$201=$A1585)*(EXCEPCIONES_FECHA!$B$2:$B$201=$B1585),0)),IFERROR(INDEX(EXCEPCIONES_FECHA!$F$2:$F$201,MATCH(1,(EXCEPCIONES_FECHA!$A$2:$A$201=$A1585)*(EXCEPCIONES_FECHA!$B$2:$B$201=""),0)),IFERROR(INDEX(IF($I1585="FIN",HISTORIAL_HORARIOS!$L$2:$L$201,HISTORIAL_HORARIOS!$H$2:$H$201),MATCH(1,(HISTORIAL_HORARIOS!$A$2:$A$201=$B1585)*(HISTORIAL_HORARIOS!$C$2:$C$201&lt;=$A1585)*(HISTORIAL_HORARIOS!$D$2:$D$201&gt;=$A1585),0)),INDEX(IF($I1585="FIN",PERSONAL!$L$2:$L$80,PERSONAL!$H$2:$H$80),MATCH($B1585,PERSONAL!$A$2:$A$80,0)))))</f>
        <v/>
      </c>
    </row>
    <row r="1586" ht="15" customHeight="1" s="58">
      <c r="A1586" s="40" t="n"/>
      <c r="B1586" s="38" t="n"/>
      <c r="C1586" s="40" t="n"/>
      <c r="D1586" s="40" t="n"/>
      <c r="E1586" s="34">
        <f t="array" ref="E1586">IF($B1586="","",IFERROR(INDEX(PERSONAL!$B$2:$B$80,MATCH($B1586,PERSONAL!$A$2:$A$80,0)),"NO EXISTE"))</f>
        <v/>
      </c>
      <c r="F1586" s="34">
        <f t="array" ref="F1586">IF($B1586="","",IFERROR(INDEX(PERSONAL!$C$2:$C$80,MATCH($B1586,PERSONAL!$A$2:$A$80,0)),""))</f>
        <v/>
      </c>
      <c r="G1586" s="34">
        <f>IF($A1586="","",CHOOSE(WEEKDAY($A1586,2),"LUNES","MARTES","MIÉRCOLES","JUEVES","VIERNES","SÁBADO","DOMINGO"))</f>
        <v/>
      </c>
      <c r="H1586" s="34">
        <f>IF($A1586="","",CHOOSE(MONTH($A1586),"ENERO","FEBRERO","MARZO","ABRIL","MAYO","JUNIO","JULIO","AGOSTO","SEPTIEMBRE","OCTUBRE","NOVIEMBRE","DICIEMBRE"))</f>
        <v/>
      </c>
      <c r="I1586" s="34">
        <f>IF($A1586="","",IF(OR($G1586="SÁBADO",$G1586="DOMINGO"),"FIN","LV"))</f>
        <v/>
      </c>
      <c r="J1586" s="34">
        <f>IF(OR($A1586="",$B1586=""),"",IF($L1586&lt;&gt;"",UPPER($L1586),IF($C1586="","FALTA",IFERROR(IF($C1586&gt;=$O1586,"ROJO FUERTE",IF($C1586&gt;=$N1586,"ROJO",IF($C1586&gt;=$M1586,"AMARILLO","VERDE"))),"REVISAR"))))</f>
        <v/>
      </c>
      <c r="K1586" s="36">
        <f>IF(OR($C1586="",$D1586=""),"",IF($D1586&gt;=$C1586,($D1586-$C1586)*24,(1-$C1586+$D1586)*24))</f>
        <v/>
      </c>
      <c r="L1586" s="34" t="n"/>
      <c r="M1586" s="53">
        <f t="array" ref="M1586">IFERROR(INDEX(EXCEPCIONES_FECHA!$D$2:$D$201,MATCH(1,(EXCEPCIONES_FECHA!$A$2:$A$201=$A1586)*(EXCEPCIONES_FECHA!$B$2:$B$201=$B1586),0)),IFERROR(INDEX(EXCEPCIONES_FECHA!$D$2:$D$201,MATCH(1,(EXCEPCIONES_FECHA!$A$2:$A$201=$A1586)*(EXCEPCIONES_FECHA!$B$2:$B$201=""),0)),IFERROR(INDEX(IF($I1586="FIN",HISTORIAL_HORARIOS!$J$2:$J$201,HISTORIAL_HORARIOS!$F$2:$F$201),MATCH(1,(HISTORIAL_HORARIOS!$A$2:$A$201=$B1586)*(HISTORIAL_HORARIOS!$C$2:$C$201&lt;=$A1586)*(HISTORIAL_HORARIOS!$D$2:$D$201&gt;=$A1586),0)),INDEX(IF($I1586="FIN",PERSONAL!$J$2:$J$80,PERSONAL!$F$2:$F$80),MATCH($B1586,PERSONAL!$A$2:$A$80,0)))))</f>
        <v/>
      </c>
      <c r="N1586" s="53">
        <f t="array" ref="N1586">IFERROR(INDEX(EXCEPCIONES_FECHA!$E$2:$E$201,MATCH(1,(EXCEPCIONES_FECHA!$A$2:$A$201=$A1586)*(EXCEPCIONES_FECHA!$B$2:$B$201=$B1586),0)),IFERROR(INDEX(EXCEPCIONES_FECHA!$E$2:$E$201,MATCH(1,(EXCEPCIONES_FECHA!$A$2:$A$201=$A1586)*(EXCEPCIONES_FECHA!$B$2:$B$201=""),0)),IFERROR(INDEX(IF($I1586="FIN",HISTORIAL_HORARIOS!$K$2:$K$201,HISTORIAL_HORARIOS!$G$2:$G$201),MATCH(1,(HISTORIAL_HORARIOS!$A$2:$A$201=$B1586)*(HISTORIAL_HORARIOS!$C$2:$C$201&lt;=$A1586)*(HISTORIAL_HORARIOS!$D$2:$D$201&gt;=$A1586),0)),INDEX(IF($I1586="FIN",PERSONAL!$K$2:$K$80,PERSONAL!$G$2:$G$80),MATCH($B1586,PERSONAL!$A$2:$A$80,0)))))</f>
        <v/>
      </c>
      <c r="O1586" s="53">
        <f t="array" ref="O1586">IFERROR(INDEX(EXCEPCIONES_FECHA!$F$2:$F$201,MATCH(1,(EXCEPCIONES_FECHA!$A$2:$A$201=$A1586)*(EXCEPCIONES_FECHA!$B$2:$B$201=$B1586),0)),IFERROR(INDEX(EXCEPCIONES_FECHA!$F$2:$F$201,MATCH(1,(EXCEPCIONES_FECHA!$A$2:$A$201=$A1586)*(EXCEPCIONES_FECHA!$B$2:$B$201=""),0)),IFERROR(INDEX(IF($I1586="FIN",HISTORIAL_HORARIOS!$L$2:$L$201,HISTORIAL_HORARIOS!$H$2:$H$201),MATCH(1,(HISTORIAL_HORARIOS!$A$2:$A$201=$B1586)*(HISTORIAL_HORARIOS!$C$2:$C$201&lt;=$A1586)*(HISTORIAL_HORARIOS!$D$2:$D$201&gt;=$A1586),0)),INDEX(IF($I1586="FIN",PERSONAL!$L$2:$L$80,PERSONAL!$H$2:$H$80),MATCH($B1586,PERSONAL!$A$2:$A$80,0)))))</f>
        <v/>
      </c>
    </row>
    <row r="1587" ht="15" customHeight="1" s="58">
      <c r="A1587" s="40" t="n"/>
      <c r="B1587" s="38" t="n"/>
      <c r="C1587" s="40" t="n"/>
      <c r="D1587" s="40" t="n"/>
      <c r="E1587" s="34">
        <f t="array" ref="E1587">IF($B1587="","",IFERROR(INDEX(PERSONAL!$B$2:$B$80,MATCH($B1587,PERSONAL!$A$2:$A$80,0)),"NO EXISTE"))</f>
        <v/>
      </c>
      <c r="F1587" s="34">
        <f t="array" ref="F1587">IF($B1587="","",IFERROR(INDEX(PERSONAL!$C$2:$C$80,MATCH($B1587,PERSONAL!$A$2:$A$80,0)),""))</f>
        <v/>
      </c>
      <c r="G1587" s="34">
        <f>IF($A1587="","",CHOOSE(WEEKDAY($A1587,2),"LUNES","MARTES","MIÉRCOLES","JUEVES","VIERNES","SÁBADO","DOMINGO"))</f>
        <v/>
      </c>
      <c r="H1587" s="34">
        <f>IF($A1587="","",CHOOSE(MONTH($A1587),"ENERO","FEBRERO","MARZO","ABRIL","MAYO","JUNIO","JULIO","AGOSTO","SEPTIEMBRE","OCTUBRE","NOVIEMBRE","DICIEMBRE"))</f>
        <v/>
      </c>
      <c r="I1587" s="34">
        <f>IF($A1587="","",IF(OR($G1587="SÁBADO",$G1587="DOMINGO"),"FIN","LV"))</f>
        <v/>
      </c>
      <c r="J1587" s="34">
        <f>IF(OR($A1587="",$B1587=""),"",IF($L1587&lt;&gt;"",UPPER($L1587),IF($C1587="","FALTA",IFERROR(IF($C1587&gt;=$O1587,"ROJO FUERTE",IF($C1587&gt;=$N1587,"ROJO",IF($C1587&gt;=$M1587,"AMARILLO","VERDE"))),"REVISAR"))))</f>
        <v/>
      </c>
      <c r="K1587" s="36">
        <f>IF(OR($C1587="",$D1587=""),"",IF($D1587&gt;=$C1587,($D1587-$C1587)*24,(1-$C1587+$D1587)*24))</f>
        <v/>
      </c>
      <c r="L1587" s="34" t="n"/>
      <c r="M1587" s="53">
        <f t="array" ref="M1587">IFERROR(INDEX(EXCEPCIONES_FECHA!$D$2:$D$201,MATCH(1,(EXCEPCIONES_FECHA!$A$2:$A$201=$A1587)*(EXCEPCIONES_FECHA!$B$2:$B$201=$B1587),0)),IFERROR(INDEX(EXCEPCIONES_FECHA!$D$2:$D$201,MATCH(1,(EXCEPCIONES_FECHA!$A$2:$A$201=$A1587)*(EXCEPCIONES_FECHA!$B$2:$B$201=""),0)),IFERROR(INDEX(IF($I1587="FIN",HISTORIAL_HORARIOS!$J$2:$J$201,HISTORIAL_HORARIOS!$F$2:$F$201),MATCH(1,(HISTORIAL_HORARIOS!$A$2:$A$201=$B1587)*(HISTORIAL_HORARIOS!$C$2:$C$201&lt;=$A1587)*(HISTORIAL_HORARIOS!$D$2:$D$201&gt;=$A1587),0)),INDEX(IF($I1587="FIN",PERSONAL!$J$2:$J$80,PERSONAL!$F$2:$F$80),MATCH($B1587,PERSONAL!$A$2:$A$80,0)))))</f>
        <v/>
      </c>
      <c r="N1587" s="53">
        <f t="array" ref="N1587">IFERROR(INDEX(EXCEPCIONES_FECHA!$E$2:$E$201,MATCH(1,(EXCEPCIONES_FECHA!$A$2:$A$201=$A1587)*(EXCEPCIONES_FECHA!$B$2:$B$201=$B1587),0)),IFERROR(INDEX(EXCEPCIONES_FECHA!$E$2:$E$201,MATCH(1,(EXCEPCIONES_FECHA!$A$2:$A$201=$A1587)*(EXCEPCIONES_FECHA!$B$2:$B$201=""),0)),IFERROR(INDEX(IF($I1587="FIN",HISTORIAL_HORARIOS!$K$2:$K$201,HISTORIAL_HORARIOS!$G$2:$G$201),MATCH(1,(HISTORIAL_HORARIOS!$A$2:$A$201=$B1587)*(HISTORIAL_HORARIOS!$C$2:$C$201&lt;=$A1587)*(HISTORIAL_HORARIOS!$D$2:$D$201&gt;=$A1587),0)),INDEX(IF($I1587="FIN",PERSONAL!$K$2:$K$80,PERSONAL!$G$2:$G$80),MATCH($B1587,PERSONAL!$A$2:$A$80,0)))))</f>
        <v/>
      </c>
      <c r="O1587" s="53">
        <f t="array" ref="O1587">IFERROR(INDEX(EXCEPCIONES_FECHA!$F$2:$F$201,MATCH(1,(EXCEPCIONES_FECHA!$A$2:$A$201=$A1587)*(EXCEPCIONES_FECHA!$B$2:$B$201=$B1587),0)),IFERROR(INDEX(EXCEPCIONES_FECHA!$F$2:$F$201,MATCH(1,(EXCEPCIONES_FECHA!$A$2:$A$201=$A1587)*(EXCEPCIONES_FECHA!$B$2:$B$201=""),0)),IFERROR(INDEX(IF($I1587="FIN",HISTORIAL_HORARIOS!$L$2:$L$201,HISTORIAL_HORARIOS!$H$2:$H$201),MATCH(1,(HISTORIAL_HORARIOS!$A$2:$A$201=$B1587)*(HISTORIAL_HORARIOS!$C$2:$C$201&lt;=$A1587)*(HISTORIAL_HORARIOS!$D$2:$D$201&gt;=$A1587),0)),INDEX(IF($I1587="FIN",PERSONAL!$L$2:$L$80,PERSONAL!$H$2:$H$80),MATCH($B1587,PERSONAL!$A$2:$A$80,0)))))</f>
        <v/>
      </c>
    </row>
    <row r="1588" ht="15" customHeight="1" s="58">
      <c r="A1588" s="40" t="n"/>
      <c r="B1588" s="38" t="n"/>
      <c r="C1588" s="40" t="n"/>
      <c r="D1588" s="40" t="n"/>
      <c r="E1588" s="34">
        <f t="array" ref="E1588">IF($B1588="","",IFERROR(INDEX(PERSONAL!$B$2:$B$80,MATCH($B1588,PERSONAL!$A$2:$A$80,0)),"NO EXISTE"))</f>
        <v/>
      </c>
      <c r="F1588" s="34">
        <f t="array" ref="F1588">IF($B1588="","",IFERROR(INDEX(PERSONAL!$C$2:$C$80,MATCH($B1588,PERSONAL!$A$2:$A$80,0)),""))</f>
        <v/>
      </c>
      <c r="G1588" s="34">
        <f>IF($A1588="","",CHOOSE(WEEKDAY($A1588,2),"LUNES","MARTES","MIÉRCOLES","JUEVES","VIERNES","SÁBADO","DOMINGO"))</f>
        <v/>
      </c>
      <c r="H1588" s="34">
        <f>IF($A1588="","",CHOOSE(MONTH($A1588),"ENERO","FEBRERO","MARZO","ABRIL","MAYO","JUNIO","JULIO","AGOSTO","SEPTIEMBRE","OCTUBRE","NOVIEMBRE","DICIEMBRE"))</f>
        <v/>
      </c>
      <c r="I1588" s="34">
        <f>IF($A1588="","",IF(OR($G1588="SÁBADO",$G1588="DOMINGO"),"FIN","LV"))</f>
        <v/>
      </c>
      <c r="J1588" s="34">
        <f>IF(OR($A1588="",$B1588=""),"",IF($L1588&lt;&gt;"",UPPER($L1588),IF($C1588="","FALTA",IFERROR(IF($C1588&gt;=$O1588,"ROJO FUERTE",IF($C1588&gt;=$N1588,"ROJO",IF($C1588&gt;=$M1588,"AMARILLO","VERDE"))),"REVISAR"))))</f>
        <v/>
      </c>
      <c r="K1588" s="36">
        <f>IF(OR($C1588="",$D1588=""),"",IF($D1588&gt;=$C1588,($D1588-$C1588)*24,(1-$C1588+$D1588)*24))</f>
        <v/>
      </c>
      <c r="L1588" s="34" t="n"/>
      <c r="M1588" s="53">
        <f t="array" ref="M1588">IFERROR(INDEX(EXCEPCIONES_FECHA!$D$2:$D$201,MATCH(1,(EXCEPCIONES_FECHA!$A$2:$A$201=$A1588)*(EXCEPCIONES_FECHA!$B$2:$B$201=$B1588),0)),IFERROR(INDEX(EXCEPCIONES_FECHA!$D$2:$D$201,MATCH(1,(EXCEPCIONES_FECHA!$A$2:$A$201=$A1588)*(EXCEPCIONES_FECHA!$B$2:$B$201=""),0)),IFERROR(INDEX(IF($I1588="FIN",HISTORIAL_HORARIOS!$J$2:$J$201,HISTORIAL_HORARIOS!$F$2:$F$201),MATCH(1,(HISTORIAL_HORARIOS!$A$2:$A$201=$B1588)*(HISTORIAL_HORARIOS!$C$2:$C$201&lt;=$A1588)*(HISTORIAL_HORARIOS!$D$2:$D$201&gt;=$A1588),0)),INDEX(IF($I1588="FIN",PERSONAL!$J$2:$J$80,PERSONAL!$F$2:$F$80),MATCH($B1588,PERSONAL!$A$2:$A$80,0)))))</f>
        <v/>
      </c>
      <c r="N1588" s="53">
        <f t="array" ref="N1588">IFERROR(INDEX(EXCEPCIONES_FECHA!$E$2:$E$201,MATCH(1,(EXCEPCIONES_FECHA!$A$2:$A$201=$A1588)*(EXCEPCIONES_FECHA!$B$2:$B$201=$B1588),0)),IFERROR(INDEX(EXCEPCIONES_FECHA!$E$2:$E$201,MATCH(1,(EXCEPCIONES_FECHA!$A$2:$A$201=$A1588)*(EXCEPCIONES_FECHA!$B$2:$B$201=""),0)),IFERROR(INDEX(IF($I1588="FIN",HISTORIAL_HORARIOS!$K$2:$K$201,HISTORIAL_HORARIOS!$G$2:$G$201),MATCH(1,(HISTORIAL_HORARIOS!$A$2:$A$201=$B1588)*(HISTORIAL_HORARIOS!$C$2:$C$201&lt;=$A1588)*(HISTORIAL_HORARIOS!$D$2:$D$201&gt;=$A1588),0)),INDEX(IF($I1588="FIN",PERSONAL!$K$2:$K$80,PERSONAL!$G$2:$G$80),MATCH($B1588,PERSONAL!$A$2:$A$80,0)))))</f>
        <v/>
      </c>
      <c r="O1588" s="53">
        <f t="array" ref="O1588">IFERROR(INDEX(EXCEPCIONES_FECHA!$F$2:$F$201,MATCH(1,(EXCEPCIONES_FECHA!$A$2:$A$201=$A1588)*(EXCEPCIONES_FECHA!$B$2:$B$201=$B1588),0)),IFERROR(INDEX(EXCEPCIONES_FECHA!$F$2:$F$201,MATCH(1,(EXCEPCIONES_FECHA!$A$2:$A$201=$A1588)*(EXCEPCIONES_FECHA!$B$2:$B$201=""),0)),IFERROR(INDEX(IF($I1588="FIN",HISTORIAL_HORARIOS!$L$2:$L$201,HISTORIAL_HORARIOS!$H$2:$H$201),MATCH(1,(HISTORIAL_HORARIOS!$A$2:$A$201=$B1588)*(HISTORIAL_HORARIOS!$C$2:$C$201&lt;=$A1588)*(HISTORIAL_HORARIOS!$D$2:$D$201&gt;=$A1588),0)),INDEX(IF($I1588="FIN",PERSONAL!$L$2:$L$80,PERSONAL!$H$2:$H$80),MATCH($B1588,PERSONAL!$A$2:$A$80,0)))))</f>
        <v/>
      </c>
    </row>
    <row r="1589" ht="15" customHeight="1" s="58">
      <c r="A1589" s="40" t="n"/>
      <c r="B1589" s="38" t="n"/>
      <c r="C1589" s="40" t="n"/>
      <c r="D1589" s="40" t="n"/>
      <c r="E1589" s="34">
        <f t="array" ref="E1589">IF($B1589="","",IFERROR(INDEX(PERSONAL!$B$2:$B$80,MATCH($B1589,PERSONAL!$A$2:$A$80,0)),"NO EXISTE"))</f>
        <v/>
      </c>
      <c r="F1589" s="34">
        <f t="array" ref="F1589">IF($B1589="","",IFERROR(INDEX(PERSONAL!$C$2:$C$80,MATCH($B1589,PERSONAL!$A$2:$A$80,0)),""))</f>
        <v/>
      </c>
      <c r="G1589" s="34">
        <f>IF($A1589="","",CHOOSE(WEEKDAY($A1589,2),"LUNES","MARTES","MIÉRCOLES","JUEVES","VIERNES","SÁBADO","DOMINGO"))</f>
        <v/>
      </c>
      <c r="H1589" s="34">
        <f>IF($A1589="","",CHOOSE(MONTH($A1589),"ENERO","FEBRERO","MARZO","ABRIL","MAYO","JUNIO","JULIO","AGOSTO","SEPTIEMBRE","OCTUBRE","NOVIEMBRE","DICIEMBRE"))</f>
        <v/>
      </c>
      <c r="I1589" s="34">
        <f>IF($A1589="","",IF(OR($G1589="SÁBADO",$G1589="DOMINGO"),"FIN","LV"))</f>
        <v/>
      </c>
      <c r="J1589" s="34">
        <f>IF(OR($A1589="",$B1589=""),"",IF($L1589&lt;&gt;"",UPPER($L1589),IF($C1589="","FALTA",IFERROR(IF($C1589&gt;=$O1589,"ROJO FUERTE",IF($C1589&gt;=$N1589,"ROJO",IF($C1589&gt;=$M1589,"AMARILLO","VERDE"))),"REVISAR"))))</f>
        <v/>
      </c>
      <c r="K1589" s="36">
        <f>IF(OR($C1589="",$D1589=""),"",IF($D1589&gt;=$C1589,($D1589-$C1589)*24,(1-$C1589+$D1589)*24))</f>
        <v/>
      </c>
      <c r="L1589" s="34" t="n"/>
      <c r="M1589" s="53">
        <f t="array" ref="M1589">IFERROR(INDEX(EXCEPCIONES_FECHA!$D$2:$D$201,MATCH(1,(EXCEPCIONES_FECHA!$A$2:$A$201=$A1589)*(EXCEPCIONES_FECHA!$B$2:$B$201=$B1589),0)),IFERROR(INDEX(EXCEPCIONES_FECHA!$D$2:$D$201,MATCH(1,(EXCEPCIONES_FECHA!$A$2:$A$201=$A1589)*(EXCEPCIONES_FECHA!$B$2:$B$201=""),0)),IFERROR(INDEX(IF($I1589="FIN",HISTORIAL_HORARIOS!$J$2:$J$201,HISTORIAL_HORARIOS!$F$2:$F$201),MATCH(1,(HISTORIAL_HORARIOS!$A$2:$A$201=$B1589)*(HISTORIAL_HORARIOS!$C$2:$C$201&lt;=$A1589)*(HISTORIAL_HORARIOS!$D$2:$D$201&gt;=$A1589),0)),INDEX(IF($I1589="FIN",PERSONAL!$J$2:$J$80,PERSONAL!$F$2:$F$80),MATCH($B1589,PERSONAL!$A$2:$A$80,0)))))</f>
        <v/>
      </c>
      <c r="N1589" s="53">
        <f t="array" ref="N1589">IFERROR(INDEX(EXCEPCIONES_FECHA!$E$2:$E$201,MATCH(1,(EXCEPCIONES_FECHA!$A$2:$A$201=$A1589)*(EXCEPCIONES_FECHA!$B$2:$B$201=$B1589),0)),IFERROR(INDEX(EXCEPCIONES_FECHA!$E$2:$E$201,MATCH(1,(EXCEPCIONES_FECHA!$A$2:$A$201=$A1589)*(EXCEPCIONES_FECHA!$B$2:$B$201=""),0)),IFERROR(INDEX(IF($I1589="FIN",HISTORIAL_HORARIOS!$K$2:$K$201,HISTORIAL_HORARIOS!$G$2:$G$201),MATCH(1,(HISTORIAL_HORARIOS!$A$2:$A$201=$B1589)*(HISTORIAL_HORARIOS!$C$2:$C$201&lt;=$A1589)*(HISTORIAL_HORARIOS!$D$2:$D$201&gt;=$A1589),0)),INDEX(IF($I1589="FIN",PERSONAL!$K$2:$K$80,PERSONAL!$G$2:$G$80),MATCH($B1589,PERSONAL!$A$2:$A$80,0)))))</f>
        <v/>
      </c>
      <c r="O1589" s="53">
        <f t="array" ref="O1589">IFERROR(INDEX(EXCEPCIONES_FECHA!$F$2:$F$201,MATCH(1,(EXCEPCIONES_FECHA!$A$2:$A$201=$A1589)*(EXCEPCIONES_FECHA!$B$2:$B$201=$B1589),0)),IFERROR(INDEX(EXCEPCIONES_FECHA!$F$2:$F$201,MATCH(1,(EXCEPCIONES_FECHA!$A$2:$A$201=$A1589)*(EXCEPCIONES_FECHA!$B$2:$B$201=""),0)),IFERROR(INDEX(IF($I1589="FIN",HISTORIAL_HORARIOS!$L$2:$L$201,HISTORIAL_HORARIOS!$H$2:$H$201),MATCH(1,(HISTORIAL_HORARIOS!$A$2:$A$201=$B1589)*(HISTORIAL_HORARIOS!$C$2:$C$201&lt;=$A1589)*(HISTORIAL_HORARIOS!$D$2:$D$201&gt;=$A1589),0)),INDEX(IF($I1589="FIN",PERSONAL!$L$2:$L$80,PERSONAL!$H$2:$H$80),MATCH($B1589,PERSONAL!$A$2:$A$80,0)))))</f>
        <v/>
      </c>
    </row>
    <row r="1590" ht="15" customHeight="1" s="58">
      <c r="A1590" s="40" t="n"/>
      <c r="B1590" s="38" t="n"/>
      <c r="C1590" s="40" t="n"/>
      <c r="D1590" s="40" t="n"/>
      <c r="E1590" s="34">
        <f t="array" ref="E1590">IF($B1590="","",IFERROR(INDEX(PERSONAL!$B$2:$B$80,MATCH($B1590,PERSONAL!$A$2:$A$80,0)),"NO EXISTE"))</f>
        <v/>
      </c>
      <c r="F1590" s="34">
        <f t="array" ref="F1590">IF($B1590="","",IFERROR(INDEX(PERSONAL!$C$2:$C$80,MATCH($B1590,PERSONAL!$A$2:$A$80,0)),""))</f>
        <v/>
      </c>
      <c r="G1590" s="34">
        <f>IF($A1590="","",CHOOSE(WEEKDAY($A1590,2),"LUNES","MARTES","MIÉRCOLES","JUEVES","VIERNES","SÁBADO","DOMINGO"))</f>
        <v/>
      </c>
      <c r="H1590" s="34">
        <f>IF($A1590="","",CHOOSE(MONTH($A1590),"ENERO","FEBRERO","MARZO","ABRIL","MAYO","JUNIO","JULIO","AGOSTO","SEPTIEMBRE","OCTUBRE","NOVIEMBRE","DICIEMBRE"))</f>
        <v/>
      </c>
      <c r="I1590" s="34">
        <f>IF($A1590="","",IF(OR($G1590="SÁBADO",$G1590="DOMINGO"),"FIN","LV"))</f>
        <v/>
      </c>
      <c r="J1590" s="34">
        <f>IF(OR($A1590="",$B1590=""),"",IF($L1590&lt;&gt;"",UPPER($L1590),IF($C1590="","FALTA",IFERROR(IF($C1590&gt;=$O1590,"ROJO FUERTE",IF($C1590&gt;=$N1590,"ROJO",IF($C1590&gt;=$M1590,"AMARILLO","VERDE"))),"REVISAR"))))</f>
        <v/>
      </c>
      <c r="K1590" s="36">
        <f>IF(OR($C1590="",$D1590=""),"",IF($D1590&gt;=$C1590,($D1590-$C1590)*24,(1-$C1590+$D1590)*24))</f>
        <v/>
      </c>
      <c r="L1590" s="34" t="n"/>
      <c r="M1590" s="53">
        <f t="array" ref="M1590">IFERROR(INDEX(EXCEPCIONES_FECHA!$D$2:$D$201,MATCH(1,(EXCEPCIONES_FECHA!$A$2:$A$201=$A1590)*(EXCEPCIONES_FECHA!$B$2:$B$201=$B1590),0)),IFERROR(INDEX(EXCEPCIONES_FECHA!$D$2:$D$201,MATCH(1,(EXCEPCIONES_FECHA!$A$2:$A$201=$A1590)*(EXCEPCIONES_FECHA!$B$2:$B$201=""),0)),IFERROR(INDEX(IF($I1590="FIN",HISTORIAL_HORARIOS!$J$2:$J$201,HISTORIAL_HORARIOS!$F$2:$F$201),MATCH(1,(HISTORIAL_HORARIOS!$A$2:$A$201=$B1590)*(HISTORIAL_HORARIOS!$C$2:$C$201&lt;=$A1590)*(HISTORIAL_HORARIOS!$D$2:$D$201&gt;=$A1590),0)),INDEX(IF($I1590="FIN",PERSONAL!$J$2:$J$80,PERSONAL!$F$2:$F$80),MATCH($B1590,PERSONAL!$A$2:$A$80,0)))))</f>
        <v/>
      </c>
      <c r="N1590" s="53">
        <f t="array" ref="N1590">IFERROR(INDEX(EXCEPCIONES_FECHA!$E$2:$E$201,MATCH(1,(EXCEPCIONES_FECHA!$A$2:$A$201=$A1590)*(EXCEPCIONES_FECHA!$B$2:$B$201=$B1590),0)),IFERROR(INDEX(EXCEPCIONES_FECHA!$E$2:$E$201,MATCH(1,(EXCEPCIONES_FECHA!$A$2:$A$201=$A1590)*(EXCEPCIONES_FECHA!$B$2:$B$201=""),0)),IFERROR(INDEX(IF($I1590="FIN",HISTORIAL_HORARIOS!$K$2:$K$201,HISTORIAL_HORARIOS!$G$2:$G$201),MATCH(1,(HISTORIAL_HORARIOS!$A$2:$A$201=$B1590)*(HISTORIAL_HORARIOS!$C$2:$C$201&lt;=$A1590)*(HISTORIAL_HORARIOS!$D$2:$D$201&gt;=$A1590),0)),INDEX(IF($I1590="FIN",PERSONAL!$K$2:$K$80,PERSONAL!$G$2:$G$80),MATCH($B1590,PERSONAL!$A$2:$A$80,0)))))</f>
        <v/>
      </c>
      <c r="O1590" s="53">
        <f t="array" ref="O1590">IFERROR(INDEX(EXCEPCIONES_FECHA!$F$2:$F$201,MATCH(1,(EXCEPCIONES_FECHA!$A$2:$A$201=$A1590)*(EXCEPCIONES_FECHA!$B$2:$B$201=$B1590),0)),IFERROR(INDEX(EXCEPCIONES_FECHA!$F$2:$F$201,MATCH(1,(EXCEPCIONES_FECHA!$A$2:$A$201=$A1590)*(EXCEPCIONES_FECHA!$B$2:$B$201=""),0)),IFERROR(INDEX(IF($I1590="FIN",HISTORIAL_HORARIOS!$L$2:$L$201,HISTORIAL_HORARIOS!$H$2:$H$201),MATCH(1,(HISTORIAL_HORARIOS!$A$2:$A$201=$B1590)*(HISTORIAL_HORARIOS!$C$2:$C$201&lt;=$A1590)*(HISTORIAL_HORARIOS!$D$2:$D$201&gt;=$A1590),0)),INDEX(IF($I1590="FIN",PERSONAL!$L$2:$L$80,PERSONAL!$H$2:$H$80),MATCH($B1590,PERSONAL!$A$2:$A$80,0)))))</f>
        <v/>
      </c>
    </row>
    <row r="1591" ht="15" customHeight="1" s="58">
      <c r="A1591" s="40" t="n"/>
      <c r="B1591" s="38" t="n"/>
      <c r="C1591" s="40" t="n"/>
      <c r="D1591" s="40" t="n"/>
      <c r="E1591" s="34">
        <f t="array" ref="E1591">IF($B1591="","",IFERROR(INDEX(PERSONAL!$B$2:$B$80,MATCH($B1591,PERSONAL!$A$2:$A$80,0)),"NO EXISTE"))</f>
        <v/>
      </c>
      <c r="F1591" s="34">
        <f t="array" ref="F1591">IF($B1591="","",IFERROR(INDEX(PERSONAL!$C$2:$C$80,MATCH($B1591,PERSONAL!$A$2:$A$80,0)),""))</f>
        <v/>
      </c>
      <c r="G1591" s="34">
        <f>IF($A1591="","",CHOOSE(WEEKDAY($A1591,2),"LUNES","MARTES","MIÉRCOLES","JUEVES","VIERNES","SÁBADO","DOMINGO"))</f>
        <v/>
      </c>
      <c r="H1591" s="34">
        <f>IF($A1591="","",CHOOSE(MONTH($A1591),"ENERO","FEBRERO","MARZO","ABRIL","MAYO","JUNIO","JULIO","AGOSTO","SEPTIEMBRE","OCTUBRE","NOVIEMBRE","DICIEMBRE"))</f>
        <v/>
      </c>
      <c r="I1591" s="34">
        <f>IF($A1591="","",IF(OR($G1591="SÁBADO",$G1591="DOMINGO"),"FIN","LV"))</f>
        <v/>
      </c>
      <c r="J1591" s="34">
        <f>IF(OR($A1591="",$B1591=""),"",IF($L1591&lt;&gt;"",UPPER($L1591),IF($C1591="","FALTA",IFERROR(IF($C1591&gt;=$O1591,"ROJO FUERTE",IF($C1591&gt;=$N1591,"ROJO",IF($C1591&gt;=$M1591,"AMARILLO","VERDE"))),"REVISAR"))))</f>
        <v/>
      </c>
      <c r="K1591" s="36">
        <f>IF(OR($C1591="",$D1591=""),"",IF($D1591&gt;=$C1591,($D1591-$C1591)*24,(1-$C1591+$D1591)*24))</f>
        <v/>
      </c>
      <c r="L1591" s="34" t="n"/>
      <c r="M1591" s="53">
        <f t="array" ref="M1591">IFERROR(INDEX(EXCEPCIONES_FECHA!$D$2:$D$201,MATCH(1,(EXCEPCIONES_FECHA!$A$2:$A$201=$A1591)*(EXCEPCIONES_FECHA!$B$2:$B$201=$B1591),0)),IFERROR(INDEX(EXCEPCIONES_FECHA!$D$2:$D$201,MATCH(1,(EXCEPCIONES_FECHA!$A$2:$A$201=$A1591)*(EXCEPCIONES_FECHA!$B$2:$B$201=""),0)),IFERROR(INDEX(IF($I1591="FIN",HISTORIAL_HORARIOS!$J$2:$J$201,HISTORIAL_HORARIOS!$F$2:$F$201),MATCH(1,(HISTORIAL_HORARIOS!$A$2:$A$201=$B1591)*(HISTORIAL_HORARIOS!$C$2:$C$201&lt;=$A1591)*(HISTORIAL_HORARIOS!$D$2:$D$201&gt;=$A1591),0)),INDEX(IF($I1591="FIN",PERSONAL!$J$2:$J$80,PERSONAL!$F$2:$F$80),MATCH($B1591,PERSONAL!$A$2:$A$80,0)))))</f>
        <v/>
      </c>
      <c r="N1591" s="53">
        <f t="array" ref="N1591">IFERROR(INDEX(EXCEPCIONES_FECHA!$E$2:$E$201,MATCH(1,(EXCEPCIONES_FECHA!$A$2:$A$201=$A1591)*(EXCEPCIONES_FECHA!$B$2:$B$201=$B1591),0)),IFERROR(INDEX(EXCEPCIONES_FECHA!$E$2:$E$201,MATCH(1,(EXCEPCIONES_FECHA!$A$2:$A$201=$A1591)*(EXCEPCIONES_FECHA!$B$2:$B$201=""),0)),IFERROR(INDEX(IF($I1591="FIN",HISTORIAL_HORARIOS!$K$2:$K$201,HISTORIAL_HORARIOS!$G$2:$G$201),MATCH(1,(HISTORIAL_HORARIOS!$A$2:$A$201=$B1591)*(HISTORIAL_HORARIOS!$C$2:$C$201&lt;=$A1591)*(HISTORIAL_HORARIOS!$D$2:$D$201&gt;=$A1591),0)),INDEX(IF($I1591="FIN",PERSONAL!$K$2:$K$80,PERSONAL!$G$2:$G$80),MATCH($B1591,PERSONAL!$A$2:$A$80,0)))))</f>
        <v/>
      </c>
      <c r="O1591" s="53">
        <f t="array" ref="O1591">IFERROR(INDEX(EXCEPCIONES_FECHA!$F$2:$F$201,MATCH(1,(EXCEPCIONES_FECHA!$A$2:$A$201=$A1591)*(EXCEPCIONES_FECHA!$B$2:$B$201=$B1591),0)),IFERROR(INDEX(EXCEPCIONES_FECHA!$F$2:$F$201,MATCH(1,(EXCEPCIONES_FECHA!$A$2:$A$201=$A1591)*(EXCEPCIONES_FECHA!$B$2:$B$201=""),0)),IFERROR(INDEX(IF($I1591="FIN",HISTORIAL_HORARIOS!$L$2:$L$201,HISTORIAL_HORARIOS!$H$2:$H$201),MATCH(1,(HISTORIAL_HORARIOS!$A$2:$A$201=$B1591)*(HISTORIAL_HORARIOS!$C$2:$C$201&lt;=$A1591)*(HISTORIAL_HORARIOS!$D$2:$D$201&gt;=$A1591),0)),INDEX(IF($I1591="FIN",PERSONAL!$L$2:$L$80,PERSONAL!$H$2:$H$80),MATCH($B1591,PERSONAL!$A$2:$A$80,0)))))</f>
        <v/>
      </c>
    </row>
    <row r="1592" ht="15" customHeight="1" s="58">
      <c r="A1592" s="40" t="n"/>
      <c r="B1592" s="38" t="n"/>
      <c r="C1592" s="40" t="n"/>
      <c r="D1592" s="40" t="n"/>
      <c r="E1592" s="34">
        <f t="array" ref="E1592">IF($B1592="","",IFERROR(INDEX(PERSONAL!$B$2:$B$80,MATCH($B1592,PERSONAL!$A$2:$A$80,0)),"NO EXISTE"))</f>
        <v/>
      </c>
      <c r="F1592" s="34">
        <f t="array" ref="F1592">IF($B1592="","",IFERROR(INDEX(PERSONAL!$C$2:$C$80,MATCH($B1592,PERSONAL!$A$2:$A$80,0)),""))</f>
        <v/>
      </c>
      <c r="G1592" s="34">
        <f>IF($A1592="","",CHOOSE(WEEKDAY($A1592,2),"LUNES","MARTES","MIÉRCOLES","JUEVES","VIERNES","SÁBADO","DOMINGO"))</f>
        <v/>
      </c>
      <c r="H1592" s="34">
        <f>IF($A1592="","",CHOOSE(MONTH($A1592),"ENERO","FEBRERO","MARZO","ABRIL","MAYO","JUNIO","JULIO","AGOSTO","SEPTIEMBRE","OCTUBRE","NOVIEMBRE","DICIEMBRE"))</f>
        <v/>
      </c>
      <c r="I1592" s="34">
        <f>IF($A1592="","",IF(OR($G1592="SÁBADO",$G1592="DOMINGO"),"FIN","LV"))</f>
        <v/>
      </c>
      <c r="J1592" s="34">
        <f>IF(OR($A1592="",$B1592=""),"",IF($L1592&lt;&gt;"",UPPER($L1592),IF($C1592="","FALTA",IFERROR(IF($C1592&gt;=$O1592,"ROJO FUERTE",IF($C1592&gt;=$N1592,"ROJO",IF($C1592&gt;=$M1592,"AMARILLO","VERDE"))),"REVISAR"))))</f>
        <v/>
      </c>
      <c r="K1592" s="36">
        <f>IF(OR($C1592="",$D1592=""),"",IF($D1592&gt;=$C1592,($D1592-$C1592)*24,(1-$C1592+$D1592)*24))</f>
        <v/>
      </c>
      <c r="L1592" s="34" t="n"/>
      <c r="M1592" s="53">
        <f t="array" ref="M1592">IFERROR(INDEX(EXCEPCIONES_FECHA!$D$2:$D$201,MATCH(1,(EXCEPCIONES_FECHA!$A$2:$A$201=$A1592)*(EXCEPCIONES_FECHA!$B$2:$B$201=$B1592),0)),IFERROR(INDEX(EXCEPCIONES_FECHA!$D$2:$D$201,MATCH(1,(EXCEPCIONES_FECHA!$A$2:$A$201=$A1592)*(EXCEPCIONES_FECHA!$B$2:$B$201=""),0)),IFERROR(INDEX(IF($I1592="FIN",HISTORIAL_HORARIOS!$J$2:$J$201,HISTORIAL_HORARIOS!$F$2:$F$201),MATCH(1,(HISTORIAL_HORARIOS!$A$2:$A$201=$B1592)*(HISTORIAL_HORARIOS!$C$2:$C$201&lt;=$A1592)*(HISTORIAL_HORARIOS!$D$2:$D$201&gt;=$A1592),0)),INDEX(IF($I1592="FIN",PERSONAL!$J$2:$J$80,PERSONAL!$F$2:$F$80),MATCH($B1592,PERSONAL!$A$2:$A$80,0)))))</f>
        <v/>
      </c>
      <c r="N1592" s="53">
        <f t="array" ref="N1592">IFERROR(INDEX(EXCEPCIONES_FECHA!$E$2:$E$201,MATCH(1,(EXCEPCIONES_FECHA!$A$2:$A$201=$A1592)*(EXCEPCIONES_FECHA!$B$2:$B$201=$B1592),0)),IFERROR(INDEX(EXCEPCIONES_FECHA!$E$2:$E$201,MATCH(1,(EXCEPCIONES_FECHA!$A$2:$A$201=$A1592)*(EXCEPCIONES_FECHA!$B$2:$B$201=""),0)),IFERROR(INDEX(IF($I1592="FIN",HISTORIAL_HORARIOS!$K$2:$K$201,HISTORIAL_HORARIOS!$G$2:$G$201),MATCH(1,(HISTORIAL_HORARIOS!$A$2:$A$201=$B1592)*(HISTORIAL_HORARIOS!$C$2:$C$201&lt;=$A1592)*(HISTORIAL_HORARIOS!$D$2:$D$201&gt;=$A1592),0)),INDEX(IF($I1592="FIN",PERSONAL!$K$2:$K$80,PERSONAL!$G$2:$G$80),MATCH($B1592,PERSONAL!$A$2:$A$80,0)))))</f>
        <v/>
      </c>
      <c r="O1592" s="53">
        <f t="array" ref="O1592">IFERROR(INDEX(EXCEPCIONES_FECHA!$F$2:$F$201,MATCH(1,(EXCEPCIONES_FECHA!$A$2:$A$201=$A1592)*(EXCEPCIONES_FECHA!$B$2:$B$201=$B1592),0)),IFERROR(INDEX(EXCEPCIONES_FECHA!$F$2:$F$201,MATCH(1,(EXCEPCIONES_FECHA!$A$2:$A$201=$A1592)*(EXCEPCIONES_FECHA!$B$2:$B$201=""),0)),IFERROR(INDEX(IF($I1592="FIN",HISTORIAL_HORARIOS!$L$2:$L$201,HISTORIAL_HORARIOS!$H$2:$H$201),MATCH(1,(HISTORIAL_HORARIOS!$A$2:$A$201=$B1592)*(HISTORIAL_HORARIOS!$C$2:$C$201&lt;=$A1592)*(HISTORIAL_HORARIOS!$D$2:$D$201&gt;=$A1592),0)),INDEX(IF($I1592="FIN",PERSONAL!$L$2:$L$80,PERSONAL!$H$2:$H$80),MATCH($B1592,PERSONAL!$A$2:$A$80,0)))))</f>
        <v/>
      </c>
    </row>
    <row r="1593" ht="15" customHeight="1" s="58">
      <c r="A1593" s="40" t="n"/>
      <c r="B1593" s="38" t="n"/>
      <c r="C1593" s="40" t="n"/>
      <c r="D1593" s="40" t="n"/>
      <c r="E1593" s="34">
        <f t="array" ref="E1593">IF($B1593="","",IFERROR(INDEX(PERSONAL!$B$2:$B$80,MATCH($B1593,PERSONAL!$A$2:$A$80,0)),"NO EXISTE"))</f>
        <v/>
      </c>
      <c r="F1593" s="34">
        <f t="array" ref="F1593">IF($B1593="","",IFERROR(INDEX(PERSONAL!$C$2:$C$80,MATCH($B1593,PERSONAL!$A$2:$A$80,0)),""))</f>
        <v/>
      </c>
      <c r="G1593" s="34">
        <f>IF($A1593="","",CHOOSE(WEEKDAY($A1593,2),"LUNES","MARTES","MIÉRCOLES","JUEVES","VIERNES","SÁBADO","DOMINGO"))</f>
        <v/>
      </c>
      <c r="H1593" s="34">
        <f>IF($A1593="","",CHOOSE(MONTH($A1593),"ENERO","FEBRERO","MARZO","ABRIL","MAYO","JUNIO","JULIO","AGOSTO","SEPTIEMBRE","OCTUBRE","NOVIEMBRE","DICIEMBRE"))</f>
        <v/>
      </c>
      <c r="I1593" s="34">
        <f>IF($A1593="","",IF(OR($G1593="SÁBADO",$G1593="DOMINGO"),"FIN","LV"))</f>
        <v/>
      </c>
      <c r="J1593" s="34">
        <f>IF(OR($A1593="",$B1593=""),"",IF($L1593&lt;&gt;"",UPPER($L1593),IF($C1593="","FALTA",IFERROR(IF($C1593&gt;=$O1593,"ROJO FUERTE",IF($C1593&gt;=$N1593,"ROJO",IF($C1593&gt;=$M1593,"AMARILLO","VERDE"))),"REVISAR"))))</f>
        <v/>
      </c>
      <c r="K1593" s="36">
        <f>IF(OR($C1593="",$D1593=""),"",IF($D1593&gt;=$C1593,($D1593-$C1593)*24,(1-$C1593+$D1593)*24))</f>
        <v/>
      </c>
      <c r="L1593" s="34" t="n"/>
      <c r="M1593" s="53">
        <f t="array" ref="M1593">IFERROR(INDEX(EXCEPCIONES_FECHA!$D$2:$D$201,MATCH(1,(EXCEPCIONES_FECHA!$A$2:$A$201=$A1593)*(EXCEPCIONES_FECHA!$B$2:$B$201=$B1593),0)),IFERROR(INDEX(EXCEPCIONES_FECHA!$D$2:$D$201,MATCH(1,(EXCEPCIONES_FECHA!$A$2:$A$201=$A1593)*(EXCEPCIONES_FECHA!$B$2:$B$201=""),0)),IFERROR(INDEX(IF($I1593="FIN",HISTORIAL_HORARIOS!$J$2:$J$201,HISTORIAL_HORARIOS!$F$2:$F$201),MATCH(1,(HISTORIAL_HORARIOS!$A$2:$A$201=$B1593)*(HISTORIAL_HORARIOS!$C$2:$C$201&lt;=$A1593)*(HISTORIAL_HORARIOS!$D$2:$D$201&gt;=$A1593),0)),INDEX(IF($I1593="FIN",PERSONAL!$J$2:$J$80,PERSONAL!$F$2:$F$80),MATCH($B1593,PERSONAL!$A$2:$A$80,0)))))</f>
        <v/>
      </c>
      <c r="N1593" s="53">
        <f t="array" ref="N1593">IFERROR(INDEX(EXCEPCIONES_FECHA!$E$2:$E$201,MATCH(1,(EXCEPCIONES_FECHA!$A$2:$A$201=$A1593)*(EXCEPCIONES_FECHA!$B$2:$B$201=$B1593),0)),IFERROR(INDEX(EXCEPCIONES_FECHA!$E$2:$E$201,MATCH(1,(EXCEPCIONES_FECHA!$A$2:$A$201=$A1593)*(EXCEPCIONES_FECHA!$B$2:$B$201=""),0)),IFERROR(INDEX(IF($I1593="FIN",HISTORIAL_HORARIOS!$K$2:$K$201,HISTORIAL_HORARIOS!$G$2:$G$201),MATCH(1,(HISTORIAL_HORARIOS!$A$2:$A$201=$B1593)*(HISTORIAL_HORARIOS!$C$2:$C$201&lt;=$A1593)*(HISTORIAL_HORARIOS!$D$2:$D$201&gt;=$A1593),0)),INDEX(IF($I1593="FIN",PERSONAL!$K$2:$K$80,PERSONAL!$G$2:$G$80),MATCH($B1593,PERSONAL!$A$2:$A$80,0)))))</f>
        <v/>
      </c>
      <c r="O1593" s="53">
        <f t="array" ref="O1593">IFERROR(INDEX(EXCEPCIONES_FECHA!$F$2:$F$201,MATCH(1,(EXCEPCIONES_FECHA!$A$2:$A$201=$A1593)*(EXCEPCIONES_FECHA!$B$2:$B$201=$B1593),0)),IFERROR(INDEX(EXCEPCIONES_FECHA!$F$2:$F$201,MATCH(1,(EXCEPCIONES_FECHA!$A$2:$A$201=$A1593)*(EXCEPCIONES_FECHA!$B$2:$B$201=""),0)),IFERROR(INDEX(IF($I1593="FIN",HISTORIAL_HORARIOS!$L$2:$L$201,HISTORIAL_HORARIOS!$H$2:$H$201),MATCH(1,(HISTORIAL_HORARIOS!$A$2:$A$201=$B1593)*(HISTORIAL_HORARIOS!$C$2:$C$201&lt;=$A1593)*(HISTORIAL_HORARIOS!$D$2:$D$201&gt;=$A1593),0)),INDEX(IF($I1593="FIN",PERSONAL!$L$2:$L$80,PERSONAL!$H$2:$H$80),MATCH($B1593,PERSONAL!$A$2:$A$80,0)))))</f>
        <v/>
      </c>
    </row>
    <row r="1594" ht="15" customHeight="1" s="58">
      <c r="A1594" s="40" t="n"/>
      <c r="B1594" s="38" t="n"/>
      <c r="C1594" s="40" t="n"/>
      <c r="D1594" s="40" t="n"/>
      <c r="E1594" s="34">
        <f t="array" ref="E1594">IF($B1594="","",IFERROR(INDEX(PERSONAL!$B$2:$B$80,MATCH($B1594,PERSONAL!$A$2:$A$80,0)),"NO EXISTE"))</f>
        <v/>
      </c>
      <c r="F1594" s="34">
        <f t="array" ref="F1594">IF($B1594="","",IFERROR(INDEX(PERSONAL!$C$2:$C$80,MATCH($B1594,PERSONAL!$A$2:$A$80,0)),""))</f>
        <v/>
      </c>
      <c r="G1594" s="34">
        <f>IF($A1594="","",CHOOSE(WEEKDAY($A1594,2),"LUNES","MARTES","MIÉRCOLES","JUEVES","VIERNES","SÁBADO","DOMINGO"))</f>
        <v/>
      </c>
      <c r="H1594" s="34">
        <f>IF($A1594="","",CHOOSE(MONTH($A1594),"ENERO","FEBRERO","MARZO","ABRIL","MAYO","JUNIO","JULIO","AGOSTO","SEPTIEMBRE","OCTUBRE","NOVIEMBRE","DICIEMBRE"))</f>
        <v/>
      </c>
      <c r="I1594" s="34">
        <f>IF($A1594="","",IF(OR($G1594="SÁBADO",$G1594="DOMINGO"),"FIN","LV"))</f>
        <v/>
      </c>
      <c r="J1594" s="34">
        <f>IF(OR($A1594="",$B1594=""),"",IF($L1594&lt;&gt;"",UPPER($L1594),IF($C1594="","FALTA",IFERROR(IF($C1594&gt;=$O1594,"ROJO FUERTE",IF($C1594&gt;=$N1594,"ROJO",IF($C1594&gt;=$M1594,"AMARILLO","VERDE"))),"REVISAR"))))</f>
        <v/>
      </c>
      <c r="K1594" s="36">
        <f>IF(OR($C1594="",$D1594=""),"",IF($D1594&gt;=$C1594,($D1594-$C1594)*24,(1-$C1594+$D1594)*24))</f>
        <v/>
      </c>
      <c r="L1594" s="34" t="n"/>
      <c r="M1594" s="53">
        <f t="array" ref="M1594">IFERROR(INDEX(EXCEPCIONES_FECHA!$D$2:$D$201,MATCH(1,(EXCEPCIONES_FECHA!$A$2:$A$201=$A1594)*(EXCEPCIONES_FECHA!$B$2:$B$201=$B1594),0)),IFERROR(INDEX(EXCEPCIONES_FECHA!$D$2:$D$201,MATCH(1,(EXCEPCIONES_FECHA!$A$2:$A$201=$A1594)*(EXCEPCIONES_FECHA!$B$2:$B$201=""),0)),IFERROR(INDEX(IF($I1594="FIN",HISTORIAL_HORARIOS!$J$2:$J$201,HISTORIAL_HORARIOS!$F$2:$F$201),MATCH(1,(HISTORIAL_HORARIOS!$A$2:$A$201=$B1594)*(HISTORIAL_HORARIOS!$C$2:$C$201&lt;=$A1594)*(HISTORIAL_HORARIOS!$D$2:$D$201&gt;=$A1594),0)),INDEX(IF($I1594="FIN",PERSONAL!$J$2:$J$80,PERSONAL!$F$2:$F$80),MATCH($B1594,PERSONAL!$A$2:$A$80,0)))))</f>
        <v/>
      </c>
      <c r="N1594" s="53">
        <f t="array" ref="N1594">IFERROR(INDEX(EXCEPCIONES_FECHA!$E$2:$E$201,MATCH(1,(EXCEPCIONES_FECHA!$A$2:$A$201=$A1594)*(EXCEPCIONES_FECHA!$B$2:$B$201=$B1594),0)),IFERROR(INDEX(EXCEPCIONES_FECHA!$E$2:$E$201,MATCH(1,(EXCEPCIONES_FECHA!$A$2:$A$201=$A1594)*(EXCEPCIONES_FECHA!$B$2:$B$201=""),0)),IFERROR(INDEX(IF($I1594="FIN",HISTORIAL_HORARIOS!$K$2:$K$201,HISTORIAL_HORARIOS!$G$2:$G$201),MATCH(1,(HISTORIAL_HORARIOS!$A$2:$A$201=$B1594)*(HISTORIAL_HORARIOS!$C$2:$C$201&lt;=$A1594)*(HISTORIAL_HORARIOS!$D$2:$D$201&gt;=$A1594),0)),INDEX(IF($I1594="FIN",PERSONAL!$K$2:$K$80,PERSONAL!$G$2:$G$80),MATCH($B1594,PERSONAL!$A$2:$A$80,0)))))</f>
        <v/>
      </c>
      <c r="O1594" s="53">
        <f t="array" ref="O1594">IFERROR(INDEX(EXCEPCIONES_FECHA!$F$2:$F$201,MATCH(1,(EXCEPCIONES_FECHA!$A$2:$A$201=$A1594)*(EXCEPCIONES_FECHA!$B$2:$B$201=$B1594),0)),IFERROR(INDEX(EXCEPCIONES_FECHA!$F$2:$F$201,MATCH(1,(EXCEPCIONES_FECHA!$A$2:$A$201=$A1594)*(EXCEPCIONES_FECHA!$B$2:$B$201=""),0)),IFERROR(INDEX(IF($I1594="FIN",HISTORIAL_HORARIOS!$L$2:$L$201,HISTORIAL_HORARIOS!$H$2:$H$201),MATCH(1,(HISTORIAL_HORARIOS!$A$2:$A$201=$B1594)*(HISTORIAL_HORARIOS!$C$2:$C$201&lt;=$A1594)*(HISTORIAL_HORARIOS!$D$2:$D$201&gt;=$A1594),0)),INDEX(IF($I1594="FIN",PERSONAL!$L$2:$L$80,PERSONAL!$H$2:$H$80),MATCH($B1594,PERSONAL!$A$2:$A$80,0)))))</f>
        <v/>
      </c>
    </row>
    <row r="1595" ht="15" customHeight="1" s="58">
      <c r="A1595" s="40" t="n"/>
      <c r="B1595" s="38" t="n"/>
      <c r="C1595" s="40" t="n"/>
      <c r="D1595" s="40" t="n"/>
      <c r="E1595" s="34">
        <f t="array" ref="E1595">IF($B1595="","",IFERROR(INDEX(PERSONAL!$B$2:$B$80,MATCH($B1595,PERSONAL!$A$2:$A$80,0)),"NO EXISTE"))</f>
        <v/>
      </c>
      <c r="F1595" s="34">
        <f t="array" ref="F1595">IF($B1595="","",IFERROR(INDEX(PERSONAL!$C$2:$C$80,MATCH($B1595,PERSONAL!$A$2:$A$80,0)),""))</f>
        <v/>
      </c>
      <c r="G1595" s="34">
        <f>IF($A1595="","",CHOOSE(WEEKDAY($A1595,2),"LUNES","MARTES","MIÉRCOLES","JUEVES","VIERNES","SÁBADO","DOMINGO"))</f>
        <v/>
      </c>
      <c r="H1595" s="34">
        <f>IF($A1595="","",CHOOSE(MONTH($A1595),"ENERO","FEBRERO","MARZO","ABRIL","MAYO","JUNIO","JULIO","AGOSTO","SEPTIEMBRE","OCTUBRE","NOVIEMBRE","DICIEMBRE"))</f>
        <v/>
      </c>
      <c r="I1595" s="34">
        <f>IF($A1595="","",IF(OR($G1595="SÁBADO",$G1595="DOMINGO"),"FIN","LV"))</f>
        <v/>
      </c>
      <c r="J1595" s="34">
        <f>IF(OR($A1595="",$B1595=""),"",IF($L1595&lt;&gt;"",UPPER($L1595),IF($C1595="","FALTA",IFERROR(IF($C1595&gt;=$O1595,"ROJO FUERTE",IF($C1595&gt;=$N1595,"ROJO",IF($C1595&gt;=$M1595,"AMARILLO","VERDE"))),"REVISAR"))))</f>
        <v/>
      </c>
      <c r="K1595" s="36">
        <f>IF(OR($C1595="",$D1595=""),"",IF($D1595&gt;=$C1595,($D1595-$C1595)*24,(1-$C1595+$D1595)*24))</f>
        <v/>
      </c>
      <c r="L1595" s="34" t="n"/>
      <c r="M1595" s="53">
        <f t="array" ref="M1595">IFERROR(INDEX(EXCEPCIONES_FECHA!$D$2:$D$201,MATCH(1,(EXCEPCIONES_FECHA!$A$2:$A$201=$A1595)*(EXCEPCIONES_FECHA!$B$2:$B$201=$B1595),0)),IFERROR(INDEX(EXCEPCIONES_FECHA!$D$2:$D$201,MATCH(1,(EXCEPCIONES_FECHA!$A$2:$A$201=$A1595)*(EXCEPCIONES_FECHA!$B$2:$B$201=""),0)),IFERROR(INDEX(IF($I1595="FIN",HISTORIAL_HORARIOS!$J$2:$J$201,HISTORIAL_HORARIOS!$F$2:$F$201),MATCH(1,(HISTORIAL_HORARIOS!$A$2:$A$201=$B1595)*(HISTORIAL_HORARIOS!$C$2:$C$201&lt;=$A1595)*(HISTORIAL_HORARIOS!$D$2:$D$201&gt;=$A1595),0)),INDEX(IF($I1595="FIN",PERSONAL!$J$2:$J$80,PERSONAL!$F$2:$F$80),MATCH($B1595,PERSONAL!$A$2:$A$80,0)))))</f>
        <v/>
      </c>
      <c r="N1595" s="53">
        <f t="array" ref="N1595">IFERROR(INDEX(EXCEPCIONES_FECHA!$E$2:$E$201,MATCH(1,(EXCEPCIONES_FECHA!$A$2:$A$201=$A1595)*(EXCEPCIONES_FECHA!$B$2:$B$201=$B1595),0)),IFERROR(INDEX(EXCEPCIONES_FECHA!$E$2:$E$201,MATCH(1,(EXCEPCIONES_FECHA!$A$2:$A$201=$A1595)*(EXCEPCIONES_FECHA!$B$2:$B$201=""),0)),IFERROR(INDEX(IF($I1595="FIN",HISTORIAL_HORARIOS!$K$2:$K$201,HISTORIAL_HORARIOS!$G$2:$G$201),MATCH(1,(HISTORIAL_HORARIOS!$A$2:$A$201=$B1595)*(HISTORIAL_HORARIOS!$C$2:$C$201&lt;=$A1595)*(HISTORIAL_HORARIOS!$D$2:$D$201&gt;=$A1595),0)),INDEX(IF($I1595="FIN",PERSONAL!$K$2:$K$80,PERSONAL!$G$2:$G$80),MATCH($B1595,PERSONAL!$A$2:$A$80,0)))))</f>
        <v/>
      </c>
      <c r="O1595" s="53">
        <f t="array" ref="O1595">IFERROR(INDEX(EXCEPCIONES_FECHA!$F$2:$F$201,MATCH(1,(EXCEPCIONES_FECHA!$A$2:$A$201=$A1595)*(EXCEPCIONES_FECHA!$B$2:$B$201=$B1595),0)),IFERROR(INDEX(EXCEPCIONES_FECHA!$F$2:$F$201,MATCH(1,(EXCEPCIONES_FECHA!$A$2:$A$201=$A1595)*(EXCEPCIONES_FECHA!$B$2:$B$201=""),0)),IFERROR(INDEX(IF($I1595="FIN",HISTORIAL_HORARIOS!$L$2:$L$201,HISTORIAL_HORARIOS!$H$2:$H$201),MATCH(1,(HISTORIAL_HORARIOS!$A$2:$A$201=$B1595)*(HISTORIAL_HORARIOS!$C$2:$C$201&lt;=$A1595)*(HISTORIAL_HORARIOS!$D$2:$D$201&gt;=$A1595),0)),INDEX(IF($I1595="FIN",PERSONAL!$L$2:$L$80,PERSONAL!$H$2:$H$80),MATCH($B1595,PERSONAL!$A$2:$A$80,0)))))</f>
        <v/>
      </c>
    </row>
    <row r="1596" ht="15" customHeight="1" s="58">
      <c r="A1596" s="40" t="n"/>
      <c r="B1596" s="38" t="n"/>
      <c r="C1596" s="40" t="n"/>
      <c r="D1596" s="40" t="n"/>
      <c r="E1596" s="34">
        <f t="array" ref="E1596">IF($B1596="","",IFERROR(INDEX(PERSONAL!$B$2:$B$80,MATCH($B1596,PERSONAL!$A$2:$A$80,0)),"NO EXISTE"))</f>
        <v/>
      </c>
      <c r="F1596" s="34">
        <f t="array" ref="F1596">IF($B1596="","",IFERROR(INDEX(PERSONAL!$C$2:$C$80,MATCH($B1596,PERSONAL!$A$2:$A$80,0)),""))</f>
        <v/>
      </c>
      <c r="G1596" s="34">
        <f>IF($A1596="","",CHOOSE(WEEKDAY($A1596,2),"LUNES","MARTES","MIÉRCOLES","JUEVES","VIERNES","SÁBADO","DOMINGO"))</f>
        <v/>
      </c>
      <c r="H1596" s="34">
        <f>IF($A1596="","",CHOOSE(MONTH($A1596),"ENERO","FEBRERO","MARZO","ABRIL","MAYO","JUNIO","JULIO","AGOSTO","SEPTIEMBRE","OCTUBRE","NOVIEMBRE","DICIEMBRE"))</f>
        <v/>
      </c>
      <c r="I1596" s="34">
        <f>IF($A1596="","",IF(OR($G1596="SÁBADO",$G1596="DOMINGO"),"FIN","LV"))</f>
        <v/>
      </c>
      <c r="J1596" s="34">
        <f>IF(OR($A1596="",$B1596=""),"",IF($L1596&lt;&gt;"",UPPER($L1596),IF($C1596="","FALTA",IFERROR(IF($C1596&gt;=$O1596,"ROJO FUERTE",IF($C1596&gt;=$N1596,"ROJO",IF($C1596&gt;=$M1596,"AMARILLO","VERDE"))),"REVISAR"))))</f>
        <v/>
      </c>
      <c r="K1596" s="36">
        <f>IF(OR($C1596="",$D1596=""),"",IF($D1596&gt;=$C1596,($D1596-$C1596)*24,(1-$C1596+$D1596)*24))</f>
        <v/>
      </c>
      <c r="L1596" s="34" t="n"/>
      <c r="M1596" s="53">
        <f t="array" ref="M1596">IFERROR(INDEX(EXCEPCIONES_FECHA!$D$2:$D$201,MATCH(1,(EXCEPCIONES_FECHA!$A$2:$A$201=$A1596)*(EXCEPCIONES_FECHA!$B$2:$B$201=$B1596),0)),IFERROR(INDEX(EXCEPCIONES_FECHA!$D$2:$D$201,MATCH(1,(EXCEPCIONES_FECHA!$A$2:$A$201=$A1596)*(EXCEPCIONES_FECHA!$B$2:$B$201=""),0)),IFERROR(INDEX(IF($I1596="FIN",HISTORIAL_HORARIOS!$J$2:$J$201,HISTORIAL_HORARIOS!$F$2:$F$201),MATCH(1,(HISTORIAL_HORARIOS!$A$2:$A$201=$B1596)*(HISTORIAL_HORARIOS!$C$2:$C$201&lt;=$A1596)*(HISTORIAL_HORARIOS!$D$2:$D$201&gt;=$A1596),0)),INDEX(IF($I1596="FIN",PERSONAL!$J$2:$J$80,PERSONAL!$F$2:$F$80),MATCH($B1596,PERSONAL!$A$2:$A$80,0)))))</f>
        <v/>
      </c>
      <c r="N1596" s="53">
        <f t="array" ref="N1596">IFERROR(INDEX(EXCEPCIONES_FECHA!$E$2:$E$201,MATCH(1,(EXCEPCIONES_FECHA!$A$2:$A$201=$A1596)*(EXCEPCIONES_FECHA!$B$2:$B$201=$B1596),0)),IFERROR(INDEX(EXCEPCIONES_FECHA!$E$2:$E$201,MATCH(1,(EXCEPCIONES_FECHA!$A$2:$A$201=$A1596)*(EXCEPCIONES_FECHA!$B$2:$B$201=""),0)),IFERROR(INDEX(IF($I1596="FIN",HISTORIAL_HORARIOS!$K$2:$K$201,HISTORIAL_HORARIOS!$G$2:$G$201),MATCH(1,(HISTORIAL_HORARIOS!$A$2:$A$201=$B1596)*(HISTORIAL_HORARIOS!$C$2:$C$201&lt;=$A1596)*(HISTORIAL_HORARIOS!$D$2:$D$201&gt;=$A1596),0)),INDEX(IF($I1596="FIN",PERSONAL!$K$2:$K$80,PERSONAL!$G$2:$G$80),MATCH($B1596,PERSONAL!$A$2:$A$80,0)))))</f>
        <v/>
      </c>
      <c r="O1596" s="53">
        <f t="array" ref="O1596">IFERROR(INDEX(EXCEPCIONES_FECHA!$F$2:$F$201,MATCH(1,(EXCEPCIONES_FECHA!$A$2:$A$201=$A1596)*(EXCEPCIONES_FECHA!$B$2:$B$201=$B1596),0)),IFERROR(INDEX(EXCEPCIONES_FECHA!$F$2:$F$201,MATCH(1,(EXCEPCIONES_FECHA!$A$2:$A$201=$A1596)*(EXCEPCIONES_FECHA!$B$2:$B$201=""),0)),IFERROR(INDEX(IF($I1596="FIN",HISTORIAL_HORARIOS!$L$2:$L$201,HISTORIAL_HORARIOS!$H$2:$H$201),MATCH(1,(HISTORIAL_HORARIOS!$A$2:$A$201=$B1596)*(HISTORIAL_HORARIOS!$C$2:$C$201&lt;=$A1596)*(HISTORIAL_HORARIOS!$D$2:$D$201&gt;=$A1596),0)),INDEX(IF($I1596="FIN",PERSONAL!$L$2:$L$80,PERSONAL!$H$2:$H$80),MATCH($B1596,PERSONAL!$A$2:$A$80,0)))))</f>
        <v/>
      </c>
    </row>
    <row r="1597" ht="15" customHeight="1" s="58">
      <c r="A1597" s="40" t="n"/>
      <c r="B1597" s="38" t="n"/>
      <c r="C1597" s="40" t="n"/>
      <c r="D1597" s="40" t="n"/>
      <c r="E1597" s="34">
        <f t="array" ref="E1597">IF($B1597="","",IFERROR(INDEX(PERSONAL!$B$2:$B$80,MATCH($B1597,PERSONAL!$A$2:$A$80,0)),"NO EXISTE"))</f>
        <v/>
      </c>
      <c r="F1597" s="34">
        <f t="array" ref="F1597">IF($B1597="","",IFERROR(INDEX(PERSONAL!$C$2:$C$80,MATCH($B1597,PERSONAL!$A$2:$A$80,0)),""))</f>
        <v/>
      </c>
      <c r="G1597" s="34">
        <f>IF($A1597="","",CHOOSE(WEEKDAY($A1597,2),"LUNES","MARTES","MIÉRCOLES","JUEVES","VIERNES","SÁBADO","DOMINGO"))</f>
        <v/>
      </c>
      <c r="H1597" s="34">
        <f>IF($A1597="","",CHOOSE(MONTH($A1597),"ENERO","FEBRERO","MARZO","ABRIL","MAYO","JUNIO","JULIO","AGOSTO","SEPTIEMBRE","OCTUBRE","NOVIEMBRE","DICIEMBRE"))</f>
        <v/>
      </c>
      <c r="I1597" s="34">
        <f>IF($A1597="","",IF(OR($G1597="SÁBADO",$G1597="DOMINGO"),"FIN","LV"))</f>
        <v/>
      </c>
      <c r="J1597" s="34">
        <f>IF(OR($A1597="",$B1597=""),"",IF($L1597&lt;&gt;"",UPPER($L1597),IF($C1597="","FALTA",IFERROR(IF($C1597&gt;=$O1597,"ROJO FUERTE",IF($C1597&gt;=$N1597,"ROJO",IF($C1597&gt;=$M1597,"AMARILLO","VERDE"))),"REVISAR"))))</f>
        <v/>
      </c>
      <c r="K1597" s="36">
        <f>IF(OR($C1597="",$D1597=""),"",IF($D1597&gt;=$C1597,($D1597-$C1597)*24,(1-$C1597+$D1597)*24))</f>
        <v/>
      </c>
      <c r="L1597" s="34" t="n"/>
      <c r="M1597" s="53">
        <f t="array" ref="M1597">IFERROR(INDEX(EXCEPCIONES_FECHA!$D$2:$D$201,MATCH(1,(EXCEPCIONES_FECHA!$A$2:$A$201=$A1597)*(EXCEPCIONES_FECHA!$B$2:$B$201=$B1597),0)),IFERROR(INDEX(EXCEPCIONES_FECHA!$D$2:$D$201,MATCH(1,(EXCEPCIONES_FECHA!$A$2:$A$201=$A1597)*(EXCEPCIONES_FECHA!$B$2:$B$201=""),0)),IFERROR(INDEX(IF($I1597="FIN",HISTORIAL_HORARIOS!$J$2:$J$201,HISTORIAL_HORARIOS!$F$2:$F$201),MATCH(1,(HISTORIAL_HORARIOS!$A$2:$A$201=$B1597)*(HISTORIAL_HORARIOS!$C$2:$C$201&lt;=$A1597)*(HISTORIAL_HORARIOS!$D$2:$D$201&gt;=$A1597),0)),INDEX(IF($I1597="FIN",PERSONAL!$J$2:$J$80,PERSONAL!$F$2:$F$80),MATCH($B1597,PERSONAL!$A$2:$A$80,0)))))</f>
        <v/>
      </c>
      <c r="N1597" s="53">
        <f t="array" ref="N1597">IFERROR(INDEX(EXCEPCIONES_FECHA!$E$2:$E$201,MATCH(1,(EXCEPCIONES_FECHA!$A$2:$A$201=$A1597)*(EXCEPCIONES_FECHA!$B$2:$B$201=$B1597),0)),IFERROR(INDEX(EXCEPCIONES_FECHA!$E$2:$E$201,MATCH(1,(EXCEPCIONES_FECHA!$A$2:$A$201=$A1597)*(EXCEPCIONES_FECHA!$B$2:$B$201=""),0)),IFERROR(INDEX(IF($I1597="FIN",HISTORIAL_HORARIOS!$K$2:$K$201,HISTORIAL_HORARIOS!$G$2:$G$201),MATCH(1,(HISTORIAL_HORARIOS!$A$2:$A$201=$B1597)*(HISTORIAL_HORARIOS!$C$2:$C$201&lt;=$A1597)*(HISTORIAL_HORARIOS!$D$2:$D$201&gt;=$A1597),0)),INDEX(IF($I1597="FIN",PERSONAL!$K$2:$K$80,PERSONAL!$G$2:$G$80),MATCH($B1597,PERSONAL!$A$2:$A$80,0)))))</f>
        <v/>
      </c>
      <c r="O1597" s="53">
        <f t="array" ref="O1597">IFERROR(INDEX(EXCEPCIONES_FECHA!$F$2:$F$201,MATCH(1,(EXCEPCIONES_FECHA!$A$2:$A$201=$A1597)*(EXCEPCIONES_FECHA!$B$2:$B$201=$B1597),0)),IFERROR(INDEX(EXCEPCIONES_FECHA!$F$2:$F$201,MATCH(1,(EXCEPCIONES_FECHA!$A$2:$A$201=$A1597)*(EXCEPCIONES_FECHA!$B$2:$B$201=""),0)),IFERROR(INDEX(IF($I1597="FIN",HISTORIAL_HORARIOS!$L$2:$L$201,HISTORIAL_HORARIOS!$H$2:$H$201),MATCH(1,(HISTORIAL_HORARIOS!$A$2:$A$201=$B1597)*(HISTORIAL_HORARIOS!$C$2:$C$201&lt;=$A1597)*(HISTORIAL_HORARIOS!$D$2:$D$201&gt;=$A1597),0)),INDEX(IF($I1597="FIN",PERSONAL!$L$2:$L$80,PERSONAL!$H$2:$H$80),MATCH($B1597,PERSONAL!$A$2:$A$80,0)))))</f>
        <v/>
      </c>
    </row>
    <row r="1598" ht="15" customHeight="1" s="58">
      <c r="A1598" s="40" t="n"/>
      <c r="B1598" s="38" t="n"/>
      <c r="C1598" s="40" t="n"/>
      <c r="D1598" s="40" t="n"/>
      <c r="E1598" s="34">
        <f t="array" ref="E1598">IF($B1598="","",IFERROR(INDEX(PERSONAL!$B$2:$B$80,MATCH($B1598,PERSONAL!$A$2:$A$80,0)),"NO EXISTE"))</f>
        <v/>
      </c>
      <c r="F1598" s="34">
        <f t="array" ref="F1598">IF($B1598="","",IFERROR(INDEX(PERSONAL!$C$2:$C$80,MATCH($B1598,PERSONAL!$A$2:$A$80,0)),""))</f>
        <v/>
      </c>
      <c r="G1598" s="34">
        <f>IF($A1598="","",CHOOSE(WEEKDAY($A1598,2),"LUNES","MARTES","MIÉRCOLES","JUEVES","VIERNES","SÁBADO","DOMINGO"))</f>
        <v/>
      </c>
      <c r="H1598" s="34">
        <f>IF($A1598="","",CHOOSE(MONTH($A1598),"ENERO","FEBRERO","MARZO","ABRIL","MAYO","JUNIO","JULIO","AGOSTO","SEPTIEMBRE","OCTUBRE","NOVIEMBRE","DICIEMBRE"))</f>
        <v/>
      </c>
      <c r="I1598" s="34">
        <f>IF($A1598="","",IF(OR($G1598="SÁBADO",$G1598="DOMINGO"),"FIN","LV"))</f>
        <v/>
      </c>
      <c r="J1598" s="34">
        <f>IF(OR($A1598="",$B1598=""),"",IF($L1598&lt;&gt;"",UPPER($L1598),IF($C1598="","FALTA",IFERROR(IF($C1598&gt;=$O1598,"ROJO FUERTE",IF($C1598&gt;=$N1598,"ROJO",IF($C1598&gt;=$M1598,"AMARILLO","VERDE"))),"REVISAR"))))</f>
        <v/>
      </c>
      <c r="K1598" s="36">
        <f>IF(OR($C1598="",$D1598=""),"",IF($D1598&gt;=$C1598,($D1598-$C1598)*24,(1-$C1598+$D1598)*24))</f>
        <v/>
      </c>
      <c r="L1598" s="34" t="n"/>
      <c r="M1598" s="53">
        <f t="array" ref="M1598">IFERROR(INDEX(EXCEPCIONES_FECHA!$D$2:$D$201,MATCH(1,(EXCEPCIONES_FECHA!$A$2:$A$201=$A1598)*(EXCEPCIONES_FECHA!$B$2:$B$201=$B1598),0)),IFERROR(INDEX(EXCEPCIONES_FECHA!$D$2:$D$201,MATCH(1,(EXCEPCIONES_FECHA!$A$2:$A$201=$A1598)*(EXCEPCIONES_FECHA!$B$2:$B$201=""),0)),IFERROR(INDEX(IF($I1598="FIN",HISTORIAL_HORARIOS!$J$2:$J$201,HISTORIAL_HORARIOS!$F$2:$F$201),MATCH(1,(HISTORIAL_HORARIOS!$A$2:$A$201=$B1598)*(HISTORIAL_HORARIOS!$C$2:$C$201&lt;=$A1598)*(HISTORIAL_HORARIOS!$D$2:$D$201&gt;=$A1598),0)),INDEX(IF($I1598="FIN",PERSONAL!$J$2:$J$80,PERSONAL!$F$2:$F$80),MATCH($B1598,PERSONAL!$A$2:$A$80,0)))))</f>
        <v/>
      </c>
      <c r="N1598" s="53">
        <f t="array" ref="N1598">IFERROR(INDEX(EXCEPCIONES_FECHA!$E$2:$E$201,MATCH(1,(EXCEPCIONES_FECHA!$A$2:$A$201=$A1598)*(EXCEPCIONES_FECHA!$B$2:$B$201=$B1598),0)),IFERROR(INDEX(EXCEPCIONES_FECHA!$E$2:$E$201,MATCH(1,(EXCEPCIONES_FECHA!$A$2:$A$201=$A1598)*(EXCEPCIONES_FECHA!$B$2:$B$201=""),0)),IFERROR(INDEX(IF($I1598="FIN",HISTORIAL_HORARIOS!$K$2:$K$201,HISTORIAL_HORARIOS!$G$2:$G$201),MATCH(1,(HISTORIAL_HORARIOS!$A$2:$A$201=$B1598)*(HISTORIAL_HORARIOS!$C$2:$C$201&lt;=$A1598)*(HISTORIAL_HORARIOS!$D$2:$D$201&gt;=$A1598),0)),INDEX(IF($I1598="FIN",PERSONAL!$K$2:$K$80,PERSONAL!$G$2:$G$80),MATCH($B1598,PERSONAL!$A$2:$A$80,0)))))</f>
        <v/>
      </c>
      <c r="O1598" s="53">
        <f t="array" ref="O1598">IFERROR(INDEX(EXCEPCIONES_FECHA!$F$2:$F$201,MATCH(1,(EXCEPCIONES_FECHA!$A$2:$A$201=$A1598)*(EXCEPCIONES_FECHA!$B$2:$B$201=$B1598),0)),IFERROR(INDEX(EXCEPCIONES_FECHA!$F$2:$F$201,MATCH(1,(EXCEPCIONES_FECHA!$A$2:$A$201=$A1598)*(EXCEPCIONES_FECHA!$B$2:$B$201=""),0)),IFERROR(INDEX(IF($I1598="FIN",HISTORIAL_HORARIOS!$L$2:$L$201,HISTORIAL_HORARIOS!$H$2:$H$201),MATCH(1,(HISTORIAL_HORARIOS!$A$2:$A$201=$B1598)*(HISTORIAL_HORARIOS!$C$2:$C$201&lt;=$A1598)*(HISTORIAL_HORARIOS!$D$2:$D$201&gt;=$A1598),0)),INDEX(IF($I1598="FIN",PERSONAL!$L$2:$L$80,PERSONAL!$H$2:$H$80),MATCH($B1598,PERSONAL!$A$2:$A$80,0)))))</f>
        <v/>
      </c>
    </row>
    <row r="1599" ht="15" customHeight="1" s="58">
      <c r="A1599" s="40" t="n"/>
      <c r="B1599" s="38" t="n"/>
      <c r="C1599" s="40" t="n"/>
      <c r="D1599" s="40" t="n"/>
      <c r="E1599" s="34">
        <f t="array" ref="E1599">IF($B1599="","",IFERROR(INDEX(PERSONAL!$B$2:$B$80,MATCH($B1599,PERSONAL!$A$2:$A$80,0)),"NO EXISTE"))</f>
        <v/>
      </c>
      <c r="F1599" s="34">
        <f t="array" ref="F1599">IF($B1599="","",IFERROR(INDEX(PERSONAL!$C$2:$C$80,MATCH($B1599,PERSONAL!$A$2:$A$80,0)),""))</f>
        <v/>
      </c>
      <c r="G1599" s="34">
        <f>IF($A1599="","",CHOOSE(WEEKDAY($A1599,2),"LUNES","MARTES","MIÉRCOLES","JUEVES","VIERNES","SÁBADO","DOMINGO"))</f>
        <v/>
      </c>
      <c r="H1599" s="34">
        <f>IF($A1599="","",CHOOSE(MONTH($A1599),"ENERO","FEBRERO","MARZO","ABRIL","MAYO","JUNIO","JULIO","AGOSTO","SEPTIEMBRE","OCTUBRE","NOVIEMBRE","DICIEMBRE"))</f>
        <v/>
      </c>
      <c r="I1599" s="34">
        <f>IF($A1599="","",IF(OR($G1599="SÁBADO",$G1599="DOMINGO"),"FIN","LV"))</f>
        <v/>
      </c>
      <c r="J1599" s="34">
        <f>IF(OR($A1599="",$B1599=""),"",IF($L1599&lt;&gt;"",UPPER($L1599),IF($C1599="","FALTA",IFERROR(IF($C1599&gt;=$O1599,"ROJO FUERTE",IF($C1599&gt;=$N1599,"ROJO",IF($C1599&gt;=$M1599,"AMARILLO","VERDE"))),"REVISAR"))))</f>
        <v/>
      </c>
      <c r="K1599" s="36">
        <f>IF(OR($C1599="",$D1599=""),"",IF($D1599&gt;=$C1599,($D1599-$C1599)*24,(1-$C1599+$D1599)*24))</f>
        <v/>
      </c>
      <c r="L1599" s="34" t="n"/>
      <c r="M1599" s="53">
        <f t="array" ref="M1599">IFERROR(INDEX(EXCEPCIONES_FECHA!$D$2:$D$201,MATCH(1,(EXCEPCIONES_FECHA!$A$2:$A$201=$A1599)*(EXCEPCIONES_FECHA!$B$2:$B$201=$B1599),0)),IFERROR(INDEX(EXCEPCIONES_FECHA!$D$2:$D$201,MATCH(1,(EXCEPCIONES_FECHA!$A$2:$A$201=$A1599)*(EXCEPCIONES_FECHA!$B$2:$B$201=""),0)),IFERROR(INDEX(IF($I1599="FIN",HISTORIAL_HORARIOS!$J$2:$J$201,HISTORIAL_HORARIOS!$F$2:$F$201),MATCH(1,(HISTORIAL_HORARIOS!$A$2:$A$201=$B1599)*(HISTORIAL_HORARIOS!$C$2:$C$201&lt;=$A1599)*(HISTORIAL_HORARIOS!$D$2:$D$201&gt;=$A1599),0)),INDEX(IF($I1599="FIN",PERSONAL!$J$2:$J$80,PERSONAL!$F$2:$F$80),MATCH($B1599,PERSONAL!$A$2:$A$80,0)))))</f>
        <v/>
      </c>
      <c r="N1599" s="53">
        <f t="array" ref="N1599">IFERROR(INDEX(EXCEPCIONES_FECHA!$E$2:$E$201,MATCH(1,(EXCEPCIONES_FECHA!$A$2:$A$201=$A1599)*(EXCEPCIONES_FECHA!$B$2:$B$201=$B1599),0)),IFERROR(INDEX(EXCEPCIONES_FECHA!$E$2:$E$201,MATCH(1,(EXCEPCIONES_FECHA!$A$2:$A$201=$A1599)*(EXCEPCIONES_FECHA!$B$2:$B$201=""),0)),IFERROR(INDEX(IF($I1599="FIN",HISTORIAL_HORARIOS!$K$2:$K$201,HISTORIAL_HORARIOS!$G$2:$G$201),MATCH(1,(HISTORIAL_HORARIOS!$A$2:$A$201=$B1599)*(HISTORIAL_HORARIOS!$C$2:$C$201&lt;=$A1599)*(HISTORIAL_HORARIOS!$D$2:$D$201&gt;=$A1599),0)),INDEX(IF($I1599="FIN",PERSONAL!$K$2:$K$80,PERSONAL!$G$2:$G$80),MATCH($B1599,PERSONAL!$A$2:$A$80,0)))))</f>
        <v/>
      </c>
      <c r="O1599" s="53">
        <f t="array" ref="O1599">IFERROR(INDEX(EXCEPCIONES_FECHA!$F$2:$F$201,MATCH(1,(EXCEPCIONES_FECHA!$A$2:$A$201=$A1599)*(EXCEPCIONES_FECHA!$B$2:$B$201=$B1599),0)),IFERROR(INDEX(EXCEPCIONES_FECHA!$F$2:$F$201,MATCH(1,(EXCEPCIONES_FECHA!$A$2:$A$201=$A1599)*(EXCEPCIONES_FECHA!$B$2:$B$201=""),0)),IFERROR(INDEX(IF($I1599="FIN",HISTORIAL_HORARIOS!$L$2:$L$201,HISTORIAL_HORARIOS!$H$2:$H$201),MATCH(1,(HISTORIAL_HORARIOS!$A$2:$A$201=$B1599)*(HISTORIAL_HORARIOS!$C$2:$C$201&lt;=$A1599)*(HISTORIAL_HORARIOS!$D$2:$D$201&gt;=$A1599),0)),INDEX(IF($I1599="FIN",PERSONAL!$L$2:$L$80,PERSONAL!$H$2:$H$80),MATCH($B1599,PERSONAL!$A$2:$A$80,0)))))</f>
        <v/>
      </c>
    </row>
    <row r="1600" ht="15" customHeight="1" s="58">
      <c r="A1600" s="40" t="n"/>
      <c r="B1600" s="38" t="n"/>
      <c r="C1600" s="40" t="n"/>
      <c r="D1600" s="40" t="n"/>
      <c r="E1600" s="34">
        <f t="array" ref="E1600">IF($B1600="","",IFERROR(INDEX(PERSONAL!$B$2:$B$80,MATCH($B1600,PERSONAL!$A$2:$A$80,0)),"NO EXISTE"))</f>
        <v/>
      </c>
      <c r="F1600" s="34">
        <f t="array" ref="F1600">IF($B1600="","",IFERROR(INDEX(PERSONAL!$C$2:$C$80,MATCH($B1600,PERSONAL!$A$2:$A$80,0)),""))</f>
        <v/>
      </c>
      <c r="G1600" s="34">
        <f>IF($A1600="","",CHOOSE(WEEKDAY($A1600,2),"LUNES","MARTES","MIÉRCOLES","JUEVES","VIERNES","SÁBADO","DOMINGO"))</f>
        <v/>
      </c>
      <c r="H1600" s="34">
        <f>IF($A1600="","",CHOOSE(MONTH($A1600),"ENERO","FEBRERO","MARZO","ABRIL","MAYO","JUNIO","JULIO","AGOSTO","SEPTIEMBRE","OCTUBRE","NOVIEMBRE","DICIEMBRE"))</f>
        <v/>
      </c>
      <c r="I1600" s="34">
        <f>IF($A1600="","",IF(OR($G1600="SÁBADO",$G1600="DOMINGO"),"FIN","LV"))</f>
        <v/>
      </c>
      <c r="J1600" s="34">
        <f>IF(OR($A1600="",$B1600=""),"",IF($L1600&lt;&gt;"",UPPER($L1600),IF($C1600="","FALTA",IFERROR(IF($C1600&gt;=$O1600,"ROJO FUERTE",IF($C1600&gt;=$N1600,"ROJO",IF($C1600&gt;=$M1600,"AMARILLO","VERDE"))),"REVISAR"))))</f>
        <v/>
      </c>
      <c r="K1600" s="36">
        <f>IF(OR($C1600="",$D1600=""),"",IF($D1600&gt;=$C1600,($D1600-$C1600)*24,(1-$C1600+$D1600)*24))</f>
        <v/>
      </c>
      <c r="L1600" s="34" t="n"/>
      <c r="M1600" s="53">
        <f t="array" ref="M1600">IFERROR(INDEX(EXCEPCIONES_FECHA!$D$2:$D$201,MATCH(1,(EXCEPCIONES_FECHA!$A$2:$A$201=$A1600)*(EXCEPCIONES_FECHA!$B$2:$B$201=$B1600),0)),IFERROR(INDEX(EXCEPCIONES_FECHA!$D$2:$D$201,MATCH(1,(EXCEPCIONES_FECHA!$A$2:$A$201=$A1600)*(EXCEPCIONES_FECHA!$B$2:$B$201=""),0)),IFERROR(INDEX(IF($I1600="FIN",HISTORIAL_HORARIOS!$J$2:$J$201,HISTORIAL_HORARIOS!$F$2:$F$201),MATCH(1,(HISTORIAL_HORARIOS!$A$2:$A$201=$B1600)*(HISTORIAL_HORARIOS!$C$2:$C$201&lt;=$A1600)*(HISTORIAL_HORARIOS!$D$2:$D$201&gt;=$A1600),0)),INDEX(IF($I1600="FIN",PERSONAL!$J$2:$J$80,PERSONAL!$F$2:$F$80),MATCH($B1600,PERSONAL!$A$2:$A$80,0)))))</f>
        <v/>
      </c>
      <c r="N1600" s="53">
        <f t="array" ref="N1600">IFERROR(INDEX(EXCEPCIONES_FECHA!$E$2:$E$201,MATCH(1,(EXCEPCIONES_FECHA!$A$2:$A$201=$A1600)*(EXCEPCIONES_FECHA!$B$2:$B$201=$B1600),0)),IFERROR(INDEX(EXCEPCIONES_FECHA!$E$2:$E$201,MATCH(1,(EXCEPCIONES_FECHA!$A$2:$A$201=$A1600)*(EXCEPCIONES_FECHA!$B$2:$B$201=""),0)),IFERROR(INDEX(IF($I1600="FIN",HISTORIAL_HORARIOS!$K$2:$K$201,HISTORIAL_HORARIOS!$G$2:$G$201),MATCH(1,(HISTORIAL_HORARIOS!$A$2:$A$201=$B1600)*(HISTORIAL_HORARIOS!$C$2:$C$201&lt;=$A1600)*(HISTORIAL_HORARIOS!$D$2:$D$201&gt;=$A1600),0)),INDEX(IF($I1600="FIN",PERSONAL!$K$2:$K$80,PERSONAL!$G$2:$G$80),MATCH($B1600,PERSONAL!$A$2:$A$80,0)))))</f>
        <v/>
      </c>
      <c r="O1600" s="53">
        <f t="array" ref="O1600">IFERROR(INDEX(EXCEPCIONES_FECHA!$F$2:$F$201,MATCH(1,(EXCEPCIONES_FECHA!$A$2:$A$201=$A1600)*(EXCEPCIONES_FECHA!$B$2:$B$201=$B1600),0)),IFERROR(INDEX(EXCEPCIONES_FECHA!$F$2:$F$201,MATCH(1,(EXCEPCIONES_FECHA!$A$2:$A$201=$A1600)*(EXCEPCIONES_FECHA!$B$2:$B$201=""),0)),IFERROR(INDEX(IF($I1600="FIN",HISTORIAL_HORARIOS!$L$2:$L$201,HISTORIAL_HORARIOS!$H$2:$H$201),MATCH(1,(HISTORIAL_HORARIOS!$A$2:$A$201=$B1600)*(HISTORIAL_HORARIOS!$C$2:$C$201&lt;=$A1600)*(HISTORIAL_HORARIOS!$D$2:$D$201&gt;=$A1600),0)),INDEX(IF($I1600="FIN",PERSONAL!$L$2:$L$80,PERSONAL!$H$2:$H$80),MATCH($B1600,PERSONAL!$A$2:$A$80,0)))))</f>
        <v/>
      </c>
    </row>
    <row r="1601" ht="15" customHeight="1" s="58">
      <c r="A1601" s="40" t="n"/>
      <c r="B1601" s="38" t="n"/>
      <c r="C1601" s="40" t="n"/>
      <c r="D1601" s="40" t="n"/>
      <c r="E1601" s="34">
        <f t="array" ref="E1601">IF($B1601="","",IFERROR(INDEX(PERSONAL!$B$2:$B$80,MATCH($B1601,PERSONAL!$A$2:$A$80,0)),"NO EXISTE"))</f>
        <v/>
      </c>
      <c r="F1601" s="34">
        <f t="array" ref="F1601">IF($B1601="","",IFERROR(INDEX(PERSONAL!$C$2:$C$80,MATCH($B1601,PERSONAL!$A$2:$A$80,0)),""))</f>
        <v/>
      </c>
      <c r="G1601" s="34">
        <f>IF($A1601="","",CHOOSE(WEEKDAY($A1601,2),"LUNES","MARTES","MIÉRCOLES","JUEVES","VIERNES","SÁBADO","DOMINGO"))</f>
        <v/>
      </c>
      <c r="H1601" s="34">
        <f>IF($A1601="","",CHOOSE(MONTH($A1601),"ENERO","FEBRERO","MARZO","ABRIL","MAYO","JUNIO","JULIO","AGOSTO","SEPTIEMBRE","OCTUBRE","NOVIEMBRE","DICIEMBRE"))</f>
        <v/>
      </c>
      <c r="I1601" s="34">
        <f>IF($A1601="","",IF(OR($G1601="SÁBADO",$G1601="DOMINGO"),"FIN","LV"))</f>
        <v/>
      </c>
      <c r="J1601" s="34">
        <f>IF(OR($A1601="",$B1601=""),"",IF($L1601&lt;&gt;"",UPPER($L1601),IF($C1601="","FALTA",IFERROR(IF($C1601&gt;=$O1601,"ROJO FUERTE",IF($C1601&gt;=$N1601,"ROJO",IF($C1601&gt;=$M1601,"AMARILLO","VERDE"))),"REVISAR"))))</f>
        <v/>
      </c>
      <c r="K1601" s="36">
        <f>IF(OR($C1601="",$D1601=""),"",IF($D1601&gt;=$C1601,($D1601-$C1601)*24,(1-$C1601+$D1601)*24))</f>
        <v/>
      </c>
      <c r="L1601" s="34" t="n"/>
      <c r="M1601" s="53">
        <f t="array" ref="M1601">IFERROR(INDEX(EXCEPCIONES_FECHA!$D$2:$D$201,MATCH(1,(EXCEPCIONES_FECHA!$A$2:$A$201=$A1601)*(EXCEPCIONES_FECHA!$B$2:$B$201=$B1601),0)),IFERROR(INDEX(EXCEPCIONES_FECHA!$D$2:$D$201,MATCH(1,(EXCEPCIONES_FECHA!$A$2:$A$201=$A1601)*(EXCEPCIONES_FECHA!$B$2:$B$201=""),0)),IFERROR(INDEX(IF($I1601="FIN",HISTORIAL_HORARIOS!$J$2:$J$201,HISTORIAL_HORARIOS!$F$2:$F$201),MATCH(1,(HISTORIAL_HORARIOS!$A$2:$A$201=$B1601)*(HISTORIAL_HORARIOS!$C$2:$C$201&lt;=$A1601)*(HISTORIAL_HORARIOS!$D$2:$D$201&gt;=$A1601),0)),INDEX(IF($I1601="FIN",PERSONAL!$J$2:$J$80,PERSONAL!$F$2:$F$80),MATCH($B1601,PERSONAL!$A$2:$A$80,0)))))</f>
        <v/>
      </c>
      <c r="N1601" s="53">
        <f t="array" ref="N1601">IFERROR(INDEX(EXCEPCIONES_FECHA!$E$2:$E$201,MATCH(1,(EXCEPCIONES_FECHA!$A$2:$A$201=$A1601)*(EXCEPCIONES_FECHA!$B$2:$B$201=$B1601),0)),IFERROR(INDEX(EXCEPCIONES_FECHA!$E$2:$E$201,MATCH(1,(EXCEPCIONES_FECHA!$A$2:$A$201=$A1601)*(EXCEPCIONES_FECHA!$B$2:$B$201=""),0)),IFERROR(INDEX(IF($I1601="FIN",HISTORIAL_HORARIOS!$K$2:$K$201,HISTORIAL_HORARIOS!$G$2:$G$201),MATCH(1,(HISTORIAL_HORARIOS!$A$2:$A$201=$B1601)*(HISTORIAL_HORARIOS!$C$2:$C$201&lt;=$A1601)*(HISTORIAL_HORARIOS!$D$2:$D$201&gt;=$A1601),0)),INDEX(IF($I1601="FIN",PERSONAL!$K$2:$K$80,PERSONAL!$G$2:$G$80),MATCH($B1601,PERSONAL!$A$2:$A$80,0)))))</f>
        <v/>
      </c>
      <c r="O1601" s="53">
        <f t="array" ref="O1601">IFERROR(INDEX(EXCEPCIONES_FECHA!$F$2:$F$201,MATCH(1,(EXCEPCIONES_FECHA!$A$2:$A$201=$A1601)*(EXCEPCIONES_FECHA!$B$2:$B$201=$B1601),0)),IFERROR(INDEX(EXCEPCIONES_FECHA!$F$2:$F$201,MATCH(1,(EXCEPCIONES_FECHA!$A$2:$A$201=$A1601)*(EXCEPCIONES_FECHA!$B$2:$B$201=""),0)),IFERROR(INDEX(IF($I1601="FIN",HISTORIAL_HORARIOS!$L$2:$L$201,HISTORIAL_HORARIOS!$H$2:$H$201),MATCH(1,(HISTORIAL_HORARIOS!$A$2:$A$201=$B1601)*(HISTORIAL_HORARIOS!$C$2:$C$201&lt;=$A1601)*(HISTORIAL_HORARIOS!$D$2:$D$201&gt;=$A1601),0)),INDEX(IF($I1601="FIN",PERSONAL!$L$2:$L$80,PERSONAL!$H$2:$H$80),MATCH($B1601,PERSONAL!$A$2:$A$80,0)))))</f>
        <v/>
      </c>
    </row>
    <row r="1602" ht="15" customHeight="1" s="58">
      <c r="A1602" s="40" t="n"/>
      <c r="B1602" s="38" t="n"/>
      <c r="C1602" s="40" t="n"/>
      <c r="D1602" s="40" t="n"/>
      <c r="E1602" s="34">
        <f t="array" ref="E1602">IF($B1602="","",IFERROR(INDEX(PERSONAL!$B$2:$B$80,MATCH($B1602,PERSONAL!$A$2:$A$80,0)),"NO EXISTE"))</f>
        <v/>
      </c>
      <c r="F1602" s="34">
        <f t="array" ref="F1602">IF($B1602="","",IFERROR(INDEX(PERSONAL!$C$2:$C$80,MATCH($B1602,PERSONAL!$A$2:$A$80,0)),""))</f>
        <v/>
      </c>
      <c r="G1602" s="34">
        <f>IF($A1602="","",CHOOSE(WEEKDAY($A1602,2),"LUNES","MARTES","MIÉRCOLES","JUEVES","VIERNES","SÁBADO","DOMINGO"))</f>
        <v/>
      </c>
      <c r="H1602" s="34">
        <f>IF($A1602="","",CHOOSE(MONTH($A1602),"ENERO","FEBRERO","MARZO","ABRIL","MAYO","JUNIO","JULIO","AGOSTO","SEPTIEMBRE","OCTUBRE","NOVIEMBRE","DICIEMBRE"))</f>
        <v/>
      </c>
      <c r="I1602" s="34">
        <f>IF($A1602="","",IF(OR($G1602="SÁBADO",$G1602="DOMINGO"),"FIN","LV"))</f>
        <v/>
      </c>
      <c r="J1602" s="34">
        <f>IF(OR($A1602="",$B1602=""),"",IF($L1602&lt;&gt;"",UPPER($L1602),IF($C1602="","FALTA",IFERROR(IF($C1602&gt;=$O1602,"ROJO FUERTE",IF($C1602&gt;=$N1602,"ROJO",IF($C1602&gt;=$M1602,"AMARILLO","VERDE"))),"REVISAR"))))</f>
        <v/>
      </c>
      <c r="K1602" s="36">
        <f>IF(OR($C1602="",$D1602=""),"",IF($D1602&gt;=$C1602,($D1602-$C1602)*24,(1-$C1602+$D1602)*24))</f>
        <v/>
      </c>
      <c r="L1602" s="34" t="n"/>
      <c r="M1602" s="53">
        <f t="array" ref="M1602">IFERROR(INDEX(EXCEPCIONES_FECHA!$D$2:$D$201,MATCH(1,(EXCEPCIONES_FECHA!$A$2:$A$201=$A1602)*(EXCEPCIONES_FECHA!$B$2:$B$201=$B1602),0)),IFERROR(INDEX(EXCEPCIONES_FECHA!$D$2:$D$201,MATCH(1,(EXCEPCIONES_FECHA!$A$2:$A$201=$A1602)*(EXCEPCIONES_FECHA!$B$2:$B$201=""),0)),IFERROR(INDEX(IF($I1602="FIN",HISTORIAL_HORARIOS!$J$2:$J$201,HISTORIAL_HORARIOS!$F$2:$F$201),MATCH(1,(HISTORIAL_HORARIOS!$A$2:$A$201=$B1602)*(HISTORIAL_HORARIOS!$C$2:$C$201&lt;=$A1602)*(HISTORIAL_HORARIOS!$D$2:$D$201&gt;=$A1602),0)),INDEX(IF($I1602="FIN",PERSONAL!$J$2:$J$80,PERSONAL!$F$2:$F$80),MATCH($B1602,PERSONAL!$A$2:$A$80,0)))))</f>
        <v/>
      </c>
      <c r="N1602" s="53">
        <f t="array" ref="N1602">IFERROR(INDEX(EXCEPCIONES_FECHA!$E$2:$E$201,MATCH(1,(EXCEPCIONES_FECHA!$A$2:$A$201=$A1602)*(EXCEPCIONES_FECHA!$B$2:$B$201=$B1602),0)),IFERROR(INDEX(EXCEPCIONES_FECHA!$E$2:$E$201,MATCH(1,(EXCEPCIONES_FECHA!$A$2:$A$201=$A1602)*(EXCEPCIONES_FECHA!$B$2:$B$201=""),0)),IFERROR(INDEX(IF($I1602="FIN",HISTORIAL_HORARIOS!$K$2:$K$201,HISTORIAL_HORARIOS!$G$2:$G$201),MATCH(1,(HISTORIAL_HORARIOS!$A$2:$A$201=$B1602)*(HISTORIAL_HORARIOS!$C$2:$C$201&lt;=$A1602)*(HISTORIAL_HORARIOS!$D$2:$D$201&gt;=$A1602),0)),INDEX(IF($I1602="FIN",PERSONAL!$K$2:$K$80,PERSONAL!$G$2:$G$80),MATCH($B1602,PERSONAL!$A$2:$A$80,0)))))</f>
        <v/>
      </c>
      <c r="O1602" s="53">
        <f t="array" ref="O1602">IFERROR(INDEX(EXCEPCIONES_FECHA!$F$2:$F$201,MATCH(1,(EXCEPCIONES_FECHA!$A$2:$A$201=$A1602)*(EXCEPCIONES_FECHA!$B$2:$B$201=$B1602),0)),IFERROR(INDEX(EXCEPCIONES_FECHA!$F$2:$F$201,MATCH(1,(EXCEPCIONES_FECHA!$A$2:$A$201=$A1602)*(EXCEPCIONES_FECHA!$B$2:$B$201=""),0)),IFERROR(INDEX(IF($I1602="FIN",HISTORIAL_HORARIOS!$L$2:$L$201,HISTORIAL_HORARIOS!$H$2:$H$201),MATCH(1,(HISTORIAL_HORARIOS!$A$2:$A$201=$B1602)*(HISTORIAL_HORARIOS!$C$2:$C$201&lt;=$A1602)*(HISTORIAL_HORARIOS!$D$2:$D$201&gt;=$A1602),0)),INDEX(IF($I1602="FIN",PERSONAL!$L$2:$L$80,PERSONAL!$H$2:$H$80),MATCH($B1602,PERSONAL!$A$2:$A$80,0)))))</f>
        <v/>
      </c>
    </row>
    <row r="1603" ht="15" customHeight="1" s="58">
      <c r="A1603" s="40" t="n"/>
      <c r="B1603" s="38" t="n"/>
      <c r="C1603" s="40" t="n"/>
      <c r="D1603" s="40" t="n"/>
      <c r="E1603" s="34">
        <f t="array" ref="E1603">IF($B1603="","",IFERROR(INDEX(PERSONAL!$B$2:$B$80,MATCH($B1603,PERSONAL!$A$2:$A$80,0)),"NO EXISTE"))</f>
        <v/>
      </c>
      <c r="F1603" s="34">
        <f t="array" ref="F1603">IF($B1603="","",IFERROR(INDEX(PERSONAL!$C$2:$C$80,MATCH($B1603,PERSONAL!$A$2:$A$80,0)),""))</f>
        <v/>
      </c>
      <c r="G1603" s="34">
        <f>IF($A1603="","",CHOOSE(WEEKDAY($A1603,2),"LUNES","MARTES","MIÉRCOLES","JUEVES","VIERNES","SÁBADO","DOMINGO"))</f>
        <v/>
      </c>
      <c r="H1603" s="34">
        <f>IF($A1603="","",CHOOSE(MONTH($A1603),"ENERO","FEBRERO","MARZO","ABRIL","MAYO","JUNIO","JULIO","AGOSTO","SEPTIEMBRE","OCTUBRE","NOVIEMBRE","DICIEMBRE"))</f>
        <v/>
      </c>
      <c r="I1603" s="34">
        <f>IF($A1603="","",IF(OR($G1603="SÁBADO",$G1603="DOMINGO"),"FIN","LV"))</f>
        <v/>
      </c>
      <c r="J1603" s="34">
        <f>IF(OR($A1603="",$B1603=""),"",IF($L1603&lt;&gt;"",UPPER($L1603),IF($C1603="","FALTA",IFERROR(IF($C1603&gt;=$O1603,"ROJO FUERTE",IF($C1603&gt;=$N1603,"ROJO",IF($C1603&gt;=$M1603,"AMARILLO","VERDE"))),"REVISAR"))))</f>
        <v/>
      </c>
      <c r="K1603" s="36">
        <f>IF(OR($C1603="",$D1603=""),"",IF($D1603&gt;=$C1603,($D1603-$C1603)*24,(1-$C1603+$D1603)*24))</f>
        <v/>
      </c>
      <c r="L1603" s="34" t="n"/>
      <c r="M1603" s="53">
        <f t="array" ref="M1603">IFERROR(INDEX(EXCEPCIONES_FECHA!$D$2:$D$201,MATCH(1,(EXCEPCIONES_FECHA!$A$2:$A$201=$A1603)*(EXCEPCIONES_FECHA!$B$2:$B$201=$B1603),0)),IFERROR(INDEX(EXCEPCIONES_FECHA!$D$2:$D$201,MATCH(1,(EXCEPCIONES_FECHA!$A$2:$A$201=$A1603)*(EXCEPCIONES_FECHA!$B$2:$B$201=""),0)),IFERROR(INDEX(IF($I1603="FIN",HISTORIAL_HORARIOS!$J$2:$J$201,HISTORIAL_HORARIOS!$F$2:$F$201),MATCH(1,(HISTORIAL_HORARIOS!$A$2:$A$201=$B1603)*(HISTORIAL_HORARIOS!$C$2:$C$201&lt;=$A1603)*(HISTORIAL_HORARIOS!$D$2:$D$201&gt;=$A1603),0)),INDEX(IF($I1603="FIN",PERSONAL!$J$2:$J$80,PERSONAL!$F$2:$F$80),MATCH($B1603,PERSONAL!$A$2:$A$80,0)))))</f>
        <v/>
      </c>
      <c r="N1603" s="53">
        <f t="array" ref="N1603">IFERROR(INDEX(EXCEPCIONES_FECHA!$E$2:$E$201,MATCH(1,(EXCEPCIONES_FECHA!$A$2:$A$201=$A1603)*(EXCEPCIONES_FECHA!$B$2:$B$201=$B1603),0)),IFERROR(INDEX(EXCEPCIONES_FECHA!$E$2:$E$201,MATCH(1,(EXCEPCIONES_FECHA!$A$2:$A$201=$A1603)*(EXCEPCIONES_FECHA!$B$2:$B$201=""),0)),IFERROR(INDEX(IF($I1603="FIN",HISTORIAL_HORARIOS!$K$2:$K$201,HISTORIAL_HORARIOS!$G$2:$G$201),MATCH(1,(HISTORIAL_HORARIOS!$A$2:$A$201=$B1603)*(HISTORIAL_HORARIOS!$C$2:$C$201&lt;=$A1603)*(HISTORIAL_HORARIOS!$D$2:$D$201&gt;=$A1603),0)),INDEX(IF($I1603="FIN",PERSONAL!$K$2:$K$80,PERSONAL!$G$2:$G$80),MATCH($B1603,PERSONAL!$A$2:$A$80,0)))))</f>
        <v/>
      </c>
      <c r="O1603" s="53">
        <f t="array" ref="O1603">IFERROR(INDEX(EXCEPCIONES_FECHA!$F$2:$F$201,MATCH(1,(EXCEPCIONES_FECHA!$A$2:$A$201=$A1603)*(EXCEPCIONES_FECHA!$B$2:$B$201=$B1603),0)),IFERROR(INDEX(EXCEPCIONES_FECHA!$F$2:$F$201,MATCH(1,(EXCEPCIONES_FECHA!$A$2:$A$201=$A1603)*(EXCEPCIONES_FECHA!$B$2:$B$201=""),0)),IFERROR(INDEX(IF($I1603="FIN",HISTORIAL_HORARIOS!$L$2:$L$201,HISTORIAL_HORARIOS!$H$2:$H$201),MATCH(1,(HISTORIAL_HORARIOS!$A$2:$A$201=$B1603)*(HISTORIAL_HORARIOS!$C$2:$C$201&lt;=$A1603)*(HISTORIAL_HORARIOS!$D$2:$D$201&gt;=$A1603),0)),INDEX(IF($I1603="FIN",PERSONAL!$L$2:$L$80,PERSONAL!$H$2:$H$80),MATCH($B1603,PERSONAL!$A$2:$A$80,0)))))</f>
        <v/>
      </c>
    </row>
    <row r="1604" ht="15" customHeight="1" s="58">
      <c r="A1604" s="40" t="n"/>
      <c r="B1604" s="38" t="n"/>
      <c r="C1604" s="40" t="n"/>
      <c r="D1604" s="40" t="n"/>
      <c r="E1604" s="34">
        <f t="array" ref="E1604">IF($B1604="","",IFERROR(INDEX(PERSONAL!$B$2:$B$80,MATCH($B1604,PERSONAL!$A$2:$A$80,0)),"NO EXISTE"))</f>
        <v/>
      </c>
      <c r="F1604" s="34">
        <f t="array" ref="F1604">IF($B1604="","",IFERROR(INDEX(PERSONAL!$C$2:$C$80,MATCH($B1604,PERSONAL!$A$2:$A$80,0)),""))</f>
        <v/>
      </c>
      <c r="G1604" s="34">
        <f>IF($A1604="","",CHOOSE(WEEKDAY($A1604,2),"LUNES","MARTES","MIÉRCOLES","JUEVES","VIERNES","SÁBADO","DOMINGO"))</f>
        <v/>
      </c>
      <c r="H1604" s="34">
        <f>IF($A1604="","",CHOOSE(MONTH($A1604),"ENERO","FEBRERO","MARZO","ABRIL","MAYO","JUNIO","JULIO","AGOSTO","SEPTIEMBRE","OCTUBRE","NOVIEMBRE","DICIEMBRE"))</f>
        <v/>
      </c>
      <c r="I1604" s="34">
        <f>IF($A1604="","",IF(OR($G1604="SÁBADO",$G1604="DOMINGO"),"FIN","LV"))</f>
        <v/>
      </c>
      <c r="J1604" s="34">
        <f>IF(OR($A1604="",$B1604=""),"",IF($L1604&lt;&gt;"",UPPER($L1604),IF($C1604="","FALTA",IFERROR(IF($C1604&gt;=$O1604,"ROJO FUERTE",IF($C1604&gt;=$N1604,"ROJO",IF($C1604&gt;=$M1604,"AMARILLO","VERDE"))),"REVISAR"))))</f>
        <v/>
      </c>
      <c r="K1604" s="36">
        <f>IF(OR($C1604="",$D1604=""),"",IF($D1604&gt;=$C1604,($D1604-$C1604)*24,(1-$C1604+$D1604)*24))</f>
        <v/>
      </c>
      <c r="L1604" s="34" t="n"/>
      <c r="M1604" s="53">
        <f t="array" ref="M1604">IFERROR(INDEX(EXCEPCIONES_FECHA!$D$2:$D$201,MATCH(1,(EXCEPCIONES_FECHA!$A$2:$A$201=$A1604)*(EXCEPCIONES_FECHA!$B$2:$B$201=$B1604),0)),IFERROR(INDEX(EXCEPCIONES_FECHA!$D$2:$D$201,MATCH(1,(EXCEPCIONES_FECHA!$A$2:$A$201=$A1604)*(EXCEPCIONES_FECHA!$B$2:$B$201=""),0)),IFERROR(INDEX(IF($I1604="FIN",HISTORIAL_HORARIOS!$J$2:$J$201,HISTORIAL_HORARIOS!$F$2:$F$201),MATCH(1,(HISTORIAL_HORARIOS!$A$2:$A$201=$B1604)*(HISTORIAL_HORARIOS!$C$2:$C$201&lt;=$A1604)*(HISTORIAL_HORARIOS!$D$2:$D$201&gt;=$A1604),0)),INDEX(IF($I1604="FIN",PERSONAL!$J$2:$J$80,PERSONAL!$F$2:$F$80),MATCH($B1604,PERSONAL!$A$2:$A$80,0)))))</f>
        <v/>
      </c>
      <c r="N1604" s="53">
        <f t="array" ref="N1604">IFERROR(INDEX(EXCEPCIONES_FECHA!$E$2:$E$201,MATCH(1,(EXCEPCIONES_FECHA!$A$2:$A$201=$A1604)*(EXCEPCIONES_FECHA!$B$2:$B$201=$B1604),0)),IFERROR(INDEX(EXCEPCIONES_FECHA!$E$2:$E$201,MATCH(1,(EXCEPCIONES_FECHA!$A$2:$A$201=$A1604)*(EXCEPCIONES_FECHA!$B$2:$B$201=""),0)),IFERROR(INDEX(IF($I1604="FIN",HISTORIAL_HORARIOS!$K$2:$K$201,HISTORIAL_HORARIOS!$G$2:$G$201),MATCH(1,(HISTORIAL_HORARIOS!$A$2:$A$201=$B1604)*(HISTORIAL_HORARIOS!$C$2:$C$201&lt;=$A1604)*(HISTORIAL_HORARIOS!$D$2:$D$201&gt;=$A1604),0)),INDEX(IF($I1604="FIN",PERSONAL!$K$2:$K$80,PERSONAL!$G$2:$G$80),MATCH($B1604,PERSONAL!$A$2:$A$80,0)))))</f>
        <v/>
      </c>
      <c r="O1604" s="53">
        <f t="array" ref="O1604">IFERROR(INDEX(EXCEPCIONES_FECHA!$F$2:$F$201,MATCH(1,(EXCEPCIONES_FECHA!$A$2:$A$201=$A1604)*(EXCEPCIONES_FECHA!$B$2:$B$201=$B1604),0)),IFERROR(INDEX(EXCEPCIONES_FECHA!$F$2:$F$201,MATCH(1,(EXCEPCIONES_FECHA!$A$2:$A$201=$A1604)*(EXCEPCIONES_FECHA!$B$2:$B$201=""),0)),IFERROR(INDEX(IF($I1604="FIN",HISTORIAL_HORARIOS!$L$2:$L$201,HISTORIAL_HORARIOS!$H$2:$H$201),MATCH(1,(HISTORIAL_HORARIOS!$A$2:$A$201=$B1604)*(HISTORIAL_HORARIOS!$C$2:$C$201&lt;=$A1604)*(HISTORIAL_HORARIOS!$D$2:$D$201&gt;=$A1604),0)),INDEX(IF($I1604="FIN",PERSONAL!$L$2:$L$80,PERSONAL!$H$2:$H$80),MATCH($B1604,PERSONAL!$A$2:$A$80,0)))))</f>
        <v/>
      </c>
    </row>
    <row r="1605" ht="15" customHeight="1" s="58">
      <c r="A1605" s="40" t="n"/>
      <c r="B1605" s="38" t="n"/>
      <c r="C1605" s="40" t="n"/>
      <c r="D1605" s="40" t="n"/>
      <c r="E1605" s="34">
        <f t="array" ref="E1605">IF($B1605="","",IFERROR(INDEX(PERSONAL!$B$2:$B$80,MATCH($B1605,PERSONAL!$A$2:$A$80,0)),"NO EXISTE"))</f>
        <v/>
      </c>
      <c r="F1605" s="34">
        <f t="array" ref="F1605">IF($B1605="","",IFERROR(INDEX(PERSONAL!$C$2:$C$80,MATCH($B1605,PERSONAL!$A$2:$A$80,0)),""))</f>
        <v/>
      </c>
      <c r="G1605" s="34">
        <f>IF($A1605="","",CHOOSE(WEEKDAY($A1605,2),"LUNES","MARTES","MIÉRCOLES","JUEVES","VIERNES","SÁBADO","DOMINGO"))</f>
        <v/>
      </c>
      <c r="H1605" s="34">
        <f>IF($A1605="","",CHOOSE(MONTH($A1605),"ENERO","FEBRERO","MARZO","ABRIL","MAYO","JUNIO","JULIO","AGOSTO","SEPTIEMBRE","OCTUBRE","NOVIEMBRE","DICIEMBRE"))</f>
        <v/>
      </c>
      <c r="I1605" s="34">
        <f>IF($A1605="","",IF(OR($G1605="SÁBADO",$G1605="DOMINGO"),"FIN","LV"))</f>
        <v/>
      </c>
      <c r="J1605" s="34">
        <f>IF(OR($A1605="",$B1605=""),"",IF($L1605&lt;&gt;"",UPPER($L1605),IF($C1605="","FALTA",IFERROR(IF($C1605&gt;=$O1605,"ROJO FUERTE",IF($C1605&gt;=$N1605,"ROJO",IF($C1605&gt;=$M1605,"AMARILLO","VERDE"))),"REVISAR"))))</f>
        <v/>
      </c>
      <c r="K1605" s="36">
        <f>IF(OR($C1605="",$D1605=""),"",IF($D1605&gt;=$C1605,($D1605-$C1605)*24,(1-$C1605+$D1605)*24))</f>
        <v/>
      </c>
      <c r="L1605" s="34" t="n"/>
      <c r="M1605" s="53">
        <f t="array" ref="M1605">IFERROR(INDEX(EXCEPCIONES_FECHA!$D$2:$D$201,MATCH(1,(EXCEPCIONES_FECHA!$A$2:$A$201=$A1605)*(EXCEPCIONES_FECHA!$B$2:$B$201=$B1605),0)),IFERROR(INDEX(EXCEPCIONES_FECHA!$D$2:$D$201,MATCH(1,(EXCEPCIONES_FECHA!$A$2:$A$201=$A1605)*(EXCEPCIONES_FECHA!$B$2:$B$201=""),0)),IFERROR(INDEX(IF($I1605="FIN",HISTORIAL_HORARIOS!$J$2:$J$201,HISTORIAL_HORARIOS!$F$2:$F$201),MATCH(1,(HISTORIAL_HORARIOS!$A$2:$A$201=$B1605)*(HISTORIAL_HORARIOS!$C$2:$C$201&lt;=$A1605)*(HISTORIAL_HORARIOS!$D$2:$D$201&gt;=$A1605),0)),INDEX(IF($I1605="FIN",PERSONAL!$J$2:$J$80,PERSONAL!$F$2:$F$80),MATCH($B1605,PERSONAL!$A$2:$A$80,0)))))</f>
        <v/>
      </c>
      <c r="N1605" s="53">
        <f t="array" ref="N1605">IFERROR(INDEX(EXCEPCIONES_FECHA!$E$2:$E$201,MATCH(1,(EXCEPCIONES_FECHA!$A$2:$A$201=$A1605)*(EXCEPCIONES_FECHA!$B$2:$B$201=$B1605),0)),IFERROR(INDEX(EXCEPCIONES_FECHA!$E$2:$E$201,MATCH(1,(EXCEPCIONES_FECHA!$A$2:$A$201=$A1605)*(EXCEPCIONES_FECHA!$B$2:$B$201=""),0)),IFERROR(INDEX(IF($I1605="FIN",HISTORIAL_HORARIOS!$K$2:$K$201,HISTORIAL_HORARIOS!$G$2:$G$201),MATCH(1,(HISTORIAL_HORARIOS!$A$2:$A$201=$B1605)*(HISTORIAL_HORARIOS!$C$2:$C$201&lt;=$A1605)*(HISTORIAL_HORARIOS!$D$2:$D$201&gt;=$A1605),0)),INDEX(IF($I1605="FIN",PERSONAL!$K$2:$K$80,PERSONAL!$G$2:$G$80),MATCH($B1605,PERSONAL!$A$2:$A$80,0)))))</f>
        <v/>
      </c>
      <c r="O1605" s="53">
        <f t="array" ref="O1605">IFERROR(INDEX(EXCEPCIONES_FECHA!$F$2:$F$201,MATCH(1,(EXCEPCIONES_FECHA!$A$2:$A$201=$A1605)*(EXCEPCIONES_FECHA!$B$2:$B$201=$B1605),0)),IFERROR(INDEX(EXCEPCIONES_FECHA!$F$2:$F$201,MATCH(1,(EXCEPCIONES_FECHA!$A$2:$A$201=$A1605)*(EXCEPCIONES_FECHA!$B$2:$B$201=""),0)),IFERROR(INDEX(IF($I1605="FIN",HISTORIAL_HORARIOS!$L$2:$L$201,HISTORIAL_HORARIOS!$H$2:$H$201),MATCH(1,(HISTORIAL_HORARIOS!$A$2:$A$201=$B1605)*(HISTORIAL_HORARIOS!$C$2:$C$201&lt;=$A1605)*(HISTORIAL_HORARIOS!$D$2:$D$201&gt;=$A1605),0)),INDEX(IF($I1605="FIN",PERSONAL!$L$2:$L$80,PERSONAL!$H$2:$H$80),MATCH($B1605,PERSONAL!$A$2:$A$80,0)))))</f>
        <v/>
      </c>
    </row>
    <row r="1606" ht="15" customHeight="1" s="58">
      <c r="A1606" s="40" t="n"/>
      <c r="B1606" s="38" t="n"/>
      <c r="C1606" s="40" t="n"/>
      <c r="D1606" s="40" t="n"/>
      <c r="E1606" s="34">
        <f t="array" ref="E1606">IF($B1606="","",IFERROR(INDEX(PERSONAL!$B$2:$B$80,MATCH($B1606,PERSONAL!$A$2:$A$80,0)),"NO EXISTE"))</f>
        <v/>
      </c>
      <c r="F1606" s="34">
        <f t="array" ref="F1606">IF($B1606="","",IFERROR(INDEX(PERSONAL!$C$2:$C$80,MATCH($B1606,PERSONAL!$A$2:$A$80,0)),""))</f>
        <v/>
      </c>
      <c r="G1606" s="34">
        <f>IF($A1606="","",CHOOSE(WEEKDAY($A1606,2),"LUNES","MARTES","MIÉRCOLES","JUEVES","VIERNES","SÁBADO","DOMINGO"))</f>
        <v/>
      </c>
      <c r="H1606" s="34">
        <f>IF($A1606="","",CHOOSE(MONTH($A1606),"ENERO","FEBRERO","MARZO","ABRIL","MAYO","JUNIO","JULIO","AGOSTO","SEPTIEMBRE","OCTUBRE","NOVIEMBRE","DICIEMBRE"))</f>
        <v/>
      </c>
      <c r="I1606" s="34">
        <f>IF($A1606="","",IF(OR($G1606="SÁBADO",$G1606="DOMINGO"),"FIN","LV"))</f>
        <v/>
      </c>
      <c r="J1606" s="34">
        <f>IF(OR($A1606="",$B1606=""),"",IF($L1606&lt;&gt;"",UPPER($L1606),IF($C1606="","FALTA",IFERROR(IF($C1606&gt;=$O1606,"ROJO FUERTE",IF($C1606&gt;=$N1606,"ROJO",IF($C1606&gt;=$M1606,"AMARILLO","VERDE"))),"REVISAR"))))</f>
        <v/>
      </c>
      <c r="K1606" s="36">
        <f>IF(OR($C1606="",$D1606=""),"",IF($D1606&gt;=$C1606,($D1606-$C1606)*24,(1-$C1606+$D1606)*24))</f>
        <v/>
      </c>
      <c r="L1606" s="34" t="n"/>
      <c r="M1606" s="53">
        <f t="array" ref="M1606">IFERROR(INDEX(EXCEPCIONES_FECHA!$D$2:$D$201,MATCH(1,(EXCEPCIONES_FECHA!$A$2:$A$201=$A1606)*(EXCEPCIONES_FECHA!$B$2:$B$201=$B1606),0)),IFERROR(INDEX(EXCEPCIONES_FECHA!$D$2:$D$201,MATCH(1,(EXCEPCIONES_FECHA!$A$2:$A$201=$A1606)*(EXCEPCIONES_FECHA!$B$2:$B$201=""),0)),IFERROR(INDEX(IF($I1606="FIN",HISTORIAL_HORARIOS!$J$2:$J$201,HISTORIAL_HORARIOS!$F$2:$F$201),MATCH(1,(HISTORIAL_HORARIOS!$A$2:$A$201=$B1606)*(HISTORIAL_HORARIOS!$C$2:$C$201&lt;=$A1606)*(HISTORIAL_HORARIOS!$D$2:$D$201&gt;=$A1606),0)),INDEX(IF($I1606="FIN",PERSONAL!$J$2:$J$80,PERSONAL!$F$2:$F$80),MATCH($B1606,PERSONAL!$A$2:$A$80,0)))))</f>
        <v/>
      </c>
      <c r="N1606" s="53">
        <f t="array" ref="N1606">IFERROR(INDEX(EXCEPCIONES_FECHA!$E$2:$E$201,MATCH(1,(EXCEPCIONES_FECHA!$A$2:$A$201=$A1606)*(EXCEPCIONES_FECHA!$B$2:$B$201=$B1606),0)),IFERROR(INDEX(EXCEPCIONES_FECHA!$E$2:$E$201,MATCH(1,(EXCEPCIONES_FECHA!$A$2:$A$201=$A1606)*(EXCEPCIONES_FECHA!$B$2:$B$201=""),0)),IFERROR(INDEX(IF($I1606="FIN",HISTORIAL_HORARIOS!$K$2:$K$201,HISTORIAL_HORARIOS!$G$2:$G$201),MATCH(1,(HISTORIAL_HORARIOS!$A$2:$A$201=$B1606)*(HISTORIAL_HORARIOS!$C$2:$C$201&lt;=$A1606)*(HISTORIAL_HORARIOS!$D$2:$D$201&gt;=$A1606),0)),INDEX(IF($I1606="FIN",PERSONAL!$K$2:$K$80,PERSONAL!$G$2:$G$80),MATCH($B1606,PERSONAL!$A$2:$A$80,0)))))</f>
        <v/>
      </c>
      <c r="O1606" s="53">
        <f t="array" ref="O1606">IFERROR(INDEX(EXCEPCIONES_FECHA!$F$2:$F$201,MATCH(1,(EXCEPCIONES_FECHA!$A$2:$A$201=$A1606)*(EXCEPCIONES_FECHA!$B$2:$B$201=$B1606),0)),IFERROR(INDEX(EXCEPCIONES_FECHA!$F$2:$F$201,MATCH(1,(EXCEPCIONES_FECHA!$A$2:$A$201=$A1606)*(EXCEPCIONES_FECHA!$B$2:$B$201=""),0)),IFERROR(INDEX(IF($I1606="FIN",HISTORIAL_HORARIOS!$L$2:$L$201,HISTORIAL_HORARIOS!$H$2:$H$201),MATCH(1,(HISTORIAL_HORARIOS!$A$2:$A$201=$B1606)*(HISTORIAL_HORARIOS!$C$2:$C$201&lt;=$A1606)*(HISTORIAL_HORARIOS!$D$2:$D$201&gt;=$A1606),0)),INDEX(IF($I1606="FIN",PERSONAL!$L$2:$L$80,PERSONAL!$H$2:$H$80),MATCH($B1606,PERSONAL!$A$2:$A$80,0)))))</f>
        <v/>
      </c>
    </row>
    <row r="1607" ht="15" customHeight="1" s="58">
      <c r="A1607" s="40" t="n"/>
      <c r="B1607" s="38" t="n"/>
      <c r="C1607" s="40" t="n"/>
      <c r="D1607" s="40" t="n"/>
      <c r="E1607" s="34">
        <f t="array" ref="E1607">IF($B1607="","",IFERROR(INDEX(PERSONAL!$B$2:$B$80,MATCH($B1607,PERSONAL!$A$2:$A$80,0)),"NO EXISTE"))</f>
        <v/>
      </c>
      <c r="F1607" s="34">
        <f t="array" ref="F1607">IF($B1607="","",IFERROR(INDEX(PERSONAL!$C$2:$C$80,MATCH($B1607,PERSONAL!$A$2:$A$80,0)),""))</f>
        <v/>
      </c>
      <c r="G1607" s="34">
        <f>IF($A1607="","",CHOOSE(WEEKDAY($A1607,2),"LUNES","MARTES","MIÉRCOLES","JUEVES","VIERNES","SÁBADO","DOMINGO"))</f>
        <v/>
      </c>
      <c r="H1607" s="34">
        <f>IF($A1607="","",CHOOSE(MONTH($A1607),"ENERO","FEBRERO","MARZO","ABRIL","MAYO","JUNIO","JULIO","AGOSTO","SEPTIEMBRE","OCTUBRE","NOVIEMBRE","DICIEMBRE"))</f>
        <v/>
      </c>
      <c r="I1607" s="34">
        <f>IF($A1607="","",IF(OR($G1607="SÁBADO",$G1607="DOMINGO"),"FIN","LV"))</f>
        <v/>
      </c>
      <c r="J1607" s="34">
        <f>IF(OR($A1607="",$B1607=""),"",IF($L1607&lt;&gt;"",UPPER($L1607),IF($C1607="","FALTA",IFERROR(IF($C1607&gt;=$O1607,"ROJO FUERTE",IF($C1607&gt;=$N1607,"ROJO",IF($C1607&gt;=$M1607,"AMARILLO","VERDE"))),"REVISAR"))))</f>
        <v/>
      </c>
      <c r="K1607" s="36">
        <f>IF(OR($C1607="",$D1607=""),"",IF($D1607&gt;=$C1607,($D1607-$C1607)*24,(1-$C1607+$D1607)*24))</f>
        <v/>
      </c>
      <c r="L1607" s="34" t="n"/>
      <c r="M1607" s="53">
        <f t="array" ref="M1607">IFERROR(INDEX(EXCEPCIONES_FECHA!$D$2:$D$201,MATCH(1,(EXCEPCIONES_FECHA!$A$2:$A$201=$A1607)*(EXCEPCIONES_FECHA!$B$2:$B$201=$B1607),0)),IFERROR(INDEX(EXCEPCIONES_FECHA!$D$2:$D$201,MATCH(1,(EXCEPCIONES_FECHA!$A$2:$A$201=$A1607)*(EXCEPCIONES_FECHA!$B$2:$B$201=""),0)),IFERROR(INDEX(IF($I1607="FIN",HISTORIAL_HORARIOS!$J$2:$J$201,HISTORIAL_HORARIOS!$F$2:$F$201),MATCH(1,(HISTORIAL_HORARIOS!$A$2:$A$201=$B1607)*(HISTORIAL_HORARIOS!$C$2:$C$201&lt;=$A1607)*(HISTORIAL_HORARIOS!$D$2:$D$201&gt;=$A1607),0)),INDEX(IF($I1607="FIN",PERSONAL!$J$2:$J$80,PERSONAL!$F$2:$F$80),MATCH($B1607,PERSONAL!$A$2:$A$80,0)))))</f>
        <v/>
      </c>
      <c r="N1607" s="53">
        <f t="array" ref="N1607">IFERROR(INDEX(EXCEPCIONES_FECHA!$E$2:$E$201,MATCH(1,(EXCEPCIONES_FECHA!$A$2:$A$201=$A1607)*(EXCEPCIONES_FECHA!$B$2:$B$201=$B1607),0)),IFERROR(INDEX(EXCEPCIONES_FECHA!$E$2:$E$201,MATCH(1,(EXCEPCIONES_FECHA!$A$2:$A$201=$A1607)*(EXCEPCIONES_FECHA!$B$2:$B$201=""),0)),IFERROR(INDEX(IF($I1607="FIN",HISTORIAL_HORARIOS!$K$2:$K$201,HISTORIAL_HORARIOS!$G$2:$G$201),MATCH(1,(HISTORIAL_HORARIOS!$A$2:$A$201=$B1607)*(HISTORIAL_HORARIOS!$C$2:$C$201&lt;=$A1607)*(HISTORIAL_HORARIOS!$D$2:$D$201&gt;=$A1607),0)),INDEX(IF($I1607="FIN",PERSONAL!$K$2:$K$80,PERSONAL!$G$2:$G$80),MATCH($B1607,PERSONAL!$A$2:$A$80,0)))))</f>
        <v/>
      </c>
      <c r="O1607" s="53">
        <f t="array" ref="O1607">IFERROR(INDEX(EXCEPCIONES_FECHA!$F$2:$F$201,MATCH(1,(EXCEPCIONES_FECHA!$A$2:$A$201=$A1607)*(EXCEPCIONES_FECHA!$B$2:$B$201=$B1607),0)),IFERROR(INDEX(EXCEPCIONES_FECHA!$F$2:$F$201,MATCH(1,(EXCEPCIONES_FECHA!$A$2:$A$201=$A1607)*(EXCEPCIONES_FECHA!$B$2:$B$201=""),0)),IFERROR(INDEX(IF($I1607="FIN",HISTORIAL_HORARIOS!$L$2:$L$201,HISTORIAL_HORARIOS!$H$2:$H$201),MATCH(1,(HISTORIAL_HORARIOS!$A$2:$A$201=$B1607)*(HISTORIAL_HORARIOS!$C$2:$C$201&lt;=$A1607)*(HISTORIAL_HORARIOS!$D$2:$D$201&gt;=$A1607),0)),INDEX(IF($I1607="FIN",PERSONAL!$L$2:$L$80,PERSONAL!$H$2:$H$80),MATCH($B1607,PERSONAL!$A$2:$A$80,0)))))</f>
        <v/>
      </c>
    </row>
    <row r="1608" ht="15" customHeight="1" s="58">
      <c r="A1608" s="40" t="n"/>
      <c r="B1608" s="38" t="n"/>
      <c r="C1608" s="40" t="n"/>
      <c r="D1608" s="40" t="n"/>
      <c r="E1608" s="34">
        <f t="array" ref="E1608">IF($B1608="","",IFERROR(INDEX(PERSONAL!$B$2:$B$80,MATCH($B1608,PERSONAL!$A$2:$A$80,0)),"NO EXISTE"))</f>
        <v/>
      </c>
      <c r="F1608" s="34">
        <f t="array" ref="F1608">IF($B1608="","",IFERROR(INDEX(PERSONAL!$C$2:$C$80,MATCH($B1608,PERSONAL!$A$2:$A$80,0)),""))</f>
        <v/>
      </c>
      <c r="G1608" s="34">
        <f>IF($A1608="","",CHOOSE(WEEKDAY($A1608,2),"LUNES","MARTES","MIÉRCOLES","JUEVES","VIERNES","SÁBADO","DOMINGO"))</f>
        <v/>
      </c>
      <c r="H1608" s="34">
        <f>IF($A1608="","",CHOOSE(MONTH($A1608),"ENERO","FEBRERO","MARZO","ABRIL","MAYO","JUNIO","JULIO","AGOSTO","SEPTIEMBRE","OCTUBRE","NOVIEMBRE","DICIEMBRE"))</f>
        <v/>
      </c>
      <c r="I1608" s="34">
        <f>IF($A1608="","",IF(OR($G1608="SÁBADO",$G1608="DOMINGO"),"FIN","LV"))</f>
        <v/>
      </c>
      <c r="J1608" s="34">
        <f>IF(OR($A1608="",$B1608=""),"",IF($L1608&lt;&gt;"",UPPER($L1608),IF($C1608="","FALTA",IFERROR(IF($C1608&gt;=$O1608,"ROJO FUERTE",IF($C1608&gt;=$N1608,"ROJO",IF($C1608&gt;=$M1608,"AMARILLO","VERDE"))),"REVISAR"))))</f>
        <v/>
      </c>
      <c r="K1608" s="36">
        <f>IF(OR($C1608="",$D1608=""),"",IF($D1608&gt;=$C1608,($D1608-$C1608)*24,(1-$C1608+$D1608)*24))</f>
        <v/>
      </c>
      <c r="L1608" s="34" t="n"/>
      <c r="M1608" s="53">
        <f t="array" ref="M1608">IFERROR(INDEX(EXCEPCIONES_FECHA!$D$2:$D$201,MATCH(1,(EXCEPCIONES_FECHA!$A$2:$A$201=$A1608)*(EXCEPCIONES_FECHA!$B$2:$B$201=$B1608),0)),IFERROR(INDEX(EXCEPCIONES_FECHA!$D$2:$D$201,MATCH(1,(EXCEPCIONES_FECHA!$A$2:$A$201=$A1608)*(EXCEPCIONES_FECHA!$B$2:$B$201=""),0)),IFERROR(INDEX(IF($I1608="FIN",HISTORIAL_HORARIOS!$J$2:$J$201,HISTORIAL_HORARIOS!$F$2:$F$201),MATCH(1,(HISTORIAL_HORARIOS!$A$2:$A$201=$B1608)*(HISTORIAL_HORARIOS!$C$2:$C$201&lt;=$A1608)*(HISTORIAL_HORARIOS!$D$2:$D$201&gt;=$A1608),0)),INDEX(IF($I1608="FIN",PERSONAL!$J$2:$J$80,PERSONAL!$F$2:$F$80),MATCH($B1608,PERSONAL!$A$2:$A$80,0)))))</f>
        <v/>
      </c>
      <c r="N1608" s="53">
        <f t="array" ref="N1608">IFERROR(INDEX(EXCEPCIONES_FECHA!$E$2:$E$201,MATCH(1,(EXCEPCIONES_FECHA!$A$2:$A$201=$A1608)*(EXCEPCIONES_FECHA!$B$2:$B$201=$B1608),0)),IFERROR(INDEX(EXCEPCIONES_FECHA!$E$2:$E$201,MATCH(1,(EXCEPCIONES_FECHA!$A$2:$A$201=$A1608)*(EXCEPCIONES_FECHA!$B$2:$B$201=""),0)),IFERROR(INDEX(IF($I1608="FIN",HISTORIAL_HORARIOS!$K$2:$K$201,HISTORIAL_HORARIOS!$G$2:$G$201),MATCH(1,(HISTORIAL_HORARIOS!$A$2:$A$201=$B1608)*(HISTORIAL_HORARIOS!$C$2:$C$201&lt;=$A1608)*(HISTORIAL_HORARIOS!$D$2:$D$201&gt;=$A1608),0)),INDEX(IF($I1608="FIN",PERSONAL!$K$2:$K$80,PERSONAL!$G$2:$G$80),MATCH($B1608,PERSONAL!$A$2:$A$80,0)))))</f>
        <v/>
      </c>
      <c r="O1608" s="53">
        <f t="array" ref="O1608">IFERROR(INDEX(EXCEPCIONES_FECHA!$F$2:$F$201,MATCH(1,(EXCEPCIONES_FECHA!$A$2:$A$201=$A1608)*(EXCEPCIONES_FECHA!$B$2:$B$201=$B1608),0)),IFERROR(INDEX(EXCEPCIONES_FECHA!$F$2:$F$201,MATCH(1,(EXCEPCIONES_FECHA!$A$2:$A$201=$A1608)*(EXCEPCIONES_FECHA!$B$2:$B$201=""),0)),IFERROR(INDEX(IF($I1608="FIN",HISTORIAL_HORARIOS!$L$2:$L$201,HISTORIAL_HORARIOS!$H$2:$H$201),MATCH(1,(HISTORIAL_HORARIOS!$A$2:$A$201=$B1608)*(HISTORIAL_HORARIOS!$C$2:$C$201&lt;=$A1608)*(HISTORIAL_HORARIOS!$D$2:$D$201&gt;=$A1608),0)),INDEX(IF($I1608="FIN",PERSONAL!$L$2:$L$80,PERSONAL!$H$2:$H$80),MATCH($B1608,PERSONAL!$A$2:$A$80,0)))))</f>
        <v/>
      </c>
    </row>
    <row r="1609" ht="15" customHeight="1" s="58">
      <c r="A1609" s="40" t="n"/>
      <c r="B1609" s="38" t="n"/>
      <c r="C1609" s="40" t="n"/>
      <c r="D1609" s="40" t="n"/>
      <c r="E1609" s="34">
        <f t="array" ref="E1609">IF($B1609="","",IFERROR(INDEX(PERSONAL!$B$2:$B$80,MATCH($B1609,PERSONAL!$A$2:$A$80,0)),"NO EXISTE"))</f>
        <v/>
      </c>
      <c r="F1609" s="34">
        <f t="array" ref="F1609">IF($B1609="","",IFERROR(INDEX(PERSONAL!$C$2:$C$80,MATCH($B1609,PERSONAL!$A$2:$A$80,0)),""))</f>
        <v/>
      </c>
      <c r="G1609" s="34">
        <f>IF($A1609="","",CHOOSE(WEEKDAY($A1609,2),"LUNES","MARTES","MIÉRCOLES","JUEVES","VIERNES","SÁBADO","DOMINGO"))</f>
        <v/>
      </c>
      <c r="H1609" s="34">
        <f>IF($A1609="","",CHOOSE(MONTH($A1609),"ENERO","FEBRERO","MARZO","ABRIL","MAYO","JUNIO","JULIO","AGOSTO","SEPTIEMBRE","OCTUBRE","NOVIEMBRE","DICIEMBRE"))</f>
        <v/>
      </c>
      <c r="I1609" s="34">
        <f>IF($A1609="","",IF(OR($G1609="SÁBADO",$G1609="DOMINGO"),"FIN","LV"))</f>
        <v/>
      </c>
      <c r="J1609" s="34">
        <f>IF(OR($A1609="",$B1609=""),"",IF($L1609&lt;&gt;"",UPPER($L1609),IF($C1609="","FALTA",IFERROR(IF($C1609&gt;=$O1609,"ROJO FUERTE",IF($C1609&gt;=$N1609,"ROJO",IF($C1609&gt;=$M1609,"AMARILLO","VERDE"))),"REVISAR"))))</f>
        <v/>
      </c>
      <c r="K1609" s="36">
        <f>IF(OR($C1609="",$D1609=""),"",IF($D1609&gt;=$C1609,($D1609-$C1609)*24,(1-$C1609+$D1609)*24))</f>
        <v/>
      </c>
      <c r="L1609" s="34" t="n"/>
      <c r="M1609" s="53">
        <f t="array" ref="M1609">IFERROR(INDEX(EXCEPCIONES_FECHA!$D$2:$D$201,MATCH(1,(EXCEPCIONES_FECHA!$A$2:$A$201=$A1609)*(EXCEPCIONES_FECHA!$B$2:$B$201=$B1609),0)),IFERROR(INDEX(EXCEPCIONES_FECHA!$D$2:$D$201,MATCH(1,(EXCEPCIONES_FECHA!$A$2:$A$201=$A1609)*(EXCEPCIONES_FECHA!$B$2:$B$201=""),0)),IFERROR(INDEX(IF($I1609="FIN",HISTORIAL_HORARIOS!$J$2:$J$201,HISTORIAL_HORARIOS!$F$2:$F$201),MATCH(1,(HISTORIAL_HORARIOS!$A$2:$A$201=$B1609)*(HISTORIAL_HORARIOS!$C$2:$C$201&lt;=$A1609)*(HISTORIAL_HORARIOS!$D$2:$D$201&gt;=$A1609),0)),INDEX(IF($I1609="FIN",PERSONAL!$J$2:$J$80,PERSONAL!$F$2:$F$80),MATCH($B1609,PERSONAL!$A$2:$A$80,0)))))</f>
        <v/>
      </c>
      <c r="N1609" s="53">
        <f t="array" ref="N1609">IFERROR(INDEX(EXCEPCIONES_FECHA!$E$2:$E$201,MATCH(1,(EXCEPCIONES_FECHA!$A$2:$A$201=$A1609)*(EXCEPCIONES_FECHA!$B$2:$B$201=$B1609),0)),IFERROR(INDEX(EXCEPCIONES_FECHA!$E$2:$E$201,MATCH(1,(EXCEPCIONES_FECHA!$A$2:$A$201=$A1609)*(EXCEPCIONES_FECHA!$B$2:$B$201=""),0)),IFERROR(INDEX(IF($I1609="FIN",HISTORIAL_HORARIOS!$K$2:$K$201,HISTORIAL_HORARIOS!$G$2:$G$201),MATCH(1,(HISTORIAL_HORARIOS!$A$2:$A$201=$B1609)*(HISTORIAL_HORARIOS!$C$2:$C$201&lt;=$A1609)*(HISTORIAL_HORARIOS!$D$2:$D$201&gt;=$A1609),0)),INDEX(IF($I1609="FIN",PERSONAL!$K$2:$K$80,PERSONAL!$G$2:$G$80),MATCH($B1609,PERSONAL!$A$2:$A$80,0)))))</f>
        <v/>
      </c>
      <c r="O1609" s="53">
        <f t="array" ref="O1609">IFERROR(INDEX(EXCEPCIONES_FECHA!$F$2:$F$201,MATCH(1,(EXCEPCIONES_FECHA!$A$2:$A$201=$A1609)*(EXCEPCIONES_FECHA!$B$2:$B$201=$B1609),0)),IFERROR(INDEX(EXCEPCIONES_FECHA!$F$2:$F$201,MATCH(1,(EXCEPCIONES_FECHA!$A$2:$A$201=$A1609)*(EXCEPCIONES_FECHA!$B$2:$B$201=""),0)),IFERROR(INDEX(IF($I1609="FIN",HISTORIAL_HORARIOS!$L$2:$L$201,HISTORIAL_HORARIOS!$H$2:$H$201),MATCH(1,(HISTORIAL_HORARIOS!$A$2:$A$201=$B1609)*(HISTORIAL_HORARIOS!$C$2:$C$201&lt;=$A1609)*(HISTORIAL_HORARIOS!$D$2:$D$201&gt;=$A1609),0)),INDEX(IF($I1609="FIN",PERSONAL!$L$2:$L$80,PERSONAL!$H$2:$H$80),MATCH($B1609,PERSONAL!$A$2:$A$80,0)))))</f>
        <v/>
      </c>
    </row>
    <row r="1610" ht="15" customHeight="1" s="58">
      <c r="A1610" s="40" t="n"/>
      <c r="B1610" s="38" t="n"/>
      <c r="C1610" s="40" t="n"/>
      <c r="D1610" s="40" t="n"/>
      <c r="E1610" s="34">
        <f t="array" ref="E1610">IF($B1610="","",IFERROR(INDEX(PERSONAL!$B$2:$B$80,MATCH($B1610,PERSONAL!$A$2:$A$80,0)),"NO EXISTE"))</f>
        <v/>
      </c>
      <c r="F1610" s="34">
        <f t="array" ref="F1610">IF($B1610="","",IFERROR(INDEX(PERSONAL!$C$2:$C$80,MATCH($B1610,PERSONAL!$A$2:$A$80,0)),""))</f>
        <v/>
      </c>
      <c r="G1610" s="34">
        <f>IF($A1610="","",CHOOSE(WEEKDAY($A1610,2),"LUNES","MARTES","MIÉRCOLES","JUEVES","VIERNES","SÁBADO","DOMINGO"))</f>
        <v/>
      </c>
      <c r="H1610" s="34">
        <f>IF($A1610="","",CHOOSE(MONTH($A1610),"ENERO","FEBRERO","MARZO","ABRIL","MAYO","JUNIO","JULIO","AGOSTO","SEPTIEMBRE","OCTUBRE","NOVIEMBRE","DICIEMBRE"))</f>
        <v/>
      </c>
      <c r="I1610" s="34">
        <f>IF($A1610="","",IF(OR($G1610="SÁBADO",$G1610="DOMINGO"),"FIN","LV"))</f>
        <v/>
      </c>
      <c r="J1610" s="34">
        <f>IF(OR($A1610="",$B1610=""),"",IF($L1610&lt;&gt;"",UPPER($L1610),IF($C1610="","FALTA",IFERROR(IF($C1610&gt;=$O1610,"ROJO FUERTE",IF($C1610&gt;=$N1610,"ROJO",IF($C1610&gt;=$M1610,"AMARILLO","VERDE"))),"REVISAR"))))</f>
        <v/>
      </c>
      <c r="K1610" s="36">
        <f>IF(OR($C1610="",$D1610=""),"",IF($D1610&gt;=$C1610,($D1610-$C1610)*24,(1-$C1610+$D1610)*24))</f>
        <v/>
      </c>
      <c r="L1610" s="34" t="n"/>
      <c r="M1610" s="53">
        <f t="array" ref="M1610">IFERROR(INDEX(EXCEPCIONES_FECHA!$D$2:$D$201,MATCH(1,(EXCEPCIONES_FECHA!$A$2:$A$201=$A1610)*(EXCEPCIONES_FECHA!$B$2:$B$201=$B1610),0)),IFERROR(INDEX(EXCEPCIONES_FECHA!$D$2:$D$201,MATCH(1,(EXCEPCIONES_FECHA!$A$2:$A$201=$A1610)*(EXCEPCIONES_FECHA!$B$2:$B$201=""),0)),IFERROR(INDEX(IF($I1610="FIN",HISTORIAL_HORARIOS!$J$2:$J$201,HISTORIAL_HORARIOS!$F$2:$F$201),MATCH(1,(HISTORIAL_HORARIOS!$A$2:$A$201=$B1610)*(HISTORIAL_HORARIOS!$C$2:$C$201&lt;=$A1610)*(HISTORIAL_HORARIOS!$D$2:$D$201&gt;=$A1610),0)),INDEX(IF($I1610="FIN",PERSONAL!$J$2:$J$80,PERSONAL!$F$2:$F$80),MATCH($B1610,PERSONAL!$A$2:$A$80,0)))))</f>
        <v/>
      </c>
      <c r="N1610" s="53">
        <f t="array" ref="N1610">IFERROR(INDEX(EXCEPCIONES_FECHA!$E$2:$E$201,MATCH(1,(EXCEPCIONES_FECHA!$A$2:$A$201=$A1610)*(EXCEPCIONES_FECHA!$B$2:$B$201=$B1610),0)),IFERROR(INDEX(EXCEPCIONES_FECHA!$E$2:$E$201,MATCH(1,(EXCEPCIONES_FECHA!$A$2:$A$201=$A1610)*(EXCEPCIONES_FECHA!$B$2:$B$201=""),0)),IFERROR(INDEX(IF($I1610="FIN",HISTORIAL_HORARIOS!$K$2:$K$201,HISTORIAL_HORARIOS!$G$2:$G$201),MATCH(1,(HISTORIAL_HORARIOS!$A$2:$A$201=$B1610)*(HISTORIAL_HORARIOS!$C$2:$C$201&lt;=$A1610)*(HISTORIAL_HORARIOS!$D$2:$D$201&gt;=$A1610),0)),INDEX(IF($I1610="FIN",PERSONAL!$K$2:$K$80,PERSONAL!$G$2:$G$80),MATCH($B1610,PERSONAL!$A$2:$A$80,0)))))</f>
        <v/>
      </c>
      <c r="O1610" s="53">
        <f t="array" ref="O1610">IFERROR(INDEX(EXCEPCIONES_FECHA!$F$2:$F$201,MATCH(1,(EXCEPCIONES_FECHA!$A$2:$A$201=$A1610)*(EXCEPCIONES_FECHA!$B$2:$B$201=$B1610),0)),IFERROR(INDEX(EXCEPCIONES_FECHA!$F$2:$F$201,MATCH(1,(EXCEPCIONES_FECHA!$A$2:$A$201=$A1610)*(EXCEPCIONES_FECHA!$B$2:$B$201=""),0)),IFERROR(INDEX(IF($I1610="FIN",HISTORIAL_HORARIOS!$L$2:$L$201,HISTORIAL_HORARIOS!$H$2:$H$201),MATCH(1,(HISTORIAL_HORARIOS!$A$2:$A$201=$B1610)*(HISTORIAL_HORARIOS!$C$2:$C$201&lt;=$A1610)*(HISTORIAL_HORARIOS!$D$2:$D$201&gt;=$A1610),0)),INDEX(IF($I1610="FIN",PERSONAL!$L$2:$L$80,PERSONAL!$H$2:$H$80),MATCH($B1610,PERSONAL!$A$2:$A$80,0)))))</f>
        <v/>
      </c>
    </row>
    <row r="1611" ht="15" customHeight="1" s="58">
      <c r="A1611" s="40" t="n"/>
      <c r="B1611" s="38" t="n"/>
      <c r="C1611" s="40" t="n"/>
      <c r="D1611" s="40" t="n"/>
      <c r="E1611" s="34">
        <f t="array" ref="E1611">IF($B1611="","",IFERROR(INDEX(PERSONAL!$B$2:$B$80,MATCH($B1611,PERSONAL!$A$2:$A$80,0)),"NO EXISTE"))</f>
        <v/>
      </c>
      <c r="F1611" s="34">
        <f t="array" ref="F1611">IF($B1611="","",IFERROR(INDEX(PERSONAL!$C$2:$C$80,MATCH($B1611,PERSONAL!$A$2:$A$80,0)),""))</f>
        <v/>
      </c>
      <c r="G1611" s="34">
        <f>IF($A1611="","",CHOOSE(WEEKDAY($A1611,2),"LUNES","MARTES","MIÉRCOLES","JUEVES","VIERNES","SÁBADO","DOMINGO"))</f>
        <v/>
      </c>
      <c r="H1611" s="34">
        <f>IF($A1611="","",CHOOSE(MONTH($A1611),"ENERO","FEBRERO","MARZO","ABRIL","MAYO","JUNIO","JULIO","AGOSTO","SEPTIEMBRE","OCTUBRE","NOVIEMBRE","DICIEMBRE"))</f>
        <v/>
      </c>
      <c r="I1611" s="34">
        <f>IF($A1611="","",IF(OR($G1611="SÁBADO",$G1611="DOMINGO"),"FIN","LV"))</f>
        <v/>
      </c>
      <c r="J1611" s="34">
        <f>IF(OR($A1611="",$B1611=""),"",IF($L1611&lt;&gt;"",UPPER($L1611),IF($C1611="","FALTA",IFERROR(IF($C1611&gt;=$O1611,"ROJO FUERTE",IF($C1611&gt;=$N1611,"ROJO",IF($C1611&gt;=$M1611,"AMARILLO","VERDE"))),"REVISAR"))))</f>
        <v/>
      </c>
      <c r="K1611" s="36">
        <f>IF(OR($C1611="",$D1611=""),"",IF($D1611&gt;=$C1611,($D1611-$C1611)*24,(1-$C1611+$D1611)*24))</f>
        <v/>
      </c>
      <c r="L1611" s="34" t="n"/>
      <c r="M1611" s="53">
        <f t="array" ref="M1611">IFERROR(INDEX(EXCEPCIONES_FECHA!$D$2:$D$201,MATCH(1,(EXCEPCIONES_FECHA!$A$2:$A$201=$A1611)*(EXCEPCIONES_FECHA!$B$2:$B$201=$B1611),0)),IFERROR(INDEX(EXCEPCIONES_FECHA!$D$2:$D$201,MATCH(1,(EXCEPCIONES_FECHA!$A$2:$A$201=$A1611)*(EXCEPCIONES_FECHA!$B$2:$B$201=""),0)),IFERROR(INDEX(IF($I1611="FIN",HISTORIAL_HORARIOS!$J$2:$J$201,HISTORIAL_HORARIOS!$F$2:$F$201),MATCH(1,(HISTORIAL_HORARIOS!$A$2:$A$201=$B1611)*(HISTORIAL_HORARIOS!$C$2:$C$201&lt;=$A1611)*(HISTORIAL_HORARIOS!$D$2:$D$201&gt;=$A1611),0)),INDEX(IF($I1611="FIN",PERSONAL!$J$2:$J$80,PERSONAL!$F$2:$F$80),MATCH($B1611,PERSONAL!$A$2:$A$80,0)))))</f>
        <v/>
      </c>
      <c r="N1611" s="53">
        <f t="array" ref="N1611">IFERROR(INDEX(EXCEPCIONES_FECHA!$E$2:$E$201,MATCH(1,(EXCEPCIONES_FECHA!$A$2:$A$201=$A1611)*(EXCEPCIONES_FECHA!$B$2:$B$201=$B1611),0)),IFERROR(INDEX(EXCEPCIONES_FECHA!$E$2:$E$201,MATCH(1,(EXCEPCIONES_FECHA!$A$2:$A$201=$A1611)*(EXCEPCIONES_FECHA!$B$2:$B$201=""),0)),IFERROR(INDEX(IF($I1611="FIN",HISTORIAL_HORARIOS!$K$2:$K$201,HISTORIAL_HORARIOS!$G$2:$G$201),MATCH(1,(HISTORIAL_HORARIOS!$A$2:$A$201=$B1611)*(HISTORIAL_HORARIOS!$C$2:$C$201&lt;=$A1611)*(HISTORIAL_HORARIOS!$D$2:$D$201&gt;=$A1611),0)),INDEX(IF($I1611="FIN",PERSONAL!$K$2:$K$80,PERSONAL!$G$2:$G$80),MATCH($B1611,PERSONAL!$A$2:$A$80,0)))))</f>
        <v/>
      </c>
      <c r="O1611" s="53">
        <f t="array" ref="O1611">IFERROR(INDEX(EXCEPCIONES_FECHA!$F$2:$F$201,MATCH(1,(EXCEPCIONES_FECHA!$A$2:$A$201=$A1611)*(EXCEPCIONES_FECHA!$B$2:$B$201=$B1611),0)),IFERROR(INDEX(EXCEPCIONES_FECHA!$F$2:$F$201,MATCH(1,(EXCEPCIONES_FECHA!$A$2:$A$201=$A1611)*(EXCEPCIONES_FECHA!$B$2:$B$201=""),0)),IFERROR(INDEX(IF($I1611="FIN",HISTORIAL_HORARIOS!$L$2:$L$201,HISTORIAL_HORARIOS!$H$2:$H$201),MATCH(1,(HISTORIAL_HORARIOS!$A$2:$A$201=$B1611)*(HISTORIAL_HORARIOS!$C$2:$C$201&lt;=$A1611)*(HISTORIAL_HORARIOS!$D$2:$D$201&gt;=$A1611),0)),INDEX(IF($I1611="FIN",PERSONAL!$L$2:$L$80,PERSONAL!$H$2:$H$80),MATCH($B1611,PERSONAL!$A$2:$A$80,0)))))</f>
        <v/>
      </c>
    </row>
    <row r="1612" ht="15" customHeight="1" s="58">
      <c r="A1612" s="40" t="n"/>
      <c r="B1612" s="38" t="n"/>
      <c r="C1612" s="40" t="n"/>
      <c r="D1612" s="40" t="n"/>
      <c r="E1612" s="34">
        <f t="array" ref="E1612">IF($B1612="","",IFERROR(INDEX(PERSONAL!$B$2:$B$80,MATCH($B1612,PERSONAL!$A$2:$A$80,0)),"NO EXISTE"))</f>
        <v/>
      </c>
      <c r="F1612" s="34">
        <f t="array" ref="F1612">IF($B1612="","",IFERROR(INDEX(PERSONAL!$C$2:$C$80,MATCH($B1612,PERSONAL!$A$2:$A$80,0)),""))</f>
        <v/>
      </c>
      <c r="G1612" s="34">
        <f>IF($A1612="","",CHOOSE(WEEKDAY($A1612,2),"LUNES","MARTES","MIÉRCOLES","JUEVES","VIERNES","SÁBADO","DOMINGO"))</f>
        <v/>
      </c>
      <c r="H1612" s="34">
        <f>IF($A1612="","",CHOOSE(MONTH($A1612),"ENERO","FEBRERO","MARZO","ABRIL","MAYO","JUNIO","JULIO","AGOSTO","SEPTIEMBRE","OCTUBRE","NOVIEMBRE","DICIEMBRE"))</f>
        <v/>
      </c>
      <c r="I1612" s="34">
        <f>IF($A1612="","",IF(OR($G1612="SÁBADO",$G1612="DOMINGO"),"FIN","LV"))</f>
        <v/>
      </c>
      <c r="J1612" s="34">
        <f>IF(OR($A1612="",$B1612=""),"",IF($L1612&lt;&gt;"",UPPER($L1612),IF($C1612="","FALTA",IFERROR(IF($C1612&gt;=$O1612,"ROJO FUERTE",IF($C1612&gt;=$N1612,"ROJO",IF($C1612&gt;=$M1612,"AMARILLO","VERDE"))),"REVISAR"))))</f>
        <v/>
      </c>
      <c r="K1612" s="36">
        <f>IF(OR($C1612="",$D1612=""),"",IF($D1612&gt;=$C1612,($D1612-$C1612)*24,(1-$C1612+$D1612)*24))</f>
        <v/>
      </c>
      <c r="L1612" s="34" t="n"/>
      <c r="M1612" s="53">
        <f t="array" ref="M1612">IFERROR(INDEX(EXCEPCIONES_FECHA!$D$2:$D$201,MATCH(1,(EXCEPCIONES_FECHA!$A$2:$A$201=$A1612)*(EXCEPCIONES_FECHA!$B$2:$B$201=$B1612),0)),IFERROR(INDEX(EXCEPCIONES_FECHA!$D$2:$D$201,MATCH(1,(EXCEPCIONES_FECHA!$A$2:$A$201=$A1612)*(EXCEPCIONES_FECHA!$B$2:$B$201=""),0)),IFERROR(INDEX(IF($I1612="FIN",HISTORIAL_HORARIOS!$J$2:$J$201,HISTORIAL_HORARIOS!$F$2:$F$201),MATCH(1,(HISTORIAL_HORARIOS!$A$2:$A$201=$B1612)*(HISTORIAL_HORARIOS!$C$2:$C$201&lt;=$A1612)*(HISTORIAL_HORARIOS!$D$2:$D$201&gt;=$A1612),0)),INDEX(IF($I1612="FIN",PERSONAL!$J$2:$J$80,PERSONAL!$F$2:$F$80),MATCH($B1612,PERSONAL!$A$2:$A$80,0)))))</f>
        <v/>
      </c>
      <c r="N1612" s="53">
        <f t="array" ref="N1612">IFERROR(INDEX(EXCEPCIONES_FECHA!$E$2:$E$201,MATCH(1,(EXCEPCIONES_FECHA!$A$2:$A$201=$A1612)*(EXCEPCIONES_FECHA!$B$2:$B$201=$B1612),0)),IFERROR(INDEX(EXCEPCIONES_FECHA!$E$2:$E$201,MATCH(1,(EXCEPCIONES_FECHA!$A$2:$A$201=$A1612)*(EXCEPCIONES_FECHA!$B$2:$B$201=""),0)),IFERROR(INDEX(IF($I1612="FIN",HISTORIAL_HORARIOS!$K$2:$K$201,HISTORIAL_HORARIOS!$G$2:$G$201),MATCH(1,(HISTORIAL_HORARIOS!$A$2:$A$201=$B1612)*(HISTORIAL_HORARIOS!$C$2:$C$201&lt;=$A1612)*(HISTORIAL_HORARIOS!$D$2:$D$201&gt;=$A1612),0)),INDEX(IF($I1612="FIN",PERSONAL!$K$2:$K$80,PERSONAL!$G$2:$G$80),MATCH($B1612,PERSONAL!$A$2:$A$80,0)))))</f>
        <v/>
      </c>
      <c r="O1612" s="53">
        <f t="array" ref="O1612">IFERROR(INDEX(EXCEPCIONES_FECHA!$F$2:$F$201,MATCH(1,(EXCEPCIONES_FECHA!$A$2:$A$201=$A1612)*(EXCEPCIONES_FECHA!$B$2:$B$201=$B1612),0)),IFERROR(INDEX(EXCEPCIONES_FECHA!$F$2:$F$201,MATCH(1,(EXCEPCIONES_FECHA!$A$2:$A$201=$A1612)*(EXCEPCIONES_FECHA!$B$2:$B$201=""),0)),IFERROR(INDEX(IF($I1612="FIN",HISTORIAL_HORARIOS!$L$2:$L$201,HISTORIAL_HORARIOS!$H$2:$H$201),MATCH(1,(HISTORIAL_HORARIOS!$A$2:$A$201=$B1612)*(HISTORIAL_HORARIOS!$C$2:$C$201&lt;=$A1612)*(HISTORIAL_HORARIOS!$D$2:$D$201&gt;=$A1612),0)),INDEX(IF($I1612="FIN",PERSONAL!$L$2:$L$80,PERSONAL!$H$2:$H$80),MATCH($B1612,PERSONAL!$A$2:$A$80,0)))))</f>
        <v/>
      </c>
    </row>
    <row r="1613" ht="15" customHeight="1" s="58">
      <c r="A1613" s="40" t="n"/>
      <c r="B1613" s="38" t="n"/>
      <c r="C1613" s="40" t="n"/>
      <c r="D1613" s="40" t="n"/>
      <c r="E1613" s="34">
        <f t="array" ref="E1613">IF($B1613="","",IFERROR(INDEX(PERSONAL!$B$2:$B$80,MATCH($B1613,PERSONAL!$A$2:$A$80,0)),"NO EXISTE"))</f>
        <v/>
      </c>
      <c r="F1613" s="34">
        <f t="array" ref="F1613">IF($B1613="","",IFERROR(INDEX(PERSONAL!$C$2:$C$80,MATCH($B1613,PERSONAL!$A$2:$A$80,0)),""))</f>
        <v/>
      </c>
      <c r="G1613" s="34">
        <f>IF($A1613="","",CHOOSE(WEEKDAY($A1613,2),"LUNES","MARTES","MIÉRCOLES","JUEVES","VIERNES","SÁBADO","DOMINGO"))</f>
        <v/>
      </c>
      <c r="H1613" s="34">
        <f>IF($A1613="","",CHOOSE(MONTH($A1613),"ENERO","FEBRERO","MARZO","ABRIL","MAYO","JUNIO","JULIO","AGOSTO","SEPTIEMBRE","OCTUBRE","NOVIEMBRE","DICIEMBRE"))</f>
        <v/>
      </c>
      <c r="I1613" s="34">
        <f>IF($A1613="","",IF(OR($G1613="SÁBADO",$G1613="DOMINGO"),"FIN","LV"))</f>
        <v/>
      </c>
      <c r="J1613" s="34">
        <f>IF(OR($A1613="",$B1613=""),"",IF($L1613&lt;&gt;"",UPPER($L1613),IF($C1613="","FALTA",IFERROR(IF($C1613&gt;=$O1613,"ROJO FUERTE",IF($C1613&gt;=$N1613,"ROJO",IF($C1613&gt;=$M1613,"AMARILLO","VERDE"))),"REVISAR"))))</f>
        <v/>
      </c>
      <c r="K1613" s="36">
        <f>IF(OR($C1613="",$D1613=""),"",IF($D1613&gt;=$C1613,($D1613-$C1613)*24,(1-$C1613+$D1613)*24))</f>
        <v/>
      </c>
      <c r="L1613" s="34" t="n"/>
      <c r="M1613" s="53">
        <f t="array" ref="M1613">IFERROR(INDEX(EXCEPCIONES_FECHA!$D$2:$D$201,MATCH(1,(EXCEPCIONES_FECHA!$A$2:$A$201=$A1613)*(EXCEPCIONES_FECHA!$B$2:$B$201=$B1613),0)),IFERROR(INDEX(EXCEPCIONES_FECHA!$D$2:$D$201,MATCH(1,(EXCEPCIONES_FECHA!$A$2:$A$201=$A1613)*(EXCEPCIONES_FECHA!$B$2:$B$201=""),0)),IFERROR(INDEX(IF($I1613="FIN",HISTORIAL_HORARIOS!$J$2:$J$201,HISTORIAL_HORARIOS!$F$2:$F$201),MATCH(1,(HISTORIAL_HORARIOS!$A$2:$A$201=$B1613)*(HISTORIAL_HORARIOS!$C$2:$C$201&lt;=$A1613)*(HISTORIAL_HORARIOS!$D$2:$D$201&gt;=$A1613),0)),INDEX(IF($I1613="FIN",PERSONAL!$J$2:$J$80,PERSONAL!$F$2:$F$80),MATCH($B1613,PERSONAL!$A$2:$A$80,0)))))</f>
        <v/>
      </c>
      <c r="N1613" s="53">
        <f t="array" ref="N1613">IFERROR(INDEX(EXCEPCIONES_FECHA!$E$2:$E$201,MATCH(1,(EXCEPCIONES_FECHA!$A$2:$A$201=$A1613)*(EXCEPCIONES_FECHA!$B$2:$B$201=$B1613),0)),IFERROR(INDEX(EXCEPCIONES_FECHA!$E$2:$E$201,MATCH(1,(EXCEPCIONES_FECHA!$A$2:$A$201=$A1613)*(EXCEPCIONES_FECHA!$B$2:$B$201=""),0)),IFERROR(INDEX(IF($I1613="FIN",HISTORIAL_HORARIOS!$K$2:$K$201,HISTORIAL_HORARIOS!$G$2:$G$201),MATCH(1,(HISTORIAL_HORARIOS!$A$2:$A$201=$B1613)*(HISTORIAL_HORARIOS!$C$2:$C$201&lt;=$A1613)*(HISTORIAL_HORARIOS!$D$2:$D$201&gt;=$A1613),0)),INDEX(IF($I1613="FIN",PERSONAL!$K$2:$K$80,PERSONAL!$G$2:$G$80),MATCH($B1613,PERSONAL!$A$2:$A$80,0)))))</f>
        <v/>
      </c>
      <c r="O1613" s="53">
        <f t="array" ref="O1613">IFERROR(INDEX(EXCEPCIONES_FECHA!$F$2:$F$201,MATCH(1,(EXCEPCIONES_FECHA!$A$2:$A$201=$A1613)*(EXCEPCIONES_FECHA!$B$2:$B$201=$B1613),0)),IFERROR(INDEX(EXCEPCIONES_FECHA!$F$2:$F$201,MATCH(1,(EXCEPCIONES_FECHA!$A$2:$A$201=$A1613)*(EXCEPCIONES_FECHA!$B$2:$B$201=""),0)),IFERROR(INDEX(IF($I1613="FIN",HISTORIAL_HORARIOS!$L$2:$L$201,HISTORIAL_HORARIOS!$H$2:$H$201),MATCH(1,(HISTORIAL_HORARIOS!$A$2:$A$201=$B1613)*(HISTORIAL_HORARIOS!$C$2:$C$201&lt;=$A1613)*(HISTORIAL_HORARIOS!$D$2:$D$201&gt;=$A1613),0)),INDEX(IF($I1613="FIN",PERSONAL!$L$2:$L$80,PERSONAL!$H$2:$H$80),MATCH($B1613,PERSONAL!$A$2:$A$80,0)))))</f>
        <v/>
      </c>
    </row>
    <row r="1614" ht="15" customHeight="1" s="58">
      <c r="A1614" s="40" t="n"/>
      <c r="B1614" s="38" t="n"/>
      <c r="C1614" s="40" t="n"/>
      <c r="D1614" s="40" t="n"/>
      <c r="E1614" s="34">
        <f t="array" ref="E1614">IF($B1614="","",IFERROR(INDEX(PERSONAL!$B$2:$B$80,MATCH($B1614,PERSONAL!$A$2:$A$80,0)),"NO EXISTE"))</f>
        <v/>
      </c>
      <c r="F1614" s="34">
        <f t="array" ref="F1614">IF($B1614="","",IFERROR(INDEX(PERSONAL!$C$2:$C$80,MATCH($B1614,PERSONAL!$A$2:$A$80,0)),""))</f>
        <v/>
      </c>
      <c r="G1614" s="34">
        <f>IF($A1614="","",CHOOSE(WEEKDAY($A1614,2),"LUNES","MARTES","MIÉRCOLES","JUEVES","VIERNES","SÁBADO","DOMINGO"))</f>
        <v/>
      </c>
      <c r="H1614" s="34">
        <f>IF($A1614="","",CHOOSE(MONTH($A1614),"ENERO","FEBRERO","MARZO","ABRIL","MAYO","JUNIO","JULIO","AGOSTO","SEPTIEMBRE","OCTUBRE","NOVIEMBRE","DICIEMBRE"))</f>
        <v/>
      </c>
      <c r="I1614" s="34">
        <f>IF($A1614="","",IF(OR($G1614="SÁBADO",$G1614="DOMINGO"),"FIN","LV"))</f>
        <v/>
      </c>
      <c r="J1614" s="34">
        <f>IF(OR($A1614="",$B1614=""),"",IF($L1614&lt;&gt;"",UPPER($L1614),IF($C1614="","FALTA",IFERROR(IF($C1614&gt;=$O1614,"ROJO FUERTE",IF($C1614&gt;=$N1614,"ROJO",IF($C1614&gt;=$M1614,"AMARILLO","VERDE"))),"REVISAR"))))</f>
        <v/>
      </c>
      <c r="K1614" s="36">
        <f>IF(OR($C1614="",$D1614=""),"",IF($D1614&gt;=$C1614,($D1614-$C1614)*24,(1-$C1614+$D1614)*24))</f>
        <v/>
      </c>
      <c r="L1614" s="34" t="n"/>
      <c r="M1614" s="53">
        <f t="array" ref="M1614">IFERROR(INDEX(EXCEPCIONES_FECHA!$D$2:$D$201,MATCH(1,(EXCEPCIONES_FECHA!$A$2:$A$201=$A1614)*(EXCEPCIONES_FECHA!$B$2:$B$201=$B1614),0)),IFERROR(INDEX(EXCEPCIONES_FECHA!$D$2:$D$201,MATCH(1,(EXCEPCIONES_FECHA!$A$2:$A$201=$A1614)*(EXCEPCIONES_FECHA!$B$2:$B$201=""),0)),IFERROR(INDEX(IF($I1614="FIN",HISTORIAL_HORARIOS!$J$2:$J$201,HISTORIAL_HORARIOS!$F$2:$F$201),MATCH(1,(HISTORIAL_HORARIOS!$A$2:$A$201=$B1614)*(HISTORIAL_HORARIOS!$C$2:$C$201&lt;=$A1614)*(HISTORIAL_HORARIOS!$D$2:$D$201&gt;=$A1614),0)),INDEX(IF($I1614="FIN",PERSONAL!$J$2:$J$80,PERSONAL!$F$2:$F$80),MATCH($B1614,PERSONAL!$A$2:$A$80,0)))))</f>
        <v/>
      </c>
      <c r="N1614" s="53">
        <f t="array" ref="N1614">IFERROR(INDEX(EXCEPCIONES_FECHA!$E$2:$E$201,MATCH(1,(EXCEPCIONES_FECHA!$A$2:$A$201=$A1614)*(EXCEPCIONES_FECHA!$B$2:$B$201=$B1614),0)),IFERROR(INDEX(EXCEPCIONES_FECHA!$E$2:$E$201,MATCH(1,(EXCEPCIONES_FECHA!$A$2:$A$201=$A1614)*(EXCEPCIONES_FECHA!$B$2:$B$201=""),0)),IFERROR(INDEX(IF($I1614="FIN",HISTORIAL_HORARIOS!$K$2:$K$201,HISTORIAL_HORARIOS!$G$2:$G$201),MATCH(1,(HISTORIAL_HORARIOS!$A$2:$A$201=$B1614)*(HISTORIAL_HORARIOS!$C$2:$C$201&lt;=$A1614)*(HISTORIAL_HORARIOS!$D$2:$D$201&gt;=$A1614),0)),INDEX(IF($I1614="FIN",PERSONAL!$K$2:$K$80,PERSONAL!$G$2:$G$80),MATCH($B1614,PERSONAL!$A$2:$A$80,0)))))</f>
        <v/>
      </c>
      <c r="O1614" s="53">
        <f t="array" ref="O1614">IFERROR(INDEX(EXCEPCIONES_FECHA!$F$2:$F$201,MATCH(1,(EXCEPCIONES_FECHA!$A$2:$A$201=$A1614)*(EXCEPCIONES_FECHA!$B$2:$B$201=$B1614),0)),IFERROR(INDEX(EXCEPCIONES_FECHA!$F$2:$F$201,MATCH(1,(EXCEPCIONES_FECHA!$A$2:$A$201=$A1614)*(EXCEPCIONES_FECHA!$B$2:$B$201=""),0)),IFERROR(INDEX(IF($I1614="FIN",HISTORIAL_HORARIOS!$L$2:$L$201,HISTORIAL_HORARIOS!$H$2:$H$201),MATCH(1,(HISTORIAL_HORARIOS!$A$2:$A$201=$B1614)*(HISTORIAL_HORARIOS!$C$2:$C$201&lt;=$A1614)*(HISTORIAL_HORARIOS!$D$2:$D$201&gt;=$A1614),0)),INDEX(IF($I1614="FIN",PERSONAL!$L$2:$L$80,PERSONAL!$H$2:$H$80),MATCH($B1614,PERSONAL!$A$2:$A$80,0)))))</f>
        <v/>
      </c>
    </row>
    <row r="1615" ht="15" customHeight="1" s="58">
      <c r="A1615" s="40" t="n"/>
      <c r="B1615" s="38" t="n"/>
      <c r="C1615" s="40" t="n"/>
      <c r="D1615" s="40" t="n"/>
      <c r="E1615" s="34">
        <f t="array" ref="E1615">IF($B1615="","",IFERROR(INDEX(PERSONAL!$B$2:$B$80,MATCH($B1615,PERSONAL!$A$2:$A$80,0)),"NO EXISTE"))</f>
        <v/>
      </c>
      <c r="F1615" s="34">
        <f t="array" ref="F1615">IF($B1615="","",IFERROR(INDEX(PERSONAL!$C$2:$C$80,MATCH($B1615,PERSONAL!$A$2:$A$80,0)),""))</f>
        <v/>
      </c>
      <c r="G1615" s="34">
        <f>IF($A1615="","",CHOOSE(WEEKDAY($A1615,2),"LUNES","MARTES","MIÉRCOLES","JUEVES","VIERNES","SÁBADO","DOMINGO"))</f>
        <v/>
      </c>
      <c r="H1615" s="34">
        <f>IF($A1615="","",CHOOSE(MONTH($A1615),"ENERO","FEBRERO","MARZO","ABRIL","MAYO","JUNIO","JULIO","AGOSTO","SEPTIEMBRE","OCTUBRE","NOVIEMBRE","DICIEMBRE"))</f>
        <v/>
      </c>
      <c r="I1615" s="34">
        <f>IF($A1615="","",IF(OR($G1615="SÁBADO",$G1615="DOMINGO"),"FIN","LV"))</f>
        <v/>
      </c>
      <c r="J1615" s="34">
        <f>IF(OR($A1615="",$B1615=""),"",IF($L1615&lt;&gt;"",UPPER($L1615),IF($C1615="","FALTA",IFERROR(IF($C1615&gt;=$O1615,"ROJO FUERTE",IF($C1615&gt;=$N1615,"ROJO",IF($C1615&gt;=$M1615,"AMARILLO","VERDE"))),"REVISAR"))))</f>
        <v/>
      </c>
      <c r="K1615" s="36">
        <f>IF(OR($C1615="",$D1615=""),"",IF($D1615&gt;=$C1615,($D1615-$C1615)*24,(1-$C1615+$D1615)*24))</f>
        <v/>
      </c>
      <c r="L1615" s="34" t="n"/>
      <c r="M1615" s="53">
        <f t="array" ref="M1615">IFERROR(INDEX(EXCEPCIONES_FECHA!$D$2:$D$201,MATCH(1,(EXCEPCIONES_FECHA!$A$2:$A$201=$A1615)*(EXCEPCIONES_FECHA!$B$2:$B$201=$B1615),0)),IFERROR(INDEX(EXCEPCIONES_FECHA!$D$2:$D$201,MATCH(1,(EXCEPCIONES_FECHA!$A$2:$A$201=$A1615)*(EXCEPCIONES_FECHA!$B$2:$B$201=""),0)),IFERROR(INDEX(IF($I1615="FIN",HISTORIAL_HORARIOS!$J$2:$J$201,HISTORIAL_HORARIOS!$F$2:$F$201),MATCH(1,(HISTORIAL_HORARIOS!$A$2:$A$201=$B1615)*(HISTORIAL_HORARIOS!$C$2:$C$201&lt;=$A1615)*(HISTORIAL_HORARIOS!$D$2:$D$201&gt;=$A1615),0)),INDEX(IF($I1615="FIN",PERSONAL!$J$2:$J$80,PERSONAL!$F$2:$F$80),MATCH($B1615,PERSONAL!$A$2:$A$80,0)))))</f>
        <v/>
      </c>
      <c r="N1615" s="53">
        <f t="array" ref="N1615">IFERROR(INDEX(EXCEPCIONES_FECHA!$E$2:$E$201,MATCH(1,(EXCEPCIONES_FECHA!$A$2:$A$201=$A1615)*(EXCEPCIONES_FECHA!$B$2:$B$201=$B1615),0)),IFERROR(INDEX(EXCEPCIONES_FECHA!$E$2:$E$201,MATCH(1,(EXCEPCIONES_FECHA!$A$2:$A$201=$A1615)*(EXCEPCIONES_FECHA!$B$2:$B$201=""),0)),IFERROR(INDEX(IF($I1615="FIN",HISTORIAL_HORARIOS!$K$2:$K$201,HISTORIAL_HORARIOS!$G$2:$G$201),MATCH(1,(HISTORIAL_HORARIOS!$A$2:$A$201=$B1615)*(HISTORIAL_HORARIOS!$C$2:$C$201&lt;=$A1615)*(HISTORIAL_HORARIOS!$D$2:$D$201&gt;=$A1615),0)),INDEX(IF($I1615="FIN",PERSONAL!$K$2:$K$80,PERSONAL!$G$2:$G$80),MATCH($B1615,PERSONAL!$A$2:$A$80,0)))))</f>
        <v/>
      </c>
      <c r="O1615" s="53">
        <f t="array" ref="O1615">IFERROR(INDEX(EXCEPCIONES_FECHA!$F$2:$F$201,MATCH(1,(EXCEPCIONES_FECHA!$A$2:$A$201=$A1615)*(EXCEPCIONES_FECHA!$B$2:$B$201=$B1615),0)),IFERROR(INDEX(EXCEPCIONES_FECHA!$F$2:$F$201,MATCH(1,(EXCEPCIONES_FECHA!$A$2:$A$201=$A1615)*(EXCEPCIONES_FECHA!$B$2:$B$201=""),0)),IFERROR(INDEX(IF($I1615="FIN",HISTORIAL_HORARIOS!$L$2:$L$201,HISTORIAL_HORARIOS!$H$2:$H$201),MATCH(1,(HISTORIAL_HORARIOS!$A$2:$A$201=$B1615)*(HISTORIAL_HORARIOS!$C$2:$C$201&lt;=$A1615)*(HISTORIAL_HORARIOS!$D$2:$D$201&gt;=$A1615),0)),INDEX(IF($I1615="FIN",PERSONAL!$L$2:$L$80,PERSONAL!$H$2:$H$80),MATCH($B1615,PERSONAL!$A$2:$A$80,0)))))</f>
        <v/>
      </c>
    </row>
    <row r="1616" ht="15" customHeight="1" s="58">
      <c r="A1616" s="40" t="n"/>
      <c r="B1616" s="38" t="n"/>
      <c r="C1616" s="40" t="n"/>
      <c r="D1616" s="40" t="n"/>
      <c r="E1616" s="34">
        <f t="array" ref="E1616">IF($B1616="","",IFERROR(INDEX(PERSONAL!$B$2:$B$80,MATCH($B1616,PERSONAL!$A$2:$A$80,0)),"NO EXISTE"))</f>
        <v/>
      </c>
      <c r="F1616" s="34">
        <f t="array" ref="F1616">IF($B1616="","",IFERROR(INDEX(PERSONAL!$C$2:$C$80,MATCH($B1616,PERSONAL!$A$2:$A$80,0)),""))</f>
        <v/>
      </c>
      <c r="G1616" s="34">
        <f>IF($A1616="","",CHOOSE(WEEKDAY($A1616,2),"LUNES","MARTES","MIÉRCOLES","JUEVES","VIERNES","SÁBADO","DOMINGO"))</f>
        <v/>
      </c>
      <c r="H1616" s="34">
        <f>IF($A1616="","",CHOOSE(MONTH($A1616),"ENERO","FEBRERO","MARZO","ABRIL","MAYO","JUNIO","JULIO","AGOSTO","SEPTIEMBRE","OCTUBRE","NOVIEMBRE","DICIEMBRE"))</f>
        <v/>
      </c>
      <c r="I1616" s="34">
        <f>IF($A1616="","",IF(OR($G1616="SÁBADO",$G1616="DOMINGO"),"FIN","LV"))</f>
        <v/>
      </c>
      <c r="J1616" s="34">
        <f>IF(OR($A1616="",$B1616=""),"",IF($L1616&lt;&gt;"",UPPER($L1616),IF($C1616="","FALTA",IFERROR(IF($C1616&gt;=$O1616,"ROJO FUERTE",IF($C1616&gt;=$N1616,"ROJO",IF($C1616&gt;=$M1616,"AMARILLO","VERDE"))),"REVISAR"))))</f>
        <v/>
      </c>
      <c r="K1616" s="36">
        <f>IF(OR($C1616="",$D1616=""),"",IF($D1616&gt;=$C1616,($D1616-$C1616)*24,(1-$C1616+$D1616)*24))</f>
        <v/>
      </c>
      <c r="L1616" s="34" t="n"/>
      <c r="M1616" s="53">
        <f t="array" ref="M1616">IFERROR(INDEX(EXCEPCIONES_FECHA!$D$2:$D$201,MATCH(1,(EXCEPCIONES_FECHA!$A$2:$A$201=$A1616)*(EXCEPCIONES_FECHA!$B$2:$B$201=$B1616),0)),IFERROR(INDEX(EXCEPCIONES_FECHA!$D$2:$D$201,MATCH(1,(EXCEPCIONES_FECHA!$A$2:$A$201=$A1616)*(EXCEPCIONES_FECHA!$B$2:$B$201=""),0)),IFERROR(INDEX(IF($I1616="FIN",HISTORIAL_HORARIOS!$J$2:$J$201,HISTORIAL_HORARIOS!$F$2:$F$201),MATCH(1,(HISTORIAL_HORARIOS!$A$2:$A$201=$B1616)*(HISTORIAL_HORARIOS!$C$2:$C$201&lt;=$A1616)*(HISTORIAL_HORARIOS!$D$2:$D$201&gt;=$A1616),0)),INDEX(IF($I1616="FIN",PERSONAL!$J$2:$J$80,PERSONAL!$F$2:$F$80),MATCH($B1616,PERSONAL!$A$2:$A$80,0)))))</f>
        <v/>
      </c>
      <c r="N1616" s="53">
        <f t="array" ref="N1616">IFERROR(INDEX(EXCEPCIONES_FECHA!$E$2:$E$201,MATCH(1,(EXCEPCIONES_FECHA!$A$2:$A$201=$A1616)*(EXCEPCIONES_FECHA!$B$2:$B$201=$B1616),0)),IFERROR(INDEX(EXCEPCIONES_FECHA!$E$2:$E$201,MATCH(1,(EXCEPCIONES_FECHA!$A$2:$A$201=$A1616)*(EXCEPCIONES_FECHA!$B$2:$B$201=""),0)),IFERROR(INDEX(IF($I1616="FIN",HISTORIAL_HORARIOS!$K$2:$K$201,HISTORIAL_HORARIOS!$G$2:$G$201),MATCH(1,(HISTORIAL_HORARIOS!$A$2:$A$201=$B1616)*(HISTORIAL_HORARIOS!$C$2:$C$201&lt;=$A1616)*(HISTORIAL_HORARIOS!$D$2:$D$201&gt;=$A1616),0)),INDEX(IF($I1616="FIN",PERSONAL!$K$2:$K$80,PERSONAL!$G$2:$G$80),MATCH($B1616,PERSONAL!$A$2:$A$80,0)))))</f>
        <v/>
      </c>
      <c r="O1616" s="53">
        <f t="array" ref="O1616">IFERROR(INDEX(EXCEPCIONES_FECHA!$F$2:$F$201,MATCH(1,(EXCEPCIONES_FECHA!$A$2:$A$201=$A1616)*(EXCEPCIONES_FECHA!$B$2:$B$201=$B1616),0)),IFERROR(INDEX(EXCEPCIONES_FECHA!$F$2:$F$201,MATCH(1,(EXCEPCIONES_FECHA!$A$2:$A$201=$A1616)*(EXCEPCIONES_FECHA!$B$2:$B$201=""),0)),IFERROR(INDEX(IF($I1616="FIN",HISTORIAL_HORARIOS!$L$2:$L$201,HISTORIAL_HORARIOS!$H$2:$H$201),MATCH(1,(HISTORIAL_HORARIOS!$A$2:$A$201=$B1616)*(HISTORIAL_HORARIOS!$C$2:$C$201&lt;=$A1616)*(HISTORIAL_HORARIOS!$D$2:$D$201&gt;=$A1616),0)),INDEX(IF($I1616="FIN",PERSONAL!$L$2:$L$80,PERSONAL!$H$2:$H$80),MATCH($B1616,PERSONAL!$A$2:$A$80,0)))))</f>
        <v/>
      </c>
    </row>
    <row r="1617" ht="15" customHeight="1" s="58">
      <c r="A1617" s="40" t="n"/>
      <c r="B1617" s="38" t="n"/>
      <c r="C1617" s="40" t="n"/>
      <c r="D1617" s="40" t="n"/>
      <c r="E1617" s="34">
        <f t="array" ref="E1617">IF($B1617="","",IFERROR(INDEX(PERSONAL!$B$2:$B$80,MATCH($B1617,PERSONAL!$A$2:$A$80,0)),"NO EXISTE"))</f>
        <v/>
      </c>
      <c r="F1617" s="34">
        <f t="array" ref="F1617">IF($B1617="","",IFERROR(INDEX(PERSONAL!$C$2:$C$80,MATCH($B1617,PERSONAL!$A$2:$A$80,0)),""))</f>
        <v/>
      </c>
      <c r="G1617" s="34">
        <f>IF($A1617="","",CHOOSE(WEEKDAY($A1617,2),"LUNES","MARTES","MIÉRCOLES","JUEVES","VIERNES","SÁBADO","DOMINGO"))</f>
        <v/>
      </c>
      <c r="H1617" s="34">
        <f>IF($A1617="","",CHOOSE(MONTH($A1617),"ENERO","FEBRERO","MARZO","ABRIL","MAYO","JUNIO","JULIO","AGOSTO","SEPTIEMBRE","OCTUBRE","NOVIEMBRE","DICIEMBRE"))</f>
        <v/>
      </c>
      <c r="I1617" s="34">
        <f>IF($A1617="","",IF(OR($G1617="SÁBADO",$G1617="DOMINGO"),"FIN","LV"))</f>
        <v/>
      </c>
      <c r="J1617" s="34">
        <f>IF(OR($A1617="",$B1617=""),"",IF($L1617&lt;&gt;"",UPPER($L1617),IF($C1617="","FALTA",IFERROR(IF($C1617&gt;=$O1617,"ROJO FUERTE",IF($C1617&gt;=$N1617,"ROJO",IF($C1617&gt;=$M1617,"AMARILLO","VERDE"))),"REVISAR"))))</f>
        <v/>
      </c>
      <c r="K1617" s="36">
        <f>IF(OR($C1617="",$D1617=""),"",IF($D1617&gt;=$C1617,($D1617-$C1617)*24,(1-$C1617+$D1617)*24))</f>
        <v/>
      </c>
      <c r="L1617" s="34" t="n"/>
      <c r="M1617" s="53">
        <f t="array" ref="M1617">IFERROR(INDEX(EXCEPCIONES_FECHA!$D$2:$D$201,MATCH(1,(EXCEPCIONES_FECHA!$A$2:$A$201=$A1617)*(EXCEPCIONES_FECHA!$B$2:$B$201=$B1617),0)),IFERROR(INDEX(EXCEPCIONES_FECHA!$D$2:$D$201,MATCH(1,(EXCEPCIONES_FECHA!$A$2:$A$201=$A1617)*(EXCEPCIONES_FECHA!$B$2:$B$201=""),0)),IFERROR(INDEX(IF($I1617="FIN",HISTORIAL_HORARIOS!$J$2:$J$201,HISTORIAL_HORARIOS!$F$2:$F$201),MATCH(1,(HISTORIAL_HORARIOS!$A$2:$A$201=$B1617)*(HISTORIAL_HORARIOS!$C$2:$C$201&lt;=$A1617)*(HISTORIAL_HORARIOS!$D$2:$D$201&gt;=$A1617),0)),INDEX(IF($I1617="FIN",PERSONAL!$J$2:$J$80,PERSONAL!$F$2:$F$80),MATCH($B1617,PERSONAL!$A$2:$A$80,0)))))</f>
        <v/>
      </c>
      <c r="N1617" s="53">
        <f t="array" ref="N1617">IFERROR(INDEX(EXCEPCIONES_FECHA!$E$2:$E$201,MATCH(1,(EXCEPCIONES_FECHA!$A$2:$A$201=$A1617)*(EXCEPCIONES_FECHA!$B$2:$B$201=$B1617),0)),IFERROR(INDEX(EXCEPCIONES_FECHA!$E$2:$E$201,MATCH(1,(EXCEPCIONES_FECHA!$A$2:$A$201=$A1617)*(EXCEPCIONES_FECHA!$B$2:$B$201=""),0)),IFERROR(INDEX(IF($I1617="FIN",HISTORIAL_HORARIOS!$K$2:$K$201,HISTORIAL_HORARIOS!$G$2:$G$201),MATCH(1,(HISTORIAL_HORARIOS!$A$2:$A$201=$B1617)*(HISTORIAL_HORARIOS!$C$2:$C$201&lt;=$A1617)*(HISTORIAL_HORARIOS!$D$2:$D$201&gt;=$A1617),0)),INDEX(IF($I1617="FIN",PERSONAL!$K$2:$K$80,PERSONAL!$G$2:$G$80),MATCH($B1617,PERSONAL!$A$2:$A$80,0)))))</f>
        <v/>
      </c>
      <c r="O1617" s="53">
        <f t="array" ref="O1617">IFERROR(INDEX(EXCEPCIONES_FECHA!$F$2:$F$201,MATCH(1,(EXCEPCIONES_FECHA!$A$2:$A$201=$A1617)*(EXCEPCIONES_FECHA!$B$2:$B$201=$B1617),0)),IFERROR(INDEX(EXCEPCIONES_FECHA!$F$2:$F$201,MATCH(1,(EXCEPCIONES_FECHA!$A$2:$A$201=$A1617)*(EXCEPCIONES_FECHA!$B$2:$B$201=""),0)),IFERROR(INDEX(IF($I1617="FIN",HISTORIAL_HORARIOS!$L$2:$L$201,HISTORIAL_HORARIOS!$H$2:$H$201),MATCH(1,(HISTORIAL_HORARIOS!$A$2:$A$201=$B1617)*(HISTORIAL_HORARIOS!$C$2:$C$201&lt;=$A1617)*(HISTORIAL_HORARIOS!$D$2:$D$201&gt;=$A1617),0)),INDEX(IF($I1617="FIN",PERSONAL!$L$2:$L$80,PERSONAL!$H$2:$H$80),MATCH($B1617,PERSONAL!$A$2:$A$80,0)))))</f>
        <v/>
      </c>
    </row>
    <row r="1618" ht="15" customHeight="1" s="58">
      <c r="A1618" s="40" t="n"/>
      <c r="B1618" s="38" t="n"/>
      <c r="C1618" s="40" t="n"/>
      <c r="D1618" s="40" t="n"/>
      <c r="E1618" s="34">
        <f t="array" ref="E1618">IF($B1618="","",IFERROR(INDEX(PERSONAL!$B$2:$B$80,MATCH($B1618,PERSONAL!$A$2:$A$80,0)),"NO EXISTE"))</f>
        <v/>
      </c>
      <c r="F1618" s="34">
        <f t="array" ref="F1618">IF($B1618="","",IFERROR(INDEX(PERSONAL!$C$2:$C$80,MATCH($B1618,PERSONAL!$A$2:$A$80,0)),""))</f>
        <v/>
      </c>
      <c r="G1618" s="34">
        <f>IF($A1618="","",CHOOSE(WEEKDAY($A1618,2),"LUNES","MARTES","MIÉRCOLES","JUEVES","VIERNES","SÁBADO","DOMINGO"))</f>
        <v/>
      </c>
      <c r="H1618" s="34">
        <f>IF($A1618="","",CHOOSE(MONTH($A1618),"ENERO","FEBRERO","MARZO","ABRIL","MAYO","JUNIO","JULIO","AGOSTO","SEPTIEMBRE","OCTUBRE","NOVIEMBRE","DICIEMBRE"))</f>
        <v/>
      </c>
      <c r="I1618" s="34">
        <f>IF($A1618="","",IF(OR($G1618="SÁBADO",$G1618="DOMINGO"),"FIN","LV"))</f>
        <v/>
      </c>
      <c r="J1618" s="34">
        <f>IF(OR($A1618="",$B1618=""),"",IF($L1618&lt;&gt;"",UPPER($L1618),IF($C1618="","FALTA",IFERROR(IF($C1618&gt;=$O1618,"ROJO FUERTE",IF($C1618&gt;=$N1618,"ROJO",IF($C1618&gt;=$M1618,"AMARILLO","VERDE"))),"REVISAR"))))</f>
        <v/>
      </c>
      <c r="K1618" s="36">
        <f>IF(OR($C1618="",$D1618=""),"",IF($D1618&gt;=$C1618,($D1618-$C1618)*24,(1-$C1618+$D1618)*24))</f>
        <v/>
      </c>
      <c r="L1618" s="34" t="n"/>
      <c r="M1618" s="53">
        <f t="array" ref="M1618">IFERROR(INDEX(EXCEPCIONES_FECHA!$D$2:$D$201,MATCH(1,(EXCEPCIONES_FECHA!$A$2:$A$201=$A1618)*(EXCEPCIONES_FECHA!$B$2:$B$201=$B1618),0)),IFERROR(INDEX(EXCEPCIONES_FECHA!$D$2:$D$201,MATCH(1,(EXCEPCIONES_FECHA!$A$2:$A$201=$A1618)*(EXCEPCIONES_FECHA!$B$2:$B$201=""),0)),IFERROR(INDEX(IF($I1618="FIN",HISTORIAL_HORARIOS!$J$2:$J$201,HISTORIAL_HORARIOS!$F$2:$F$201),MATCH(1,(HISTORIAL_HORARIOS!$A$2:$A$201=$B1618)*(HISTORIAL_HORARIOS!$C$2:$C$201&lt;=$A1618)*(HISTORIAL_HORARIOS!$D$2:$D$201&gt;=$A1618),0)),INDEX(IF($I1618="FIN",PERSONAL!$J$2:$J$80,PERSONAL!$F$2:$F$80),MATCH($B1618,PERSONAL!$A$2:$A$80,0)))))</f>
        <v/>
      </c>
      <c r="N1618" s="53">
        <f t="array" ref="N1618">IFERROR(INDEX(EXCEPCIONES_FECHA!$E$2:$E$201,MATCH(1,(EXCEPCIONES_FECHA!$A$2:$A$201=$A1618)*(EXCEPCIONES_FECHA!$B$2:$B$201=$B1618),0)),IFERROR(INDEX(EXCEPCIONES_FECHA!$E$2:$E$201,MATCH(1,(EXCEPCIONES_FECHA!$A$2:$A$201=$A1618)*(EXCEPCIONES_FECHA!$B$2:$B$201=""),0)),IFERROR(INDEX(IF($I1618="FIN",HISTORIAL_HORARIOS!$K$2:$K$201,HISTORIAL_HORARIOS!$G$2:$G$201),MATCH(1,(HISTORIAL_HORARIOS!$A$2:$A$201=$B1618)*(HISTORIAL_HORARIOS!$C$2:$C$201&lt;=$A1618)*(HISTORIAL_HORARIOS!$D$2:$D$201&gt;=$A1618),0)),INDEX(IF($I1618="FIN",PERSONAL!$K$2:$K$80,PERSONAL!$G$2:$G$80),MATCH($B1618,PERSONAL!$A$2:$A$80,0)))))</f>
        <v/>
      </c>
      <c r="O1618" s="53">
        <f t="array" ref="O1618">IFERROR(INDEX(EXCEPCIONES_FECHA!$F$2:$F$201,MATCH(1,(EXCEPCIONES_FECHA!$A$2:$A$201=$A1618)*(EXCEPCIONES_FECHA!$B$2:$B$201=$B1618),0)),IFERROR(INDEX(EXCEPCIONES_FECHA!$F$2:$F$201,MATCH(1,(EXCEPCIONES_FECHA!$A$2:$A$201=$A1618)*(EXCEPCIONES_FECHA!$B$2:$B$201=""),0)),IFERROR(INDEX(IF($I1618="FIN",HISTORIAL_HORARIOS!$L$2:$L$201,HISTORIAL_HORARIOS!$H$2:$H$201),MATCH(1,(HISTORIAL_HORARIOS!$A$2:$A$201=$B1618)*(HISTORIAL_HORARIOS!$C$2:$C$201&lt;=$A1618)*(HISTORIAL_HORARIOS!$D$2:$D$201&gt;=$A1618),0)),INDEX(IF($I1618="FIN",PERSONAL!$L$2:$L$80,PERSONAL!$H$2:$H$80),MATCH($B1618,PERSONAL!$A$2:$A$80,0)))))</f>
        <v/>
      </c>
    </row>
    <row r="1619" ht="15" customHeight="1" s="58">
      <c r="A1619" s="40" t="n"/>
      <c r="B1619" s="38" t="n"/>
      <c r="C1619" s="40" t="n"/>
      <c r="D1619" s="40" t="n"/>
      <c r="E1619" s="34">
        <f t="array" ref="E1619">IF($B1619="","",IFERROR(INDEX(PERSONAL!$B$2:$B$80,MATCH($B1619,PERSONAL!$A$2:$A$80,0)),"NO EXISTE"))</f>
        <v/>
      </c>
      <c r="F1619" s="34">
        <f t="array" ref="F1619">IF($B1619="","",IFERROR(INDEX(PERSONAL!$C$2:$C$80,MATCH($B1619,PERSONAL!$A$2:$A$80,0)),""))</f>
        <v/>
      </c>
      <c r="G1619" s="34">
        <f>IF($A1619="","",CHOOSE(WEEKDAY($A1619,2),"LUNES","MARTES","MIÉRCOLES","JUEVES","VIERNES","SÁBADO","DOMINGO"))</f>
        <v/>
      </c>
      <c r="H1619" s="34">
        <f>IF($A1619="","",CHOOSE(MONTH($A1619),"ENERO","FEBRERO","MARZO","ABRIL","MAYO","JUNIO","JULIO","AGOSTO","SEPTIEMBRE","OCTUBRE","NOVIEMBRE","DICIEMBRE"))</f>
        <v/>
      </c>
      <c r="I1619" s="34">
        <f>IF($A1619="","",IF(OR($G1619="SÁBADO",$G1619="DOMINGO"),"FIN","LV"))</f>
        <v/>
      </c>
      <c r="J1619" s="34">
        <f>IF(OR($A1619="",$B1619=""),"",IF($L1619&lt;&gt;"",UPPER($L1619),IF($C1619="","FALTA",IFERROR(IF($C1619&gt;=$O1619,"ROJO FUERTE",IF($C1619&gt;=$N1619,"ROJO",IF($C1619&gt;=$M1619,"AMARILLO","VERDE"))),"REVISAR"))))</f>
        <v/>
      </c>
      <c r="K1619" s="36">
        <f>IF(OR($C1619="",$D1619=""),"",IF($D1619&gt;=$C1619,($D1619-$C1619)*24,(1-$C1619+$D1619)*24))</f>
        <v/>
      </c>
      <c r="L1619" s="34" t="n"/>
      <c r="M1619" s="53">
        <f t="array" ref="M1619">IFERROR(INDEX(EXCEPCIONES_FECHA!$D$2:$D$201,MATCH(1,(EXCEPCIONES_FECHA!$A$2:$A$201=$A1619)*(EXCEPCIONES_FECHA!$B$2:$B$201=$B1619),0)),IFERROR(INDEX(EXCEPCIONES_FECHA!$D$2:$D$201,MATCH(1,(EXCEPCIONES_FECHA!$A$2:$A$201=$A1619)*(EXCEPCIONES_FECHA!$B$2:$B$201=""),0)),IFERROR(INDEX(IF($I1619="FIN",HISTORIAL_HORARIOS!$J$2:$J$201,HISTORIAL_HORARIOS!$F$2:$F$201),MATCH(1,(HISTORIAL_HORARIOS!$A$2:$A$201=$B1619)*(HISTORIAL_HORARIOS!$C$2:$C$201&lt;=$A1619)*(HISTORIAL_HORARIOS!$D$2:$D$201&gt;=$A1619),0)),INDEX(IF($I1619="FIN",PERSONAL!$J$2:$J$80,PERSONAL!$F$2:$F$80),MATCH($B1619,PERSONAL!$A$2:$A$80,0)))))</f>
        <v/>
      </c>
      <c r="N1619" s="53">
        <f t="array" ref="N1619">IFERROR(INDEX(EXCEPCIONES_FECHA!$E$2:$E$201,MATCH(1,(EXCEPCIONES_FECHA!$A$2:$A$201=$A1619)*(EXCEPCIONES_FECHA!$B$2:$B$201=$B1619),0)),IFERROR(INDEX(EXCEPCIONES_FECHA!$E$2:$E$201,MATCH(1,(EXCEPCIONES_FECHA!$A$2:$A$201=$A1619)*(EXCEPCIONES_FECHA!$B$2:$B$201=""),0)),IFERROR(INDEX(IF($I1619="FIN",HISTORIAL_HORARIOS!$K$2:$K$201,HISTORIAL_HORARIOS!$G$2:$G$201),MATCH(1,(HISTORIAL_HORARIOS!$A$2:$A$201=$B1619)*(HISTORIAL_HORARIOS!$C$2:$C$201&lt;=$A1619)*(HISTORIAL_HORARIOS!$D$2:$D$201&gt;=$A1619),0)),INDEX(IF($I1619="FIN",PERSONAL!$K$2:$K$80,PERSONAL!$G$2:$G$80),MATCH($B1619,PERSONAL!$A$2:$A$80,0)))))</f>
        <v/>
      </c>
      <c r="O1619" s="53">
        <f t="array" ref="O1619">IFERROR(INDEX(EXCEPCIONES_FECHA!$F$2:$F$201,MATCH(1,(EXCEPCIONES_FECHA!$A$2:$A$201=$A1619)*(EXCEPCIONES_FECHA!$B$2:$B$201=$B1619),0)),IFERROR(INDEX(EXCEPCIONES_FECHA!$F$2:$F$201,MATCH(1,(EXCEPCIONES_FECHA!$A$2:$A$201=$A1619)*(EXCEPCIONES_FECHA!$B$2:$B$201=""),0)),IFERROR(INDEX(IF($I1619="FIN",HISTORIAL_HORARIOS!$L$2:$L$201,HISTORIAL_HORARIOS!$H$2:$H$201),MATCH(1,(HISTORIAL_HORARIOS!$A$2:$A$201=$B1619)*(HISTORIAL_HORARIOS!$C$2:$C$201&lt;=$A1619)*(HISTORIAL_HORARIOS!$D$2:$D$201&gt;=$A1619),0)),INDEX(IF($I1619="FIN",PERSONAL!$L$2:$L$80,PERSONAL!$H$2:$H$80),MATCH($B1619,PERSONAL!$A$2:$A$80,0)))))</f>
        <v/>
      </c>
    </row>
    <row r="1620" ht="15" customHeight="1" s="58">
      <c r="A1620" s="40" t="n"/>
      <c r="B1620" s="38" t="n"/>
      <c r="C1620" s="40" t="n"/>
      <c r="D1620" s="40" t="n"/>
      <c r="E1620" s="34">
        <f t="array" ref="E1620">IF($B1620="","",IFERROR(INDEX(PERSONAL!$B$2:$B$80,MATCH($B1620,PERSONAL!$A$2:$A$80,0)),"NO EXISTE"))</f>
        <v/>
      </c>
      <c r="F1620" s="34">
        <f t="array" ref="F1620">IF($B1620="","",IFERROR(INDEX(PERSONAL!$C$2:$C$80,MATCH($B1620,PERSONAL!$A$2:$A$80,0)),""))</f>
        <v/>
      </c>
      <c r="G1620" s="34">
        <f>IF($A1620="","",CHOOSE(WEEKDAY($A1620,2),"LUNES","MARTES","MIÉRCOLES","JUEVES","VIERNES","SÁBADO","DOMINGO"))</f>
        <v/>
      </c>
      <c r="H1620" s="34">
        <f>IF($A1620="","",CHOOSE(MONTH($A1620),"ENERO","FEBRERO","MARZO","ABRIL","MAYO","JUNIO","JULIO","AGOSTO","SEPTIEMBRE","OCTUBRE","NOVIEMBRE","DICIEMBRE"))</f>
        <v/>
      </c>
      <c r="I1620" s="34">
        <f>IF($A1620="","",IF(OR($G1620="SÁBADO",$G1620="DOMINGO"),"FIN","LV"))</f>
        <v/>
      </c>
      <c r="J1620" s="34">
        <f>IF(OR($A1620="",$B1620=""),"",IF($L1620&lt;&gt;"",UPPER($L1620),IF($C1620="","FALTA",IFERROR(IF($C1620&gt;=$O1620,"ROJO FUERTE",IF($C1620&gt;=$N1620,"ROJO",IF($C1620&gt;=$M1620,"AMARILLO","VERDE"))),"REVISAR"))))</f>
        <v/>
      </c>
      <c r="K1620" s="36">
        <f>IF(OR($C1620="",$D1620=""),"",IF($D1620&gt;=$C1620,($D1620-$C1620)*24,(1-$C1620+$D1620)*24))</f>
        <v/>
      </c>
      <c r="L1620" s="34" t="n"/>
      <c r="M1620" s="53">
        <f t="array" ref="M1620">IFERROR(INDEX(EXCEPCIONES_FECHA!$D$2:$D$201,MATCH(1,(EXCEPCIONES_FECHA!$A$2:$A$201=$A1620)*(EXCEPCIONES_FECHA!$B$2:$B$201=$B1620),0)),IFERROR(INDEX(EXCEPCIONES_FECHA!$D$2:$D$201,MATCH(1,(EXCEPCIONES_FECHA!$A$2:$A$201=$A1620)*(EXCEPCIONES_FECHA!$B$2:$B$201=""),0)),IFERROR(INDEX(IF($I1620="FIN",HISTORIAL_HORARIOS!$J$2:$J$201,HISTORIAL_HORARIOS!$F$2:$F$201),MATCH(1,(HISTORIAL_HORARIOS!$A$2:$A$201=$B1620)*(HISTORIAL_HORARIOS!$C$2:$C$201&lt;=$A1620)*(HISTORIAL_HORARIOS!$D$2:$D$201&gt;=$A1620),0)),INDEX(IF($I1620="FIN",PERSONAL!$J$2:$J$80,PERSONAL!$F$2:$F$80),MATCH($B1620,PERSONAL!$A$2:$A$80,0)))))</f>
        <v/>
      </c>
      <c r="N1620" s="53">
        <f t="array" ref="N1620">IFERROR(INDEX(EXCEPCIONES_FECHA!$E$2:$E$201,MATCH(1,(EXCEPCIONES_FECHA!$A$2:$A$201=$A1620)*(EXCEPCIONES_FECHA!$B$2:$B$201=$B1620),0)),IFERROR(INDEX(EXCEPCIONES_FECHA!$E$2:$E$201,MATCH(1,(EXCEPCIONES_FECHA!$A$2:$A$201=$A1620)*(EXCEPCIONES_FECHA!$B$2:$B$201=""),0)),IFERROR(INDEX(IF($I1620="FIN",HISTORIAL_HORARIOS!$K$2:$K$201,HISTORIAL_HORARIOS!$G$2:$G$201),MATCH(1,(HISTORIAL_HORARIOS!$A$2:$A$201=$B1620)*(HISTORIAL_HORARIOS!$C$2:$C$201&lt;=$A1620)*(HISTORIAL_HORARIOS!$D$2:$D$201&gt;=$A1620),0)),INDEX(IF($I1620="FIN",PERSONAL!$K$2:$K$80,PERSONAL!$G$2:$G$80),MATCH($B1620,PERSONAL!$A$2:$A$80,0)))))</f>
        <v/>
      </c>
      <c r="O1620" s="53">
        <f t="array" ref="O1620">IFERROR(INDEX(EXCEPCIONES_FECHA!$F$2:$F$201,MATCH(1,(EXCEPCIONES_FECHA!$A$2:$A$201=$A1620)*(EXCEPCIONES_FECHA!$B$2:$B$201=$B1620),0)),IFERROR(INDEX(EXCEPCIONES_FECHA!$F$2:$F$201,MATCH(1,(EXCEPCIONES_FECHA!$A$2:$A$201=$A1620)*(EXCEPCIONES_FECHA!$B$2:$B$201=""),0)),IFERROR(INDEX(IF($I1620="FIN",HISTORIAL_HORARIOS!$L$2:$L$201,HISTORIAL_HORARIOS!$H$2:$H$201),MATCH(1,(HISTORIAL_HORARIOS!$A$2:$A$201=$B1620)*(HISTORIAL_HORARIOS!$C$2:$C$201&lt;=$A1620)*(HISTORIAL_HORARIOS!$D$2:$D$201&gt;=$A1620),0)),INDEX(IF($I1620="FIN",PERSONAL!$L$2:$L$80,PERSONAL!$H$2:$H$80),MATCH($B1620,PERSONAL!$A$2:$A$80,0)))))</f>
        <v/>
      </c>
    </row>
    <row r="1621" ht="15" customHeight="1" s="58">
      <c r="A1621" s="40" t="n"/>
      <c r="B1621" s="38" t="n"/>
      <c r="C1621" s="40" t="n"/>
      <c r="D1621" s="40" t="n"/>
      <c r="E1621" s="34">
        <f t="array" ref="E1621">IF($B1621="","",IFERROR(INDEX(PERSONAL!$B$2:$B$80,MATCH($B1621,PERSONAL!$A$2:$A$80,0)),"NO EXISTE"))</f>
        <v/>
      </c>
      <c r="F1621" s="34">
        <f t="array" ref="F1621">IF($B1621="","",IFERROR(INDEX(PERSONAL!$C$2:$C$80,MATCH($B1621,PERSONAL!$A$2:$A$80,0)),""))</f>
        <v/>
      </c>
      <c r="G1621" s="34">
        <f>IF($A1621="","",CHOOSE(WEEKDAY($A1621,2),"LUNES","MARTES","MIÉRCOLES","JUEVES","VIERNES","SÁBADO","DOMINGO"))</f>
        <v/>
      </c>
      <c r="H1621" s="34">
        <f>IF($A1621="","",CHOOSE(MONTH($A1621),"ENERO","FEBRERO","MARZO","ABRIL","MAYO","JUNIO","JULIO","AGOSTO","SEPTIEMBRE","OCTUBRE","NOVIEMBRE","DICIEMBRE"))</f>
        <v/>
      </c>
      <c r="I1621" s="34">
        <f>IF($A1621="","",IF(OR($G1621="SÁBADO",$G1621="DOMINGO"),"FIN","LV"))</f>
        <v/>
      </c>
      <c r="J1621" s="34">
        <f>IF(OR($A1621="",$B1621=""),"",IF($L1621&lt;&gt;"",UPPER($L1621),IF($C1621="","FALTA",IFERROR(IF($C1621&gt;=$O1621,"ROJO FUERTE",IF($C1621&gt;=$N1621,"ROJO",IF($C1621&gt;=$M1621,"AMARILLO","VERDE"))),"REVISAR"))))</f>
        <v/>
      </c>
      <c r="K1621" s="36">
        <f>IF(OR($C1621="",$D1621=""),"",IF($D1621&gt;=$C1621,($D1621-$C1621)*24,(1-$C1621+$D1621)*24))</f>
        <v/>
      </c>
      <c r="L1621" s="34" t="n"/>
      <c r="M1621" s="53">
        <f t="array" ref="M1621">IFERROR(INDEX(EXCEPCIONES_FECHA!$D$2:$D$201,MATCH(1,(EXCEPCIONES_FECHA!$A$2:$A$201=$A1621)*(EXCEPCIONES_FECHA!$B$2:$B$201=$B1621),0)),IFERROR(INDEX(EXCEPCIONES_FECHA!$D$2:$D$201,MATCH(1,(EXCEPCIONES_FECHA!$A$2:$A$201=$A1621)*(EXCEPCIONES_FECHA!$B$2:$B$201=""),0)),IFERROR(INDEX(IF($I1621="FIN",HISTORIAL_HORARIOS!$J$2:$J$201,HISTORIAL_HORARIOS!$F$2:$F$201),MATCH(1,(HISTORIAL_HORARIOS!$A$2:$A$201=$B1621)*(HISTORIAL_HORARIOS!$C$2:$C$201&lt;=$A1621)*(HISTORIAL_HORARIOS!$D$2:$D$201&gt;=$A1621),0)),INDEX(IF($I1621="FIN",PERSONAL!$J$2:$J$80,PERSONAL!$F$2:$F$80),MATCH($B1621,PERSONAL!$A$2:$A$80,0)))))</f>
        <v/>
      </c>
      <c r="N1621" s="53">
        <f t="array" ref="N1621">IFERROR(INDEX(EXCEPCIONES_FECHA!$E$2:$E$201,MATCH(1,(EXCEPCIONES_FECHA!$A$2:$A$201=$A1621)*(EXCEPCIONES_FECHA!$B$2:$B$201=$B1621),0)),IFERROR(INDEX(EXCEPCIONES_FECHA!$E$2:$E$201,MATCH(1,(EXCEPCIONES_FECHA!$A$2:$A$201=$A1621)*(EXCEPCIONES_FECHA!$B$2:$B$201=""),0)),IFERROR(INDEX(IF($I1621="FIN",HISTORIAL_HORARIOS!$K$2:$K$201,HISTORIAL_HORARIOS!$G$2:$G$201),MATCH(1,(HISTORIAL_HORARIOS!$A$2:$A$201=$B1621)*(HISTORIAL_HORARIOS!$C$2:$C$201&lt;=$A1621)*(HISTORIAL_HORARIOS!$D$2:$D$201&gt;=$A1621),0)),INDEX(IF($I1621="FIN",PERSONAL!$K$2:$K$80,PERSONAL!$G$2:$G$80),MATCH($B1621,PERSONAL!$A$2:$A$80,0)))))</f>
        <v/>
      </c>
      <c r="O1621" s="53">
        <f t="array" ref="O1621">IFERROR(INDEX(EXCEPCIONES_FECHA!$F$2:$F$201,MATCH(1,(EXCEPCIONES_FECHA!$A$2:$A$201=$A1621)*(EXCEPCIONES_FECHA!$B$2:$B$201=$B1621),0)),IFERROR(INDEX(EXCEPCIONES_FECHA!$F$2:$F$201,MATCH(1,(EXCEPCIONES_FECHA!$A$2:$A$201=$A1621)*(EXCEPCIONES_FECHA!$B$2:$B$201=""),0)),IFERROR(INDEX(IF($I1621="FIN",HISTORIAL_HORARIOS!$L$2:$L$201,HISTORIAL_HORARIOS!$H$2:$H$201),MATCH(1,(HISTORIAL_HORARIOS!$A$2:$A$201=$B1621)*(HISTORIAL_HORARIOS!$C$2:$C$201&lt;=$A1621)*(HISTORIAL_HORARIOS!$D$2:$D$201&gt;=$A1621),0)),INDEX(IF($I1621="FIN",PERSONAL!$L$2:$L$80,PERSONAL!$H$2:$H$80),MATCH($B1621,PERSONAL!$A$2:$A$80,0)))))</f>
        <v/>
      </c>
    </row>
    <row r="1622" ht="15" customHeight="1" s="58">
      <c r="A1622" s="40" t="n"/>
      <c r="B1622" s="38" t="n"/>
      <c r="C1622" s="40" t="n"/>
      <c r="D1622" s="40" t="n"/>
      <c r="E1622" s="34">
        <f t="array" ref="E1622">IF($B1622="","",IFERROR(INDEX(PERSONAL!$B$2:$B$80,MATCH($B1622,PERSONAL!$A$2:$A$80,0)),"NO EXISTE"))</f>
        <v/>
      </c>
      <c r="F1622" s="34">
        <f t="array" ref="F1622">IF($B1622="","",IFERROR(INDEX(PERSONAL!$C$2:$C$80,MATCH($B1622,PERSONAL!$A$2:$A$80,0)),""))</f>
        <v/>
      </c>
      <c r="G1622" s="34">
        <f>IF($A1622="","",CHOOSE(WEEKDAY($A1622,2),"LUNES","MARTES","MIÉRCOLES","JUEVES","VIERNES","SÁBADO","DOMINGO"))</f>
        <v/>
      </c>
      <c r="H1622" s="34">
        <f>IF($A1622="","",CHOOSE(MONTH($A1622),"ENERO","FEBRERO","MARZO","ABRIL","MAYO","JUNIO","JULIO","AGOSTO","SEPTIEMBRE","OCTUBRE","NOVIEMBRE","DICIEMBRE"))</f>
        <v/>
      </c>
      <c r="I1622" s="34">
        <f>IF($A1622="","",IF(OR($G1622="SÁBADO",$G1622="DOMINGO"),"FIN","LV"))</f>
        <v/>
      </c>
      <c r="J1622" s="34">
        <f>IF(OR($A1622="",$B1622=""),"",IF($L1622&lt;&gt;"",UPPER($L1622),IF($C1622="","FALTA",IFERROR(IF($C1622&gt;=$O1622,"ROJO FUERTE",IF($C1622&gt;=$N1622,"ROJO",IF($C1622&gt;=$M1622,"AMARILLO","VERDE"))),"REVISAR"))))</f>
        <v/>
      </c>
      <c r="K1622" s="36">
        <f>IF(OR($C1622="",$D1622=""),"",IF($D1622&gt;=$C1622,($D1622-$C1622)*24,(1-$C1622+$D1622)*24))</f>
        <v/>
      </c>
      <c r="L1622" s="34" t="n"/>
      <c r="M1622" s="53">
        <f t="array" ref="M1622">IFERROR(INDEX(EXCEPCIONES_FECHA!$D$2:$D$201,MATCH(1,(EXCEPCIONES_FECHA!$A$2:$A$201=$A1622)*(EXCEPCIONES_FECHA!$B$2:$B$201=$B1622),0)),IFERROR(INDEX(EXCEPCIONES_FECHA!$D$2:$D$201,MATCH(1,(EXCEPCIONES_FECHA!$A$2:$A$201=$A1622)*(EXCEPCIONES_FECHA!$B$2:$B$201=""),0)),IFERROR(INDEX(IF($I1622="FIN",HISTORIAL_HORARIOS!$J$2:$J$201,HISTORIAL_HORARIOS!$F$2:$F$201),MATCH(1,(HISTORIAL_HORARIOS!$A$2:$A$201=$B1622)*(HISTORIAL_HORARIOS!$C$2:$C$201&lt;=$A1622)*(HISTORIAL_HORARIOS!$D$2:$D$201&gt;=$A1622),0)),INDEX(IF($I1622="FIN",PERSONAL!$J$2:$J$80,PERSONAL!$F$2:$F$80),MATCH($B1622,PERSONAL!$A$2:$A$80,0)))))</f>
        <v/>
      </c>
      <c r="N1622" s="53">
        <f t="array" ref="N1622">IFERROR(INDEX(EXCEPCIONES_FECHA!$E$2:$E$201,MATCH(1,(EXCEPCIONES_FECHA!$A$2:$A$201=$A1622)*(EXCEPCIONES_FECHA!$B$2:$B$201=$B1622),0)),IFERROR(INDEX(EXCEPCIONES_FECHA!$E$2:$E$201,MATCH(1,(EXCEPCIONES_FECHA!$A$2:$A$201=$A1622)*(EXCEPCIONES_FECHA!$B$2:$B$201=""),0)),IFERROR(INDEX(IF($I1622="FIN",HISTORIAL_HORARIOS!$K$2:$K$201,HISTORIAL_HORARIOS!$G$2:$G$201),MATCH(1,(HISTORIAL_HORARIOS!$A$2:$A$201=$B1622)*(HISTORIAL_HORARIOS!$C$2:$C$201&lt;=$A1622)*(HISTORIAL_HORARIOS!$D$2:$D$201&gt;=$A1622),0)),INDEX(IF($I1622="FIN",PERSONAL!$K$2:$K$80,PERSONAL!$G$2:$G$80),MATCH($B1622,PERSONAL!$A$2:$A$80,0)))))</f>
        <v/>
      </c>
      <c r="O1622" s="53">
        <f t="array" ref="O1622">IFERROR(INDEX(EXCEPCIONES_FECHA!$F$2:$F$201,MATCH(1,(EXCEPCIONES_FECHA!$A$2:$A$201=$A1622)*(EXCEPCIONES_FECHA!$B$2:$B$201=$B1622),0)),IFERROR(INDEX(EXCEPCIONES_FECHA!$F$2:$F$201,MATCH(1,(EXCEPCIONES_FECHA!$A$2:$A$201=$A1622)*(EXCEPCIONES_FECHA!$B$2:$B$201=""),0)),IFERROR(INDEX(IF($I1622="FIN",HISTORIAL_HORARIOS!$L$2:$L$201,HISTORIAL_HORARIOS!$H$2:$H$201),MATCH(1,(HISTORIAL_HORARIOS!$A$2:$A$201=$B1622)*(HISTORIAL_HORARIOS!$C$2:$C$201&lt;=$A1622)*(HISTORIAL_HORARIOS!$D$2:$D$201&gt;=$A1622),0)),INDEX(IF($I1622="FIN",PERSONAL!$L$2:$L$80,PERSONAL!$H$2:$H$80),MATCH($B1622,PERSONAL!$A$2:$A$80,0)))))</f>
        <v/>
      </c>
    </row>
    <row r="1623" ht="15" customHeight="1" s="58">
      <c r="A1623" s="40" t="n"/>
      <c r="B1623" s="38" t="n"/>
      <c r="C1623" s="40" t="n"/>
      <c r="D1623" s="40" t="n"/>
      <c r="E1623" s="34">
        <f t="array" ref="E1623">IF($B1623="","",IFERROR(INDEX(PERSONAL!$B$2:$B$80,MATCH($B1623,PERSONAL!$A$2:$A$80,0)),"NO EXISTE"))</f>
        <v/>
      </c>
      <c r="F1623" s="34">
        <f t="array" ref="F1623">IF($B1623="","",IFERROR(INDEX(PERSONAL!$C$2:$C$80,MATCH($B1623,PERSONAL!$A$2:$A$80,0)),""))</f>
        <v/>
      </c>
      <c r="G1623" s="34">
        <f>IF($A1623="","",CHOOSE(WEEKDAY($A1623,2),"LUNES","MARTES","MIÉRCOLES","JUEVES","VIERNES","SÁBADO","DOMINGO"))</f>
        <v/>
      </c>
      <c r="H1623" s="34">
        <f>IF($A1623="","",CHOOSE(MONTH($A1623),"ENERO","FEBRERO","MARZO","ABRIL","MAYO","JUNIO","JULIO","AGOSTO","SEPTIEMBRE","OCTUBRE","NOVIEMBRE","DICIEMBRE"))</f>
        <v/>
      </c>
      <c r="I1623" s="34">
        <f>IF($A1623="","",IF(OR($G1623="SÁBADO",$G1623="DOMINGO"),"FIN","LV"))</f>
        <v/>
      </c>
      <c r="J1623" s="34">
        <f>IF(OR($A1623="",$B1623=""),"",IF($L1623&lt;&gt;"",UPPER($L1623),IF($C1623="","FALTA",IFERROR(IF($C1623&gt;=$O1623,"ROJO FUERTE",IF($C1623&gt;=$N1623,"ROJO",IF($C1623&gt;=$M1623,"AMARILLO","VERDE"))),"REVISAR"))))</f>
        <v/>
      </c>
      <c r="K1623" s="36">
        <f>IF(OR($C1623="",$D1623=""),"",IF($D1623&gt;=$C1623,($D1623-$C1623)*24,(1-$C1623+$D1623)*24))</f>
        <v/>
      </c>
      <c r="L1623" s="34" t="n"/>
      <c r="M1623" s="53">
        <f t="array" ref="M1623">IFERROR(INDEX(EXCEPCIONES_FECHA!$D$2:$D$201,MATCH(1,(EXCEPCIONES_FECHA!$A$2:$A$201=$A1623)*(EXCEPCIONES_FECHA!$B$2:$B$201=$B1623),0)),IFERROR(INDEX(EXCEPCIONES_FECHA!$D$2:$D$201,MATCH(1,(EXCEPCIONES_FECHA!$A$2:$A$201=$A1623)*(EXCEPCIONES_FECHA!$B$2:$B$201=""),0)),IFERROR(INDEX(IF($I1623="FIN",HISTORIAL_HORARIOS!$J$2:$J$201,HISTORIAL_HORARIOS!$F$2:$F$201),MATCH(1,(HISTORIAL_HORARIOS!$A$2:$A$201=$B1623)*(HISTORIAL_HORARIOS!$C$2:$C$201&lt;=$A1623)*(HISTORIAL_HORARIOS!$D$2:$D$201&gt;=$A1623),0)),INDEX(IF($I1623="FIN",PERSONAL!$J$2:$J$80,PERSONAL!$F$2:$F$80),MATCH($B1623,PERSONAL!$A$2:$A$80,0)))))</f>
        <v/>
      </c>
      <c r="N1623" s="53">
        <f t="array" ref="N1623">IFERROR(INDEX(EXCEPCIONES_FECHA!$E$2:$E$201,MATCH(1,(EXCEPCIONES_FECHA!$A$2:$A$201=$A1623)*(EXCEPCIONES_FECHA!$B$2:$B$201=$B1623),0)),IFERROR(INDEX(EXCEPCIONES_FECHA!$E$2:$E$201,MATCH(1,(EXCEPCIONES_FECHA!$A$2:$A$201=$A1623)*(EXCEPCIONES_FECHA!$B$2:$B$201=""),0)),IFERROR(INDEX(IF($I1623="FIN",HISTORIAL_HORARIOS!$K$2:$K$201,HISTORIAL_HORARIOS!$G$2:$G$201),MATCH(1,(HISTORIAL_HORARIOS!$A$2:$A$201=$B1623)*(HISTORIAL_HORARIOS!$C$2:$C$201&lt;=$A1623)*(HISTORIAL_HORARIOS!$D$2:$D$201&gt;=$A1623),0)),INDEX(IF($I1623="FIN",PERSONAL!$K$2:$K$80,PERSONAL!$G$2:$G$80),MATCH($B1623,PERSONAL!$A$2:$A$80,0)))))</f>
        <v/>
      </c>
      <c r="O1623" s="53">
        <f t="array" ref="O1623">IFERROR(INDEX(EXCEPCIONES_FECHA!$F$2:$F$201,MATCH(1,(EXCEPCIONES_FECHA!$A$2:$A$201=$A1623)*(EXCEPCIONES_FECHA!$B$2:$B$201=$B1623),0)),IFERROR(INDEX(EXCEPCIONES_FECHA!$F$2:$F$201,MATCH(1,(EXCEPCIONES_FECHA!$A$2:$A$201=$A1623)*(EXCEPCIONES_FECHA!$B$2:$B$201=""),0)),IFERROR(INDEX(IF($I1623="FIN",HISTORIAL_HORARIOS!$L$2:$L$201,HISTORIAL_HORARIOS!$H$2:$H$201),MATCH(1,(HISTORIAL_HORARIOS!$A$2:$A$201=$B1623)*(HISTORIAL_HORARIOS!$C$2:$C$201&lt;=$A1623)*(HISTORIAL_HORARIOS!$D$2:$D$201&gt;=$A1623),0)),INDEX(IF($I1623="FIN",PERSONAL!$L$2:$L$80,PERSONAL!$H$2:$H$80),MATCH($B1623,PERSONAL!$A$2:$A$80,0)))))</f>
        <v/>
      </c>
    </row>
    <row r="1624" ht="15" customHeight="1" s="58">
      <c r="A1624" s="40" t="n"/>
      <c r="B1624" s="38" t="n"/>
      <c r="C1624" s="40" t="n"/>
      <c r="D1624" s="40" t="n"/>
      <c r="E1624" s="34">
        <f t="array" ref="E1624">IF($B1624="","",IFERROR(INDEX(PERSONAL!$B$2:$B$80,MATCH($B1624,PERSONAL!$A$2:$A$80,0)),"NO EXISTE"))</f>
        <v/>
      </c>
      <c r="F1624" s="34">
        <f t="array" ref="F1624">IF($B1624="","",IFERROR(INDEX(PERSONAL!$C$2:$C$80,MATCH($B1624,PERSONAL!$A$2:$A$80,0)),""))</f>
        <v/>
      </c>
      <c r="G1624" s="34">
        <f>IF($A1624="","",CHOOSE(WEEKDAY($A1624,2),"LUNES","MARTES","MIÉRCOLES","JUEVES","VIERNES","SÁBADO","DOMINGO"))</f>
        <v/>
      </c>
      <c r="H1624" s="34">
        <f>IF($A1624="","",CHOOSE(MONTH($A1624),"ENERO","FEBRERO","MARZO","ABRIL","MAYO","JUNIO","JULIO","AGOSTO","SEPTIEMBRE","OCTUBRE","NOVIEMBRE","DICIEMBRE"))</f>
        <v/>
      </c>
      <c r="I1624" s="34">
        <f>IF($A1624="","",IF(OR($G1624="SÁBADO",$G1624="DOMINGO"),"FIN","LV"))</f>
        <v/>
      </c>
      <c r="J1624" s="34">
        <f>IF(OR($A1624="",$B1624=""),"",IF($L1624&lt;&gt;"",UPPER($L1624),IF($C1624="","FALTA",IFERROR(IF($C1624&gt;=$O1624,"ROJO FUERTE",IF($C1624&gt;=$N1624,"ROJO",IF($C1624&gt;=$M1624,"AMARILLO","VERDE"))),"REVISAR"))))</f>
        <v/>
      </c>
      <c r="K1624" s="36">
        <f>IF(OR($C1624="",$D1624=""),"",IF($D1624&gt;=$C1624,($D1624-$C1624)*24,(1-$C1624+$D1624)*24))</f>
        <v/>
      </c>
      <c r="L1624" s="34" t="n"/>
      <c r="M1624" s="53">
        <f t="array" ref="M1624">IFERROR(INDEX(EXCEPCIONES_FECHA!$D$2:$D$201,MATCH(1,(EXCEPCIONES_FECHA!$A$2:$A$201=$A1624)*(EXCEPCIONES_FECHA!$B$2:$B$201=$B1624),0)),IFERROR(INDEX(EXCEPCIONES_FECHA!$D$2:$D$201,MATCH(1,(EXCEPCIONES_FECHA!$A$2:$A$201=$A1624)*(EXCEPCIONES_FECHA!$B$2:$B$201=""),0)),IFERROR(INDEX(IF($I1624="FIN",HISTORIAL_HORARIOS!$J$2:$J$201,HISTORIAL_HORARIOS!$F$2:$F$201),MATCH(1,(HISTORIAL_HORARIOS!$A$2:$A$201=$B1624)*(HISTORIAL_HORARIOS!$C$2:$C$201&lt;=$A1624)*(HISTORIAL_HORARIOS!$D$2:$D$201&gt;=$A1624),0)),INDEX(IF($I1624="FIN",PERSONAL!$J$2:$J$80,PERSONAL!$F$2:$F$80),MATCH($B1624,PERSONAL!$A$2:$A$80,0)))))</f>
        <v/>
      </c>
      <c r="N1624" s="53">
        <f t="array" ref="N1624">IFERROR(INDEX(EXCEPCIONES_FECHA!$E$2:$E$201,MATCH(1,(EXCEPCIONES_FECHA!$A$2:$A$201=$A1624)*(EXCEPCIONES_FECHA!$B$2:$B$201=$B1624),0)),IFERROR(INDEX(EXCEPCIONES_FECHA!$E$2:$E$201,MATCH(1,(EXCEPCIONES_FECHA!$A$2:$A$201=$A1624)*(EXCEPCIONES_FECHA!$B$2:$B$201=""),0)),IFERROR(INDEX(IF($I1624="FIN",HISTORIAL_HORARIOS!$K$2:$K$201,HISTORIAL_HORARIOS!$G$2:$G$201),MATCH(1,(HISTORIAL_HORARIOS!$A$2:$A$201=$B1624)*(HISTORIAL_HORARIOS!$C$2:$C$201&lt;=$A1624)*(HISTORIAL_HORARIOS!$D$2:$D$201&gt;=$A1624),0)),INDEX(IF($I1624="FIN",PERSONAL!$K$2:$K$80,PERSONAL!$G$2:$G$80),MATCH($B1624,PERSONAL!$A$2:$A$80,0)))))</f>
        <v/>
      </c>
      <c r="O1624" s="53">
        <f t="array" ref="O1624">IFERROR(INDEX(EXCEPCIONES_FECHA!$F$2:$F$201,MATCH(1,(EXCEPCIONES_FECHA!$A$2:$A$201=$A1624)*(EXCEPCIONES_FECHA!$B$2:$B$201=$B1624),0)),IFERROR(INDEX(EXCEPCIONES_FECHA!$F$2:$F$201,MATCH(1,(EXCEPCIONES_FECHA!$A$2:$A$201=$A1624)*(EXCEPCIONES_FECHA!$B$2:$B$201=""),0)),IFERROR(INDEX(IF($I1624="FIN",HISTORIAL_HORARIOS!$L$2:$L$201,HISTORIAL_HORARIOS!$H$2:$H$201),MATCH(1,(HISTORIAL_HORARIOS!$A$2:$A$201=$B1624)*(HISTORIAL_HORARIOS!$C$2:$C$201&lt;=$A1624)*(HISTORIAL_HORARIOS!$D$2:$D$201&gt;=$A1624),0)),INDEX(IF($I1624="FIN",PERSONAL!$L$2:$L$80,PERSONAL!$H$2:$H$80),MATCH($B1624,PERSONAL!$A$2:$A$80,0)))))</f>
        <v/>
      </c>
    </row>
    <row r="1625" ht="15" customHeight="1" s="58">
      <c r="A1625" s="40" t="n"/>
      <c r="B1625" s="38" t="n"/>
      <c r="C1625" s="40" t="n"/>
      <c r="D1625" s="40" t="n"/>
      <c r="E1625" s="34">
        <f t="array" ref="E1625">IF($B1625="","",IFERROR(INDEX(PERSONAL!$B$2:$B$80,MATCH($B1625,PERSONAL!$A$2:$A$80,0)),"NO EXISTE"))</f>
        <v/>
      </c>
      <c r="F1625" s="34">
        <f t="array" ref="F1625">IF($B1625="","",IFERROR(INDEX(PERSONAL!$C$2:$C$80,MATCH($B1625,PERSONAL!$A$2:$A$80,0)),""))</f>
        <v/>
      </c>
      <c r="G1625" s="34">
        <f>IF($A1625="","",CHOOSE(WEEKDAY($A1625,2),"LUNES","MARTES","MIÉRCOLES","JUEVES","VIERNES","SÁBADO","DOMINGO"))</f>
        <v/>
      </c>
      <c r="H1625" s="34">
        <f>IF($A1625="","",CHOOSE(MONTH($A1625),"ENERO","FEBRERO","MARZO","ABRIL","MAYO","JUNIO","JULIO","AGOSTO","SEPTIEMBRE","OCTUBRE","NOVIEMBRE","DICIEMBRE"))</f>
        <v/>
      </c>
      <c r="I1625" s="34">
        <f>IF($A1625="","",IF(OR($G1625="SÁBADO",$G1625="DOMINGO"),"FIN","LV"))</f>
        <v/>
      </c>
      <c r="J1625" s="34">
        <f>IF(OR($A1625="",$B1625=""),"",IF($L1625&lt;&gt;"",UPPER($L1625),IF($C1625="","FALTA",IFERROR(IF($C1625&gt;=$O1625,"ROJO FUERTE",IF($C1625&gt;=$N1625,"ROJO",IF($C1625&gt;=$M1625,"AMARILLO","VERDE"))),"REVISAR"))))</f>
        <v/>
      </c>
      <c r="K1625" s="36">
        <f>IF(OR($C1625="",$D1625=""),"",IF($D1625&gt;=$C1625,($D1625-$C1625)*24,(1-$C1625+$D1625)*24))</f>
        <v/>
      </c>
      <c r="L1625" s="34" t="n"/>
      <c r="M1625" s="53">
        <f t="array" ref="M1625">IFERROR(INDEX(EXCEPCIONES_FECHA!$D$2:$D$201,MATCH(1,(EXCEPCIONES_FECHA!$A$2:$A$201=$A1625)*(EXCEPCIONES_FECHA!$B$2:$B$201=$B1625),0)),IFERROR(INDEX(EXCEPCIONES_FECHA!$D$2:$D$201,MATCH(1,(EXCEPCIONES_FECHA!$A$2:$A$201=$A1625)*(EXCEPCIONES_FECHA!$B$2:$B$201=""),0)),IFERROR(INDEX(IF($I1625="FIN",HISTORIAL_HORARIOS!$J$2:$J$201,HISTORIAL_HORARIOS!$F$2:$F$201),MATCH(1,(HISTORIAL_HORARIOS!$A$2:$A$201=$B1625)*(HISTORIAL_HORARIOS!$C$2:$C$201&lt;=$A1625)*(HISTORIAL_HORARIOS!$D$2:$D$201&gt;=$A1625),0)),INDEX(IF($I1625="FIN",PERSONAL!$J$2:$J$80,PERSONAL!$F$2:$F$80),MATCH($B1625,PERSONAL!$A$2:$A$80,0)))))</f>
        <v/>
      </c>
      <c r="N1625" s="53">
        <f t="array" ref="N1625">IFERROR(INDEX(EXCEPCIONES_FECHA!$E$2:$E$201,MATCH(1,(EXCEPCIONES_FECHA!$A$2:$A$201=$A1625)*(EXCEPCIONES_FECHA!$B$2:$B$201=$B1625),0)),IFERROR(INDEX(EXCEPCIONES_FECHA!$E$2:$E$201,MATCH(1,(EXCEPCIONES_FECHA!$A$2:$A$201=$A1625)*(EXCEPCIONES_FECHA!$B$2:$B$201=""),0)),IFERROR(INDEX(IF($I1625="FIN",HISTORIAL_HORARIOS!$K$2:$K$201,HISTORIAL_HORARIOS!$G$2:$G$201),MATCH(1,(HISTORIAL_HORARIOS!$A$2:$A$201=$B1625)*(HISTORIAL_HORARIOS!$C$2:$C$201&lt;=$A1625)*(HISTORIAL_HORARIOS!$D$2:$D$201&gt;=$A1625),0)),INDEX(IF($I1625="FIN",PERSONAL!$K$2:$K$80,PERSONAL!$G$2:$G$80),MATCH($B1625,PERSONAL!$A$2:$A$80,0)))))</f>
        <v/>
      </c>
      <c r="O1625" s="53">
        <f t="array" ref="O1625">IFERROR(INDEX(EXCEPCIONES_FECHA!$F$2:$F$201,MATCH(1,(EXCEPCIONES_FECHA!$A$2:$A$201=$A1625)*(EXCEPCIONES_FECHA!$B$2:$B$201=$B1625),0)),IFERROR(INDEX(EXCEPCIONES_FECHA!$F$2:$F$201,MATCH(1,(EXCEPCIONES_FECHA!$A$2:$A$201=$A1625)*(EXCEPCIONES_FECHA!$B$2:$B$201=""),0)),IFERROR(INDEX(IF($I1625="FIN",HISTORIAL_HORARIOS!$L$2:$L$201,HISTORIAL_HORARIOS!$H$2:$H$201),MATCH(1,(HISTORIAL_HORARIOS!$A$2:$A$201=$B1625)*(HISTORIAL_HORARIOS!$C$2:$C$201&lt;=$A1625)*(HISTORIAL_HORARIOS!$D$2:$D$201&gt;=$A1625),0)),INDEX(IF($I1625="FIN",PERSONAL!$L$2:$L$80,PERSONAL!$H$2:$H$80),MATCH($B1625,PERSONAL!$A$2:$A$80,0)))))</f>
        <v/>
      </c>
    </row>
    <row r="1626" ht="15" customHeight="1" s="58">
      <c r="A1626" s="40" t="n"/>
      <c r="B1626" s="38" t="n"/>
      <c r="C1626" s="40" t="n"/>
      <c r="D1626" s="40" t="n"/>
      <c r="E1626" s="34">
        <f t="array" ref="E1626">IF($B1626="","",IFERROR(INDEX(PERSONAL!$B$2:$B$80,MATCH($B1626,PERSONAL!$A$2:$A$80,0)),"NO EXISTE"))</f>
        <v/>
      </c>
      <c r="F1626" s="34">
        <f t="array" ref="F1626">IF($B1626="","",IFERROR(INDEX(PERSONAL!$C$2:$C$80,MATCH($B1626,PERSONAL!$A$2:$A$80,0)),""))</f>
        <v/>
      </c>
      <c r="G1626" s="34">
        <f>IF($A1626="","",CHOOSE(WEEKDAY($A1626,2),"LUNES","MARTES","MIÉRCOLES","JUEVES","VIERNES","SÁBADO","DOMINGO"))</f>
        <v/>
      </c>
      <c r="H1626" s="34">
        <f>IF($A1626="","",CHOOSE(MONTH($A1626),"ENERO","FEBRERO","MARZO","ABRIL","MAYO","JUNIO","JULIO","AGOSTO","SEPTIEMBRE","OCTUBRE","NOVIEMBRE","DICIEMBRE"))</f>
        <v/>
      </c>
      <c r="I1626" s="34">
        <f>IF($A1626="","",IF(OR($G1626="SÁBADO",$G1626="DOMINGO"),"FIN","LV"))</f>
        <v/>
      </c>
      <c r="J1626" s="34">
        <f>IF(OR($A1626="",$B1626=""),"",IF($L1626&lt;&gt;"",UPPER($L1626),IF($C1626="","FALTA",IFERROR(IF($C1626&gt;=$O1626,"ROJO FUERTE",IF($C1626&gt;=$N1626,"ROJO",IF($C1626&gt;=$M1626,"AMARILLO","VERDE"))),"REVISAR"))))</f>
        <v/>
      </c>
      <c r="K1626" s="36">
        <f>IF(OR($C1626="",$D1626=""),"",IF($D1626&gt;=$C1626,($D1626-$C1626)*24,(1-$C1626+$D1626)*24))</f>
        <v/>
      </c>
      <c r="L1626" s="34" t="n"/>
      <c r="M1626" s="53">
        <f t="array" ref="M1626">IFERROR(INDEX(EXCEPCIONES_FECHA!$D$2:$D$201,MATCH(1,(EXCEPCIONES_FECHA!$A$2:$A$201=$A1626)*(EXCEPCIONES_FECHA!$B$2:$B$201=$B1626),0)),IFERROR(INDEX(EXCEPCIONES_FECHA!$D$2:$D$201,MATCH(1,(EXCEPCIONES_FECHA!$A$2:$A$201=$A1626)*(EXCEPCIONES_FECHA!$B$2:$B$201=""),0)),IFERROR(INDEX(IF($I1626="FIN",HISTORIAL_HORARIOS!$J$2:$J$201,HISTORIAL_HORARIOS!$F$2:$F$201),MATCH(1,(HISTORIAL_HORARIOS!$A$2:$A$201=$B1626)*(HISTORIAL_HORARIOS!$C$2:$C$201&lt;=$A1626)*(HISTORIAL_HORARIOS!$D$2:$D$201&gt;=$A1626),0)),INDEX(IF($I1626="FIN",PERSONAL!$J$2:$J$80,PERSONAL!$F$2:$F$80),MATCH($B1626,PERSONAL!$A$2:$A$80,0)))))</f>
        <v/>
      </c>
      <c r="N1626" s="53">
        <f t="array" ref="N1626">IFERROR(INDEX(EXCEPCIONES_FECHA!$E$2:$E$201,MATCH(1,(EXCEPCIONES_FECHA!$A$2:$A$201=$A1626)*(EXCEPCIONES_FECHA!$B$2:$B$201=$B1626),0)),IFERROR(INDEX(EXCEPCIONES_FECHA!$E$2:$E$201,MATCH(1,(EXCEPCIONES_FECHA!$A$2:$A$201=$A1626)*(EXCEPCIONES_FECHA!$B$2:$B$201=""),0)),IFERROR(INDEX(IF($I1626="FIN",HISTORIAL_HORARIOS!$K$2:$K$201,HISTORIAL_HORARIOS!$G$2:$G$201),MATCH(1,(HISTORIAL_HORARIOS!$A$2:$A$201=$B1626)*(HISTORIAL_HORARIOS!$C$2:$C$201&lt;=$A1626)*(HISTORIAL_HORARIOS!$D$2:$D$201&gt;=$A1626),0)),INDEX(IF($I1626="FIN",PERSONAL!$K$2:$K$80,PERSONAL!$G$2:$G$80),MATCH($B1626,PERSONAL!$A$2:$A$80,0)))))</f>
        <v/>
      </c>
      <c r="O1626" s="53">
        <f t="array" ref="O1626">IFERROR(INDEX(EXCEPCIONES_FECHA!$F$2:$F$201,MATCH(1,(EXCEPCIONES_FECHA!$A$2:$A$201=$A1626)*(EXCEPCIONES_FECHA!$B$2:$B$201=$B1626),0)),IFERROR(INDEX(EXCEPCIONES_FECHA!$F$2:$F$201,MATCH(1,(EXCEPCIONES_FECHA!$A$2:$A$201=$A1626)*(EXCEPCIONES_FECHA!$B$2:$B$201=""),0)),IFERROR(INDEX(IF($I1626="FIN",HISTORIAL_HORARIOS!$L$2:$L$201,HISTORIAL_HORARIOS!$H$2:$H$201),MATCH(1,(HISTORIAL_HORARIOS!$A$2:$A$201=$B1626)*(HISTORIAL_HORARIOS!$C$2:$C$201&lt;=$A1626)*(HISTORIAL_HORARIOS!$D$2:$D$201&gt;=$A1626),0)),INDEX(IF($I1626="FIN",PERSONAL!$L$2:$L$80,PERSONAL!$H$2:$H$80),MATCH($B1626,PERSONAL!$A$2:$A$80,0)))))</f>
        <v/>
      </c>
    </row>
    <row r="1627" ht="15" customHeight="1" s="58">
      <c r="A1627" s="40" t="n"/>
      <c r="B1627" s="38" t="n"/>
      <c r="C1627" s="40" t="n"/>
      <c r="D1627" s="40" t="n"/>
      <c r="E1627" s="34">
        <f t="array" ref="E1627">IF($B1627="","",IFERROR(INDEX(PERSONAL!$B$2:$B$80,MATCH($B1627,PERSONAL!$A$2:$A$80,0)),"NO EXISTE"))</f>
        <v/>
      </c>
      <c r="F1627" s="34">
        <f t="array" ref="F1627">IF($B1627="","",IFERROR(INDEX(PERSONAL!$C$2:$C$80,MATCH($B1627,PERSONAL!$A$2:$A$80,0)),""))</f>
        <v/>
      </c>
      <c r="G1627" s="34">
        <f>IF($A1627="","",CHOOSE(WEEKDAY($A1627,2),"LUNES","MARTES","MIÉRCOLES","JUEVES","VIERNES","SÁBADO","DOMINGO"))</f>
        <v/>
      </c>
      <c r="H1627" s="34">
        <f>IF($A1627="","",CHOOSE(MONTH($A1627),"ENERO","FEBRERO","MARZO","ABRIL","MAYO","JUNIO","JULIO","AGOSTO","SEPTIEMBRE","OCTUBRE","NOVIEMBRE","DICIEMBRE"))</f>
        <v/>
      </c>
      <c r="I1627" s="34">
        <f>IF($A1627="","",IF(OR($G1627="SÁBADO",$G1627="DOMINGO"),"FIN","LV"))</f>
        <v/>
      </c>
      <c r="J1627" s="34">
        <f>IF(OR($A1627="",$B1627=""),"",IF($L1627&lt;&gt;"",UPPER($L1627),IF($C1627="","FALTA",IFERROR(IF($C1627&gt;=$O1627,"ROJO FUERTE",IF($C1627&gt;=$N1627,"ROJO",IF($C1627&gt;=$M1627,"AMARILLO","VERDE"))),"REVISAR"))))</f>
        <v/>
      </c>
      <c r="K1627" s="36">
        <f>IF(OR($C1627="",$D1627=""),"",IF($D1627&gt;=$C1627,($D1627-$C1627)*24,(1-$C1627+$D1627)*24))</f>
        <v/>
      </c>
      <c r="L1627" s="34" t="n"/>
      <c r="M1627" s="53">
        <f t="array" ref="M1627">IFERROR(INDEX(EXCEPCIONES_FECHA!$D$2:$D$201,MATCH(1,(EXCEPCIONES_FECHA!$A$2:$A$201=$A1627)*(EXCEPCIONES_FECHA!$B$2:$B$201=$B1627),0)),IFERROR(INDEX(EXCEPCIONES_FECHA!$D$2:$D$201,MATCH(1,(EXCEPCIONES_FECHA!$A$2:$A$201=$A1627)*(EXCEPCIONES_FECHA!$B$2:$B$201=""),0)),IFERROR(INDEX(IF($I1627="FIN",HISTORIAL_HORARIOS!$J$2:$J$201,HISTORIAL_HORARIOS!$F$2:$F$201),MATCH(1,(HISTORIAL_HORARIOS!$A$2:$A$201=$B1627)*(HISTORIAL_HORARIOS!$C$2:$C$201&lt;=$A1627)*(HISTORIAL_HORARIOS!$D$2:$D$201&gt;=$A1627),0)),INDEX(IF($I1627="FIN",PERSONAL!$J$2:$J$80,PERSONAL!$F$2:$F$80),MATCH($B1627,PERSONAL!$A$2:$A$80,0)))))</f>
        <v/>
      </c>
      <c r="N1627" s="53">
        <f t="array" ref="N1627">IFERROR(INDEX(EXCEPCIONES_FECHA!$E$2:$E$201,MATCH(1,(EXCEPCIONES_FECHA!$A$2:$A$201=$A1627)*(EXCEPCIONES_FECHA!$B$2:$B$201=$B1627),0)),IFERROR(INDEX(EXCEPCIONES_FECHA!$E$2:$E$201,MATCH(1,(EXCEPCIONES_FECHA!$A$2:$A$201=$A1627)*(EXCEPCIONES_FECHA!$B$2:$B$201=""),0)),IFERROR(INDEX(IF($I1627="FIN",HISTORIAL_HORARIOS!$K$2:$K$201,HISTORIAL_HORARIOS!$G$2:$G$201),MATCH(1,(HISTORIAL_HORARIOS!$A$2:$A$201=$B1627)*(HISTORIAL_HORARIOS!$C$2:$C$201&lt;=$A1627)*(HISTORIAL_HORARIOS!$D$2:$D$201&gt;=$A1627),0)),INDEX(IF($I1627="FIN",PERSONAL!$K$2:$K$80,PERSONAL!$G$2:$G$80),MATCH($B1627,PERSONAL!$A$2:$A$80,0)))))</f>
        <v/>
      </c>
      <c r="O1627" s="53">
        <f t="array" ref="O1627">IFERROR(INDEX(EXCEPCIONES_FECHA!$F$2:$F$201,MATCH(1,(EXCEPCIONES_FECHA!$A$2:$A$201=$A1627)*(EXCEPCIONES_FECHA!$B$2:$B$201=$B1627),0)),IFERROR(INDEX(EXCEPCIONES_FECHA!$F$2:$F$201,MATCH(1,(EXCEPCIONES_FECHA!$A$2:$A$201=$A1627)*(EXCEPCIONES_FECHA!$B$2:$B$201=""),0)),IFERROR(INDEX(IF($I1627="FIN",HISTORIAL_HORARIOS!$L$2:$L$201,HISTORIAL_HORARIOS!$H$2:$H$201),MATCH(1,(HISTORIAL_HORARIOS!$A$2:$A$201=$B1627)*(HISTORIAL_HORARIOS!$C$2:$C$201&lt;=$A1627)*(HISTORIAL_HORARIOS!$D$2:$D$201&gt;=$A1627),0)),INDEX(IF($I1627="FIN",PERSONAL!$L$2:$L$80,PERSONAL!$H$2:$H$80),MATCH($B1627,PERSONAL!$A$2:$A$80,0)))))</f>
        <v/>
      </c>
    </row>
    <row r="1628" ht="15" customHeight="1" s="58">
      <c r="A1628" s="40" t="n"/>
      <c r="B1628" s="38" t="n"/>
      <c r="C1628" s="40" t="n"/>
      <c r="D1628" s="40" t="n"/>
      <c r="E1628" s="34">
        <f t="array" ref="E1628">IF($B1628="","",IFERROR(INDEX(PERSONAL!$B$2:$B$80,MATCH($B1628,PERSONAL!$A$2:$A$80,0)),"NO EXISTE"))</f>
        <v/>
      </c>
      <c r="F1628" s="34">
        <f t="array" ref="F1628">IF($B1628="","",IFERROR(INDEX(PERSONAL!$C$2:$C$80,MATCH($B1628,PERSONAL!$A$2:$A$80,0)),""))</f>
        <v/>
      </c>
      <c r="G1628" s="34">
        <f>IF($A1628="","",CHOOSE(WEEKDAY($A1628,2),"LUNES","MARTES","MIÉRCOLES","JUEVES","VIERNES","SÁBADO","DOMINGO"))</f>
        <v/>
      </c>
      <c r="H1628" s="34">
        <f>IF($A1628="","",CHOOSE(MONTH($A1628),"ENERO","FEBRERO","MARZO","ABRIL","MAYO","JUNIO","JULIO","AGOSTO","SEPTIEMBRE","OCTUBRE","NOVIEMBRE","DICIEMBRE"))</f>
        <v/>
      </c>
      <c r="I1628" s="34">
        <f>IF($A1628="","",IF(OR($G1628="SÁBADO",$G1628="DOMINGO"),"FIN","LV"))</f>
        <v/>
      </c>
      <c r="J1628" s="34">
        <f>IF(OR($A1628="",$B1628=""),"",IF($L1628&lt;&gt;"",UPPER($L1628),IF($C1628="","FALTA",IFERROR(IF($C1628&gt;=$O1628,"ROJO FUERTE",IF($C1628&gt;=$N1628,"ROJO",IF($C1628&gt;=$M1628,"AMARILLO","VERDE"))),"REVISAR"))))</f>
        <v/>
      </c>
      <c r="K1628" s="36">
        <f>IF(OR($C1628="",$D1628=""),"",IF($D1628&gt;=$C1628,($D1628-$C1628)*24,(1-$C1628+$D1628)*24))</f>
        <v/>
      </c>
      <c r="L1628" s="34" t="n"/>
      <c r="M1628" s="53">
        <f t="array" ref="M1628">IFERROR(INDEX(EXCEPCIONES_FECHA!$D$2:$D$201,MATCH(1,(EXCEPCIONES_FECHA!$A$2:$A$201=$A1628)*(EXCEPCIONES_FECHA!$B$2:$B$201=$B1628),0)),IFERROR(INDEX(EXCEPCIONES_FECHA!$D$2:$D$201,MATCH(1,(EXCEPCIONES_FECHA!$A$2:$A$201=$A1628)*(EXCEPCIONES_FECHA!$B$2:$B$201=""),0)),IFERROR(INDEX(IF($I1628="FIN",HISTORIAL_HORARIOS!$J$2:$J$201,HISTORIAL_HORARIOS!$F$2:$F$201),MATCH(1,(HISTORIAL_HORARIOS!$A$2:$A$201=$B1628)*(HISTORIAL_HORARIOS!$C$2:$C$201&lt;=$A1628)*(HISTORIAL_HORARIOS!$D$2:$D$201&gt;=$A1628),0)),INDEX(IF($I1628="FIN",PERSONAL!$J$2:$J$80,PERSONAL!$F$2:$F$80),MATCH($B1628,PERSONAL!$A$2:$A$80,0)))))</f>
        <v/>
      </c>
      <c r="N1628" s="53">
        <f t="array" ref="N1628">IFERROR(INDEX(EXCEPCIONES_FECHA!$E$2:$E$201,MATCH(1,(EXCEPCIONES_FECHA!$A$2:$A$201=$A1628)*(EXCEPCIONES_FECHA!$B$2:$B$201=$B1628),0)),IFERROR(INDEX(EXCEPCIONES_FECHA!$E$2:$E$201,MATCH(1,(EXCEPCIONES_FECHA!$A$2:$A$201=$A1628)*(EXCEPCIONES_FECHA!$B$2:$B$201=""),0)),IFERROR(INDEX(IF($I1628="FIN",HISTORIAL_HORARIOS!$K$2:$K$201,HISTORIAL_HORARIOS!$G$2:$G$201),MATCH(1,(HISTORIAL_HORARIOS!$A$2:$A$201=$B1628)*(HISTORIAL_HORARIOS!$C$2:$C$201&lt;=$A1628)*(HISTORIAL_HORARIOS!$D$2:$D$201&gt;=$A1628),0)),INDEX(IF($I1628="FIN",PERSONAL!$K$2:$K$80,PERSONAL!$G$2:$G$80),MATCH($B1628,PERSONAL!$A$2:$A$80,0)))))</f>
        <v/>
      </c>
      <c r="O1628" s="53">
        <f t="array" ref="O1628">IFERROR(INDEX(EXCEPCIONES_FECHA!$F$2:$F$201,MATCH(1,(EXCEPCIONES_FECHA!$A$2:$A$201=$A1628)*(EXCEPCIONES_FECHA!$B$2:$B$201=$B1628),0)),IFERROR(INDEX(EXCEPCIONES_FECHA!$F$2:$F$201,MATCH(1,(EXCEPCIONES_FECHA!$A$2:$A$201=$A1628)*(EXCEPCIONES_FECHA!$B$2:$B$201=""),0)),IFERROR(INDEX(IF($I1628="FIN",HISTORIAL_HORARIOS!$L$2:$L$201,HISTORIAL_HORARIOS!$H$2:$H$201),MATCH(1,(HISTORIAL_HORARIOS!$A$2:$A$201=$B1628)*(HISTORIAL_HORARIOS!$C$2:$C$201&lt;=$A1628)*(HISTORIAL_HORARIOS!$D$2:$D$201&gt;=$A1628),0)),INDEX(IF($I1628="FIN",PERSONAL!$L$2:$L$80,PERSONAL!$H$2:$H$80),MATCH($B1628,PERSONAL!$A$2:$A$80,0)))))</f>
        <v/>
      </c>
    </row>
    <row r="1629" ht="15" customHeight="1" s="58">
      <c r="A1629" s="40" t="n"/>
      <c r="B1629" s="38" t="n"/>
      <c r="C1629" s="40" t="n"/>
      <c r="D1629" s="40" t="n"/>
      <c r="E1629" s="34">
        <f t="array" ref="E1629">IF($B1629="","",IFERROR(INDEX(PERSONAL!$B$2:$B$80,MATCH($B1629,PERSONAL!$A$2:$A$80,0)),"NO EXISTE"))</f>
        <v/>
      </c>
      <c r="F1629" s="34">
        <f t="array" ref="F1629">IF($B1629="","",IFERROR(INDEX(PERSONAL!$C$2:$C$80,MATCH($B1629,PERSONAL!$A$2:$A$80,0)),""))</f>
        <v/>
      </c>
      <c r="G1629" s="34">
        <f>IF($A1629="","",CHOOSE(WEEKDAY($A1629,2),"LUNES","MARTES","MIÉRCOLES","JUEVES","VIERNES","SÁBADO","DOMINGO"))</f>
        <v/>
      </c>
      <c r="H1629" s="34">
        <f>IF($A1629="","",CHOOSE(MONTH($A1629),"ENERO","FEBRERO","MARZO","ABRIL","MAYO","JUNIO","JULIO","AGOSTO","SEPTIEMBRE","OCTUBRE","NOVIEMBRE","DICIEMBRE"))</f>
        <v/>
      </c>
      <c r="I1629" s="34">
        <f>IF($A1629="","",IF(OR($G1629="SÁBADO",$G1629="DOMINGO"),"FIN","LV"))</f>
        <v/>
      </c>
      <c r="J1629" s="34">
        <f>IF(OR($A1629="",$B1629=""),"",IF($L1629&lt;&gt;"",UPPER($L1629),IF($C1629="","FALTA",IFERROR(IF($C1629&gt;=$O1629,"ROJO FUERTE",IF($C1629&gt;=$N1629,"ROJO",IF($C1629&gt;=$M1629,"AMARILLO","VERDE"))),"REVISAR"))))</f>
        <v/>
      </c>
      <c r="K1629" s="36">
        <f>IF(OR($C1629="",$D1629=""),"",IF($D1629&gt;=$C1629,($D1629-$C1629)*24,(1-$C1629+$D1629)*24))</f>
        <v/>
      </c>
      <c r="L1629" s="34" t="n"/>
      <c r="M1629" s="53">
        <f t="array" ref="M1629">IFERROR(INDEX(EXCEPCIONES_FECHA!$D$2:$D$201,MATCH(1,(EXCEPCIONES_FECHA!$A$2:$A$201=$A1629)*(EXCEPCIONES_FECHA!$B$2:$B$201=$B1629),0)),IFERROR(INDEX(EXCEPCIONES_FECHA!$D$2:$D$201,MATCH(1,(EXCEPCIONES_FECHA!$A$2:$A$201=$A1629)*(EXCEPCIONES_FECHA!$B$2:$B$201=""),0)),IFERROR(INDEX(IF($I1629="FIN",HISTORIAL_HORARIOS!$J$2:$J$201,HISTORIAL_HORARIOS!$F$2:$F$201),MATCH(1,(HISTORIAL_HORARIOS!$A$2:$A$201=$B1629)*(HISTORIAL_HORARIOS!$C$2:$C$201&lt;=$A1629)*(HISTORIAL_HORARIOS!$D$2:$D$201&gt;=$A1629),0)),INDEX(IF($I1629="FIN",PERSONAL!$J$2:$J$80,PERSONAL!$F$2:$F$80),MATCH($B1629,PERSONAL!$A$2:$A$80,0)))))</f>
        <v/>
      </c>
      <c r="N1629" s="53">
        <f t="array" ref="N1629">IFERROR(INDEX(EXCEPCIONES_FECHA!$E$2:$E$201,MATCH(1,(EXCEPCIONES_FECHA!$A$2:$A$201=$A1629)*(EXCEPCIONES_FECHA!$B$2:$B$201=$B1629),0)),IFERROR(INDEX(EXCEPCIONES_FECHA!$E$2:$E$201,MATCH(1,(EXCEPCIONES_FECHA!$A$2:$A$201=$A1629)*(EXCEPCIONES_FECHA!$B$2:$B$201=""),0)),IFERROR(INDEX(IF($I1629="FIN",HISTORIAL_HORARIOS!$K$2:$K$201,HISTORIAL_HORARIOS!$G$2:$G$201),MATCH(1,(HISTORIAL_HORARIOS!$A$2:$A$201=$B1629)*(HISTORIAL_HORARIOS!$C$2:$C$201&lt;=$A1629)*(HISTORIAL_HORARIOS!$D$2:$D$201&gt;=$A1629),0)),INDEX(IF($I1629="FIN",PERSONAL!$K$2:$K$80,PERSONAL!$G$2:$G$80),MATCH($B1629,PERSONAL!$A$2:$A$80,0)))))</f>
        <v/>
      </c>
      <c r="O1629" s="53">
        <f t="array" ref="O1629">IFERROR(INDEX(EXCEPCIONES_FECHA!$F$2:$F$201,MATCH(1,(EXCEPCIONES_FECHA!$A$2:$A$201=$A1629)*(EXCEPCIONES_FECHA!$B$2:$B$201=$B1629),0)),IFERROR(INDEX(EXCEPCIONES_FECHA!$F$2:$F$201,MATCH(1,(EXCEPCIONES_FECHA!$A$2:$A$201=$A1629)*(EXCEPCIONES_FECHA!$B$2:$B$201=""),0)),IFERROR(INDEX(IF($I1629="FIN",HISTORIAL_HORARIOS!$L$2:$L$201,HISTORIAL_HORARIOS!$H$2:$H$201),MATCH(1,(HISTORIAL_HORARIOS!$A$2:$A$201=$B1629)*(HISTORIAL_HORARIOS!$C$2:$C$201&lt;=$A1629)*(HISTORIAL_HORARIOS!$D$2:$D$201&gt;=$A1629),0)),INDEX(IF($I1629="FIN",PERSONAL!$L$2:$L$80,PERSONAL!$H$2:$H$80),MATCH($B1629,PERSONAL!$A$2:$A$80,0)))))</f>
        <v/>
      </c>
    </row>
    <row r="1630" ht="15" customHeight="1" s="58">
      <c r="A1630" s="40" t="n"/>
      <c r="B1630" s="38" t="n"/>
      <c r="C1630" s="40" t="n"/>
      <c r="D1630" s="40" t="n"/>
      <c r="E1630" s="34">
        <f t="array" ref="E1630">IF($B1630="","",IFERROR(INDEX(PERSONAL!$B$2:$B$80,MATCH($B1630,PERSONAL!$A$2:$A$80,0)),"NO EXISTE"))</f>
        <v/>
      </c>
      <c r="F1630" s="34">
        <f t="array" ref="F1630">IF($B1630="","",IFERROR(INDEX(PERSONAL!$C$2:$C$80,MATCH($B1630,PERSONAL!$A$2:$A$80,0)),""))</f>
        <v/>
      </c>
      <c r="G1630" s="34">
        <f>IF($A1630="","",CHOOSE(WEEKDAY($A1630,2),"LUNES","MARTES","MIÉRCOLES","JUEVES","VIERNES","SÁBADO","DOMINGO"))</f>
        <v/>
      </c>
      <c r="H1630" s="34">
        <f>IF($A1630="","",CHOOSE(MONTH($A1630),"ENERO","FEBRERO","MARZO","ABRIL","MAYO","JUNIO","JULIO","AGOSTO","SEPTIEMBRE","OCTUBRE","NOVIEMBRE","DICIEMBRE"))</f>
        <v/>
      </c>
      <c r="I1630" s="34">
        <f>IF($A1630="","",IF(OR($G1630="SÁBADO",$G1630="DOMINGO"),"FIN","LV"))</f>
        <v/>
      </c>
      <c r="J1630" s="34">
        <f>IF(OR($A1630="",$B1630=""),"",IF($L1630&lt;&gt;"",UPPER($L1630),IF($C1630="","FALTA",IFERROR(IF($C1630&gt;=$O1630,"ROJO FUERTE",IF($C1630&gt;=$N1630,"ROJO",IF($C1630&gt;=$M1630,"AMARILLO","VERDE"))),"REVISAR"))))</f>
        <v/>
      </c>
      <c r="K1630" s="36">
        <f>IF(OR($C1630="",$D1630=""),"",IF($D1630&gt;=$C1630,($D1630-$C1630)*24,(1-$C1630+$D1630)*24))</f>
        <v/>
      </c>
      <c r="L1630" s="34" t="n"/>
      <c r="M1630" s="53">
        <f t="array" ref="M1630">IFERROR(INDEX(EXCEPCIONES_FECHA!$D$2:$D$201,MATCH(1,(EXCEPCIONES_FECHA!$A$2:$A$201=$A1630)*(EXCEPCIONES_FECHA!$B$2:$B$201=$B1630),0)),IFERROR(INDEX(EXCEPCIONES_FECHA!$D$2:$D$201,MATCH(1,(EXCEPCIONES_FECHA!$A$2:$A$201=$A1630)*(EXCEPCIONES_FECHA!$B$2:$B$201=""),0)),IFERROR(INDEX(IF($I1630="FIN",HISTORIAL_HORARIOS!$J$2:$J$201,HISTORIAL_HORARIOS!$F$2:$F$201),MATCH(1,(HISTORIAL_HORARIOS!$A$2:$A$201=$B1630)*(HISTORIAL_HORARIOS!$C$2:$C$201&lt;=$A1630)*(HISTORIAL_HORARIOS!$D$2:$D$201&gt;=$A1630),0)),INDEX(IF($I1630="FIN",PERSONAL!$J$2:$J$80,PERSONAL!$F$2:$F$80),MATCH($B1630,PERSONAL!$A$2:$A$80,0)))))</f>
        <v/>
      </c>
      <c r="N1630" s="53">
        <f t="array" ref="N1630">IFERROR(INDEX(EXCEPCIONES_FECHA!$E$2:$E$201,MATCH(1,(EXCEPCIONES_FECHA!$A$2:$A$201=$A1630)*(EXCEPCIONES_FECHA!$B$2:$B$201=$B1630),0)),IFERROR(INDEX(EXCEPCIONES_FECHA!$E$2:$E$201,MATCH(1,(EXCEPCIONES_FECHA!$A$2:$A$201=$A1630)*(EXCEPCIONES_FECHA!$B$2:$B$201=""),0)),IFERROR(INDEX(IF($I1630="FIN",HISTORIAL_HORARIOS!$K$2:$K$201,HISTORIAL_HORARIOS!$G$2:$G$201),MATCH(1,(HISTORIAL_HORARIOS!$A$2:$A$201=$B1630)*(HISTORIAL_HORARIOS!$C$2:$C$201&lt;=$A1630)*(HISTORIAL_HORARIOS!$D$2:$D$201&gt;=$A1630),0)),INDEX(IF($I1630="FIN",PERSONAL!$K$2:$K$80,PERSONAL!$G$2:$G$80),MATCH($B1630,PERSONAL!$A$2:$A$80,0)))))</f>
        <v/>
      </c>
      <c r="O1630" s="53">
        <f t="array" ref="O1630">IFERROR(INDEX(EXCEPCIONES_FECHA!$F$2:$F$201,MATCH(1,(EXCEPCIONES_FECHA!$A$2:$A$201=$A1630)*(EXCEPCIONES_FECHA!$B$2:$B$201=$B1630),0)),IFERROR(INDEX(EXCEPCIONES_FECHA!$F$2:$F$201,MATCH(1,(EXCEPCIONES_FECHA!$A$2:$A$201=$A1630)*(EXCEPCIONES_FECHA!$B$2:$B$201=""),0)),IFERROR(INDEX(IF($I1630="FIN",HISTORIAL_HORARIOS!$L$2:$L$201,HISTORIAL_HORARIOS!$H$2:$H$201),MATCH(1,(HISTORIAL_HORARIOS!$A$2:$A$201=$B1630)*(HISTORIAL_HORARIOS!$C$2:$C$201&lt;=$A1630)*(HISTORIAL_HORARIOS!$D$2:$D$201&gt;=$A1630),0)),INDEX(IF($I1630="FIN",PERSONAL!$L$2:$L$80,PERSONAL!$H$2:$H$80),MATCH($B1630,PERSONAL!$A$2:$A$80,0)))))</f>
        <v/>
      </c>
    </row>
    <row r="1631" ht="15" customHeight="1" s="58">
      <c r="A1631" s="40" t="n"/>
      <c r="B1631" s="38" t="n"/>
      <c r="C1631" s="40" t="n"/>
      <c r="D1631" s="40" t="n"/>
      <c r="E1631" s="34">
        <f t="array" ref="E1631">IF($B1631="","",IFERROR(INDEX(PERSONAL!$B$2:$B$80,MATCH($B1631,PERSONAL!$A$2:$A$80,0)),"NO EXISTE"))</f>
        <v/>
      </c>
      <c r="F1631" s="34">
        <f t="array" ref="F1631">IF($B1631="","",IFERROR(INDEX(PERSONAL!$C$2:$C$80,MATCH($B1631,PERSONAL!$A$2:$A$80,0)),""))</f>
        <v/>
      </c>
      <c r="G1631" s="34">
        <f>IF($A1631="","",CHOOSE(WEEKDAY($A1631,2),"LUNES","MARTES","MIÉRCOLES","JUEVES","VIERNES","SÁBADO","DOMINGO"))</f>
        <v/>
      </c>
      <c r="H1631" s="34">
        <f>IF($A1631="","",CHOOSE(MONTH($A1631),"ENERO","FEBRERO","MARZO","ABRIL","MAYO","JUNIO","JULIO","AGOSTO","SEPTIEMBRE","OCTUBRE","NOVIEMBRE","DICIEMBRE"))</f>
        <v/>
      </c>
      <c r="I1631" s="34">
        <f>IF($A1631="","",IF(OR($G1631="SÁBADO",$G1631="DOMINGO"),"FIN","LV"))</f>
        <v/>
      </c>
      <c r="J1631" s="34">
        <f>IF(OR($A1631="",$B1631=""),"",IF($L1631&lt;&gt;"",UPPER($L1631),IF($C1631="","FALTA",IFERROR(IF($C1631&gt;=$O1631,"ROJO FUERTE",IF($C1631&gt;=$N1631,"ROJO",IF($C1631&gt;=$M1631,"AMARILLO","VERDE"))),"REVISAR"))))</f>
        <v/>
      </c>
      <c r="K1631" s="36">
        <f>IF(OR($C1631="",$D1631=""),"",IF($D1631&gt;=$C1631,($D1631-$C1631)*24,(1-$C1631+$D1631)*24))</f>
        <v/>
      </c>
      <c r="L1631" s="34" t="n"/>
      <c r="M1631" s="53">
        <f t="array" ref="M1631">IFERROR(INDEX(EXCEPCIONES_FECHA!$D$2:$D$201,MATCH(1,(EXCEPCIONES_FECHA!$A$2:$A$201=$A1631)*(EXCEPCIONES_FECHA!$B$2:$B$201=$B1631),0)),IFERROR(INDEX(EXCEPCIONES_FECHA!$D$2:$D$201,MATCH(1,(EXCEPCIONES_FECHA!$A$2:$A$201=$A1631)*(EXCEPCIONES_FECHA!$B$2:$B$201=""),0)),IFERROR(INDEX(IF($I1631="FIN",HISTORIAL_HORARIOS!$J$2:$J$201,HISTORIAL_HORARIOS!$F$2:$F$201),MATCH(1,(HISTORIAL_HORARIOS!$A$2:$A$201=$B1631)*(HISTORIAL_HORARIOS!$C$2:$C$201&lt;=$A1631)*(HISTORIAL_HORARIOS!$D$2:$D$201&gt;=$A1631),0)),INDEX(IF($I1631="FIN",PERSONAL!$J$2:$J$80,PERSONAL!$F$2:$F$80),MATCH($B1631,PERSONAL!$A$2:$A$80,0)))))</f>
        <v/>
      </c>
      <c r="N1631" s="53">
        <f t="array" ref="N1631">IFERROR(INDEX(EXCEPCIONES_FECHA!$E$2:$E$201,MATCH(1,(EXCEPCIONES_FECHA!$A$2:$A$201=$A1631)*(EXCEPCIONES_FECHA!$B$2:$B$201=$B1631),0)),IFERROR(INDEX(EXCEPCIONES_FECHA!$E$2:$E$201,MATCH(1,(EXCEPCIONES_FECHA!$A$2:$A$201=$A1631)*(EXCEPCIONES_FECHA!$B$2:$B$201=""),0)),IFERROR(INDEX(IF($I1631="FIN",HISTORIAL_HORARIOS!$K$2:$K$201,HISTORIAL_HORARIOS!$G$2:$G$201),MATCH(1,(HISTORIAL_HORARIOS!$A$2:$A$201=$B1631)*(HISTORIAL_HORARIOS!$C$2:$C$201&lt;=$A1631)*(HISTORIAL_HORARIOS!$D$2:$D$201&gt;=$A1631),0)),INDEX(IF($I1631="FIN",PERSONAL!$K$2:$K$80,PERSONAL!$G$2:$G$80),MATCH($B1631,PERSONAL!$A$2:$A$80,0)))))</f>
        <v/>
      </c>
      <c r="O1631" s="53">
        <f t="array" ref="O1631">IFERROR(INDEX(EXCEPCIONES_FECHA!$F$2:$F$201,MATCH(1,(EXCEPCIONES_FECHA!$A$2:$A$201=$A1631)*(EXCEPCIONES_FECHA!$B$2:$B$201=$B1631),0)),IFERROR(INDEX(EXCEPCIONES_FECHA!$F$2:$F$201,MATCH(1,(EXCEPCIONES_FECHA!$A$2:$A$201=$A1631)*(EXCEPCIONES_FECHA!$B$2:$B$201=""),0)),IFERROR(INDEX(IF($I1631="FIN",HISTORIAL_HORARIOS!$L$2:$L$201,HISTORIAL_HORARIOS!$H$2:$H$201),MATCH(1,(HISTORIAL_HORARIOS!$A$2:$A$201=$B1631)*(HISTORIAL_HORARIOS!$C$2:$C$201&lt;=$A1631)*(HISTORIAL_HORARIOS!$D$2:$D$201&gt;=$A1631),0)),INDEX(IF($I1631="FIN",PERSONAL!$L$2:$L$80,PERSONAL!$H$2:$H$80),MATCH($B1631,PERSONAL!$A$2:$A$80,0)))))</f>
        <v/>
      </c>
    </row>
    <row r="1632" ht="15" customHeight="1" s="58">
      <c r="A1632" s="40" t="n"/>
      <c r="B1632" s="38" t="n"/>
      <c r="C1632" s="40" t="n"/>
      <c r="D1632" s="40" t="n"/>
      <c r="E1632" s="34">
        <f t="array" ref="E1632">IF($B1632="","",IFERROR(INDEX(PERSONAL!$B$2:$B$80,MATCH($B1632,PERSONAL!$A$2:$A$80,0)),"NO EXISTE"))</f>
        <v/>
      </c>
      <c r="F1632" s="34">
        <f t="array" ref="F1632">IF($B1632="","",IFERROR(INDEX(PERSONAL!$C$2:$C$80,MATCH($B1632,PERSONAL!$A$2:$A$80,0)),""))</f>
        <v/>
      </c>
      <c r="G1632" s="34">
        <f>IF($A1632="","",CHOOSE(WEEKDAY($A1632,2),"LUNES","MARTES","MIÉRCOLES","JUEVES","VIERNES","SÁBADO","DOMINGO"))</f>
        <v/>
      </c>
      <c r="H1632" s="34">
        <f>IF($A1632="","",CHOOSE(MONTH($A1632),"ENERO","FEBRERO","MARZO","ABRIL","MAYO","JUNIO","JULIO","AGOSTO","SEPTIEMBRE","OCTUBRE","NOVIEMBRE","DICIEMBRE"))</f>
        <v/>
      </c>
      <c r="I1632" s="34">
        <f>IF($A1632="","",IF(OR($G1632="SÁBADO",$G1632="DOMINGO"),"FIN","LV"))</f>
        <v/>
      </c>
      <c r="J1632" s="34">
        <f>IF(OR($A1632="",$B1632=""),"",IF($L1632&lt;&gt;"",UPPER($L1632),IF($C1632="","FALTA",IFERROR(IF($C1632&gt;=$O1632,"ROJO FUERTE",IF($C1632&gt;=$N1632,"ROJO",IF($C1632&gt;=$M1632,"AMARILLO","VERDE"))),"REVISAR"))))</f>
        <v/>
      </c>
      <c r="K1632" s="36">
        <f>IF(OR($C1632="",$D1632=""),"",IF($D1632&gt;=$C1632,($D1632-$C1632)*24,(1-$C1632+$D1632)*24))</f>
        <v/>
      </c>
      <c r="L1632" s="34" t="n"/>
      <c r="M1632" s="53">
        <f t="array" ref="M1632">IFERROR(INDEX(EXCEPCIONES_FECHA!$D$2:$D$201,MATCH(1,(EXCEPCIONES_FECHA!$A$2:$A$201=$A1632)*(EXCEPCIONES_FECHA!$B$2:$B$201=$B1632),0)),IFERROR(INDEX(EXCEPCIONES_FECHA!$D$2:$D$201,MATCH(1,(EXCEPCIONES_FECHA!$A$2:$A$201=$A1632)*(EXCEPCIONES_FECHA!$B$2:$B$201=""),0)),IFERROR(INDEX(IF($I1632="FIN",HISTORIAL_HORARIOS!$J$2:$J$201,HISTORIAL_HORARIOS!$F$2:$F$201),MATCH(1,(HISTORIAL_HORARIOS!$A$2:$A$201=$B1632)*(HISTORIAL_HORARIOS!$C$2:$C$201&lt;=$A1632)*(HISTORIAL_HORARIOS!$D$2:$D$201&gt;=$A1632),0)),INDEX(IF($I1632="FIN",PERSONAL!$J$2:$J$80,PERSONAL!$F$2:$F$80),MATCH($B1632,PERSONAL!$A$2:$A$80,0)))))</f>
        <v/>
      </c>
      <c r="N1632" s="53">
        <f t="array" ref="N1632">IFERROR(INDEX(EXCEPCIONES_FECHA!$E$2:$E$201,MATCH(1,(EXCEPCIONES_FECHA!$A$2:$A$201=$A1632)*(EXCEPCIONES_FECHA!$B$2:$B$201=$B1632),0)),IFERROR(INDEX(EXCEPCIONES_FECHA!$E$2:$E$201,MATCH(1,(EXCEPCIONES_FECHA!$A$2:$A$201=$A1632)*(EXCEPCIONES_FECHA!$B$2:$B$201=""),0)),IFERROR(INDEX(IF($I1632="FIN",HISTORIAL_HORARIOS!$K$2:$K$201,HISTORIAL_HORARIOS!$G$2:$G$201),MATCH(1,(HISTORIAL_HORARIOS!$A$2:$A$201=$B1632)*(HISTORIAL_HORARIOS!$C$2:$C$201&lt;=$A1632)*(HISTORIAL_HORARIOS!$D$2:$D$201&gt;=$A1632),0)),INDEX(IF($I1632="FIN",PERSONAL!$K$2:$K$80,PERSONAL!$G$2:$G$80),MATCH($B1632,PERSONAL!$A$2:$A$80,0)))))</f>
        <v/>
      </c>
      <c r="O1632" s="53">
        <f t="array" ref="O1632">IFERROR(INDEX(EXCEPCIONES_FECHA!$F$2:$F$201,MATCH(1,(EXCEPCIONES_FECHA!$A$2:$A$201=$A1632)*(EXCEPCIONES_FECHA!$B$2:$B$201=$B1632),0)),IFERROR(INDEX(EXCEPCIONES_FECHA!$F$2:$F$201,MATCH(1,(EXCEPCIONES_FECHA!$A$2:$A$201=$A1632)*(EXCEPCIONES_FECHA!$B$2:$B$201=""),0)),IFERROR(INDEX(IF($I1632="FIN",HISTORIAL_HORARIOS!$L$2:$L$201,HISTORIAL_HORARIOS!$H$2:$H$201),MATCH(1,(HISTORIAL_HORARIOS!$A$2:$A$201=$B1632)*(HISTORIAL_HORARIOS!$C$2:$C$201&lt;=$A1632)*(HISTORIAL_HORARIOS!$D$2:$D$201&gt;=$A1632),0)),INDEX(IF($I1632="FIN",PERSONAL!$L$2:$L$80,PERSONAL!$H$2:$H$80),MATCH($B1632,PERSONAL!$A$2:$A$80,0)))))</f>
        <v/>
      </c>
    </row>
    <row r="1633" ht="15" customHeight="1" s="58">
      <c r="A1633" s="40" t="n"/>
      <c r="B1633" s="38" t="n"/>
      <c r="C1633" s="40" t="n"/>
      <c r="D1633" s="40" t="n"/>
      <c r="E1633" s="34">
        <f t="array" ref="E1633">IF($B1633="","",IFERROR(INDEX(PERSONAL!$B$2:$B$80,MATCH($B1633,PERSONAL!$A$2:$A$80,0)),"NO EXISTE"))</f>
        <v/>
      </c>
      <c r="F1633" s="34">
        <f t="array" ref="F1633">IF($B1633="","",IFERROR(INDEX(PERSONAL!$C$2:$C$80,MATCH($B1633,PERSONAL!$A$2:$A$80,0)),""))</f>
        <v/>
      </c>
      <c r="G1633" s="34">
        <f>IF($A1633="","",CHOOSE(WEEKDAY($A1633,2),"LUNES","MARTES","MIÉRCOLES","JUEVES","VIERNES","SÁBADO","DOMINGO"))</f>
        <v/>
      </c>
      <c r="H1633" s="34">
        <f>IF($A1633="","",CHOOSE(MONTH($A1633),"ENERO","FEBRERO","MARZO","ABRIL","MAYO","JUNIO","JULIO","AGOSTO","SEPTIEMBRE","OCTUBRE","NOVIEMBRE","DICIEMBRE"))</f>
        <v/>
      </c>
      <c r="I1633" s="34">
        <f>IF($A1633="","",IF(OR($G1633="SÁBADO",$G1633="DOMINGO"),"FIN","LV"))</f>
        <v/>
      </c>
      <c r="J1633" s="34">
        <f>IF(OR($A1633="",$B1633=""),"",IF($L1633&lt;&gt;"",UPPER($L1633),IF($C1633="","FALTA",IFERROR(IF($C1633&gt;=$O1633,"ROJO FUERTE",IF($C1633&gt;=$N1633,"ROJO",IF($C1633&gt;=$M1633,"AMARILLO","VERDE"))),"REVISAR"))))</f>
        <v/>
      </c>
      <c r="K1633" s="36">
        <f>IF(OR($C1633="",$D1633=""),"",IF($D1633&gt;=$C1633,($D1633-$C1633)*24,(1-$C1633+$D1633)*24))</f>
        <v/>
      </c>
      <c r="L1633" s="34" t="n"/>
      <c r="M1633" s="53">
        <f t="array" ref="M1633">IFERROR(INDEX(EXCEPCIONES_FECHA!$D$2:$D$201,MATCH(1,(EXCEPCIONES_FECHA!$A$2:$A$201=$A1633)*(EXCEPCIONES_FECHA!$B$2:$B$201=$B1633),0)),IFERROR(INDEX(EXCEPCIONES_FECHA!$D$2:$D$201,MATCH(1,(EXCEPCIONES_FECHA!$A$2:$A$201=$A1633)*(EXCEPCIONES_FECHA!$B$2:$B$201=""),0)),IFERROR(INDEX(IF($I1633="FIN",HISTORIAL_HORARIOS!$J$2:$J$201,HISTORIAL_HORARIOS!$F$2:$F$201),MATCH(1,(HISTORIAL_HORARIOS!$A$2:$A$201=$B1633)*(HISTORIAL_HORARIOS!$C$2:$C$201&lt;=$A1633)*(HISTORIAL_HORARIOS!$D$2:$D$201&gt;=$A1633),0)),INDEX(IF($I1633="FIN",PERSONAL!$J$2:$J$80,PERSONAL!$F$2:$F$80),MATCH($B1633,PERSONAL!$A$2:$A$80,0)))))</f>
        <v/>
      </c>
      <c r="N1633" s="53">
        <f t="array" ref="N1633">IFERROR(INDEX(EXCEPCIONES_FECHA!$E$2:$E$201,MATCH(1,(EXCEPCIONES_FECHA!$A$2:$A$201=$A1633)*(EXCEPCIONES_FECHA!$B$2:$B$201=$B1633),0)),IFERROR(INDEX(EXCEPCIONES_FECHA!$E$2:$E$201,MATCH(1,(EXCEPCIONES_FECHA!$A$2:$A$201=$A1633)*(EXCEPCIONES_FECHA!$B$2:$B$201=""),0)),IFERROR(INDEX(IF($I1633="FIN",HISTORIAL_HORARIOS!$K$2:$K$201,HISTORIAL_HORARIOS!$G$2:$G$201),MATCH(1,(HISTORIAL_HORARIOS!$A$2:$A$201=$B1633)*(HISTORIAL_HORARIOS!$C$2:$C$201&lt;=$A1633)*(HISTORIAL_HORARIOS!$D$2:$D$201&gt;=$A1633),0)),INDEX(IF($I1633="FIN",PERSONAL!$K$2:$K$80,PERSONAL!$G$2:$G$80),MATCH($B1633,PERSONAL!$A$2:$A$80,0)))))</f>
        <v/>
      </c>
      <c r="O1633" s="53">
        <f t="array" ref="O1633">IFERROR(INDEX(EXCEPCIONES_FECHA!$F$2:$F$201,MATCH(1,(EXCEPCIONES_FECHA!$A$2:$A$201=$A1633)*(EXCEPCIONES_FECHA!$B$2:$B$201=$B1633),0)),IFERROR(INDEX(EXCEPCIONES_FECHA!$F$2:$F$201,MATCH(1,(EXCEPCIONES_FECHA!$A$2:$A$201=$A1633)*(EXCEPCIONES_FECHA!$B$2:$B$201=""),0)),IFERROR(INDEX(IF($I1633="FIN",HISTORIAL_HORARIOS!$L$2:$L$201,HISTORIAL_HORARIOS!$H$2:$H$201),MATCH(1,(HISTORIAL_HORARIOS!$A$2:$A$201=$B1633)*(HISTORIAL_HORARIOS!$C$2:$C$201&lt;=$A1633)*(HISTORIAL_HORARIOS!$D$2:$D$201&gt;=$A1633),0)),INDEX(IF($I1633="FIN",PERSONAL!$L$2:$L$80,PERSONAL!$H$2:$H$80),MATCH($B1633,PERSONAL!$A$2:$A$80,0)))))</f>
        <v/>
      </c>
    </row>
    <row r="1634" ht="15" customHeight="1" s="58">
      <c r="A1634" s="40" t="n"/>
      <c r="B1634" s="38" t="n"/>
      <c r="C1634" s="40" t="n"/>
      <c r="D1634" s="40" t="n"/>
      <c r="E1634" s="34">
        <f t="array" ref="E1634">IF($B1634="","",IFERROR(INDEX(PERSONAL!$B$2:$B$80,MATCH($B1634,PERSONAL!$A$2:$A$80,0)),"NO EXISTE"))</f>
        <v/>
      </c>
      <c r="F1634" s="34">
        <f t="array" ref="F1634">IF($B1634="","",IFERROR(INDEX(PERSONAL!$C$2:$C$80,MATCH($B1634,PERSONAL!$A$2:$A$80,0)),""))</f>
        <v/>
      </c>
      <c r="G1634" s="34">
        <f>IF($A1634="","",CHOOSE(WEEKDAY($A1634,2),"LUNES","MARTES","MIÉRCOLES","JUEVES","VIERNES","SÁBADO","DOMINGO"))</f>
        <v/>
      </c>
      <c r="H1634" s="34">
        <f>IF($A1634="","",CHOOSE(MONTH($A1634),"ENERO","FEBRERO","MARZO","ABRIL","MAYO","JUNIO","JULIO","AGOSTO","SEPTIEMBRE","OCTUBRE","NOVIEMBRE","DICIEMBRE"))</f>
        <v/>
      </c>
      <c r="I1634" s="34">
        <f>IF($A1634="","",IF(OR($G1634="SÁBADO",$G1634="DOMINGO"),"FIN","LV"))</f>
        <v/>
      </c>
      <c r="J1634" s="34">
        <f>IF(OR($A1634="",$B1634=""),"",IF($L1634&lt;&gt;"",UPPER($L1634),IF($C1634="","FALTA",IFERROR(IF($C1634&gt;=$O1634,"ROJO FUERTE",IF($C1634&gt;=$N1634,"ROJO",IF($C1634&gt;=$M1634,"AMARILLO","VERDE"))),"REVISAR"))))</f>
        <v/>
      </c>
      <c r="K1634" s="36">
        <f>IF(OR($C1634="",$D1634=""),"",IF($D1634&gt;=$C1634,($D1634-$C1634)*24,(1-$C1634+$D1634)*24))</f>
        <v/>
      </c>
      <c r="L1634" s="34" t="n"/>
      <c r="M1634" s="53">
        <f t="array" ref="M1634">IFERROR(INDEX(EXCEPCIONES_FECHA!$D$2:$D$201,MATCH(1,(EXCEPCIONES_FECHA!$A$2:$A$201=$A1634)*(EXCEPCIONES_FECHA!$B$2:$B$201=$B1634),0)),IFERROR(INDEX(EXCEPCIONES_FECHA!$D$2:$D$201,MATCH(1,(EXCEPCIONES_FECHA!$A$2:$A$201=$A1634)*(EXCEPCIONES_FECHA!$B$2:$B$201=""),0)),IFERROR(INDEX(IF($I1634="FIN",HISTORIAL_HORARIOS!$J$2:$J$201,HISTORIAL_HORARIOS!$F$2:$F$201),MATCH(1,(HISTORIAL_HORARIOS!$A$2:$A$201=$B1634)*(HISTORIAL_HORARIOS!$C$2:$C$201&lt;=$A1634)*(HISTORIAL_HORARIOS!$D$2:$D$201&gt;=$A1634),0)),INDEX(IF($I1634="FIN",PERSONAL!$J$2:$J$80,PERSONAL!$F$2:$F$80),MATCH($B1634,PERSONAL!$A$2:$A$80,0)))))</f>
        <v/>
      </c>
      <c r="N1634" s="53">
        <f t="array" ref="N1634">IFERROR(INDEX(EXCEPCIONES_FECHA!$E$2:$E$201,MATCH(1,(EXCEPCIONES_FECHA!$A$2:$A$201=$A1634)*(EXCEPCIONES_FECHA!$B$2:$B$201=$B1634),0)),IFERROR(INDEX(EXCEPCIONES_FECHA!$E$2:$E$201,MATCH(1,(EXCEPCIONES_FECHA!$A$2:$A$201=$A1634)*(EXCEPCIONES_FECHA!$B$2:$B$201=""),0)),IFERROR(INDEX(IF($I1634="FIN",HISTORIAL_HORARIOS!$K$2:$K$201,HISTORIAL_HORARIOS!$G$2:$G$201),MATCH(1,(HISTORIAL_HORARIOS!$A$2:$A$201=$B1634)*(HISTORIAL_HORARIOS!$C$2:$C$201&lt;=$A1634)*(HISTORIAL_HORARIOS!$D$2:$D$201&gt;=$A1634),0)),INDEX(IF($I1634="FIN",PERSONAL!$K$2:$K$80,PERSONAL!$G$2:$G$80),MATCH($B1634,PERSONAL!$A$2:$A$80,0)))))</f>
        <v/>
      </c>
      <c r="O1634" s="53">
        <f t="array" ref="O1634">IFERROR(INDEX(EXCEPCIONES_FECHA!$F$2:$F$201,MATCH(1,(EXCEPCIONES_FECHA!$A$2:$A$201=$A1634)*(EXCEPCIONES_FECHA!$B$2:$B$201=$B1634),0)),IFERROR(INDEX(EXCEPCIONES_FECHA!$F$2:$F$201,MATCH(1,(EXCEPCIONES_FECHA!$A$2:$A$201=$A1634)*(EXCEPCIONES_FECHA!$B$2:$B$201=""),0)),IFERROR(INDEX(IF($I1634="FIN",HISTORIAL_HORARIOS!$L$2:$L$201,HISTORIAL_HORARIOS!$H$2:$H$201),MATCH(1,(HISTORIAL_HORARIOS!$A$2:$A$201=$B1634)*(HISTORIAL_HORARIOS!$C$2:$C$201&lt;=$A1634)*(HISTORIAL_HORARIOS!$D$2:$D$201&gt;=$A1634),0)),INDEX(IF($I1634="FIN",PERSONAL!$L$2:$L$80,PERSONAL!$H$2:$H$80),MATCH($B1634,PERSONAL!$A$2:$A$80,0)))))</f>
        <v/>
      </c>
    </row>
    <row r="1635" ht="15" customHeight="1" s="58">
      <c r="A1635" s="40" t="n"/>
      <c r="B1635" s="38" t="n"/>
      <c r="C1635" s="40" t="n"/>
      <c r="D1635" s="40" t="n"/>
      <c r="E1635" s="34">
        <f t="array" ref="E1635">IF($B1635="","",IFERROR(INDEX(PERSONAL!$B$2:$B$80,MATCH($B1635,PERSONAL!$A$2:$A$80,0)),"NO EXISTE"))</f>
        <v/>
      </c>
      <c r="F1635" s="34">
        <f t="array" ref="F1635">IF($B1635="","",IFERROR(INDEX(PERSONAL!$C$2:$C$80,MATCH($B1635,PERSONAL!$A$2:$A$80,0)),""))</f>
        <v/>
      </c>
      <c r="G1635" s="34">
        <f>IF($A1635="","",CHOOSE(WEEKDAY($A1635,2),"LUNES","MARTES","MIÉRCOLES","JUEVES","VIERNES","SÁBADO","DOMINGO"))</f>
        <v/>
      </c>
      <c r="H1635" s="34">
        <f>IF($A1635="","",CHOOSE(MONTH($A1635),"ENERO","FEBRERO","MARZO","ABRIL","MAYO","JUNIO","JULIO","AGOSTO","SEPTIEMBRE","OCTUBRE","NOVIEMBRE","DICIEMBRE"))</f>
        <v/>
      </c>
      <c r="I1635" s="34">
        <f>IF($A1635="","",IF(OR($G1635="SÁBADO",$G1635="DOMINGO"),"FIN","LV"))</f>
        <v/>
      </c>
      <c r="J1635" s="34">
        <f>IF(OR($A1635="",$B1635=""),"",IF($L1635&lt;&gt;"",UPPER($L1635),IF($C1635="","FALTA",IFERROR(IF($C1635&gt;=$O1635,"ROJO FUERTE",IF($C1635&gt;=$N1635,"ROJO",IF($C1635&gt;=$M1635,"AMARILLO","VERDE"))),"REVISAR"))))</f>
        <v/>
      </c>
      <c r="K1635" s="36">
        <f>IF(OR($C1635="",$D1635=""),"",IF($D1635&gt;=$C1635,($D1635-$C1635)*24,(1-$C1635+$D1635)*24))</f>
        <v/>
      </c>
      <c r="L1635" s="34" t="n"/>
      <c r="M1635" s="53">
        <f t="array" ref="M1635">IFERROR(INDEX(EXCEPCIONES_FECHA!$D$2:$D$201,MATCH(1,(EXCEPCIONES_FECHA!$A$2:$A$201=$A1635)*(EXCEPCIONES_FECHA!$B$2:$B$201=$B1635),0)),IFERROR(INDEX(EXCEPCIONES_FECHA!$D$2:$D$201,MATCH(1,(EXCEPCIONES_FECHA!$A$2:$A$201=$A1635)*(EXCEPCIONES_FECHA!$B$2:$B$201=""),0)),IFERROR(INDEX(IF($I1635="FIN",HISTORIAL_HORARIOS!$J$2:$J$201,HISTORIAL_HORARIOS!$F$2:$F$201),MATCH(1,(HISTORIAL_HORARIOS!$A$2:$A$201=$B1635)*(HISTORIAL_HORARIOS!$C$2:$C$201&lt;=$A1635)*(HISTORIAL_HORARIOS!$D$2:$D$201&gt;=$A1635),0)),INDEX(IF($I1635="FIN",PERSONAL!$J$2:$J$80,PERSONAL!$F$2:$F$80),MATCH($B1635,PERSONAL!$A$2:$A$80,0)))))</f>
        <v/>
      </c>
      <c r="N1635" s="53">
        <f t="array" ref="N1635">IFERROR(INDEX(EXCEPCIONES_FECHA!$E$2:$E$201,MATCH(1,(EXCEPCIONES_FECHA!$A$2:$A$201=$A1635)*(EXCEPCIONES_FECHA!$B$2:$B$201=$B1635),0)),IFERROR(INDEX(EXCEPCIONES_FECHA!$E$2:$E$201,MATCH(1,(EXCEPCIONES_FECHA!$A$2:$A$201=$A1635)*(EXCEPCIONES_FECHA!$B$2:$B$201=""),0)),IFERROR(INDEX(IF($I1635="FIN",HISTORIAL_HORARIOS!$K$2:$K$201,HISTORIAL_HORARIOS!$G$2:$G$201),MATCH(1,(HISTORIAL_HORARIOS!$A$2:$A$201=$B1635)*(HISTORIAL_HORARIOS!$C$2:$C$201&lt;=$A1635)*(HISTORIAL_HORARIOS!$D$2:$D$201&gt;=$A1635),0)),INDEX(IF($I1635="FIN",PERSONAL!$K$2:$K$80,PERSONAL!$G$2:$G$80),MATCH($B1635,PERSONAL!$A$2:$A$80,0)))))</f>
        <v/>
      </c>
      <c r="O1635" s="53">
        <f t="array" ref="O1635">IFERROR(INDEX(EXCEPCIONES_FECHA!$F$2:$F$201,MATCH(1,(EXCEPCIONES_FECHA!$A$2:$A$201=$A1635)*(EXCEPCIONES_FECHA!$B$2:$B$201=$B1635),0)),IFERROR(INDEX(EXCEPCIONES_FECHA!$F$2:$F$201,MATCH(1,(EXCEPCIONES_FECHA!$A$2:$A$201=$A1635)*(EXCEPCIONES_FECHA!$B$2:$B$201=""),0)),IFERROR(INDEX(IF($I1635="FIN",HISTORIAL_HORARIOS!$L$2:$L$201,HISTORIAL_HORARIOS!$H$2:$H$201),MATCH(1,(HISTORIAL_HORARIOS!$A$2:$A$201=$B1635)*(HISTORIAL_HORARIOS!$C$2:$C$201&lt;=$A1635)*(HISTORIAL_HORARIOS!$D$2:$D$201&gt;=$A1635),0)),INDEX(IF($I1635="FIN",PERSONAL!$L$2:$L$80,PERSONAL!$H$2:$H$80),MATCH($B1635,PERSONAL!$A$2:$A$80,0)))))</f>
        <v/>
      </c>
    </row>
    <row r="1636" ht="15" customHeight="1" s="58">
      <c r="A1636" s="40" t="n"/>
      <c r="B1636" s="38" t="n"/>
      <c r="C1636" s="40" t="n"/>
      <c r="D1636" s="40" t="n"/>
      <c r="E1636" s="34">
        <f t="array" ref="E1636">IF($B1636="","",IFERROR(INDEX(PERSONAL!$B$2:$B$80,MATCH($B1636,PERSONAL!$A$2:$A$80,0)),"NO EXISTE"))</f>
        <v/>
      </c>
      <c r="F1636" s="34">
        <f t="array" ref="F1636">IF($B1636="","",IFERROR(INDEX(PERSONAL!$C$2:$C$80,MATCH($B1636,PERSONAL!$A$2:$A$80,0)),""))</f>
        <v/>
      </c>
      <c r="G1636" s="34">
        <f>IF($A1636="","",CHOOSE(WEEKDAY($A1636,2),"LUNES","MARTES","MIÉRCOLES","JUEVES","VIERNES","SÁBADO","DOMINGO"))</f>
        <v/>
      </c>
      <c r="H1636" s="34">
        <f>IF($A1636="","",CHOOSE(MONTH($A1636),"ENERO","FEBRERO","MARZO","ABRIL","MAYO","JUNIO","JULIO","AGOSTO","SEPTIEMBRE","OCTUBRE","NOVIEMBRE","DICIEMBRE"))</f>
        <v/>
      </c>
      <c r="I1636" s="34">
        <f>IF($A1636="","",IF(OR($G1636="SÁBADO",$G1636="DOMINGO"),"FIN","LV"))</f>
        <v/>
      </c>
      <c r="J1636" s="34">
        <f>IF(OR($A1636="",$B1636=""),"",IF($L1636&lt;&gt;"",UPPER($L1636),IF($C1636="","FALTA",IFERROR(IF($C1636&gt;=$O1636,"ROJO FUERTE",IF($C1636&gt;=$N1636,"ROJO",IF($C1636&gt;=$M1636,"AMARILLO","VERDE"))),"REVISAR"))))</f>
        <v/>
      </c>
      <c r="K1636" s="36">
        <f>IF(OR($C1636="",$D1636=""),"",IF($D1636&gt;=$C1636,($D1636-$C1636)*24,(1-$C1636+$D1636)*24))</f>
        <v/>
      </c>
      <c r="L1636" s="34" t="n"/>
      <c r="M1636" s="53">
        <f t="array" ref="M1636">IFERROR(INDEX(EXCEPCIONES_FECHA!$D$2:$D$201,MATCH(1,(EXCEPCIONES_FECHA!$A$2:$A$201=$A1636)*(EXCEPCIONES_FECHA!$B$2:$B$201=$B1636),0)),IFERROR(INDEX(EXCEPCIONES_FECHA!$D$2:$D$201,MATCH(1,(EXCEPCIONES_FECHA!$A$2:$A$201=$A1636)*(EXCEPCIONES_FECHA!$B$2:$B$201=""),0)),IFERROR(INDEX(IF($I1636="FIN",HISTORIAL_HORARIOS!$J$2:$J$201,HISTORIAL_HORARIOS!$F$2:$F$201),MATCH(1,(HISTORIAL_HORARIOS!$A$2:$A$201=$B1636)*(HISTORIAL_HORARIOS!$C$2:$C$201&lt;=$A1636)*(HISTORIAL_HORARIOS!$D$2:$D$201&gt;=$A1636),0)),INDEX(IF($I1636="FIN",PERSONAL!$J$2:$J$80,PERSONAL!$F$2:$F$80),MATCH($B1636,PERSONAL!$A$2:$A$80,0)))))</f>
        <v/>
      </c>
      <c r="N1636" s="53">
        <f t="array" ref="N1636">IFERROR(INDEX(EXCEPCIONES_FECHA!$E$2:$E$201,MATCH(1,(EXCEPCIONES_FECHA!$A$2:$A$201=$A1636)*(EXCEPCIONES_FECHA!$B$2:$B$201=$B1636),0)),IFERROR(INDEX(EXCEPCIONES_FECHA!$E$2:$E$201,MATCH(1,(EXCEPCIONES_FECHA!$A$2:$A$201=$A1636)*(EXCEPCIONES_FECHA!$B$2:$B$201=""),0)),IFERROR(INDEX(IF($I1636="FIN",HISTORIAL_HORARIOS!$K$2:$K$201,HISTORIAL_HORARIOS!$G$2:$G$201),MATCH(1,(HISTORIAL_HORARIOS!$A$2:$A$201=$B1636)*(HISTORIAL_HORARIOS!$C$2:$C$201&lt;=$A1636)*(HISTORIAL_HORARIOS!$D$2:$D$201&gt;=$A1636),0)),INDEX(IF($I1636="FIN",PERSONAL!$K$2:$K$80,PERSONAL!$G$2:$G$80),MATCH($B1636,PERSONAL!$A$2:$A$80,0)))))</f>
        <v/>
      </c>
      <c r="O1636" s="53">
        <f t="array" ref="O1636">IFERROR(INDEX(EXCEPCIONES_FECHA!$F$2:$F$201,MATCH(1,(EXCEPCIONES_FECHA!$A$2:$A$201=$A1636)*(EXCEPCIONES_FECHA!$B$2:$B$201=$B1636),0)),IFERROR(INDEX(EXCEPCIONES_FECHA!$F$2:$F$201,MATCH(1,(EXCEPCIONES_FECHA!$A$2:$A$201=$A1636)*(EXCEPCIONES_FECHA!$B$2:$B$201=""),0)),IFERROR(INDEX(IF($I1636="FIN",HISTORIAL_HORARIOS!$L$2:$L$201,HISTORIAL_HORARIOS!$H$2:$H$201),MATCH(1,(HISTORIAL_HORARIOS!$A$2:$A$201=$B1636)*(HISTORIAL_HORARIOS!$C$2:$C$201&lt;=$A1636)*(HISTORIAL_HORARIOS!$D$2:$D$201&gt;=$A1636),0)),INDEX(IF($I1636="FIN",PERSONAL!$L$2:$L$80,PERSONAL!$H$2:$H$80),MATCH($B1636,PERSONAL!$A$2:$A$80,0)))))</f>
        <v/>
      </c>
    </row>
    <row r="1637" ht="15" customHeight="1" s="58">
      <c r="A1637" s="40" t="n"/>
      <c r="B1637" s="38" t="n"/>
      <c r="C1637" s="40" t="n"/>
      <c r="D1637" s="40" t="n"/>
      <c r="E1637" s="34">
        <f t="array" ref="E1637">IF($B1637="","",IFERROR(INDEX(PERSONAL!$B$2:$B$80,MATCH($B1637,PERSONAL!$A$2:$A$80,0)),"NO EXISTE"))</f>
        <v/>
      </c>
      <c r="F1637" s="34">
        <f t="array" ref="F1637">IF($B1637="","",IFERROR(INDEX(PERSONAL!$C$2:$C$80,MATCH($B1637,PERSONAL!$A$2:$A$80,0)),""))</f>
        <v/>
      </c>
      <c r="G1637" s="34">
        <f>IF($A1637="","",CHOOSE(WEEKDAY($A1637,2),"LUNES","MARTES","MIÉRCOLES","JUEVES","VIERNES","SÁBADO","DOMINGO"))</f>
        <v/>
      </c>
      <c r="H1637" s="34">
        <f>IF($A1637="","",CHOOSE(MONTH($A1637),"ENERO","FEBRERO","MARZO","ABRIL","MAYO","JUNIO","JULIO","AGOSTO","SEPTIEMBRE","OCTUBRE","NOVIEMBRE","DICIEMBRE"))</f>
        <v/>
      </c>
      <c r="I1637" s="34">
        <f>IF($A1637="","",IF(OR($G1637="SÁBADO",$G1637="DOMINGO"),"FIN","LV"))</f>
        <v/>
      </c>
      <c r="J1637" s="34">
        <f>IF(OR($A1637="",$B1637=""),"",IF($L1637&lt;&gt;"",UPPER($L1637),IF($C1637="","FALTA",IFERROR(IF($C1637&gt;=$O1637,"ROJO FUERTE",IF($C1637&gt;=$N1637,"ROJO",IF($C1637&gt;=$M1637,"AMARILLO","VERDE"))),"REVISAR"))))</f>
        <v/>
      </c>
      <c r="K1637" s="36">
        <f>IF(OR($C1637="",$D1637=""),"",IF($D1637&gt;=$C1637,($D1637-$C1637)*24,(1-$C1637+$D1637)*24))</f>
        <v/>
      </c>
      <c r="L1637" s="34" t="n"/>
      <c r="M1637" s="53">
        <f t="array" ref="M1637">IFERROR(INDEX(EXCEPCIONES_FECHA!$D$2:$D$201,MATCH(1,(EXCEPCIONES_FECHA!$A$2:$A$201=$A1637)*(EXCEPCIONES_FECHA!$B$2:$B$201=$B1637),0)),IFERROR(INDEX(EXCEPCIONES_FECHA!$D$2:$D$201,MATCH(1,(EXCEPCIONES_FECHA!$A$2:$A$201=$A1637)*(EXCEPCIONES_FECHA!$B$2:$B$201=""),0)),IFERROR(INDEX(IF($I1637="FIN",HISTORIAL_HORARIOS!$J$2:$J$201,HISTORIAL_HORARIOS!$F$2:$F$201),MATCH(1,(HISTORIAL_HORARIOS!$A$2:$A$201=$B1637)*(HISTORIAL_HORARIOS!$C$2:$C$201&lt;=$A1637)*(HISTORIAL_HORARIOS!$D$2:$D$201&gt;=$A1637),0)),INDEX(IF($I1637="FIN",PERSONAL!$J$2:$J$80,PERSONAL!$F$2:$F$80),MATCH($B1637,PERSONAL!$A$2:$A$80,0)))))</f>
        <v/>
      </c>
      <c r="N1637" s="53">
        <f t="array" ref="N1637">IFERROR(INDEX(EXCEPCIONES_FECHA!$E$2:$E$201,MATCH(1,(EXCEPCIONES_FECHA!$A$2:$A$201=$A1637)*(EXCEPCIONES_FECHA!$B$2:$B$201=$B1637),0)),IFERROR(INDEX(EXCEPCIONES_FECHA!$E$2:$E$201,MATCH(1,(EXCEPCIONES_FECHA!$A$2:$A$201=$A1637)*(EXCEPCIONES_FECHA!$B$2:$B$201=""),0)),IFERROR(INDEX(IF($I1637="FIN",HISTORIAL_HORARIOS!$K$2:$K$201,HISTORIAL_HORARIOS!$G$2:$G$201),MATCH(1,(HISTORIAL_HORARIOS!$A$2:$A$201=$B1637)*(HISTORIAL_HORARIOS!$C$2:$C$201&lt;=$A1637)*(HISTORIAL_HORARIOS!$D$2:$D$201&gt;=$A1637),0)),INDEX(IF($I1637="FIN",PERSONAL!$K$2:$K$80,PERSONAL!$G$2:$G$80),MATCH($B1637,PERSONAL!$A$2:$A$80,0)))))</f>
        <v/>
      </c>
      <c r="O1637" s="53">
        <f t="array" ref="O1637">IFERROR(INDEX(EXCEPCIONES_FECHA!$F$2:$F$201,MATCH(1,(EXCEPCIONES_FECHA!$A$2:$A$201=$A1637)*(EXCEPCIONES_FECHA!$B$2:$B$201=$B1637),0)),IFERROR(INDEX(EXCEPCIONES_FECHA!$F$2:$F$201,MATCH(1,(EXCEPCIONES_FECHA!$A$2:$A$201=$A1637)*(EXCEPCIONES_FECHA!$B$2:$B$201=""),0)),IFERROR(INDEX(IF($I1637="FIN",HISTORIAL_HORARIOS!$L$2:$L$201,HISTORIAL_HORARIOS!$H$2:$H$201),MATCH(1,(HISTORIAL_HORARIOS!$A$2:$A$201=$B1637)*(HISTORIAL_HORARIOS!$C$2:$C$201&lt;=$A1637)*(HISTORIAL_HORARIOS!$D$2:$D$201&gt;=$A1637),0)),INDEX(IF($I1637="FIN",PERSONAL!$L$2:$L$80,PERSONAL!$H$2:$H$80),MATCH($B1637,PERSONAL!$A$2:$A$80,0)))))</f>
        <v/>
      </c>
    </row>
    <row r="1638" ht="15" customHeight="1" s="58">
      <c r="A1638" s="40" t="n"/>
      <c r="B1638" s="38" t="n"/>
      <c r="C1638" s="40" t="n"/>
      <c r="D1638" s="40" t="n"/>
      <c r="E1638" s="34">
        <f t="array" ref="E1638">IF($B1638="","",IFERROR(INDEX(PERSONAL!$B$2:$B$80,MATCH($B1638,PERSONAL!$A$2:$A$80,0)),"NO EXISTE"))</f>
        <v/>
      </c>
      <c r="F1638" s="34">
        <f t="array" ref="F1638">IF($B1638="","",IFERROR(INDEX(PERSONAL!$C$2:$C$80,MATCH($B1638,PERSONAL!$A$2:$A$80,0)),""))</f>
        <v/>
      </c>
      <c r="G1638" s="34">
        <f>IF($A1638="","",CHOOSE(WEEKDAY($A1638,2),"LUNES","MARTES","MIÉRCOLES","JUEVES","VIERNES","SÁBADO","DOMINGO"))</f>
        <v/>
      </c>
      <c r="H1638" s="34">
        <f>IF($A1638="","",CHOOSE(MONTH($A1638),"ENERO","FEBRERO","MARZO","ABRIL","MAYO","JUNIO","JULIO","AGOSTO","SEPTIEMBRE","OCTUBRE","NOVIEMBRE","DICIEMBRE"))</f>
        <v/>
      </c>
      <c r="I1638" s="34">
        <f>IF($A1638="","",IF(OR($G1638="SÁBADO",$G1638="DOMINGO"),"FIN","LV"))</f>
        <v/>
      </c>
      <c r="J1638" s="34">
        <f>IF(OR($A1638="",$B1638=""),"",IF($L1638&lt;&gt;"",UPPER($L1638),IF($C1638="","FALTA",IFERROR(IF($C1638&gt;=$O1638,"ROJO FUERTE",IF($C1638&gt;=$N1638,"ROJO",IF($C1638&gt;=$M1638,"AMARILLO","VERDE"))),"REVISAR"))))</f>
        <v/>
      </c>
      <c r="K1638" s="36">
        <f>IF(OR($C1638="",$D1638=""),"",IF($D1638&gt;=$C1638,($D1638-$C1638)*24,(1-$C1638+$D1638)*24))</f>
        <v/>
      </c>
      <c r="L1638" s="34" t="n"/>
      <c r="M1638" s="53">
        <f t="array" ref="M1638">IFERROR(INDEX(EXCEPCIONES_FECHA!$D$2:$D$201,MATCH(1,(EXCEPCIONES_FECHA!$A$2:$A$201=$A1638)*(EXCEPCIONES_FECHA!$B$2:$B$201=$B1638),0)),IFERROR(INDEX(EXCEPCIONES_FECHA!$D$2:$D$201,MATCH(1,(EXCEPCIONES_FECHA!$A$2:$A$201=$A1638)*(EXCEPCIONES_FECHA!$B$2:$B$201=""),0)),IFERROR(INDEX(IF($I1638="FIN",HISTORIAL_HORARIOS!$J$2:$J$201,HISTORIAL_HORARIOS!$F$2:$F$201),MATCH(1,(HISTORIAL_HORARIOS!$A$2:$A$201=$B1638)*(HISTORIAL_HORARIOS!$C$2:$C$201&lt;=$A1638)*(HISTORIAL_HORARIOS!$D$2:$D$201&gt;=$A1638),0)),INDEX(IF($I1638="FIN",PERSONAL!$J$2:$J$80,PERSONAL!$F$2:$F$80),MATCH($B1638,PERSONAL!$A$2:$A$80,0)))))</f>
        <v/>
      </c>
      <c r="N1638" s="53">
        <f t="array" ref="N1638">IFERROR(INDEX(EXCEPCIONES_FECHA!$E$2:$E$201,MATCH(1,(EXCEPCIONES_FECHA!$A$2:$A$201=$A1638)*(EXCEPCIONES_FECHA!$B$2:$B$201=$B1638),0)),IFERROR(INDEX(EXCEPCIONES_FECHA!$E$2:$E$201,MATCH(1,(EXCEPCIONES_FECHA!$A$2:$A$201=$A1638)*(EXCEPCIONES_FECHA!$B$2:$B$201=""),0)),IFERROR(INDEX(IF($I1638="FIN",HISTORIAL_HORARIOS!$K$2:$K$201,HISTORIAL_HORARIOS!$G$2:$G$201),MATCH(1,(HISTORIAL_HORARIOS!$A$2:$A$201=$B1638)*(HISTORIAL_HORARIOS!$C$2:$C$201&lt;=$A1638)*(HISTORIAL_HORARIOS!$D$2:$D$201&gt;=$A1638),0)),INDEX(IF($I1638="FIN",PERSONAL!$K$2:$K$80,PERSONAL!$G$2:$G$80),MATCH($B1638,PERSONAL!$A$2:$A$80,0)))))</f>
        <v/>
      </c>
      <c r="O1638" s="53">
        <f t="array" ref="O1638">IFERROR(INDEX(EXCEPCIONES_FECHA!$F$2:$F$201,MATCH(1,(EXCEPCIONES_FECHA!$A$2:$A$201=$A1638)*(EXCEPCIONES_FECHA!$B$2:$B$201=$B1638),0)),IFERROR(INDEX(EXCEPCIONES_FECHA!$F$2:$F$201,MATCH(1,(EXCEPCIONES_FECHA!$A$2:$A$201=$A1638)*(EXCEPCIONES_FECHA!$B$2:$B$201=""),0)),IFERROR(INDEX(IF($I1638="FIN",HISTORIAL_HORARIOS!$L$2:$L$201,HISTORIAL_HORARIOS!$H$2:$H$201),MATCH(1,(HISTORIAL_HORARIOS!$A$2:$A$201=$B1638)*(HISTORIAL_HORARIOS!$C$2:$C$201&lt;=$A1638)*(HISTORIAL_HORARIOS!$D$2:$D$201&gt;=$A1638),0)),INDEX(IF($I1638="FIN",PERSONAL!$L$2:$L$80,PERSONAL!$H$2:$H$80),MATCH($B1638,PERSONAL!$A$2:$A$80,0)))))</f>
        <v/>
      </c>
    </row>
    <row r="1639" ht="15" customHeight="1" s="58">
      <c r="A1639" s="40" t="n"/>
      <c r="B1639" s="38" t="n"/>
      <c r="C1639" s="40" t="n"/>
      <c r="D1639" s="40" t="n"/>
      <c r="E1639" s="34">
        <f t="array" ref="E1639">IF($B1639="","",IFERROR(INDEX(PERSONAL!$B$2:$B$80,MATCH($B1639,PERSONAL!$A$2:$A$80,0)),"NO EXISTE"))</f>
        <v/>
      </c>
      <c r="F1639" s="34">
        <f t="array" ref="F1639">IF($B1639="","",IFERROR(INDEX(PERSONAL!$C$2:$C$80,MATCH($B1639,PERSONAL!$A$2:$A$80,0)),""))</f>
        <v/>
      </c>
      <c r="G1639" s="34">
        <f>IF($A1639="","",CHOOSE(WEEKDAY($A1639,2),"LUNES","MARTES","MIÉRCOLES","JUEVES","VIERNES","SÁBADO","DOMINGO"))</f>
        <v/>
      </c>
      <c r="H1639" s="34">
        <f>IF($A1639="","",CHOOSE(MONTH($A1639),"ENERO","FEBRERO","MARZO","ABRIL","MAYO","JUNIO","JULIO","AGOSTO","SEPTIEMBRE","OCTUBRE","NOVIEMBRE","DICIEMBRE"))</f>
        <v/>
      </c>
      <c r="I1639" s="34">
        <f>IF($A1639="","",IF(OR($G1639="SÁBADO",$G1639="DOMINGO"),"FIN","LV"))</f>
        <v/>
      </c>
      <c r="J1639" s="34">
        <f>IF(OR($A1639="",$B1639=""),"",IF($L1639&lt;&gt;"",UPPER($L1639),IF($C1639="","FALTA",IFERROR(IF($C1639&gt;=$O1639,"ROJO FUERTE",IF($C1639&gt;=$N1639,"ROJO",IF($C1639&gt;=$M1639,"AMARILLO","VERDE"))),"REVISAR"))))</f>
        <v/>
      </c>
      <c r="K1639" s="36">
        <f>IF(OR($C1639="",$D1639=""),"",IF($D1639&gt;=$C1639,($D1639-$C1639)*24,(1-$C1639+$D1639)*24))</f>
        <v/>
      </c>
      <c r="L1639" s="34" t="n"/>
      <c r="M1639" s="53">
        <f t="array" ref="M1639">IFERROR(INDEX(EXCEPCIONES_FECHA!$D$2:$D$201,MATCH(1,(EXCEPCIONES_FECHA!$A$2:$A$201=$A1639)*(EXCEPCIONES_FECHA!$B$2:$B$201=$B1639),0)),IFERROR(INDEX(EXCEPCIONES_FECHA!$D$2:$D$201,MATCH(1,(EXCEPCIONES_FECHA!$A$2:$A$201=$A1639)*(EXCEPCIONES_FECHA!$B$2:$B$201=""),0)),IFERROR(INDEX(IF($I1639="FIN",HISTORIAL_HORARIOS!$J$2:$J$201,HISTORIAL_HORARIOS!$F$2:$F$201),MATCH(1,(HISTORIAL_HORARIOS!$A$2:$A$201=$B1639)*(HISTORIAL_HORARIOS!$C$2:$C$201&lt;=$A1639)*(HISTORIAL_HORARIOS!$D$2:$D$201&gt;=$A1639),0)),INDEX(IF($I1639="FIN",PERSONAL!$J$2:$J$80,PERSONAL!$F$2:$F$80),MATCH($B1639,PERSONAL!$A$2:$A$80,0)))))</f>
        <v/>
      </c>
      <c r="N1639" s="53">
        <f t="array" ref="N1639">IFERROR(INDEX(EXCEPCIONES_FECHA!$E$2:$E$201,MATCH(1,(EXCEPCIONES_FECHA!$A$2:$A$201=$A1639)*(EXCEPCIONES_FECHA!$B$2:$B$201=$B1639),0)),IFERROR(INDEX(EXCEPCIONES_FECHA!$E$2:$E$201,MATCH(1,(EXCEPCIONES_FECHA!$A$2:$A$201=$A1639)*(EXCEPCIONES_FECHA!$B$2:$B$201=""),0)),IFERROR(INDEX(IF($I1639="FIN",HISTORIAL_HORARIOS!$K$2:$K$201,HISTORIAL_HORARIOS!$G$2:$G$201),MATCH(1,(HISTORIAL_HORARIOS!$A$2:$A$201=$B1639)*(HISTORIAL_HORARIOS!$C$2:$C$201&lt;=$A1639)*(HISTORIAL_HORARIOS!$D$2:$D$201&gt;=$A1639),0)),INDEX(IF($I1639="FIN",PERSONAL!$K$2:$K$80,PERSONAL!$G$2:$G$80),MATCH($B1639,PERSONAL!$A$2:$A$80,0)))))</f>
        <v/>
      </c>
      <c r="O1639" s="53">
        <f t="array" ref="O1639">IFERROR(INDEX(EXCEPCIONES_FECHA!$F$2:$F$201,MATCH(1,(EXCEPCIONES_FECHA!$A$2:$A$201=$A1639)*(EXCEPCIONES_FECHA!$B$2:$B$201=$B1639),0)),IFERROR(INDEX(EXCEPCIONES_FECHA!$F$2:$F$201,MATCH(1,(EXCEPCIONES_FECHA!$A$2:$A$201=$A1639)*(EXCEPCIONES_FECHA!$B$2:$B$201=""),0)),IFERROR(INDEX(IF($I1639="FIN",HISTORIAL_HORARIOS!$L$2:$L$201,HISTORIAL_HORARIOS!$H$2:$H$201),MATCH(1,(HISTORIAL_HORARIOS!$A$2:$A$201=$B1639)*(HISTORIAL_HORARIOS!$C$2:$C$201&lt;=$A1639)*(HISTORIAL_HORARIOS!$D$2:$D$201&gt;=$A1639),0)),INDEX(IF($I1639="FIN",PERSONAL!$L$2:$L$80,PERSONAL!$H$2:$H$80),MATCH($B1639,PERSONAL!$A$2:$A$80,0)))))</f>
        <v/>
      </c>
    </row>
    <row r="1640" ht="15" customHeight="1" s="58">
      <c r="A1640" s="40" t="n"/>
      <c r="B1640" s="38" t="n"/>
      <c r="C1640" s="40" t="n"/>
      <c r="D1640" s="40" t="n"/>
      <c r="E1640" s="34">
        <f t="array" ref="E1640">IF($B1640="","",IFERROR(INDEX(PERSONAL!$B$2:$B$80,MATCH($B1640,PERSONAL!$A$2:$A$80,0)),"NO EXISTE"))</f>
        <v/>
      </c>
      <c r="F1640" s="34">
        <f t="array" ref="F1640">IF($B1640="","",IFERROR(INDEX(PERSONAL!$C$2:$C$80,MATCH($B1640,PERSONAL!$A$2:$A$80,0)),""))</f>
        <v/>
      </c>
      <c r="G1640" s="34">
        <f>IF($A1640="","",CHOOSE(WEEKDAY($A1640,2),"LUNES","MARTES","MIÉRCOLES","JUEVES","VIERNES","SÁBADO","DOMINGO"))</f>
        <v/>
      </c>
      <c r="H1640" s="34">
        <f>IF($A1640="","",CHOOSE(MONTH($A1640),"ENERO","FEBRERO","MARZO","ABRIL","MAYO","JUNIO","JULIO","AGOSTO","SEPTIEMBRE","OCTUBRE","NOVIEMBRE","DICIEMBRE"))</f>
        <v/>
      </c>
      <c r="I1640" s="34">
        <f>IF($A1640="","",IF(OR($G1640="SÁBADO",$G1640="DOMINGO"),"FIN","LV"))</f>
        <v/>
      </c>
      <c r="J1640" s="34">
        <f>IF(OR($A1640="",$B1640=""),"",IF($L1640&lt;&gt;"",UPPER($L1640),IF($C1640="","FALTA",IFERROR(IF($C1640&gt;=$O1640,"ROJO FUERTE",IF($C1640&gt;=$N1640,"ROJO",IF($C1640&gt;=$M1640,"AMARILLO","VERDE"))),"REVISAR"))))</f>
        <v/>
      </c>
      <c r="K1640" s="36">
        <f>IF(OR($C1640="",$D1640=""),"",IF($D1640&gt;=$C1640,($D1640-$C1640)*24,(1-$C1640+$D1640)*24))</f>
        <v/>
      </c>
      <c r="L1640" s="34" t="n"/>
      <c r="M1640" s="53">
        <f t="array" ref="M1640">IFERROR(INDEX(EXCEPCIONES_FECHA!$D$2:$D$201,MATCH(1,(EXCEPCIONES_FECHA!$A$2:$A$201=$A1640)*(EXCEPCIONES_FECHA!$B$2:$B$201=$B1640),0)),IFERROR(INDEX(EXCEPCIONES_FECHA!$D$2:$D$201,MATCH(1,(EXCEPCIONES_FECHA!$A$2:$A$201=$A1640)*(EXCEPCIONES_FECHA!$B$2:$B$201=""),0)),IFERROR(INDEX(IF($I1640="FIN",HISTORIAL_HORARIOS!$J$2:$J$201,HISTORIAL_HORARIOS!$F$2:$F$201),MATCH(1,(HISTORIAL_HORARIOS!$A$2:$A$201=$B1640)*(HISTORIAL_HORARIOS!$C$2:$C$201&lt;=$A1640)*(HISTORIAL_HORARIOS!$D$2:$D$201&gt;=$A1640),0)),INDEX(IF($I1640="FIN",PERSONAL!$J$2:$J$80,PERSONAL!$F$2:$F$80),MATCH($B1640,PERSONAL!$A$2:$A$80,0)))))</f>
        <v/>
      </c>
      <c r="N1640" s="53">
        <f t="array" ref="N1640">IFERROR(INDEX(EXCEPCIONES_FECHA!$E$2:$E$201,MATCH(1,(EXCEPCIONES_FECHA!$A$2:$A$201=$A1640)*(EXCEPCIONES_FECHA!$B$2:$B$201=$B1640),0)),IFERROR(INDEX(EXCEPCIONES_FECHA!$E$2:$E$201,MATCH(1,(EXCEPCIONES_FECHA!$A$2:$A$201=$A1640)*(EXCEPCIONES_FECHA!$B$2:$B$201=""),0)),IFERROR(INDEX(IF($I1640="FIN",HISTORIAL_HORARIOS!$K$2:$K$201,HISTORIAL_HORARIOS!$G$2:$G$201),MATCH(1,(HISTORIAL_HORARIOS!$A$2:$A$201=$B1640)*(HISTORIAL_HORARIOS!$C$2:$C$201&lt;=$A1640)*(HISTORIAL_HORARIOS!$D$2:$D$201&gt;=$A1640),0)),INDEX(IF($I1640="FIN",PERSONAL!$K$2:$K$80,PERSONAL!$G$2:$G$80),MATCH($B1640,PERSONAL!$A$2:$A$80,0)))))</f>
        <v/>
      </c>
      <c r="O1640" s="53">
        <f t="array" ref="O1640">IFERROR(INDEX(EXCEPCIONES_FECHA!$F$2:$F$201,MATCH(1,(EXCEPCIONES_FECHA!$A$2:$A$201=$A1640)*(EXCEPCIONES_FECHA!$B$2:$B$201=$B1640),0)),IFERROR(INDEX(EXCEPCIONES_FECHA!$F$2:$F$201,MATCH(1,(EXCEPCIONES_FECHA!$A$2:$A$201=$A1640)*(EXCEPCIONES_FECHA!$B$2:$B$201=""),0)),IFERROR(INDEX(IF($I1640="FIN",HISTORIAL_HORARIOS!$L$2:$L$201,HISTORIAL_HORARIOS!$H$2:$H$201),MATCH(1,(HISTORIAL_HORARIOS!$A$2:$A$201=$B1640)*(HISTORIAL_HORARIOS!$C$2:$C$201&lt;=$A1640)*(HISTORIAL_HORARIOS!$D$2:$D$201&gt;=$A1640),0)),INDEX(IF($I1640="FIN",PERSONAL!$L$2:$L$80,PERSONAL!$H$2:$H$80),MATCH($B1640,PERSONAL!$A$2:$A$80,0)))))</f>
        <v/>
      </c>
    </row>
    <row r="1641" ht="15" customHeight="1" s="58">
      <c r="A1641" s="40" t="n"/>
      <c r="B1641" s="38" t="n"/>
      <c r="C1641" s="40" t="n"/>
      <c r="D1641" s="40" t="n"/>
      <c r="E1641" s="34">
        <f t="array" ref="E1641">IF($B1641="","",IFERROR(INDEX(PERSONAL!$B$2:$B$80,MATCH($B1641,PERSONAL!$A$2:$A$80,0)),"NO EXISTE"))</f>
        <v/>
      </c>
      <c r="F1641" s="34">
        <f t="array" ref="F1641">IF($B1641="","",IFERROR(INDEX(PERSONAL!$C$2:$C$80,MATCH($B1641,PERSONAL!$A$2:$A$80,0)),""))</f>
        <v/>
      </c>
      <c r="G1641" s="34">
        <f>IF($A1641="","",CHOOSE(WEEKDAY($A1641,2),"LUNES","MARTES","MIÉRCOLES","JUEVES","VIERNES","SÁBADO","DOMINGO"))</f>
        <v/>
      </c>
      <c r="H1641" s="34">
        <f>IF($A1641="","",CHOOSE(MONTH($A1641),"ENERO","FEBRERO","MARZO","ABRIL","MAYO","JUNIO","JULIO","AGOSTO","SEPTIEMBRE","OCTUBRE","NOVIEMBRE","DICIEMBRE"))</f>
        <v/>
      </c>
      <c r="I1641" s="34">
        <f>IF($A1641="","",IF(OR($G1641="SÁBADO",$G1641="DOMINGO"),"FIN","LV"))</f>
        <v/>
      </c>
      <c r="J1641" s="34">
        <f>IF(OR($A1641="",$B1641=""),"",IF($L1641&lt;&gt;"",UPPER($L1641),IF($C1641="","FALTA",IFERROR(IF($C1641&gt;=$O1641,"ROJO FUERTE",IF($C1641&gt;=$N1641,"ROJO",IF($C1641&gt;=$M1641,"AMARILLO","VERDE"))),"REVISAR"))))</f>
        <v/>
      </c>
      <c r="K1641" s="36">
        <f>IF(OR($C1641="",$D1641=""),"",IF($D1641&gt;=$C1641,($D1641-$C1641)*24,(1-$C1641+$D1641)*24))</f>
        <v/>
      </c>
      <c r="L1641" s="34" t="n"/>
      <c r="M1641" s="53">
        <f t="array" ref="M1641">IFERROR(INDEX(EXCEPCIONES_FECHA!$D$2:$D$201,MATCH(1,(EXCEPCIONES_FECHA!$A$2:$A$201=$A1641)*(EXCEPCIONES_FECHA!$B$2:$B$201=$B1641),0)),IFERROR(INDEX(EXCEPCIONES_FECHA!$D$2:$D$201,MATCH(1,(EXCEPCIONES_FECHA!$A$2:$A$201=$A1641)*(EXCEPCIONES_FECHA!$B$2:$B$201=""),0)),IFERROR(INDEX(IF($I1641="FIN",HISTORIAL_HORARIOS!$J$2:$J$201,HISTORIAL_HORARIOS!$F$2:$F$201),MATCH(1,(HISTORIAL_HORARIOS!$A$2:$A$201=$B1641)*(HISTORIAL_HORARIOS!$C$2:$C$201&lt;=$A1641)*(HISTORIAL_HORARIOS!$D$2:$D$201&gt;=$A1641),0)),INDEX(IF($I1641="FIN",PERSONAL!$J$2:$J$80,PERSONAL!$F$2:$F$80),MATCH($B1641,PERSONAL!$A$2:$A$80,0)))))</f>
        <v/>
      </c>
      <c r="N1641" s="53">
        <f t="array" ref="N1641">IFERROR(INDEX(EXCEPCIONES_FECHA!$E$2:$E$201,MATCH(1,(EXCEPCIONES_FECHA!$A$2:$A$201=$A1641)*(EXCEPCIONES_FECHA!$B$2:$B$201=$B1641),0)),IFERROR(INDEX(EXCEPCIONES_FECHA!$E$2:$E$201,MATCH(1,(EXCEPCIONES_FECHA!$A$2:$A$201=$A1641)*(EXCEPCIONES_FECHA!$B$2:$B$201=""),0)),IFERROR(INDEX(IF($I1641="FIN",HISTORIAL_HORARIOS!$K$2:$K$201,HISTORIAL_HORARIOS!$G$2:$G$201),MATCH(1,(HISTORIAL_HORARIOS!$A$2:$A$201=$B1641)*(HISTORIAL_HORARIOS!$C$2:$C$201&lt;=$A1641)*(HISTORIAL_HORARIOS!$D$2:$D$201&gt;=$A1641),0)),INDEX(IF($I1641="FIN",PERSONAL!$K$2:$K$80,PERSONAL!$G$2:$G$80),MATCH($B1641,PERSONAL!$A$2:$A$80,0)))))</f>
        <v/>
      </c>
      <c r="O1641" s="53">
        <f t="array" ref="O1641">IFERROR(INDEX(EXCEPCIONES_FECHA!$F$2:$F$201,MATCH(1,(EXCEPCIONES_FECHA!$A$2:$A$201=$A1641)*(EXCEPCIONES_FECHA!$B$2:$B$201=$B1641),0)),IFERROR(INDEX(EXCEPCIONES_FECHA!$F$2:$F$201,MATCH(1,(EXCEPCIONES_FECHA!$A$2:$A$201=$A1641)*(EXCEPCIONES_FECHA!$B$2:$B$201=""),0)),IFERROR(INDEX(IF($I1641="FIN",HISTORIAL_HORARIOS!$L$2:$L$201,HISTORIAL_HORARIOS!$H$2:$H$201),MATCH(1,(HISTORIAL_HORARIOS!$A$2:$A$201=$B1641)*(HISTORIAL_HORARIOS!$C$2:$C$201&lt;=$A1641)*(HISTORIAL_HORARIOS!$D$2:$D$201&gt;=$A1641),0)),INDEX(IF($I1641="FIN",PERSONAL!$L$2:$L$80,PERSONAL!$H$2:$H$80),MATCH($B1641,PERSONAL!$A$2:$A$80,0)))))</f>
        <v/>
      </c>
    </row>
    <row r="1642" ht="15" customHeight="1" s="58">
      <c r="A1642" s="40" t="n"/>
      <c r="B1642" s="38" t="n"/>
      <c r="C1642" s="40" t="n"/>
      <c r="D1642" s="40" t="n"/>
      <c r="E1642" s="34">
        <f t="array" ref="E1642">IF($B1642="","",IFERROR(INDEX(PERSONAL!$B$2:$B$80,MATCH($B1642,PERSONAL!$A$2:$A$80,0)),"NO EXISTE"))</f>
        <v/>
      </c>
      <c r="F1642" s="34">
        <f t="array" ref="F1642">IF($B1642="","",IFERROR(INDEX(PERSONAL!$C$2:$C$80,MATCH($B1642,PERSONAL!$A$2:$A$80,0)),""))</f>
        <v/>
      </c>
      <c r="G1642" s="34">
        <f>IF($A1642="","",CHOOSE(WEEKDAY($A1642,2),"LUNES","MARTES","MIÉRCOLES","JUEVES","VIERNES","SÁBADO","DOMINGO"))</f>
        <v/>
      </c>
      <c r="H1642" s="34">
        <f>IF($A1642="","",CHOOSE(MONTH($A1642),"ENERO","FEBRERO","MARZO","ABRIL","MAYO","JUNIO","JULIO","AGOSTO","SEPTIEMBRE","OCTUBRE","NOVIEMBRE","DICIEMBRE"))</f>
        <v/>
      </c>
      <c r="I1642" s="34">
        <f>IF($A1642="","",IF(OR($G1642="SÁBADO",$G1642="DOMINGO"),"FIN","LV"))</f>
        <v/>
      </c>
      <c r="J1642" s="34">
        <f>IF(OR($A1642="",$B1642=""),"",IF($L1642&lt;&gt;"",UPPER($L1642),IF($C1642="","FALTA",IFERROR(IF($C1642&gt;=$O1642,"ROJO FUERTE",IF($C1642&gt;=$N1642,"ROJO",IF($C1642&gt;=$M1642,"AMARILLO","VERDE"))),"REVISAR"))))</f>
        <v/>
      </c>
      <c r="K1642" s="36">
        <f>IF(OR($C1642="",$D1642=""),"",IF($D1642&gt;=$C1642,($D1642-$C1642)*24,(1-$C1642+$D1642)*24))</f>
        <v/>
      </c>
      <c r="L1642" s="34" t="n"/>
      <c r="M1642" s="53">
        <f t="array" ref="M1642">IFERROR(INDEX(EXCEPCIONES_FECHA!$D$2:$D$201,MATCH(1,(EXCEPCIONES_FECHA!$A$2:$A$201=$A1642)*(EXCEPCIONES_FECHA!$B$2:$B$201=$B1642),0)),IFERROR(INDEX(EXCEPCIONES_FECHA!$D$2:$D$201,MATCH(1,(EXCEPCIONES_FECHA!$A$2:$A$201=$A1642)*(EXCEPCIONES_FECHA!$B$2:$B$201=""),0)),IFERROR(INDEX(IF($I1642="FIN",HISTORIAL_HORARIOS!$J$2:$J$201,HISTORIAL_HORARIOS!$F$2:$F$201),MATCH(1,(HISTORIAL_HORARIOS!$A$2:$A$201=$B1642)*(HISTORIAL_HORARIOS!$C$2:$C$201&lt;=$A1642)*(HISTORIAL_HORARIOS!$D$2:$D$201&gt;=$A1642),0)),INDEX(IF($I1642="FIN",PERSONAL!$J$2:$J$80,PERSONAL!$F$2:$F$80),MATCH($B1642,PERSONAL!$A$2:$A$80,0)))))</f>
        <v/>
      </c>
      <c r="N1642" s="53">
        <f t="array" ref="N1642">IFERROR(INDEX(EXCEPCIONES_FECHA!$E$2:$E$201,MATCH(1,(EXCEPCIONES_FECHA!$A$2:$A$201=$A1642)*(EXCEPCIONES_FECHA!$B$2:$B$201=$B1642),0)),IFERROR(INDEX(EXCEPCIONES_FECHA!$E$2:$E$201,MATCH(1,(EXCEPCIONES_FECHA!$A$2:$A$201=$A1642)*(EXCEPCIONES_FECHA!$B$2:$B$201=""),0)),IFERROR(INDEX(IF($I1642="FIN",HISTORIAL_HORARIOS!$K$2:$K$201,HISTORIAL_HORARIOS!$G$2:$G$201),MATCH(1,(HISTORIAL_HORARIOS!$A$2:$A$201=$B1642)*(HISTORIAL_HORARIOS!$C$2:$C$201&lt;=$A1642)*(HISTORIAL_HORARIOS!$D$2:$D$201&gt;=$A1642),0)),INDEX(IF($I1642="FIN",PERSONAL!$K$2:$K$80,PERSONAL!$G$2:$G$80),MATCH($B1642,PERSONAL!$A$2:$A$80,0)))))</f>
        <v/>
      </c>
      <c r="O1642" s="53">
        <f t="array" ref="O1642">IFERROR(INDEX(EXCEPCIONES_FECHA!$F$2:$F$201,MATCH(1,(EXCEPCIONES_FECHA!$A$2:$A$201=$A1642)*(EXCEPCIONES_FECHA!$B$2:$B$201=$B1642),0)),IFERROR(INDEX(EXCEPCIONES_FECHA!$F$2:$F$201,MATCH(1,(EXCEPCIONES_FECHA!$A$2:$A$201=$A1642)*(EXCEPCIONES_FECHA!$B$2:$B$201=""),0)),IFERROR(INDEX(IF($I1642="FIN",HISTORIAL_HORARIOS!$L$2:$L$201,HISTORIAL_HORARIOS!$H$2:$H$201),MATCH(1,(HISTORIAL_HORARIOS!$A$2:$A$201=$B1642)*(HISTORIAL_HORARIOS!$C$2:$C$201&lt;=$A1642)*(HISTORIAL_HORARIOS!$D$2:$D$201&gt;=$A1642),0)),INDEX(IF($I1642="FIN",PERSONAL!$L$2:$L$80,PERSONAL!$H$2:$H$80),MATCH($B1642,PERSONAL!$A$2:$A$80,0)))))</f>
        <v/>
      </c>
    </row>
    <row r="1643" ht="15" customHeight="1" s="58">
      <c r="A1643" s="40" t="n"/>
      <c r="B1643" s="38" t="n"/>
      <c r="C1643" s="40" t="n"/>
      <c r="D1643" s="40" t="n"/>
      <c r="E1643" s="34">
        <f t="array" ref="E1643">IF($B1643="","",IFERROR(INDEX(PERSONAL!$B$2:$B$80,MATCH($B1643,PERSONAL!$A$2:$A$80,0)),"NO EXISTE"))</f>
        <v/>
      </c>
      <c r="F1643" s="34">
        <f t="array" ref="F1643">IF($B1643="","",IFERROR(INDEX(PERSONAL!$C$2:$C$80,MATCH($B1643,PERSONAL!$A$2:$A$80,0)),""))</f>
        <v/>
      </c>
      <c r="G1643" s="34">
        <f>IF($A1643="","",CHOOSE(WEEKDAY($A1643,2),"LUNES","MARTES","MIÉRCOLES","JUEVES","VIERNES","SÁBADO","DOMINGO"))</f>
        <v/>
      </c>
      <c r="H1643" s="34">
        <f>IF($A1643="","",CHOOSE(MONTH($A1643),"ENERO","FEBRERO","MARZO","ABRIL","MAYO","JUNIO","JULIO","AGOSTO","SEPTIEMBRE","OCTUBRE","NOVIEMBRE","DICIEMBRE"))</f>
        <v/>
      </c>
      <c r="I1643" s="34">
        <f>IF($A1643="","",IF(OR($G1643="SÁBADO",$G1643="DOMINGO"),"FIN","LV"))</f>
        <v/>
      </c>
      <c r="J1643" s="34">
        <f>IF(OR($A1643="",$B1643=""),"",IF($L1643&lt;&gt;"",UPPER($L1643),IF($C1643="","FALTA",IFERROR(IF($C1643&gt;=$O1643,"ROJO FUERTE",IF($C1643&gt;=$N1643,"ROJO",IF($C1643&gt;=$M1643,"AMARILLO","VERDE"))),"REVISAR"))))</f>
        <v/>
      </c>
      <c r="K1643" s="36">
        <f>IF(OR($C1643="",$D1643=""),"",IF($D1643&gt;=$C1643,($D1643-$C1643)*24,(1-$C1643+$D1643)*24))</f>
        <v/>
      </c>
      <c r="L1643" s="34" t="n"/>
      <c r="M1643" s="53">
        <f t="array" ref="M1643">IFERROR(INDEX(EXCEPCIONES_FECHA!$D$2:$D$201,MATCH(1,(EXCEPCIONES_FECHA!$A$2:$A$201=$A1643)*(EXCEPCIONES_FECHA!$B$2:$B$201=$B1643),0)),IFERROR(INDEX(EXCEPCIONES_FECHA!$D$2:$D$201,MATCH(1,(EXCEPCIONES_FECHA!$A$2:$A$201=$A1643)*(EXCEPCIONES_FECHA!$B$2:$B$201=""),0)),IFERROR(INDEX(IF($I1643="FIN",HISTORIAL_HORARIOS!$J$2:$J$201,HISTORIAL_HORARIOS!$F$2:$F$201),MATCH(1,(HISTORIAL_HORARIOS!$A$2:$A$201=$B1643)*(HISTORIAL_HORARIOS!$C$2:$C$201&lt;=$A1643)*(HISTORIAL_HORARIOS!$D$2:$D$201&gt;=$A1643),0)),INDEX(IF($I1643="FIN",PERSONAL!$J$2:$J$80,PERSONAL!$F$2:$F$80),MATCH($B1643,PERSONAL!$A$2:$A$80,0)))))</f>
        <v/>
      </c>
      <c r="N1643" s="53">
        <f t="array" ref="N1643">IFERROR(INDEX(EXCEPCIONES_FECHA!$E$2:$E$201,MATCH(1,(EXCEPCIONES_FECHA!$A$2:$A$201=$A1643)*(EXCEPCIONES_FECHA!$B$2:$B$201=$B1643),0)),IFERROR(INDEX(EXCEPCIONES_FECHA!$E$2:$E$201,MATCH(1,(EXCEPCIONES_FECHA!$A$2:$A$201=$A1643)*(EXCEPCIONES_FECHA!$B$2:$B$201=""),0)),IFERROR(INDEX(IF($I1643="FIN",HISTORIAL_HORARIOS!$K$2:$K$201,HISTORIAL_HORARIOS!$G$2:$G$201),MATCH(1,(HISTORIAL_HORARIOS!$A$2:$A$201=$B1643)*(HISTORIAL_HORARIOS!$C$2:$C$201&lt;=$A1643)*(HISTORIAL_HORARIOS!$D$2:$D$201&gt;=$A1643),0)),INDEX(IF($I1643="FIN",PERSONAL!$K$2:$K$80,PERSONAL!$G$2:$G$80),MATCH($B1643,PERSONAL!$A$2:$A$80,0)))))</f>
        <v/>
      </c>
      <c r="O1643" s="53">
        <f t="array" ref="O1643">IFERROR(INDEX(EXCEPCIONES_FECHA!$F$2:$F$201,MATCH(1,(EXCEPCIONES_FECHA!$A$2:$A$201=$A1643)*(EXCEPCIONES_FECHA!$B$2:$B$201=$B1643),0)),IFERROR(INDEX(EXCEPCIONES_FECHA!$F$2:$F$201,MATCH(1,(EXCEPCIONES_FECHA!$A$2:$A$201=$A1643)*(EXCEPCIONES_FECHA!$B$2:$B$201=""),0)),IFERROR(INDEX(IF($I1643="FIN",HISTORIAL_HORARIOS!$L$2:$L$201,HISTORIAL_HORARIOS!$H$2:$H$201),MATCH(1,(HISTORIAL_HORARIOS!$A$2:$A$201=$B1643)*(HISTORIAL_HORARIOS!$C$2:$C$201&lt;=$A1643)*(HISTORIAL_HORARIOS!$D$2:$D$201&gt;=$A1643),0)),INDEX(IF($I1643="FIN",PERSONAL!$L$2:$L$80,PERSONAL!$H$2:$H$80),MATCH($B1643,PERSONAL!$A$2:$A$80,0)))))</f>
        <v/>
      </c>
    </row>
    <row r="1644" ht="15" customHeight="1" s="58">
      <c r="A1644" s="40" t="n"/>
      <c r="B1644" s="38" t="n"/>
      <c r="C1644" s="40" t="n"/>
      <c r="D1644" s="40" t="n"/>
      <c r="E1644" s="34">
        <f t="array" ref="E1644">IF($B1644="","",IFERROR(INDEX(PERSONAL!$B$2:$B$80,MATCH($B1644,PERSONAL!$A$2:$A$80,0)),"NO EXISTE"))</f>
        <v/>
      </c>
      <c r="F1644" s="34">
        <f t="array" ref="F1644">IF($B1644="","",IFERROR(INDEX(PERSONAL!$C$2:$C$80,MATCH($B1644,PERSONAL!$A$2:$A$80,0)),""))</f>
        <v/>
      </c>
      <c r="G1644" s="34">
        <f>IF($A1644="","",CHOOSE(WEEKDAY($A1644,2),"LUNES","MARTES","MIÉRCOLES","JUEVES","VIERNES","SÁBADO","DOMINGO"))</f>
        <v/>
      </c>
      <c r="H1644" s="34">
        <f>IF($A1644="","",CHOOSE(MONTH($A1644),"ENERO","FEBRERO","MARZO","ABRIL","MAYO","JUNIO","JULIO","AGOSTO","SEPTIEMBRE","OCTUBRE","NOVIEMBRE","DICIEMBRE"))</f>
        <v/>
      </c>
      <c r="I1644" s="34">
        <f>IF($A1644="","",IF(OR($G1644="SÁBADO",$G1644="DOMINGO"),"FIN","LV"))</f>
        <v/>
      </c>
      <c r="J1644" s="34">
        <f>IF(OR($A1644="",$B1644=""),"",IF($L1644&lt;&gt;"",UPPER($L1644),IF($C1644="","FALTA",IFERROR(IF($C1644&gt;=$O1644,"ROJO FUERTE",IF($C1644&gt;=$N1644,"ROJO",IF($C1644&gt;=$M1644,"AMARILLO","VERDE"))),"REVISAR"))))</f>
        <v/>
      </c>
      <c r="K1644" s="36">
        <f>IF(OR($C1644="",$D1644=""),"",IF($D1644&gt;=$C1644,($D1644-$C1644)*24,(1-$C1644+$D1644)*24))</f>
        <v/>
      </c>
      <c r="L1644" s="34" t="n"/>
      <c r="M1644" s="53">
        <f t="array" ref="M1644">IFERROR(INDEX(EXCEPCIONES_FECHA!$D$2:$D$201,MATCH(1,(EXCEPCIONES_FECHA!$A$2:$A$201=$A1644)*(EXCEPCIONES_FECHA!$B$2:$B$201=$B1644),0)),IFERROR(INDEX(EXCEPCIONES_FECHA!$D$2:$D$201,MATCH(1,(EXCEPCIONES_FECHA!$A$2:$A$201=$A1644)*(EXCEPCIONES_FECHA!$B$2:$B$201=""),0)),IFERROR(INDEX(IF($I1644="FIN",HISTORIAL_HORARIOS!$J$2:$J$201,HISTORIAL_HORARIOS!$F$2:$F$201),MATCH(1,(HISTORIAL_HORARIOS!$A$2:$A$201=$B1644)*(HISTORIAL_HORARIOS!$C$2:$C$201&lt;=$A1644)*(HISTORIAL_HORARIOS!$D$2:$D$201&gt;=$A1644),0)),INDEX(IF($I1644="FIN",PERSONAL!$J$2:$J$80,PERSONAL!$F$2:$F$80),MATCH($B1644,PERSONAL!$A$2:$A$80,0)))))</f>
        <v/>
      </c>
      <c r="N1644" s="53">
        <f t="array" ref="N1644">IFERROR(INDEX(EXCEPCIONES_FECHA!$E$2:$E$201,MATCH(1,(EXCEPCIONES_FECHA!$A$2:$A$201=$A1644)*(EXCEPCIONES_FECHA!$B$2:$B$201=$B1644),0)),IFERROR(INDEX(EXCEPCIONES_FECHA!$E$2:$E$201,MATCH(1,(EXCEPCIONES_FECHA!$A$2:$A$201=$A1644)*(EXCEPCIONES_FECHA!$B$2:$B$201=""),0)),IFERROR(INDEX(IF($I1644="FIN",HISTORIAL_HORARIOS!$K$2:$K$201,HISTORIAL_HORARIOS!$G$2:$G$201),MATCH(1,(HISTORIAL_HORARIOS!$A$2:$A$201=$B1644)*(HISTORIAL_HORARIOS!$C$2:$C$201&lt;=$A1644)*(HISTORIAL_HORARIOS!$D$2:$D$201&gt;=$A1644),0)),INDEX(IF($I1644="FIN",PERSONAL!$K$2:$K$80,PERSONAL!$G$2:$G$80),MATCH($B1644,PERSONAL!$A$2:$A$80,0)))))</f>
        <v/>
      </c>
      <c r="O1644" s="53">
        <f t="array" ref="O1644">IFERROR(INDEX(EXCEPCIONES_FECHA!$F$2:$F$201,MATCH(1,(EXCEPCIONES_FECHA!$A$2:$A$201=$A1644)*(EXCEPCIONES_FECHA!$B$2:$B$201=$B1644),0)),IFERROR(INDEX(EXCEPCIONES_FECHA!$F$2:$F$201,MATCH(1,(EXCEPCIONES_FECHA!$A$2:$A$201=$A1644)*(EXCEPCIONES_FECHA!$B$2:$B$201=""),0)),IFERROR(INDEX(IF($I1644="FIN",HISTORIAL_HORARIOS!$L$2:$L$201,HISTORIAL_HORARIOS!$H$2:$H$201),MATCH(1,(HISTORIAL_HORARIOS!$A$2:$A$201=$B1644)*(HISTORIAL_HORARIOS!$C$2:$C$201&lt;=$A1644)*(HISTORIAL_HORARIOS!$D$2:$D$201&gt;=$A1644),0)),INDEX(IF($I1644="FIN",PERSONAL!$L$2:$L$80,PERSONAL!$H$2:$H$80),MATCH($B1644,PERSONAL!$A$2:$A$80,0)))))</f>
        <v/>
      </c>
    </row>
    <row r="1645" ht="15" customHeight="1" s="58">
      <c r="A1645" s="40" t="n"/>
      <c r="B1645" s="38" t="n"/>
      <c r="C1645" s="40" t="n"/>
      <c r="D1645" s="40" t="n"/>
      <c r="E1645" s="34">
        <f t="array" ref="E1645">IF($B1645="","",IFERROR(INDEX(PERSONAL!$B$2:$B$80,MATCH($B1645,PERSONAL!$A$2:$A$80,0)),"NO EXISTE"))</f>
        <v/>
      </c>
      <c r="F1645" s="34">
        <f t="array" ref="F1645">IF($B1645="","",IFERROR(INDEX(PERSONAL!$C$2:$C$80,MATCH($B1645,PERSONAL!$A$2:$A$80,0)),""))</f>
        <v/>
      </c>
      <c r="G1645" s="34">
        <f>IF($A1645="","",CHOOSE(WEEKDAY($A1645,2),"LUNES","MARTES","MIÉRCOLES","JUEVES","VIERNES","SÁBADO","DOMINGO"))</f>
        <v/>
      </c>
      <c r="H1645" s="34">
        <f>IF($A1645="","",CHOOSE(MONTH($A1645),"ENERO","FEBRERO","MARZO","ABRIL","MAYO","JUNIO","JULIO","AGOSTO","SEPTIEMBRE","OCTUBRE","NOVIEMBRE","DICIEMBRE"))</f>
        <v/>
      </c>
      <c r="I1645" s="34">
        <f>IF($A1645="","",IF(OR($G1645="SÁBADO",$G1645="DOMINGO"),"FIN","LV"))</f>
        <v/>
      </c>
      <c r="J1645" s="34">
        <f>IF(OR($A1645="",$B1645=""),"",IF($L1645&lt;&gt;"",UPPER($L1645),IF($C1645="","FALTA",IFERROR(IF($C1645&gt;=$O1645,"ROJO FUERTE",IF($C1645&gt;=$N1645,"ROJO",IF($C1645&gt;=$M1645,"AMARILLO","VERDE"))),"REVISAR"))))</f>
        <v/>
      </c>
      <c r="K1645" s="36">
        <f>IF(OR($C1645="",$D1645=""),"",IF($D1645&gt;=$C1645,($D1645-$C1645)*24,(1-$C1645+$D1645)*24))</f>
        <v/>
      </c>
      <c r="L1645" s="34" t="n"/>
      <c r="M1645" s="53">
        <f t="array" ref="M1645">IFERROR(INDEX(EXCEPCIONES_FECHA!$D$2:$D$201,MATCH(1,(EXCEPCIONES_FECHA!$A$2:$A$201=$A1645)*(EXCEPCIONES_FECHA!$B$2:$B$201=$B1645),0)),IFERROR(INDEX(EXCEPCIONES_FECHA!$D$2:$D$201,MATCH(1,(EXCEPCIONES_FECHA!$A$2:$A$201=$A1645)*(EXCEPCIONES_FECHA!$B$2:$B$201=""),0)),IFERROR(INDEX(IF($I1645="FIN",HISTORIAL_HORARIOS!$J$2:$J$201,HISTORIAL_HORARIOS!$F$2:$F$201),MATCH(1,(HISTORIAL_HORARIOS!$A$2:$A$201=$B1645)*(HISTORIAL_HORARIOS!$C$2:$C$201&lt;=$A1645)*(HISTORIAL_HORARIOS!$D$2:$D$201&gt;=$A1645),0)),INDEX(IF($I1645="FIN",PERSONAL!$J$2:$J$80,PERSONAL!$F$2:$F$80),MATCH($B1645,PERSONAL!$A$2:$A$80,0)))))</f>
        <v/>
      </c>
      <c r="N1645" s="53">
        <f t="array" ref="N1645">IFERROR(INDEX(EXCEPCIONES_FECHA!$E$2:$E$201,MATCH(1,(EXCEPCIONES_FECHA!$A$2:$A$201=$A1645)*(EXCEPCIONES_FECHA!$B$2:$B$201=$B1645),0)),IFERROR(INDEX(EXCEPCIONES_FECHA!$E$2:$E$201,MATCH(1,(EXCEPCIONES_FECHA!$A$2:$A$201=$A1645)*(EXCEPCIONES_FECHA!$B$2:$B$201=""),0)),IFERROR(INDEX(IF($I1645="FIN",HISTORIAL_HORARIOS!$K$2:$K$201,HISTORIAL_HORARIOS!$G$2:$G$201),MATCH(1,(HISTORIAL_HORARIOS!$A$2:$A$201=$B1645)*(HISTORIAL_HORARIOS!$C$2:$C$201&lt;=$A1645)*(HISTORIAL_HORARIOS!$D$2:$D$201&gt;=$A1645),0)),INDEX(IF($I1645="FIN",PERSONAL!$K$2:$K$80,PERSONAL!$G$2:$G$80),MATCH($B1645,PERSONAL!$A$2:$A$80,0)))))</f>
        <v/>
      </c>
      <c r="O1645" s="53">
        <f t="array" ref="O1645">IFERROR(INDEX(EXCEPCIONES_FECHA!$F$2:$F$201,MATCH(1,(EXCEPCIONES_FECHA!$A$2:$A$201=$A1645)*(EXCEPCIONES_FECHA!$B$2:$B$201=$B1645),0)),IFERROR(INDEX(EXCEPCIONES_FECHA!$F$2:$F$201,MATCH(1,(EXCEPCIONES_FECHA!$A$2:$A$201=$A1645)*(EXCEPCIONES_FECHA!$B$2:$B$201=""),0)),IFERROR(INDEX(IF($I1645="FIN",HISTORIAL_HORARIOS!$L$2:$L$201,HISTORIAL_HORARIOS!$H$2:$H$201),MATCH(1,(HISTORIAL_HORARIOS!$A$2:$A$201=$B1645)*(HISTORIAL_HORARIOS!$C$2:$C$201&lt;=$A1645)*(HISTORIAL_HORARIOS!$D$2:$D$201&gt;=$A1645),0)),INDEX(IF($I1645="FIN",PERSONAL!$L$2:$L$80,PERSONAL!$H$2:$H$80),MATCH($B1645,PERSONAL!$A$2:$A$80,0)))))</f>
        <v/>
      </c>
    </row>
    <row r="1646" ht="15" customHeight="1" s="58">
      <c r="A1646" s="40" t="n"/>
      <c r="B1646" s="38" t="n"/>
      <c r="C1646" s="40" t="n"/>
      <c r="D1646" s="40" t="n"/>
      <c r="E1646" s="34">
        <f t="array" ref="E1646">IF($B1646="","",IFERROR(INDEX(PERSONAL!$B$2:$B$80,MATCH($B1646,PERSONAL!$A$2:$A$80,0)),"NO EXISTE"))</f>
        <v/>
      </c>
      <c r="F1646" s="34">
        <f t="array" ref="F1646">IF($B1646="","",IFERROR(INDEX(PERSONAL!$C$2:$C$80,MATCH($B1646,PERSONAL!$A$2:$A$80,0)),""))</f>
        <v/>
      </c>
      <c r="G1646" s="34">
        <f>IF($A1646="","",CHOOSE(WEEKDAY($A1646,2),"LUNES","MARTES","MIÉRCOLES","JUEVES","VIERNES","SÁBADO","DOMINGO"))</f>
        <v/>
      </c>
      <c r="H1646" s="34">
        <f>IF($A1646="","",CHOOSE(MONTH($A1646),"ENERO","FEBRERO","MARZO","ABRIL","MAYO","JUNIO","JULIO","AGOSTO","SEPTIEMBRE","OCTUBRE","NOVIEMBRE","DICIEMBRE"))</f>
        <v/>
      </c>
      <c r="I1646" s="34">
        <f>IF($A1646="","",IF(OR($G1646="SÁBADO",$G1646="DOMINGO"),"FIN","LV"))</f>
        <v/>
      </c>
      <c r="J1646" s="34">
        <f>IF(OR($A1646="",$B1646=""),"",IF($L1646&lt;&gt;"",UPPER($L1646),IF($C1646="","FALTA",IFERROR(IF($C1646&gt;=$O1646,"ROJO FUERTE",IF($C1646&gt;=$N1646,"ROJO",IF($C1646&gt;=$M1646,"AMARILLO","VERDE"))),"REVISAR"))))</f>
        <v/>
      </c>
      <c r="K1646" s="36">
        <f>IF(OR($C1646="",$D1646=""),"",IF($D1646&gt;=$C1646,($D1646-$C1646)*24,(1-$C1646+$D1646)*24))</f>
        <v/>
      </c>
      <c r="L1646" s="34" t="n"/>
      <c r="M1646" s="53">
        <f t="array" ref="M1646">IFERROR(INDEX(EXCEPCIONES_FECHA!$D$2:$D$201,MATCH(1,(EXCEPCIONES_FECHA!$A$2:$A$201=$A1646)*(EXCEPCIONES_FECHA!$B$2:$B$201=$B1646),0)),IFERROR(INDEX(EXCEPCIONES_FECHA!$D$2:$D$201,MATCH(1,(EXCEPCIONES_FECHA!$A$2:$A$201=$A1646)*(EXCEPCIONES_FECHA!$B$2:$B$201=""),0)),IFERROR(INDEX(IF($I1646="FIN",HISTORIAL_HORARIOS!$J$2:$J$201,HISTORIAL_HORARIOS!$F$2:$F$201),MATCH(1,(HISTORIAL_HORARIOS!$A$2:$A$201=$B1646)*(HISTORIAL_HORARIOS!$C$2:$C$201&lt;=$A1646)*(HISTORIAL_HORARIOS!$D$2:$D$201&gt;=$A1646),0)),INDEX(IF($I1646="FIN",PERSONAL!$J$2:$J$80,PERSONAL!$F$2:$F$80),MATCH($B1646,PERSONAL!$A$2:$A$80,0)))))</f>
        <v/>
      </c>
      <c r="N1646" s="53">
        <f t="array" ref="N1646">IFERROR(INDEX(EXCEPCIONES_FECHA!$E$2:$E$201,MATCH(1,(EXCEPCIONES_FECHA!$A$2:$A$201=$A1646)*(EXCEPCIONES_FECHA!$B$2:$B$201=$B1646),0)),IFERROR(INDEX(EXCEPCIONES_FECHA!$E$2:$E$201,MATCH(1,(EXCEPCIONES_FECHA!$A$2:$A$201=$A1646)*(EXCEPCIONES_FECHA!$B$2:$B$201=""),0)),IFERROR(INDEX(IF($I1646="FIN",HISTORIAL_HORARIOS!$K$2:$K$201,HISTORIAL_HORARIOS!$G$2:$G$201),MATCH(1,(HISTORIAL_HORARIOS!$A$2:$A$201=$B1646)*(HISTORIAL_HORARIOS!$C$2:$C$201&lt;=$A1646)*(HISTORIAL_HORARIOS!$D$2:$D$201&gt;=$A1646),0)),INDEX(IF($I1646="FIN",PERSONAL!$K$2:$K$80,PERSONAL!$G$2:$G$80),MATCH($B1646,PERSONAL!$A$2:$A$80,0)))))</f>
        <v/>
      </c>
      <c r="O1646" s="53">
        <f t="array" ref="O1646">IFERROR(INDEX(EXCEPCIONES_FECHA!$F$2:$F$201,MATCH(1,(EXCEPCIONES_FECHA!$A$2:$A$201=$A1646)*(EXCEPCIONES_FECHA!$B$2:$B$201=$B1646),0)),IFERROR(INDEX(EXCEPCIONES_FECHA!$F$2:$F$201,MATCH(1,(EXCEPCIONES_FECHA!$A$2:$A$201=$A1646)*(EXCEPCIONES_FECHA!$B$2:$B$201=""),0)),IFERROR(INDEX(IF($I1646="FIN",HISTORIAL_HORARIOS!$L$2:$L$201,HISTORIAL_HORARIOS!$H$2:$H$201),MATCH(1,(HISTORIAL_HORARIOS!$A$2:$A$201=$B1646)*(HISTORIAL_HORARIOS!$C$2:$C$201&lt;=$A1646)*(HISTORIAL_HORARIOS!$D$2:$D$201&gt;=$A1646),0)),INDEX(IF($I1646="FIN",PERSONAL!$L$2:$L$80,PERSONAL!$H$2:$H$80),MATCH($B1646,PERSONAL!$A$2:$A$80,0)))))</f>
        <v/>
      </c>
    </row>
    <row r="1647" ht="15" customHeight="1" s="58">
      <c r="A1647" s="40" t="n"/>
      <c r="B1647" s="38" t="n"/>
      <c r="C1647" s="40" t="n"/>
      <c r="D1647" s="40" t="n"/>
      <c r="E1647" s="34">
        <f t="array" ref="E1647">IF($B1647="","",IFERROR(INDEX(PERSONAL!$B$2:$B$80,MATCH($B1647,PERSONAL!$A$2:$A$80,0)),"NO EXISTE"))</f>
        <v/>
      </c>
      <c r="F1647" s="34">
        <f t="array" ref="F1647">IF($B1647="","",IFERROR(INDEX(PERSONAL!$C$2:$C$80,MATCH($B1647,PERSONAL!$A$2:$A$80,0)),""))</f>
        <v/>
      </c>
      <c r="G1647" s="34">
        <f>IF($A1647="","",CHOOSE(WEEKDAY($A1647,2),"LUNES","MARTES","MIÉRCOLES","JUEVES","VIERNES","SÁBADO","DOMINGO"))</f>
        <v/>
      </c>
      <c r="H1647" s="34">
        <f>IF($A1647="","",CHOOSE(MONTH($A1647),"ENERO","FEBRERO","MARZO","ABRIL","MAYO","JUNIO","JULIO","AGOSTO","SEPTIEMBRE","OCTUBRE","NOVIEMBRE","DICIEMBRE"))</f>
        <v/>
      </c>
      <c r="I1647" s="34">
        <f>IF($A1647="","",IF(OR($G1647="SÁBADO",$G1647="DOMINGO"),"FIN","LV"))</f>
        <v/>
      </c>
      <c r="J1647" s="34">
        <f>IF(OR($A1647="",$B1647=""),"",IF($L1647&lt;&gt;"",UPPER($L1647),IF($C1647="","FALTA",IFERROR(IF($C1647&gt;=$O1647,"ROJO FUERTE",IF($C1647&gt;=$N1647,"ROJO",IF($C1647&gt;=$M1647,"AMARILLO","VERDE"))),"REVISAR"))))</f>
        <v/>
      </c>
      <c r="K1647" s="36">
        <f>IF(OR($C1647="",$D1647=""),"",IF($D1647&gt;=$C1647,($D1647-$C1647)*24,(1-$C1647+$D1647)*24))</f>
        <v/>
      </c>
      <c r="L1647" s="34" t="n"/>
      <c r="M1647" s="53">
        <f t="array" ref="M1647">IFERROR(INDEX(EXCEPCIONES_FECHA!$D$2:$D$201,MATCH(1,(EXCEPCIONES_FECHA!$A$2:$A$201=$A1647)*(EXCEPCIONES_FECHA!$B$2:$B$201=$B1647),0)),IFERROR(INDEX(EXCEPCIONES_FECHA!$D$2:$D$201,MATCH(1,(EXCEPCIONES_FECHA!$A$2:$A$201=$A1647)*(EXCEPCIONES_FECHA!$B$2:$B$201=""),0)),IFERROR(INDEX(IF($I1647="FIN",HISTORIAL_HORARIOS!$J$2:$J$201,HISTORIAL_HORARIOS!$F$2:$F$201),MATCH(1,(HISTORIAL_HORARIOS!$A$2:$A$201=$B1647)*(HISTORIAL_HORARIOS!$C$2:$C$201&lt;=$A1647)*(HISTORIAL_HORARIOS!$D$2:$D$201&gt;=$A1647),0)),INDEX(IF($I1647="FIN",PERSONAL!$J$2:$J$80,PERSONAL!$F$2:$F$80),MATCH($B1647,PERSONAL!$A$2:$A$80,0)))))</f>
        <v/>
      </c>
      <c r="N1647" s="53">
        <f t="array" ref="N1647">IFERROR(INDEX(EXCEPCIONES_FECHA!$E$2:$E$201,MATCH(1,(EXCEPCIONES_FECHA!$A$2:$A$201=$A1647)*(EXCEPCIONES_FECHA!$B$2:$B$201=$B1647),0)),IFERROR(INDEX(EXCEPCIONES_FECHA!$E$2:$E$201,MATCH(1,(EXCEPCIONES_FECHA!$A$2:$A$201=$A1647)*(EXCEPCIONES_FECHA!$B$2:$B$201=""),0)),IFERROR(INDEX(IF($I1647="FIN",HISTORIAL_HORARIOS!$K$2:$K$201,HISTORIAL_HORARIOS!$G$2:$G$201),MATCH(1,(HISTORIAL_HORARIOS!$A$2:$A$201=$B1647)*(HISTORIAL_HORARIOS!$C$2:$C$201&lt;=$A1647)*(HISTORIAL_HORARIOS!$D$2:$D$201&gt;=$A1647),0)),INDEX(IF($I1647="FIN",PERSONAL!$K$2:$K$80,PERSONAL!$G$2:$G$80),MATCH($B1647,PERSONAL!$A$2:$A$80,0)))))</f>
        <v/>
      </c>
      <c r="O1647" s="53">
        <f t="array" ref="O1647">IFERROR(INDEX(EXCEPCIONES_FECHA!$F$2:$F$201,MATCH(1,(EXCEPCIONES_FECHA!$A$2:$A$201=$A1647)*(EXCEPCIONES_FECHA!$B$2:$B$201=$B1647),0)),IFERROR(INDEX(EXCEPCIONES_FECHA!$F$2:$F$201,MATCH(1,(EXCEPCIONES_FECHA!$A$2:$A$201=$A1647)*(EXCEPCIONES_FECHA!$B$2:$B$201=""),0)),IFERROR(INDEX(IF($I1647="FIN",HISTORIAL_HORARIOS!$L$2:$L$201,HISTORIAL_HORARIOS!$H$2:$H$201),MATCH(1,(HISTORIAL_HORARIOS!$A$2:$A$201=$B1647)*(HISTORIAL_HORARIOS!$C$2:$C$201&lt;=$A1647)*(HISTORIAL_HORARIOS!$D$2:$D$201&gt;=$A1647),0)),INDEX(IF($I1647="FIN",PERSONAL!$L$2:$L$80,PERSONAL!$H$2:$H$80),MATCH($B1647,PERSONAL!$A$2:$A$80,0)))))</f>
        <v/>
      </c>
    </row>
    <row r="1648" ht="15" customHeight="1" s="58">
      <c r="A1648" s="40" t="n"/>
      <c r="B1648" s="38" t="n"/>
      <c r="C1648" s="40" t="n"/>
      <c r="D1648" s="40" t="n"/>
      <c r="E1648" s="34">
        <f t="array" ref="E1648">IF($B1648="","",IFERROR(INDEX(PERSONAL!$B$2:$B$80,MATCH($B1648,PERSONAL!$A$2:$A$80,0)),"NO EXISTE"))</f>
        <v/>
      </c>
      <c r="F1648" s="34">
        <f t="array" ref="F1648">IF($B1648="","",IFERROR(INDEX(PERSONAL!$C$2:$C$80,MATCH($B1648,PERSONAL!$A$2:$A$80,0)),""))</f>
        <v/>
      </c>
      <c r="G1648" s="34">
        <f>IF($A1648="","",CHOOSE(WEEKDAY($A1648,2),"LUNES","MARTES","MIÉRCOLES","JUEVES","VIERNES","SÁBADO","DOMINGO"))</f>
        <v/>
      </c>
      <c r="H1648" s="34">
        <f>IF($A1648="","",CHOOSE(MONTH($A1648),"ENERO","FEBRERO","MARZO","ABRIL","MAYO","JUNIO","JULIO","AGOSTO","SEPTIEMBRE","OCTUBRE","NOVIEMBRE","DICIEMBRE"))</f>
        <v/>
      </c>
      <c r="I1648" s="34">
        <f>IF($A1648="","",IF(OR($G1648="SÁBADO",$G1648="DOMINGO"),"FIN","LV"))</f>
        <v/>
      </c>
      <c r="J1648" s="34">
        <f>IF(OR($A1648="",$B1648=""),"",IF($L1648&lt;&gt;"",UPPER($L1648),IF($C1648="","FALTA",IFERROR(IF($C1648&gt;=$O1648,"ROJO FUERTE",IF($C1648&gt;=$N1648,"ROJO",IF($C1648&gt;=$M1648,"AMARILLO","VERDE"))),"REVISAR"))))</f>
        <v/>
      </c>
      <c r="K1648" s="36">
        <f>IF(OR($C1648="",$D1648=""),"",IF($D1648&gt;=$C1648,($D1648-$C1648)*24,(1-$C1648+$D1648)*24))</f>
        <v/>
      </c>
      <c r="L1648" s="34" t="n"/>
      <c r="M1648" s="53">
        <f t="array" ref="M1648">IFERROR(INDEX(EXCEPCIONES_FECHA!$D$2:$D$201,MATCH(1,(EXCEPCIONES_FECHA!$A$2:$A$201=$A1648)*(EXCEPCIONES_FECHA!$B$2:$B$201=$B1648),0)),IFERROR(INDEX(EXCEPCIONES_FECHA!$D$2:$D$201,MATCH(1,(EXCEPCIONES_FECHA!$A$2:$A$201=$A1648)*(EXCEPCIONES_FECHA!$B$2:$B$201=""),0)),IFERROR(INDEX(IF($I1648="FIN",HISTORIAL_HORARIOS!$J$2:$J$201,HISTORIAL_HORARIOS!$F$2:$F$201),MATCH(1,(HISTORIAL_HORARIOS!$A$2:$A$201=$B1648)*(HISTORIAL_HORARIOS!$C$2:$C$201&lt;=$A1648)*(HISTORIAL_HORARIOS!$D$2:$D$201&gt;=$A1648),0)),INDEX(IF($I1648="FIN",PERSONAL!$J$2:$J$80,PERSONAL!$F$2:$F$80),MATCH($B1648,PERSONAL!$A$2:$A$80,0)))))</f>
        <v/>
      </c>
      <c r="N1648" s="53">
        <f t="array" ref="N1648">IFERROR(INDEX(EXCEPCIONES_FECHA!$E$2:$E$201,MATCH(1,(EXCEPCIONES_FECHA!$A$2:$A$201=$A1648)*(EXCEPCIONES_FECHA!$B$2:$B$201=$B1648),0)),IFERROR(INDEX(EXCEPCIONES_FECHA!$E$2:$E$201,MATCH(1,(EXCEPCIONES_FECHA!$A$2:$A$201=$A1648)*(EXCEPCIONES_FECHA!$B$2:$B$201=""),0)),IFERROR(INDEX(IF($I1648="FIN",HISTORIAL_HORARIOS!$K$2:$K$201,HISTORIAL_HORARIOS!$G$2:$G$201),MATCH(1,(HISTORIAL_HORARIOS!$A$2:$A$201=$B1648)*(HISTORIAL_HORARIOS!$C$2:$C$201&lt;=$A1648)*(HISTORIAL_HORARIOS!$D$2:$D$201&gt;=$A1648),0)),INDEX(IF($I1648="FIN",PERSONAL!$K$2:$K$80,PERSONAL!$G$2:$G$80),MATCH($B1648,PERSONAL!$A$2:$A$80,0)))))</f>
        <v/>
      </c>
      <c r="O1648" s="53">
        <f t="array" ref="O1648">IFERROR(INDEX(EXCEPCIONES_FECHA!$F$2:$F$201,MATCH(1,(EXCEPCIONES_FECHA!$A$2:$A$201=$A1648)*(EXCEPCIONES_FECHA!$B$2:$B$201=$B1648),0)),IFERROR(INDEX(EXCEPCIONES_FECHA!$F$2:$F$201,MATCH(1,(EXCEPCIONES_FECHA!$A$2:$A$201=$A1648)*(EXCEPCIONES_FECHA!$B$2:$B$201=""),0)),IFERROR(INDEX(IF($I1648="FIN",HISTORIAL_HORARIOS!$L$2:$L$201,HISTORIAL_HORARIOS!$H$2:$H$201),MATCH(1,(HISTORIAL_HORARIOS!$A$2:$A$201=$B1648)*(HISTORIAL_HORARIOS!$C$2:$C$201&lt;=$A1648)*(HISTORIAL_HORARIOS!$D$2:$D$201&gt;=$A1648),0)),INDEX(IF($I1648="FIN",PERSONAL!$L$2:$L$80,PERSONAL!$H$2:$H$80),MATCH($B1648,PERSONAL!$A$2:$A$80,0)))))</f>
        <v/>
      </c>
    </row>
    <row r="1649" ht="15" customHeight="1" s="58">
      <c r="A1649" s="40" t="n"/>
      <c r="B1649" s="38" t="n"/>
      <c r="C1649" s="40" t="n"/>
      <c r="D1649" s="40" t="n"/>
      <c r="E1649" s="34">
        <f t="array" ref="E1649">IF($B1649="","",IFERROR(INDEX(PERSONAL!$B$2:$B$80,MATCH($B1649,PERSONAL!$A$2:$A$80,0)),"NO EXISTE"))</f>
        <v/>
      </c>
      <c r="F1649" s="34">
        <f t="array" ref="F1649">IF($B1649="","",IFERROR(INDEX(PERSONAL!$C$2:$C$80,MATCH($B1649,PERSONAL!$A$2:$A$80,0)),""))</f>
        <v/>
      </c>
      <c r="G1649" s="34">
        <f>IF($A1649="","",CHOOSE(WEEKDAY($A1649,2),"LUNES","MARTES","MIÉRCOLES","JUEVES","VIERNES","SÁBADO","DOMINGO"))</f>
        <v/>
      </c>
      <c r="H1649" s="34">
        <f>IF($A1649="","",CHOOSE(MONTH($A1649),"ENERO","FEBRERO","MARZO","ABRIL","MAYO","JUNIO","JULIO","AGOSTO","SEPTIEMBRE","OCTUBRE","NOVIEMBRE","DICIEMBRE"))</f>
        <v/>
      </c>
      <c r="I1649" s="34">
        <f>IF($A1649="","",IF(OR($G1649="SÁBADO",$G1649="DOMINGO"),"FIN","LV"))</f>
        <v/>
      </c>
      <c r="J1649" s="34">
        <f>IF(OR($A1649="",$B1649=""),"",IF($L1649&lt;&gt;"",UPPER($L1649),IF($C1649="","FALTA",IFERROR(IF($C1649&gt;=$O1649,"ROJO FUERTE",IF($C1649&gt;=$N1649,"ROJO",IF($C1649&gt;=$M1649,"AMARILLO","VERDE"))),"REVISAR"))))</f>
        <v/>
      </c>
      <c r="K1649" s="36">
        <f>IF(OR($C1649="",$D1649=""),"",IF($D1649&gt;=$C1649,($D1649-$C1649)*24,(1-$C1649+$D1649)*24))</f>
        <v/>
      </c>
      <c r="L1649" s="34" t="n"/>
      <c r="M1649" s="53">
        <f t="array" ref="M1649">IFERROR(INDEX(EXCEPCIONES_FECHA!$D$2:$D$201,MATCH(1,(EXCEPCIONES_FECHA!$A$2:$A$201=$A1649)*(EXCEPCIONES_FECHA!$B$2:$B$201=$B1649),0)),IFERROR(INDEX(EXCEPCIONES_FECHA!$D$2:$D$201,MATCH(1,(EXCEPCIONES_FECHA!$A$2:$A$201=$A1649)*(EXCEPCIONES_FECHA!$B$2:$B$201=""),0)),IFERROR(INDEX(IF($I1649="FIN",HISTORIAL_HORARIOS!$J$2:$J$201,HISTORIAL_HORARIOS!$F$2:$F$201),MATCH(1,(HISTORIAL_HORARIOS!$A$2:$A$201=$B1649)*(HISTORIAL_HORARIOS!$C$2:$C$201&lt;=$A1649)*(HISTORIAL_HORARIOS!$D$2:$D$201&gt;=$A1649),0)),INDEX(IF($I1649="FIN",PERSONAL!$J$2:$J$80,PERSONAL!$F$2:$F$80),MATCH($B1649,PERSONAL!$A$2:$A$80,0)))))</f>
        <v/>
      </c>
      <c r="N1649" s="53">
        <f t="array" ref="N1649">IFERROR(INDEX(EXCEPCIONES_FECHA!$E$2:$E$201,MATCH(1,(EXCEPCIONES_FECHA!$A$2:$A$201=$A1649)*(EXCEPCIONES_FECHA!$B$2:$B$201=$B1649),0)),IFERROR(INDEX(EXCEPCIONES_FECHA!$E$2:$E$201,MATCH(1,(EXCEPCIONES_FECHA!$A$2:$A$201=$A1649)*(EXCEPCIONES_FECHA!$B$2:$B$201=""),0)),IFERROR(INDEX(IF($I1649="FIN",HISTORIAL_HORARIOS!$K$2:$K$201,HISTORIAL_HORARIOS!$G$2:$G$201),MATCH(1,(HISTORIAL_HORARIOS!$A$2:$A$201=$B1649)*(HISTORIAL_HORARIOS!$C$2:$C$201&lt;=$A1649)*(HISTORIAL_HORARIOS!$D$2:$D$201&gt;=$A1649),0)),INDEX(IF($I1649="FIN",PERSONAL!$K$2:$K$80,PERSONAL!$G$2:$G$80),MATCH($B1649,PERSONAL!$A$2:$A$80,0)))))</f>
        <v/>
      </c>
      <c r="O1649" s="53">
        <f t="array" ref="O1649">IFERROR(INDEX(EXCEPCIONES_FECHA!$F$2:$F$201,MATCH(1,(EXCEPCIONES_FECHA!$A$2:$A$201=$A1649)*(EXCEPCIONES_FECHA!$B$2:$B$201=$B1649),0)),IFERROR(INDEX(EXCEPCIONES_FECHA!$F$2:$F$201,MATCH(1,(EXCEPCIONES_FECHA!$A$2:$A$201=$A1649)*(EXCEPCIONES_FECHA!$B$2:$B$201=""),0)),IFERROR(INDEX(IF($I1649="FIN",HISTORIAL_HORARIOS!$L$2:$L$201,HISTORIAL_HORARIOS!$H$2:$H$201),MATCH(1,(HISTORIAL_HORARIOS!$A$2:$A$201=$B1649)*(HISTORIAL_HORARIOS!$C$2:$C$201&lt;=$A1649)*(HISTORIAL_HORARIOS!$D$2:$D$201&gt;=$A1649),0)),INDEX(IF($I1649="FIN",PERSONAL!$L$2:$L$80,PERSONAL!$H$2:$H$80),MATCH($B1649,PERSONAL!$A$2:$A$80,0)))))</f>
        <v/>
      </c>
    </row>
    <row r="1650" ht="15" customHeight="1" s="58">
      <c r="A1650" s="40" t="n"/>
      <c r="B1650" s="38" t="n"/>
      <c r="C1650" s="40" t="n"/>
      <c r="D1650" s="40" t="n"/>
      <c r="E1650" s="34">
        <f t="array" ref="E1650">IF($B1650="","",IFERROR(INDEX(PERSONAL!$B$2:$B$80,MATCH($B1650,PERSONAL!$A$2:$A$80,0)),"NO EXISTE"))</f>
        <v/>
      </c>
      <c r="F1650" s="34">
        <f t="array" ref="F1650">IF($B1650="","",IFERROR(INDEX(PERSONAL!$C$2:$C$80,MATCH($B1650,PERSONAL!$A$2:$A$80,0)),""))</f>
        <v/>
      </c>
      <c r="G1650" s="34">
        <f>IF($A1650="","",CHOOSE(WEEKDAY($A1650,2),"LUNES","MARTES","MIÉRCOLES","JUEVES","VIERNES","SÁBADO","DOMINGO"))</f>
        <v/>
      </c>
      <c r="H1650" s="34">
        <f>IF($A1650="","",CHOOSE(MONTH($A1650),"ENERO","FEBRERO","MARZO","ABRIL","MAYO","JUNIO","JULIO","AGOSTO","SEPTIEMBRE","OCTUBRE","NOVIEMBRE","DICIEMBRE"))</f>
        <v/>
      </c>
      <c r="I1650" s="34">
        <f>IF($A1650="","",IF(OR($G1650="SÁBADO",$G1650="DOMINGO"),"FIN","LV"))</f>
        <v/>
      </c>
      <c r="J1650" s="34">
        <f>IF(OR($A1650="",$B1650=""),"",IF($L1650&lt;&gt;"",UPPER($L1650),IF($C1650="","FALTA",IFERROR(IF($C1650&gt;=$O1650,"ROJO FUERTE",IF($C1650&gt;=$N1650,"ROJO",IF($C1650&gt;=$M1650,"AMARILLO","VERDE"))),"REVISAR"))))</f>
        <v/>
      </c>
      <c r="K1650" s="36">
        <f>IF(OR($C1650="",$D1650=""),"",IF($D1650&gt;=$C1650,($D1650-$C1650)*24,(1-$C1650+$D1650)*24))</f>
        <v/>
      </c>
      <c r="L1650" s="34" t="n"/>
      <c r="M1650" s="53">
        <f t="array" ref="M1650">IFERROR(INDEX(EXCEPCIONES_FECHA!$D$2:$D$201,MATCH(1,(EXCEPCIONES_FECHA!$A$2:$A$201=$A1650)*(EXCEPCIONES_FECHA!$B$2:$B$201=$B1650),0)),IFERROR(INDEX(EXCEPCIONES_FECHA!$D$2:$D$201,MATCH(1,(EXCEPCIONES_FECHA!$A$2:$A$201=$A1650)*(EXCEPCIONES_FECHA!$B$2:$B$201=""),0)),IFERROR(INDEX(IF($I1650="FIN",HISTORIAL_HORARIOS!$J$2:$J$201,HISTORIAL_HORARIOS!$F$2:$F$201),MATCH(1,(HISTORIAL_HORARIOS!$A$2:$A$201=$B1650)*(HISTORIAL_HORARIOS!$C$2:$C$201&lt;=$A1650)*(HISTORIAL_HORARIOS!$D$2:$D$201&gt;=$A1650),0)),INDEX(IF($I1650="FIN",PERSONAL!$J$2:$J$80,PERSONAL!$F$2:$F$80),MATCH($B1650,PERSONAL!$A$2:$A$80,0)))))</f>
        <v/>
      </c>
      <c r="N1650" s="53">
        <f t="array" ref="N1650">IFERROR(INDEX(EXCEPCIONES_FECHA!$E$2:$E$201,MATCH(1,(EXCEPCIONES_FECHA!$A$2:$A$201=$A1650)*(EXCEPCIONES_FECHA!$B$2:$B$201=$B1650),0)),IFERROR(INDEX(EXCEPCIONES_FECHA!$E$2:$E$201,MATCH(1,(EXCEPCIONES_FECHA!$A$2:$A$201=$A1650)*(EXCEPCIONES_FECHA!$B$2:$B$201=""),0)),IFERROR(INDEX(IF($I1650="FIN",HISTORIAL_HORARIOS!$K$2:$K$201,HISTORIAL_HORARIOS!$G$2:$G$201),MATCH(1,(HISTORIAL_HORARIOS!$A$2:$A$201=$B1650)*(HISTORIAL_HORARIOS!$C$2:$C$201&lt;=$A1650)*(HISTORIAL_HORARIOS!$D$2:$D$201&gt;=$A1650),0)),INDEX(IF($I1650="FIN",PERSONAL!$K$2:$K$80,PERSONAL!$G$2:$G$80),MATCH($B1650,PERSONAL!$A$2:$A$80,0)))))</f>
        <v/>
      </c>
      <c r="O1650" s="53">
        <f t="array" ref="O1650">IFERROR(INDEX(EXCEPCIONES_FECHA!$F$2:$F$201,MATCH(1,(EXCEPCIONES_FECHA!$A$2:$A$201=$A1650)*(EXCEPCIONES_FECHA!$B$2:$B$201=$B1650),0)),IFERROR(INDEX(EXCEPCIONES_FECHA!$F$2:$F$201,MATCH(1,(EXCEPCIONES_FECHA!$A$2:$A$201=$A1650)*(EXCEPCIONES_FECHA!$B$2:$B$201=""),0)),IFERROR(INDEX(IF($I1650="FIN",HISTORIAL_HORARIOS!$L$2:$L$201,HISTORIAL_HORARIOS!$H$2:$H$201),MATCH(1,(HISTORIAL_HORARIOS!$A$2:$A$201=$B1650)*(HISTORIAL_HORARIOS!$C$2:$C$201&lt;=$A1650)*(HISTORIAL_HORARIOS!$D$2:$D$201&gt;=$A1650),0)),INDEX(IF($I1650="FIN",PERSONAL!$L$2:$L$80,PERSONAL!$H$2:$H$80),MATCH($B1650,PERSONAL!$A$2:$A$80,0)))))</f>
        <v/>
      </c>
    </row>
    <row r="1651" ht="15" customHeight="1" s="58">
      <c r="A1651" s="40" t="n"/>
      <c r="B1651" s="38" t="n"/>
      <c r="C1651" s="40" t="n"/>
      <c r="D1651" s="40" t="n"/>
      <c r="E1651" s="34">
        <f t="array" ref="E1651">IF($B1651="","",IFERROR(INDEX(PERSONAL!$B$2:$B$80,MATCH($B1651,PERSONAL!$A$2:$A$80,0)),"NO EXISTE"))</f>
        <v/>
      </c>
      <c r="F1651" s="34">
        <f t="array" ref="F1651">IF($B1651="","",IFERROR(INDEX(PERSONAL!$C$2:$C$80,MATCH($B1651,PERSONAL!$A$2:$A$80,0)),""))</f>
        <v/>
      </c>
      <c r="G1651" s="34">
        <f>IF($A1651="","",CHOOSE(WEEKDAY($A1651,2),"LUNES","MARTES","MIÉRCOLES","JUEVES","VIERNES","SÁBADO","DOMINGO"))</f>
        <v/>
      </c>
      <c r="H1651" s="34">
        <f>IF($A1651="","",CHOOSE(MONTH($A1651),"ENERO","FEBRERO","MARZO","ABRIL","MAYO","JUNIO","JULIO","AGOSTO","SEPTIEMBRE","OCTUBRE","NOVIEMBRE","DICIEMBRE"))</f>
        <v/>
      </c>
      <c r="I1651" s="34">
        <f>IF($A1651="","",IF(OR($G1651="SÁBADO",$G1651="DOMINGO"),"FIN","LV"))</f>
        <v/>
      </c>
      <c r="J1651" s="34">
        <f>IF(OR($A1651="",$B1651=""),"",IF($L1651&lt;&gt;"",UPPER($L1651),IF($C1651="","FALTA",IFERROR(IF($C1651&gt;=$O1651,"ROJO FUERTE",IF($C1651&gt;=$N1651,"ROJO",IF($C1651&gt;=$M1651,"AMARILLO","VERDE"))),"REVISAR"))))</f>
        <v/>
      </c>
      <c r="K1651" s="36">
        <f>IF(OR($C1651="",$D1651=""),"",IF($D1651&gt;=$C1651,($D1651-$C1651)*24,(1-$C1651+$D1651)*24))</f>
        <v/>
      </c>
      <c r="L1651" s="34" t="n"/>
      <c r="M1651" s="53">
        <f t="array" ref="M1651">IFERROR(INDEX(EXCEPCIONES_FECHA!$D$2:$D$201,MATCH(1,(EXCEPCIONES_FECHA!$A$2:$A$201=$A1651)*(EXCEPCIONES_FECHA!$B$2:$B$201=$B1651),0)),IFERROR(INDEX(EXCEPCIONES_FECHA!$D$2:$D$201,MATCH(1,(EXCEPCIONES_FECHA!$A$2:$A$201=$A1651)*(EXCEPCIONES_FECHA!$B$2:$B$201=""),0)),IFERROR(INDEX(IF($I1651="FIN",HISTORIAL_HORARIOS!$J$2:$J$201,HISTORIAL_HORARIOS!$F$2:$F$201),MATCH(1,(HISTORIAL_HORARIOS!$A$2:$A$201=$B1651)*(HISTORIAL_HORARIOS!$C$2:$C$201&lt;=$A1651)*(HISTORIAL_HORARIOS!$D$2:$D$201&gt;=$A1651),0)),INDEX(IF($I1651="FIN",PERSONAL!$J$2:$J$80,PERSONAL!$F$2:$F$80),MATCH($B1651,PERSONAL!$A$2:$A$80,0)))))</f>
        <v/>
      </c>
      <c r="N1651" s="53">
        <f t="array" ref="N1651">IFERROR(INDEX(EXCEPCIONES_FECHA!$E$2:$E$201,MATCH(1,(EXCEPCIONES_FECHA!$A$2:$A$201=$A1651)*(EXCEPCIONES_FECHA!$B$2:$B$201=$B1651),0)),IFERROR(INDEX(EXCEPCIONES_FECHA!$E$2:$E$201,MATCH(1,(EXCEPCIONES_FECHA!$A$2:$A$201=$A1651)*(EXCEPCIONES_FECHA!$B$2:$B$201=""),0)),IFERROR(INDEX(IF($I1651="FIN",HISTORIAL_HORARIOS!$K$2:$K$201,HISTORIAL_HORARIOS!$G$2:$G$201),MATCH(1,(HISTORIAL_HORARIOS!$A$2:$A$201=$B1651)*(HISTORIAL_HORARIOS!$C$2:$C$201&lt;=$A1651)*(HISTORIAL_HORARIOS!$D$2:$D$201&gt;=$A1651),0)),INDEX(IF($I1651="FIN",PERSONAL!$K$2:$K$80,PERSONAL!$G$2:$G$80),MATCH($B1651,PERSONAL!$A$2:$A$80,0)))))</f>
        <v/>
      </c>
      <c r="O1651" s="53">
        <f t="array" ref="O1651">IFERROR(INDEX(EXCEPCIONES_FECHA!$F$2:$F$201,MATCH(1,(EXCEPCIONES_FECHA!$A$2:$A$201=$A1651)*(EXCEPCIONES_FECHA!$B$2:$B$201=$B1651),0)),IFERROR(INDEX(EXCEPCIONES_FECHA!$F$2:$F$201,MATCH(1,(EXCEPCIONES_FECHA!$A$2:$A$201=$A1651)*(EXCEPCIONES_FECHA!$B$2:$B$201=""),0)),IFERROR(INDEX(IF($I1651="FIN",HISTORIAL_HORARIOS!$L$2:$L$201,HISTORIAL_HORARIOS!$H$2:$H$201),MATCH(1,(HISTORIAL_HORARIOS!$A$2:$A$201=$B1651)*(HISTORIAL_HORARIOS!$C$2:$C$201&lt;=$A1651)*(HISTORIAL_HORARIOS!$D$2:$D$201&gt;=$A1651),0)),INDEX(IF($I1651="FIN",PERSONAL!$L$2:$L$80,PERSONAL!$H$2:$H$80),MATCH($B1651,PERSONAL!$A$2:$A$80,0)))))</f>
        <v/>
      </c>
    </row>
    <row r="1652" ht="15" customHeight="1" s="58">
      <c r="A1652" s="40" t="n"/>
      <c r="B1652" s="38" t="n"/>
      <c r="C1652" s="40" t="n"/>
      <c r="D1652" s="40" t="n"/>
      <c r="E1652" s="34">
        <f t="array" ref="E1652">IF($B1652="","",IFERROR(INDEX(PERSONAL!$B$2:$B$80,MATCH($B1652,PERSONAL!$A$2:$A$80,0)),"NO EXISTE"))</f>
        <v/>
      </c>
      <c r="F1652" s="34">
        <f t="array" ref="F1652">IF($B1652="","",IFERROR(INDEX(PERSONAL!$C$2:$C$80,MATCH($B1652,PERSONAL!$A$2:$A$80,0)),""))</f>
        <v/>
      </c>
      <c r="G1652" s="34">
        <f>IF($A1652="","",CHOOSE(WEEKDAY($A1652,2),"LUNES","MARTES","MIÉRCOLES","JUEVES","VIERNES","SÁBADO","DOMINGO"))</f>
        <v/>
      </c>
      <c r="H1652" s="34">
        <f>IF($A1652="","",CHOOSE(MONTH($A1652),"ENERO","FEBRERO","MARZO","ABRIL","MAYO","JUNIO","JULIO","AGOSTO","SEPTIEMBRE","OCTUBRE","NOVIEMBRE","DICIEMBRE"))</f>
        <v/>
      </c>
      <c r="I1652" s="34">
        <f>IF($A1652="","",IF(OR($G1652="SÁBADO",$G1652="DOMINGO"),"FIN","LV"))</f>
        <v/>
      </c>
      <c r="J1652" s="34">
        <f>IF(OR($A1652="",$B1652=""),"",IF($L1652&lt;&gt;"",UPPER($L1652),IF($C1652="","FALTA",IFERROR(IF($C1652&gt;=$O1652,"ROJO FUERTE",IF($C1652&gt;=$N1652,"ROJO",IF($C1652&gt;=$M1652,"AMARILLO","VERDE"))),"REVISAR"))))</f>
        <v/>
      </c>
      <c r="K1652" s="36">
        <f>IF(OR($C1652="",$D1652=""),"",IF($D1652&gt;=$C1652,($D1652-$C1652)*24,(1-$C1652+$D1652)*24))</f>
        <v/>
      </c>
      <c r="L1652" s="34" t="n"/>
      <c r="M1652" s="53">
        <f t="array" ref="M1652">IFERROR(INDEX(EXCEPCIONES_FECHA!$D$2:$D$201,MATCH(1,(EXCEPCIONES_FECHA!$A$2:$A$201=$A1652)*(EXCEPCIONES_FECHA!$B$2:$B$201=$B1652),0)),IFERROR(INDEX(EXCEPCIONES_FECHA!$D$2:$D$201,MATCH(1,(EXCEPCIONES_FECHA!$A$2:$A$201=$A1652)*(EXCEPCIONES_FECHA!$B$2:$B$201=""),0)),IFERROR(INDEX(IF($I1652="FIN",HISTORIAL_HORARIOS!$J$2:$J$201,HISTORIAL_HORARIOS!$F$2:$F$201),MATCH(1,(HISTORIAL_HORARIOS!$A$2:$A$201=$B1652)*(HISTORIAL_HORARIOS!$C$2:$C$201&lt;=$A1652)*(HISTORIAL_HORARIOS!$D$2:$D$201&gt;=$A1652),0)),INDEX(IF($I1652="FIN",PERSONAL!$J$2:$J$80,PERSONAL!$F$2:$F$80),MATCH($B1652,PERSONAL!$A$2:$A$80,0)))))</f>
        <v/>
      </c>
      <c r="N1652" s="53">
        <f t="array" ref="N1652">IFERROR(INDEX(EXCEPCIONES_FECHA!$E$2:$E$201,MATCH(1,(EXCEPCIONES_FECHA!$A$2:$A$201=$A1652)*(EXCEPCIONES_FECHA!$B$2:$B$201=$B1652),0)),IFERROR(INDEX(EXCEPCIONES_FECHA!$E$2:$E$201,MATCH(1,(EXCEPCIONES_FECHA!$A$2:$A$201=$A1652)*(EXCEPCIONES_FECHA!$B$2:$B$201=""),0)),IFERROR(INDEX(IF($I1652="FIN",HISTORIAL_HORARIOS!$K$2:$K$201,HISTORIAL_HORARIOS!$G$2:$G$201),MATCH(1,(HISTORIAL_HORARIOS!$A$2:$A$201=$B1652)*(HISTORIAL_HORARIOS!$C$2:$C$201&lt;=$A1652)*(HISTORIAL_HORARIOS!$D$2:$D$201&gt;=$A1652),0)),INDEX(IF($I1652="FIN",PERSONAL!$K$2:$K$80,PERSONAL!$G$2:$G$80),MATCH($B1652,PERSONAL!$A$2:$A$80,0)))))</f>
        <v/>
      </c>
      <c r="O1652" s="53">
        <f t="array" ref="O1652">IFERROR(INDEX(EXCEPCIONES_FECHA!$F$2:$F$201,MATCH(1,(EXCEPCIONES_FECHA!$A$2:$A$201=$A1652)*(EXCEPCIONES_FECHA!$B$2:$B$201=$B1652),0)),IFERROR(INDEX(EXCEPCIONES_FECHA!$F$2:$F$201,MATCH(1,(EXCEPCIONES_FECHA!$A$2:$A$201=$A1652)*(EXCEPCIONES_FECHA!$B$2:$B$201=""),0)),IFERROR(INDEX(IF($I1652="FIN",HISTORIAL_HORARIOS!$L$2:$L$201,HISTORIAL_HORARIOS!$H$2:$H$201),MATCH(1,(HISTORIAL_HORARIOS!$A$2:$A$201=$B1652)*(HISTORIAL_HORARIOS!$C$2:$C$201&lt;=$A1652)*(HISTORIAL_HORARIOS!$D$2:$D$201&gt;=$A1652),0)),INDEX(IF($I1652="FIN",PERSONAL!$L$2:$L$80,PERSONAL!$H$2:$H$80),MATCH($B1652,PERSONAL!$A$2:$A$80,0)))))</f>
        <v/>
      </c>
    </row>
    <row r="1653" ht="15" customHeight="1" s="58">
      <c r="A1653" s="40" t="n"/>
      <c r="B1653" s="38" t="n"/>
      <c r="C1653" s="40" t="n"/>
      <c r="D1653" s="40" t="n"/>
      <c r="E1653" s="34">
        <f t="array" ref="E1653">IF($B1653="","",IFERROR(INDEX(PERSONAL!$B$2:$B$80,MATCH($B1653,PERSONAL!$A$2:$A$80,0)),"NO EXISTE"))</f>
        <v/>
      </c>
      <c r="F1653" s="34">
        <f t="array" ref="F1653">IF($B1653="","",IFERROR(INDEX(PERSONAL!$C$2:$C$80,MATCH($B1653,PERSONAL!$A$2:$A$80,0)),""))</f>
        <v/>
      </c>
      <c r="G1653" s="34">
        <f>IF($A1653="","",CHOOSE(WEEKDAY($A1653,2),"LUNES","MARTES","MIÉRCOLES","JUEVES","VIERNES","SÁBADO","DOMINGO"))</f>
        <v/>
      </c>
      <c r="H1653" s="34">
        <f>IF($A1653="","",CHOOSE(MONTH($A1653),"ENERO","FEBRERO","MARZO","ABRIL","MAYO","JUNIO","JULIO","AGOSTO","SEPTIEMBRE","OCTUBRE","NOVIEMBRE","DICIEMBRE"))</f>
        <v/>
      </c>
      <c r="I1653" s="34">
        <f>IF($A1653="","",IF(OR($G1653="SÁBADO",$G1653="DOMINGO"),"FIN","LV"))</f>
        <v/>
      </c>
      <c r="J1653" s="34">
        <f>IF(OR($A1653="",$B1653=""),"",IF($L1653&lt;&gt;"",UPPER($L1653),IF($C1653="","FALTA",IFERROR(IF($C1653&gt;=$O1653,"ROJO FUERTE",IF($C1653&gt;=$N1653,"ROJO",IF($C1653&gt;=$M1653,"AMARILLO","VERDE"))),"REVISAR"))))</f>
        <v/>
      </c>
      <c r="K1653" s="36">
        <f>IF(OR($C1653="",$D1653=""),"",IF($D1653&gt;=$C1653,($D1653-$C1653)*24,(1-$C1653+$D1653)*24))</f>
        <v/>
      </c>
      <c r="L1653" s="34" t="n"/>
      <c r="M1653" s="53">
        <f t="array" ref="M1653">IFERROR(INDEX(EXCEPCIONES_FECHA!$D$2:$D$201,MATCH(1,(EXCEPCIONES_FECHA!$A$2:$A$201=$A1653)*(EXCEPCIONES_FECHA!$B$2:$B$201=$B1653),0)),IFERROR(INDEX(EXCEPCIONES_FECHA!$D$2:$D$201,MATCH(1,(EXCEPCIONES_FECHA!$A$2:$A$201=$A1653)*(EXCEPCIONES_FECHA!$B$2:$B$201=""),0)),IFERROR(INDEX(IF($I1653="FIN",HISTORIAL_HORARIOS!$J$2:$J$201,HISTORIAL_HORARIOS!$F$2:$F$201),MATCH(1,(HISTORIAL_HORARIOS!$A$2:$A$201=$B1653)*(HISTORIAL_HORARIOS!$C$2:$C$201&lt;=$A1653)*(HISTORIAL_HORARIOS!$D$2:$D$201&gt;=$A1653),0)),INDEX(IF($I1653="FIN",PERSONAL!$J$2:$J$80,PERSONAL!$F$2:$F$80),MATCH($B1653,PERSONAL!$A$2:$A$80,0)))))</f>
        <v/>
      </c>
      <c r="N1653" s="53">
        <f t="array" ref="N1653">IFERROR(INDEX(EXCEPCIONES_FECHA!$E$2:$E$201,MATCH(1,(EXCEPCIONES_FECHA!$A$2:$A$201=$A1653)*(EXCEPCIONES_FECHA!$B$2:$B$201=$B1653),0)),IFERROR(INDEX(EXCEPCIONES_FECHA!$E$2:$E$201,MATCH(1,(EXCEPCIONES_FECHA!$A$2:$A$201=$A1653)*(EXCEPCIONES_FECHA!$B$2:$B$201=""),0)),IFERROR(INDEX(IF($I1653="FIN",HISTORIAL_HORARIOS!$K$2:$K$201,HISTORIAL_HORARIOS!$G$2:$G$201),MATCH(1,(HISTORIAL_HORARIOS!$A$2:$A$201=$B1653)*(HISTORIAL_HORARIOS!$C$2:$C$201&lt;=$A1653)*(HISTORIAL_HORARIOS!$D$2:$D$201&gt;=$A1653),0)),INDEX(IF($I1653="FIN",PERSONAL!$K$2:$K$80,PERSONAL!$G$2:$G$80),MATCH($B1653,PERSONAL!$A$2:$A$80,0)))))</f>
        <v/>
      </c>
      <c r="O1653" s="53">
        <f t="array" ref="O1653">IFERROR(INDEX(EXCEPCIONES_FECHA!$F$2:$F$201,MATCH(1,(EXCEPCIONES_FECHA!$A$2:$A$201=$A1653)*(EXCEPCIONES_FECHA!$B$2:$B$201=$B1653),0)),IFERROR(INDEX(EXCEPCIONES_FECHA!$F$2:$F$201,MATCH(1,(EXCEPCIONES_FECHA!$A$2:$A$201=$A1653)*(EXCEPCIONES_FECHA!$B$2:$B$201=""),0)),IFERROR(INDEX(IF($I1653="FIN",HISTORIAL_HORARIOS!$L$2:$L$201,HISTORIAL_HORARIOS!$H$2:$H$201),MATCH(1,(HISTORIAL_HORARIOS!$A$2:$A$201=$B1653)*(HISTORIAL_HORARIOS!$C$2:$C$201&lt;=$A1653)*(HISTORIAL_HORARIOS!$D$2:$D$201&gt;=$A1653),0)),INDEX(IF($I1653="FIN",PERSONAL!$L$2:$L$80,PERSONAL!$H$2:$H$80),MATCH($B1653,PERSONAL!$A$2:$A$80,0)))))</f>
        <v/>
      </c>
    </row>
    <row r="1654" ht="15" customHeight="1" s="58">
      <c r="A1654" s="40" t="n"/>
      <c r="B1654" s="38" t="n"/>
      <c r="C1654" s="40" t="n"/>
      <c r="D1654" s="40" t="n"/>
      <c r="E1654" s="34">
        <f t="array" ref="E1654">IF($B1654="","",IFERROR(INDEX(PERSONAL!$B$2:$B$80,MATCH($B1654,PERSONAL!$A$2:$A$80,0)),"NO EXISTE"))</f>
        <v/>
      </c>
      <c r="F1654" s="34">
        <f t="array" ref="F1654">IF($B1654="","",IFERROR(INDEX(PERSONAL!$C$2:$C$80,MATCH($B1654,PERSONAL!$A$2:$A$80,0)),""))</f>
        <v/>
      </c>
      <c r="G1654" s="34">
        <f>IF($A1654="","",CHOOSE(WEEKDAY($A1654,2),"LUNES","MARTES","MIÉRCOLES","JUEVES","VIERNES","SÁBADO","DOMINGO"))</f>
        <v/>
      </c>
      <c r="H1654" s="34">
        <f>IF($A1654="","",CHOOSE(MONTH($A1654),"ENERO","FEBRERO","MARZO","ABRIL","MAYO","JUNIO","JULIO","AGOSTO","SEPTIEMBRE","OCTUBRE","NOVIEMBRE","DICIEMBRE"))</f>
        <v/>
      </c>
      <c r="I1654" s="34">
        <f>IF($A1654="","",IF(OR($G1654="SÁBADO",$G1654="DOMINGO"),"FIN","LV"))</f>
        <v/>
      </c>
      <c r="J1654" s="34">
        <f>IF(OR($A1654="",$B1654=""),"",IF($L1654&lt;&gt;"",UPPER($L1654),IF($C1654="","FALTA",IFERROR(IF($C1654&gt;=$O1654,"ROJO FUERTE",IF($C1654&gt;=$N1654,"ROJO",IF($C1654&gt;=$M1654,"AMARILLO","VERDE"))),"REVISAR"))))</f>
        <v/>
      </c>
      <c r="K1654" s="36">
        <f>IF(OR($C1654="",$D1654=""),"",IF($D1654&gt;=$C1654,($D1654-$C1654)*24,(1-$C1654+$D1654)*24))</f>
        <v/>
      </c>
      <c r="L1654" s="34" t="n"/>
      <c r="M1654" s="53">
        <f t="array" ref="M1654">IFERROR(INDEX(EXCEPCIONES_FECHA!$D$2:$D$201,MATCH(1,(EXCEPCIONES_FECHA!$A$2:$A$201=$A1654)*(EXCEPCIONES_FECHA!$B$2:$B$201=$B1654),0)),IFERROR(INDEX(EXCEPCIONES_FECHA!$D$2:$D$201,MATCH(1,(EXCEPCIONES_FECHA!$A$2:$A$201=$A1654)*(EXCEPCIONES_FECHA!$B$2:$B$201=""),0)),IFERROR(INDEX(IF($I1654="FIN",HISTORIAL_HORARIOS!$J$2:$J$201,HISTORIAL_HORARIOS!$F$2:$F$201),MATCH(1,(HISTORIAL_HORARIOS!$A$2:$A$201=$B1654)*(HISTORIAL_HORARIOS!$C$2:$C$201&lt;=$A1654)*(HISTORIAL_HORARIOS!$D$2:$D$201&gt;=$A1654),0)),INDEX(IF($I1654="FIN",PERSONAL!$J$2:$J$80,PERSONAL!$F$2:$F$80),MATCH($B1654,PERSONAL!$A$2:$A$80,0)))))</f>
        <v/>
      </c>
      <c r="N1654" s="53">
        <f t="array" ref="N1654">IFERROR(INDEX(EXCEPCIONES_FECHA!$E$2:$E$201,MATCH(1,(EXCEPCIONES_FECHA!$A$2:$A$201=$A1654)*(EXCEPCIONES_FECHA!$B$2:$B$201=$B1654),0)),IFERROR(INDEX(EXCEPCIONES_FECHA!$E$2:$E$201,MATCH(1,(EXCEPCIONES_FECHA!$A$2:$A$201=$A1654)*(EXCEPCIONES_FECHA!$B$2:$B$201=""),0)),IFERROR(INDEX(IF($I1654="FIN",HISTORIAL_HORARIOS!$K$2:$K$201,HISTORIAL_HORARIOS!$G$2:$G$201),MATCH(1,(HISTORIAL_HORARIOS!$A$2:$A$201=$B1654)*(HISTORIAL_HORARIOS!$C$2:$C$201&lt;=$A1654)*(HISTORIAL_HORARIOS!$D$2:$D$201&gt;=$A1654),0)),INDEX(IF($I1654="FIN",PERSONAL!$K$2:$K$80,PERSONAL!$G$2:$G$80),MATCH($B1654,PERSONAL!$A$2:$A$80,0)))))</f>
        <v/>
      </c>
      <c r="O1654" s="53">
        <f t="array" ref="O1654">IFERROR(INDEX(EXCEPCIONES_FECHA!$F$2:$F$201,MATCH(1,(EXCEPCIONES_FECHA!$A$2:$A$201=$A1654)*(EXCEPCIONES_FECHA!$B$2:$B$201=$B1654),0)),IFERROR(INDEX(EXCEPCIONES_FECHA!$F$2:$F$201,MATCH(1,(EXCEPCIONES_FECHA!$A$2:$A$201=$A1654)*(EXCEPCIONES_FECHA!$B$2:$B$201=""),0)),IFERROR(INDEX(IF($I1654="FIN",HISTORIAL_HORARIOS!$L$2:$L$201,HISTORIAL_HORARIOS!$H$2:$H$201),MATCH(1,(HISTORIAL_HORARIOS!$A$2:$A$201=$B1654)*(HISTORIAL_HORARIOS!$C$2:$C$201&lt;=$A1654)*(HISTORIAL_HORARIOS!$D$2:$D$201&gt;=$A1654),0)),INDEX(IF($I1654="FIN",PERSONAL!$L$2:$L$80,PERSONAL!$H$2:$H$80),MATCH($B1654,PERSONAL!$A$2:$A$80,0)))))</f>
        <v/>
      </c>
    </row>
    <row r="1655" ht="15" customHeight="1" s="58">
      <c r="A1655" s="40" t="n"/>
      <c r="B1655" s="38" t="n"/>
      <c r="C1655" s="40" t="n"/>
      <c r="D1655" s="40" t="n"/>
      <c r="E1655" s="34">
        <f t="array" ref="E1655">IF($B1655="","",IFERROR(INDEX(PERSONAL!$B$2:$B$80,MATCH($B1655,PERSONAL!$A$2:$A$80,0)),"NO EXISTE"))</f>
        <v/>
      </c>
      <c r="F1655" s="34">
        <f t="array" ref="F1655">IF($B1655="","",IFERROR(INDEX(PERSONAL!$C$2:$C$80,MATCH($B1655,PERSONAL!$A$2:$A$80,0)),""))</f>
        <v/>
      </c>
      <c r="G1655" s="34">
        <f>IF($A1655="","",CHOOSE(WEEKDAY($A1655,2),"LUNES","MARTES","MIÉRCOLES","JUEVES","VIERNES","SÁBADO","DOMINGO"))</f>
        <v/>
      </c>
      <c r="H1655" s="34">
        <f>IF($A1655="","",CHOOSE(MONTH($A1655),"ENERO","FEBRERO","MARZO","ABRIL","MAYO","JUNIO","JULIO","AGOSTO","SEPTIEMBRE","OCTUBRE","NOVIEMBRE","DICIEMBRE"))</f>
        <v/>
      </c>
      <c r="I1655" s="34">
        <f>IF($A1655="","",IF(OR($G1655="SÁBADO",$G1655="DOMINGO"),"FIN","LV"))</f>
        <v/>
      </c>
      <c r="J1655" s="34">
        <f>IF(OR($A1655="",$B1655=""),"",IF($L1655&lt;&gt;"",UPPER($L1655),IF($C1655="","FALTA",IFERROR(IF($C1655&gt;=$O1655,"ROJO FUERTE",IF($C1655&gt;=$N1655,"ROJO",IF($C1655&gt;=$M1655,"AMARILLO","VERDE"))),"REVISAR"))))</f>
        <v/>
      </c>
      <c r="K1655" s="36">
        <f>IF(OR($C1655="",$D1655=""),"",IF($D1655&gt;=$C1655,($D1655-$C1655)*24,(1-$C1655+$D1655)*24))</f>
        <v/>
      </c>
      <c r="L1655" s="34" t="n"/>
      <c r="M1655" s="53">
        <f t="array" ref="M1655">IFERROR(INDEX(EXCEPCIONES_FECHA!$D$2:$D$201,MATCH(1,(EXCEPCIONES_FECHA!$A$2:$A$201=$A1655)*(EXCEPCIONES_FECHA!$B$2:$B$201=$B1655),0)),IFERROR(INDEX(EXCEPCIONES_FECHA!$D$2:$D$201,MATCH(1,(EXCEPCIONES_FECHA!$A$2:$A$201=$A1655)*(EXCEPCIONES_FECHA!$B$2:$B$201=""),0)),IFERROR(INDEX(IF($I1655="FIN",HISTORIAL_HORARIOS!$J$2:$J$201,HISTORIAL_HORARIOS!$F$2:$F$201),MATCH(1,(HISTORIAL_HORARIOS!$A$2:$A$201=$B1655)*(HISTORIAL_HORARIOS!$C$2:$C$201&lt;=$A1655)*(HISTORIAL_HORARIOS!$D$2:$D$201&gt;=$A1655),0)),INDEX(IF($I1655="FIN",PERSONAL!$J$2:$J$80,PERSONAL!$F$2:$F$80),MATCH($B1655,PERSONAL!$A$2:$A$80,0)))))</f>
        <v/>
      </c>
      <c r="N1655" s="53">
        <f t="array" ref="N1655">IFERROR(INDEX(EXCEPCIONES_FECHA!$E$2:$E$201,MATCH(1,(EXCEPCIONES_FECHA!$A$2:$A$201=$A1655)*(EXCEPCIONES_FECHA!$B$2:$B$201=$B1655),0)),IFERROR(INDEX(EXCEPCIONES_FECHA!$E$2:$E$201,MATCH(1,(EXCEPCIONES_FECHA!$A$2:$A$201=$A1655)*(EXCEPCIONES_FECHA!$B$2:$B$201=""),0)),IFERROR(INDEX(IF($I1655="FIN",HISTORIAL_HORARIOS!$K$2:$K$201,HISTORIAL_HORARIOS!$G$2:$G$201),MATCH(1,(HISTORIAL_HORARIOS!$A$2:$A$201=$B1655)*(HISTORIAL_HORARIOS!$C$2:$C$201&lt;=$A1655)*(HISTORIAL_HORARIOS!$D$2:$D$201&gt;=$A1655),0)),INDEX(IF($I1655="FIN",PERSONAL!$K$2:$K$80,PERSONAL!$G$2:$G$80),MATCH($B1655,PERSONAL!$A$2:$A$80,0)))))</f>
        <v/>
      </c>
      <c r="O1655" s="53">
        <f t="array" ref="O1655">IFERROR(INDEX(EXCEPCIONES_FECHA!$F$2:$F$201,MATCH(1,(EXCEPCIONES_FECHA!$A$2:$A$201=$A1655)*(EXCEPCIONES_FECHA!$B$2:$B$201=$B1655),0)),IFERROR(INDEX(EXCEPCIONES_FECHA!$F$2:$F$201,MATCH(1,(EXCEPCIONES_FECHA!$A$2:$A$201=$A1655)*(EXCEPCIONES_FECHA!$B$2:$B$201=""),0)),IFERROR(INDEX(IF($I1655="FIN",HISTORIAL_HORARIOS!$L$2:$L$201,HISTORIAL_HORARIOS!$H$2:$H$201),MATCH(1,(HISTORIAL_HORARIOS!$A$2:$A$201=$B1655)*(HISTORIAL_HORARIOS!$C$2:$C$201&lt;=$A1655)*(HISTORIAL_HORARIOS!$D$2:$D$201&gt;=$A1655),0)),INDEX(IF($I1655="FIN",PERSONAL!$L$2:$L$80,PERSONAL!$H$2:$H$80),MATCH($B1655,PERSONAL!$A$2:$A$80,0)))))</f>
        <v/>
      </c>
    </row>
    <row r="1656" ht="15" customHeight="1" s="58">
      <c r="A1656" s="40" t="n"/>
      <c r="B1656" s="38" t="n"/>
      <c r="C1656" s="40" t="n"/>
      <c r="D1656" s="40" t="n"/>
      <c r="E1656" s="34">
        <f t="array" ref="E1656">IF($B1656="","",IFERROR(INDEX(PERSONAL!$B$2:$B$80,MATCH($B1656,PERSONAL!$A$2:$A$80,0)),"NO EXISTE"))</f>
        <v/>
      </c>
      <c r="F1656" s="34">
        <f t="array" ref="F1656">IF($B1656="","",IFERROR(INDEX(PERSONAL!$C$2:$C$80,MATCH($B1656,PERSONAL!$A$2:$A$80,0)),""))</f>
        <v/>
      </c>
      <c r="G1656" s="34">
        <f>IF($A1656="","",CHOOSE(WEEKDAY($A1656,2),"LUNES","MARTES","MIÉRCOLES","JUEVES","VIERNES","SÁBADO","DOMINGO"))</f>
        <v/>
      </c>
      <c r="H1656" s="34">
        <f>IF($A1656="","",CHOOSE(MONTH($A1656),"ENERO","FEBRERO","MARZO","ABRIL","MAYO","JUNIO","JULIO","AGOSTO","SEPTIEMBRE","OCTUBRE","NOVIEMBRE","DICIEMBRE"))</f>
        <v/>
      </c>
      <c r="I1656" s="34">
        <f>IF($A1656="","",IF(OR($G1656="SÁBADO",$G1656="DOMINGO"),"FIN","LV"))</f>
        <v/>
      </c>
      <c r="J1656" s="34">
        <f>IF(OR($A1656="",$B1656=""),"",IF($L1656&lt;&gt;"",UPPER($L1656),IF($C1656="","FALTA",IFERROR(IF($C1656&gt;=$O1656,"ROJO FUERTE",IF($C1656&gt;=$N1656,"ROJO",IF($C1656&gt;=$M1656,"AMARILLO","VERDE"))),"REVISAR"))))</f>
        <v/>
      </c>
      <c r="K1656" s="36">
        <f>IF(OR($C1656="",$D1656=""),"",IF($D1656&gt;=$C1656,($D1656-$C1656)*24,(1-$C1656+$D1656)*24))</f>
        <v/>
      </c>
      <c r="L1656" s="34" t="n"/>
      <c r="M1656" s="53">
        <f t="array" ref="M1656">IFERROR(INDEX(EXCEPCIONES_FECHA!$D$2:$D$201,MATCH(1,(EXCEPCIONES_FECHA!$A$2:$A$201=$A1656)*(EXCEPCIONES_FECHA!$B$2:$B$201=$B1656),0)),IFERROR(INDEX(EXCEPCIONES_FECHA!$D$2:$D$201,MATCH(1,(EXCEPCIONES_FECHA!$A$2:$A$201=$A1656)*(EXCEPCIONES_FECHA!$B$2:$B$201=""),0)),IFERROR(INDEX(IF($I1656="FIN",HISTORIAL_HORARIOS!$J$2:$J$201,HISTORIAL_HORARIOS!$F$2:$F$201),MATCH(1,(HISTORIAL_HORARIOS!$A$2:$A$201=$B1656)*(HISTORIAL_HORARIOS!$C$2:$C$201&lt;=$A1656)*(HISTORIAL_HORARIOS!$D$2:$D$201&gt;=$A1656),0)),INDEX(IF($I1656="FIN",PERSONAL!$J$2:$J$80,PERSONAL!$F$2:$F$80),MATCH($B1656,PERSONAL!$A$2:$A$80,0)))))</f>
        <v/>
      </c>
      <c r="N1656" s="53">
        <f t="array" ref="N1656">IFERROR(INDEX(EXCEPCIONES_FECHA!$E$2:$E$201,MATCH(1,(EXCEPCIONES_FECHA!$A$2:$A$201=$A1656)*(EXCEPCIONES_FECHA!$B$2:$B$201=$B1656),0)),IFERROR(INDEX(EXCEPCIONES_FECHA!$E$2:$E$201,MATCH(1,(EXCEPCIONES_FECHA!$A$2:$A$201=$A1656)*(EXCEPCIONES_FECHA!$B$2:$B$201=""),0)),IFERROR(INDEX(IF($I1656="FIN",HISTORIAL_HORARIOS!$K$2:$K$201,HISTORIAL_HORARIOS!$G$2:$G$201),MATCH(1,(HISTORIAL_HORARIOS!$A$2:$A$201=$B1656)*(HISTORIAL_HORARIOS!$C$2:$C$201&lt;=$A1656)*(HISTORIAL_HORARIOS!$D$2:$D$201&gt;=$A1656),0)),INDEX(IF($I1656="FIN",PERSONAL!$K$2:$K$80,PERSONAL!$G$2:$G$80),MATCH($B1656,PERSONAL!$A$2:$A$80,0)))))</f>
        <v/>
      </c>
      <c r="O1656" s="53">
        <f t="array" ref="O1656">IFERROR(INDEX(EXCEPCIONES_FECHA!$F$2:$F$201,MATCH(1,(EXCEPCIONES_FECHA!$A$2:$A$201=$A1656)*(EXCEPCIONES_FECHA!$B$2:$B$201=$B1656),0)),IFERROR(INDEX(EXCEPCIONES_FECHA!$F$2:$F$201,MATCH(1,(EXCEPCIONES_FECHA!$A$2:$A$201=$A1656)*(EXCEPCIONES_FECHA!$B$2:$B$201=""),0)),IFERROR(INDEX(IF($I1656="FIN",HISTORIAL_HORARIOS!$L$2:$L$201,HISTORIAL_HORARIOS!$H$2:$H$201),MATCH(1,(HISTORIAL_HORARIOS!$A$2:$A$201=$B1656)*(HISTORIAL_HORARIOS!$C$2:$C$201&lt;=$A1656)*(HISTORIAL_HORARIOS!$D$2:$D$201&gt;=$A1656),0)),INDEX(IF($I1656="FIN",PERSONAL!$L$2:$L$80,PERSONAL!$H$2:$H$80),MATCH($B1656,PERSONAL!$A$2:$A$80,0)))))</f>
        <v/>
      </c>
    </row>
    <row r="1657" ht="15" customHeight="1" s="58">
      <c r="A1657" s="40" t="n"/>
      <c r="B1657" s="38" t="n"/>
      <c r="C1657" s="40" t="n"/>
      <c r="D1657" s="40" t="n"/>
      <c r="E1657" s="34">
        <f t="array" ref="E1657">IF($B1657="","",IFERROR(INDEX(PERSONAL!$B$2:$B$80,MATCH($B1657,PERSONAL!$A$2:$A$80,0)),"NO EXISTE"))</f>
        <v/>
      </c>
      <c r="F1657" s="34">
        <f t="array" ref="F1657">IF($B1657="","",IFERROR(INDEX(PERSONAL!$C$2:$C$80,MATCH($B1657,PERSONAL!$A$2:$A$80,0)),""))</f>
        <v/>
      </c>
      <c r="G1657" s="34">
        <f>IF($A1657="","",CHOOSE(WEEKDAY($A1657,2),"LUNES","MARTES","MIÉRCOLES","JUEVES","VIERNES","SÁBADO","DOMINGO"))</f>
        <v/>
      </c>
      <c r="H1657" s="34">
        <f>IF($A1657="","",CHOOSE(MONTH($A1657),"ENERO","FEBRERO","MARZO","ABRIL","MAYO","JUNIO","JULIO","AGOSTO","SEPTIEMBRE","OCTUBRE","NOVIEMBRE","DICIEMBRE"))</f>
        <v/>
      </c>
      <c r="I1657" s="34">
        <f>IF($A1657="","",IF(OR($G1657="SÁBADO",$G1657="DOMINGO"),"FIN","LV"))</f>
        <v/>
      </c>
      <c r="J1657" s="34">
        <f>IF(OR($A1657="",$B1657=""),"",IF($L1657&lt;&gt;"",UPPER($L1657),IF($C1657="","FALTA",IFERROR(IF($C1657&gt;=$O1657,"ROJO FUERTE",IF($C1657&gt;=$N1657,"ROJO",IF($C1657&gt;=$M1657,"AMARILLO","VERDE"))),"REVISAR"))))</f>
        <v/>
      </c>
      <c r="K1657" s="36">
        <f>IF(OR($C1657="",$D1657=""),"",IF($D1657&gt;=$C1657,($D1657-$C1657)*24,(1-$C1657+$D1657)*24))</f>
        <v/>
      </c>
      <c r="L1657" s="34" t="n"/>
      <c r="M1657" s="53">
        <f t="array" ref="M1657">IFERROR(INDEX(EXCEPCIONES_FECHA!$D$2:$D$201,MATCH(1,(EXCEPCIONES_FECHA!$A$2:$A$201=$A1657)*(EXCEPCIONES_FECHA!$B$2:$B$201=$B1657),0)),IFERROR(INDEX(EXCEPCIONES_FECHA!$D$2:$D$201,MATCH(1,(EXCEPCIONES_FECHA!$A$2:$A$201=$A1657)*(EXCEPCIONES_FECHA!$B$2:$B$201=""),0)),IFERROR(INDEX(IF($I1657="FIN",HISTORIAL_HORARIOS!$J$2:$J$201,HISTORIAL_HORARIOS!$F$2:$F$201),MATCH(1,(HISTORIAL_HORARIOS!$A$2:$A$201=$B1657)*(HISTORIAL_HORARIOS!$C$2:$C$201&lt;=$A1657)*(HISTORIAL_HORARIOS!$D$2:$D$201&gt;=$A1657),0)),INDEX(IF($I1657="FIN",PERSONAL!$J$2:$J$80,PERSONAL!$F$2:$F$80),MATCH($B1657,PERSONAL!$A$2:$A$80,0)))))</f>
        <v/>
      </c>
      <c r="N1657" s="53">
        <f t="array" ref="N1657">IFERROR(INDEX(EXCEPCIONES_FECHA!$E$2:$E$201,MATCH(1,(EXCEPCIONES_FECHA!$A$2:$A$201=$A1657)*(EXCEPCIONES_FECHA!$B$2:$B$201=$B1657),0)),IFERROR(INDEX(EXCEPCIONES_FECHA!$E$2:$E$201,MATCH(1,(EXCEPCIONES_FECHA!$A$2:$A$201=$A1657)*(EXCEPCIONES_FECHA!$B$2:$B$201=""),0)),IFERROR(INDEX(IF($I1657="FIN",HISTORIAL_HORARIOS!$K$2:$K$201,HISTORIAL_HORARIOS!$G$2:$G$201),MATCH(1,(HISTORIAL_HORARIOS!$A$2:$A$201=$B1657)*(HISTORIAL_HORARIOS!$C$2:$C$201&lt;=$A1657)*(HISTORIAL_HORARIOS!$D$2:$D$201&gt;=$A1657),0)),INDEX(IF($I1657="FIN",PERSONAL!$K$2:$K$80,PERSONAL!$G$2:$G$80),MATCH($B1657,PERSONAL!$A$2:$A$80,0)))))</f>
        <v/>
      </c>
      <c r="O1657" s="53">
        <f t="array" ref="O1657">IFERROR(INDEX(EXCEPCIONES_FECHA!$F$2:$F$201,MATCH(1,(EXCEPCIONES_FECHA!$A$2:$A$201=$A1657)*(EXCEPCIONES_FECHA!$B$2:$B$201=$B1657),0)),IFERROR(INDEX(EXCEPCIONES_FECHA!$F$2:$F$201,MATCH(1,(EXCEPCIONES_FECHA!$A$2:$A$201=$A1657)*(EXCEPCIONES_FECHA!$B$2:$B$201=""),0)),IFERROR(INDEX(IF($I1657="FIN",HISTORIAL_HORARIOS!$L$2:$L$201,HISTORIAL_HORARIOS!$H$2:$H$201),MATCH(1,(HISTORIAL_HORARIOS!$A$2:$A$201=$B1657)*(HISTORIAL_HORARIOS!$C$2:$C$201&lt;=$A1657)*(HISTORIAL_HORARIOS!$D$2:$D$201&gt;=$A1657),0)),INDEX(IF($I1657="FIN",PERSONAL!$L$2:$L$80,PERSONAL!$H$2:$H$80),MATCH($B1657,PERSONAL!$A$2:$A$80,0)))))</f>
        <v/>
      </c>
    </row>
    <row r="1658" ht="15" customHeight="1" s="58">
      <c r="A1658" s="40" t="n"/>
      <c r="B1658" s="38" t="n"/>
      <c r="C1658" s="40" t="n"/>
      <c r="D1658" s="40" t="n"/>
      <c r="E1658" s="34">
        <f t="array" ref="E1658">IF($B1658="","",IFERROR(INDEX(PERSONAL!$B$2:$B$80,MATCH($B1658,PERSONAL!$A$2:$A$80,0)),"NO EXISTE"))</f>
        <v/>
      </c>
      <c r="F1658" s="34">
        <f t="array" ref="F1658">IF($B1658="","",IFERROR(INDEX(PERSONAL!$C$2:$C$80,MATCH($B1658,PERSONAL!$A$2:$A$80,0)),""))</f>
        <v/>
      </c>
      <c r="G1658" s="34">
        <f>IF($A1658="","",CHOOSE(WEEKDAY($A1658,2),"LUNES","MARTES","MIÉRCOLES","JUEVES","VIERNES","SÁBADO","DOMINGO"))</f>
        <v/>
      </c>
      <c r="H1658" s="34">
        <f>IF($A1658="","",CHOOSE(MONTH($A1658),"ENERO","FEBRERO","MARZO","ABRIL","MAYO","JUNIO","JULIO","AGOSTO","SEPTIEMBRE","OCTUBRE","NOVIEMBRE","DICIEMBRE"))</f>
        <v/>
      </c>
      <c r="I1658" s="34">
        <f>IF($A1658="","",IF(OR($G1658="SÁBADO",$G1658="DOMINGO"),"FIN","LV"))</f>
        <v/>
      </c>
      <c r="J1658" s="34">
        <f>IF(OR($A1658="",$B1658=""),"",IF($L1658&lt;&gt;"",UPPER($L1658),IF($C1658="","FALTA",IFERROR(IF($C1658&gt;=$O1658,"ROJO FUERTE",IF($C1658&gt;=$N1658,"ROJO",IF($C1658&gt;=$M1658,"AMARILLO","VERDE"))),"REVISAR"))))</f>
        <v/>
      </c>
      <c r="K1658" s="36">
        <f>IF(OR($C1658="",$D1658=""),"",IF($D1658&gt;=$C1658,($D1658-$C1658)*24,(1-$C1658+$D1658)*24))</f>
        <v/>
      </c>
      <c r="L1658" s="34" t="n"/>
      <c r="M1658" s="53">
        <f t="array" ref="M1658">IFERROR(INDEX(EXCEPCIONES_FECHA!$D$2:$D$201,MATCH(1,(EXCEPCIONES_FECHA!$A$2:$A$201=$A1658)*(EXCEPCIONES_FECHA!$B$2:$B$201=$B1658),0)),IFERROR(INDEX(EXCEPCIONES_FECHA!$D$2:$D$201,MATCH(1,(EXCEPCIONES_FECHA!$A$2:$A$201=$A1658)*(EXCEPCIONES_FECHA!$B$2:$B$201=""),0)),IFERROR(INDEX(IF($I1658="FIN",HISTORIAL_HORARIOS!$J$2:$J$201,HISTORIAL_HORARIOS!$F$2:$F$201),MATCH(1,(HISTORIAL_HORARIOS!$A$2:$A$201=$B1658)*(HISTORIAL_HORARIOS!$C$2:$C$201&lt;=$A1658)*(HISTORIAL_HORARIOS!$D$2:$D$201&gt;=$A1658),0)),INDEX(IF($I1658="FIN",PERSONAL!$J$2:$J$80,PERSONAL!$F$2:$F$80),MATCH($B1658,PERSONAL!$A$2:$A$80,0)))))</f>
        <v/>
      </c>
      <c r="N1658" s="53">
        <f t="array" ref="N1658">IFERROR(INDEX(EXCEPCIONES_FECHA!$E$2:$E$201,MATCH(1,(EXCEPCIONES_FECHA!$A$2:$A$201=$A1658)*(EXCEPCIONES_FECHA!$B$2:$B$201=$B1658),0)),IFERROR(INDEX(EXCEPCIONES_FECHA!$E$2:$E$201,MATCH(1,(EXCEPCIONES_FECHA!$A$2:$A$201=$A1658)*(EXCEPCIONES_FECHA!$B$2:$B$201=""),0)),IFERROR(INDEX(IF($I1658="FIN",HISTORIAL_HORARIOS!$K$2:$K$201,HISTORIAL_HORARIOS!$G$2:$G$201),MATCH(1,(HISTORIAL_HORARIOS!$A$2:$A$201=$B1658)*(HISTORIAL_HORARIOS!$C$2:$C$201&lt;=$A1658)*(HISTORIAL_HORARIOS!$D$2:$D$201&gt;=$A1658),0)),INDEX(IF($I1658="FIN",PERSONAL!$K$2:$K$80,PERSONAL!$G$2:$G$80),MATCH($B1658,PERSONAL!$A$2:$A$80,0)))))</f>
        <v/>
      </c>
      <c r="O1658" s="53">
        <f t="array" ref="O1658">IFERROR(INDEX(EXCEPCIONES_FECHA!$F$2:$F$201,MATCH(1,(EXCEPCIONES_FECHA!$A$2:$A$201=$A1658)*(EXCEPCIONES_FECHA!$B$2:$B$201=$B1658),0)),IFERROR(INDEX(EXCEPCIONES_FECHA!$F$2:$F$201,MATCH(1,(EXCEPCIONES_FECHA!$A$2:$A$201=$A1658)*(EXCEPCIONES_FECHA!$B$2:$B$201=""),0)),IFERROR(INDEX(IF($I1658="FIN",HISTORIAL_HORARIOS!$L$2:$L$201,HISTORIAL_HORARIOS!$H$2:$H$201),MATCH(1,(HISTORIAL_HORARIOS!$A$2:$A$201=$B1658)*(HISTORIAL_HORARIOS!$C$2:$C$201&lt;=$A1658)*(HISTORIAL_HORARIOS!$D$2:$D$201&gt;=$A1658),0)),INDEX(IF($I1658="FIN",PERSONAL!$L$2:$L$80,PERSONAL!$H$2:$H$80),MATCH($B1658,PERSONAL!$A$2:$A$80,0)))))</f>
        <v/>
      </c>
    </row>
    <row r="1659" ht="15" customHeight="1" s="58">
      <c r="A1659" s="40" t="n"/>
      <c r="B1659" s="38" t="n"/>
      <c r="C1659" s="40" t="n"/>
      <c r="D1659" s="40" t="n"/>
      <c r="E1659" s="34">
        <f t="array" ref="E1659">IF($B1659="","",IFERROR(INDEX(PERSONAL!$B$2:$B$80,MATCH($B1659,PERSONAL!$A$2:$A$80,0)),"NO EXISTE"))</f>
        <v/>
      </c>
      <c r="F1659" s="34">
        <f t="array" ref="F1659">IF($B1659="","",IFERROR(INDEX(PERSONAL!$C$2:$C$80,MATCH($B1659,PERSONAL!$A$2:$A$80,0)),""))</f>
        <v/>
      </c>
      <c r="G1659" s="34">
        <f>IF($A1659="","",CHOOSE(WEEKDAY($A1659,2),"LUNES","MARTES","MIÉRCOLES","JUEVES","VIERNES","SÁBADO","DOMINGO"))</f>
        <v/>
      </c>
      <c r="H1659" s="34">
        <f>IF($A1659="","",CHOOSE(MONTH($A1659),"ENERO","FEBRERO","MARZO","ABRIL","MAYO","JUNIO","JULIO","AGOSTO","SEPTIEMBRE","OCTUBRE","NOVIEMBRE","DICIEMBRE"))</f>
        <v/>
      </c>
      <c r="I1659" s="34">
        <f>IF($A1659="","",IF(OR($G1659="SÁBADO",$G1659="DOMINGO"),"FIN","LV"))</f>
        <v/>
      </c>
      <c r="J1659" s="34">
        <f>IF(OR($A1659="",$B1659=""),"",IF($L1659&lt;&gt;"",UPPER($L1659),IF($C1659="","FALTA",IFERROR(IF($C1659&gt;=$O1659,"ROJO FUERTE",IF($C1659&gt;=$N1659,"ROJO",IF($C1659&gt;=$M1659,"AMARILLO","VERDE"))),"REVISAR"))))</f>
        <v/>
      </c>
      <c r="K1659" s="36">
        <f>IF(OR($C1659="",$D1659=""),"",IF($D1659&gt;=$C1659,($D1659-$C1659)*24,(1-$C1659+$D1659)*24))</f>
        <v/>
      </c>
      <c r="L1659" s="34" t="n"/>
      <c r="M1659" s="53">
        <f t="array" ref="M1659">IFERROR(INDEX(EXCEPCIONES_FECHA!$D$2:$D$201,MATCH(1,(EXCEPCIONES_FECHA!$A$2:$A$201=$A1659)*(EXCEPCIONES_FECHA!$B$2:$B$201=$B1659),0)),IFERROR(INDEX(EXCEPCIONES_FECHA!$D$2:$D$201,MATCH(1,(EXCEPCIONES_FECHA!$A$2:$A$201=$A1659)*(EXCEPCIONES_FECHA!$B$2:$B$201=""),0)),IFERROR(INDEX(IF($I1659="FIN",HISTORIAL_HORARIOS!$J$2:$J$201,HISTORIAL_HORARIOS!$F$2:$F$201),MATCH(1,(HISTORIAL_HORARIOS!$A$2:$A$201=$B1659)*(HISTORIAL_HORARIOS!$C$2:$C$201&lt;=$A1659)*(HISTORIAL_HORARIOS!$D$2:$D$201&gt;=$A1659),0)),INDEX(IF($I1659="FIN",PERSONAL!$J$2:$J$80,PERSONAL!$F$2:$F$80),MATCH($B1659,PERSONAL!$A$2:$A$80,0)))))</f>
        <v/>
      </c>
      <c r="N1659" s="53">
        <f t="array" ref="N1659">IFERROR(INDEX(EXCEPCIONES_FECHA!$E$2:$E$201,MATCH(1,(EXCEPCIONES_FECHA!$A$2:$A$201=$A1659)*(EXCEPCIONES_FECHA!$B$2:$B$201=$B1659),0)),IFERROR(INDEX(EXCEPCIONES_FECHA!$E$2:$E$201,MATCH(1,(EXCEPCIONES_FECHA!$A$2:$A$201=$A1659)*(EXCEPCIONES_FECHA!$B$2:$B$201=""),0)),IFERROR(INDEX(IF($I1659="FIN",HISTORIAL_HORARIOS!$K$2:$K$201,HISTORIAL_HORARIOS!$G$2:$G$201),MATCH(1,(HISTORIAL_HORARIOS!$A$2:$A$201=$B1659)*(HISTORIAL_HORARIOS!$C$2:$C$201&lt;=$A1659)*(HISTORIAL_HORARIOS!$D$2:$D$201&gt;=$A1659),0)),INDEX(IF($I1659="FIN",PERSONAL!$K$2:$K$80,PERSONAL!$G$2:$G$80),MATCH($B1659,PERSONAL!$A$2:$A$80,0)))))</f>
        <v/>
      </c>
      <c r="O1659" s="53">
        <f t="array" ref="O1659">IFERROR(INDEX(EXCEPCIONES_FECHA!$F$2:$F$201,MATCH(1,(EXCEPCIONES_FECHA!$A$2:$A$201=$A1659)*(EXCEPCIONES_FECHA!$B$2:$B$201=$B1659),0)),IFERROR(INDEX(EXCEPCIONES_FECHA!$F$2:$F$201,MATCH(1,(EXCEPCIONES_FECHA!$A$2:$A$201=$A1659)*(EXCEPCIONES_FECHA!$B$2:$B$201=""),0)),IFERROR(INDEX(IF($I1659="FIN",HISTORIAL_HORARIOS!$L$2:$L$201,HISTORIAL_HORARIOS!$H$2:$H$201),MATCH(1,(HISTORIAL_HORARIOS!$A$2:$A$201=$B1659)*(HISTORIAL_HORARIOS!$C$2:$C$201&lt;=$A1659)*(HISTORIAL_HORARIOS!$D$2:$D$201&gt;=$A1659),0)),INDEX(IF($I1659="FIN",PERSONAL!$L$2:$L$80,PERSONAL!$H$2:$H$80),MATCH($B1659,PERSONAL!$A$2:$A$80,0)))))</f>
        <v/>
      </c>
    </row>
    <row r="1660" ht="15" customHeight="1" s="58">
      <c r="A1660" s="40" t="n"/>
      <c r="B1660" s="38" t="n"/>
      <c r="C1660" s="40" t="n"/>
      <c r="D1660" s="40" t="n"/>
      <c r="E1660" s="34">
        <f t="array" ref="E1660">IF($B1660="","",IFERROR(INDEX(PERSONAL!$B$2:$B$80,MATCH($B1660,PERSONAL!$A$2:$A$80,0)),"NO EXISTE"))</f>
        <v/>
      </c>
      <c r="F1660" s="34">
        <f t="array" ref="F1660">IF($B1660="","",IFERROR(INDEX(PERSONAL!$C$2:$C$80,MATCH($B1660,PERSONAL!$A$2:$A$80,0)),""))</f>
        <v/>
      </c>
      <c r="G1660" s="34">
        <f>IF($A1660="","",CHOOSE(WEEKDAY($A1660,2),"LUNES","MARTES","MIÉRCOLES","JUEVES","VIERNES","SÁBADO","DOMINGO"))</f>
        <v/>
      </c>
      <c r="H1660" s="34">
        <f>IF($A1660="","",CHOOSE(MONTH($A1660),"ENERO","FEBRERO","MARZO","ABRIL","MAYO","JUNIO","JULIO","AGOSTO","SEPTIEMBRE","OCTUBRE","NOVIEMBRE","DICIEMBRE"))</f>
        <v/>
      </c>
      <c r="I1660" s="34">
        <f>IF($A1660="","",IF(OR($G1660="SÁBADO",$G1660="DOMINGO"),"FIN","LV"))</f>
        <v/>
      </c>
      <c r="J1660" s="34">
        <f>IF(OR($A1660="",$B1660=""),"",IF($L1660&lt;&gt;"",UPPER($L1660),IF($C1660="","FALTA",IFERROR(IF($C1660&gt;=$O1660,"ROJO FUERTE",IF($C1660&gt;=$N1660,"ROJO",IF($C1660&gt;=$M1660,"AMARILLO","VERDE"))),"REVISAR"))))</f>
        <v/>
      </c>
      <c r="K1660" s="36">
        <f>IF(OR($C1660="",$D1660=""),"",IF($D1660&gt;=$C1660,($D1660-$C1660)*24,(1-$C1660+$D1660)*24))</f>
        <v/>
      </c>
      <c r="L1660" s="34" t="n"/>
      <c r="M1660" s="53">
        <f t="array" ref="M1660">IFERROR(INDEX(EXCEPCIONES_FECHA!$D$2:$D$201,MATCH(1,(EXCEPCIONES_FECHA!$A$2:$A$201=$A1660)*(EXCEPCIONES_FECHA!$B$2:$B$201=$B1660),0)),IFERROR(INDEX(EXCEPCIONES_FECHA!$D$2:$D$201,MATCH(1,(EXCEPCIONES_FECHA!$A$2:$A$201=$A1660)*(EXCEPCIONES_FECHA!$B$2:$B$201=""),0)),IFERROR(INDEX(IF($I1660="FIN",HISTORIAL_HORARIOS!$J$2:$J$201,HISTORIAL_HORARIOS!$F$2:$F$201),MATCH(1,(HISTORIAL_HORARIOS!$A$2:$A$201=$B1660)*(HISTORIAL_HORARIOS!$C$2:$C$201&lt;=$A1660)*(HISTORIAL_HORARIOS!$D$2:$D$201&gt;=$A1660),0)),INDEX(IF($I1660="FIN",PERSONAL!$J$2:$J$80,PERSONAL!$F$2:$F$80),MATCH($B1660,PERSONAL!$A$2:$A$80,0)))))</f>
        <v/>
      </c>
      <c r="N1660" s="53">
        <f t="array" ref="N1660">IFERROR(INDEX(EXCEPCIONES_FECHA!$E$2:$E$201,MATCH(1,(EXCEPCIONES_FECHA!$A$2:$A$201=$A1660)*(EXCEPCIONES_FECHA!$B$2:$B$201=$B1660),0)),IFERROR(INDEX(EXCEPCIONES_FECHA!$E$2:$E$201,MATCH(1,(EXCEPCIONES_FECHA!$A$2:$A$201=$A1660)*(EXCEPCIONES_FECHA!$B$2:$B$201=""),0)),IFERROR(INDEX(IF($I1660="FIN",HISTORIAL_HORARIOS!$K$2:$K$201,HISTORIAL_HORARIOS!$G$2:$G$201),MATCH(1,(HISTORIAL_HORARIOS!$A$2:$A$201=$B1660)*(HISTORIAL_HORARIOS!$C$2:$C$201&lt;=$A1660)*(HISTORIAL_HORARIOS!$D$2:$D$201&gt;=$A1660),0)),INDEX(IF($I1660="FIN",PERSONAL!$K$2:$K$80,PERSONAL!$G$2:$G$80),MATCH($B1660,PERSONAL!$A$2:$A$80,0)))))</f>
        <v/>
      </c>
      <c r="O1660" s="53">
        <f t="array" ref="O1660">IFERROR(INDEX(EXCEPCIONES_FECHA!$F$2:$F$201,MATCH(1,(EXCEPCIONES_FECHA!$A$2:$A$201=$A1660)*(EXCEPCIONES_FECHA!$B$2:$B$201=$B1660),0)),IFERROR(INDEX(EXCEPCIONES_FECHA!$F$2:$F$201,MATCH(1,(EXCEPCIONES_FECHA!$A$2:$A$201=$A1660)*(EXCEPCIONES_FECHA!$B$2:$B$201=""),0)),IFERROR(INDEX(IF($I1660="FIN",HISTORIAL_HORARIOS!$L$2:$L$201,HISTORIAL_HORARIOS!$H$2:$H$201),MATCH(1,(HISTORIAL_HORARIOS!$A$2:$A$201=$B1660)*(HISTORIAL_HORARIOS!$C$2:$C$201&lt;=$A1660)*(HISTORIAL_HORARIOS!$D$2:$D$201&gt;=$A1660),0)),INDEX(IF($I1660="FIN",PERSONAL!$L$2:$L$80,PERSONAL!$H$2:$H$80),MATCH($B1660,PERSONAL!$A$2:$A$80,0)))))</f>
        <v/>
      </c>
    </row>
    <row r="1661" ht="15" customHeight="1" s="58">
      <c r="A1661" s="40" t="n"/>
      <c r="B1661" s="38" t="n"/>
      <c r="C1661" s="40" t="n"/>
      <c r="D1661" s="40" t="n"/>
      <c r="E1661" s="34">
        <f t="array" ref="E1661">IF($B1661="","",IFERROR(INDEX(PERSONAL!$B$2:$B$80,MATCH($B1661,PERSONAL!$A$2:$A$80,0)),"NO EXISTE"))</f>
        <v/>
      </c>
      <c r="F1661" s="34">
        <f t="array" ref="F1661">IF($B1661="","",IFERROR(INDEX(PERSONAL!$C$2:$C$80,MATCH($B1661,PERSONAL!$A$2:$A$80,0)),""))</f>
        <v/>
      </c>
      <c r="G1661" s="34">
        <f>IF($A1661="","",CHOOSE(WEEKDAY($A1661,2),"LUNES","MARTES","MIÉRCOLES","JUEVES","VIERNES","SÁBADO","DOMINGO"))</f>
        <v/>
      </c>
      <c r="H1661" s="34">
        <f>IF($A1661="","",CHOOSE(MONTH($A1661),"ENERO","FEBRERO","MARZO","ABRIL","MAYO","JUNIO","JULIO","AGOSTO","SEPTIEMBRE","OCTUBRE","NOVIEMBRE","DICIEMBRE"))</f>
        <v/>
      </c>
      <c r="I1661" s="34">
        <f>IF($A1661="","",IF(OR($G1661="SÁBADO",$G1661="DOMINGO"),"FIN","LV"))</f>
        <v/>
      </c>
      <c r="J1661" s="34">
        <f>IF(OR($A1661="",$B1661=""),"",IF($L1661&lt;&gt;"",UPPER($L1661),IF($C1661="","FALTA",IFERROR(IF($C1661&gt;=$O1661,"ROJO FUERTE",IF($C1661&gt;=$N1661,"ROJO",IF($C1661&gt;=$M1661,"AMARILLO","VERDE"))),"REVISAR"))))</f>
        <v/>
      </c>
      <c r="K1661" s="36">
        <f>IF(OR($C1661="",$D1661=""),"",IF($D1661&gt;=$C1661,($D1661-$C1661)*24,(1-$C1661+$D1661)*24))</f>
        <v/>
      </c>
      <c r="L1661" s="34" t="n"/>
      <c r="M1661" s="53">
        <f t="array" ref="M1661">IFERROR(INDEX(EXCEPCIONES_FECHA!$D$2:$D$201,MATCH(1,(EXCEPCIONES_FECHA!$A$2:$A$201=$A1661)*(EXCEPCIONES_FECHA!$B$2:$B$201=$B1661),0)),IFERROR(INDEX(EXCEPCIONES_FECHA!$D$2:$D$201,MATCH(1,(EXCEPCIONES_FECHA!$A$2:$A$201=$A1661)*(EXCEPCIONES_FECHA!$B$2:$B$201=""),0)),IFERROR(INDEX(IF($I1661="FIN",HISTORIAL_HORARIOS!$J$2:$J$201,HISTORIAL_HORARIOS!$F$2:$F$201),MATCH(1,(HISTORIAL_HORARIOS!$A$2:$A$201=$B1661)*(HISTORIAL_HORARIOS!$C$2:$C$201&lt;=$A1661)*(HISTORIAL_HORARIOS!$D$2:$D$201&gt;=$A1661),0)),INDEX(IF($I1661="FIN",PERSONAL!$J$2:$J$80,PERSONAL!$F$2:$F$80),MATCH($B1661,PERSONAL!$A$2:$A$80,0)))))</f>
        <v/>
      </c>
      <c r="N1661" s="53">
        <f t="array" ref="N1661">IFERROR(INDEX(EXCEPCIONES_FECHA!$E$2:$E$201,MATCH(1,(EXCEPCIONES_FECHA!$A$2:$A$201=$A1661)*(EXCEPCIONES_FECHA!$B$2:$B$201=$B1661),0)),IFERROR(INDEX(EXCEPCIONES_FECHA!$E$2:$E$201,MATCH(1,(EXCEPCIONES_FECHA!$A$2:$A$201=$A1661)*(EXCEPCIONES_FECHA!$B$2:$B$201=""),0)),IFERROR(INDEX(IF($I1661="FIN",HISTORIAL_HORARIOS!$K$2:$K$201,HISTORIAL_HORARIOS!$G$2:$G$201),MATCH(1,(HISTORIAL_HORARIOS!$A$2:$A$201=$B1661)*(HISTORIAL_HORARIOS!$C$2:$C$201&lt;=$A1661)*(HISTORIAL_HORARIOS!$D$2:$D$201&gt;=$A1661),0)),INDEX(IF($I1661="FIN",PERSONAL!$K$2:$K$80,PERSONAL!$G$2:$G$80),MATCH($B1661,PERSONAL!$A$2:$A$80,0)))))</f>
        <v/>
      </c>
      <c r="O1661" s="53">
        <f t="array" ref="O1661">IFERROR(INDEX(EXCEPCIONES_FECHA!$F$2:$F$201,MATCH(1,(EXCEPCIONES_FECHA!$A$2:$A$201=$A1661)*(EXCEPCIONES_FECHA!$B$2:$B$201=$B1661),0)),IFERROR(INDEX(EXCEPCIONES_FECHA!$F$2:$F$201,MATCH(1,(EXCEPCIONES_FECHA!$A$2:$A$201=$A1661)*(EXCEPCIONES_FECHA!$B$2:$B$201=""),0)),IFERROR(INDEX(IF($I1661="FIN",HISTORIAL_HORARIOS!$L$2:$L$201,HISTORIAL_HORARIOS!$H$2:$H$201),MATCH(1,(HISTORIAL_HORARIOS!$A$2:$A$201=$B1661)*(HISTORIAL_HORARIOS!$C$2:$C$201&lt;=$A1661)*(HISTORIAL_HORARIOS!$D$2:$D$201&gt;=$A1661),0)),INDEX(IF($I1661="FIN",PERSONAL!$L$2:$L$80,PERSONAL!$H$2:$H$80),MATCH($B1661,PERSONAL!$A$2:$A$80,0)))))</f>
        <v/>
      </c>
    </row>
    <row r="1662" ht="15" customHeight="1" s="58">
      <c r="A1662" s="40" t="n"/>
      <c r="B1662" s="38" t="n"/>
      <c r="C1662" s="40" t="n"/>
      <c r="D1662" s="40" t="n"/>
      <c r="E1662" s="34">
        <f t="array" ref="E1662">IF($B1662="","",IFERROR(INDEX(PERSONAL!$B$2:$B$80,MATCH($B1662,PERSONAL!$A$2:$A$80,0)),"NO EXISTE"))</f>
        <v/>
      </c>
      <c r="F1662" s="34">
        <f t="array" ref="F1662">IF($B1662="","",IFERROR(INDEX(PERSONAL!$C$2:$C$80,MATCH($B1662,PERSONAL!$A$2:$A$80,0)),""))</f>
        <v/>
      </c>
      <c r="G1662" s="34">
        <f>IF($A1662="","",CHOOSE(WEEKDAY($A1662,2),"LUNES","MARTES","MIÉRCOLES","JUEVES","VIERNES","SÁBADO","DOMINGO"))</f>
        <v/>
      </c>
      <c r="H1662" s="34">
        <f>IF($A1662="","",CHOOSE(MONTH($A1662),"ENERO","FEBRERO","MARZO","ABRIL","MAYO","JUNIO","JULIO","AGOSTO","SEPTIEMBRE","OCTUBRE","NOVIEMBRE","DICIEMBRE"))</f>
        <v/>
      </c>
      <c r="I1662" s="34">
        <f>IF($A1662="","",IF(OR($G1662="SÁBADO",$G1662="DOMINGO"),"FIN","LV"))</f>
        <v/>
      </c>
      <c r="J1662" s="34">
        <f>IF(OR($A1662="",$B1662=""),"",IF($L1662&lt;&gt;"",UPPER($L1662),IF($C1662="","FALTA",IFERROR(IF($C1662&gt;=$O1662,"ROJO FUERTE",IF($C1662&gt;=$N1662,"ROJO",IF($C1662&gt;=$M1662,"AMARILLO","VERDE"))),"REVISAR"))))</f>
        <v/>
      </c>
      <c r="K1662" s="36">
        <f>IF(OR($C1662="",$D1662=""),"",IF($D1662&gt;=$C1662,($D1662-$C1662)*24,(1-$C1662+$D1662)*24))</f>
        <v/>
      </c>
      <c r="L1662" s="34" t="n"/>
      <c r="M1662" s="53">
        <f t="array" ref="M1662">IFERROR(INDEX(EXCEPCIONES_FECHA!$D$2:$D$201,MATCH(1,(EXCEPCIONES_FECHA!$A$2:$A$201=$A1662)*(EXCEPCIONES_FECHA!$B$2:$B$201=$B1662),0)),IFERROR(INDEX(EXCEPCIONES_FECHA!$D$2:$D$201,MATCH(1,(EXCEPCIONES_FECHA!$A$2:$A$201=$A1662)*(EXCEPCIONES_FECHA!$B$2:$B$201=""),0)),IFERROR(INDEX(IF($I1662="FIN",HISTORIAL_HORARIOS!$J$2:$J$201,HISTORIAL_HORARIOS!$F$2:$F$201),MATCH(1,(HISTORIAL_HORARIOS!$A$2:$A$201=$B1662)*(HISTORIAL_HORARIOS!$C$2:$C$201&lt;=$A1662)*(HISTORIAL_HORARIOS!$D$2:$D$201&gt;=$A1662),0)),INDEX(IF($I1662="FIN",PERSONAL!$J$2:$J$80,PERSONAL!$F$2:$F$80),MATCH($B1662,PERSONAL!$A$2:$A$80,0)))))</f>
        <v/>
      </c>
      <c r="N1662" s="53">
        <f t="array" ref="N1662">IFERROR(INDEX(EXCEPCIONES_FECHA!$E$2:$E$201,MATCH(1,(EXCEPCIONES_FECHA!$A$2:$A$201=$A1662)*(EXCEPCIONES_FECHA!$B$2:$B$201=$B1662),0)),IFERROR(INDEX(EXCEPCIONES_FECHA!$E$2:$E$201,MATCH(1,(EXCEPCIONES_FECHA!$A$2:$A$201=$A1662)*(EXCEPCIONES_FECHA!$B$2:$B$201=""),0)),IFERROR(INDEX(IF($I1662="FIN",HISTORIAL_HORARIOS!$K$2:$K$201,HISTORIAL_HORARIOS!$G$2:$G$201),MATCH(1,(HISTORIAL_HORARIOS!$A$2:$A$201=$B1662)*(HISTORIAL_HORARIOS!$C$2:$C$201&lt;=$A1662)*(HISTORIAL_HORARIOS!$D$2:$D$201&gt;=$A1662),0)),INDEX(IF($I1662="FIN",PERSONAL!$K$2:$K$80,PERSONAL!$G$2:$G$80),MATCH($B1662,PERSONAL!$A$2:$A$80,0)))))</f>
        <v/>
      </c>
      <c r="O1662" s="53">
        <f t="array" ref="O1662">IFERROR(INDEX(EXCEPCIONES_FECHA!$F$2:$F$201,MATCH(1,(EXCEPCIONES_FECHA!$A$2:$A$201=$A1662)*(EXCEPCIONES_FECHA!$B$2:$B$201=$B1662),0)),IFERROR(INDEX(EXCEPCIONES_FECHA!$F$2:$F$201,MATCH(1,(EXCEPCIONES_FECHA!$A$2:$A$201=$A1662)*(EXCEPCIONES_FECHA!$B$2:$B$201=""),0)),IFERROR(INDEX(IF($I1662="FIN",HISTORIAL_HORARIOS!$L$2:$L$201,HISTORIAL_HORARIOS!$H$2:$H$201),MATCH(1,(HISTORIAL_HORARIOS!$A$2:$A$201=$B1662)*(HISTORIAL_HORARIOS!$C$2:$C$201&lt;=$A1662)*(HISTORIAL_HORARIOS!$D$2:$D$201&gt;=$A1662),0)),INDEX(IF($I1662="FIN",PERSONAL!$L$2:$L$80,PERSONAL!$H$2:$H$80),MATCH($B1662,PERSONAL!$A$2:$A$80,0)))))</f>
        <v/>
      </c>
    </row>
    <row r="1663" ht="15" customHeight="1" s="58">
      <c r="A1663" s="40" t="n"/>
      <c r="B1663" s="38" t="n"/>
      <c r="C1663" s="40" t="n"/>
      <c r="D1663" s="40" t="n"/>
      <c r="E1663" s="34">
        <f t="array" ref="E1663">IF($B1663="","",IFERROR(INDEX(PERSONAL!$B$2:$B$80,MATCH($B1663,PERSONAL!$A$2:$A$80,0)),"NO EXISTE"))</f>
        <v/>
      </c>
      <c r="F1663" s="34">
        <f t="array" ref="F1663">IF($B1663="","",IFERROR(INDEX(PERSONAL!$C$2:$C$80,MATCH($B1663,PERSONAL!$A$2:$A$80,0)),""))</f>
        <v/>
      </c>
      <c r="G1663" s="34">
        <f>IF($A1663="","",CHOOSE(WEEKDAY($A1663,2),"LUNES","MARTES","MIÉRCOLES","JUEVES","VIERNES","SÁBADO","DOMINGO"))</f>
        <v/>
      </c>
      <c r="H1663" s="34">
        <f>IF($A1663="","",CHOOSE(MONTH($A1663),"ENERO","FEBRERO","MARZO","ABRIL","MAYO","JUNIO","JULIO","AGOSTO","SEPTIEMBRE","OCTUBRE","NOVIEMBRE","DICIEMBRE"))</f>
        <v/>
      </c>
      <c r="I1663" s="34">
        <f>IF($A1663="","",IF(OR($G1663="SÁBADO",$G1663="DOMINGO"),"FIN","LV"))</f>
        <v/>
      </c>
      <c r="J1663" s="34">
        <f>IF(OR($A1663="",$B1663=""),"",IF($L1663&lt;&gt;"",UPPER($L1663),IF($C1663="","FALTA",IFERROR(IF($C1663&gt;=$O1663,"ROJO FUERTE",IF($C1663&gt;=$N1663,"ROJO",IF($C1663&gt;=$M1663,"AMARILLO","VERDE"))),"REVISAR"))))</f>
        <v/>
      </c>
      <c r="K1663" s="36">
        <f>IF(OR($C1663="",$D1663=""),"",IF($D1663&gt;=$C1663,($D1663-$C1663)*24,(1-$C1663+$D1663)*24))</f>
        <v/>
      </c>
      <c r="L1663" s="34" t="n"/>
      <c r="M1663" s="53">
        <f t="array" ref="M1663">IFERROR(INDEX(EXCEPCIONES_FECHA!$D$2:$D$201,MATCH(1,(EXCEPCIONES_FECHA!$A$2:$A$201=$A1663)*(EXCEPCIONES_FECHA!$B$2:$B$201=$B1663),0)),IFERROR(INDEX(EXCEPCIONES_FECHA!$D$2:$D$201,MATCH(1,(EXCEPCIONES_FECHA!$A$2:$A$201=$A1663)*(EXCEPCIONES_FECHA!$B$2:$B$201=""),0)),IFERROR(INDEX(IF($I1663="FIN",HISTORIAL_HORARIOS!$J$2:$J$201,HISTORIAL_HORARIOS!$F$2:$F$201),MATCH(1,(HISTORIAL_HORARIOS!$A$2:$A$201=$B1663)*(HISTORIAL_HORARIOS!$C$2:$C$201&lt;=$A1663)*(HISTORIAL_HORARIOS!$D$2:$D$201&gt;=$A1663),0)),INDEX(IF($I1663="FIN",PERSONAL!$J$2:$J$80,PERSONAL!$F$2:$F$80),MATCH($B1663,PERSONAL!$A$2:$A$80,0)))))</f>
        <v/>
      </c>
      <c r="N1663" s="53">
        <f t="array" ref="N1663">IFERROR(INDEX(EXCEPCIONES_FECHA!$E$2:$E$201,MATCH(1,(EXCEPCIONES_FECHA!$A$2:$A$201=$A1663)*(EXCEPCIONES_FECHA!$B$2:$B$201=$B1663),0)),IFERROR(INDEX(EXCEPCIONES_FECHA!$E$2:$E$201,MATCH(1,(EXCEPCIONES_FECHA!$A$2:$A$201=$A1663)*(EXCEPCIONES_FECHA!$B$2:$B$201=""),0)),IFERROR(INDEX(IF($I1663="FIN",HISTORIAL_HORARIOS!$K$2:$K$201,HISTORIAL_HORARIOS!$G$2:$G$201),MATCH(1,(HISTORIAL_HORARIOS!$A$2:$A$201=$B1663)*(HISTORIAL_HORARIOS!$C$2:$C$201&lt;=$A1663)*(HISTORIAL_HORARIOS!$D$2:$D$201&gt;=$A1663),0)),INDEX(IF($I1663="FIN",PERSONAL!$K$2:$K$80,PERSONAL!$G$2:$G$80),MATCH($B1663,PERSONAL!$A$2:$A$80,0)))))</f>
        <v/>
      </c>
      <c r="O1663" s="53">
        <f t="array" ref="O1663">IFERROR(INDEX(EXCEPCIONES_FECHA!$F$2:$F$201,MATCH(1,(EXCEPCIONES_FECHA!$A$2:$A$201=$A1663)*(EXCEPCIONES_FECHA!$B$2:$B$201=$B1663),0)),IFERROR(INDEX(EXCEPCIONES_FECHA!$F$2:$F$201,MATCH(1,(EXCEPCIONES_FECHA!$A$2:$A$201=$A1663)*(EXCEPCIONES_FECHA!$B$2:$B$201=""),0)),IFERROR(INDEX(IF($I1663="FIN",HISTORIAL_HORARIOS!$L$2:$L$201,HISTORIAL_HORARIOS!$H$2:$H$201),MATCH(1,(HISTORIAL_HORARIOS!$A$2:$A$201=$B1663)*(HISTORIAL_HORARIOS!$C$2:$C$201&lt;=$A1663)*(HISTORIAL_HORARIOS!$D$2:$D$201&gt;=$A1663),0)),INDEX(IF($I1663="FIN",PERSONAL!$L$2:$L$80,PERSONAL!$H$2:$H$80),MATCH($B1663,PERSONAL!$A$2:$A$80,0)))))</f>
        <v/>
      </c>
    </row>
    <row r="1664" ht="15" customHeight="1" s="58">
      <c r="A1664" s="40" t="n"/>
      <c r="B1664" s="38" t="n"/>
      <c r="C1664" s="40" t="n"/>
      <c r="D1664" s="40" t="n"/>
      <c r="E1664" s="34">
        <f t="array" ref="E1664">IF($B1664="","",IFERROR(INDEX(PERSONAL!$B$2:$B$80,MATCH($B1664,PERSONAL!$A$2:$A$80,0)),"NO EXISTE"))</f>
        <v/>
      </c>
      <c r="F1664" s="34">
        <f t="array" ref="F1664">IF($B1664="","",IFERROR(INDEX(PERSONAL!$C$2:$C$80,MATCH($B1664,PERSONAL!$A$2:$A$80,0)),""))</f>
        <v/>
      </c>
      <c r="G1664" s="34">
        <f>IF($A1664="","",CHOOSE(WEEKDAY($A1664,2),"LUNES","MARTES","MIÉRCOLES","JUEVES","VIERNES","SÁBADO","DOMINGO"))</f>
        <v/>
      </c>
      <c r="H1664" s="34">
        <f>IF($A1664="","",CHOOSE(MONTH($A1664),"ENERO","FEBRERO","MARZO","ABRIL","MAYO","JUNIO","JULIO","AGOSTO","SEPTIEMBRE","OCTUBRE","NOVIEMBRE","DICIEMBRE"))</f>
        <v/>
      </c>
      <c r="I1664" s="34">
        <f>IF($A1664="","",IF(OR($G1664="SÁBADO",$G1664="DOMINGO"),"FIN","LV"))</f>
        <v/>
      </c>
      <c r="J1664" s="34">
        <f>IF(OR($A1664="",$B1664=""),"",IF($L1664&lt;&gt;"",UPPER($L1664),IF($C1664="","FALTA",IFERROR(IF($C1664&gt;=$O1664,"ROJO FUERTE",IF($C1664&gt;=$N1664,"ROJO",IF($C1664&gt;=$M1664,"AMARILLO","VERDE"))),"REVISAR"))))</f>
        <v/>
      </c>
      <c r="K1664" s="36">
        <f>IF(OR($C1664="",$D1664=""),"",IF($D1664&gt;=$C1664,($D1664-$C1664)*24,(1-$C1664+$D1664)*24))</f>
        <v/>
      </c>
      <c r="L1664" s="34" t="n"/>
      <c r="M1664" s="53">
        <f t="array" ref="M1664">IFERROR(INDEX(EXCEPCIONES_FECHA!$D$2:$D$201,MATCH(1,(EXCEPCIONES_FECHA!$A$2:$A$201=$A1664)*(EXCEPCIONES_FECHA!$B$2:$B$201=$B1664),0)),IFERROR(INDEX(EXCEPCIONES_FECHA!$D$2:$D$201,MATCH(1,(EXCEPCIONES_FECHA!$A$2:$A$201=$A1664)*(EXCEPCIONES_FECHA!$B$2:$B$201=""),0)),IFERROR(INDEX(IF($I1664="FIN",HISTORIAL_HORARIOS!$J$2:$J$201,HISTORIAL_HORARIOS!$F$2:$F$201),MATCH(1,(HISTORIAL_HORARIOS!$A$2:$A$201=$B1664)*(HISTORIAL_HORARIOS!$C$2:$C$201&lt;=$A1664)*(HISTORIAL_HORARIOS!$D$2:$D$201&gt;=$A1664),0)),INDEX(IF($I1664="FIN",PERSONAL!$J$2:$J$80,PERSONAL!$F$2:$F$80),MATCH($B1664,PERSONAL!$A$2:$A$80,0)))))</f>
        <v/>
      </c>
      <c r="N1664" s="53">
        <f t="array" ref="N1664">IFERROR(INDEX(EXCEPCIONES_FECHA!$E$2:$E$201,MATCH(1,(EXCEPCIONES_FECHA!$A$2:$A$201=$A1664)*(EXCEPCIONES_FECHA!$B$2:$B$201=$B1664),0)),IFERROR(INDEX(EXCEPCIONES_FECHA!$E$2:$E$201,MATCH(1,(EXCEPCIONES_FECHA!$A$2:$A$201=$A1664)*(EXCEPCIONES_FECHA!$B$2:$B$201=""),0)),IFERROR(INDEX(IF($I1664="FIN",HISTORIAL_HORARIOS!$K$2:$K$201,HISTORIAL_HORARIOS!$G$2:$G$201),MATCH(1,(HISTORIAL_HORARIOS!$A$2:$A$201=$B1664)*(HISTORIAL_HORARIOS!$C$2:$C$201&lt;=$A1664)*(HISTORIAL_HORARIOS!$D$2:$D$201&gt;=$A1664),0)),INDEX(IF($I1664="FIN",PERSONAL!$K$2:$K$80,PERSONAL!$G$2:$G$80),MATCH($B1664,PERSONAL!$A$2:$A$80,0)))))</f>
        <v/>
      </c>
      <c r="O1664" s="53">
        <f t="array" ref="O1664">IFERROR(INDEX(EXCEPCIONES_FECHA!$F$2:$F$201,MATCH(1,(EXCEPCIONES_FECHA!$A$2:$A$201=$A1664)*(EXCEPCIONES_FECHA!$B$2:$B$201=$B1664),0)),IFERROR(INDEX(EXCEPCIONES_FECHA!$F$2:$F$201,MATCH(1,(EXCEPCIONES_FECHA!$A$2:$A$201=$A1664)*(EXCEPCIONES_FECHA!$B$2:$B$201=""),0)),IFERROR(INDEX(IF($I1664="FIN",HISTORIAL_HORARIOS!$L$2:$L$201,HISTORIAL_HORARIOS!$H$2:$H$201),MATCH(1,(HISTORIAL_HORARIOS!$A$2:$A$201=$B1664)*(HISTORIAL_HORARIOS!$C$2:$C$201&lt;=$A1664)*(HISTORIAL_HORARIOS!$D$2:$D$201&gt;=$A1664),0)),INDEX(IF($I1664="FIN",PERSONAL!$L$2:$L$80,PERSONAL!$H$2:$H$80),MATCH($B1664,PERSONAL!$A$2:$A$80,0)))))</f>
        <v/>
      </c>
    </row>
    <row r="1665" ht="15" customHeight="1" s="58">
      <c r="A1665" s="40" t="n"/>
      <c r="B1665" s="38" t="n"/>
      <c r="C1665" s="40" t="n"/>
      <c r="D1665" s="40" t="n"/>
      <c r="E1665" s="34">
        <f t="array" ref="E1665">IF($B1665="","",IFERROR(INDEX(PERSONAL!$B$2:$B$80,MATCH($B1665,PERSONAL!$A$2:$A$80,0)),"NO EXISTE"))</f>
        <v/>
      </c>
      <c r="F1665" s="34">
        <f t="array" ref="F1665">IF($B1665="","",IFERROR(INDEX(PERSONAL!$C$2:$C$80,MATCH($B1665,PERSONAL!$A$2:$A$80,0)),""))</f>
        <v/>
      </c>
      <c r="G1665" s="34">
        <f>IF($A1665="","",CHOOSE(WEEKDAY($A1665,2),"LUNES","MARTES","MIÉRCOLES","JUEVES","VIERNES","SÁBADO","DOMINGO"))</f>
        <v/>
      </c>
      <c r="H1665" s="34">
        <f>IF($A1665="","",CHOOSE(MONTH($A1665),"ENERO","FEBRERO","MARZO","ABRIL","MAYO","JUNIO","JULIO","AGOSTO","SEPTIEMBRE","OCTUBRE","NOVIEMBRE","DICIEMBRE"))</f>
        <v/>
      </c>
      <c r="I1665" s="34">
        <f>IF($A1665="","",IF(OR($G1665="SÁBADO",$G1665="DOMINGO"),"FIN","LV"))</f>
        <v/>
      </c>
      <c r="J1665" s="34">
        <f>IF(OR($A1665="",$B1665=""),"",IF($L1665&lt;&gt;"",UPPER($L1665),IF($C1665="","FALTA",IFERROR(IF($C1665&gt;=$O1665,"ROJO FUERTE",IF($C1665&gt;=$N1665,"ROJO",IF($C1665&gt;=$M1665,"AMARILLO","VERDE"))),"REVISAR"))))</f>
        <v/>
      </c>
      <c r="K1665" s="36">
        <f>IF(OR($C1665="",$D1665=""),"",IF($D1665&gt;=$C1665,($D1665-$C1665)*24,(1-$C1665+$D1665)*24))</f>
        <v/>
      </c>
      <c r="L1665" s="34" t="n"/>
      <c r="M1665" s="53">
        <f t="array" ref="M1665">IFERROR(INDEX(EXCEPCIONES_FECHA!$D$2:$D$201,MATCH(1,(EXCEPCIONES_FECHA!$A$2:$A$201=$A1665)*(EXCEPCIONES_FECHA!$B$2:$B$201=$B1665),0)),IFERROR(INDEX(EXCEPCIONES_FECHA!$D$2:$D$201,MATCH(1,(EXCEPCIONES_FECHA!$A$2:$A$201=$A1665)*(EXCEPCIONES_FECHA!$B$2:$B$201=""),0)),IFERROR(INDEX(IF($I1665="FIN",HISTORIAL_HORARIOS!$J$2:$J$201,HISTORIAL_HORARIOS!$F$2:$F$201),MATCH(1,(HISTORIAL_HORARIOS!$A$2:$A$201=$B1665)*(HISTORIAL_HORARIOS!$C$2:$C$201&lt;=$A1665)*(HISTORIAL_HORARIOS!$D$2:$D$201&gt;=$A1665),0)),INDEX(IF($I1665="FIN",PERSONAL!$J$2:$J$80,PERSONAL!$F$2:$F$80),MATCH($B1665,PERSONAL!$A$2:$A$80,0)))))</f>
        <v/>
      </c>
      <c r="N1665" s="53">
        <f t="array" ref="N1665">IFERROR(INDEX(EXCEPCIONES_FECHA!$E$2:$E$201,MATCH(1,(EXCEPCIONES_FECHA!$A$2:$A$201=$A1665)*(EXCEPCIONES_FECHA!$B$2:$B$201=$B1665),0)),IFERROR(INDEX(EXCEPCIONES_FECHA!$E$2:$E$201,MATCH(1,(EXCEPCIONES_FECHA!$A$2:$A$201=$A1665)*(EXCEPCIONES_FECHA!$B$2:$B$201=""),0)),IFERROR(INDEX(IF($I1665="FIN",HISTORIAL_HORARIOS!$K$2:$K$201,HISTORIAL_HORARIOS!$G$2:$G$201),MATCH(1,(HISTORIAL_HORARIOS!$A$2:$A$201=$B1665)*(HISTORIAL_HORARIOS!$C$2:$C$201&lt;=$A1665)*(HISTORIAL_HORARIOS!$D$2:$D$201&gt;=$A1665),0)),INDEX(IF($I1665="FIN",PERSONAL!$K$2:$K$80,PERSONAL!$G$2:$G$80),MATCH($B1665,PERSONAL!$A$2:$A$80,0)))))</f>
        <v/>
      </c>
      <c r="O1665" s="53">
        <f t="array" ref="O1665">IFERROR(INDEX(EXCEPCIONES_FECHA!$F$2:$F$201,MATCH(1,(EXCEPCIONES_FECHA!$A$2:$A$201=$A1665)*(EXCEPCIONES_FECHA!$B$2:$B$201=$B1665),0)),IFERROR(INDEX(EXCEPCIONES_FECHA!$F$2:$F$201,MATCH(1,(EXCEPCIONES_FECHA!$A$2:$A$201=$A1665)*(EXCEPCIONES_FECHA!$B$2:$B$201=""),0)),IFERROR(INDEX(IF($I1665="FIN",HISTORIAL_HORARIOS!$L$2:$L$201,HISTORIAL_HORARIOS!$H$2:$H$201),MATCH(1,(HISTORIAL_HORARIOS!$A$2:$A$201=$B1665)*(HISTORIAL_HORARIOS!$C$2:$C$201&lt;=$A1665)*(HISTORIAL_HORARIOS!$D$2:$D$201&gt;=$A1665),0)),INDEX(IF($I1665="FIN",PERSONAL!$L$2:$L$80,PERSONAL!$H$2:$H$80),MATCH($B1665,PERSONAL!$A$2:$A$80,0)))))</f>
        <v/>
      </c>
    </row>
    <row r="1666" ht="15" customHeight="1" s="58">
      <c r="A1666" s="40" t="n"/>
      <c r="B1666" s="38" t="n"/>
      <c r="C1666" s="40" t="n"/>
      <c r="D1666" s="40" t="n"/>
      <c r="E1666" s="34">
        <f t="array" ref="E1666">IF($B1666="","",IFERROR(INDEX(PERSONAL!$B$2:$B$80,MATCH($B1666,PERSONAL!$A$2:$A$80,0)),"NO EXISTE"))</f>
        <v/>
      </c>
      <c r="F1666" s="34">
        <f t="array" ref="F1666">IF($B1666="","",IFERROR(INDEX(PERSONAL!$C$2:$C$80,MATCH($B1666,PERSONAL!$A$2:$A$80,0)),""))</f>
        <v/>
      </c>
      <c r="G1666" s="34">
        <f>IF($A1666="","",CHOOSE(WEEKDAY($A1666,2),"LUNES","MARTES","MIÉRCOLES","JUEVES","VIERNES","SÁBADO","DOMINGO"))</f>
        <v/>
      </c>
      <c r="H1666" s="34">
        <f>IF($A1666="","",CHOOSE(MONTH($A1666),"ENERO","FEBRERO","MARZO","ABRIL","MAYO","JUNIO","JULIO","AGOSTO","SEPTIEMBRE","OCTUBRE","NOVIEMBRE","DICIEMBRE"))</f>
        <v/>
      </c>
      <c r="I1666" s="34">
        <f>IF($A1666="","",IF(OR($G1666="SÁBADO",$G1666="DOMINGO"),"FIN","LV"))</f>
        <v/>
      </c>
      <c r="J1666" s="34">
        <f>IF(OR($A1666="",$B1666=""),"",IF($L1666&lt;&gt;"",UPPER($L1666),IF($C1666="","FALTA",IFERROR(IF($C1666&gt;=$O1666,"ROJO FUERTE",IF($C1666&gt;=$N1666,"ROJO",IF($C1666&gt;=$M1666,"AMARILLO","VERDE"))),"REVISAR"))))</f>
        <v/>
      </c>
      <c r="K1666" s="36">
        <f>IF(OR($C1666="",$D1666=""),"",IF($D1666&gt;=$C1666,($D1666-$C1666)*24,(1-$C1666+$D1666)*24))</f>
        <v/>
      </c>
      <c r="L1666" s="34" t="n"/>
      <c r="M1666" s="53">
        <f t="array" ref="M1666">IFERROR(INDEX(EXCEPCIONES_FECHA!$D$2:$D$201,MATCH(1,(EXCEPCIONES_FECHA!$A$2:$A$201=$A1666)*(EXCEPCIONES_FECHA!$B$2:$B$201=$B1666),0)),IFERROR(INDEX(EXCEPCIONES_FECHA!$D$2:$D$201,MATCH(1,(EXCEPCIONES_FECHA!$A$2:$A$201=$A1666)*(EXCEPCIONES_FECHA!$B$2:$B$201=""),0)),IFERROR(INDEX(IF($I1666="FIN",HISTORIAL_HORARIOS!$J$2:$J$201,HISTORIAL_HORARIOS!$F$2:$F$201),MATCH(1,(HISTORIAL_HORARIOS!$A$2:$A$201=$B1666)*(HISTORIAL_HORARIOS!$C$2:$C$201&lt;=$A1666)*(HISTORIAL_HORARIOS!$D$2:$D$201&gt;=$A1666),0)),INDEX(IF($I1666="FIN",PERSONAL!$J$2:$J$80,PERSONAL!$F$2:$F$80),MATCH($B1666,PERSONAL!$A$2:$A$80,0)))))</f>
        <v/>
      </c>
      <c r="N1666" s="53">
        <f t="array" ref="N1666">IFERROR(INDEX(EXCEPCIONES_FECHA!$E$2:$E$201,MATCH(1,(EXCEPCIONES_FECHA!$A$2:$A$201=$A1666)*(EXCEPCIONES_FECHA!$B$2:$B$201=$B1666),0)),IFERROR(INDEX(EXCEPCIONES_FECHA!$E$2:$E$201,MATCH(1,(EXCEPCIONES_FECHA!$A$2:$A$201=$A1666)*(EXCEPCIONES_FECHA!$B$2:$B$201=""),0)),IFERROR(INDEX(IF($I1666="FIN",HISTORIAL_HORARIOS!$K$2:$K$201,HISTORIAL_HORARIOS!$G$2:$G$201),MATCH(1,(HISTORIAL_HORARIOS!$A$2:$A$201=$B1666)*(HISTORIAL_HORARIOS!$C$2:$C$201&lt;=$A1666)*(HISTORIAL_HORARIOS!$D$2:$D$201&gt;=$A1666),0)),INDEX(IF($I1666="FIN",PERSONAL!$K$2:$K$80,PERSONAL!$G$2:$G$80),MATCH($B1666,PERSONAL!$A$2:$A$80,0)))))</f>
        <v/>
      </c>
      <c r="O1666" s="53">
        <f t="array" ref="O1666">IFERROR(INDEX(EXCEPCIONES_FECHA!$F$2:$F$201,MATCH(1,(EXCEPCIONES_FECHA!$A$2:$A$201=$A1666)*(EXCEPCIONES_FECHA!$B$2:$B$201=$B1666),0)),IFERROR(INDEX(EXCEPCIONES_FECHA!$F$2:$F$201,MATCH(1,(EXCEPCIONES_FECHA!$A$2:$A$201=$A1666)*(EXCEPCIONES_FECHA!$B$2:$B$201=""),0)),IFERROR(INDEX(IF($I1666="FIN",HISTORIAL_HORARIOS!$L$2:$L$201,HISTORIAL_HORARIOS!$H$2:$H$201),MATCH(1,(HISTORIAL_HORARIOS!$A$2:$A$201=$B1666)*(HISTORIAL_HORARIOS!$C$2:$C$201&lt;=$A1666)*(HISTORIAL_HORARIOS!$D$2:$D$201&gt;=$A1666),0)),INDEX(IF($I1666="FIN",PERSONAL!$L$2:$L$80,PERSONAL!$H$2:$H$80),MATCH($B1666,PERSONAL!$A$2:$A$80,0)))))</f>
        <v/>
      </c>
    </row>
    <row r="1667" ht="15" customHeight="1" s="58">
      <c r="A1667" s="40" t="n"/>
      <c r="B1667" s="38" t="n"/>
      <c r="C1667" s="40" t="n"/>
      <c r="D1667" s="40" t="n"/>
      <c r="E1667" s="34">
        <f t="array" ref="E1667">IF($B1667="","",IFERROR(INDEX(PERSONAL!$B$2:$B$80,MATCH($B1667,PERSONAL!$A$2:$A$80,0)),"NO EXISTE"))</f>
        <v/>
      </c>
      <c r="F1667" s="34">
        <f t="array" ref="F1667">IF($B1667="","",IFERROR(INDEX(PERSONAL!$C$2:$C$80,MATCH($B1667,PERSONAL!$A$2:$A$80,0)),""))</f>
        <v/>
      </c>
      <c r="G1667" s="34">
        <f>IF($A1667="","",CHOOSE(WEEKDAY($A1667,2),"LUNES","MARTES","MIÉRCOLES","JUEVES","VIERNES","SÁBADO","DOMINGO"))</f>
        <v/>
      </c>
      <c r="H1667" s="34">
        <f>IF($A1667="","",CHOOSE(MONTH($A1667),"ENERO","FEBRERO","MARZO","ABRIL","MAYO","JUNIO","JULIO","AGOSTO","SEPTIEMBRE","OCTUBRE","NOVIEMBRE","DICIEMBRE"))</f>
        <v/>
      </c>
      <c r="I1667" s="34">
        <f>IF($A1667="","",IF(OR($G1667="SÁBADO",$G1667="DOMINGO"),"FIN","LV"))</f>
        <v/>
      </c>
      <c r="J1667" s="34">
        <f>IF(OR($A1667="",$B1667=""),"",IF($L1667&lt;&gt;"",UPPER($L1667),IF($C1667="","FALTA",IFERROR(IF($C1667&gt;=$O1667,"ROJO FUERTE",IF($C1667&gt;=$N1667,"ROJO",IF($C1667&gt;=$M1667,"AMARILLO","VERDE"))),"REVISAR"))))</f>
        <v/>
      </c>
      <c r="K1667" s="36">
        <f>IF(OR($C1667="",$D1667=""),"",IF($D1667&gt;=$C1667,($D1667-$C1667)*24,(1-$C1667+$D1667)*24))</f>
        <v/>
      </c>
      <c r="L1667" s="34" t="n"/>
      <c r="M1667" s="53">
        <f t="array" ref="M1667">IFERROR(INDEX(EXCEPCIONES_FECHA!$D$2:$D$201,MATCH(1,(EXCEPCIONES_FECHA!$A$2:$A$201=$A1667)*(EXCEPCIONES_FECHA!$B$2:$B$201=$B1667),0)),IFERROR(INDEX(EXCEPCIONES_FECHA!$D$2:$D$201,MATCH(1,(EXCEPCIONES_FECHA!$A$2:$A$201=$A1667)*(EXCEPCIONES_FECHA!$B$2:$B$201=""),0)),IFERROR(INDEX(IF($I1667="FIN",HISTORIAL_HORARIOS!$J$2:$J$201,HISTORIAL_HORARIOS!$F$2:$F$201),MATCH(1,(HISTORIAL_HORARIOS!$A$2:$A$201=$B1667)*(HISTORIAL_HORARIOS!$C$2:$C$201&lt;=$A1667)*(HISTORIAL_HORARIOS!$D$2:$D$201&gt;=$A1667),0)),INDEX(IF($I1667="FIN",PERSONAL!$J$2:$J$80,PERSONAL!$F$2:$F$80),MATCH($B1667,PERSONAL!$A$2:$A$80,0)))))</f>
        <v/>
      </c>
      <c r="N1667" s="53">
        <f t="array" ref="N1667">IFERROR(INDEX(EXCEPCIONES_FECHA!$E$2:$E$201,MATCH(1,(EXCEPCIONES_FECHA!$A$2:$A$201=$A1667)*(EXCEPCIONES_FECHA!$B$2:$B$201=$B1667),0)),IFERROR(INDEX(EXCEPCIONES_FECHA!$E$2:$E$201,MATCH(1,(EXCEPCIONES_FECHA!$A$2:$A$201=$A1667)*(EXCEPCIONES_FECHA!$B$2:$B$201=""),0)),IFERROR(INDEX(IF($I1667="FIN",HISTORIAL_HORARIOS!$K$2:$K$201,HISTORIAL_HORARIOS!$G$2:$G$201),MATCH(1,(HISTORIAL_HORARIOS!$A$2:$A$201=$B1667)*(HISTORIAL_HORARIOS!$C$2:$C$201&lt;=$A1667)*(HISTORIAL_HORARIOS!$D$2:$D$201&gt;=$A1667),0)),INDEX(IF($I1667="FIN",PERSONAL!$K$2:$K$80,PERSONAL!$G$2:$G$80),MATCH($B1667,PERSONAL!$A$2:$A$80,0)))))</f>
        <v/>
      </c>
      <c r="O1667" s="53">
        <f t="array" ref="O1667">IFERROR(INDEX(EXCEPCIONES_FECHA!$F$2:$F$201,MATCH(1,(EXCEPCIONES_FECHA!$A$2:$A$201=$A1667)*(EXCEPCIONES_FECHA!$B$2:$B$201=$B1667),0)),IFERROR(INDEX(EXCEPCIONES_FECHA!$F$2:$F$201,MATCH(1,(EXCEPCIONES_FECHA!$A$2:$A$201=$A1667)*(EXCEPCIONES_FECHA!$B$2:$B$201=""),0)),IFERROR(INDEX(IF($I1667="FIN",HISTORIAL_HORARIOS!$L$2:$L$201,HISTORIAL_HORARIOS!$H$2:$H$201),MATCH(1,(HISTORIAL_HORARIOS!$A$2:$A$201=$B1667)*(HISTORIAL_HORARIOS!$C$2:$C$201&lt;=$A1667)*(HISTORIAL_HORARIOS!$D$2:$D$201&gt;=$A1667),0)),INDEX(IF($I1667="FIN",PERSONAL!$L$2:$L$80,PERSONAL!$H$2:$H$80),MATCH($B1667,PERSONAL!$A$2:$A$80,0)))))</f>
        <v/>
      </c>
    </row>
    <row r="1668" ht="15" customHeight="1" s="58">
      <c r="A1668" s="40" t="n"/>
      <c r="B1668" s="38" t="n"/>
      <c r="C1668" s="40" t="n"/>
      <c r="D1668" s="40" t="n"/>
      <c r="E1668" s="34">
        <f t="array" ref="E1668">IF($B1668="","",IFERROR(INDEX(PERSONAL!$B$2:$B$80,MATCH($B1668,PERSONAL!$A$2:$A$80,0)),"NO EXISTE"))</f>
        <v/>
      </c>
      <c r="F1668" s="34">
        <f t="array" ref="F1668">IF($B1668="","",IFERROR(INDEX(PERSONAL!$C$2:$C$80,MATCH($B1668,PERSONAL!$A$2:$A$80,0)),""))</f>
        <v/>
      </c>
      <c r="G1668" s="34">
        <f>IF($A1668="","",CHOOSE(WEEKDAY($A1668,2),"LUNES","MARTES","MIÉRCOLES","JUEVES","VIERNES","SÁBADO","DOMINGO"))</f>
        <v/>
      </c>
      <c r="H1668" s="34">
        <f>IF($A1668="","",CHOOSE(MONTH($A1668),"ENERO","FEBRERO","MARZO","ABRIL","MAYO","JUNIO","JULIO","AGOSTO","SEPTIEMBRE","OCTUBRE","NOVIEMBRE","DICIEMBRE"))</f>
        <v/>
      </c>
      <c r="I1668" s="34">
        <f>IF($A1668="","",IF(OR($G1668="SÁBADO",$G1668="DOMINGO"),"FIN","LV"))</f>
        <v/>
      </c>
      <c r="J1668" s="34">
        <f>IF(OR($A1668="",$B1668=""),"",IF($L1668&lt;&gt;"",UPPER($L1668),IF($C1668="","FALTA",IFERROR(IF($C1668&gt;=$O1668,"ROJO FUERTE",IF($C1668&gt;=$N1668,"ROJO",IF($C1668&gt;=$M1668,"AMARILLO","VERDE"))),"REVISAR"))))</f>
        <v/>
      </c>
      <c r="K1668" s="36">
        <f>IF(OR($C1668="",$D1668=""),"",IF($D1668&gt;=$C1668,($D1668-$C1668)*24,(1-$C1668+$D1668)*24))</f>
        <v/>
      </c>
      <c r="L1668" s="34" t="n"/>
      <c r="M1668" s="53">
        <f t="array" ref="M1668">IFERROR(INDEX(EXCEPCIONES_FECHA!$D$2:$D$201,MATCH(1,(EXCEPCIONES_FECHA!$A$2:$A$201=$A1668)*(EXCEPCIONES_FECHA!$B$2:$B$201=$B1668),0)),IFERROR(INDEX(EXCEPCIONES_FECHA!$D$2:$D$201,MATCH(1,(EXCEPCIONES_FECHA!$A$2:$A$201=$A1668)*(EXCEPCIONES_FECHA!$B$2:$B$201=""),0)),IFERROR(INDEX(IF($I1668="FIN",HISTORIAL_HORARIOS!$J$2:$J$201,HISTORIAL_HORARIOS!$F$2:$F$201),MATCH(1,(HISTORIAL_HORARIOS!$A$2:$A$201=$B1668)*(HISTORIAL_HORARIOS!$C$2:$C$201&lt;=$A1668)*(HISTORIAL_HORARIOS!$D$2:$D$201&gt;=$A1668),0)),INDEX(IF($I1668="FIN",PERSONAL!$J$2:$J$80,PERSONAL!$F$2:$F$80),MATCH($B1668,PERSONAL!$A$2:$A$80,0)))))</f>
        <v/>
      </c>
      <c r="N1668" s="53">
        <f t="array" ref="N1668">IFERROR(INDEX(EXCEPCIONES_FECHA!$E$2:$E$201,MATCH(1,(EXCEPCIONES_FECHA!$A$2:$A$201=$A1668)*(EXCEPCIONES_FECHA!$B$2:$B$201=$B1668),0)),IFERROR(INDEX(EXCEPCIONES_FECHA!$E$2:$E$201,MATCH(1,(EXCEPCIONES_FECHA!$A$2:$A$201=$A1668)*(EXCEPCIONES_FECHA!$B$2:$B$201=""),0)),IFERROR(INDEX(IF($I1668="FIN",HISTORIAL_HORARIOS!$K$2:$K$201,HISTORIAL_HORARIOS!$G$2:$G$201),MATCH(1,(HISTORIAL_HORARIOS!$A$2:$A$201=$B1668)*(HISTORIAL_HORARIOS!$C$2:$C$201&lt;=$A1668)*(HISTORIAL_HORARIOS!$D$2:$D$201&gt;=$A1668),0)),INDEX(IF($I1668="FIN",PERSONAL!$K$2:$K$80,PERSONAL!$G$2:$G$80),MATCH($B1668,PERSONAL!$A$2:$A$80,0)))))</f>
        <v/>
      </c>
      <c r="O1668" s="53">
        <f t="array" ref="O1668">IFERROR(INDEX(EXCEPCIONES_FECHA!$F$2:$F$201,MATCH(1,(EXCEPCIONES_FECHA!$A$2:$A$201=$A1668)*(EXCEPCIONES_FECHA!$B$2:$B$201=$B1668),0)),IFERROR(INDEX(EXCEPCIONES_FECHA!$F$2:$F$201,MATCH(1,(EXCEPCIONES_FECHA!$A$2:$A$201=$A1668)*(EXCEPCIONES_FECHA!$B$2:$B$201=""),0)),IFERROR(INDEX(IF($I1668="FIN",HISTORIAL_HORARIOS!$L$2:$L$201,HISTORIAL_HORARIOS!$H$2:$H$201),MATCH(1,(HISTORIAL_HORARIOS!$A$2:$A$201=$B1668)*(HISTORIAL_HORARIOS!$C$2:$C$201&lt;=$A1668)*(HISTORIAL_HORARIOS!$D$2:$D$201&gt;=$A1668),0)),INDEX(IF($I1668="FIN",PERSONAL!$L$2:$L$80,PERSONAL!$H$2:$H$80),MATCH($B1668,PERSONAL!$A$2:$A$80,0)))))</f>
        <v/>
      </c>
    </row>
    <row r="1669" ht="15" customHeight="1" s="58">
      <c r="A1669" s="40" t="n"/>
      <c r="B1669" s="38" t="n"/>
      <c r="C1669" s="40" t="n"/>
      <c r="D1669" s="40" t="n"/>
      <c r="E1669" s="34">
        <f t="array" ref="E1669">IF($B1669="","",IFERROR(INDEX(PERSONAL!$B$2:$B$80,MATCH($B1669,PERSONAL!$A$2:$A$80,0)),"NO EXISTE"))</f>
        <v/>
      </c>
      <c r="F1669" s="34">
        <f t="array" ref="F1669">IF($B1669="","",IFERROR(INDEX(PERSONAL!$C$2:$C$80,MATCH($B1669,PERSONAL!$A$2:$A$80,0)),""))</f>
        <v/>
      </c>
      <c r="G1669" s="34">
        <f>IF($A1669="","",CHOOSE(WEEKDAY($A1669,2),"LUNES","MARTES","MIÉRCOLES","JUEVES","VIERNES","SÁBADO","DOMINGO"))</f>
        <v/>
      </c>
      <c r="H1669" s="34">
        <f>IF($A1669="","",CHOOSE(MONTH($A1669),"ENERO","FEBRERO","MARZO","ABRIL","MAYO","JUNIO","JULIO","AGOSTO","SEPTIEMBRE","OCTUBRE","NOVIEMBRE","DICIEMBRE"))</f>
        <v/>
      </c>
      <c r="I1669" s="34">
        <f>IF($A1669="","",IF(OR($G1669="SÁBADO",$G1669="DOMINGO"),"FIN","LV"))</f>
        <v/>
      </c>
      <c r="J1669" s="34">
        <f>IF(OR($A1669="",$B1669=""),"",IF($L1669&lt;&gt;"",UPPER($L1669),IF($C1669="","FALTA",IFERROR(IF($C1669&gt;=$O1669,"ROJO FUERTE",IF($C1669&gt;=$N1669,"ROJO",IF($C1669&gt;=$M1669,"AMARILLO","VERDE"))),"REVISAR"))))</f>
        <v/>
      </c>
      <c r="K1669" s="36">
        <f>IF(OR($C1669="",$D1669=""),"",IF($D1669&gt;=$C1669,($D1669-$C1669)*24,(1-$C1669+$D1669)*24))</f>
        <v/>
      </c>
      <c r="L1669" s="34" t="n"/>
      <c r="M1669" s="53">
        <f t="array" ref="M1669">IFERROR(INDEX(EXCEPCIONES_FECHA!$D$2:$D$201,MATCH(1,(EXCEPCIONES_FECHA!$A$2:$A$201=$A1669)*(EXCEPCIONES_FECHA!$B$2:$B$201=$B1669),0)),IFERROR(INDEX(EXCEPCIONES_FECHA!$D$2:$D$201,MATCH(1,(EXCEPCIONES_FECHA!$A$2:$A$201=$A1669)*(EXCEPCIONES_FECHA!$B$2:$B$201=""),0)),IFERROR(INDEX(IF($I1669="FIN",HISTORIAL_HORARIOS!$J$2:$J$201,HISTORIAL_HORARIOS!$F$2:$F$201),MATCH(1,(HISTORIAL_HORARIOS!$A$2:$A$201=$B1669)*(HISTORIAL_HORARIOS!$C$2:$C$201&lt;=$A1669)*(HISTORIAL_HORARIOS!$D$2:$D$201&gt;=$A1669),0)),INDEX(IF($I1669="FIN",PERSONAL!$J$2:$J$80,PERSONAL!$F$2:$F$80),MATCH($B1669,PERSONAL!$A$2:$A$80,0)))))</f>
        <v/>
      </c>
      <c r="N1669" s="53">
        <f t="array" ref="N1669">IFERROR(INDEX(EXCEPCIONES_FECHA!$E$2:$E$201,MATCH(1,(EXCEPCIONES_FECHA!$A$2:$A$201=$A1669)*(EXCEPCIONES_FECHA!$B$2:$B$201=$B1669),0)),IFERROR(INDEX(EXCEPCIONES_FECHA!$E$2:$E$201,MATCH(1,(EXCEPCIONES_FECHA!$A$2:$A$201=$A1669)*(EXCEPCIONES_FECHA!$B$2:$B$201=""),0)),IFERROR(INDEX(IF($I1669="FIN",HISTORIAL_HORARIOS!$K$2:$K$201,HISTORIAL_HORARIOS!$G$2:$G$201),MATCH(1,(HISTORIAL_HORARIOS!$A$2:$A$201=$B1669)*(HISTORIAL_HORARIOS!$C$2:$C$201&lt;=$A1669)*(HISTORIAL_HORARIOS!$D$2:$D$201&gt;=$A1669),0)),INDEX(IF($I1669="FIN",PERSONAL!$K$2:$K$80,PERSONAL!$G$2:$G$80),MATCH($B1669,PERSONAL!$A$2:$A$80,0)))))</f>
        <v/>
      </c>
      <c r="O1669" s="53">
        <f t="array" ref="O1669">IFERROR(INDEX(EXCEPCIONES_FECHA!$F$2:$F$201,MATCH(1,(EXCEPCIONES_FECHA!$A$2:$A$201=$A1669)*(EXCEPCIONES_FECHA!$B$2:$B$201=$B1669),0)),IFERROR(INDEX(EXCEPCIONES_FECHA!$F$2:$F$201,MATCH(1,(EXCEPCIONES_FECHA!$A$2:$A$201=$A1669)*(EXCEPCIONES_FECHA!$B$2:$B$201=""),0)),IFERROR(INDEX(IF($I1669="FIN",HISTORIAL_HORARIOS!$L$2:$L$201,HISTORIAL_HORARIOS!$H$2:$H$201),MATCH(1,(HISTORIAL_HORARIOS!$A$2:$A$201=$B1669)*(HISTORIAL_HORARIOS!$C$2:$C$201&lt;=$A1669)*(HISTORIAL_HORARIOS!$D$2:$D$201&gt;=$A1669),0)),INDEX(IF($I1669="FIN",PERSONAL!$L$2:$L$80,PERSONAL!$H$2:$H$80),MATCH($B1669,PERSONAL!$A$2:$A$80,0)))))</f>
        <v/>
      </c>
    </row>
    <row r="1670" ht="15" customHeight="1" s="58">
      <c r="A1670" s="40" t="n"/>
      <c r="B1670" s="38" t="n"/>
      <c r="C1670" s="40" t="n"/>
      <c r="D1670" s="40" t="n"/>
      <c r="E1670" s="34">
        <f t="array" ref="E1670">IF($B1670="","",IFERROR(INDEX(PERSONAL!$B$2:$B$80,MATCH($B1670,PERSONAL!$A$2:$A$80,0)),"NO EXISTE"))</f>
        <v/>
      </c>
      <c r="F1670" s="34">
        <f t="array" ref="F1670">IF($B1670="","",IFERROR(INDEX(PERSONAL!$C$2:$C$80,MATCH($B1670,PERSONAL!$A$2:$A$80,0)),""))</f>
        <v/>
      </c>
      <c r="G1670" s="34">
        <f>IF($A1670="","",CHOOSE(WEEKDAY($A1670,2),"LUNES","MARTES","MIÉRCOLES","JUEVES","VIERNES","SÁBADO","DOMINGO"))</f>
        <v/>
      </c>
      <c r="H1670" s="34">
        <f>IF($A1670="","",CHOOSE(MONTH($A1670),"ENERO","FEBRERO","MARZO","ABRIL","MAYO","JUNIO","JULIO","AGOSTO","SEPTIEMBRE","OCTUBRE","NOVIEMBRE","DICIEMBRE"))</f>
        <v/>
      </c>
      <c r="I1670" s="34">
        <f>IF($A1670="","",IF(OR($G1670="SÁBADO",$G1670="DOMINGO"),"FIN","LV"))</f>
        <v/>
      </c>
      <c r="J1670" s="34">
        <f>IF(OR($A1670="",$B1670=""),"",IF($L1670&lt;&gt;"",UPPER($L1670),IF($C1670="","FALTA",IFERROR(IF($C1670&gt;=$O1670,"ROJO FUERTE",IF($C1670&gt;=$N1670,"ROJO",IF($C1670&gt;=$M1670,"AMARILLO","VERDE"))),"REVISAR"))))</f>
        <v/>
      </c>
      <c r="K1670" s="36">
        <f>IF(OR($C1670="",$D1670=""),"",IF($D1670&gt;=$C1670,($D1670-$C1670)*24,(1-$C1670+$D1670)*24))</f>
        <v/>
      </c>
      <c r="L1670" s="34" t="n"/>
      <c r="M1670" s="53">
        <f t="array" ref="M1670">IFERROR(INDEX(EXCEPCIONES_FECHA!$D$2:$D$201,MATCH(1,(EXCEPCIONES_FECHA!$A$2:$A$201=$A1670)*(EXCEPCIONES_FECHA!$B$2:$B$201=$B1670),0)),IFERROR(INDEX(EXCEPCIONES_FECHA!$D$2:$D$201,MATCH(1,(EXCEPCIONES_FECHA!$A$2:$A$201=$A1670)*(EXCEPCIONES_FECHA!$B$2:$B$201=""),0)),IFERROR(INDEX(IF($I1670="FIN",HISTORIAL_HORARIOS!$J$2:$J$201,HISTORIAL_HORARIOS!$F$2:$F$201),MATCH(1,(HISTORIAL_HORARIOS!$A$2:$A$201=$B1670)*(HISTORIAL_HORARIOS!$C$2:$C$201&lt;=$A1670)*(HISTORIAL_HORARIOS!$D$2:$D$201&gt;=$A1670),0)),INDEX(IF($I1670="FIN",PERSONAL!$J$2:$J$80,PERSONAL!$F$2:$F$80),MATCH($B1670,PERSONAL!$A$2:$A$80,0)))))</f>
        <v/>
      </c>
      <c r="N1670" s="53">
        <f t="array" ref="N1670">IFERROR(INDEX(EXCEPCIONES_FECHA!$E$2:$E$201,MATCH(1,(EXCEPCIONES_FECHA!$A$2:$A$201=$A1670)*(EXCEPCIONES_FECHA!$B$2:$B$201=$B1670),0)),IFERROR(INDEX(EXCEPCIONES_FECHA!$E$2:$E$201,MATCH(1,(EXCEPCIONES_FECHA!$A$2:$A$201=$A1670)*(EXCEPCIONES_FECHA!$B$2:$B$201=""),0)),IFERROR(INDEX(IF($I1670="FIN",HISTORIAL_HORARIOS!$K$2:$K$201,HISTORIAL_HORARIOS!$G$2:$G$201),MATCH(1,(HISTORIAL_HORARIOS!$A$2:$A$201=$B1670)*(HISTORIAL_HORARIOS!$C$2:$C$201&lt;=$A1670)*(HISTORIAL_HORARIOS!$D$2:$D$201&gt;=$A1670),0)),INDEX(IF($I1670="FIN",PERSONAL!$K$2:$K$80,PERSONAL!$G$2:$G$80),MATCH($B1670,PERSONAL!$A$2:$A$80,0)))))</f>
        <v/>
      </c>
      <c r="O1670" s="53">
        <f t="array" ref="O1670">IFERROR(INDEX(EXCEPCIONES_FECHA!$F$2:$F$201,MATCH(1,(EXCEPCIONES_FECHA!$A$2:$A$201=$A1670)*(EXCEPCIONES_FECHA!$B$2:$B$201=$B1670),0)),IFERROR(INDEX(EXCEPCIONES_FECHA!$F$2:$F$201,MATCH(1,(EXCEPCIONES_FECHA!$A$2:$A$201=$A1670)*(EXCEPCIONES_FECHA!$B$2:$B$201=""),0)),IFERROR(INDEX(IF($I1670="FIN",HISTORIAL_HORARIOS!$L$2:$L$201,HISTORIAL_HORARIOS!$H$2:$H$201),MATCH(1,(HISTORIAL_HORARIOS!$A$2:$A$201=$B1670)*(HISTORIAL_HORARIOS!$C$2:$C$201&lt;=$A1670)*(HISTORIAL_HORARIOS!$D$2:$D$201&gt;=$A1670),0)),INDEX(IF($I1670="FIN",PERSONAL!$L$2:$L$80,PERSONAL!$H$2:$H$80),MATCH($B1670,PERSONAL!$A$2:$A$80,0)))))</f>
        <v/>
      </c>
    </row>
    <row r="1671" ht="15" customHeight="1" s="58">
      <c r="A1671" s="40" t="n"/>
      <c r="B1671" s="38" t="n"/>
      <c r="C1671" s="40" t="n"/>
      <c r="D1671" s="40" t="n"/>
      <c r="E1671" s="34">
        <f t="array" ref="E1671">IF($B1671="","",IFERROR(INDEX(PERSONAL!$B$2:$B$80,MATCH($B1671,PERSONAL!$A$2:$A$80,0)),"NO EXISTE"))</f>
        <v/>
      </c>
      <c r="F1671" s="34">
        <f t="array" ref="F1671">IF($B1671="","",IFERROR(INDEX(PERSONAL!$C$2:$C$80,MATCH($B1671,PERSONAL!$A$2:$A$80,0)),""))</f>
        <v/>
      </c>
      <c r="G1671" s="34">
        <f>IF($A1671="","",CHOOSE(WEEKDAY($A1671,2),"LUNES","MARTES","MIÉRCOLES","JUEVES","VIERNES","SÁBADO","DOMINGO"))</f>
        <v/>
      </c>
      <c r="H1671" s="34">
        <f>IF($A1671="","",CHOOSE(MONTH($A1671),"ENERO","FEBRERO","MARZO","ABRIL","MAYO","JUNIO","JULIO","AGOSTO","SEPTIEMBRE","OCTUBRE","NOVIEMBRE","DICIEMBRE"))</f>
        <v/>
      </c>
      <c r="I1671" s="34">
        <f>IF($A1671="","",IF(OR($G1671="SÁBADO",$G1671="DOMINGO"),"FIN","LV"))</f>
        <v/>
      </c>
      <c r="J1671" s="34">
        <f>IF(OR($A1671="",$B1671=""),"",IF($L1671&lt;&gt;"",UPPER($L1671),IF($C1671="","FALTA",IFERROR(IF($C1671&gt;=$O1671,"ROJO FUERTE",IF($C1671&gt;=$N1671,"ROJO",IF($C1671&gt;=$M1671,"AMARILLO","VERDE"))),"REVISAR"))))</f>
        <v/>
      </c>
      <c r="K1671" s="36">
        <f>IF(OR($C1671="",$D1671=""),"",IF($D1671&gt;=$C1671,($D1671-$C1671)*24,(1-$C1671+$D1671)*24))</f>
        <v/>
      </c>
      <c r="L1671" s="34" t="n"/>
      <c r="M1671" s="53">
        <f t="array" ref="M1671">IFERROR(INDEX(EXCEPCIONES_FECHA!$D$2:$D$201,MATCH(1,(EXCEPCIONES_FECHA!$A$2:$A$201=$A1671)*(EXCEPCIONES_FECHA!$B$2:$B$201=$B1671),0)),IFERROR(INDEX(EXCEPCIONES_FECHA!$D$2:$D$201,MATCH(1,(EXCEPCIONES_FECHA!$A$2:$A$201=$A1671)*(EXCEPCIONES_FECHA!$B$2:$B$201=""),0)),IFERROR(INDEX(IF($I1671="FIN",HISTORIAL_HORARIOS!$J$2:$J$201,HISTORIAL_HORARIOS!$F$2:$F$201),MATCH(1,(HISTORIAL_HORARIOS!$A$2:$A$201=$B1671)*(HISTORIAL_HORARIOS!$C$2:$C$201&lt;=$A1671)*(HISTORIAL_HORARIOS!$D$2:$D$201&gt;=$A1671),0)),INDEX(IF($I1671="FIN",PERSONAL!$J$2:$J$80,PERSONAL!$F$2:$F$80),MATCH($B1671,PERSONAL!$A$2:$A$80,0)))))</f>
        <v/>
      </c>
      <c r="N1671" s="53">
        <f t="array" ref="N1671">IFERROR(INDEX(EXCEPCIONES_FECHA!$E$2:$E$201,MATCH(1,(EXCEPCIONES_FECHA!$A$2:$A$201=$A1671)*(EXCEPCIONES_FECHA!$B$2:$B$201=$B1671),0)),IFERROR(INDEX(EXCEPCIONES_FECHA!$E$2:$E$201,MATCH(1,(EXCEPCIONES_FECHA!$A$2:$A$201=$A1671)*(EXCEPCIONES_FECHA!$B$2:$B$201=""),0)),IFERROR(INDEX(IF($I1671="FIN",HISTORIAL_HORARIOS!$K$2:$K$201,HISTORIAL_HORARIOS!$G$2:$G$201),MATCH(1,(HISTORIAL_HORARIOS!$A$2:$A$201=$B1671)*(HISTORIAL_HORARIOS!$C$2:$C$201&lt;=$A1671)*(HISTORIAL_HORARIOS!$D$2:$D$201&gt;=$A1671),0)),INDEX(IF($I1671="FIN",PERSONAL!$K$2:$K$80,PERSONAL!$G$2:$G$80),MATCH($B1671,PERSONAL!$A$2:$A$80,0)))))</f>
        <v/>
      </c>
      <c r="O1671" s="53">
        <f t="array" ref="O1671">IFERROR(INDEX(EXCEPCIONES_FECHA!$F$2:$F$201,MATCH(1,(EXCEPCIONES_FECHA!$A$2:$A$201=$A1671)*(EXCEPCIONES_FECHA!$B$2:$B$201=$B1671),0)),IFERROR(INDEX(EXCEPCIONES_FECHA!$F$2:$F$201,MATCH(1,(EXCEPCIONES_FECHA!$A$2:$A$201=$A1671)*(EXCEPCIONES_FECHA!$B$2:$B$201=""),0)),IFERROR(INDEX(IF($I1671="FIN",HISTORIAL_HORARIOS!$L$2:$L$201,HISTORIAL_HORARIOS!$H$2:$H$201),MATCH(1,(HISTORIAL_HORARIOS!$A$2:$A$201=$B1671)*(HISTORIAL_HORARIOS!$C$2:$C$201&lt;=$A1671)*(HISTORIAL_HORARIOS!$D$2:$D$201&gt;=$A1671),0)),INDEX(IF($I1671="FIN",PERSONAL!$L$2:$L$80,PERSONAL!$H$2:$H$80),MATCH($B1671,PERSONAL!$A$2:$A$80,0)))))</f>
        <v/>
      </c>
    </row>
    <row r="1672" ht="15" customHeight="1" s="58">
      <c r="A1672" s="40" t="n"/>
      <c r="B1672" s="38" t="n"/>
      <c r="C1672" s="40" t="n"/>
      <c r="D1672" s="40" t="n"/>
      <c r="E1672" s="34">
        <f t="array" ref="E1672">IF($B1672="","",IFERROR(INDEX(PERSONAL!$B$2:$B$80,MATCH($B1672,PERSONAL!$A$2:$A$80,0)),"NO EXISTE"))</f>
        <v/>
      </c>
      <c r="F1672" s="34">
        <f t="array" ref="F1672">IF($B1672="","",IFERROR(INDEX(PERSONAL!$C$2:$C$80,MATCH($B1672,PERSONAL!$A$2:$A$80,0)),""))</f>
        <v/>
      </c>
      <c r="G1672" s="34">
        <f>IF($A1672="","",CHOOSE(WEEKDAY($A1672,2),"LUNES","MARTES","MIÉRCOLES","JUEVES","VIERNES","SÁBADO","DOMINGO"))</f>
        <v/>
      </c>
      <c r="H1672" s="34">
        <f>IF($A1672="","",CHOOSE(MONTH($A1672),"ENERO","FEBRERO","MARZO","ABRIL","MAYO","JUNIO","JULIO","AGOSTO","SEPTIEMBRE","OCTUBRE","NOVIEMBRE","DICIEMBRE"))</f>
        <v/>
      </c>
      <c r="I1672" s="34">
        <f>IF($A1672="","",IF(OR($G1672="SÁBADO",$G1672="DOMINGO"),"FIN","LV"))</f>
        <v/>
      </c>
      <c r="J1672" s="34">
        <f>IF(OR($A1672="",$B1672=""),"",IF($L1672&lt;&gt;"",UPPER($L1672),IF($C1672="","FALTA",IFERROR(IF($C1672&gt;=$O1672,"ROJO FUERTE",IF($C1672&gt;=$N1672,"ROJO",IF($C1672&gt;=$M1672,"AMARILLO","VERDE"))),"REVISAR"))))</f>
        <v/>
      </c>
      <c r="K1672" s="36">
        <f>IF(OR($C1672="",$D1672=""),"",IF($D1672&gt;=$C1672,($D1672-$C1672)*24,(1-$C1672+$D1672)*24))</f>
        <v/>
      </c>
      <c r="L1672" s="34" t="n"/>
      <c r="M1672" s="53">
        <f t="array" ref="M1672">IFERROR(INDEX(EXCEPCIONES_FECHA!$D$2:$D$201,MATCH(1,(EXCEPCIONES_FECHA!$A$2:$A$201=$A1672)*(EXCEPCIONES_FECHA!$B$2:$B$201=$B1672),0)),IFERROR(INDEX(EXCEPCIONES_FECHA!$D$2:$D$201,MATCH(1,(EXCEPCIONES_FECHA!$A$2:$A$201=$A1672)*(EXCEPCIONES_FECHA!$B$2:$B$201=""),0)),IFERROR(INDEX(IF($I1672="FIN",HISTORIAL_HORARIOS!$J$2:$J$201,HISTORIAL_HORARIOS!$F$2:$F$201),MATCH(1,(HISTORIAL_HORARIOS!$A$2:$A$201=$B1672)*(HISTORIAL_HORARIOS!$C$2:$C$201&lt;=$A1672)*(HISTORIAL_HORARIOS!$D$2:$D$201&gt;=$A1672),0)),INDEX(IF($I1672="FIN",PERSONAL!$J$2:$J$80,PERSONAL!$F$2:$F$80),MATCH($B1672,PERSONAL!$A$2:$A$80,0)))))</f>
        <v/>
      </c>
      <c r="N1672" s="53">
        <f t="array" ref="N1672">IFERROR(INDEX(EXCEPCIONES_FECHA!$E$2:$E$201,MATCH(1,(EXCEPCIONES_FECHA!$A$2:$A$201=$A1672)*(EXCEPCIONES_FECHA!$B$2:$B$201=$B1672),0)),IFERROR(INDEX(EXCEPCIONES_FECHA!$E$2:$E$201,MATCH(1,(EXCEPCIONES_FECHA!$A$2:$A$201=$A1672)*(EXCEPCIONES_FECHA!$B$2:$B$201=""),0)),IFERROR(INDEX(IF($I1672="FIN",HISTORIAL_HORARIOS!$K$2:$K$201,HISTORIAL_HORARIOS!$G$2:$G$201),MATCH(1,(HISTORIAL_HORARIOS!$A$2:$A$201=$B1672)*(HISTORIAL_HORARIOS!$C$2:$C$201&lt;=$A1672)*(HISTORIAL_HORARIOS!$D$2:$D$201&gt;=$A1672),0)),INDEX(IF($I1672="FIN",PERSONAL!$K$2:$K$80,PERSONAL!$G$2:$G$80),MATCH($B1672,PERSONAL!$A$2:$A$80,0)))))</f>
        <v/>
      </c>
      <c r="O1672" s="53">
        <f t="array" ref="O1672">IFERROR(INDEX(EXCEPCIONES_FECHA!$F$2:$F$201,MATCH(1,(EXCEPCIONES_FECHA!$A$2:$A$201=$A1672)*(EXCEPCIONES_FECHA!$B$2:$B$201=$B1672),0)),IFERROR(INDEX(EXCEPCIONES_FECHA!$F$2:$F$201,MATCH(1,(EXCEPCIONES_FECHA!$A$2:$A$201=$A1672)*(EXCEPCIONES_FECHA!$B$2:$B$201=""),0)),IFERROR(INDEX(IF($I1672="FIN",HISTORIAL_HORARIOS!$L$2:$L$201,HISTORIAL_HORARIOS!$H$2:$H$201),MATCH(1,(HISTORIAL_HORARIOS!$A$2:$A$201=$B1672)*(HISTORIAL_HORARIOS!$C$2:$C$201&lt;=$A1672)*(HISTORIAL_HORARIOS!$D$2:$D$201&gt;=$A1672),0)),INDEX(IF($I1672="FIN",PERSONAL!$L$2:$L$80,PERSONAL!$H$2:$H$80),MATCH($B1672,PERSONAL!$A$2:$A$80,0)))))</f>
        <v/>
      </c>
    </row>
    <row r="1673" ht="15" customHeight="1" s="58">
      <c r="A1673" s="40" t="n"/>
      <c r="B1673" s="38" t="n"/>
      <c r="C1673" s="40" t="n"/>
      <c r="D1673" s="40" t="n"/>
      <c r="E1673" s="34">
        <f t="array" ref="E1673">IF($B1673="","",IFERROR(INDEX(PERSONAL!$B$2:$B$80,MATCH($B1673,PERSONAL!$A$2:$A$80,0)),"NO EXISTE"))</f>
        <v/>
      </c>
      <c r="F1673" s="34">
        <f t="array" ref="F1673">IF($B1673="","",IFERROR(INDEX(PERSONAL!$C$2:$C$80,MATCH($B1673,PERSONAL!$A$2:$A$80,0)),""))</f>
        <v/>
      </c>
      <c r="G1673" s="34">
        <f>IF($A1673="","",CHOOSE(WEEKDAY($A1673,2),"LUNES","MARTES","MIÉRCOLES","JUEVES","VIERNES","SÁBADO","DOMINGO"))</f>
        <v/>
      </c>
      <c r="H1673" s="34">
        <f>IF($A1673="","",CHOOSE(MONTH($A1673),"ENERO","FEBRERO","MARZO","ABRIL","MAYO","JUNIO","JULIO","AGOSTO","SEPTIEMBRE","OCTUBRE","NOVIEMBRE","DICIEMBRE"))</f>
        <v/>
      </c>
      <c r="I1673" s="34">
        <f>IF($A1673="","",IF(OR($G1673="SÁBADO",$G1673="DOMINGO"),"FIN","LV"))</f>
        <v/>
      </c>
      <c r="J1673" s="34">
        <f>IF(OR($A1673="",$B1673=""),"",IF($L1673&lt;&gt;"",UPPER($L1673),IF($C1673="","FALTA",IFERROR(IF($C1673&gt;=$O1673,"ROJO FUERTE",IF($C1673&gt;=$N1673,"ROJO",IF($C1673&gt;=$M1673,"AMARILLO","VERDE"))),"REVISAR"))))</f>
        <v/>
      </c>
      <c r="K1673" s="36">
        <f>IF(OR($C1673="",$D1673=""),"",IF($D1673&gt;=$C1673,($D1673-$C1673)*24,(1-$C1673+$D1673)*24))</f>
        <v/>
      </c>
      <c r="L1673" s="34" t="n"/>
      <c r="M1673" s="53">
        <f t="array" ref="M1673">IFERROR(INDEX(EXCEPCIONES_FECHA!$D$2:$D$201,MATCH(1,(EXCEPCIONES_FECHA!$A$2:$A$201=$A1673)*(EXCEPCIONES_FECHA!$B$2:$B$201=$B1673),0)),IFERROR(INDEX(EXCEPCIONES_FECHA!$D$2:$D$201,MATCH(1,(EXCEPCIONES_FECHA!$A$2:$A$201=$A1673)*(EXCEPCIONES_FECHA!$B$2:$B$201=""),0)),IFERROR(INDEX(IF($I1673="FIN",HISTORIAL_HORARIOS!$J$2:$J$201,HISTORIAL_HORARIOS!$F$2:$F$201),MATCH(1,(HISTORIAL_HORARIOS!$A$2:$A$201=$B1673)*(HISTORIAL_HORARIOS!$C$2:$C$201&lt;=$A1673)*(HISTORIAL_HORARIOS!$D$2:$D$201&gt;=$A1673),0)),INDEX(IF($I1673="FIN",PERSONAL!$J$2:$J$80,PERSONAL!$F$2:$F$80),MATCH($B1673,PERSONAL!$A$2:$A$80,0)))))</f>
        <v/>
      </c>
      <c r="N1673" s="53">
        <f t="array" ref="N1673">IFERROR(INDEX(EXCEPCIONES_FECHA!$E$2:$E$201,MATCH(1,(EXCEPCIONES_FECHA!$A$2:$A$201=$A1673)*(EXCEPCIONES_FECHA!$B$2:$B$201=$B1673),0)),IFERROR(INDEX(EXCEPCIONES_FECHA!$E$2:$E$201,MATCH(1,(EXCEPCIONES_FECHA!$A$2:$A$201=$A1673)*(EXCEPCIONES_FECHA!$B$2:$B$201=""),0)),IFERROR(INDEX(IF($I1673="FIN",HISTORIAL_HORARIOS!$K$2:$K$201,HISTORIAL_HORARIOS!$G$2:$G$201),MATCH(1,(HISTORIAL_HORARIOS!$A$2:$A$201=$B1673)*(HISTORIAL_HORARIOS!$C$2:$C$201&lt;=$A1673)*(HISTORIAL_HORARIOS!$D$2:$D$201&gt;=$A1673),0)),INDEX(IF($I1673="FIN",PERSONAL!$K$2:$K$80,PERSONAL!$G$2:$G$80),MATCH($B1673,PERSONAL!$A$2:$A$80,0)))))</f>
        <v/>
      </c>
      <c r="O1673" s="53">
        <f t="array" ref="O1673">IFERROR(INDEX(EXCEPCIONES_FECHA!$F$2:$F$201,MATCH(1,(EXCEPCIONES_FECHA!$A$2:$A$201=$A1673)*(EXCEPCIONES_FECHA!$B$2:$B$201=$B1673),0)),IFERROR(INDEX(EXCEPCIONES_FECHA!$F$2:$F$201,MATCH(1,(EXCEPCIONES_FECHA!$A$2:$A$201=$A1673)*(EXCEPCIONES_FECHA!$B$2:$B$201=""),0)),IFERROR(INDEX(IF($I1673="FIN",HISTORIAL_HORARIOS!$L$2:$L$201,HISTORIAL_HORARIOS!$H$2:$H$201),MATCH(1,(HISTORIAL_HORARIOS!$A$2:$A$201=$B1673)*(HISTORIAL_HORARIOS!$C$2:$C$201&lt;=$A1673)*(HISTORIAL_HORARIOS!$D$2:$D$201&gt;=$A1673),0)),INDEX(IF($I1673="FIN",PERSONAL!$L$2:$L$80,PERSONAL!$H$2:$H$80),MATCH($B1673,PERSONAL!$A$2:$A$80,0)))))</f>
        <v/>
      </c>
    </row>
    <row r="1674" ht="15" customHeight="1" s="58">
      <c r="A1674" s="40" t="n"/>
      <c r="B1674" s="38" t="n"/>
      <c r="C1674" s="40" t="n"/>
      <c r="D1674" s="40" t="n"/>
      <c r="E1674" s="34">
        <f t="array" ref="E1674">IF($B1674="","",IFERROR(INDEX(PERSONAL!$B$2:$B$80,MATCH($B1674,PERSONAL!$A$2:$A$80,0)),"NO EXISTE"))</f>
        <v/>
      </c>
      <c r="F1674" s="34">
        <f t="array" ref="F1674">IF($B1674="","",IFERROR(INDEX(PERSONAL!$C$2:$C$80,MATCH($B1674,PERSONAL!$A$2:$A$80,0)),""))</f>
        <v/>
      </c>
      <c r="G1674" s="34">
        <f>IF($A1674="","",CHOOSE(WEEKDAY($A1674,2),"LUNES","MARTES","MIÉRCOLES","JUEVES","VIERNES","SÁBADO","DOMINGO"))</f>
        <v/>
      </c>
      <c r="H1674" s="34">
        <f>IF($A1674="","",CHOOSE(MONTH($A1674),"ENERO","FEBRERO","MARZO","ABRIL","MAYO","JUNIO","JULIO","AGOSTO","SEPTIEMBRE","OCTUBRE","NOVIEMBRE","DICIEMBRE"))</f>
        <v/>
      </c>
      <c r="I1674" s="34">
        <f>IF($A1674="","",IF(OR($G1674="SÁBADO",$G1674="DOMINGO"),"FIN","LV"))</f>
        <v/>
      </c>
      <c r="J1674" s="34">
        <f>IF(OR($A1674="",$B1674=""),"",IF($L1674&lt;&gt;"",UPPER($L1674),IF($C1674="","FALTA",IFERROR(IF($C1674&gt;=$O1674,"ROJO FUERTE",IF($C1674&gt;=$N1674,"ROJO",IF($C1674&gt;=$M1674,"AMARILLO","VERDE"))),"REVISAR"))))</f>
        <v/>
      </c>
      <c r="K1674" s="36">
        <f>IF(OR($C1674="",$D1674=""),"",IF($D1674&gt;=$C1674,($D1674-$C1674)*24,(1-$C1674+$D1674)*24))</f>
        <v/>
      </c>
      <c r="L1674" s="34" t="n"/>
      <c r="M1674" s="53">
        <f t="array" ref="M1674">IFERROR(INDEX(EXCEPCIONES_FECHA!$D$2:$D$201,MATCH(1,(EXCEPCIONES_FECHA!$A$2:$A$201=$A1674)*(EXCEPCIONES_FECHA!$B$2:$B$201=$B1674),0)),IFERROR(INDEX(EXCEPCIONES_FECHA!$D$2:$D$201,MATCH(1,(EXCEPCIONES_FECHA!$A$2:$A$201=$A1674)*(EXCEPCIONES_FECHA!$B$2:$B$201=""),0)),IFERROR(INDEX(IF($I1674="FIN",HISTORIAL_HORARIOS!$J$2:$J$201,HISTORIAL_HORARIOS!$F$2:$F$201),MATCH(1,(HISTORIAL_HORARIOS!$A$2:$A$201=$B1674)*(HISTORIAL_HORARIOS!$C$2:$C$201&lt;=$A1674)*(HISTORIAL_HORARIOS!$D$2:$D$201&gt;=$A1674),0)),INDEX(IF($I1674="FIN",PERSONAL!$J$2:$J$80,PERSONAL!$F$2:$F$80),MATCH($B1674,PERSONAL!$A$2:$A$80,0)))))</f>
        <v/>
      </c>
      <c r="N1674" s="53">
        <f t="array" ref="N1674">IFERROR(INDEX(EXCEPCIONES_FECHA!$E$2:$E$201,MATCH(1,(EXCEPCIONES_FECHA!$A$2:$A$201=$A1674)*(EXCEPCIONES_FECHA!$B$2:$B$201=$B1674),0)),IFERROR(INDEX(EXCEPCIONES_FECHA!$E$2:$E$201,MATCH(1,(EXCEPCIONES_FECHA!$A$2:$A$201=$A1674)*(EXCEPCIONES_FECHA!$B$2:$B$201=""),0)),IFERROR(INDEX(IF($I1674="FIN",HISTORIAL_HORARIOS!$K$2:$K$201,HISTORIAL_HORARIOS!$G$2:$G$201),MATCH(1,(HISTORIAL_HORARIOS!$A$2:$A$201=$B1674)*(HISTORIAL_HORARIOS!$C$2:$C$201&lt;=$A1674)*(HISTORIAL_HORARIOS!$D$2:$D$201&gt;=$A1674),0)),INDEX(IF($I1674="FIN",PERSONAL!$K$2:$K$80,PERSONAL!$G$2:$G$80),MATCH($B1674,PERSONAL!$A$2:$A$80,0)))))</f>
        <v/>
      </c>
      <c r="O1674" s="53">
        <f t="array" ref="O1674">IFERROR(INDEX(EXCEPCIONES_FECHA!$F$2:$F$201,MATCH(1,(EXCEPCIONES_FECHA!$A$2:$A$201=$A1674)*(EXCEPCIONES_FECHA!$B$2:$B$201=$B1674),0)),IFERROR(INDEX(EXCEPCIONES_FECHA!$F$2:$F$201,MATCH(1,(EXCEPCIONES_FECHA!$A$2:$A$201=$A1674)*(EXCEPCIONES_FECHA!$B$2:$B$201=""),0)),IFERROR(INDEX(IF($I1674="FIN",HISTORIAL_HORARIOS!$L$2:$L$201,HISTORIAL_HORARIOS!$H$2:$H$201),MATCH(1,(HISTORIAL_HORARIOS!$A$2:$A$201=$B1674)*(HISTORIAL_HORARIOS!$C$2:$C$201&lt;=$A1674)*(HISTORIAL_HORARIOS!$D$2:$D$201&gt;=$A1674),0)),INDEX(IF($I1674="FIN",PERSONAL!$L$2:$L$80,PERSONAL!$H$2:$H$80),MATCH($B1674,PERSONAL!$A$2:$A$80,0)))))</f>
        <v/>
      </c>
    </row>
    <row r="1675" ht="15" customHeight="1" s="58">
      <c r="A1675" s="40" t="n"/>
      <c r="B1675" s="38" t="n"/>
      <c r="C1675" s="40" t="n"/>
      <c r="D1675" s="40" t="n"/>
      <c r="E1675" s="34">
        <f t="array" ref="E1675">IF($B1675="","",IFERROR(INDEX(PERSONAL!$B$2:$B$80,MATCH($B1675,PERSONAL!$A$2:$A$80,0)),"NO EXISTE"))</f>
        <v/>
      </c>
      <c r="F1675" s="34">
        <f t="array" ref="F1675">IF($B1675="","",IFERROR(INDEX(PERSONAL!$C$2:$C$80,MATCH($B1675,PERSONAL!$A$2:$A$80,0)),""))</f>
        <v/>
      </c>
      <c r="G1675" s="34">
        <f>IF($A1675="","",CHOOSE(WEEKDAY($A1675,2),"LUNES","MARTES","MIÉRCOLES","JUEVES","VIERNES","SÁBADO","DOMINGO"))</f>
        <v/>
      </c>
      <c r="H1675" s="34">
        <f>IF($A1675="","",CHOOSE(MONTH($A1675),"ENERO","FEBRERO","MARZO","ABRIL","MAYO","JUNIO","JULIO","AGOSTO","SEPTIEMBRE","OCTUBRE","NOVIEMBRE","DICIEMBRE"))</f>
        <v/>
      </c>
      <c r="I1675" s="34">
        <f>IF($A1675="","",IF(OR($G1675="SÁBADO",$G1675="DOMINGO"),"FIN","LV"))</f>
        <v/>
      </c>
      <c r="J1675" s="34">
        <f>IF(OR($A1675="",$B1675=""),"",IF($L1675&lt;&gt;"",UPPER($L1675),IF($C1675="","FALTA",IFERROR(IF($C1675&gt;=$O1675,"ROJO FUERTE",IF($C1675&gt;=$N1675,"ROJO",IF($C1675&gt;=$M1675,"AMARILLO","VERDE"))),"REVISAR"))))</f>
        <v/>
      </c>
      <c r="K1675" s="36">
        <f>IF(OR($C1675="",$D1675=""),"",IF($D1675&gt;=$C1675,($D1675-$C1675)*24,(1-$C1675+$D1675)*24))</f>
        <v/>
      </c>
      <c r="L1675" s="34" t="n"/>
      <c r="M1675" s="53">
        <f t="array" ref="M1675">IFERROR(INDEX(EXCEPCIONES_FECHA!$D$2:$D$201,MATCH(1,(EXCEPCIONES_FECHA!$A$2:$A$201=$A1675)*(EXCEPCIONES_FECHA!$B$2:$B$201=$B1675),0)),IFERROR(INDEX(EXCEPCIONES_FECHA!$D$2:$D$201,MATCH(1,(EXCEPCIONES_FECHA!$A$2:$A$201=$A1675)*(EXCEPCIONES_FECHA!$B$2:$B$201=""),0)),IFERROR(INDEX(IF($I1675="FIN",HISTORIAL_HORARIOS!$J$2:$J$201,HISTORIAL_HORARIOS!$F$2:$F$201),MATCH(1,(HISTORIAL_HORARIOS!$A$2:$A$201=$B1675)*(HISTORIAL_HORARIOS!$C$2:$C$201&lt;=$A1675)*(HISTORIAL_HORARIOS!$D$2:$D$201&gt;=$A1675),0)),INDEX(IF($I1675="FIN",PERSONAL!$J$2:$J$80,PERSONAL!$F$2:$F$80),MATCH($B1675,PERSONAL!$A$2:$A$80,0)))))</f>
        <v/>
      </c>
      <c r="N1675" s="53">
        <f t="array" ref="N1675">IFERROR(INDEX(EXCEPCIONES_FECHA!$E$2:$E$201,MATCH(1,(EXCEPCIONES_FECHA!$A$2:$A$201=$A1675)*(EXCEPCIONES_FECHA!$B$2:$B$201=$B1675),0)),IFERROR(INDEX(EXCEPCIONES_FECHA!$E$2:$E$201,MATCH(1,(EXCEPCIONES_FECHA!$A$2:$A$201=$A1675)*(EXCEPCIONES_FECHA!$B$2:$B$201=""),0)),IFERROR(INDEX(IF($I1675="FIN",HISTORIAL_HORARIOS!$K$2:$K$201,HISTORIAL_HORARIOS!$G$2:$G$201),MATCH(1,(HISTORIAL_HORARIOS!$A$2:$A$201=$B1675)*(HISTORIAL_HORARIOS!$C$2:$C$201&lt;=$A1675)*(HISTORIAL_HORARIOS!$D$2:$D$201&gt;=$A1675),0)),INDEX(IF($I1675="FIN",PERSONAL!$K$2:$K$80,PERSONAL!$G$2:$G$80),MATCH($B1675,PERSONAL!$A$2:$A$80,0)))))</f>
        <v/>
      </c>
      <c r="O1675" s="53">
        <f t="array" ref="O1675">IFERROR(INDEX(EXCEPCIONES_FECHA!$F$2:$F$201,MATCH(1,(EXCEPCIONES_FECHA!$A$2:$A$201=$A1675)*(EXCEPCIONES_FECHA!$B$2:$B$201=$B1675),0)),IFERROR(INDEX(EXCEPCIONES_FECHA!$F$2:$F$201,MATCH(1,(EXCEPCIONES_FECHA!$A$2:$A$201=$A1675)*(EXCEPCIONES_FECHA!$B$2:$B$201=""),0)),IFERROR(INDEX(IF($I1675="FIN",HISTORIAL_HORARIOS!$L$2:$L$201,HISTORIAL_HORARIOS!$H$2:$H$201),MATCH(1,(HISTORIAL_HORARIOS!$A$2:$A$201=$B1675)*(HISTORIAL_HORARIOS!$C$2:$C$201&lt;=$A1675)*(HISTORIAL_HORARIOS!$D$2:$D$201&gt;=$A1675),0)),INDEX(IF($I1675="FIN",PERSONAL!$L$2:$L$80,PERSONAL!$H$2:$H$80),MATCH($B1675,PERSONAL!$A$2:$A$80,0)))))</f>
        <v/>
      </c>
    </row>
    <row r="1676" ht="15" customHeight="1" s="58">
      <c r="A1676" s="40" t="n"/>
      <c r="B1676" s="38" t="n"/>
      <c r="C1676" s="40" t="n"/>
      <c r="D1676" s="40" t="n"/>
      <c r="E1676" s="34">
        <f t="array" ref="E1676">IF($B1676="","",IFERROR(INDEX(PERSONAL!$B$2:$B$80,MATCH($B1676,PERSONAL!$A$2:$A$80,0)),"NO EXISTE"))</f>
        <v/>
      </c>
      <c r="F1676" s="34">
        <f t="array" ref="F1676">IF($B1676="","",IFERROR(INDEX(PERSONAL!$C$2:$C$80,MATCH($B1676,PERSONAL!$A$2:$A$80,0)),""))</f>
        <v/>
      </c>
      <c r="G1676" s="34">
        <f>IF($A1676="","",CHOOSE(WEEKDAY($A1676,2),"LUNES","MARTES","MIÉRCOLES","JUEVES","VIERNES","SÁBADO","DOMINGO"))</f>
        <v/>
      </c>
      <c r="H1676" s="34">
        <f>IF($A1676="","",CHOOSE(MONTH($A1676),"ENERO","FEBRERO","MARZO","ABRIL","MAYO","JUNIO","JULIO","AGOSTO","SEPTIEMBRE","OCTUBRE","NOVIEMBRE","DICIEMBRE"))</f>
        <v/>
      </c>
      <c r="I1676" s="34">
        <f>IF($A1676="","",IF(OR($G1676="SÁBADO",$G1676="DOMINGO"),"FIN","LV"))</f>
        <v/>
      </c>
      <c r="J1676" s="34">
        <f>IF(OR($A1676="",$B1676=""),"",IF($L1676&lt;&gt;"",UPPER($L1676),IF($C1676="","FALTA",IFERROR(IF($C1676&gt;=$O1676,"ROJO FUERTE",IF($C1676&gt;=$N1676,"ROJO",IF($C1676&gt;=$M1676,"AMARILLO","VERDE"))),"REVISAR"))))</f>
        <v/>
      </c>
      <c r="K1676" s="36">
        <f>IF(OR($C1676="",$D1676=""),"",IF($D1676&gt;=$C1676,($D1676-$C1676)*24,(1-$C1676+$D1676)*24))</f>
        <v/>
      </c>
      <c r="L1676" s="34" t="n"/>
      <c r="M1676" s="53">
        <f t="array" ref="M1676">IFERROR(INDEX(EXCEPCIONES_FECHA!$D$2:$D$201,MATCH(1,(EXCEPCIONES_FECHA!$A$2:$A$201=$A1676)*(EXCEPCIONES_FECHA!$B$2:$B$201=$B1676),0)),IFERROR(INDEX(EXCEPCIONES_FECHA!$D$2:$D$201,MATCH(1,(EXCEPCIONES_FECHA!$A$2:$A$201=$A1676)*(EXCEPCIONES_FECHA!$B$2:$B$201=""),0)),IFERROR(INDEX(IF($I1676="FIN",HISTORIAL_HORARIOS!$J$2:$J$201,HISTORIAL_HORARIOS!$F$2:$F$201),MATCH(1,(HISTORIAL_HORARIOS!$A$2:$A$201=$B1676)*(HISTORIAL_HORARIOS!$C$2:$C$201&lt;=$A1676)*(HISTORIAL_HORARIOS!$D$2:$D$201&gt;=$A1676),0)),INDEX(IF($I1676="FIN",PERSONAL!$J$2:$J$80,PERSONAL!$F$2:$F$80),MATCH($B1676,PERSONAL!$A$2:$A$80,0)))))</f>
        <v/>
      </c>
      <c r="N1676" s="53">
        <f t="array" ref="N1676">IFERROR(INDEX(EXCEPCIONES_FECHA!$E$2:$E$201,MATCH(1,(EXCEPCIONES_FECHA!$A$2:$A$201=$A1676)*(EXCEPCIONES_FECHA!$B$2:$B$201=$B1676),0)),IFERROR(INDEX(EXCEPCIONES_FECHA!$E$2:$E$201,MATCH(1,(EXCEPCIONES_FECHA!$A$2:$A$201=$A1676)*(EXCEPCIONES_FECHA!$B$2:$B$201=""),0)),IFERROR(INDEX(IF($I1676="FIN",HISTORIAL_HORARIOS!$K$2:$K$201,HISTORIAL_HORARIOS!$G$2:$G$201),MATCH(1,(HISTORIAL_HORARIOS!$A$2:$A$201=$B1676)*(HISTORIAL_HORARIOS!$C$2:$C$201&lt;=$A1676)*(HISTORIAL_HORARIOS!$D$2:$D$201&gt;=$A1676),0)),INDEX(IF($I1676="FIN",PERSONAL!$K$2:$K$80,PERSONAL!$G$2:$G$80),MATCH($B1676,PERSONAL!$A$2:$A$80,0)))))</f>
        <v/>
      </c>
      <c r="O1676" s="53">
        <f t="array" ref="O1676">IFERROR(INDEX(EXCEPCIONES_FECHA!$F$2:$F$201,MATCH(1,(EXCEPCIONES_FECHA!$A$2:$A$201=$A1676)*(EXCEPCIONES_FECHA!$B$2:$B$201=$B1676),0)),IFERROR(INDEX(EXCEPCIONES_FECHA!$F$2:$F$201,MATCH(1,(EXCEPCIONES_FECHA!$A$2:$A$201=$A1676)*(EXCEPCIONES_FECHA!$B$2:$B$201=""),0)),IFERROR(INDEX(IF($I1676="FIN",HISTORIAL_HORARIOS!$L$2:$L$201,HISTORIAL_HORARIOS!$H$2:$H$201),MATCH(1,(HISTORIAL_HORARIOS!$A$2:$A$201=$B1676)*(HISTORIAL_HORARIOS!$C$2:$C$201&lt;=$A1676)*(HISTORIAL_HORARIOS!$D$2:$D$201&gt;=$A1676),0)),INDEX(IF($I1676="FIN",PERSONAL!$L$2:$L$80,PERSONAL!$H$2:$H$80),MATCH($B1676,PERSONAL!$A$2:$A$80,0)))))</f>
        <v/>
      </c>
    </row>
    <row r="1677" ht="15" customHeight="1" s="58">
      <c r="A1677" s="40" t="n"/>
      <c r="B1677" s="38" t="n"/>
      <c r="C1677" s="40" t="n"/>
      <c r="D1677" s="40" t="n"/>
      <c r="E1677" s="34">
        <f t="array" ref="E1677">IF($B1677="","",IFERROR(INDEX(PERSONAL!$B$2:$B$80,MATCH($B1677,PERSONAL!$A$2:$A$80,0)),"NO EXISTE"))</f>
        <v/>
      </c>
      <c r="F1677" s="34">
        <f t="array" ref="F1677">IF($B1677="","",IFERROR(INDEX(PERSONAL!$C$2:$C$80,MATCH($B1677,PERSONAL!$A$2:$A$80,0)),""))</f>
        <v/>
      </c>
      <c r="G1677" s="34">
        <f>IF($A1677="","",CHOOSE(WEEKDAY($A1677,2),"LUNES","MARTES","MIÉRCOLES","JUEVES","VIERNES","SÁBADO","DOMINGO"))</f>
        <v/>
      </c>
      <c r="H1677" s="34">
        <f>IF($A1677="","",CHOOSE(MONTH($A1677),"ENERO","FEBRERO","MARZO","ABRIL","MAYO","JUNIO","JULIO","AGOSTO","SEPTIEMBRE","OCTUBRE","NOVIEMBRE","DICIEMBRE"))</f>
        <v/>
      </c>
      <c r="I1677" s="34">
        <f>IF($A1677="","",IF(OR($G1677="SÁBADO",$G1677="DOMINGO"),"FIN","LV"))</f>
        <v/>
      </c>
      <c r="J1677" s="34">
        <f>IF(OR($A1677="",$B1677=""),"",IF($L1677&lt;&gt;"",UPPER($L1677),IF($C1677="","FALTA",IFERROR(IF($C1677&gt;=$O1677,"ROJO FUERTE",IF($C1677&gt;=$N1677,"ROJO",IF($C1677&gt;=$M1677,"AMARILLO","VERDE"))),"REVISAR"))))</f>
        <v/>
      </c>
      <c r="K1677" s="36">
        <f>IF(OR($C1677="",$D1677=""),"",IF($D1677&gt;=$C1677,($D1677-$C1677)*24,(1-$C1677+$D1677)*24))</f>
        <v/>
      </c>
      <c r="L1677" s="34" t="n"/>
      <c r="M1677" s="53">
        <f t="array" ref="M1677">IFERROR(INDEX(EXCEPCIONES_FECHA!$D$2:$D$201,MATCH(1,(EXCEPCIONES_FECHA!$A$2:$A$201=$A1677)*(EXCEPCIONES_FECHA!$B$2:$B$201=$B1677),0)),IFERROR(INDEX(EXCEPCIONES_FECHA!$D$2:$D$201,MATCH(1,(EXCEPCIONES_FECHA!$A$2:$A$201=$A1677)*(EXCEPCIONES_FECHA!$B$2:$B$201=""),0)),IFERROR(INDEX(IF($I1677="FIN",HISTORIAL_HORARIOS!$J$2:$J$201,HISTORIAL_HORARIOS!$F$2:$F$201),MATCH(1,(HISTORIAL_HORARIOS!$A$2:$A$201=$B1677)*(HISTORIAL_HORARIOS!$C$2:$C$201&lt;=$A1677)*(HISTORIAL_HORARIOS!$D$2:$D$201&gt;=$A1677),0)),INDEX(IF($I1677="FIN",PERSONAL!$J$2:$J$80,PERSONAL!$F$2:$F$80),MATCH($B1677,PERSONAL!$A$2:$A$80,0)))))</f>
        <v/>
      </c>
      <c r="N1677" s="53">
        <f t="array" ref="N1677">IFERROR(INDEX(EXCEPCIONES_FECHA!$E$2:$E$201,MATCH(1,(EXCEPCIONES_FECHA!$A$2:$A$201=$A1677)*(EXCEPCIONES_FECHA!$B$2:$B$201=$B1677),0)),IFERROR(INDEX(EXCEPCIONES_FECHA!$E$2:$E$201,MATCH(1,(EXCEPCIONES_FECHA!$A$2:$A$201=$A1677)*(EXCEPCIONES_FECHA!$B$2:$B$201=""),0)),IFERROR(INDEX(IF($I1677="FIN",HISTORIAL_HORARIOS!$K$2:$K$201,HISTORIAL_HORARIOS!$G$2:$G$201),MATCH(1,(HISTORIAL_HORARIOS!$A$2:$A$201=$B1677)*(HISTORIAL_HORARIOS!$C$2:$C$201&lt;=$A1677)*(HISTORIAL_HORARIOS!$D$2:$D$201&gt;=$A1677),0)),INDEX(IF($I1677="FIN",PERSONAL!$K$2:$K$80,PERSONAL!$G$2:$G$80),MATCH($B1677,PERSONAL!$A$2:$A$80,0)))))</f>
        <v/>
      </c>
      <c r="O1677" s="53">
        <f t="array" ref="O1677">IFERROR(INDEX(EXCEPCIONES_FECHA!$F$2:$F$201,MATCH(1,(EXCEPCIONES_FECHA!$A$2:$A$201=$A1677)*(EXCEPCIONES_FECHA!$B$2:$B$201=$B1677),0)),IFERROR(INDEX(EXCEPCIONES_FECHA!$F$2:$F$201,MATCH(1,(EXCEPCIONES_FECHA!$A$2:$A$201=$A1677)*(EXCEPCIONES_FECHA!$B$2:$B$201=""),0)),IFERROR(INDEX(IF($I1677="FIN",HISTORIAL_HORARIOS!$L$2:$L$201,HISTORIAL_HORARIOS!$H$2:$H$201),MATCH(1,(HISTORIAL_HORARIOS!$A$2:$A$201=$B1677)*(HISTORIAL_HORARIOS!$C$2:$C$201&lt;=$A1677)*(HISTORIAL_HORARIOS!$D$2:$D$201&gt;=$A1677),0)),INDEX(IF($I1677="FIN",PERSONAL!$L$2:$L$80,PERSONAL!$H$2:$H$80),MATCH($B1677,PERSONAL!$A$2:$A$80,0)))))</f>
        <v/>
      </c>
    </row>
    <row r="1678" ht="15" customHeight="1" s="58">
      <c r="A1678" s="40" t="n"/>
      <c r="B1678" s="38" t="n"/>
      <c r="C1678" s="40" t="n"/>
      <c r="D1678" s="40" t="n"/>
      <c r="E1678" s="34">
        <f t="array" ref="E1678">IF($B1678="","",IFERROR(INDEX(PERSONAL!$B$2:$B$80,MATCH($B1678,PERSONAL!$A$2:$A$80,0)),"NO EXISTE"))</f>
        <v/>
      </c>
      <c r="F1678" s="34">
        <f t="array" ref="F1678">IF($B1678="","",IFERROR(INDEX(PERSONAL!$C$2:$C$80,MATCH($B1678,PERSONAL!$A$2:$A$80,0)),""))</f>
        <v/>
      </c>
      <c r="G1678" s="34">
        <f>IF($A1678="","",CHOOSE(WEEKDAY($A1678,2),"LUNES","MARTES","MIÉRCOLES","JUEVES","VIERNES","SÁBADO","DOMINGO"))</f>
        <v/>
      </c>
      <c r="H1678" s="34">
        <f>IF($A1678="","",CHOOSE(MONTH($A1678),"ENERO","FEBRERO","MARZO","ABRIL","MAYO","JUNIO","JULIO","AGOSTO","SEPTIEMBRE","OCTUBRE","NOVIEMBRE","DICIEMBRE"))</f>
        <v/>
      </c>
      <c r="I1678" s="34">
        <f>IF($A1678="","",IF(OR($G1678="SÁBADO",$G1678="DOMINGO"),"FIN","LV"))</f>
        <v/>
      </c>
      <c r="J1678" s="34">
        <f>IF(OR($A1678="",$B1678=""),"",IF($L1678&lt;&gt;"",UPPER($L1678),IF($C1678="","FALTA",IFERROR(IF($C1678&gt;=$O1678,"ROJO FUERTE",IF($C1678&gt;=$N1678,"ROJO",IF($C1678&gt;=$M1678,"AMARILLO","VERDE"))),"REVISAR"))))</f>
        <v/>
      </c>
      <c r="K1678" s="36">
        <f>IF(OR($C1678="",$D1678=""),"",IF($D1678&gt;=$C1678,($D1678-$C1678)*24,(1-$C1678+$D1678)*24))</f>
        <v/>
      </c>
      <c r="L1678" s="34" t="n"/>
      <c r="M1678" s="53">
        <f t="array" ref="M1678">IFERROR(INDEX(EXCEPCIONES_FECHA!$D$2:$D$201,MATCH(1,(EXCEPCIONES_FECHA!$A$2:$A$201=$A1678)*(EXCEPCIONES_FECHA!$B$2:$B$201=$B1678),0)),IFERROR(INDEX(EXCEPCIONES_FECHA!$D$2:$D$201,MATCH(1,(EXCEPCIONES_FECHA!$A$2:$A$201=$A1678)*(EXCEPCIONES_FECHA!$B$2:$B$201=""),0)),IFERROR(INDEX(IF($I1678="FIN",HISTORIAL_HORARIOS!$J$2:$J$201,HISTORIAL_HORARIOS!$F$2:$F$201),MATCH(1,(HISTORIAL_HORARIOS!$A$2:$A$201=$B1678)*(HISTORIAL_HORARIOS!$C$2:$C$201&lt;=$A1678)*(HISTORIAL_HORARIOS!$D$2:$D$201&gt;=$A1678),0)),INDEX(IF($I1678="FIN",PERSONAL!$J$2:$J$80,PERSONAL!$F$2:$F$80),MATCH($B1678,PERSONAL!$A$2:$A$80,0)))))</f>
        <v/>
      </c>
      <c r="N1678" s="53">
        <f t="array" ref="N1678">IFERROR(INDEX(EXCEPCIONES_FECHA!$E$2:$E$201,MATCH(1,(EXCEPCIONES_FECHA!$A$2:$A$201=$A1678)*(EXCEPCIONES_FECHA!$B$2:$B$201=$B1678),0)),IFERROR(INDEX(EXCEPCIONES_FECHA!$E$2:$E$201,MATCH(1,(EXCEPCIONES_FECHA!$A$2:$A$201=$A1678)*(EXCEPCIONES_FECHA!$B$2:$B$201=""),0)),IFERROR(INDEX(IF($I1678="FIN",HISTORIAL_HORARIOS!$K$2:$K$201,HISTORIAL_HORARIOS!$G$2:$G$201),MATCH(1,(HISTORIAL_HORARIOS!$A$2:$A$201=$B1678)*(HISTORIAL_HORARIOS!$C$2:$C$201&lt;=$A1678)*(HISTORIAL_HORARIOS!$D$2:$D$201&gt;=$A1678),0)),INDEX(IF($I1678="FIN",PERSONAL!$K$2:$K$80,PERSONAL!$G$2:$G$80),MATCH($B1678,PERSONAL!$A$2:$A$80,0)))))</f>
        <v/>
      </c>
      <c r="O1678" s="53">
        <f t="array" ref="O1678">IFERROR(INDEX(EXCEPCIONES_FECHA!$F$2:$F$201,MATCH(1,(EXCEPCIONES_FECHA!$A$2:$A$201=$A1678)*(EXCEPCIONES_FECHA!$B$2:$B$201=$B1678),0)),IFERROR(INDEX(EXCEPCIONES_FECHA!$F$2:$F$201,MATCH(1,(EXCEPCIONES_FECHA!$A$2:$A$201=$A1678)*(EXCEPCIONES_FECHA!$B$2:$B$201=""),0)),IFERROR(INDEX(IF($I1678="FIN",HISTORIAL_HORARIOS!$L$2:$L$201,HISTORIAL_HORARIOS!$H$2:$H$201),MATCH(1,(HISTORIAL_HORARIOS!$A$2:$A$201=$B1678)*(HISTORIAL_HORARIOS!$C$2:$C$201&lt;=$A1678)*(HISTORIAL_HORARIOS!$D$2:$D$201&gt;=$A1678),0)),INDEX(IF($I1678="FIN",PERSONAL!$L$2:$L$80,PERSONAL!$H$2:$H$80),MATCH($B1678,PERSONAL!$A$2:$A$80,0)))))</f>
        <v/>
      </c>
    </row>
    <row r="1679" ht="15" customHeight="1" s="58">
      <c r="A1679" s="40" t="n"/>
      <c r="B1679" s="38" t="n"/>
      <c r="C1679" s="40" t="n"/>
      <c r="D1679" s="40" t="n"/>
      <c r="E1679" s="34">
        <f t="array" ref="E1679">IF($B1679="","",IFERROR(INDEX(PERSONAL!$B$2:$B$80,MATCH($B1679,PERSONAL!$A$2:$A$80,0)),"NO EXISTE"))</f>
        <v/>
      </c>
      <c r="F1679" s="34">
        <f t="array" ref="F1679">IF($B1679="","",IFERROR(INDEX(PERSONAL!$C$2:$C$80,MATCH($B1679,PERSONAL!$A$2:$A$80,0)),""))</f>
        <v/>
      </c>
      <c r="G1679" s="34">
        <f>IF($A1679="","",CHOOSE(WEEKDAY($A1679,2),"LUNES","MARTES","MIÉRCOLES","JUEVES","VIERNES","SÁBADO","DOMINGO"))</f>
        <v/>
      </c>
      <c r="H1679" s="34">
        <f>IF($A1679="","",CHOOSE(MONTH($A1679),"ENERO","FEBRERO","MARZO","ABRIL","MAYO","JUNIO","JULIO","AGOSTO","SEPTIEMBRE","OCTUBRE","NOVIEMBRE","DICIEMBRE"))</f>
        <v/>
      </c>
      <c r="I1679" s="34">
        <f>IF($A1679="","",IF(OR($G1679="SÁBADO",$G1679="DOMINGO"),"FIN","LV"))</f>
        <v/>
      </c>
      <c r="J1679" s="34">
        <f>IF(OR($A1679="",$B1679=""),"",IF($L1679&lt;&gt;"",UPPER($L1679),IF($C1679="","FALTA",IFERROR(IF($C1679&gt;=$O1679,"ROJO FUERTE",IF($C1679&gt;=$N1679,"ROJO",IF($C1679&gt;=$M1679,"AMARILLO","VERDE"))),"REVISAR"))))</f>
        <v/>
      </c>
      <c r="K1679" s="36">
        <f>IF(OR($C1679="",$D1679=""),"",IF($D1679&gt;=$C1679,($D1679-$C1679)*24,(1-$C1679+$D1679)*24))</f>
        <v/>
      </c>
      <c r="L1679" s="34" t="n"/>
      <c r="M1679" s="53">
        <f t="array" ref="M1679">IFERROR(INDEX(EXCEPCIONES_FECHA!$D$2:$D$201,MATCH(1,(EXCEPCIONES_FECHA!$A$2:$A$201=$A1679)*(EXCEPCIONES_FECHA!$B$2:$B$201=$B1679),0)),IFERROR(INDEX(EXCEPCIONES_FECHA!$D$2:$D$201,MATCH(1,(EXCEPCIONES_FECHA!$A$2:$A$201=$A1679)*(EXCEPCIONES_FECHA!$B$2:$B$201=""),0)),IFERROR(INDEX(IF($I1679="FIN",HISTORIAL_HORARIOS!$J$2:$J$201,HISTORIAL_HORARIOS!$F$2:$F$201),MATCH(1,(HISTORIAL_HORARIOS!$A$2:$A$201=$B1679)*(HISTORIAL_HORARIOS!$C$2:$C$201&lt;=$A1679)*(HISTORIAL_HORARIOS!$D$2:$D$201&gt;=$A1679),0)),INDEX(IF($I1679="FIN",PERSONAL!$J$2:$J$80,PERSONAL!$F$2:$F$80),MATCH($B1679,PERSONAL!$A$2:$A$80,0)))))</f>
        <v/>
      </c>
      <c r="N1679" s="53">
        <f t="array" ref="N1679">IFERROR(INDEX(EXCEPCIONES_FECHA!$E$2:$E$201,MATCH(1,(EXCEPCIONES_FECHA!$A$2:$A$201=$A1679)*(EXCEPCIONES_FECHA!$B$2:$B$201=$B1679),0)),IFERROR(INDEX(EXCEPCIONES_FECHA!$E$2:$E$201,MATCH(1,(EXCEPCIONES_FECHA!$A$2:$A$201=$A1679)*(EXCEPCIONES_FECHA!$B$2:$B$201=""),0)),IFERROR(INDEX(IF($I1679="FIN",HISTORIAL_HORARIOS!$K$2:$K$201,HISTORIAL_HORARIOS!$G$2:$G$201),MATCH(1,(HISTORIAL_HORARIOS!$A$2:$A$201=$B1679)*(HISTORIAL_HORARIOS!$C$2:$C$201&lt;=$A1679)*(HISTORIAL_HORARIOS!$D$2:$D$201&gt;=$A1679),0)),INDEX(IF($I1679="FIN",PERSONAL!$K$2:$K$80,PERSONAL!$G$2:$G$80),MATCH($B1679,PERSONAL!$A$2:$A$80,0)))))</f>
        <v/>
      </c>
      <c r="O1679" s="53">
        <f t="array" ref="O1679">IFERROR(INDEX(EXCEPCIONES_FECHA!$F$2:$F$201,MATCH(1,(EXCEPCIONES_FECHA!$A$2:$A$201=$A1679)*(EXCEPCIONES_FECHA!$B$2:$B$201=$B1679),0)),IFERROR(INDEX(EXCEPCIONES_FECHA!$F$2:$F$201,MATCH(1,(EXCEPCIONES_FECHA!$A$2:$A$201=$A1679)*(EXCEPCIONES_FECHA!$B$2:$B$201=""),0)),IFERROR(INDEX(IF($I1679="FIN",HISTORIAL_HORARIOS!$L$2:$L$201,HISTORIAL_HORARIOS!$H$2:$H$201),MATCH(1,(HISTORIAL_HORARIOS!$A$2:$A$201=$B1679)*(HISTORIAL_HORARIOS!$C$2:$C$201&lt;=$A1679)*(HISTORIAL_HORARIOS!$D$2:$D$201&gt;=$A1679),0)),INDEX(IF($I1679="FIN",PERSONAL!$L$2:$L$80,PERSONAL!$H$2:$H$80),MATCH($B1679,PERSONAL!$A$2:$A$80,0)))))</f>
        <v/>
      </c>
    </row>
    <row r="1680" ht="15" customHeight="1" s="58">
      <c r="A1680" s="40" t="n"/>
      <c r="B1680" s="38" t="n"/>
      <c r="C1680" s="40" t="n"/>
      <c r="D1680" s="40" t="n"/>
      <c r="E1680" s="34">
        <f t="array" ref="E1680">IF($B1680="","",IFERROR(INDEX(PERSONAL!$B$2:$B$80,MATCH($B1680,PERSONAL!$A$2:$A$80,0)),"NO EXISTE"))</f>
        <v/>
      </c>
      <c r="F1680" s="34">
        <f t="array" ref="F1680">IF($B1680="","",IFERROR(INDEX(PERSONAL!$C$2:$C$80,MATCH($B1680,PERSONAL!$A$2:$A$80,0)),""))</f>
        <v/>
      </c>
      <c r="G1680" s="34">
        <f>IF($A1680="","",CHOOSE(WEEKDAY($A1680,2),"LUNES","MARTES","MIÉRCOLES","JUEVES","VIERNES","SÁBADO","DOMINGO"))</f>
        <v/>
      </c>
      <c r="H1680" s="34">
        <f>IF($A1680="","",CHOOSE(MONTH($A1680),"ENERO","FEBRERO","MARZO","ABRIL","MAYO","JUNIO","JULIO","AGOSTO","SEPTIEMBRE","OCTUBRE","NOVIEMBRE","DICIEMBRE"))</f>
        <v/>
      </c>
      <c r="I1680" s="34">
        <f>IF($A1680="","",IF(OR($G1680="SÁBADO",$G1680="DOMINGO"),"FIN","LV"))</f>
        <v/>
      </c>
      <c r="J1680" s="34">
        <f>IF(OR($A1680="",$B1680=""),"",IF($L1680&lt;&gt;"",UPPER($L1680),IF($C1680="","FALTA",IFERROR(IF($C1680&gt;=$O1680,"ROJO FUERTE",IF($C1680&gt;=$N1680,"ROJO",IF($C1680&gt;=$M1680,"AMARILLO","VERDE"))),"REVISAR"))))</f>
        <v/>
      </c>
      <c r="K1680" s="36">
        <f>IF(OR($C1680="",$D1680=""),"",IF($D1680&gt;=$C1680,($D1680-$C1680)*24,(1-$C1680+$D1680)*24))</f>
        <v/>
      </c>
      <c r="L1680" s="34" t="n"/>
      <c r="M1680" s="53">
        <f t="array" ref="M1680">IFERROR(INDEX(EXCEPCIONES_FECHA!$D$2:$D$201,MATCH(1,(EXCEPCIONES_FECHA!$A$2:$A$201=$A1680)*(EXCEPCIONES_FECHA!$B$2:$B$201=$B1680),0)),IFERROR(INDEX(EXCEPCIONES_FECHA!$D$2:$D$201,MATCH(1,(EXCEPCIONES_FECHA!$A$2:$A$201=$A1680)*(EXCEPCIONES_FECHA!$B$2:$B$201=""),0)),IFERROR(INDEX(IF($I1680="FIN",HISTORIAL_HORARIOS!$J$2:$J$201,HISTORIAL_HORARIOS!$F$2:$F$201),MATCH(1,(HISTORIAL_HORARIOS!$A$2:$A$201=$B1680)*(HISTORIAL_HORARIOS!$C$2:$C$201&lt;=$A1680)*(HISTORIAL_HORARIOS!$D$2:$D$201&gt;=$A1680),0)),INDEX(IF($I1680="FIN",PERSONAL!$J$2:$J$80,PERSONAL!$F$2:$F$80),MATCH($B1680,PERSONAL!$A$2:$A$80,0)))))</f>
        <v/>
      </c>
      <c r="N1680" s="53">
        <f t="array" ref="N1680">IFERROR(INDEX(EXCEPCIONES_FECHA!$E$2:$E$201,MATCH(1,(EXCEPCIONES_FECHA!$A$2:$A$201=$A1680)*(EXCEPCIONES_FECHA!$B$2:$B$201=$B1680),0)),IFERROR(INDEX(EXCEPCIONES_FECHA!$E$2:$E$201,MATCH(1,(EXCEPCIONES_FECHA!$A$2:$A$201=$A1680)*(EXCEPCIONES_FECHA!$B$2:$B$201=""),0)),IFERROR(INDEX(IF($I1680="FIN",HISTORIAL_HORARIOS!$K$2:$K$201,HISTORIAL_HORARIOS!$G$2:$G$201),MATCH(1,(HISTORIAL_HORARIOS!$A$2:$A$201=$B1680)*(HISTORIAL_HORARIOS!$C$2:$C$201&lt;=$A1680)*(HISTORIAL_HORARIOS!$D$2:$D$201&gt;=$A1680),0)),INDEX(IF($I1680="FIN",PERSONAL!$K$2:$K$80,PERSONAL!$G$2:$G$80),MATCH($B1680,PERSONAL!$A$2:$A$80,0)))))</f>
        <v/>
      </c>
      <c r="O1680" s="53">
        <f t="array" ref="O1680">IFERROR(INDEX(EXCEPCIONES_FECHA!$F$2:$F$201,MATCH(1,(EXCEPCIONES_FECHA!$A$2:$A$201=$A1680)*(EXCEPCIONES_FECHA!$B$2:$B$201=$B1680),0)),IFERROR(INDEX(EXCEPCIONES_FECHA!$F$2:$F$201,MATCH(1,(EXCEPCIONES_FECHA!$A$2:$A$201=$A1680)*(EXCEPCIONES_FECHA!$B$2:$B$201=""),0)),IFERROR(INDEX(IF($I1680="FIN",HISTORIAL_HORARIOS!$L$2:$L$201,HISTORIAL_HORARIOS!$H$2:$H$201),MATCH(1,(HISTORIAL_HORARIOS!$A$2:$A$201=$B1680)*(HISTORIAL_HORARIOS!$C$2:$C$201&lt;=$A1680)*(HISTORIAL_HORARIOS!$D$2:$D$201&gt;=$A1680),0)),INDEX(IF($I1680="FIN",PERSONAL!$L$2:$L$80,PERSONAL!$H$2:$H$80),MATCH($B1680,PERSONAL!$A$2:$A$80,0)))))</f>
        <v/>
      </c>
    </row>
    <row r="1681" ht="15" customHeight="1" s="58">
      <c r="A1681" s="40" t="n"/>
      <c r="B1681" s="38" t="n"/>
      <c r="C1681" s="40" t="n"/>
      <c r="D1681" s="40" t="n"/>
      <c r="E1681" s="34">
        <f t="array" ref="E1681">IF($B1681="","",IFERROR(INDEX(PERSONAL!$B$2:$B$80,MATCH($B1681,PERSONAL!$A$2:$A$80,0)),"NO EXISTE"))</f>
        <v/>
      </c>
      <c r="F1681" s="34">
        <f t="array" ref="F1681">IF($B1681="","",IFERROR(INDEX(PERSONAL!$C$2:$C$80,MATCH($B1681,PERSONAL!$A$2:$A$80,0)),""))</f>
        <v/>
      </c>
      <c r="G1681" s="34">
        <f>IF($A1681="","",CHOOSE(WEEKDAY($A1681,2),"LUNES","MARTES","MIÉRCOLES","JUEVES","VIERNES","SÁBADO","DOMINGO"))</f>
        <v/>
      </c>
      <c r="H1681" s="34">
        <f>IF($A1681="","",CHOOSE(MONTH($A1681),"ENERO","FEBRERO","MARZO","ABRIL","MAYO","JUNIO","JULIO","AGOSTO","SEPTIEMBRE","OCTUBRE","NOVIEMBRE","DICIEMBRE"))</f>
        <v/>
      </c>
      <c r="I1681" s="34">
        <f>IF($A1681="","",IF(OR($G1681="SÁBADO",$G1681="DOMINGO"),"FIN","LV"))</f>
        <v/>
      </c>
      <c r="J1681" s="34">
        <f>IF(OR($A1681="",$B1681=""),"",IF($L1681&lt;&gt;"",UPPER($L1681),IF($C1681="","FALTA",IFERROR(IF($C1681&gt;=$O1681,"ROJO FUERTE",IF($C1681&gt;=$N1681,"ROJO",IF($C1681&gt;=$M1681,"AMARILLO","VERDE"))),"REVISAR"))))</f>
        <v/>
      </c>
      <c r="K1681" s="36">
        <f>IF(OR($C1681="",$D1681=""),"",IF($D1681&gt;=$C1681,($D1681-$C1681)*24,(1-$C1681+$D1681)*24))</f>
        <v/>
      </c>
      <c r="L1681" s="34" t="n"/>
      <c r="M1681" s="53">
        <f t="array" ref="M1681">IFERROR(INDEX(EXCEPCIONES_FECHA!$D$2:$D$201,MATCH(1,(EXCEPCIONES_FECHA!$A$2:$A$201=$A1681)*(EXCEPCIONES_FECHA!$B$2:$B$201=$B1681),0)),IFERROR(INDEX(EXCEPCIONES_FECHA!$D$2:$D$201,MATCH(1,(EXCEPCIONES_FECHA!$A$2:$A$201=$A1681)*(EXCEPCIONES_FECHA!$B$2:$B$201=""),0)),IFERROR(INDEX(IF($I1681="FIN",HISTORIAL_HORARIOS!$J$2:$J$201,HISTORIAL_HORARIOS!$F$2:$F$201),MATCH(1,(HISTORIAL_HORARIOS!$A$2:$A$201=$B1681)*(HISTORIAL_HORARIOS!$C$2:$C$201&lt;=$A1681)*(HISTORIAL_HORARIOS!$D$2:$D$201&gt;=$A1681),0)),INDEX(IF($I1681="FIN",PERSONAL!$J$2:$J$80,PERSONAL!$F$2:$F$80),MATCH($B1681,PERSONAL!$A$2:$A$80,0)))))</f>
        <v/>
      </c>
      <c r="N1681" s="53">
        <f t="array" ref="N1681">IFERROR(INDEX(EXCEPCIONES_FECHA!$E$2:$E$201,MATCH(1,(EXCEPCIONES_FECHA!$A$2:$A$201=$A1681)*(EXCEPCIONES_FECHA!$B$2:$B$201=$B1681),0)),IFERROR(INDEX(EXCEPCIONES_FECHA!$E$2:$E$201,MATCH(1,(EXCEPCIONES_FECHA!$A$2:$A$201=$A1681)*(EXCEPCIONES_FECHA!$B$2:$B$201=""),0)),IFERROR(INDEX(IF($I1681="FIN",HISTORIAL_HORARIOS!$K$2:$K$201,HISTORIAL_HORARIOS!$G$2:$G$201),MATCH(1,(HISTORIAL_HORARIOS!$A$2:$A$201=$B1681)*(HISTORIAL_HORARIOS!$C$2:$C$201&lt;=$A1681)*(HISTORIAL_HORARIOS!$D$2:$D$201&gt;=$A1681),0)),INDEX(IF($I1681="FIN",PERSONAL!$K$2:$K$80,PERSONAL!$G$2:$G$80),MATCH($B1681,PERSONAL!$A$2:$A$80,0)))))</f>
        <v/>
      </c>
      <c r="O1681" s="53">
        <f t="array" ref="O1681">IFERROR(INDEX(EXCEPCIONES_FECHA!$F$2:$F$201,MATCH(1,(EXCEPCIONES_FECHA!$A$2:$A$201=$A1681)*(EXCEPCIONES_FECHA!$B$2:$B$201=$B1681),0)),IFERROR(INDEX(EXCEPCIONES_FECHA!$F$2:$F$201,MATCH(1,(EXCEPCIONES_FECHA!$A$2:$A$201=$A1681)*(EXCEPCIONES_FECHA!$B$2:$B$201=""),0)),IFERROR(INDEX(IF($I1681="FIN",HISTORIAL_HORARIOS!$L$2:$L$201,HISTORIAL_HORARIOS!$H$2:$H$201),MATCH(1,(HISTORIAL_HORARIOS!$A$2:$A$201=$B1681)*(HISTORIAL_HORARIOS!$C$2:$C$201&lt;=$A1681)*(HISTORIAL_HORARIOS!$D$2:$D$201&gt;=$A1681),0)),INDEX(IF($I1681="FIN",PERSONAL!$L$2:$L$80,PERSONAL!$H$2:$H$80),MATCH($B1681,PERSONAL!$A$2:$A$80,0)))))</f>
        <v/>
      </c>
    </row>
    <row r="1682" ht="15" customHeight="1" s="58">
      <c r="A1682" s="40" t="n"/>
      <c r="B1682" s="38" t="n"/>
      <c r="C1682" s="40" t="n"/>
      <c r="D1682" s="40" t="n"/>
      <c r="E1682" s="34">
        <f t="array" ref="E1682">IF($B1682="","",IFERROR(INDEX(PERSONAL!$B$2:$B$80,MATCH($B1682,PERSONAL!$A$2:$A$80,0)),"NO EXISTE"))</f>
        <v/>
      </c>
      <c r="F1682" s="34">
        <f t="array" ref="F1682">IF($B1682="","",IFERROR(INDEX(PERSONAL!$C$2:$C$80,MATCH($B1682,PERSONAL!$A$2:$A$80,0)),""))</f>
        <v/>
      </c>
      <c r="G1682" s="34">
        <f>IF($A1682="","",CHOOSE(WEEKDAY($A1682,2),"LUNES","MARTES","MIÉRCOLES","JUEVES","VIERNES","SÁBADO","DOMINGO"))</f>
        <v/>
      </c>
      <c r="H1682" s="34">
        <f>IF($A1682="","",CHOOSE(MONTH($A1682),"ENERO","FEBRERO","MARZO","ABRIL","MAYO","JUNIO","JULIO","AGOSTO","SEPTIEMBRE","OCTUBRE","NOVIEMBRE","DICIEMBRE"))</f>
        <v/>
      </c>
      <c r="I1682" s="34">
        <f>IF($A1682="","",IF(OR($G1682="SÁBADO",$G1682="DOMINGO"),"FIN","LV"))</f>
        <v/>
      </c>
      <c r="J1682" s="34">
        <f>IF(OR($A1682="",$B1682=""),"",IF($L1682&lt;&gt;"",UPPER($L1682),IF($C1682="","FALTA",IFERROR(IF($C1682&gt;=$O1682,"ROJO FUERTE",IF($C1682&gt;=$N1682,"ROJO",IF($C1682&gt;=$M1682,"AMARILLO","VERDE"))),"REVISAR"))))</f>
        <v/>
      </c>
      <c r="K1682" s="36">
        <f>IF(OR($C1682="",$D1682=""),"",IF($D1682&gt;=$C1682,($D1682-$C1682)*24,(1-$C1682+$D1682)*24))</f>
        <v/>
      </c>
      <c r="L1682" s="34" t="n"/>
      <c r="M1682" s="53">
        <f t="array" ref="M1682">IFERROR(INDEX(EXCEPCIONES_FECHA!$D$2:$D$201,MATCH(1,(EXCEPCIONES_FECHA!$A$2:$A$201=$A1682)*(EXCEPCIONES_FECHA!$B$2:$B$201=$B1682),0)),IFERROR(INDEX(EXCEPCIONES_FECHA!$D$2:$D$201,MATCH(1,(EXCEPCIONES_FECHA!$A$2:$A$201=$A1682)*(EXCEPCIONES_FECHA!$B$2:$B$201=""),0)),IFERROR(INDEX(IF($I1682="FIN",HISTORIAL_HORARIOS!$J$2:$J$201,HISTORIAL_HORARIOS!$F$2:$F$201),MATCH(1,(HISTORIAL_HORARIOS!$A$2:$A$201=$B1682)*(HISTORIAL_HORARIOS!$C$2:$C$201&lt;=$A1682)*(HISTORIAL_HORARIOS!$D$2:$D$201&gt;=$A1682),0)),INDEX(IF($I1682="FIN",PERSONAL!$J$2:$J$80,PERSONAL!$F$2:$F$80),MATCH($B1682,PERSONAL!$A$2:$A$80,0)))))</f>
        <v/>
      </c>
      <c r="N1682" s="53">
        <f t="array" ref="N1682">IFERROR(INDEX(EXCEPCIONES_FECHA!$E$2:$E$201,MATCH(1,(EXCEPCIONES_FECHA!$A$2:$A$201=$A1682)*(EXCEPCIONES_FECHA!$B$2:$B$201=$B1682),0)),IFERROR(INDEX(EXCEPCIONES_FECHA!$E$2:$E$201,MATCH(1,(EXCEPCIONES_FECHA!$A$2:$A$201=$A1682)*(EXCEPCIONES_FECHA!$B$2:$B$201=""),0)),IFERROR(INDEX(IF($I1682="FIN",HISTORIAL_HORARIOS!$K$2:$K$201,HISTORIAL_HORARIOS!$G$2:$G$201),MATCH(1,(HISTORIAL_HORARIOS!$A$2:$A$201=$B1682)*(HISTORIAL_HORARIOS!$C$2:$C$201&lt;=$A1682)*(HISTORIAL_HORARIOS!$D$2:$D$201&gt;=$A1682),0)),INDEX(IF($I1682="FIN",PERSONAL!$K$2:$K$80,PERSONAL!$G$2:$G$80),MATCH($B1682,PERSONAL!$A$2:$A$80,0)))))</f>
        <v/>
      </c>
      <c r="O1682" s="53">
        <f t="array" ref="O1682">IFERROR(INDEX(EXCEPCIONES_FECHA!$F$2:$F$201,MATCH(1,(EXCEPCIONES_FECHA!$A$2:$A$201=$A1682)*(EXCEPCIONES_FECHA!$B$2:$B$201=$B1682),0)),IFERROR(INDEX(EXCEPCIONES_FECHA!$F$2:$F$201,MATCH(1,(EXCEPCIONES_FECHA!$A$2:$A$201=$A1682)*(EXCEPCIONES_FECHA!$B$2:$B$201=""),0)),IFERROR(INDEX(IF($I1682="FIN",HISTORIAL_HORARIOS!$L$2:$L$201,HISTORIAL_HORARIOS!$H$2:$H$201),MATCH(1,(HISTORIAL_HORARIOS!$A$2:$A$201=$B1682)*(HISTORIAL_HORARIOS!$C$2:$C$201&lt;=$A1682)*(HISTORIAL_HORARIOS!$D$2:$D$201&gt;=$A1682),0)),INDEX(IF($I1682="FIN",PERSONAL!$L$2:$L$80,PERSONAL!$H$2:$H$80),MATCH($B1682,PERSONAL!$A$2:$A$80,0)))))</f>
        <v/>
      </c>
    </row>
    <row r="1683" ht="15" customHeight="1" s="58">
      <c r="A1683" s="40" t="n"/>
      <c r="B1683" s="38" t="n"/>
      <c r="C1683" s="40" t="n"/>
      <c r="D1683" s="40" t="n"/>
      <c r="E1683" s="34">
        <f t="array" ref="E1683">IF($B1683="","",IFERROR(INDEX(PERSONAL!$B$2:$B$80,MATCH($B1683,PERSONAL!$A$2:$A$80,0)),"NO EXISTE"))</f>
        <v/>
      </c>
      <c r="F1683" s="34">
        <f t="array" ref="F1683">IF($B1683="","",IFERROR(INDEX(PERSONAL!$C$2:$C$80,MATCH($B1683,PERSONAL!$A$2:$A$80,0)),""))</f>
        <v/>
      </c>
      <c r="G1683" s="34">
        <f>IF($A1683="","",CHOOSE(WEEKDAY($A1683,2),"LUNES","MARTES","MIÉRCOLES","JUEVES","VIERNES","SÁBADO","DOMINGO"))</f>
        <v/>
      </c>
      <c r="H1683" s="34">
        <f>IF($A1683="","",CHOOSE(MONTH($A1683),"ENERO","FEBRERO","MARZO","ABRIL","MAYO","JUNIO","JULIO","AGOSTO","SEPTIEMBRE","OCTUBRE","NOVIEMBRE","DICIEMBRE"))</f>
        <v/>
      </c>
      <c r="I1683" s="34">
        <f>IF($A1683="","",IF(OR($G1683="SÁBADO",$G1683="DOMINGO"),"FIN","LV"))</f>
        <v/>
      </c>
      <c r="J1683" s="34">
        <f>IF(OR($A1683="",$B1683=""),"",IF($L1683&lt;&gt;"",UPPER($L1683),IF($C1683="","FALTA",IFERROR(IF($C1683&gt;=$O1683,"ROJO FUERTE",IF($C1683&gt;=$N1683,"ROJO",IF($C1683&gt;=$M1683,"AMARILLO","VERDE"))),"REVISAR"))))</f>
        <v/>
      </c>
      <c r="K1683" s="36">
        <f>IF(OR($C1683="",$D1683=""),"",IF($D1683&gt;=$C1683,($D1683-$C1683)*24,(1-$C1683+$D1683)*24))</f>
        <v/>
      </c>
      <c r="L1683" s="34" t="n"/>
      <c r="M1683" s="53">
        <f t="array" ref="M1683">IFERROR(INDEX(EXCEPCIONES_FECHA!$D$2:$D$201,MATCH(1,(EXCEPCIONES_FECHA!$A$2:$A$201=$A1683)*(EXCEPCIONES_FECHA!$B$2:$B$201=$B1683),0)),IFERROR(INDEX(EXCEPCIONES_FECHA!$D$2:$D$201,MATCH(1,(EXCEPCIONES_FECHA!$A$2:$A$201=$A1683)*(EXCEPCIONES_FECHA!$B$2:$B$201=""),0)),IFERROR(INDEX(IF($I1683="FIN",HISTORIAL_HORARIOS!$J$2:$J$201,HISTORIAL_HORARIOS!$F$2:$F$201),MATCH(1,(HISTORIAL_HORARIOS!$A$2:$A$201=$B1683)*(HISTORIAL_HORARIOS!$C$2:$C$201&lt;=$A1683)*(HISTORIAL_HORARIOS!$D$2:$D$201&gt;=$A1683),0)),INDEX(IF($I1683="FIN",PERSONAL!$J$2:$J$80,PERSONAL!$F$2:$F$80),MATCH($B1683,PERSONAL!$A$2:$A$80,0)))))</f>
        <v/>
      </c>
      <c r="N1683" s="53">
        <f t="array" ref="N1683">IFERROR(INDEX(EXCEPCIONES_FECHA!$E$2:$E$201,MATCH(1,(EXCEPCIONES_FECHA!$A$2:$A$201=$A1683)*(EXCEPCIONES_FECHA!$B$2:$B$201=$B1683),0)),IFERROR(INDEX(EXCEPCIONES_FECHA!$E$2:$E$201,MATCH(1,(EXCEPCIONES_FECHA!$A$2:$A$201=$A1683)*(EXCEPCIONES_FECHA!$B$2:$B$201=""),0)),IFERROR(INDEX(IF($I1683="FIN",HISTORIAL_HORARIOS!$K$2:$K$201,HISTORIAL_HORARIOS!$G$2:$G$201),MATCH(1,(HISTORIAL_HORARIOS!$A$2:$A$201=$B1683)*(HISTORIAL_HORARIOS!$C$2:$C$201&lt;=$A1683)*(HISTORIAL_HORARIOS!$D$2:$D$201&gt;=$A1683),0)),INDEX(IF($I1683="FIN",PERSONAL!$K$2:$K$80,PERSONAL!$G$2:$G$80),MATCH($B1683,PERSONAL!$A$2:$A$80,0)))))</f>
        <v/>
      </c>
      <c r="O1683" s="53">
        <f t="array" ref="O1683">IFERROR(INDEX(EXCEPCIONES_FECHA!$F$2:$F$201,MATCH(1,(EXCEPCIONES_FECHA!$A$2:$A$201=$A1683)*(EXCEPCIONES_FECHA!$B$2:$B$201=$B1683),0)),IFERROR(INDEX(EXCEPCIONES_FECHA!$F$2:$F$201,MATCH(1,(EXCEPCIONES_FECHA!$A$2:$A$201=$A1683)*(EXCEPCIONES_FECHA!$B$2:$B$201=""),0)),IFERROR(INDEX(IF($I1683="FIN",HISTORIAL_HORARIOS!$L$2:$L$201,HISTORIAL_HORARIOS!$H$2:$H$201),MATCH(1,(HISTORIAL_HORARIOS!$A$2:$A$201=$B1683)*(HISTORIAL_HORARIOS!$C$2:$C$201&lt;=$A1683)*(HISTORIAL_HORARIOS!$D$2:$D$201&gt;=$A1683),0)),INDEX(IF($I1683="FIN",PERSONAL!$L$2:$L$80,PERSONAL!$H$2:$H$80),MATCH($B1683,PERSONAL!$A$2:$A$80,0)))))</f>
        <v/>
      </c>
    </row>
    <row r="1684" ht="15" customHeight="1" s="58">
      <c r="A1684" s="40" t="n"/>
      <c r="B1684" s="38" t="n"/>
      <c r="C1684" s="40" t="n"/>
      <c r="D1684" s="40" t="n"/>
      <c r="E1684" s="34">
        <f t="array" ref="E1684">IF($B1684="","",IFERROR(INDEX(PERSONAL!$B$2:$B$80,MATCH($B1684,PERSONAL!$A$2:$A$80,0)),"NO EXISTE"))</f>
        <v/>
      </c>
      <c r="F1684" s="34">
        <f t="array" ref="F1684">IF($B1684="","",IFERROR(INDEX(PERSONAL!$C$2:$C$80,MATCH($B1684,PERSONAL!$A$2:$A$80,0)),""))</f>
        <v/>
      </c>
      <c r="G1684" s="34">
        <f>IF($A1684="","",CHOOSE(WEEKDAY($A1684,2),"LUNES","MARTES","MIÉRCOLES","JUEVES","VIERNES","SÁBADO","DOMINGO"))</f>
        <v/>
      </c>
      <c r="H1684" s="34">
        <f>IF($A1684="","",CHOOSE(MONTH($A1684),"ENERO","FEBRERO","MARZO","ABRIL","MAYO","JUNIO","JULIO","AGOSTO","SEPTIEMBRE","OCTUBRE","NOVIEMBRE","DICIEMBRE"))</f>
        <v/>
      </c>
      <c r="I1684" s="34">
        <f>IF($A1684="","",IF(OR($G1684="SÁBADO",$G1684="DOMINGO"),"FIN","LV"))</f>
        <v/>
      </c>
      <c r="J1684" s="34">
        <f>IF(OR($A1684="",$B1684=""),"",IF($L1684&lt;&gt;"",UPPER($L1684),IF($C1684="","FALTA",IFERROR(IF($C1684&gt;=$O1684,"ROJO FUERTE",IF($C1684&gt;=$N1684,"ROJO",IF($C1684&gt;=$M1684,"AMARILLO","VERDE"))),"REVISAR"))))</f>
        <v/>
      </c>
      <c r="K1684" s="36">
        <f>IF(OR($C1684="",$D1684=""),"",IF($D1684&gt;=$C1684,($D1684-$C1684)*24,(1-$C1684+$D1684)*24))</f>
        <v/>
      </c>
      <c r="L1684" s="34" t="n"/>
      <c r="M1684" s="53">
        <f t="array" ref="M1684">IFERROR(INDEX(EXCEPCIONES_FECHA!$D$2:$D$201,MATCH(1,(EXCEPCIONES_FECHA!$A$2:$A$201=$A1684)*(EXCEPCIONES_FECHA!$B$2:$B$201=$B1684),0)),IFERROR(INDEX(EXCEPCIONES_FECHA!$D$2:$D$201,MATCH(1,(EXCEPCIONES_FECHA!$A$2:$A$201=$A1684)*(EXCEPCIONES_FECHA!$B$2:$B$201=""),0)),IFERROR(INDEX(IF($I1684="FIN",HISTORIAL_HORARIOS!$J$2:$J$201,HISTORIAL_HORARIOS!$F$2:$F$201),MATCH(1,(HISTORIAL_HORARIOS!$A$2:$A$201=$B1684)*(HISTORIAL_HORARIOS!$C$2:$C$201&lt;=$A1684)*(HISTORIAL_HORARIOS!$D$2:$D$201&gt;=$A1684),0)),INDEX(IF($I1684="FIN",PERSONAL!$J$2:$J$80,PERSONAL!$F$2:$F$80),MATCH($B1684,PERSONAL!$A$2:$A$80,0)))))</f>
        <v/>
      </c>
      <c r="N1684" s="53">
        <f t="array" ref="N1684">IFERROR(INDEX(EXCEPCIONES_FECHA!$E$2:$E$201,MATCH(1,(EXCEPCIONES_FECHA!$A$2:$A$201=$A1684)*(EXCEPCIONES_FECHA!$B$2:$B$201=$B1684),0)),IFERROR(INDEX(EXCEPCIONES_FECHA!$E$2:$E$201,MATCH(1,(EXCEPCIONES_FECHA!$A$2:$A$201=$A1684)*(EXCEPCIONES_FECHA!$B$2:$B$201=""),0)),IFERROR(INDEX(IF($I1684="FIN",HISTORIAL_HORARIOS!$K$2:$K$201,HISTORIAL_HORARIOS!$G$2:$G$201),MATCH(1,(HISTORIAL_HORARIOS!$A$2:$A$201=$B1684)*(HISTORIAL_HORARIOS!$C$2:$C$201&lt;=$A1684)*(HISTORIAL_HORARIOS!$D$2:$D$201&gt;=$A1684),0)),INDEX(IF($I1684="FIN",PERSONAL!$K$2:$K$80,PERSONAL!$G$2:$G$80),MATCH($B1684,PERSONAL!$A$2:$A$80,0)))))</f>
        <v/>
      </c>
      <c r="O1684" s="53">
        <f t="array" ref="O1684">IFERROR(INDEX(EXCEPCIONES_FECHA!$F$2:$F$201,MATCH(1,(EXCEPCIONES_FECHA!$A$2:$A$201=$A1684)*(EXCEPCIONES_FECHA!$B$2:$B$201=$B1684),0)),IFERROR(INDEX(EXCEPCIONES_FECHA!$F$2:$F$201,MATCH(1,(EXCEPCIONES_FECHA!$A$2:$A$201=$A1684)*(EXCEPCIONES_FECHA!$B$2:$B$201=""),0)),IFERROR(INDEX(IF($I1684="FIN",HISTORIAL_HORARIOS!$L$2:$L$201,HISTORIAL_HORARIOS!$H$2:$H$201),MATCH(1,(HISTORIAL_HORARIOS!$A$2:$A$201=$B1684)*(HISTORIAL_HORARIOS!$C$2:$C$201&lt;=$A1684)*(HISTORIAL_HORARIOS!$D$2:$D$201&gt;=$A1684),0)),INDEX(IF($I1684="FIN",PERSONAL!$L$2:$L$80,PERSONAL!$H$2:$H$80),MATCH($B1684,PERSONAL!$A$2:$A$80,0)))))</f>
        <v/>
      </c>
    </row>
    <row r="1685" ht="15" customHeight="1" s="58">
      <c r="A1685" s="40" t="n"/>
      <c r="B1685" s="38" t="n"/>
      <c r="C1685" s="40" t="n"/>
      <c r="D1685" s="40" t="n"/>
      <c r="E1685" s="34">
        <f t="array" ref="E1685">IF($B1685="","",IFERROR(INDEX(PERSONAL!$B$2:$B$80,MATCH($B1685,PERSONAL!$A$2:$A$80,0)),"NO EXISTE"))</f>
        <v/>
      </c>
      <c r="F1685" s="34">
        <f t="array" ref="F1685">IF($B1685="","",IFERROR(INDEX(PERSONAL!$C$2:$C$80,MATCH($B1685,PERSONAL!$A$2:$A$80,0)),""))</f>
        <v/>
      </c>
      <c r="G1685" s="34">
        <f>IF($A1685="","",CHOOSE(WEEKDAY($A1685,2),"LUNES","MARTES","MIÉRCOLES","JUEVES","VIERNES","SÁBADO","DOMINGO"))</f>
        <v/>
      </c>
      <c r="H1685" s="34">
        <f>IF($A1685="","",CHOOSE(MONTH($A1685),"ENERO","FEBRERO","MARZO","ABRIL","MAYO","JUNIO","JULIO","AGOSTO","SEPTIEMBRE","OCTUBRE","NOVIEMBRE","DICIEMBRE"))</f>
        <v/>
      </c>
      <c r="I1685" s="34">
        <f>IF($A1685="","",IF(OR($G1685="SÁBADO",$G1685="DOMINGO"),"FIN","LV"))</f>
        <v/>
      </c>
      <c r="J1685" s="34">
        <f>IF(OR($A1685="",$B1685=""),"",IF($L1685&lt;&gt;"",UPPER($L1685),IF($C1685="","FALTA",IFERROR(IF($C1685&gt;=$O1685,"ROJO FUERTE",IF($C1685&gt;=$N1685,"ROJO",IF($C1685&gt;=$M1685,"AMARILLO","VERDE"))),"REVISAR"))))</f>
        <v/>
      </c>
      <c r="K1685" s="36">
        <f>IF(OR($C1685="",$D1685=""),"",IF($D1685&gt;=$C1685,($D1685-$C1685)*24,(1-$C1685+$D1685)*24))</f>
        <v/>
      </c>
      <c r="L1685" s="34" t="n"/>
      <c r="M1685" s="53">
        <f t="array" ref="M1685">IFERROR(INDEX(EXCEPCIONES_FECHA!$D$2:$D$201,MATCH(1,(EXCEPCIONES_FECHA!$A$2:$A$201=$A1685)*(EXCEPCIONES_FECHA!$B$2:$B$201=$B1685),0)),IFERROR(INDEX(EXCEPCIONES_FECHA!$D$2:$D$201,MATCH(1,(EXCEPCIONES_FECHA!$A$2:$A$201=$A1685)*(EXCEPCIONES_FECHA!$B$2:$B$201=""),0)),IFERROR(INDEX(IF($I1685="FIN",HISTORIAL_HORARIOS!$J$2:$J$201,HISTORIAL_HORARIOS!$F$2:$F$201),MATCH(1,(HISTORIAL_HORARIOS!$A$2:$A$201=$B1685)*(HISTORIAL_HORARIOS!$C$2:$C$201&lt;=$A1685)*(HISTORIAL_HORARIOS!$D$2:$D$201&gt;=$A1685),0)),INDEX(IF($I1685="FIN",PERSONAL!$J$2:$J$80,PERSONAL!$F$2:$F$80),MATCH($B1685,PERSONAL!$A$2:$A$80,0)))))</f>
        <v/>
      </c>
      <c r="N1685" s="53">
        <f t="array" ref="N1685">IFERROR(INDEX(EXCEPCIONES_FECHA!$E$2:$E$201,MATCH(1,(EXCEPCIONES_FECHA!$A$2:$A$201=$A1685)*(EXCEPCIONES_FECHA!$B$2:$B$201=$B1685),0)),IFERROR(INDEX(EXCEPCIONES_FECHA!$E$2:$E$201,MATCH(1,(EXCEPCIONES_FECHA!$A$2:$A$201=$A1685)*(EXCEPCIONES_FECHA!$B$2:$B$201=""),0)),IFERROR(INDEX(IF($I1685="FIN",HISTORIAL_HORARIOS!$K$2:$K$201,HISTORIAL_HORARIOS!$G$2:$G$201),MATCH(1,(HISTORIAL_HORARIOS!$A$2:$A$201=$B1685)*(HISTORIAL_HORARIOS!$C$2:$C$201&lt;=$A1685)*(HISTORIAL_HORARIOS!$D$2:$D$201&gt;=$A1685),0)),INDEX(IF($I1685="FIN",PERSONAL!$K$2:$K$80,PERSONAL!$G$2:$G$80),MATCH($B1685,PERSONAL!$A$2:$A$80,0)))))</f>
        <v/>
      </c>
      <c r="O1685" s="53">
        <f t="array" ref="O1685">IFERROR(INDEX(EXCEPCIONES_FECHA!$F$2:$F$201,MATCH(1,(EXCEPCIONES_FECHA!$A$2:$A$201=$A1685)*(EXCEPCIONES_FECHA!$B$2:$B$201=$B1685),0)),IFERROR(INDEX(EXCEPCIONES_FECHA!$F$2:$F$201,MATCH(1,(EXCEPCIONES_FECHA!$A$2:$A$201=$A1685)*(EXCEPCIONES_FECHA!$B$2:$B$201=""),0)),IFERROR(INDEX(IF($I1685="FIN",HISTORIAL_HORARIOS!$L$2:$L$201,HISTORIAL_HORARIOS!$H$2:$H$201),MATCH(1,(HISTORIAL_HORARIOS!$A$2:$A$201=$B1685)*(HISTORIAL_HORARIOS!$C$2:$C$201&lt;=$A1685)*(HISTORIAL_HORARIOS!$D$2:$D$201&gt;=$A1685),0)),INDEX(IF($I1685="FIN",PERSONAL!$L$2:$L$80,PERSONAL!$H$2:$H$80),MATCH($B1685,PERSONAL!$A$2:$A$80,0)))))</f>
        <v/>
      </c>
    </row>
    <row r="1686" ht="15" customHeight="1" s="58">
      <c r="A1686" s="40" t="n"/>
      <c r="B1686" s="38" t="n"/>
      <c r="C1686" s="40" t="n"/>
      <c r="D1686" s="40" t="n"/>
      <c r="E1686" s="34">
        <f t="array" ref="E1686">IF($B1686="","",IFERROR(INDEX(PERSONAL!$B$2:$B$80,MATCH($B1686,PERSONAL!$A$2:$A$80,0)),"NO EXISTE"))</f>
        <v/>
      </c>
      <c r="F1686" s="34">
        <f t="array" ref="F1686">IF($B1686="","",IFERROR(INDEX(PERSONAL!$C$2:$C$80,MATCH($B1686,PERSONAL!$A$2:$A$80,0)),""))</f>
        <v/>
      </c>
      <c r="G1686" s="34">
        <f>IF($A1686="","",CHOOSE(WEEKDAY($A1686,2),"LUNES","MARTES","MIÉRCOLES","JUEVES","VIERNES","SÁBADO","DOMINGO"))</f>
        <v/>
      </c>
      <c r="H1686" s="34">
        <f>IF($A1686="","",CHOOSE(MONTH($A1686),"ENERO","FEBRERO","MARZO","ABRIL","MAYO","JUNIO","JULIO","AGOSTO","SEPTIEMBRE","OCTUBRE","NOVIEMBRE","DICIEMBRE"))</f>
        <v/>
      </c>
      <c r="I1686" s="34">
        <f>IF($A1686="","",IF(OR($G1686="SÁBADO",$G1686="DOMINGO"),"FIN","LV"))</f>
        <v/>
      </c>
      <c r="J1686" s="34">
        <f>IF(OR($A1686="",$B1686=""),"",IF($L1686&lt;&gt;"",UPPER($L1686),IF($C1686="","FALTA",IFERROR(IF($C1686&gt;=$O1686,"ROJO FUERTE",IF($C1686&gt;=$N1686,"ROJO",IF($C1686&gt;=$M1686,"AMARILLO","VERDE"))),"REVISAR"))))</f>
        <v/>
      </c>
      <c r="K1686" s="36">
        <f>IF(OR($C1686="",$D1686=""),"",IF($D1686&gt;=$C1686,($D1686-$C1686)*24,(1-$C1686+$D1686)*24))</f>
        <v/>
      </c>
      <c r="L1686" s="34" t="n"/>
      <c r="M1686" s="53">
        <f t="array" ref="M1686">IFERROR(INDEX(EXCEPCIONES_FECHA!$D$2:$D$201,MATCH(1,(EXCEPCIONES_FECHA!$A$2:$A$201=$A1686)*(EXCEPCIONES_FECHA!$B$2:$B$201=$B1686),0)),IFERROR(INDEX(EXCEPCIONES_FECHA!$D$2:$D$201,MATCH(1,(EXCEPCIONES_FECHA!$A$2:$A$201=$A1686)*(EXCEPCIONES_FECHA!$B$2:$B$201=""),0)),IFERROR(INDEX(IF($I1686="FIN",HISTORIAL_HORARIOS!$J$2:$J$201,HISTORIAL_HORARIOS!$F$2:$F$201),MATCH(1,(HISTORIAL_HORARIOS!$A$2:$A$201=$B1686)*(HISTORIAL_HORARIOS!$C$2:$C$201&lt;=$A1686)*(HISTORIAL_HORARIOS!$D$2:$D$201&gt;=$A1686),0)),INDEX(IF($I1686="FIN",PERSONAL!$J$2:$J$80,PERSONAL!$F$2:$F$80),MATCH($B1686,PERSONAL!$A$2:$A$80,0)))))</f>
        <v/>
      </c>
      <c r="N1686" s="53">
        <f t="array" ref="N1686">IFERROR(INDEX(EXCEPCIONES_FECHA!$E$2:$E$201,MATCH(1,(EXCEPCIONES_FECHA!$A$2:$A$201=$A1686)*(EXCEPCIONES_FECHA!$B$2:$B$201=$B1686),0)),IFERROR(INDEX(EXCEPCIONES_FECHA!$E$2:$E$201,MATCH(1,(EXCEPCIONES_FECHA!$A$2:$A$201=$A1686)*(EXCEPCIONES_FECHA!$B$2:$B$201=""),0)),IFERROR(INDEX(IF($I1686="FIN",HISTORIAL_HORARIOS!$K$2:$K$201,HISTORIAL_HORARIOS!$G$2:$G$201),MATCH(1,(HISTORIAL_HORARIOS!$A$2:$A$201=$B1686)*(HISTORIAL_HORARIOS!$C$2:$C$201&lt;=$A1686)*(HISTORIAL_HORARIOS!$D$2:$D$201&gt;=$A1686),0)),INDEX(IF($I1686="FIN",PERSONAL!$K$2:$K$80,PERSONAL!$G$2:$G$80),MATCH($B1686,PERSONAL!$A$2:$A$80,0)))))</f>
        <v/>
      </c>
      <c r="O1686" s="53">
        <f t="array" ref="O1686">IFERROR(INDEX(EXCEPCIONES_FECHA!$F$2:$F$201,MATCH(1,(EXCEPCIONES_FECHA!$A$2:$A$201=$A1686)*(EXCEPCIONES_FECHA!$B$2:$B$201=$B1686),0)),IFERROR(INDEX(EXCEPCIONES_FECHA!$F$2:$F$201,MATCH(1,(EXCEPCIONES_FECHA!$A$2:$A$201=$A1686)*(EXCEPCIONES_FECHA!$B$2:$B$201=""),0)),IFERROR(INDEX(IF($I1686="FIN",HISTORIAL_HORARIOS!$L$2:$L$201,HISTORIAL_HORARIOS!$H$2:$H$201),MATCH(1,(HISTORIAL_HORARIOS!$A$2:$A$201=$B1686)*(HISTORIAL_HORARIOS!$C$2:$C$201&lt;=$A1686)*(HISTORIAL_HORARIOS!$D$2:$D$201&gt;=$A1686),0)),INDEX(IF($I1686="FIN",PERSONAL!$L$2:$L$80,PERSONAL!$H$2:$H$80),MATCH($B1686,PERSONAL!$A$2:$A$80,0)))))</f>
        <v/>
      </c>
    </row>
    <row r="1687" ht="15" customHeight="1" s="58">
      <c r="A1687" s="40" t="n"/>
      <c r="B1687" s="38" t="n"/>
      <c r="C1687" s="40" t="n"/>
      <c r="D1687" s="40" t="n"/>
      <c r="E1687" s="34">
        <f t="array" ref="E1687">IF($B1687="","",IFERROR(INDEX(PERSONAL!$B$2:$B$80,MATCH($B1687,PERSONAL!$A$2:$A$80,0)),"NO EXISTE"))</f>
        <v/>
      </c>
      <c r="F1687" s="34">
        <f t="array" ref="F1687">IF($B1687="","",IFERROR(INDEX(PERSONAL!$C$2:$C$80,MATCH($B1687,PERSONAL!$A$2:$A$80,0)),""))</f>
        <v/>
      </c>
      <c r="G1687" s="34">
        <f>IF($A1687="","",CHOOSE(WEEKDAY($A1687,2),"LUNES","MARTES","MIÉRCOLES","JUEVES","VIERNES","SÁBADO","DOMINGO"))</f>
        <v/>
      </c>
      <c r="H1687" s="34">
        <f>IF($A1687="","",CHOOSE(MONTH($A1687),"ENERO","FEBRERO","MARZO","ABRIL","MAYO","JUNIO","JULIO","AGOSTO","SEPTIEMBRE","OCTUBRE","NOVIEMBRE","DICIEMBRE"))</f>
        <v/>
      </c>
      <c r="I1687" s="34">
        <f>IF($A1687="","",IF(OR($G1687="SÁBADO",$G1687="DOMINGO"),"FIN","LV"))</f>
        <v/>
      </c>
      <c r="J1687" s="34">
        <f>IF(OR($A1687="",$B1687=""),"",IF($L1687&lt;&gt;"",UPPER($L1687),IF($C1687="","FALTA",IFERROR(IF($C1687&gt;=$O1687,"ROJO FUERTE",IF($C1687&gt;=$N1687,"ROJO",IF($C1687&gt;=$M1687,"AMARILLO","VERDE"))),"REVISAR"))))</f>
        <v/>
      </c>
      <c r="K1687" s="36">
        <f>IF(OR($C1687="",$D1687=""),"",IF($D1687&gt;=$C1687,($D1687-$C1687)*24,(1-$C1687+$D1687)*24))</f>
        <v/>
      </c>
      <c r="L1687" s="34" t="n"/>
      <c r="M1687" s="53">
        <f t="array" ref="M1687">IFERROR(INDEX(EXCEPCIONES_FECHA!$D$2:$D$201,MATCH(1,(EXCEPCIONES_FECHA!$A$2:$A$201=$A1687)*(EXCEPCIONES_FECHA!$B$2:$B$201=$B1687),0)),IFERROR(INDEX(EXCEPCIONES_FECHA!$D$2:$D$201,MATCH(1,(EXCEPCIONES_FECHA!$A$2:$A$201=$A1687)*(EXCEPCIONES_FECHA!$B$2:$B$201=""),0)),IFERROR(INDEX(IF($I1687="FIN",HISTORIAL_HORARIOS!$J$2:$J$201,HISTORIAL_HORARIOS!$F$2:$F$201),MATCH(1,(HISTORIAL_HORARIOS!$A$2:$A$201=$B1687)*(HISTORIAL_HORARIOS!$C$2:$C$201&lt;=$A1687)*(HISTORIAL_HORARIOS!$D$2:$D$201&gt;=$A1687),0)),INDEX(IF($I1687="FIN",PERSONAL!$J$2:$J$80,PERSONAL!$F$2:$F$80),MATCH($B1687,PERSONAL!$A$2:$A$80,0)))))</f>
        <v/>
      </c>
      <c r="N1687" s="53">
        <f t="array" ref="N1687">IFERROR(INDEX(EXCEPCIONES_FECHA!$E$2:$E$201,MATCH(1,(EXCEPCIONES_FECHA!$A$2:$A$201=$A1687)*(EXCEPCIONES_FECHA!$B$2:$B$201=$B1687),0)),IFERROR(INDEX(EXCEPCIONES_FECHA!$E$2:$E$201,MATCH(1,(EXCEPCIONES_FECHA!$A$2:$A$201=$A1687)*(EXCEPCIONES_FECHA!$B$2:$B$201=""),0)),IFERROR(INDEX(IF($I1687="FIN",HISTORIAL_HORARIOS!$K$2:$K$201,HISTORIAL_HORARIOS!$G$2:$G$201),MATCH(1,(HISTORIAL_HORARIOS!$A$2:$A$201=$B1687)*(HISTORIAL_HORARIOS!$C$2:$C$201&lt;=$A1687)*(HISTORIAL_HORARIOS!$D$2:$D$201&gt;=$A1687),0)),INDEX(IF($I1687="FIN",PERSONAL!$K$2:$K$80,PERSONAL!$G$2:$G$80),MATCH($B1687,PERSONAL!$A$2:$A$80,0)))))</f>
        <v/>
      </c>
      <c r="O1687" s="53">
        <f t="array" ref="O1687">IFERROR(INDEX(EXCEPCIONES_FECHA!$F$2:$F$201,MATCH(1,(EXCEPCIONES_FECHA!$A$2:$A$201=$A1687)*(EXCEPCIONES_FECHA!$B$2:$B$201=$B1687),0)),IFERROR(INDEX(EXCEPCIONES_FECHA!$F$2:$F$201,MATCH(1,(EXCEPCIONES_FECHA!$A$2:$A$201=$A1687)*(EXCEPCIONES_FECHA!$B$2:$B$201=""),0)),IFERROR(INDEX(IF($I1687="FIN",HISTORIAL_HORARIOS!$L$2:$L$201,HISTORIAL_HORARIOS!$H$2:$H$201),MATCH(1,(HISTORIAL_HORARIOS!$A$2:$A$201=$B1687)*(HISTORIAL_HORARIOS!$C$2:$C$201&lt;=$A1687)*(HISTORIAL_HORARIOS!$D$2:$D$201&gt;=$A1687),0)),INDEX(IF($I1687="FIN",PERSONAL!$L$2:$L$80,PERSONAL!$H$2:$H$80),MATCH($B1687,PERSONAL!$A$2:$A$80,0)))))</f>
        <v/>
      </c>
    </row>
    <row r="1688" ht="15" customHeight="1" s="58">
      <c r="A1688" s="40" t="n"/>
      <c r="B1688" s="38" t="n"/>
      <c r="C1688" s="40" t="n"/>
      <c r="D1688" s="40" t="n"/>
      <c r="E1688" s="34">
        <f t="array" ref="E1688">IF($B1688="","",IFERROR(INDEX(PERSONAL!$B$2:$B$80,MATCH($B1688,PERSONAL!$A$2:$A$80,0)),"NO EXISTE"))</f>
        <v/>
      </c>
      <c r="F1688" s="34">
        <f t="array" ref="F1688">IF($B1688="","",IFERROR(INDEX(PERSONAL!$C$2:$C$80,MATCH($B1688,PERSONAL!$A$2:$A$80,0)),""))</f>
        <v/>
      </c>
      <c r="G1688" s="34">
        <f>IF($A1688="","",CHOOSE(WEEKDAY($A1688,2),"LUNES","MARTES","MIÉRCOLES","JUEVES","VIERNES","SÁBADO","DOMINGO"))</f>
        <v/>
      </c>
      <c r="H1688" s="34">
        <f>IF($A1688="","",CHOOSE(MONTH($A1688),"ENERO","FEBRERO","MARZO","ABRIL","MAYO","JUNIO","JULIO","AGOSTO","SEPTIEMBRE","OCTUBRE","NOVIEMBRE","DICIEMBRE"))</f>
        <v/>
      </c>
      <c r="I1688" s="34">
        <f>IF($A1688="","",IF(OR($G1688="SÁBADO",$G1688="DOMINGO"),"FIN","LV"))</f>
        <v/>
      </c>
      <c r="J1688" s="34">
        <f>IF(OR($A1688="",$B1688=""),"",IF($L1688&lt;&gt;"",UPPER($L1688),IF($C1688="","FALTA",IFERROR(IF($C1688&gt;=$O1688,"ROJO FUERTE",IF($C1688&gt;=$N1688,"ROJO",IF($C1688&gt;=$M1688,"AMARILLO","VERDE"))),"REVISAR"))))</f>
        <v/>
      </c>
      <c r="K1688" s="36">
        <f>IF(OR($C1688="",$D1688=""),"",IF($D1688&gt;=$C1688,($D1688-$C1688)*24,(1-$C1688+$D1688)*24))</f>
        <v/>
      </c>
      <c r="L1688" s="34" t="n"/>
      <c r="M1688" s="53">
        <f t="array" ref="M1688">IFERROR(INDEX(EXCEPCIONES_FECHA!$D$2:$D$201,MATCH(1,(EXCEPCIONES_FECHA!$A$2:$A$201=$A1688)*(EXCEPCIONES_FECHA!$B$2:$B$201=$B1688),0)),IFERROR(INDEX(EXCEPCIONES_FECHA!$D$2:$D$201,MATCH(1,(EXCEPCIONES_FECHA!$A$2:$A$201=$A1688)*(EXCEPCIONES_FECHA!$B$2:$B$201=""),0)),IFERROR(INDEX(IF($I1688="FIN",HISTORIAL_HORARIOS!$J$2:$J$201,HISTORIAL_HORARIOS!$F$2:$F$201),MATCH(1,(HISTORIAL_HORARIOS!$A$2:$A$201=$B1688)*(HISTORIAL_HORARIOS!$C$2:$C$201&lt;=$A1688)*(HISTORIAL_HORARIOS!$D$2:$D$201&gt;=$A1688),0)),INDEX(IF($I1688="FIN",PERSONAL!$J$2:$J$80,PERSONAL!$F$2:$F$80),MATCH($B1688,PERSONAL!$A$2:$A$80,0)))))</f>
        <v/>
      </c>
      <c r="N1688" s="53">
        <f t="array" ref="N1688">IFERROR(INDEX(EXCEPCIONES_FECHA!$E$2:$E$201,MATCH(1,(EXCEPCIONES_FECHA!$A$2:$A$201=$A1688)*(EXCEPCIONES_FECHA!$B$2:$B$201=$B1688),0)),IFERROR(INDEX(EXCEPCIONES_FECHA!$E$2:$E$201,MATCH(1,(EXCEPCIONES_FECHA!$A$2:$A$201=$A1688)*(EXCEPCIONES_FECHA!$B$2:$B$201=""),0)),IFERROR(INDEX(IF($I1688="FIN",HISTORIAL_HORARIOS!$K$2:$K$201,HISTORIAL_HORARIOS!$G$2:$G$201),MATCH(1,(HISTORIAL_HORARIOS!$A$2:$A$201=$B1688)*(HISTORIAL_HORARIOS!$C$2:$C$201&lt;=$A1688)*(HISTORIAL_HORARIOS!$D$2:$D$201&gt;=$A1688),0)),INDEX(IF($I1688="FIN",PERSONAL!$K$2:$K$80,PERSONAL!$G$2:$G$80),MATCH($B1688,PERSONAL!$A$2:$A$80,0)))))</f>
        <v/>
      </c>
      <c r="O1688" s="53">
        <f t="array" ref="O1688">IFERROR(INDEX(EXCEPCIONES_FECHA!$F$2:$F$201,MATCH(1,(EXCEPCIONES_FECHA!$A$2:$A$201=$A1688)*(EXCEPCIONES_FECHA!$B$2:$B$201=$B1688),0)),IFERROR(INDEX(EXCEPCIONES_FECHA!$F$2:$F$201,MATCH(1,(EXCEPCIONES_FECHA!$A$2:$A$201=$A1688)*(EXCEPCIONES_FECHA!$B$2:$B$201=""),0)),IFERROR(INDEX(IF($I1688="FIN",HISTORIAL_HORARIOS!$L$2:$L$201,HISTORIAL_HORARIOS!$H$2:$H$201),MATCH(1,(HISTORIAL_HORARIOS!$A$2:$A$201=$B1688)*(HISTORIAL_HORARIOS!$C$2:$C$201&lt;=$A1688)*(HISTORIAL_HORARIOS!$D$2:$D$201&gt;=$A1688),0)),INDEX(IF($I1688="FIN",PERSONAL!$L$2:$L$80,PERSONAL!$H$2:$H$80),MATCH($B1688,PERSONAL!$A$2:$A$80,0)))))</f>
        <v/>
      </c>
    </row>
    <row r="1689" ht="15" customHeight="1" s="58">
      <c r="A1689" s="40" t="n"/>
      <c r="B1689" s="38" t="n"/>
      <c r="C1689" s="40" t="n"/>
      <c r="D1689" s="40" t="n"/>
      <c r="E1689" s="34">
        <f t="array" ref="E1689">IF($B1689="","",IFERROR(INDEX(PERSONAL!$B$2:$B$80,MATCH($B1689,PERSONAL!$A$2:$A$80,0)),"NO EXISTE"))</f>
        <v/>
      </c>
      <c r="F1689" s="34">
        <f t="array" ref="F1689">IF($B1689="","",IFERROR(INDEX(PERSONAL!$C$2:$C$80,MATCH($B1689,PERSONAL!$A$2:$A$80,0)),""))</f>
        <v/>
      </c>
      <c r="G1689" s="34">
        <f>IF($A1689="","",CHOOSE(WEEKDAY($A1689,2),"LUNES","MARTES","MIÉRCOLES","JUEVES","VIERNES","SÁBADO","DOMINGO"))</f>
        <v/>
      </c>
      <c r="H1689" s="34">
        <f>IF($A1689="","",CHOOSE(MONTH($A1689),"ENERO","FEBRERO","MARZO","ABRIL","MAYO","JUNIO","JULIO","AGOSTO","SEPTIEMBRE","OCTUBRE","NOVIEMBRE","DICIEMBRE"))</f>
        <v/>
      </c>
      <c r="I1689" s="34">
        <f>IF($A1689="","",IF(OR($G1689="SÁBADO",$G1689="DOMINGO"),"FIN","LV"))</f>
        <v/>
      </c>
      <c r="J1689" s="34">
        <f>IF(OR($A1689="",$B1689=""),"",IF($L1689&lt;&gt;"",UPPER($L1689),IF($C1689="","FALTA",IFERROR(IF($C1689&gt;=$O1689,"ROJO FUERTE",IF($C1689&gt;=$N1689,"ROJO",IF($C1689&gt;=$M1689,"AMARILLO","VERDE"))),"REVISAR"))))</f>
        <v/>
      </c>
      <c r="K1689" s="36">
        <f>IF(OR($C1689="",$D1689=""),"",IF($D1689&gt;=$C1689,($D1689-$C1689)*24,(1-$C1689+$D1689)*24))</f>
        <v/>
      </c>
      <c r="L1689" s="34" t="n"/>
      <c r="M1689" s="53">
        <f t="array" ref="M1689">IFERROR(INDEX(EXCEPCIONES_FECHA!$D$2:$D$201,MATCH(1,(EXCEPCIONES_FECHA!$A$2:$A$201=$A1689)*(EXCEPCIONES_FECHA!$B$2:$B$201=$B1689),0)),IFERROR(INDEX(EXCEPCIONES_FECHA!$D$2:$D$201,MATCH(1,(EXCEPCIONES_FECHA!$A$2:$A$201=$A1689)*(EXCEPCIONES_FECHA!$B$2:$B$201=""),0)),IFERROR(INDEX(IF($I1689="FIN",HISTORIAL_HORARIOS!$J$2:$J$201,HISTORIAL_HORARIOS!$F$2:$F$201),MATCH(1,(HISTORIAL_HORARIOS!$A$2:$A$201=$B1689)*(HISTORIAL_HORARIOS!$C$2:$C$201&lt;=$A1689)*(HISTORIAL_HORARIOS!$D$2:$D$201&gt;=$A1689),0)),INDEX(IF($I1689="FIN",PERSONAL!$J$2:$J$80,PERSONAL!$F$2:$F$80),MATCH($B1689,PERSONAL!$A$2:$A$80,0)))))</f>
        <v/>
      </c>
      <c r="N1689" s="53">
        <f t="array" ref="N1689">IFERROR(INDEX(EXCEPCIONES_FECHA!$E$2:$E$201,MATCH(1,(EXCEPCIONES_FECHA!$A$2:$A$201=$A1689)*(EXCEPCIONES_FECHA!$B$2:$B$201=$B1689),0)),IFERROR(INDEX(EXCEPCIONES_FECHA!$E$2:$E$201,MATCH(1,(EXCEPCIONES_FECHA!$A$2:$A$201=$A1689)*(EXCEPCIONES_FECHA!$B$2:$B$201=""),0)),IFERROR(INDEX(IF($I1689="FIN",HISTORIAL_HORARIOS!$K$2:$K$201,HISTORIAL_HORARIOS!$G$2:$G$201),MATCH(1,(HISTORIAL_HORARIOS!$A$2:$A$201=$B1689)*(HISTORIAL_HORARIOS!$C$2:$C$201&lt;=$A1689)*(HISTORIAL_HORARIOS!$D$2:$D$201&gt;=$A1689),0)),INDEX(IF($I1689="FIN",PERSONAL!$K$2:$K$80,PERSONAL!$G$2:$G$80),MATCH($B1689,PERSONAL!$A$2:$A$80,0)))))</f>
        <v/>
      </c>
      <c r="O1689" s="53">
        <f t="array" ref="O1689">IFERROR(INDEX(EXCEPCIONES_FECHA!$F$2:$F$201,MATCH(1,(EXCEPCIONES_FECHA!$A$2:$A$201=$A1689)*(EXCEPCIONES_FECHA!$B$2:$B$201=$B1689),0)),IFERROR(INDEX(EXCEPCIONES_FECHA!$F$2:$F$201,MATCH(1,(EXCEPCIONES_FECHA!$A$2:$A$201=$A1689)*(EXCEPCIONES_FECHA!$B$2:$B$201=""),0)),IFERROR(INDEX(IF($I1689="FIN",HISTORIAL_HORARIOS!$L$2:$L$201,HISTORIAL_HORARIOS!$H$2:$H$201),MATCH(1,(HISTORIAL_HORARIOS!$A$2:$A$201=$B1689)*(HISTORIAL_HORARIOS!$C$2:$C$201&lt;=$A1689)*(HISTORIAL_HORARIOS!$D$2:$D$201&gt;=$A1689),0)),INDEX(IF($I1689="FIN",PERSONAL!$L$2:$L$80,PERSONAL!$H$2:$H$80),MATCH($B1689,PERSONAL!$A$2:$A$80,0)))))</f>
        <v/>
      </c>
    </row>
    <row r="1690" ht="15" customHeight="1" s="58">
      <c r="A1690" s="40" t="n"/>
      <c r="B1690" s="38" t="n"/>
      <c r="C1690" s="40" t="n"/>
      <c r="D1690" s="40" t="n"/>
      <c r="E1690" s="34">
        <f t="array" ref="E1690">IF($B1690="","",IFERROR(INDEX(PERSONAL!$B$2:$B$80,MATCH($B1690,PERSONAL!$A$2:$A$80,0)),"NO EXISTE"))</f>
        <v/>
      </c>
      <c r="F1690" s="34">
        <f t="array" ref="F1690">IF($B1690="","",IFERROR(INDEX(PERSONAL!$C$2:$C$80,MATCH($B1690,PERSONAL!$A$2:$A$80,0)),""))</f>
        <v/>
      </c>
      <c r="G1690" s="34">
        <f>IF($A1690="","",CHOOSE(WEEKDAY($A1690,2),"LUNES","MARTES","MIÉRCOLES","JUEVES","VIERNES","SÁBADO","DOMINGO"))</f>
        <v/>
      </c>
      <c r="H1690" s="34">
        <f>IF($A1690="","",CHOOSE(MONTH($A1690),"ENERO","FEBRERO","MARZO","ABRIL","MAYO","JUNIO","JULIO","AGOSTO","SEPTIEMBRE","OCTUBRE","NOVIEMBRE","DICIEMBRE"))</f>
        <v/>
      </c>
      <c r="I1690" s="34">
        <f>IF($A1690="","",IF(OR($G1690="SÁBADO",$G1690="DOMINGO"),"FIN","LV"))</f>
        <v/>
      </c>
      <c r="J1690" s="34">
        <f>IF(OR($A1690="",$B1690=""),"",IF($L1690&lt;&gt;"",UPPER($L1690),IF($C1690="","FALTA",IFERROR(IF($C1690&gt;=$O1690,"ROJO FUERTE",IF($C1690&gt;=$N1690,"ROJO",IF($C1690&gt;=$M1690,"AMARILLO","VERDE"))),"REVISAR"))))</f>
        <v/>
      </c>
      <c r="K1690" s="36">
        <f>IF(OR($C1690="",$D1690=""),"",IF($D1690&gt;=$C1690,($D1690-$C1690)*24,(1-$C1690+$D1690)*24))</f>
        <v/>
      </c>
      <c r="L1690" s="34" t="n"/>
      <c r="M1690" s="53">
        <f t="array" ref="M1690">IFERROR(INDEX(EXCEPCIONES_FECHA!$D$2:$D$201,MATCH(1,(EXCEPCIONES_FECHA!$A$2:$A$201=$A1690)*(EXCEPCIONES_FECHA!$B$2:$B$201=$B1690),0)),IFERROR(INDEX(EXCEPCIONES_FECHA!$D$2:$D$201,MATCH(1,(EXCEPCIONES_FECHA!$A$2:$A$201=$A1690)*(EXCEPCIONES_FECHA!$B$2:$B$201=""),0)),IFERROR(INDEX(IF($I1690="FIN",HISTORIAL_HORARIOS!$J$2:$J$201,HISTORIAL_HORARIOS!$F$2:$F$201),MATCH(1,(HISTORIAL_HORARIOS!$A$2:$A$201=$B1690)*(HISTORIAL_HORARIOS!$C$2:$C$201&lt;=$A1690)*(HISTORIAL_HORARIOS!$D$2:$D$201&gt;=$A1690),0)),INDEX(IF($I1690="FIN",PERSONAL!$J$2:$J$80,PERSONAL!$F$2:$F$80),MATCH($B1690,PERSONAL!$A$2:$A$80,0)))))</f>
        <v/>
      </c>
      <c r="N1690" s="53">
        <f t="array" ref="N1690">IFERROR(INDEX(EXCEPCIONES_FECHA!$E$2:$E$201,MATCH(1,(EXCEPCIONES_FECHA!$A$2:$A$201=$A1690)*(EXCEPCIONES_FECHA!$B$2:$B$201=$B1690),0)),IFERROR(INDEX(EXCEPCIONES_FECHA!$E$2:$E$201,MATCH(1,(EXCEPCIONES_FECHA!$A$2:$A$201=$A1690)*(EXCEPCIONES_FECHA!$B$2:$B$201=""),0)),IFERROR(INDEX(IF($I1690="FIN",HISTORIAL_HORARIOS!$K$2:$K$201,HISTORIAL_HORARIOS!$G$2:$G$201),MATCH(1,(HISTORIAL_HORARIOS!$A$2:$A$201=$B1690)*(HISTORIAL_HORARIOS!$C$2:$C$201&lt;=$A1690)*(HISTORIAL_HORARIOS!$D$2:$D$201&gt;=$A1690),0)),INDEX(IF($I1690="FIN",PERSONAL!$K$2:$K$80,PERSONAL!$G$2:$G$80),MATCH($B1690,PERSONAL!$A$2:$A$80,0)))))</f>
        <v/>
      </c>
      <c r="O1690" s="53">
        <f t="array" ref="O1690">IFERROR(INDEX(EXCEPCIONES_FECHA!$F$2:$F$201,MATCH(1,(EXCEPCIONES_FECHA!$A$2:$A$201=$A1690)*(EXCEPCIONES_FECHA!$B$2:$B$201=$B1690),0)),IFERROR(INDEX(EXCEPCIONES_FECHA!$F$2:$F$201,MATCH(1,(EXCEPCIONES_FECHA!$A$2:$A$201=$A1690)*(EXCEPCIONES_FECHA!$B$2:$B$201=""),0)),IFERROR(INDEX(IF($I1690="FIN",HISTORIAL_HORARIOS!$L$2:$L$201,HISTORIAL_HORARIOS!$H$2:$H$201),MATCH(1,(HISTORIAL_HORARIOS!$A$2:$A$201=$B1690)*(HISTORIAL_HORARIOS!$C$2:$C$201&lt;=$A1690)*(HISTORIAL_HORARIOS!$D$2:$D$201&gt;=$A1690),0)),INDEX(IF($I1690="FIN",PERSONAL!$L$2:$L$80,PERSONAL!$H$2:$H$80),MATCH($B1690,PERSONAL!$A$2:$A$80,0)))))</f>
        <v/>
      </c>
    </row>
    <row r="1691" ht="15" customHeight="1" s="58">
      <c r="A1691" s="40" t="n"/>
      <c r="B1691" s="38" t="n"/>
      <c r="C1691" s="40" t="n"/>
      <c r="D1691" s="40" t="n"/>
      <c r="E1691" s="34">
        <f t="array" ref="E1691">IF($B1691="","",IFERROR(INDEX(PERSONAL!$B$2:$B$80,MATCH($B1691,PERSONAL!$A$2:$A$80,0)),"NO EXISTE"))</f>
        <v/>
      </c>
      <c r="F1691" s="34">
        <f t="array" ref="F1691">IF($B1691="","",IFERROR(INDEX(PERSONAL!$C$2:$C$80,MATCH($B1691,PERSONAL!$A$2:$A$80,0)),""))</f>
        <v/>
      </c>
      <c r="G1691" s="34">
        <f>IF($A1691="","",CHOOSE(WEEKDAY($A1691,2),"LUNES","MARTES","MIÉRCOLES","JUEVES","VIERNES","SÁBADO","DOMINGO"))</f>
        <v/>
      </c>
      <c r="H1691" s="34">
        <f>IF($A1691="","",CHOOSE(MONTH($A1691),"ENERO","FEBRERO","MARZO","ABRIL","MAYO","JUNIO","JULIO","AGOSTO","SEPTIEMBRE","OCTUBRE","NOVIEMBRE","DICIEMBRE"))</f>
        <v/>
      </c>
      <c r="I1691" s="34">
        <f>IF($A1691="","",IF(OR($G1691="SÁBADO",$G1691="DOMINGO"),"FIN","LV"))</f>
        <v/>
      </c>
      <c r="J1691" s="34">
        <f>IF(OR($A1691="",$B1691=""),"",IF($L1691&lt;&gt;"",UPPER($L1691),IF($C1691="","FALTA",IFERROR(IF($C1691&gt;=$O1691,"ROJO FUERTE",IF($C1691&gt;=$N1691,"ROJO",IF($C1691&gt;=$M1691,"AMARILLO","VERDE"))),"REVISAR"))))</f>
        <v/>
      </c>
      <c r="K1691" s="36">
        <f>IF(OR($C1691="",$D1691=""),"",IF($D1691&gt;=$C1691,($D1691-$C1691)*24,(1-$C1691+$D1691)*24))</f>
        <v/>
      </c>
      <c r="L1691" s="34" t="n"/>
      <c r="M1691" s="53">
        <f t="array" ref="M1691">IFERROR(INDEX(EXCEPCIONES_FECHA!$D$2:$D$201,MATCH(1,(EXCEPCIONES_FECHA!$A$2:$A$201=$A1691)*(EXCEPCIONES_FECHA!$B$2:$B$201=$B1691),0)),IFERROR(INDEX(EXCEPCIONES_FECHA!$D$2:$D$201,MATCH(1,(EXCEPCIONES_FECHA!$A$2:$A$201=$A1691)*(EXCEPCIONES_FECHA!$B$2:$B$201=""),0)),IFERROR(INDEX(IF($I1691="FIN",HISTORIAL_HORARIOS!$J$2:$J$201,HISTORIAL_HORARIOS!$F$2:$F$201),MATCH(1,(HISTORIAL_HORARIOS!$A$2:$A$201=$B1691)*(HISTORIAL_HORARIOS!$C$2:$C$201&lt;=$A1691)*(HISTORIAL_HORARIOS!$D$2:$D$201&gt;=$A1691),0)),INDEX(IF($I1691="FIN",PERSONAL!$J$2:$J$80,PERSONAL!$F$2:$F$80),MATCH($B1691,PERSONAL!$A$2:$A$80,0)))))</f>
        <v/>
      </c>
      <c r="N1691" s="53">
        <f t="array" ref="N1691">IFERROR(INDEX(EXCEPCIONES_FECHA!$E$2:$E$201,MATCH(1,(EXCEPCIONES_FECHA!$A$2:$A$201=$A1691)*(EXCEPCIONES_FECHA!$B$2:$B$201=$B1691),0)),IFERROR(INDEX(EXCEPCIONES_FECHA!$E$2:$E$201,MATCH(1,(EXCEPCIONES_FECHA!$A$2:$A$201=$A1691)*(EXCEPCIONES_FECHA!$B$2:$B$201=""),0)),IFERROR(INDEX(IF($I1691="FIN",HISTORIAL_HORARIOS!$K$2:$K$201,HISTORIAL_HORARIOS!$G$2:$G$201),MATCH(1,(HISTORIAL_HORARIOS!$A$2:$A$201=$B1691)*(HISTORIAL_HORARIOS!$C$2:$C$201&lt;=$A1691)*(HISTORIAL_HORARIOS!$D$2:$D$201&gt;=$A1691),0)),INDEX(IF($I1691="FIN",PERSONAL!$K$2:$K$80,PERSONAL!$G$2:$G$80),MATCH($B1691,PERSONAL!$A$2:$A$80,0)))))</f>
        <v/>
      </c>
      <c r="O1691" s="53">
        <f t="array" ref="O1691">IFERROR(INDEX(EXCEPCIONES_FECHA!$F$2:$F$201,MATCH(1,(EXCEPCIONES_FECHA!$A$2:$A$201=$A1691)*(EXCEPCIONES_FECHA!$B$2:$B$201=$B1691),0)),IFERROR(INDEX(EXCEPCIONES_FECHA!$F$2:$F$201,MATCH(1,(EXCEPCIONES_FECHA!$A$2:$A$201=$A1691)*(EXCEPCIONES_FECHA!$B$2:$B$201=""),0)),IFERROR(INDEX(IF($I1691="FIN",HISTORIAL_HORARIOS!$L$2:$L$201,HISTORIAL_HORARIOS!$H$2:$H$201),MATCH(1,(HISTORIAL_HORARIOS!$A$2:$A$201=$B1691)*(HISTORIAL_HORARIOS!$C$2:$C$201&lt;=$A1691)*(HISTORIAL_HORARIOS!$D$2:$D$201&gt;=$A1691),0)),INDEX(IF($I1691="FIN",PERSONAL!$L$2:$L$80,PERSONAL!$H$2:$H$80),MATCH($B1691,PERSONAL!$A$2:$A$80,0)))))</f>
        <v/>
      </c>
    </row>
    <row r="1692" ht="15" customHeight="1" s="58">
      <c r="A1692" s="40" t="n"/>
      <c r="B1692" s="38" t="n"/>
      <c r="C1692" s="40" t="n"/>
      <c r="D1692" s="40" t="n"/>
      <c r="E1692" s="34">
        <f t="array" ref="E1692">IF($B1692="","",IFERROR(INDEX(PERSONAL!$B$2:$B$80,MATCH($B1692,PERSONAL!$A$2:$A$80,0)),"NO EXISTE"))</f>
        <v/>
      </c>
      <c r="F1692" s="34">
        <f t="array" ref="F1692">IF($B1692="","",IFERROR(INDEX(PERSONAL!$C$2:$C$80,MATCH($B1692,PERSONAL!$A$2:$A$80,0)),""))</f>
        <v/>
      </c>
      <c r="G1692" s="34">
        <f>IF($A1692="","",CHOOSE(WEEKDAY($A1692,2),"LUNES","MARTES","MIÉRCOLES","JUEVES","VIERNES","SÁBADO","DOMINGO"))</f>
        <v/>
      </c>
      <c r="H1692" s="34">
        <f>IF($A1692="","",CHOOSE(MONTH($A1692),"ENERO","FEBRERO","MARZO","ABRIL","MAYO","JUNIO","JULIO","AGOSTO","SEPTIEMBRE","OCTUBRE","NOVIEMBRE","DICIEMBRE"))</f>
        <v/>
      </c>
      <c r="I1692" s="34">
        <f>IF($A1692="","",IF(OR($G1692="SÁBADO",$G1692="DOMINGO"),"FIN","LV"))</f>
        <v/>
      </c>
      <c r="J1692" s="34">
        <f>IF(OR($A1692="",$B1692=""),"",IF($L1692&lt;&gt;"",UPPER($L1692),IF($C1692="","FALTA",IFERROR(IF($C1692&gt;=$O1692,"ROJO FUERTE",IF($C1692&gt;=$N1692,"ROJO",IF($C1692&gt;=$M1692,"AMARILLO","VERDE"))),"REVISAR"))))</f>
        <v/>
      </c>
      <c r="K1692" s="36">
        <f>IF(OR($C1692="",$D1692=""),"",IF($D1692&gt;=$C1692,($D1692-$C1692)*24,(1-$C1692+$D1692)*24))</f>
        <v/>
      </c>
      <c r="L1692" s="34" t="n"/>
      <c r="M1692" s="53">
        <f t="array" ref="M1692">IFERROR(INDEX(EXCEPCIONES_FECHA!$D$2:$D$201,MATCH(1,(EXCEPCIONES_FECHA!$A$2:$A$201=$A1692)*(EXCEPCIONES_FECHA!$B$2:$B$201=$B1692),0)),IFERROR(INDEX(EXCEPCIONES_FECHA!$D$2:$D$201,MATCH(1,(EXCEPCIONES_FECHA!$A$2:$A$201=$A1692)*(EXCEPCIONES_FECHA!$B$2:$B$201=""),0)),IFERROR(INDEX(IF($I1692="FIN",HISTORIAL_HORARIOS!$J$2:$J$201,HISTORIAL_HORARIOS!$F$2:$F$201),MATCH(1,(HISTORIAL_HORARIOS!$A$2:$A$201=$B1692)*(HISTORIAL_HORARIOS!$C$2:$C$201&lt;=$A1692)*(HISTORIAL_HORARIOS!$D$2:$D$201&gt;=$A1692),0)),INDEX(IF($I1692="FIN",PERSONAL!$J$2:$J$80,PERSONAL!$F$2:$F$80),MATCH($B1692,PERSONAL!$A$2:$A$80,0)))))</f>
        <v/>
      </c>
      <c r="N1692" s="53">
        <f t="array" ref="N1692">IFERROR(INDEX(EXCEPCIONES_FECHA!$E$2:$E$201,MATCH(1,(EXCEPCIONES_FECHA!$A$2:$A$201=$A1692)*(EXCEPCIONES_FECHA!$B$2:$B$201=$B1692),0)),IFERROR(INDEX(EXCEPCIONES_FECHA!$E$2:$E$201,MATCH(1,(EXCEPCIONES_FECHA!$A$2:$A$201=$A1692)*(EXCEPCIONES_FECHA!$B$2:$B$201=""),0)),IFERROR(INDEX(IF($I1692="FIN",HISTORIAL_HORARIOS!$K$2:$K$201,HISTORIAL_HORARIOS!$G$2:$G$201),MATCH(1,(HISTORIAL_HORARIOS!$A$2:$A$201=$B1692)*(HISTORIAL_HORARIOS!$C$2:$C$201&lt;=$A1692)*(HISTORIAL_HORARIOS!$D$2:$D$201&gt;=$A1692),0)),INDEX(IF($I1692="FIN",PERSONAL!$K$2:$K$80,PERSONAL!$G$2:$G$80),MATCH($B1692,PERSONAL!$A$2:$A$80,0)))))</f>
        <v/>
      </c>
      <c r="O1692" s="53">
        <f t="array" ref="O1692">IFERROR(INDEX(EXCEPCIONES_FECHA!$F$2:$F$201,MATCH(1,(EXCEPCIONES_FECHA!$A$2:$A$201=$A1692)*(EXCEPCIONES_FECHA!$B$2:$B$201=$B1692),0)),IFERROR(INDEX(EXCEPCIONES_FECHA!$F$2:$F$201,MATCH(1,(EXCEPCIONES_FECHA!$A$2:$A$201=$A1692)*(EXCEPCIONES_FECHA!$B$2:$B$201=""),0)),IFERROR(INDEX(IF($I1692="FIN",HISTORIAL_HORARIOS!$L$2:$L$201,HISTORIAL_HORARIOS!$H$2:$H$201),MATCH(1,(HISTORIAL_HORARIOS!$A$2:$A$201=$B1692)*(HISTORIAL_HORARIOS!$C$2:$C$201&lt;=$A1692)*(HISTORIAL_HORARIOS!$D$2:$D$201&gt;=$A1692),0)),INDEX(IF($I1692="FIN",PERSONAL!$L$2:$L$80,PERSONAL!$H$2:$H$80),MATCH($B1692,PERSONAL!$A$2:$A$80,0)))))</f>
        <v/>
      </c>
    </row>
    <row r="1693" ht="15" customHeight="1" s="58">
      <c r="A1693" s="40" t="n"/>
      <c r="B1693" s="38" t="n"/>
      <c r="C1693" s="40" t="n"/>
      <c r="D1693" s="40" t="n"/>
      <c r="E1693" s="34">
        <f t="array" ref="E1693">IF($B1693="","",IFERROR(INDEX(PERSONAL!$B$2:$B$80,MATCH($B1693,PERSONAL!$A$2:$A$80,0)),"NO EXISTE"))</f>
        <v/>
      </c>
      <c r="F1693" s="34">
        <f t="array" ref="F1693">IF($B1693="","",IFERROR(INDEX(PERSONAL!$C$2:$C$80,MATCH($B1693,PERSONAL!$A$2:$A$80,0)),""))</f>
        <v/>
      </c>
      <c r="G1693" s="34">
        <f>IF($A1693="","",CHOOSE(WEEKDAY($A1693,2),"LUNES","MARTES","MIÉRCOLES","JUEVES","VIERNES","SÁBADO","DOMINGO"))</f>
        <v/>
      </c>
      <c r="H1693" s="34">
        <f>IF($A1693="","",CHOOSE(MONTH($A1693),"ENERO","FEBRERO","MARZO","ABRIL","MAYO","JUNIO","JULIO","AGOSTO","SEPTIEMBRE","OCTUBRE","NOVIEMBRE","DICIEMBRE"))</f>
        <v/>
      </c>
      <c r="I1693" s="34">
        <f>IF($A1693="","",IF(OR($G1693="SÁBADO",$G1693="DOMINGO"),"FIN","LV"))</f>
        <v/>
      </c>
      <c r="J1693" s="34">
        <f>IF(OR($A1693="",$B1693=""),"",IF($L1693&lt;&gt;"",UPPER($L1693),IF($C1693="","FALTA",IFERROR(IF($C1693&gt;=$O1693,"ROJO FUERTE",IF($C1693&gt;=$N1693,"ROJO",IF($C1693&gt;=$M1693,"AMARILLO","VERDE"))),"REVISAR"))))</f>
        <v/>
      </c>
      <c r="K1693" s="36">
        <f>IF(OR($C1693="",$D1693=""),"",IF($D1693&gt;=$C1693,($D1693-$C1693)*24,(1-$C1693+$D1693)*24))</f>
        <v/>
      </c>
      <c r="L1693" s="34" t="n"/>
      <c r="M1693" s="53">
        <f t="array" ref="M1693">IFERROR(INDEX(EXCEPCIONES_FECHA!$D$2:$D$201,MATCH(1,(EXCEPCIONES_FECHA!$A$2:$A$201=$A1693)*(EXCEPCIONES_FECHA!$B$2:$B$201=$B1693),0)),IFERROR(INDEX(EXCEPCIONES_FECHA!$D$2:$D$201,MATCH(1,(EXCEPCIONES_FECHA!$A$2:$A$201=$A1693)*(EXCEPCIONES_FECHA!$B$2:$B$201=""),0)),IFERROR(INDEX(IF($I1693="FIN",HISTORIAL_HORARIOS!$J$2:$J$201,HISTORIAL_HORARIOS!$F$2:$F$201),MATCH(1,(HISTORIAL_HORARIOS!$A$2:$A$201=$B1693)*(HISTORIAL_HORARIOS!$C$2:$C$201&lt;=$A1693)*(HISTORIAL_HORARIOS!$D$2:$D$201&gt;=$A1693),0)),INDEX(IF($I1693="FIN",PERSONAL!$J$2:$J$80,PERSONAL!$F$2:$F$80),MATCH($B1693,PERSONAL!$A$2:$A$80,0)))))</f>
        <v/>
      </c>
      <c r="N1693" s="53">
        <f t="array" ref="N1693">IFERROR(INDEX(EXCEPCIONES_FECHA!$E$2:$E$201,MATCH(1,(EXCEPCIONES_FECHA!$A$2:$A$201=$A1693)*(EXCEPCIONES_FECHA!$B$2:$B$201=$B1693),0)),IFERROR(INDEX(EXCEPCIONES_FECHA!$E$2:$E$201,MATCH(1,(EXCEPCIONES_FECHA!$A$2:$A$201=$A1693)*(EXCEPCIONES_FECHA!$B$2:$B$201=""),0)),IFERROR(INDEX(IF($I1693="FIN",HISTORIAL_HORARIOS!$K$2:$K$201,HISTORIAL_HORARIOS!$G$2:$G$201),MATCH(1,(HISTORIAL_HORARIOS!$A$2:$A$201=$B1693)*(HISTORIAL_HORARIOS!$C$2:$C$201&lt;=$A1693)*(HISTORIAL_HORARIOS!$D$2:$D$201&gt;=$A1693),0)),INDEX(IF($I1693="FIN",PERSONAL!$K$2:$K$80,PERSONAL!$G$2:$G$80),MATCH($B1693,PERSONAL!$A$2:$A$80,0)))))</f>
        <v/>
      </c>
      <c r="O1693" s="53">
        <f t="array" ref="O1693">IFERROR(INDEX(EXCEPCIONES_FECHA!$F$2:$F$201,MATCH(1,(EXCEPCIONES_FECHA!$A$2:$A$201=$A1693)*(EXCEPCIONES_FECHA!$B$2:$B$201=$B1693),0)),IFERROR(INDEX(EXCEPCIONES_FECHA!$F$2:$F$201,MATCH(1,(EXCEPCIONES_FECHA!$A$2:$A$201=$A1693)*(EXCEPCIONES_FECHA!$B$2:$B$201=""),0)),IFERROR(INDEX(IF($I1693="FIN",HISTORIAL_HORARIOS!$L$2:$L$201,HISTORIAL_HORARIOS!$H$2:$H$201),MATCH(1,(HISTORIAL_HORARIOS!$A$2:$A$201=$B1693)*(HISTORIAL_HORARIOS!$C$2:$C$201&lt;=$A1693)*(HISTORIAL_HORARIOS!$D$2:$D$201&gt;=$A1693),0)),INDEX(IF($I1693="FIN",PERSONAL!$L$2:$L$80,PERSONAL!$H$2:$H$80),MATCH($B1693,PERSONAL!$A$2:$A$80,0)))))</f>
        <v/>
      </c>
    </row>
    <row r="1694" ht="15" customHeight="1" s="58">
      <c r="A1694" s="40" t="n"/>
      <c r="B1694" s="38" t="n"/>
      <c r="C1694" s="40" t="n"/>
      <c r="D1694" s="40" t="n"/>
      <c r="E1694" s="34">
        <f t="array" ref="E1694">IF($B1694="","",IFERROR(INDEX(PERSONAL!$B$2:$B$80,MATCH($B1694,PERSONAL!$A$2:$A$80,0)),"NO EXISTE"))</f>
        <v/>
      </c>
      <c r="F1694" s="34">
        <f t="array" ref="F1694">IF($B1694="","",IFERROR(INDEX(PERSONAL!$C$2:$C$80,MATCH($B1694,PERSONAL!$A$2:$A$80,0)),""))</f>
        <v/>
      </c>
      <c r="G1694" s="34">
        <f>IF($A1694="","",CHOOSE(WEEKDAY($A1694,2),"LUNES","MARTES","MIÉRCOLES","JUEVES","VIERNES","SÁBADO","DOMINGO"))</f>
        <v/>
      </c>
      <c r="H1694" s="34">
        <f>IF($A1694="","",CHOOSE(MONTH($A1694),"ENERO","FEBRERO","MARZO","ABRIL","MAYO","JUNIO","JULIO","AGOSTO","SEPTIEMBRE","OCTUBRE","NOVIEMBRE","DICIEMBRE"))</f>
        <v/>
      </c>
      <c r="I1694" s="34">
        <f>IF($A1694="","",IF(OR($G1694="SÁBADO",$G1694="DOMINGO"),"FIN","LV"))</f>
        <v/>
      </c>
      <c r="J1694" s="34">
        <f>IF(OR($A1694="",$B1694=""),"",IF($L1694&lt;&gt;"",UPPER($L1694),IF($C1694="","FALTA",IFERROR(IF($C1694&gt;=$O1694,"ROJO FUERTE",IF($C1694&gt;=$N1694,"ROJO",IF($C1694&gt;=$M1694,"AMARILLO","VERDE"))),"REVISAR"))))</f>
        <v/>
      </c>
      <c r="K1694" s="36">
        <f>IF(OR($C1694="",$D1694=""),"",IF($D1694&gt;=$C1694,($D1694-$C1694)*24,(1-$C1694+$D1694)*24))</f>
        <v/>
      </c>
      <c r="L1694" s="34" t="n"/>
      <c r="M1694" s="53">
        <f t="array" ref="M1694">IFERROR(INDEX(EXCEPCIONES_FECHA!$D$2:$D$201,MATCH(1,(EXCEPCIONES_FECHA!$A$2:$A$201=$A1694)*(EXCEPCIONES_FECHA!$B$2:$B$201=$B1694),0)),IFERROR(INDEX(EXCEPCIONES_FECHA!$D$2:$D$201,MATCH(1,(EXCEPCIONES_FECHA!$A$2:$A$201=$A1694)*(EXCEPCIONES_FECHA!$B$2:$B$201=""),0)),IFERROR(INDEX(IF($I1694="FIN",HISTORIAL_HORARIOS!$J$2:$J$201,HISTORIAL_HORARIOS!$F$2:$F$201),MATCH(1,(HISTORIAL_HORARIOS!$A$2:$A$201=$B1694)*(HISTORIAL_HORARIOS!$C$2:$C$201&lt;=$A1694)*(HISTORIAL_HORARIOS!$D$2:$D$201&gt;=$A1694),0)),INDEX(IF($I1694="FIN",PERSONAL!$J$2:$J$80,PERSONAL!$F$2:$F$80),MATCH($B1694,PERSONAL!$A$2:$A$80,0)))))</f>
        <v/>
      </c>
      <c r="N1694" s="53">
        <f t="array" ref="N1694">IFERROR(INDEX(EXCEPCIONES_FECHA!$E$2:$E$201,MATCH(1,(EXCEPCIONES_FECHA!$A$2:$A$201=$A1694)*(EXCEPCIONES_FECHA!$B$2:$B$201=$B1694),0)),IFERROR(INDEX(EXCEPCIONES_FECHA!$E$2:$E$201,MATCH(1,(EXCEPCIONES_FECHA!$A$2:$A$201=$A1694)*(EXCEPCIONES_FECHA!$B$2:$B$201=""),0)),IFERROR(INDEX(IF($I1694="FIN",HISTORIAL_HORARIOS!$K$2:$K$201,HISTORIAL_HORARIOS!$G$2:$G$201),MATCH(1,(HISTORIAL_HORARIOS!$A$2:$A$201=$B1694)*(HISTORIAL_HORARIOS!$C$2:$C$201&lt;=$A1694)*(HISTORIAL_HORARIOS!$D$2:$D$201&gt;=$A1694),0)),INDEX(IF($I1694="FIN",PERSONAL!$K$2:$K$80,PERSONAL!$G$2:$G$80),MATCH($B1694,PERSONAL!$A$2:$A$80,0)))))</f>
        <v/>
      </c>
      <c r="O1694" s="53">
        <f t="array" ref="O1694">IFERROR(INDEX(EXCEPCIONES_FECHA!$F$2:$F$201,MATCH(1,(EXCEPCIONES_FECHA!$A$2:$A$201=$A1694)*(EXCEPCIONES_FECHA!$B$2:$B$201=$B1694),0)),IFERROR(INDEX(EXCEPCIONES_FECHA!$F$2:$F$201,MATCH(1,(EXCEPCIONES_FECHA!$A$2:$A$201=$A1694)*(EXCEPCIONES_FECHA!$B$2:$B$201=""),0)),IFERROR(INDEX(IF($I1694="FIN",HISTORIAL_HORARIOS!$L$2:$L$201,HISTORIAL_HORARIOS!$H$2:$H$201),MATCH(1,(HISTORIAL_HORARIOS!$A$2:$A$201=$B1694)*(HISTORIAL_HORARIOS!$C$2:$C$201&lt;=$A1694)*(HISTORIAL_HORARIOS!$D$2:$D$201&gt;=$A1694),0)),INDEX(IF($I1694="FIN",PERSONAL!$L$2:$L$80,PERSONAL!$H$2:$H$80),MATCH($B1694,PERSONAL!$A$2:$A$80,0)))))</f>
        <v/>
      </c>
    </row>
    <row r="1695" ht="15" customHeight="1" s="58">
      <c r="A1695" s="40" t="n"/>
      <c r="B1695" s="38" t="n"/>
      <c r="C1695" s="40" t="n"/>
      <c r="D1695" s="40" t="n"/>
      <c r="E1695" s="34">
        <f t="array" ref="E1695">IF($B1695="","",IFERROR(INDEX(PERSONAL!$B$2:$B$80,MATCH($B1695,PERSONAL!$A$2:$A$80,0)),"NO EXISTE"))</f>
        <v/>
      </c>
      <c r="F1695" s="34">
        <f t="array" ref="F1695">IF($B1695="","",IFERROR(INDEX(PERSONAL!$C$2:$C$80,MATCH($B1695,PERSONAL!$A$2:$A$80,0)),""))</f>
        <v/>
      </c>
      <c r="G1695" s="34">
        <f>IF($A1695="","",CHOOSE(WEEKDAY($A1695,2),"LUNES","MARTES","MIÉRCOLES","JUEVES","VIERNES","SÁBADO","DOMINGO"))</f>
        <v/>
      </c>
      <c r="H1695" s="34">
        <f>IF($A1695="","",CHOOSE(MONTH($A1695),"ENERO","FEBRERO","MARZO","ABRIL","MAYO","JUNIO","JULIO","AGOSTO","SEPTIEMBRE","OCTUBRE","NOVIEMBRE","DICIEMBRE"))</f>
        <v/>
      </c>
      <c r="I1695" s="34">
        <f>IF($A1695="","",IF(OR($G1695="SÁBADO",$G1695="DOMINGO"),"FIN","LV"))</f>
        <v/>
      </c>
      <c r="J1695" s="34">
        <f>IF(OR($A1695="",$B1695=""),"",IF($L1695&lt;&gt;"",UPPER($L1695),IF($C1695="","FALTA",IFERROR(IF($C1695&gt;=$O1695,"ROJO FUERTE",IF($C1695&gt;=$N1695,"ROJO",IF($C1695&gt;=$M1695,"AMARILLO","VERDE"))),"REVISAR"))))</f>
        <v/>
      </c>
      <c r="K1695" s="36">
        <f>IF(OR($C1695="",$D1695=""),"",IF($D1695&gt;=$C1695,($D1695-$C1695)*24,(1-$C1695+$D1695)*24))</f>
        <v/>
      </c>
      <c r="L1695" s="34" t="n"/>
      <c r="M1695" s="53">
        <f t="array" ref="M1695">IFERROR(INDEX(EXCEPCIONES_FECHA!$D$2:$D$201,MATCH(1,(EXCEPCIONES_FECHA!$A$2:$A$201=$A1695)*(EXCEPCIONES_FECHA!$B$2:$B$201=$B1695),0)),IFERROR(INDEX(EXCEPCIONES_FECHA!$D$2:$D$201,MATCH(1,(EXCEPCIONES_FECHA!$A$2:$A$201=$A1695)*(EXCEPCIONES_FECHA!$B$2:$B$201=""),0)),IFERROR(INDEX(IF($I1695="FIN",HISTORIAL_HORARIOS!$J$2:$J$201,HISTORIAL_HORARIOS!$F$2:$F$201),MATCH(1,(HISTORIAL_HORARIOS!$A$2:$A$201=$B1695)*(HISTORIAL_HORARIOS!$C$2:$C$201&lt;=$A1695)*(HISTORIAL_HORARIOS!$D$2:$D$201&gt;=$A1695),0)),INDEX(IF($I1695="FIN",PERSONAL!$J$2:$J$80,PERSONAL!$F$2:$F$80),MATCH($B1695,PERSONAL!$A$2:$A$80,0)))))</f>
        <v/>
      </c>
      <c r="N1695" s="53">
        <f t="array" ref="N1695">IFERROR(INDEX(EXCEPCIONES_FECHA!$E$2:$E$201,MATCH(1,(EXCEPCIONES_FECHA!$A$2:$A$201=$A1695)*(EXCEPCIONES_FECHA!$B$2:$B$201=$B1695),0)),IFERROR(INDEX(EXCEPCIONES_FECHA!$E$2:$E$201,MATCH(1,(EXCEPCIONES_FECHA!$A$2:$A$201=$A1695)*(EXCEPCIONES_FECHA!$B$2:$B$201=""),0)),IFERROR(INDEX(IF($I1695="FIN",HISTORIAL_HORARIOS!$K$2:$K$201,HISTORIAL_HORARIOS!$G$2:$G$201),MATCH(1,(HISTORIAL_HORARIOS!$A$2:$A$201=$B1695)*(HISTORIAL_HORARIOS!$C$2:$C$201&lt;=$A1695)*(HISTORIAL_HORARIOS!$D$2:$D$201&gt;=$A1695),0)),INDEX(IF($I1695="FIN",PERSONAL!$K$2:$K$80,PERSONAL!$G$2:$G$80),MATCH($B1695,PERSONAL!$A$2:$A$80,0)))))</f>
        <v/>
      </c>
      <c r="O1695" s="53">
        <f t="array" ref="O1695">IFERROR(INDEX(EXCEPCIONES_FECHA!$F$2:$F$201,MATCH(1,(EXCEPCIONES_FECHA!$A$2:$A$201=$A1695)*(EXCEPCIONES_FECHA!$B$2:$B$201=$B1695),0)),IFERROR(INDEX(EXCEPCIONES_FECHA!$F$2:$F$201,MATCH(1,(EXCEPCIONES_FECHA!$A$2:$A$201=$A1695)*(EXCEPCIONES_FECHA!$B$2:$B$201=""),0)),IFERROR(INDEX(IF($I1695="FIN",HISTORIAL_HORARIOS!$L$2:$L$201,HISTORIAL_HORARIOS!$H$2:$H$201),MATCH(1,(HISTORIAL_HORARIOS!$A$2:$A$201=$B1695)*(HISTORIAL_HORARIOS!$C$2:$C$201&lt;=$A1695)*(HISTORIAL_HORARIOS!$D$2:$D$201&gt;=$A1695),0)),INDEX(IF($I1695="FIN",PERSONAL!$L$2:$L$80,PERSONAL!$H$2:$H$80),MATCH($B1695,PERSONAL!$A$2:$A$80,0)))))</f>
        <v/>
      </c>
    </row>
    <row r="1696" ht="15" customHeight="1" s="58">
      <c r="A1696" s="40" t="n"/>
      <c r="B1696" s="38" t="n"/>
      <c r="C1696" s="40" t="n"/>
      <c r="D1696" s="40" t="n"/>
      <c r="E1696" s="34">
        <f t="array" ref="E1696">IF($B1696="","",IFERROR(INDEX(PERSONAL!$B$2:$B$80,MATCH($B1696,PERSONAL!$A$2:$A$80,0)),"NO EXISTE"))</f>
        <v/>
      </c>
      <c r="F1696" s="34">
        <f t="array" ref="F1696">IF($B1696="","",IFERROR(INDEX(PERSONAL!$C$2:$C$80,MATCH($B1696,PERSONAL!$A$2:$A$80,0)),""))</f>
        <v/>
      </c>
      <c r="G1696" s="34">
        <f>IF($A1696="","",CHOOSE(WEEKDAY($A1696,2),"LUNES","MARTES","MIÉRCOLES","JUEVES","VIERNES","SÁBADO","DOMINGO"))</f>
        <v/>
      </c>
      <c r="H1696" s="34">
        <f>IF($A1696="","",CHOOSE(MONTH($A1696),"ENERO","FEBRERO","MARZO","ABRIL","MAYO","JUNIO","JULIO","AGOSTO","SEPTIEMBRE","OCTUBRE","NOVIEMBRE","DICIEMBRE"))</f>
        <v/>
      </c>
      <c r="I1696" s="34">
        <f>IF($A1696="","",IF(OR($G1696="SÁBADO",$G1696="DOMINGO"),"FIN","LV"))</f>
        <v/>
      </c>
      <c r="J1696" s="34">
        <f>IF(OR($A1696="",$B1696=""),"",IF($L1696&lt;&gt;"",UPPER($L1696),IF($C1696="","FALTA",IFERROR(IF($C1696&gt;=$O1696,"ROJO FUERTE",IF($C1696&gt;=$N1696,"ROJO",IF($C1696&gt;=$M1696,"AMARILLO","VERDE"))),"REVISAR"))))</f>
        <v/>
      </c>
      <c r="K1696" s="36">
        <f>IF(OR($C1696="",$D1696=""),"",IF($D1696&gt;=$C1696,($D1696-$C1696)*24,(1-$C1696+$D1696)*24))</f>
        <v/>
      </c>
      <c r="L1696" s="34" t="n"/>
      <c r="M1696" s="53">
        <f t="array" ref="M1696">IFERROR(INDEX(EXCEPCIONES_FECHA!$D$2:$D$201,MATCH(1,(EXCEPCIONES_FECHA!$A$2:$A$201=$A1696)*(EXCEPCIONES_FECHA!$B$2:$B$201=$B1696),0)),IFERROR(INDEX(EXCEPCIONES_FECHA!$D$2:$D$201,MATCH(1,(EXCEPCIONES_FECHA!$A$2:$A$201=$A1696)*(EXCEPCIONES_FECHA!$B$2:$B$201=""),0)),IFERROR(INDEX(IF($I1696="FIN",HISTORIAL_HORARIOS!$J$2:$J$201,HISTORIAL_HORARIOS!$F$2:$F$201),MATCH(1,(HISTORIAL_HORARIOS!$A$2:$A$201=$B1696)*(HISTORIAL_HORARIOS!$C$2:$C$201&lt;=$A1696)*(HISTORIAL_HORARIOS!$D$2:$D$201&gt;=$A1696),0)),INDEX(IF($I1696="FIN",PERSONAL!$J$2:$J$80,PERSONAL!$F$2:$F$80),MATCH($B1696,PERSONAL!$A$2:$A$80,0)))))</f>
        <v/>
      </c>
      <c r="N1696" s="53">
        <f t="array" ref="N1696">IFERROR(INDEX(EXCEPCIONES_FECHA!$E$2:$E$201,MATCH(1,(EXCEPCIONES_FECHA!$A$2:$A$201=$A1696)*(EXCEPCIONES_FECHA!$B$2:$B$201=$B1696),0)),IFERROR(INDEX(EXCEPCIONES_FECHA!$E$2:$E$201,MATCH(1,(EXCEPCIONES_FECHA!$A$2:$A$201=$A1696)*(EXCEPCIONES_FECHA!$B$2:$B$201=""),0)),IFERROR(INDEX(IF($I1696="FIN",HISTORIAL_HORARIOS!$K$2:$K$201,HISTORIAL_HORARIOS!$G$2:$G$201),MATCH(1,(HISTORIAL_HORARIOS!$A$2:$A$201=$B1696)*(HISTORIAL_HORARIOS!$C$2:$C$201&lt;=$A1696)*(HISTORIAL_HORARIOS!$D$2:$D$201&gt;=$A1696),0)),INDEX(IF($I1696="FIN",PERSONAL!$K$2:$K$80,PERSONAL!$G$2:$G$80),MATCH($B1696,PERSONAL!$A$2:$A$80,0)))))</f>
        <v/>
      </c>
      <c r="O1696" s="53">
        <f t="array" ref="O1696">IFERROR(INDEX(EXCEPCIONES_FECHA!$F$2:$F$201,MATCH(1,(EXCEPCIONES_FECHA!$A$2:$A$201=$A1696)*(EXCEPCIONES_FECHA!$B$2:$B$201=$B1696),0)),IFERROR(INDEX(EXCEPCIONES_FECHA!$F$2:$F$201,MATCH(1,(EXCEPCIONES_FECHA!$A$2:$A$201=$A1696)*(EXCEPCIONES_FECHA!$B$2:$B$201=""),0)),IFERROR(INDEX(IF($I1696="FIN",HISTORIAL_HORARIOS!$L$2:$L$201,HISTORIAL_HORARIOS!$H$2:$H$201),MATCH(1,(HISTORIAL_HORARIOS!$A$2:$A$201=$B1696)*(HISTORIAL_HORARIOS!$C$2:$C$201&lt;=$A1696)*(HISTORIAL_HORARIOS!$D$2:$D$201&gt;=$A1696),0)),INDEX(IF($I1696="FIN",PERSONAL!$L$2:$L$80,PERSONAL!$H$2:$H$80),MATCH($B1696,PERSONAL!$A$2:$A$80,0)))))</f>
        <v/>
      </c>
    </row>
    <row r="1697" ht="15" customHeight="1" s="58">
      <c r="A1697" s="40" t="n"/>
      <c r="B1697" s="38" t="n"/>
      <c r="C1697" s="40" t="n"/>
      <c r="D1697" s="40" t="n"/>
      <c r="E1697" s="34">
        <f t="array" ref="E1697">IF($B1697="","",IFERROR(INDEX(PERSONAL!$B$2:$B$80,MATCH($B1697,PERSONAL!$A$2:$A$80,0)),"NO EXISTE"))</f>
        <v/>
      </c>
      <c r="F1697" s="34">
        <f t="array" ref="F1697">IF($B1697="","",IFERROR(INDEX(PERSONAL!$C$2:$C$80,MATCH($B1697,PERSONAL!$A$2:$A$80,0)),""))</f>
        <v/>
      </c>
      <c r="G1697" s="34">
        <f>IF($A1697="","",CHOOSE(WEEKDAY($A1697,2),"LUNES","MARTES","MIÉRCOLES","JUEVES","VIERNES","SÁBADO","DOMINGO"))</f>
        <v/>
      </c>
      <c r="H1697" s="34">
        <f>IF($A1697="","",CHOOSE(MONTH($A1697),"ENERO","FEBRERO","MARZO","ABRIL","MAYO","JUNIO","JULIO","AGOSTO","SEPTIEMBRE","OCTUBRE","NOVIEMBRE","DICIEMBRE"))</f>
        <v/>
      </c>
      <c r="I1697" s="34">
        <f>IF($A1697="","",IF(OR($G1697="SÁBADO",$G1697="DOMINGO"),"FIN","LV"))</f>
        <v/>
      </c>
      <c r="J1697" s="34">
        <f>IF(OR($A1697="",$B1697=""),"",IF($L1697&lt;&gt;"",UPPER($L1697),IF($C1697="","FALTA",IFERROR(IF($C1697&gt;=$O1697,"ROJO FUERTE",IF($C1697&gt;=$N1697,"ROJO",IF($C1697&gt;=$M1697,"AMARILLO","VERDE"))),"REVISAR"))))</f>
        <v/>
      </c>
      <c r="K1697" s="36">
        <f>IF(OR($C1697="",$D1697=""),"",IF($D1697&gt;=$C1697,($D1697-$C1697)*24,(1-$C1697+$D1697)*24))</f>
        <v/>
      </c>
      <c r="L1697" s="34" t="n"/>
      <c r="M1697" s="53">
        <f t="array" ref="M1697">IFERROR(INDEX(EXCEPCIONES_FECHA!$D$2:$D$201,MATCH(1,(EXCEPCIONES_FECHA!$A$2:$A$201=$A1697)*(EXCEPCIONES_FECHA!$B$2:$B$201=$B1697),0)),IFERROR(INDEX(EXCEPCIONES_FECHA!$D$2:$D$201,MATCH(1,(EXCEPCIONES_FECHA!$A$2:$A$201=$A1697)*(EXCEPCIONES_FECHA!$B$2:$B$201=""),0)),IFERROR(INDEX(IF($I1697="FIN",HISTORIAL_HORARIOS!$J$2:$J$201,HISTORIAL_HORARIOS!$F$2:$F$201),MATCH(1,(HISTORIAL_HORARIOS!$A$2:$A$201=$B1697)*(HISTORIAL_HORARIOS!$C$2:$C$201&lt;=$A1697)*(HISTORIAL_HORARIOS!$D$2:$D$201&gt;=$A1697),0)),INDEX(IF($I1697="FIN",PERSONAL!$J$2:$J$80,PERSONAL!$F$2:$F$80),MATCH($B1697,PERSONAL!$A$2:$A$80,0)))))</f>
        <v/>
      </c>
      <c r="N1697" s="53">
        <f t="array" ref="N1697">IFERROR(INDEX(EXCEPCIONES_FECHA!$E$2:$E$201,MATCH(1,(EXCEPCIONES_FECHA!$A$2:$A$201=$A1697)*(EXCEPCIONES_FECHA!$B$2:$B$201=$B1697),0)),IFERROR(INDEX(EXCEPCIONES_FECHA!$E$2:$E$201,MATCH(1,(EXCEPCIONES_FECHA!$A$2:$A$201=$A1697)*(EXCEPCIONES_FECHA!$B$2:$B$201=""),0)),IFERROR(INDEX(IF($I1697="FIN",HISTORIAL_HORARIOS!$K$2:$K$201,HISTORIAL_HORARIOS!$G$2:$G$201),MATCH(1,(HISTORIAL_HORARIOS!$A$2:$A$201=$B1697)*(HISTORIAL_HORARIOS!$C$2:$C$201&lt;=$A1697)*(HISTORIAL_HORARIOS!$D$2:$D$201&gt;=$A1697),0)),INDEX(IF($I1697="FIN",PERSONAL!$K$2:$K$80,PERSONAL!$G$2:$G$80),MATCH($B1697,PERSONAL!$A$2:$A$80,0)))))</f>
        <v/>
      </c>
      <c r="O1697" s="53">
        <f t="array" ref="O1697">IFERROR(INDEX(EXCEPCIONES_FECHA!$F$2:$F$201,MATCH(1,(EXCEPCIONES_FECHA!$A$2:$A$201=$A1697)*(EXCEPCIONES_FECHA!$B$2:$B$201=$B1697),0)),IFERROR(INDEX(EXCEPCIONES_FECHA!$F$2:$F$201,MATCH(1,(EXCEPCIONES_FECHA!$A$2:$A$201=$A1697)*(EXCEPCIONES_FECHA!$B$2:$B$201=""),0)),IFERROR(INDEX(IF($I1697="FIN",HISTORIAL_HORARIOS!$L$2:$L$201,HISTORIAL_HORARIOS!$H$2:$H$201),MATCH(1,(HISTORIAL_HORARIOS!$A$2:$A$201=$B1697)*(HISTORIAL_HORARIOS!$C$2:$C$201&lt;=$A1697)*(HISTORIAL_HORARIOS!$D$2:$D$201&gt;=$A1697),0)),INDEX(IF($I1697="FIN",PERSONAL!$L$2:$L$80,PERSONAL!$H$2:$H$80),MATCH($B1697,PERSONAL!$A$2:$A$80,0)))))</f>
        <v/>
      </c>
    </row>
    <row r="1698" ht="15" customHeight="1" s="58">
      <c r="A1698" s="40" t="n"/>
      <c r="B1698" s="38" t="n"/>
      <c r="C1698" s="40" t="n"/>
      <c r="D1698" s="40" t="n"/>
      <c r="E1698" s="34">
        <f t="array" ref="E1698">IF($B1698="","",IFERROR(INDEX(PERSONAL!$B$2:$B$80,MATCH($B1698,PERSONAL!$A$2:$A$80,0)),"NO EXISTE"))</f>
        <v/>
      </c>
      <c r="F1698" s="34">
        <f t="array" ref="F1698">IF($B1698="","",IFERROR(INDEX(PERSONAL!$C$2:$C$80,MATCH($B1698,PERSONAL!$A$2:$A$80,0)),""))</f>
        <v/>
      </c>
      <c r="G1698" s="34">
        <f>IF($A1698="","",CHOOSE(WEEKDAY($A1698,2),"LUNES","MARTES","MIÉRCOLES","JUEVES","VIERNES","SÁBADO","DOMINGO"))</f>
        <v/>
      </c>
      <c r="H1698" s="34">
        <f>IF($A1698="","",CHOOSE(MONTH($A1698),"ENERO","FEBRERO","MARZO","ABRIL","MAYO","JUNIO","JULIO","AGOSTO","SEPTIEMBRE","OCTUBRE","NOVIEMBRE","DICIEMBRE"))</f>
        <v/>
      </c>
      <c r="I1698" s="34">
        <f>IF($A1698="","",IF(OR($G1698="SÁBADO",$G1698="DOMINGO"),"FIN","LV"))</f>
        <v/>
      </c>
      <c r="J1698" s="34">
        <f>IF(OR($A1698="",$B1698=""),"",IF($L1698&lt;&gt;"",UPPER($L1698),IF($C1698="","FALTA",IFERROR(IF($C1698&gt;=$O1698,"ROJO FUERTE",IF($C1698&gt;=$N1698,"ROJO",IF($C1698&gt;=$M1698,"AMARILLO","VERDE"))),"REVISAR"))))</f>
        <v/>
      </c>
      <c r="K1698" s="36">
        <f>IF(OR($C1698="",$D1698=""),"",IF($D1698&gt;=$C1698,($D1698-$C1698)*24,(1-$C1698+$D1698)*24))</f>
        <v/>
      </c>
      <c r="L1698" s="34" t="n"/>
      <c r="M1698" s="53">
        <f t="array" ref="M1698">IFERROR(INDEX(EXCEPCIONES_FECHA!$D$2:$D$201,MATCH(1,(EXCEPCIONES_FECHA!$A$2:$A$201=$A1698)*(EXCEPCIONES_FECHA!$B$2:$B$201=$B1698),0)),IFERROR(INDEX(EXCEPCIONES_FECHA!$D$2:$D$201,MATCH(1,(EXCEPCIONES_FECHA!$A$2:$A$201=$A1698)*(EXCEPCIONES_FECHA!$B$2:$B$201=""),0)),IFERROR(INDEX(IF($I1698="FIN",HISTORIAL_HORARIOS!$J$2:$J$201,HISTORIAL_HORARIOS!$F$2:$F$201),MATCH(1,(HISTORIAL_HORARIOS!$A$2:$A$201=$B1698)*(HISTORIAL_HORARIOS!$C$2:$C$201&lt;=$A1698)*(HISTORIAL_HORARIOS!$D$2:$D$201&gt;=$A1698),0)),INDEX(IF($I1698="FIN",PERSONAL!$J$2:$J$80,PERSONAL!$F$2:$F$80),MATCH($B1698,PERSONAL!$A$2:$A$80,0)))))</f>
        <v/>
      </c>
      <c r="N1698" s="53">
        <f t="array" ref="N1698">IFERROR(INDEX(EXCEPCIONES_FECHA!$E$2:$E$201,MATCH(1,(EXCEPCIONES_FECHA!$A$2:$A$201=$A1698)*(EXCEPCIONES_FECHA!$B$2:$B$201=$B1698),0)),IFERROR(INDEX(EXCEPCIONES_FECHA!$E$2:$E$201,MATCH(1,(EXCEPCIONES_FECHA!$A$2:$A$201=$A1698)*(EXCEPCIONES_FECHA!$B$2:$B$201=""),0)),IFERROR(INDEX(IF($I1698="FIN",HISTORIAL_HORARIOS!$K$2:$K$201,HISTORIAL_HORARIOS!$G$2:$G$201),MATCH(1,(HISTORIAL_HORARIOS!$A$2:$A$201=$B1698)*(HISTORIAL_HORARIOS!$C$2:$C$201&lt;=$A1698)*(HISTORIAL_HORARIOS!$D$2:$D$201&gt;=$A1698),0)),INDEX(IF($I1698="FIN",PERSONAL!$K$2:$K$80,PERSONAL!$G$2:$G$80),MATCH($B1698,PERSONAL!$A$2:$A$80,0)))))</f>
        <v/>
      </c>
      <c r="O1698" s="53">
        <f t="array" ref="O1698">IFERROR(INDEX(EXCEPCIONES_FECHA!$F$2:$F$201,MATCH(1,(EXCEPCIONES_FECHA!$A$2:$A$201=$A1698)*(EXCEPCIONES_FECHA!$B$2:$B$201=$B1698),0)),IFERROR(INDEX(EXCEPCIONES_FECHA!$F$2:$F$201,MATCH(1,(EXCEPCIONES_FECHA!$A$2:$A$201=$A1698)*(EXCEPCIONES_FECHA!$B$2:$B$201=""),0)),IFERROR(INDEX(IF($I1698="FIN",HISTORIAL_HORARIOS!$L$2:$L$201,HISTORIAL_HORARIOS!$H$2:$H$201),MATCH(1,(HISTORIAL_HORARIOS!$A$2:$A$201=$B1698)*(HISTORIAL_HORARIOS!$C$2:$C$201&lt;=$A1698)*(HISTORIAL_HORARIOS!$D$2:$D$201&gt;=$A1698),0)),INDEX(IF($I1698="FIN",PERSONAL!$L$2:$L$80,PERSONAL!$H$2:$H$80),MATCH($B1698,PERSONAL!$A$2:$A$80,0)))))</f>
        <v/>
      </c>
    </row>
    <row r="1699" ht="15" customHeight="1" s="58">
      <c r="A1699" s="40" t="n"/>
      <c r="B1699" s="38" t="n"/>
      <c r="C1699" s="40" t="n"/>
      <c r="D1699" s="40" t="n"/>
      <c r="E1699" s="34">
        <f t="array" ref="E1699">IF($B1699="","",IFERROR(INDEX(PERSONAL!$B$2:$B$80,MATCH($B1699,PERSONAL!$A$2:$A$80,0)),"NO EXISTE"))</f>
        <v/>
      </c>
      <c r="F1699" s="34">
        <f t="array" ref="F1699">IF($B1699="","",IFERROR(INDEX(PERSONAL!$C$2:$C$80,MATCH($B1699,PERSONAL!$A$2:$A$80,0)),""))</f>
        <v/>
      </c>
      <c r="G1699" s="34">
        <f>IF($A1699="","",CHOOSE(WEEKDAY($A1699,2),"LUNES","MARTES","MIÉRCOLES","JUEVES","VIERNES","SÁBADO","DOMINGO"))</f>
        <v/>
      </c>
      <c r="H1699" s="34">
        <f>IF($A1699="","",CHOOSE(MONTH($A1699),"ENERO","FEBRERO","MARZO","ABRIL","MAYO","JUNIO","JULIO","AGOSTO","SEPTIEMBRE","OCTUBRE","NOVIEMBRE","DICIEMBRE"))</f>
        <v/>
      </c>
      <c r="I1699" s="34">
        <f>IF($A1699="","",IF(OR($G1699="SÁBADO",$G1699="DOMINGO"),"FIN","LV"))</f>
        <v/>
      </c>
      <c r="J1699" s="34">
        <f>IF(OR($A1699="",$B1699=""),"",IF($L1699&lt;&gt;"",UPPER($L1699),IF($C1699="","FALTA",IFERROR(IF($C1699&gt;=$O1699,"ROJO FUERTE",IF($C1699&gt;=$N1699,"ROJO",IF($C1699&gt;=$M1699,"AMARILLO","VERDE"))),"REVISAR"))))</f>
        <v/>
      </c>
      <c r="K1699" s="36">
        <f>IF(OR($C1699="",$D1699=""),"",IF($D1699&gt;=$C1699,($D1699-$C1699)*24,(1-$C1699+$D1699)*24))</f>
        <v/>
      </c>
      <c r="L1699" s="34" t="n"/>
      <c r="M1699" s="53">
        <f t="array" ref="M1699">IFERROR(INDEX(EXCEPCIONES_FECHA!$D$2:$D$201,MATCH(1,(EXCEPCIONES_FECHA!$A$2:$A$201=$A1699)*(EXCEPCIONES_FECHA!$B$2:$B$201=$B1699),0)),IFERROR(INDEX(EXCEPCIONES_FECHA!$D$2:$D$201,MATCH(1,(EXCEPCIONES_FECHA!$A$2:$A$201=$A1699)*(EXCEPCIONES_FECHA!$B$2:$B$201=""),0)),IFERROR(INDEX(IF($I1699="FIN",HISTORIAL_HORARIOS!$J$2:$J$201,HISTORIAL_HORARIOS!$F$2:$F$201),MATCH(1,(HISTORIAL_HORARIOS!$A$2:$A$201=$B1699)*(HISTORIAL_HORARIOS!$C$2:$C$201&lt;=$A1699)*(HISTORIAL_HORARIOS!$D$2:$D$201&gt;=$A1699),0)),INDEX(IF($I1699="FIN",PERSONAL!$J$2:$J$80,PERSONAL!$F$2:$F$80),MATCH($B1699,PERSONAL!$A$2:$A$80,0)))))</f>
        <v/>
      </c>
      <c r="N1699" s="53">
        <f t="array" ref="N1699">IFERROR(INDEX(EXCEPCIONES_FECHA!$E$2:$E$201,MATCH(1,(EXCEPCIONES_FECHA!$A$2:$A$201=$A1699)*(EXCEPCIONES_FECHA!$B$2:$B$201=$B1699),0)),IFERROR(INDEX(EXCEPCIONES_FECHA!$E$2:$E$201,MATCH(1,(EXCEPCIONES_FECHA!$A$2:$A$201=$A1699)*(EXCEPCIONES_FECHA!$B$2:$B$201=""),0)),IFERROR(INDEX(IF($I1699="FIN",HISTORIAL_HORARIOS!$K$2:$K$201,HISTORIAL_HORARIOS!$G$2:$G$201),MATCH(1,(HISTORIAL_HORARIOS!$A$2:$A$201=$B1699)*(HISTORIAL_HORARIOS!$C$2:$C$201&lt;=$A1699)*(HISTORIAL_HORARIOS!$D$2:$D$201&gt;=$A1699),0)),INDEX(IF($I1699="FIN",PERSONAL!$K$2:$K$80,PERSONAL!$G$2:$G$80),MATCH($B1699,PERSONAL!$A$2:$A$80,0)))))</f>
        <v/>
      </c>
      <c r="O1699" s="53">
        <f t="array" ref="O1699">IFERROR(INDEX(EXCEPCIONES_FECHA!$F$2:$F$201,MATCH(1,(EXCEPCIONES_FECHA!$A$2:$A$201=$A1699)*(EXCEPCIONES_FECHA!$B$2:$B$201=$B1699),0)),IFERROR(INDEX(EXCEPCIONES_FECHA!$F$2:$F$201,MATCH(1,(EXCEPCIONES_FECHA!$A$2:$A$201=$A1699)*(EXCEPCIONES_FECHA!$B$2:$B$201=""),0)),IFERROR(INDEX(IF($I1699="FIN",HISTORIAL_HORARIOS!$L$2:$L$201,HISTORIAL_HORARIOS!$H$2:$H$201),MATCH(1,(HISTORIAL_HORARIOS!$A$2:$A$201=$B1699)*(HISTORIAL_HORARIOS!$C$2:$C$201&lt;=$A1699)*(HISTORIAL_HORARIOS!$D$2:$D$201&gt;=$A1699),0)),INDEX(IF($I1699="FIN",PERSONAL!$L$2:$L$80,PERSONAL!$H$2:$H$80),MATCH($B1699,PERSONAL!$A$2:$A$80,0)))))</f>
        <v/>
      </c>
    </row>
    <row r="1700" ht="15" customHeight="1" s="58">
      <c r="A1700" s="40" t="n"/>
      <c r="B1700" s="38" t="n"/>
      <c r="C1700" s="40" t="n"/>
      <c r="D1700" s="40" t="n"/>
      <c r="E1700" s="34">
        <f t="array" ref="E1700">IF($B1700="","",IFERROR(INDEX(PERSONAL!$B$2:$B$80,MATCH($B1700,PERSONAL!$A$2:$A$80,0)),"NO EXISTE"))</f>
        <v/>
      </c>
      <c r="F1700" s="34">
        <f t="array" ref="F1700">IF($B1700="","",IFERROR(INDEX(PERSONAL!$C$2:$C$80,MATCH($B1700,PERSONAL!$A$2:$A$80,0)),""))</f>
        <v/>
      </c>
      <c r="G1700" s="34">
        <f>IF($A1700="","",CHOOSE(WEEKDAY($A1700,2),"LUNES","MARTES","MIÉRCOLES","JUEVES","VIERNES","SÁBADO","DOMINGO"))</f>
        <v/>
      </c>
      <c r="H1700" s="34">
        <f>IF($A1700="","",CHOOSE(MONTH($A1700),"ENERO","FEBRERO","MARZO","ABRIL","MAYO","JUNIO","JULIO","AGOSTO","SEPTIEMBRE","OCTUBRE","NOVIEMBRE","DICIEMBRE"))</f>
        <v/>
      </c>
      <c r="I1700" s="34">
        <f>IF($A1700="","",IF(OR($G1700="SÁBADO",$G1700="DOMINGO"),"FIN","LV"))</f>
        <v/>
      </c>
      <c r="J1700" s="34">
        <f>IF(OR($A1700="",$B1700=""),"",IF($L1700&lt;&gt;"",UPPER($L1700),IF($C1700="","FALTA",IFERROR(IF($C1700&gt;=$O1700,"ROJO FUERTE",IF($C1700&gt;=$N1700,"ROJO",IF($C1700&gt;=$M1700,"AMARILLO","VERDE"))),"REVISAR"))))</f>
        <v/>
      </c>
      <c r="K1700" s="36">
        <f>IF(OR($C1700="",$D1700=""),"",IF($D1700&gt;=$C1700,($D1700-$C1700)*24,(1-$C1700+$D1700)*24))</f>
        <v/>
      </c>
      <c r="L1700" s="34" t="n"/>
      <c r="M1700" s="53">
        <f t="array" ref="M1700">IFERROR(INDEX(EXCEPCIONES_FECHA!$D$2:$D$201,MATCH(1,(EXCEPCIONES_FECHA!$A$2:$A$201=$A1700)*(EXCEPCIONES_FECHA!$B$2:$B$201=$B1700),0)),IFERROR(INDEX(EXCEPCIONES_FECHA!$D$2:$D$201,MATCH(1,(EXCEPCIONES_FECHA!$A$2:$A$201=$A1700)*(EXCEPCIONES_FECHA!$B$2:$B$201=""),0)),IFERROR(INDEX(IF($I1700="FIN",HISTORIAL_HORARIOS!$J$2:$J$201,HISTORIAL_HORARIOS!$F$2:$F$201),MATCH(1,(HISTORIAL_HORARIOS!$A$2:$A$201=$B1700)*(HISTORIAL_HORARIOS!$C$2:$C$201&lt;=$A1700)*(HISTORIAL_HORARIOS!$D$2:$D$201&gt;=$A1700),0)),INDEX(IF($I1700="FIN",PERSONAL!$J$2:$J$80,PERSONAL!$F$2:$F$80),MATCH($B1700,PERSONAL!$A$2:$A$80,0)))))</f>
        <v/>
      </c>
      <c r="N1700" s="53">
        <f t="array" ref="N1700">IFERROR(INDEX(EXCEPCIONES_FECHA!$E$2:$E$201,MATCH(1,(EXCEPCIONES_FECHA!$A$2:$A$201=$A1700)*(EXCEPCIONES_FECHA!$B$2:$B$201=$B1700),0)),IFERROR(INDEX(EXCEPCIONES_FECHA!$E$2:$E$201,MATCH(1,(EXCEPCIONES_FECHA!$A$2:$A$201=$A1700)*(EXCEPCIONES_FECHA!$B$2:$B$201=""),0)),IFERROR(INDEX(IF($I1700="FIN",HISTORIAL_HORARIOS!$K$2:$K$201,HISTORIAL_HORARIOS!$G$2:$G$201),MATCH(1,(HISTORIAL_HORARIOS!$A$2:$A$201=$B1700)*(HISTORIAL_HORARIOS!$C$2:$C$201&lt;=$A1700)*(HISTORIAL_HORARIOS!$D$2:$D$201&gt;=$A1700),0)),INDEX(IF($I1700="FIN",PERSONAL!$K$2:$K$80,PERSONAL!$G$2:$G$80),MATCH($B1700,PERSONAL!$A$2:$A$80,0)))))</f>
        <v/>
      </c>
      <c r="O1700" s="53">
        <f t="array" ref="O1700">IFERROR(INDEX(EXCEPCIONES_FECHA!$F$2:$F$201,MATCH(1,(EXCEPCIONES_FECHA!$A$2:$A$201=$A1700)*(EXCEPCIONES_FECHA!$B$2:$B$201=$B1700),0)),IFERROR(INDEX(EXCEPCIONES_FECHA!$F$2:$F$201,MATCH(1,(EXCEPCIONES_FECHA!$A$2:$A$201=$A1700)*(EXCEPCIONES_FECHA!$B$2:$B$201=""),0)),IFERROR(INDEX(IF($I1700="FIN",HISTORIAL_HORARIOS!$L$2:$L$201,HISTORIAL_HORARIOS!$H$2:$H$201),MATCH(1,(HISTORIAL_HORARIOS!$A$2:$A$201=$B1700)*(HISTORIAL_HORARIOS!$C$2:$C$201&lt;=$A1700)*(HISTORIAL_HORARIOS!$D$2:$D$201&gt;=$A1700),0)),INDEX(IF($I1700="FIN",PERSONAL!$L$2:$L$80,PERSONAL!$H$2:$H$80),MATCH($B1700,PERSONAL!$A$2:$A$80,0)))))</f>
        <v/>
      </c>
    </row>
    <row r="1701" ht="15" customHeight="1" s="58">
      <c r="A1701" s="40" t="n"/>
      <c r="B1701" s="38" t="n"/>
      <c r="C1701" s="40" t="n"/>
      <c r="D1701" s="40" t="n"/>
      <c r="E1701" s="34">
        <f t="array" ref="E1701">IF($B1701="","",IFERROR(INDEX(PERSONAL!$B$2:$B$80,MATCH($B1701,PERSONAL!$A$2:$A$80,0)),"NO EXISTE"))</f>
        <v/>
      </c>
      <c r="F1701" s="34">
        <f t="array" ref="F1701">IF($B1701="","",IFERROR(INDEX(PERSONAL!$C$2:$C$80,MATCH($B1701,PERSONAL!$A$2:$A$80,0)),""))</f>
        <v/>
      </c>
      <c r="G1701" s="34">
        <f>IF($A1701="","",CHOOSE(WEEKDAY($A1701,2),"LUNES","MARTES","MIÉRCOLES","JUEVES","VIERNES","SÁBADO","DOMINGO"))</f>
        <v/>
      </c>
      <c r="H1701" s="34">
        <f>IF($A1701="","",CHOOSE(MONTH($A1701),"ENERO","FEBRERO","MARZO","ABRIL","MAYO","JUNIO","JULIO","AGOSTO","SEPTIEMBRE","OCTUBRE","NOVIEMBRE","DICIEMBRE"))</f>
        <v/>
      </c>
      <c r="I1701" s="34">
        <f>IF($A1701="","",IF(OR($G1701="SÁBADO",$G1701="DOMINGO"),"FIN","LV"))</f>
        <v/>
      </c>
      <c r="J1701" s="34">
        <f>IF(OR($A1701="",$B1701=""),"",IF($L1701&lt;&gt;"",UPPER($L1701),IF($C1701="","FALTA",IFERROR(IF($C1701&gt;=$O1701,"ROJO FUERTE",IF($C1701&gt;=$N1701,"ROJO",IF($C1701&gt;=$M1701,"AMARILLO","VERDE"))),"REVISAR"))))</f>
        <v/>
      </c>
      <c r="K1701" s="36">
        <f>IF(OR($C1701="",$D1701=""),"",IF($D1701&gt;=$C1701,($D1701-$C1701)*24,(1-$C1701+$D1701)*24))</f>
        <v/>
      </c>
      <c r="L1701" s="34" t="n"/>
      <c r="M1701" s="53">
        <f t="array" ref="M1701">IFERROR(INDEX(EXCEPCIONES_FECHA!$D$2:$D$201,MATCH(1,(EXCEPCIONES_FECHA!$A$2:$A$201=$A1701)*(EXCEPCIONES_FECHA!$B$2:$B$201=$B1701),0)),IFERROR(INDEX(EXCEPCIONES_FECHA!$D$2:$D$201,MATCH(1,(EXCEPCIONES_FECHA!$A$2:$A$201=$A1701)*(EXCEPCIONES_FECHA!$B$2:$B$201=""),0)),IFERROR(INDEX(IF($I1701="FIN",HISTORIAL_HORARIOS!$J$2:$J$201,HISTORIAL_HORARIOS!$F$2:$F$201),MATCH(1,(HISTORIAL_HORARIOS!$A$2:$A$201=$B1701)*(HISTORIAL_HORARIOS!$C$2:$C$201&lt;=$A1701)*(HISTORIAL_HORARIOS!$D$2:$D$201&gt;=$A1701),0)),INDEX(IF($I1701="FIN",PERSONAL!$J$2:$J$80,PERSONAL!$F$2:$F$80),MATCH($B1701,PERSONAL!$A$2:$A$80,0)))))</f>
        <v/>
      </c>
      <c r="N1701" s="53">
        <f t="array" ref="N1701">IFERROR(INDEX(EXCEPCIONES_FECHA!$E$2:$E$201,MATCH(1,(EXCEPCIONES_FECHA!$A$2:$A$201=$A1701)*(EXCEPCIONES_FECHA!$B$2:$B$201=$B1701),0)),IFERROR(INDEX(EXCEPCIONES_FECHA!$E$2:$E$201,MATCH(1,(EXCEPCIONES_FECHA!$A$2:$A$201=$A1701)*(EXCEPCIONES_FECHA!$B$2:$B$201=""),0)),IFERROR(INDEX(IF($I1701="FIN",HISTORIAL_HORARIOS!$K$2:$K$201,HISTORIAL_HORARIOS!$G$2:$G$201),MATCH(1,(HISTORIAL_HORARIOS!$A$2:$A$201=$B1701)*(HISTORIAL_HORARIOS!$C$2:$C$201&lt;=$A1701)*(HISTORIAL_HORARIOS!$D$2:$D$201&gt;=$A1701),0)),INDEX(IF($I1701="FIN",PERSONAL!$K$2:$K$80,PERSONAL!$G$2:$G$80),MATCH($B1701,PERSONAL!$A$2:$A$80,0)))))</f>
        <v/>
      </c>
      <c r="O1701" s="53">
        <f t="array" ref="O1701">IFERROR(INDEX(EXCEPCIONES_FECHA!$F$2:$F$201,MATCH(1,(EXCEPCIONES_FECHA!$A$2:$A$201=$A1701)*(EXCEPCIONES_FECHA!$B$2:$B$201=$B1701),0)),IFERROR(INDEX(EXCEPCIONES_FECHA!$F$2:$F$201,MATCH(1,(EXCEPCIONES_FECHA!$A$2:$A$201=$A1701)*(EXCEPCIONES_FECHA!$B$2:$B$201=""),0)),IFERROR(INDEX(IF($I1701="FIN",HISTORIAL_HORARIOS!$L$2:$L$201,HISTORIAL_HORARIOS!$H$2:$H$201),MATCH(1,(HISTORIAL_HORARIOS!$A$2:$A$201=$B1701)*(HISTORIAL_HORARIOS!$C$2:$C$201&lt;=$A1701)*(HISTORIAL_HORARIOS!$D$2:$D$201&gt;=$A1701),0)),INDEX(IF($I1701="FIN",PERSONAL!$L$2:$L$80,PERSONAL!$H$2:$H$80),MATCH($B1701,PERSONAL!$A$2:$A$80,0)))))</f>
        <v/>
      </c>
    </row>
    <row r="1702" ht="15" customHeight="1" s="58">
      <c r="A1702" s="40" t="n"/>
      <c r="B1702" s="38" t="n"/>
      <c r="C1702" s="40" t="n"/>
      <c r="D1702" s="40" t="n"/>
      <c r="E1702" s="34">
        <f t="array" ref="E1702">IF($B1702="","",IFERROR(INDEX(PERSONAL!$B$2:$B$80,MATCH($B1702,PERSONAL!$A$2:$A$80,0)),"NO EXISTE"))</f>
        <v/>
      </c>
      <c r="F1702" s="34">
        <f t="array" ref="F1702">IF($B1702="","",IFERROR(INDEX(PERSONAL!$C$2:$C$80,MATCH($B1702,PERSONAL!$A$2:$A$80,0)),""))</f>
        <v/>
      </c>
      <c r="G1702" s="34">
        <f>IF($A1702="","",CHOOSE(WEEKDAY($A1702,2),"LUNES","MARTES","MIÉRCOLES","JUEVES","VIERNES","SÁBADO","DOMINGO"))</f>
        <v/>
      </c>
      <c r="H1702" s="34">
        <f>IF($A1702="","",CHOOSE(MONTH($A1702),"ENERO","FEBRERO","MARZO","ABRIL","MAYO","JUNIO","JULIO","AGOSTO","SEPTIEMBRE","OCTUBRE","NOVIEMBRE","DICIEMBRE"))</f>
        <v/>
      </c>
      <c r="I1702" s="34">
        <f>IF($A1702="","",IF(OR($G1702="SÁBADO",$G1702="DOMINGO"),"FIN","LV"))</f>
        <v/>
      </c>
      <c r="J1702" s="34">
        <f>IF(OR($A1702="",$B1702=""),"",IF($L1702&lt;&gt;"",UPPER($L1702),IF($C1702="","FALTA",IFERROR(IF($C1702&gt;=$O1702,"ROJO FUERTE",IF($C1702&gt;=$N1702,"ROJO",IF($C1702&gt;=$M1702,"AMARILLO","VERDE"))),"REVISAR"))))</f>
        <v/>
      </c>
      <c r="K1702" s="36">
        <f>IF(OR($C1702="",$D1702=""),"",IF($D1702&gt;=$C1702,($D1702-$C1702)*24,(1-$C1702+$D1702)*24))</f>
        <v/>
      </c>
      <c r="L1702" s="34" t="n"/>
      <c r="M1702" s="53">
        <f t="array" ref="M1702">IFERROR(INDEX(EXCEPCIONES_FECHA!$D$2:$D$201,MATCH(1,(EXCEPCIONES_FECHA!$A$2:$A$201=$A1702)*(EXCEPCIONES_FECHA!$B$2:$B$201=$B1702),0)),IFERROR(INDEX(EXCEPCIONES_FECHA!$D$2:$D$201,MATCH(1,(EXCEPCIONES_FECHA!$A$2:$A$201=$A1702)*(EXCEPCIONES_FECHA!$B$2:$B$201=""),0)),IFERROR(INDEX(IF($I1702="FIN",HISTORIAL_HORARIOS!$J$2:$J$201,HISTORIAL_HORARIOS!$F$2:$F$201),MATCH(1,(HISTORIAL_HORARIOS!$A$2:$A$201=$B1702)*(HISTORIAL_HORARIOS!$C$2:$C$201&lt;=$A1702)*(HISTORIAL_HORARIOS!$D$2:$D$201&gt;=$A1702),0)),INDEX(IF($I1702="FIN",PERSONAL!$J$2:$J$80,PERSONAL!$F$2:$F$80),MATCH($B1702,PERSONAL!$A$2:$A$80,0)))))</f>
        <v/>
      </c>
      <c r="N1702" s="53">
        <f t="array" ref="N1702">IFERROR(INDEX(EXCEPCIONES_FECHA!$E$2:$E$201,MATCH(1,(EXCEPCIONES_FECHA!$A$2:$A$201=$A1702)*(EXCEPCIONES_FECHA!$B$2:$B$201=$B1702),0)),IFERROR(INDEX(EXCEPCIONES_FECHA!$E$2:$E$201,MATCH(1,(EXCEPCIONES_FECHA!$A$2:$A$201=$A1702)*(EXCEPCIONES_FECHA!$B$2:$B$201=""),0)),IFERROR(INDEX(IF($I1702="FIN",HISTORIAL_HORARIOS!$K$2:$K$201,HISTORIAL_HORARIOS!$G$2:$G$201),MATCH(1,(HISTORIAL_HORARIOS!$A$2:$A$201=$B1702)*(HISTORIAL_HORARIOS!$C$2:$C$201&lt;=$A1702)*(HISTORIAL_HORARIOS!$D$2:$D$201&gt;=$A1702),0)),INDEX(IF($I1702="FIN",PERSONAL!$K$2:$K$80,PERSONAL!$G$2:$G$80),MATCH($B1702,PERSONAL!$A$2:$A$80,0)))))</f>
        <v/>
      </c>
      <c r="O1702" s="53">
        <f t="array" ref="O1702">IFERROR(INDEX(EXCEPCIONES_FECHA!$F$2:$F$201,MATCH(1,(EXCEPCIONES_FECHA!$A$2:$A$201=$A1702)*(EXCEPCIONES_FECHA!$B$2:$B$201=$B1702),0)),IFERROR(INDEX(EXCEPCIONES_FECHA!$F$2:$F$201,MATCH(1,(EXCEPCIONES_FECHA!$A$2:$A$201=$A1702)*(EXCEPCIONES_FECHA!$B$2:$B$201=""),0)),IFERROR(INDEX(IF($I1702="FIN",HISTORIAL_HORARIOS!$L$2:$L$201,HISTORIAL_HORARIOS!$H$2:$H$201),MATCH(1,(HISTORIAL_HORARIOS!$A$2:$A$201=$B1702)*(HISTORIAL_HORARIOS!$C$2:$C$201&lt;=$A1702)*(HISTORIAL_HORARIOS!$D$2:$D$201&gt;=$A1702),0)),INDEX(IF($I1702="FIN",PERSONAL!$L$2:$L$80,PERSONAL!$H$2:$H$80),MATCH($B1702,PERSONAL!$A$2:$A$80,0)))))</f>
        <v/>
      </c>
    </row>
    <row r="1703" ht="15" customHeight="1" s="58">
      <c r="A1703" s="40" t="n"/>
      <c r="B1703" s="38" t="n"/>
      <c r="C1703" s="40" t="n"/>
      <c r="D1703" s="40" t="n"/>
      <c r="E1703" s="34">
        <f t="array" ref="E1703">IF($B1703="","",IFERROR(INDEX(PERSONAL!$B$2:$B$80,MATCH($B1703,PERSONAL!$A$2:$A$80,0)),"NO EXISTE"))</f>
        <v/>
      </c>
      <c r="F1703" s="34">
        <f t="array" ref="F1703">IF($B1703="","",IFERROR(INDEX(PERSONAL!$C$2:$C$80,MATCH($B1703,PERSONAL!$A$2:$A$80,0)),""))</f>
        <v/>
      </c>
      <c r="G1703" s="34">
        <f>IF($A1703="","",CHOOSE(WEEKDAY($A1703,2),"LUNES","MARTES","MIÉRCOLES","JUEVES","VIERNES","SÁBADO","DOMINGO"))</f>
        <v/>
      </c>
      <c r="H1703" s="34">
        <f>IF($A1703="","",CHOOSE(MONTH($A1703),"ENERO","FEBRERO","MARZO","ABRIL","MAYO","JUNIO","JULIO","AGOSTO","SEPTIEMBRE","OCTUBRE","NOVIEMBRE","DICIEMBRE"))</f>
        <v/>
      </c>
      <c r="I1703" s="34">
        <f>IF($A1703="","",IF(OR($G1703="SÁBADO",$G1703="DOMINGO"),"FIN","LV"))</f>
        <v/>
      </c>
      <c r="J1703" s="34">
        <f>IF(OR($A1703="",$B1703=""),"",IF($L1703&lt;&gt;"",UPPER($L1703),IF($C1703="","FALTA",IFERROR(IF($C1703&gt;=$O1703,"ROJO FUERTE",IF($C1703&gt;=$N1703,"ROJO",IF($C1703&gt;=$M1703,"AMARILLO","VERDE"))),"REVISAR"))))</f>
        <v/>
      </c>
      <c r="K1703" s="36">
        <f>IF(OR($C1703="",$D1703=""),"",IF($D1703&gt;=$C1703,($D1703-$C1703)*24,(1-$C1703+$D1703)*24))</f>
        <v/>
      </c>
      <c r="L1703" s="34" t="n"/>
      <c r="M1703" s="53">
        <f t="array" ref="M1703">IFERROR(INDEX(EXCEPCIONES_FECHA!$D$2:$D$201,MATCH(1,(EXCEPCIONES_FECHA!$A$2:$A$201=$A1703)*(EXCEPCIONES_FECHA!$B$2:$B$201=$B1703),0)),IFERROR(INDEX(EXCEPCIONES_FECHA!$D$2:$D$201,MATCH(1,(EXCEPCIONES_FECHA!$A$2:$A$201=$A1703)*(EXCEPCIONES_FECHA!$B$2:$B$201=""),0)),IFERROR(INDEX(IF($I1703="FIN",HISTORIAL_HORARIOS!$J$2:$J$201,HISTORIAL_HORARIOS!$F$2:$F$201),MATCH(1,(HISTORIAL_HORARIOS!$A$2:$A$201=$B1703)*(HISTORIAL_HORARIOS!$C$2:$C$201&lt;=$A1703)*(HISTORIAL_HORARIOS!$D$2:$D$201&gt;=$A1703),0)),INDEX(IF($I1703="FIN",PERSONAL!$J$2:$J$80,PERSONAL!$F$2:$F$80),MATCH($B1703,PERSONAL!$A$2:$A$80,0)))))</f>
        <v/>
      </c>
      <c r="N1703" s="53">
        <f t="array" ref="N1703">IFERROR(INDEX(EXCEPCIONES_FECHA!$E$2:$E$201,MATCH(1,(EXCEPCIONES_FECHA!$A$2:$A$201=$A1703)*(EXCEPCIONES_FECHA!$B$2:$B$201=$B1703),0)),IFERROR(INDEX(EXCEPCIONES_FECHA!$E$2:$E$201,MATCH(1,(EXCEPCIONES_FECHA!$A$2:$A$201=$A1703)*(EXCEPCIONES_FECHA!$B$2:$B$201=""),0)),IFERROR(INDEX(IF($I1703="FIN",HISTORIAL_HORARIOS!$K$2:$K$201,HISTORIAL_HORARIOS!$G$2:$G$201),MATCH(1,(HISTORIAL_HORARIOS!$A$2:$A$201=$B1703)*(HISTORIAL_HORARIOS!$C$2:$C$201&lt;=$A1703)*(HISTORIAL_HORARIOS!$D$2:$D$201&gt;=$A1703),0)),INDEX(IF($I1703="FIN",PERSONAL!$K$2:$K$80,PERSONAL!$G$2:$G$80),MATCH($B1703,PERSONAL!$A$2:$A$80,0)))))</f>
        <v/>
      </c>
      <c r="O1703" s="53">
        <f t="array" ref="O1703">IFERROR(INDEX(EXCEPCIONES_FECHA!$F$2:$F$201,MATCH(1,(EXCEPCIONES_FECHA!$A$2:$A$201=$A1703)*(EXCEPCIONES_FECHA!$B$2:$B$201=$B1703),0)),IFERROR(INDEX(EXCEPCIONES_FECHA!$F$2:$F$201,MATCH(1,(EXCEPCIONES_FECHA!$A$2:$A$201=$A1703)*(EXCEPCIONES_FECHA!$B$2:$B$201=""),0)),IFERROR(INDEX(IF($I1703="FIN",HISTORIAL_HORARIOS!$L$2:$L$201,HISTORIAL_HORARIOS!$H$2:$H$201),MATCH(1,(HISTORIAL_HORARIOS!$A$2:$A$201=$B1703)*(HISTORIAL_HORARIOS!$C$2:$C$201&lt;=$A1703)*(HISTORIAL_HORARIOS!$D$2:$D$201&gt;=$A1703),0)),INDEX(IF($I1703="FIN",PERSONAL!$L$2:$L$80,PERSONAL!$H$2:$H$80),MATCH($B1703,PERSONAL!$A$2:$A$80,0)))))</f>
        <v/>
      </c>
    </row>
    <row r="1704" ht="15" customHeight="1" s="58">
      <c r="A1704" s="40" t="n"/>
      <c r="B1704" s="38" t="n"/>
      <c r="C1704" s="40" t="n"/>
      <c r="D1704" s="40" t="n"/>
      <c r="E1704" s="34">
        <f t="array" ref="E1704">IF($B1704="","",IFERROR(INDEX(PERSONAL!$B$2:$B$80,MATCH($B1704,PERSONAL!$A$2:$A$80,0)),"NO EXISTE"))</f>
        <v/>
      </c>
      <c r="F1704" s="34">
        <f t="array" ref="F1704">IF($B1704="","",IFERROR(INDEX(PERSONAL!$C$2:$C$80,MATCH($B1704,PERSONAL!$A$2:$A$80,0)),""))</f>
        <v/>
      </c>
      <c r="G1704" s="34">
        <f>IF($A1704="","",CHOOSE(WEEKDAY($A1704,2),"LUNES","MARTES","MIÉRCOLES","JUEVES","VIERNES","SÁBADO","DOMINGO"))</f>
        <v/>
      </c>
      <c r="H1704" s="34">
        <f>IF($A1704="","",CHOOSE(MONTH($A1704),"ENERO","FEBRERO","MARZO","ABRIL","MAYO","JUNIO","JULIO","AGOSTO","SEPTIEMBRE","OCTUBRE","NOVIEMBRE","DICIEMBRE"))</f>
        <v/>
      </c>
      <c r="I1704" s="34">
        <f>IF($A1704="","",IF(OR($G1704="SÁBADO",$G1704="DOMINGO"),"FIN","LV"))</f>
        <v/>
      </c>
      <c r="J1704" s="34">
        <f>IF(OR($A1704="",$B1704=""),"",IF($L1704&lt;&gt;"",UPPER($L1704),IF($C1704="","FALTA",IFERROR(IF($C1704&gt;=$O1704,"ROJO FUERTE",IF($C1704&gt;=$N1704,"ROJO",IF($C1704&gt;=$M1704,"AMARILLO","VERDE"))),"REVISAR"))))</f>
        <v/>
      </c>
      <c r="K1704" s="36">
        <f>IF(OR($C1704="",$D1704=""),"",IF($D1704&gt;=$C1704,($D1704-$C1704)*24,(1-$C1704+$D1704)*24))</f>
        <v/>
      </c>
      <c r="L1704" s="34" t="n"/>
      <c r="M1704" s="53">
        <f t="array" ref="M1704">IFERROR(INDEX(EXCEPCIONES_FECHA!$D$2:$D$201,MATCH(1,(EXCEPCIONES_FECHA!$A$2:$A$201=$A1704)*(EXCEPCIONES_FECHA!$B$2:$B$201=$B1704),0)),IFERROR(INDEX(EXCEPCIONES_FECHA!$D$2:$D$201,MATCH(1,(EXCEPCIONES_FECHA!$A$2:$A$201=$A1704)*(EXCEPCIONES_FECHA!$B$2:$B$201=""),0)),IFERROR(INDEX(IF($I1704="FIN",HISTORIAL_HORARIOS!$J$2:$J$201,HISTORIAL_HORARIOS!$F$2:$F$201),MATCH(1,(HISTORIAL_HORARIOS!$A$2:$A$201=$B1704)*(HISTORIAL_HORARIOS!$C$2:$C$201&lt;=$A1704)*(HISTORIAL_HORARIOS!$D$2:$D$201&gt;=$A1704),0)),INDEX(IF($I1704="FIN",PERSONAL!$J$2:$J$80,PERSONAL!$F$2:$F$80),MATCH($B1704,PERSONAL!$A$2:$A$80,0)))))</f>
        <v/>
      </c>
      <c r="N1704" s="53">
        <f t="array" ref="N1704">IFERROR(INDEX(EXCEPCIONES_FECHA!$E$2:$E$201,MATCH(1,(EXCEPCIONES_FECHA!$A$2:$A$201=$A1704)*(EXCEPCIONES_FECHA!$B$2:$B$201=$B1704),0)),IFERROR(INDEX(EXCEPCIONES_FECHA!$E$2:$E$201,MATCH(1,(EXCEPCIONES_FECHA!$A$2:$A$201=$A1704)*(EXCEPCIONES_FECHA!$B$2:$B$201=""),0)),IFERROR(INDEX(IF($I1704="FIN",HISTORIAL_HORARIOS!$K$2:$K$201,HISTORIAL_HORARIOS!$G$2:$G$201),MATCH(1,(HISTORIAL_HORARIOS!$A$2:$A$201=$B1704)*(HISTORIAL_HORARIOS!$C$2:$C$201&lt;=$A1704)*(HISTORIAL_HORARIOS!$D$2:$D$201&gt;=$A1704),0)),INDEX(IF($I1704="FIN",PERSONAL!$K$2:$K$80,PERSONAL!$G$2:$G$80),MATCH($B1704,PERSONAL!$A$2:$A$80,0)))))</f>
        <v/>
      </c>
      <c r="O1704" s="53">
        <f t="array" ref="O1704">IFERROR(INDEX(EXCEPCIONES_FECHA!$F$2:$F$201,MATCH(1,(EXCEPCIONES_FECHA!$A$2:$A$201=$A1704)*(EXCEPCIONES_FECHA!$B$2:$B$201=$B1704),0)),IFERROR(INDEX(EXCEPCIONES_FECHA!$F$2:$F$201,MATCH(1,(EXCEPCIONES_FECHA!$A$2:$A$201=$A1704)*(EXCEPCIONES_FECHA!$B$2:$B$201=""),0)),IFERROR(INDEX(IF($I1704="FIN",HISTORIAL_HORARIOS!$L$2:$L$201,HISTORIAL_HORARIOS!$H$2:$H$201),MATCH(1,(HISTORIAL_HORARIOS!$A$2:$A$201=$B1704)*(HISTORIAL_HORARIOS!$C$2:$C$201&lt;=$A1704)*(HISTORIAL_HORARIOS!$D$2:$D$201&gt;=$A1704),0)),INDEX(IF($I1704="FIN",PERSONAL!$L$2:$L$80,PERSONAL!$H$2:$H$80),MATCH($B1704,PERSONAL!$A$2:$A$80,0)))))</f>
        <v/>
      </c>
    </row>
    <row r="1705" ht="15" customHeight="1" s="58">
      <c r="A1705" s="40" t="n"/>
      <c r="B1705" s="38" t="n"/>
      <c r="C1705" s="40" t="n"/>
      <c r="D1705" s="40" t="n"/>
      <c r="E1705" s="34">
        <f t="array" ref="E1705">IF($B1705="","",IFERROR(INDEX(PERSONAL!$B$2:$B$80,MATCH($B1705,PERSONAL!$A$2:$A$80,0)),"NO EXISTE"))</f>
        <v/>
      </c>
      <c r="F1705" s="34">
        <f t="array" ref="F1705">IF($B1705="","",IFERROR(INDEX(PERSONAL!$C$2:$C$80,MATCH($B1705,PERSONAL!$A$2:$A$80,0)),""))</f>
        <v/>
      </c>
      <c r="G1705" s="34">
        <f>IF($A1705="","",CHOOSE(WEEKDAY($A1705,2),"LUNES","MARTES","MIÉRCOLES","JUEVES","VIERNES","SÁBADO","DOMINGO"))</f>
        <v/>
      </c>
      <c r="H1705" s="34">
        <f>IF($A1705="","",CHOOSE(MONTH($A1705),"ENERO","FEBRERO","MARZO","ABRIL","MAYO","JUNIO","JULIO","AGOSTO","SEPTIEMBRE","OCTUBRE","NOVIEMBRE","DICIEMBRE"))</f>
        <v/>
      </c>
      <c r="I1705" s="34">
        <f>IF($A1705="","",IF(OR($G1705="SÁBADO",$G1705="DOMINGO"),"FIN","LV"))</f>
        <v/>
      </c>
      <c r="J1705" s="34">
        <f>IF(OR($A1705="",$B1705=""),"",IF($L1705&lt;&gt;"",UPPER($L1705),IF($C1705="","FALTA",IFERROR(IF($C1705&gt;=$O1705,"ROJO FUERTE",IF($C1705&gt;=$N1705,"ROJO",IF($C1705&gt;=$M1705,"AMARILLO","VERDE"))),"REVISAR"))))</f>
        <v/>
      </c>
      <c r="K1705" s="36">
        <f>IF(OR($C1705="",$D1705=""),"",IF($D1705&gt;=$C1705,($D1705-$C1705)*24,(1-$C1705+$D1705)*24))</f>
        <v/>
      </c>
      <c r="L1705" s="34" t="n"/>
      <c r="M1705" s="53">
        <f t="array" ref="M1705">IFERROR(INDEX(EXCEPCIONES_FECHA!$D$2:$D$201,MATCH(1,(EXCEPCIONES_FECHA!$A$2:$A$201=$A1705)*(EXCEPCIONES_FECHA!$B$2:$B$201=$B1705),0)),IFERROR(INDEX(EXCEPCIONES_FECHA!$D$2:$D$201,MATCH(1,(EXCEPCIONES_FECHA!$A$2:$A$201=$A1705)*(EXCEPCIONES_FECHA!$B$2:$B$201=""),0)),IFERROR(INDEX(IF($I1705="FIN",HISTORIAL_HORARIOS!$J$2:$J$201,HISTORIAL_HORARIOS!$F$2:$F$201),MATCH(1,(HISTORIAL_HORARIOS!$A$2:$A$201=$B1705)*(HISTORIAL_HORARIOS!$C$2:$C$201&lt;=$A1705)*(HISTORIAL_HORARIOS!$D$2:$D$201&gt;=$A1705),0)),INDEX(IF($I1705="FIN",PERSONAL!$J$2:$J$80,PERSONAL!$F$2:$F$80),MATCH($B1705,PERSONAL!$A$2:$A$80,0)))))</f>
        <v/>
      </c>
      <c r="N1705" s="53">
        <f t="array" ref="N1705">IFERROR(INDEX(EXCEPCIONES_FECHA!$E$2:$E$201,MATCH(1,(EXCEPCIONES_FECHA!$A$2:$A$201=$A1705)*(EXCEPCIONES_FECHA!$B$2:$B$201=$B1705),0)),IFERROR(INDEX(EXCEPCIONES_FECHA!$E$2:$E$201,MATCH(1,(EXCEPCIONES_FECHA!$A$2:$A$201=$A1705)*(EXCEPCIONES_FECHA!$B$2:$B$201=""),0)),IFERROR(INDEX(IF($I1705="FIN",HISTORIAL_HORARIOS!$K$2:$K$201,HISTORIAL_HORARIOS!$G$2:$G$201),MATCH(1,(HISTORIAL_HORARIOS!$A$2:$A$201=$B1705)*(HISTORIAL_HORARIOS!$C$2:$C$201&lt;=$A1705)*(HISTORIAL_HORARIOS!$D$2:$D$201&gt;=$A1705),0)),INDEX(IF($I1705="FIN",PERSONAL!$K$2:$K$80,PERSONAL!$G$2:$G$80),MATCH($B1705,PERSONAL!$A$2:$A$80,0)))))</f>
        <v/>
      </c>
      <c r="O1705" s="53">
        <f t="array" ref="O1705">IFERROR(INDEX(EXCEPCIONES_FECHA!$F$2:$F$201,MATCH(1,(EXCEPCIONES_FECHA!$A$2:$A$201=$A1705)*(EXCEPCIONES_FECHA!$B$2:$B$201=$B1705),0)),IFERROR(INDEX(EXCEPCIONES_FECHA!$F$2:$F$201,MATCH(1,(EXCEPCIONES_FECHA!$A$2:$A$201=$A1705)*(EXCEPCIONES_FECHA!$B$2:$B$201=""),0)),IFERROR(INDEX(IF($I1705="FIN",HISTORIAL_HORARIOS!$L$2:$L$201,HISTORIAL_HORARIOS!$H$2:$H$201),MATCH(1,(HISTORIAL_HORARIOS!$A$2:$A$201=$B1705)*(HISTORIAL_HORARIOS!$C$2:$C$201&lt;=$A1705)*(HISTORIAL_HORARIOS!$D$2:$D$201&gt;=$A1705),0)),INDEX(IF($I1705="FIN",PERSONAL!$L$2:$L$80,PERSONAL!$H$2:$H$80),MATCH($B1705,PERSONAL!$A$2:$A$80,0)))))</f>
        <v/>
      </c>
    </row>
    <row r="1706" ht="15" customHeight="1" s="58">
      <c r="A1706" s="40" t="n"/>
      <c r="B1706" s="38" t="n"/>
      <c r="C1706" s="40" t="n"/>
      <c r="D1706" s="40" t="n"/>
      <c r="E1706" s="34">
        <f t="array" ref="E1706">IF($B1706="","",IFERROR(INDEX(PERSONAL!$B$2:$B$80,MATCH($B1706,PERSONAL!$A$2:$A$80,0)),"NO EXISTE"))</f>
        <v/>
      </c>
      <c r="F1706" s="34">
        <f t="array" ref="F1706">IF($B1706="","",IFERROR(INDEX(PERSONAL!$C$2:$C$80,MATCH($B1706,PERSONAL!$A$2:$A$80,0)),""))</f>
        <v/>
      </c>
      <c r="G1706" s="34">
        <f>IF($A1706="","",CHOOSE(WEEKDAY($A1706,2),"LUNES","MARTES","MIÉRCOLES","JUEVES","VIERNES","SÁBADO","DOMINGO"))</f>
        <v/>
      </c>
      <c r="H1706" s="34">
        <f>IF($A1706="","",CHOOSE(MONTH($A1706),"ENERO","FEBRERO","MARZO","ABRIL","MAYO","JUNIO","JULIO","AGOSTO","SEPTIEMBRE","OCTUBRE","NOVIEMBRE","DICIEMBRE"))</f>
        <v/>
      </c>
      <c r="I1706" s="34">
        <f>IF($A1706="","",IF(OR($G1706="SÁBADO",$G1706="DOMINGO"),"FIN","LV"))</f>
        <v/>
      </c>
      <c r="J1706" s="34">
        <f>IF(OR($A1706="",$B1706=""),"",IF($L1706&lt;&gt;"",UPPER($L1706),IF($C1706="","FALTA",IFERROR(IF($C1706&gt;=$O1706,"ROJO FUERTE",IF($C1706&gt;=$N1706,"ROJO",IF($C1706&gt;=$M1706,"AMARILLO","VERDE"))),"REVISAR"))))</f>
        <v/>
      </c>
      <c r="K1706" s="36">
        <f>IF(OR($C1706="",$D1706=""),"",IF($D1706&gt;=$C1706,($D1706-$C1706)*24,(1-$C1706+$D1706)*24))</f>
        <v/>
      </c>
      <c r="L1706" s="34" t="n"/>
      <c r="M1706" s="53">
        <f t="array" ref="M1706">IFERROR(INDEX(EXCEPCIONES_FECHA!$D$2:$D$201,MATCH(1,(EXCEPCIONES_FECHA!$A$2:$A$201=$A1706)*(EXCEPCIONES_FECHA!$B$2:$B$201=$B1706),0)),IFERROR(INDEX(EXCEPCIONES_FECHA!$D$2:$D$201,MATCH(1,(EXCEPCIONES_FECHA!$A$2:$A$201=$A1706)*(EXCEPCIONES_FECHA!$B$2:$B$201=""),0)),IFERROR(INDEX(IF($I1706="FIN",HISTORIAL_HORARIOS!$J$2:$J$201,HISTORIAL_HORARIOS!$F$2:$F$201),MATCH(1,(HISTORIAL_HORARIOS!$A$2:$A$201=$B1706)*(HISTORIAL_HORARIOS!$C$2:$C$201&lt;=$A1706)*(HISTORIAL_HORARIOS!$D$2:$D$201&gt;=$A1706),0)),INDEX(IF($I1706="FIN",PERSONAL!$J$2:$J$80,PERSONAL!$F$2:$F$80),MATCH($B1706,PERSONAL!$A$2:$A$80,0)))))</f>
        <v/>
      </c>
      <c r="N1706" s="53">
        <f t="array" ref="N1706">IFERROR(INDEX(EXCEPCIONES_FECHA!$E$2:$E$201,MATCH(1,(EXCEPCIONES_FECHA!$A$2:$A$201=$A1706)*(EXCEPCIONES_FECHA!$B$2:$B$201=$B1706),0)),IFERROR(INDEX(EXCEPCIONES_FECHA!$E$2:$E$201,MATCH(1,(EXCEPCIONES_FECHA!$A$2:$A$201=$A1706)*(EXCEPCIONES_FECHA!$B$2:$B$201=""),0)),IFERROR(INDEX(IF($I1706="FIN",HISTORIAL_HORARIOS!$K$2:$K$201,HISTORIAL_HORARIOS!$G$2:$G$201),MATCH(1,(HISTORIAL_HORARIOS!$A$2:$A$201=$B1706)*(HISTORIAL_HORARIOS!$C$2:$C$201&lt;=$A1706)*(HISTORIAL_HORARIOS!$D$2:$D$201&gt;=$A1706),0)),INDEX(IF($I1706="FIN",PERSONAL!$K$2:$K$80,PERSONAL!$G$2:$G$80),MATCH($B1706,PERSONAL!$A$2:$A$80,0)))))</f>
        <v/>
      </c>
      <c r="O1706" s="53">
        <f t="array" ref="O1706">IFERROR(INDEX(EXCEPCIONES_FECHA!$F$2:$F$201,MATCH(1,(EXCEPCIONES_FECHA!$A$2:$A$201=$A1706)*(EXCEPCIONES_FECHA!$B$2:$B$201=$B1706),0)),IFERROR(INDEX(EXCEPCIONES_FECHA!$F$2:$F$201,MATCH(1,(EXCEPCIONES_FECHA!$A$2:$A$201=$A1706)*(EXCEPCIONES_FECHA!$B$2:$B$201=""),0)),IFERROR(INDEX(IF($I1706="FIN",HISTORIAL_HORARIOS!$L$2:$L$201,HISTORIAL_HORARIOS!$H$2:$H$201),MATCH(1,(HISTORIAL_HORARIOS!$A$2:$A$201=$B1706)*(HISTORIAL_HORARIOS!$C$2:$C$201&lt;=$A1706)*(HISTORIAL_HORARIOS!$D$2:$D$201&gt;=$A1706),0)),INDEX(IF($I1706="FIN",PERSONAL!$L$2:$L$80,PERSONAL!$H$2:$H$80),MATCH($B1706,PERSONAL!$A$2:$A$80,0)))))</f>
        <v/>
      </c>
    </row>
    <row r="1707" ht="15" customHeight="1" s="58">
      <c r="A1707" s="40" t="n"/>
      <c r="B1707" s="38" t="n"/>
      <c r="C1707" s="40" t="n"/>
      <c r="D1707" s="40" t="n"/>
      <c r="E1707" s="34">
        <f t="array" ref="E1707">IF($B1707="","",IFERROR(INDEX(PERSONAL!$B$2:$B$80,MATCH($B1707,PERSONAL!$A$2:$A$80,0)),"NO EXISTE"))</f>
        <v/>
      </c>
      <c r="F1707" s="34">
        <f t="array" ref="F1707">IF($B1707="","",IFERROR(INDEX(PERSONAL!$C$2:$C$80,MATCH($B1707,PERSONAL!$A$2:$A$80,0)),""))</f>
        <v/>
      </c>
      <c r="G1707" s="34">
        <f>IF($A1707="","",CHOOSE(WEEKDAY($A1707,2),"LUNES","MARTES","MIÉRCOLES","JUEVES","VIERNES","SÁBADO","DOMINGO"))</f>
        <v/>
      </c>
      <c r="H1707" s="34">
        <f>IF($A1707="","",CHOOSE(MONTH($A1707),"ENERO","FEBRERO","MARZO","ABRIL","MAYO","JUNIO","JULIO","AGOSTO","SEPTIEMBRE","OCTUBRE","NOVIEMBRE","DICIEMBRE"))</f>
        <v/>
      </c>
      <c r="I1707" s="34">
        <f>IF($A1707="","",IF(OR($G1707="SÁBADO",$G1707="DOMINGO"),"FIN","LV"))</f>
        <v/>
      </c>
      <c r="J1707" s="34">
        <f>IF(OR($A1707="",$B1707=""),"",IF($L1707&lt;&gt;"",UPPER($L1707),IF($C1707="","FALTA",IFERROR(IF($C1707&gt;=$O1707,"ROJO FUERTE",IF($C1707&gt;=$N1707,"ROJO",IF($C1707&gt;=$M1707,"AMARILLO","VERDE"))),"REVISAR"))))</f>
        <v/>
      </c>
      <c r="K1707" s="36">
        <f>IF(OR($C1707="",$D1707=""),"",IF($D1707&gt;=$C1707,($D1707-$C1707)*24,(1-$C1707+$D1707)*24))</f>
        <v/>
      </c>
      <c r="L1707" s="34" t="n"/>
      <c r="M1707" s="53">
        <f t="array" ref="M1707">IFERROR(INDEX(EXCEPCIONES_FECHA!$D$2:$D$201,MATCH(1,(EXCEPCIONES_FECHA!$A$2:$A$201=$A1707)*(EXCEPCIONES_FECHA!$B$2:$B$201=$B1707),0)),IFERROR(INDEX(EXCEPCIONES_FECHA!$D$2:$D$201,MATCH(1,(EXCEPCIONES_FECHA!$A$2:$A$201=$A1707)*(EXCEPCIONES_FECHA!$B$2:$B$201=""),0)),IFERROR(INDEX(IF($I1707="FIN",HISTORIAL_HORARIOS!$J$2:$J$201,HISTORIAL_HORARIOS!$F$2:$F$201),MATCH(1,(HISTORIAL_HORARIOS!$A$2:$A$201=$B1707)*(HISTORIAL_HORARIOS!$C$2:$C$201&lt;=$A1707)*(HISTORIAL_HORARIOS!$D$2:$D$201&gt;=$A1707),0)),INDEX(IF($I1707="FIN",PERSONAL!$J$2:$J$80,PERSONAL!$F$2:$F$80),MATCH($B1707,PERSONAL!$A$2:$A$80,0)))))</f>
        <v/>
      </c>
      <c r="N1707" s="53">
        <f t="array" ref="N1707">IFERROR(INDEX(EXCEPCIONES_FECHA!$E$2:$E$201,MATCH(1,(EXCEPCIONES_FECHA!$A$2:$A$201=$A1707)*(EXCEPCIONES_FECHA!$B$2:$B$201=$B1707),0)),IFERROR(INDEX(EXCEPCIONES_FECHA!$E$2:$E$201,MATCH(1,(EXCEPCIONES_FECHA!$A$2:$A$201=$A1707)*(EXCEPCIONES_FECHA!$B$2:$B$201=""),0)),IFERROR(INDEX(IF($I1707="FIN",HISTORIAL_HORARIOS!$K$2:$K$201,HISTORIAL_HORARIOS!$G$2:$G$201),MATCH(1,(HISTORIAL_HORARIOS!$A$2:$A$201=$B1707)*(HISTORIAL_HORARIOS!$C$2:$C$201&lt;=$A1707)*(HISTORIAL_HORARIOS!$D$2:$D$201&gt;=$A1707),0)),INDEX(IF($I1707="FIN",PERSONAL!$K$2:$K$80,PERSONAL!$G$2:$G$80),MATCH($B1707,PERSONAL!$A$2:$A$80,0)))))</f>
        <v/>
      </c>
      <c r="O1707" s="53">
        <f t="array" ref="O1707">IFERROR(INDEX(EXCEPCIONES_FECHA!$F$2:$F$201,MATCH(1,(EXCEPCIONES_FECHA!$A$2:$A$201=$A1707)*(EXCEPCIONES_FECHA!$B$2:$B$201=$B1707),0)),IFERROR(INDEX(EXCEPCIONES_FECHA!$F$2:$F$201,MATCH(1,(EXCEPCIONES_FECHA!$A$2:$A$201=$A1707)*(EXCEPCIONES_FECHA!$B$2:$B$201=""),0)),IFERROR(INDEX(IF($I1707="FIN",HISTORIAL_HORARIOS!$L$2:$L$201,HISTORIAL_HORARIOS!$H$2:$H$201),MATCH(1,(HISTORIAL_HORARIOS!$A$2:$A$201=$B1707)*(HISTORIAL_HORARIOS!$C$2:$C$201&lt;=$A1707)*(HISTORIAL_HORARIOS!$D$2:$D$201&gt;=$A1707),0)),INDEX(IF($I1707="FIN",PERSONAL!$L$2:$L$80,PERSONAL!$H$2:$H$80),MATCH($B1707,PERSONAL!$A$2:$A$80,0)))))</f>
        <v/>
      </c>
    </row>
    <row r="1708" ht="15" customHeight="1" s="58">
      <c r="A1708" s="40" t="n"/>
      <c r="B1708" s="38" t="n"/>
      <c r="C1708" s="40" t="n"/>
      <c r="D1708" s="40" t="n"/>
      <c r="E1708" s="34">
        <f t="array" ref="E1708">IF($B1708="","",IFERROR(INDEX(PERSONAL!$B$2:$B$80,MATCH($B1708,PERSONAL!$A$2:$A$80,0)),"NO EXISTE"))</f>
        <v/>
      </c>
      <c r="F1708" s="34">
        <f t="array" ref="F1708">IF($B1708="","",IFERROR(INDEX(PERSONAL!$C$2:$C$80,MATCH($B1708,PERSONAL!$A$2:$A$80,0)),""))</f>
        <v/>
      </c>
      <c r="G1708" s="34">
        <f>IF($A1708="","",CHOOSE(WEEKDAY($A1708,2),"LUNES","MARTES","MIÉRCOLES","JUEVES","VIERNES","SÁBADO","DOMINGO"))</f>
        <v/>
      </c>
      <c r="H1708" s="34">
        <f>IF($A1708="","",CHOOSE(MONTH($A1708),"ENERO","FEBRERO","MARZO","ABRIL","MAYO","JUNIO","JULIO","AGOSTO","SEPTIEMBRE","OCTUBRE","NOVIEMBRE","DICIEMBRE"))</f>
        <v/>
      </c>
      <c r="I1708" s="34">
        <f>IF($A1708="","",IF(OR($G1708="SÁBADO",$G1708="DOMINGO"),"FIN","LV"))</f>
        <v/>
      </c>
      <c r="J1708" s="34">
        <f>IF(OR($A1708="",$B1708=""),"",IF($L1708&lt;&gt;"",UPPER($L1708),IF($C1708="","FALTA",IFERROR(IF($C1708&gt;=$O1708,"ROJO FUERTE",IF($C1708&gt;=$N1708,"ROJO",IF($C1708&gt;=$M1708,"AMARILLO","VERDE"))),"REVISAR"))))</f>
        <v/>
      </c>
      <c r="K1708" s="36">
        <f>IF(OR($C1708="",$D1708=""),"",IF($D1708&gt;=$C1708,($D1708-$C1708)*24,(1-$C1708+$D1708)*24))</f>
        <v/>
      </c>
      <c r="L1708" s="34" t="n"/>
      <c r="M1708" s="53">
        <f t="array" ref="M1708">IFERROR(INDEX(EXCEPCIONES_FECHA!$D$2:$D$201,MATCH(1,(EXCEPCIONES_FECHA!$A$2:$A$201=$A1708)*(EXCEPCIONES_FECHA!$B$2:$B$201=$B1708),0)),IFERROR(INDEX(EXCEPCIONES_FECHA!$D$2:$D$201,MATCH(1,(EXCEPCIONES_FECHA!$A$2:$A$201=$A1708)*(EXCEPCIONES_FECHA!$B$2:$B$201=""),0)),IFERROR(INDEX(IF($I1708="FIN",HISTORIAL_HORARIOS!$J$2:$J$201,HISTORIAL_HORARIOS!$F$2:$F$201),MATCH(1,(HISTORIAL_HORARIOS!$A$2:$A$201=$B1708)*(HISTORIAL_HORARIOS!$C$2:$C$201&lt;=$A1708)*(HISTORIAL_HORARIOS!$D$2:$D$201&gt;=$A1708),0)),INDEX(IF($I1708="FIN",PERSONAL!$J$2:$J$80,PERSONAL!$F$2:$F$80),MATCH($B1708,PERSONAL!$A$2:$A$80,0)))))</f>
        <v/>
      </c>
      <c r="N1708" s="53">
        <f t="array" ref="N1708">IFERROR(INDEX(EXCEPCIONES_FECHA!$E$2:$E$201,MATCH(1,(EXCEPCIONES_FECHA!$A$2:$A$201=$A1708)*(EXCEPCIONES_FECHA!$B$2:$B$201=$B1708),0)),IFERROR(INDEX(EXCEPCIONES_FECHA!$E$2:$E$201,MATCH(1,(EXCEPCIONES_FECHA!$A$2:$A$201=$A1708)*(EXCEPCIONES_FECHA!$B$2:$B$201=""),0)),IFERROR(INDEX(IF($I1708="FIN",HISTORIAL_HORARIOS!$K$2:$K$201,HISTORIAL_HORARIOS!$G$2:$G$201),MATCH(1,(HISTORIAL_HORARIOS!$A$2:$A$201=$B1708)*(HISTORIAL_HORARIOS!$C$2:$C$201&lt;=$A1708)*(HISTORIAL_HORARIOS!$D$2:$D$201&gt;=$A1708),0)),INDEX(IF($I1708="FIN",PERSONAL!$K$2:$K$80,PERSONAL!$G$2:$G$80),MATCH($B1708,PERSONAL!$A$2:$A$80,0)))))</f>
        <v/>
      </c>
      <c r="O1708" s="53">
        <f t="array" ref="O1708">IFERROR(INDEX(EXCEPCIONES_FECHA!$F$2:$F$201,MATCH(1,(EXCEPCIONES_FECHA!$A$2:$A$201=$A1708)*(EXCEPCIONES_FECHA!$B$2:$B$201=$B1708),0)),IFERROR(INDEX(EXCEPCIONES_FECHA!$F$2:$F$201,MATCH(1,(EXCEPCIONES_FECHA!$A$2:$A$201=$A1708)*(EXCEPCIONES_FECHA!$B$2:$B$201=""),0)),IFERROR(INDEX(IF($I1708="FIN",HISTORIAL_HORARIOS!$L$2:$L$201,HISTORIAL_HORARIOS!$H$2:$H$201),MATCH(1,(HISTORIAL_HORARIOS!$A$2:$A$201=$B1708)*(HISTORIAL_HORARIOS!$C$2:$C$201&lt;=$A1708)*(HISTORIAL_HORARIOS!$D$2:$D$201&gt;=$A1708),0)),INDEX(IF($I1708="FIN",PERSONAL!$L$2:$L$80,PERSONAL!$H$2:$H$80),MATCH($B1708,PERSONAL!$A$2:$A$80,0)))))</f>
        <v/>
      </c>
    </row>
    <row r="1709" ht="15" customHeight="1" s="58">
      <c r="A1709" s="40" t="n"/>
      <c r="B1709" s="38" t="n"/>
      <c r="C1709" s="40" t="n"/>
      <c r="D1709" s="40" t="n"/>
      <c r="E1709" s="34">
        <f t="array" ref="E1709">IF($B1709="","",IFERROR(INDEX(PERSONAL!$B$2:$B$80,MATCH($B1709,PERSONAL!$A$2:$A$80,0)),"NO EXISTE"))</f>
        <v/>
      </c>
      <c r="F1709" s="34">
        <f t="array" ref="F1709">IF($B1709="","",IFERROR(INDEX(PERSONAL!$C$2:$C$80,MATCH($B1709,PERSONAL!$A$2:$A$80,0)),""))</f>
        <v/>
      </c>
      <c r="G1709" s="34">
        <f>IF($A1709="","",CHOOSE(WEEKDAY($A1709,2),"LUNES","MARTES","MIÉRCOLES","JUEVES","VIERNES","SÁBADO","DOMINGO"))</f>
        <v/>
      </c>
      <c r="H1709" s="34">
        <f>IF($A1709="","",CHOOSE(MONTH($A1709),"ENERO","FEBRERO","MARZO","ABRIL","MAYO","JUNIO","JULIO","AGOSTO","SEPTIEMBRE","OCTUBRE","NOVIEMBRE","DICIEMBRE"))</f>
        <v/>
      </c>
      <c r="I1709" s="34">
        <f>IF($A1709="","",IF(OR($G1709="SÁBADO",$G1709="DOMINGO"),"FIN","LV"))</f>
        <v/>
      </c>
      <c r="J1709" s="34">
        <f>IF(OR($A1709="",$B1709=""),"",IF($L1709&lt;&gt;"",UPPER($L1709),IF($C1709="","FALTA",IFERROR(IF($C1709&gt;=$O1709,"ROJO FUERTE",IF($C1709&gt;=$N1709,"ROJO",IF($C1709&gt;=$M1709,"AMARILLO","VERDE"))),"REVISAR"))))</f>
        <v/>
      </c>
      <c r="K1709" s="36">
        <f>IF(OR($C1709="",$D1709=""),"",IF($D1709&gt;=$C1709,($D1709-$C1709)*24,(1-$C1709+$D1709)*24))</f>
        <v/>
      </c>
      <c r="L1709" s="34" t="n"/>
      <c r="M1709" s="53">
        <f t="array" ref="M1709">IFERROR(INDEX(EXCEPCIONES_FECHA!$D$2:$D$201,MATCH(1,(EXCEPCIONES_FECHA!$A$2:$A$201=$A1709)*(EXCEPCIONES_FECHA!$B$2:$B$201=$B1709),0)),IFERROR(INDEX(EXCEPCIONES_FECHA!$D$2:$D$201,MATCH(1,(EXCEPCIONES_FECHA!$A$2:$A$201=$A1709)*(EXCEPCIONES_FECHA!$B$2:$B$201=""),0)),IFERROR(INDEX(IF($I1709="FIN",HISTORIAL_HORARIOS!$J$2:$J$201,HISTORIAL_HORARIOS!$F$2:$F$201),MATCH(1,(HISTORIAL_HORARIOS!$A$2:$A$201=$B1709)*(HISTORIAL_HORARIOS!$C$2:$C$201&lt;=$A1709)*(HISTORIAL_HORARIOS!$D$2:$D$201&gt;=$A1709),0)),INDEX(IF($I1709="FIN",PERSONAL!$J$2:$J$80,PERSONAL!$F$2:$F$80),MATCH($B1709,PERSONAL!$A$2:$A$80,0)))))</f>
        <v/>
      </c>
      <c r="N1709" s="53">
        <f t="array" ref="N1709">IFERROR(INDEX(EXCEPCIONES_FECHA!$E$2:$E$201,MATCH(1,(EXCEPCIONES_FECHA!$A$2:$A$201=$A1709)*(EXCEPCIONES_FECHA!$B$2:$B$201=$B1709),0)),IFERROR(INDEX(EXCEPCIONES_FECHA!$E$2:$E$201,MATCH(1,(EXCEPCIONES_FECHA!$A$2:$A$201=$A1709)*(EXCEPCIONES_FECHA!$B$2:$B$201=""),0)),IFERROR(INDEX(IF($I1709="FIN",HISTORIAL_HORARIOS!$K$2:$K$201,HISTORIAL_HORARIOS!$G$2:$G$201),MATCH(1,(HISTORIAL_HORARIOS!$A$2:$A$201=$B1709)*(HISTORIAL_HORARIOS!$C$2:$C$201&lt;=$A1709)*(HISTORIAL_HORARIOS!$D$2:$D$201&gt;=$A1709),0)),INDEX(IF($I1709="FIN",PERSONAL!$K$2:$K$80,PERSONAL!$G$2:$G$80),MATCH($B1709,PERSONAL!$A$2:$A$80,0)))))</f>
        <v/>
      </c>
      <c r="O1709" s="53">
        <f t="array" ref="O1709">IFERROR(INDEX(EXCEPCIONES_FECHA!$F$2:$F$201,MATCH(1,(EXCEPCIONES_FECHA!$A$2:$A$201=$A1709)*(EXCEPCIONES_FECHA!$B$2:$B$201=$B1709),0)),IFERROR(INDEX(EXCEPCIONES_FECHA!$F$2:$F$201,MATCH(1,(EXCEPCIONES_FECHA!$A$2:$A$201=$A1709)*(EXCEPCIONES_FECHA!$B$2:$B$201=""),0)),IFERROR(INDEX(IF($I1709="FIN",HISTORIAL_HORARIOS!$L$2:$L$201,HISTORIAL_HORARIOS!$H$2:$H$201),MATCH(1,(HISTORIAL_HORARIOS!$A$2:$A$201=$B1709)*(HISTORIAL_HORARIOS!$C$2:$C$201&lt;=$A1709)*(HISTORIAL_HORARIOS!$D$2:$D$201&gt;=$A1709),0)),INDEX(IF($I1709="FIN",PERSONAL!$L$2:$L$80,PERSONAL!$H$2:$H$80),MATCH($B1709,PERSONAL!$A$2:$A$80,0)))))</f>
        <v/>
      </c>
    </row>
    <row r="1710" ht="15" customHeight="1" s="58">
      <c r="A1710" s="40" t="n"/>
      <c r="B1710" s="38" t="n"/>
      <c r="C1710" s="40" t="n"/>
      <c r="D1710" s="40" t="n"/>
      <c r="E1710" s="34">
        <f t="array" ref="E1710">IF($B1710="","",IFERROR(INDEX(PERSONAL!$B$2:$B$80,MATCH($B1710,PERSONAL!$A$2:$A$80,0)),"NO EXISTE"))</f>
        <v/>
      </c>
      <c r="F1710" s="34">
        <f t="array" ref="F1710">IF($B1710="","",IFERROR(INDEX(PERSONAL!$C$2:$C$80,MATCH($B1710,PERSONAL!$A$2:$A$80,0)),""))</f>
        <v/>
      </c>
      <c r="G1710" s="34">
        <f>IF($A1710="","",CHOOSE(WEEKDAY($A1710,2),"LUNES","MARTES","MIÉRCOLES","JUEVES","VIERNES","SÁBADO","DOMINGO"))</f>
        <v/>
      </c>
      <c r="H1710" s="34">
        <f>IF($A1710="","",CHOOSE(MONTH($A1710),"ENERO","FEBRERO","MARZO","ABRIL","MAYO","JUNIO","JULIO","AGOSTO","SEPTIEMBRE","OCTUBRE","NOVIEMBRE","DICIEMBRE"))</f>
        <v/>
      </c>
      <c r="I1710" s="34">
        <f>IF($A1710="","",IF(OR($G1710="SÁBADO",$G1710="DOMINGO"),"FIN","LV"))</f>
        <v/>
      </c>
      <c r="J1710" s="34">
        <f>IF(OR($A1710="",$B1710=""),"",IF($L1710&lt;&gt;"",UPPER($L1710),IF($C1710="","FALTA",IFERROR(IF($C1710&gt;=$O1710,"ROJO FUERTE",IF($C1710&gt;=$N1710,"ROJO",IF($C1710&gt;=$M1710,"AMARILLO","VERDE"))),"REVISAR"))))</f>
        <v/>
      </c>
      <c r="K1710" s="36">
        <f>IF(OR($C1710="",$D1710=""),"",IF($D1710&gt;=$C1710,($D1710-$C1710)*24,(1-$C1710+$D1710)*24))</f>
        <v/>
      </c>
      <c r="L1710" s="34" t="n"/>
      <c r="M1710" s="53">
        <f t="array" ref="M1710">IFERROR(INDEX(EXCEPCIONES_FECHA!$D$2:$D$201,MATCH(1,(EXCEPCIONES_FECHA!$A$2:$A$201=$A1710)*(EXCEPCIONES_FECHA!$B$2:$B$201=$B1710),0)),IFERROR(INDEX(EXCEPCIONES_FECHA!$D$2:$D$201,MATCH(1,(EXCEPCIONES_FECHA!$A$2:$A$201=$A1710)*(EXCEPCIONES_FECHA!$B$2:$B$201=""),0)),IFERROR(INDEX(IF($I1710="FIN",HISTORIAL_HORARIOS!$J$2:$J$201,HISTORIAL_HORARIOS!$F$2:$F$201),MATCH(1,(HISTORIAL_HORARIOS!$A$2:$A$201=$B1710)*(HISTORIAL_HORARIOS!$C$2:$C$201&lt;=$A1710)*(HISTORIAL_HORARIOS!$D$2:$D$201&gt;=$A1710),0)),INDEX(IF($I1710="FIN",PERSONAL!$J$2:$J$80,PERSONAL!$F$2:$F$80),MATCH($B1710,PERSONAL!$A$2:$A$80,0)))))</f>
        <v/>
      </c>
      <c r="N1710" s="53">
        <f t="array" ref="N1710">IFERROR(INDEX(EXCEPCIONES_FECHA!$E$2:$E$201,MATCH(1,(EXCEPCIONES_FECHA!$A$2:$A$201=$A1710)*(EXCEPCIONES_FECHA!$B$2:$B$201=$B1710),0)),IFERROR(INDEX(EXCEPCIONES_FECHA!$E$2:$E$201,MATCH(1,(EXCEPCIONES_FECHA!$A$2:$A$201=$A1710)*(EXCEPCIONES_FECHA!$B$2:$B$201=""),0)),IFERROR(INDEX(IF($I1710="FIN",HISTORIAL_HORARIOS!$K$2:$K$201,HISTORIAL_HORARIOS!$G$2:$G$201),MATCH(1,(HISTORIAL_HORARIOS!$A$2:$A$201=$B1710)*(HISTORIAL_HORARIOS!$C$2:$C$201&lt;=$A1710)*(HISTORIAL_HORARIOS!$D$2:$D$201&gt;=$A1710),0)),INDEX(IF($I1710="FIN",PERSONAL!$K$2:$K$80,PERSONAL!$G$2:$G$80),MATCH($B1710,PERSONAL!$A$2:$A$80,0)))))</f>
        <v/>
      </c>
      <c r="O1710" s="53">
        <f t="array" ref="O1710">IFERROR(INDEX(EXCEPCIONES_FECHA!$F$2:$F$201,MATCH(1,(EXCEPCIONES_FECHA!$A$2:$A$201=$A1710)*(EXCEPCIONES_FECHA!$B$2:$B$201=$B1710),0)),IFERROR(INDEX(EXCEPCIONES_FECHA!$F$2:$F$201,MATCH(1,(EXCEPCIONES_FECHA!$A$2:$A$201=$A1710)*(EXCEPCIONES_FECHA!$B$2:$B$201=""),0)),IFERROR(INDEX(IF($I1710="FIN",HISTORIAL_HORARIOS!$L$2:$L$201,HISTORIAL_HORARIOS!$H$2:$H$201),MATCH(1,(HISTORIAL_HORARIOS!$A$2:$A$201=$B1710)*(HISTORIAL_HORARIOS!$C$2:$C$201&lt;=$A1710)*(HISTORIAL_HORARIOS!$D$2:$D$201&gt;=$A1710),0)),INDEX(IF($I1710="FIN",PERSONAL!$L$2:$L$80,PERSONAL!$H$2:$H$80),MATCH($B1710,PERSONAL!$A$2:$A$80,0)))))</f>
        <v/>
      </c>
    </row>
    <row r="1711" ht="15" customHeight="1" s="58">
      <c r="A1711" s="40" t="n"/>
      <c r="B1711" s="38" t="n"/>
      <c r="C1711" s="40" t="n"/>
      <c r="D1711" s="40" t="n"/>
      <c r="E1711" s="34">
        <f t="array" ref="E1711">IF($B1711="","",IFERROR(INDEX(PERSONAL!$B$2:$B$80,MATCH($B1711,PERSONAL!$A$2:$A$80,0)),"NO EXISTE"))</f>
        <v/>
      </c>
      <c r="F1711" s="34">
        <f t="array" ref="F1711">IF($B1711="","",IFERROR(INDEX(PERSONAL!$C$2:$C$80,MATCH($B1711,PERSONAL!$A$2:$A$80,0)),""))</f>
        <v/>
      </c>
      <c r="G1711" s="34">
        <f>IF($A1711="","",CHOOSE(WEEKDAY($A1711,2),"LUNES","MARTES","MIÉRCOLES","JUEVES","VIERNES","SÁBADO","DOMINGO"))</f>
        <v/>
      </c>
      <c r="H1711" s="34">
        <f>IF($A1711="","",CHOOSE(MONTH($A1711),"ENERO","FEBRERO","MARZO","ABRIL","MAYO","JUNIO","JULIO","AGOSTO","SEPTIEMBRE","OCTUBRE","NOVIEMBRE","DICIEMBRE"))</f>
        <v/>
      </c>
      <c r="I1711" s="34">
        <f>IF($A1711="","",IF(OR($G1711="SÁBADO",$G1711="DOMINGO"),"FIN","LV"))</f>
        <v/>
      </c>
      <c r="J1711" s="34">
        <f>IF(OR($A1711="",$B1711=""),"",IF($L1711&lt;&gt;"",UPPER($L1711),IF($C1711="","FALTA",IFERROR(IF($C1711&gt;=$O1711,"ROJO FUERTE",IF($C1711&gt;=$N1711,"ROJO",IF($C1711&gt;=$M1711,"AMARILLO","VERDE"))),"REVISAR"))))</f>
        <v/>
      </c>
      <c r="K1711" s="36">
        <f>IF(OR($C1711="",$D1711=""),"",IF($D1711&gt;=$C1711,($D1711-$C1711)*24,(1-$C1711+$D1711)*24))</f>
        <v/>
      </c>
      <c r="L1711" s="34" t="n"/>
      <c r="M1711" s="53">
        <f t="array" ref="M1711">IFERROR(INDEX(EXCEPCIONES_FECHA!$D$2:$D$201,MATCH(1,(EXCEPCIONES_FECHA!$A$2:$A$201=$A1711)*(EXCEPCIONES_FECHA!$B$2:$B$201=$B1711),0)),IFERROR(INDEX(EXCEPCIONES_FECHA!$D$2:$D$201,MATCH(1,(EXCEPCIONES_FECHA!$A$2:$A$201=$A1711)*(EXCEPCIONES_FECHA!$B$2:$B$201=""),0)),IFERROR(INDEX(IF($I1711="FIN",HISTORIAL_HORARIOS!$J$2:$J$201,HISTORIAL_HORARIOS!$F$2:$F$201),MATCH(1,(HISTORIAL_HORARIOS!$A$2:$A$201=$B1711)*(HISTORIAL_HORARIOS!$C$2:$C$201&lt;=$A1711)*(HISTORIAL_HORARIOS!$D$2:$D$201&gt;=$A1711),0)),INDEX(IF($I1711="FIN",PERSONAL!$J$2:$J$80,PERSONAL!$F$2:$F$80),MATCH($B1711,PERSONAL!$A$2:$A$80,0)))))</f>
        <v/>
      </c>
      <c r="N1711" s="53">
        <f t="array" ref="N1711">IFERROR(INDEX(EXCEPCIONES_FECHA!$E$2:$E$201,MATCH(1,(EXCEPCIONES_FECHA!$A$2:$A$201=$A1711)*(EXCEPCIONES_FECHA!$B$2:$B$201=$B1711),0)),IFERROR(INDEX(EXCEPCIONES_FECHA!$E$2:$E$201,MATCH(1,(EXCEPCIONES_FECHA!$A$2:$A$201=$A1711)*(EXCEPCIONES_FECHA!$B$2:$B$201=""),0)),IFERROR(INDEX(IF($I1711="FIN",HISTORIAL_HORARIOS!$K$2:$K$201,HISTORIAL_HORARIOS!$G$2:$G$201),MATCH(1,(HISTORIAL_HORARIOS!$A$2:$A$201=$B1711)*(HISTORIAL_HORARIOS!$C$2:$C$201&lt;=$A1711)*(HISTORIAL_HORARIOS!$D$2:$D$201&gt;=$A1711),0)),INDEX(IF($I1711="FIN",PERSONAL!$K$2:$K$80,PERSONAL!$G$2:$G$80),MATCH($B1711,PERSONAL!$A$2:$A$80,0)))))</f>
        <v/>
      </c>
      <c r="O1711" s="53">
        <f t="array" ref="O1711">IFERROR(INDEX(EXCEPCIONES_FECHA!$F$2:$F$201,MATCH(1,(EXCEPCIONES_FECHA!$A$2:$A$201=$A1711)*(EXCEPCIONES_FECHA!$B$2:$B$201=$B1711),0)),IFERROR(INDEX(EXCEPCIONES_FECHA!$F$2:$F$201,MATCH(1,(EXCEPCIONES_FECHA!$A$2:$A$201=$A1711)*(EXCEPCIONES_FECHA!$B$2:$B$201=""),0)),IFERROR(INDEX(IF($I1711="FIN",HISTORIAL_HORARIOS!$L$2:$L$201,HISTORIAL_HORARIOS!$H$2:$H$201),MATCH(1,(HISTORIAL_HORARIOS!$A$2:$A$201=$B1711)*(HISTORIAL_HORARIOS!$C$2:$C$201&lt;=$A1711)*(HISTORIAL_HORARIOS!$D$2:$D$201&gt;=$A1711),0)),INDEX(IF($I1711="FIN",PERSONAL!$L$2:$L$80,PERSONAL!$H$2:$H$80),MATCH($B1711,PERSONAL!$A$2:$A$80,0)))))</f>
        <v/>
      </c>
    </row>
    <row r="1712" ht="15" customHeight="1" s="58">
      <c r="A1712" s="40" t="n"/>
      <c r="B1712" s="38" t="n"/>
      <c r="C1712" s="40" t="n"/>
      <c r="D1712" s="40" t="n"/>
      <c r="E1712" s="34">
        <f t="array" ref="E1712">IF($B1712="","",IFERROR(INDEX(PERSONAL!$B$2:$B$80,MATCH($B1712,PERSONAL!$A$2:$A$80,0)),"NO EXISTE"))</f>
        <v/>
      </c>
      <c r="F1712" s="34">
        <f t="array" ref="F1712">IF($B1712="","",IFERROR(INDEX(PERSONAL!$C$2:$C$80,MATCH($B1712,PERSONAL!$A$2:$A$80,0)),""))</f>
        <v/>
      </c>
      <c r="G1712" s="34">
        <f>IF($A1712="","",CHOOSE(WEEKDAY($A1712,2),"LUNES","MARTES","MIÉRCOLES","JUEVES","VIERNES","SÁBADO","DOMINGO"))</f>
        <v/>
      </c>
      <c r="H1712" s="34">
        <f>IF($A1712="","",CHOOSE(MONTH($A1712),"ENERO","FEBRERO","MARZO","ABRIL","MAYO","JUNIO","JULIO","AGOSTO","SEPTIEMBRE","OCTUBRE","NOVIEMBRE","DICIEMBRE"))</f>
        <v/>
      </c>
      <c r="I1712" s="34">
        <f>IF($A1712="","",IF(OR($G1712="SÁBADO",$G1712="DOMINGO"),"FIN","LV"))</f>
        <v/>
      </c>
      <c r="J1712" s="34">
        <f>IF(OR($A1712="",$B1712=""),"",IF($L1712&lt;&gt;"",UPPER($L1712),IF($C1712="","FALTA",IFERROR(IF($C1712&gt;=$O1712,"ROJO FUERTE",IF($C1712&gt;=$N1712,"ROJO",IF($C1712&gt;=$M1712,"AMARILLO","VERDE"))),"REVISAR"))))</f>
        <v/>
      </c>
      <c r="K1712" s="36">
        <f>IF(OR($C1712="",$D1712=""),"",IF($D1712&gt;=$C1712,($D1712-$C1712)*24,(1-$C1712+$D1712)*24))</f>
        <v/>
      </c>
      <c r="L1712" s="34" t="n"/>
      <c r="M1712" s="53">
        <f t="array" ref="M1712">IFERROR(INDEX(EXCEPCIONES_FECHA!$D$2:$D$201,MATCH(1,(EXCEPCIONES_FECHA!$A$2:$A$201=$A1712)*(EXCEPCIONES_FECHA!$B$2:$B$201=$B1712),0)),IFERROR(INDEX(EXCEPCIONES_FECHA!$D$2:$D$201,MATCH(1,(EXCEPCIONES_FECHA!$A$2:$A$201=$A1712)*(EXCEPCIONES_FECHA!$B$2:$B$201=""),0)),IFERROR(INDEX(IF($I1712="FIN",HISTORIAL_HORARIOS!$J$2:$J$201,HISTORIAL_HORARIOS!$F$2:$F$201),MATCH(1,(HISTORIAL_HORARIOS!$A$2:$A$201=$B1712)*(HISTORIAL_HORARIOS!$C$2:$C$201&lt;=$A1712)*(HISTORIAL_HORARIOS!$D$2:$D$201&gt;=$A1712),0)),INDEX(IF($I1712="FIN",PERSONAL!$J$2:$J$80,PERSONAL!$F$2:$F$80),MATCH($B1712,PERSONAL!$A$2:$A$80,0)))))</f>
        <v/>
      </c>
      <c r="N1712" s="53">
        <f t="array" ref="N1712">IFERROR(INDEX(EXCEPCIONES_FECHA!$E$2:$E$201,MATCH(1,(EXCEPCIONES_FECHA!$A$2:$A$201=$A1712)*(EXCEPCIONES_FECHA!$B$2:$B$201=$B1712),0)),IFERROR(INDEX(EXCEPCIONES_FECHA!$E$2:$E$201,MATCH(1,(EXCEPCIONES_FECHA!$A$2:$A$201=$A1712)*(EXCEPCIONES_FECHA!$B$2:$B$201=""),0)),IFERROR(INDEX(IF($I1712="FIN",HISTORIAL_HORARIOS!$K$2:$K$201,HISTORIAL_HORARIOS!$G$2:$G$201),MATCH(1,(HISTORIAL_HORARIOS!$A$2:$A$201=$B1712)*(HISTORIAL_HORARIOS!$C$2:$C$201&lt;=$A1712)*(HISTORIAL_HORARIOS!$D$2:$D$201&gt;=$A1712),0)),INDEX(IF($I1712="FIN",PERSONAL!$K$2:$K$80,PERSONAL!$G$2:$G$80),MATCH($B1712,PERSONAL!$A$2:$A$80,0)))))</f>
        <v/>
      </c>
      <c r="O1712" s="53">
        <f t="array" ref="O1712">IFERROR(INDEX(EXCEPCIONES_FECHA!$F$2:$F$201,MATCH(1,(EXCEPCIONES_FECHA!$A$2:$A$201=$A1712)*(EXCEPCIONES_FECHA!$B$2:$B$201=$B1712),0)),IFERROR(INDEX(EXCEPCIONES_FECHA!$F$2:$F$201,MATCH(1,(EXCEPCIONES_FECHA!$A$2:$A$201=$A1712)*(EXCEPCIONES_FECHA!$B$2:$B$201=""),0)),IFERROR(INDEX(IF($I1712="FIN",HISTORIAL_HORARIOS!$L$2:$L$201,HISTORIAL_HORARIOS!$H$2:$H$201),MATCH(1,(HISTORIAL_HORARIOS!$A$2:$A$201=$B1712)*(HISTORIAL_HORARIOS!$C$2:$C$201&lt;=$A1712)*(HISTORIAL_HORARIOS!$D$2:$D$201&gt;=$A1712),0)),INDEX(IF($I1712="FIN",PERSONAL!$L$2:$L$80,PERSONAL!$H$2:$H$80),MATCH($B1712,PERSONAL!$A$2:$A$80,0)))))</f>
        <v/>
      </c>
    </row>
    <row r="1713" ht="15" customHeight="1" s="58">
      <c r="A1713" s="40" t="n"/>
      <c r="B1713" s="38" t="n"/>
      <c r="C1713" s="40" t="n"/>
      <c r="D1713" s="40" t="n"/>
      <c r="E1713" s="34">
        <f t="array" ref="E1713">IF($B1713="","",IFERROR(INDEX(PERSONAL!$B$2:$B$80,MATCH($B1713,PERSONAL!$A$2:$A$80,0)),"NO EXISTE"))</f>
        <v/>
      </c>
      <c r="F1713" s="34">
        <f t="array" ref="F1713">IF($B1713="","",IFERROR(INDEX(PERSONAL!$C$2:$C$80,MATCH($B1713,PERSONAL!$A$2:$A$80,0)),""))</f>
        <v/>
      </c>
      <c r="G1713" s="34">
        <f>IF($A1713="","",CHOOSE(WEEKDAY($A1713,2),"LUNES","MARTES","MIÉRCOLES","JUEVES","VIERNES","SÁBADO","DOMINGO"))</f>
        <v/>
      </c>
      <c r="H1713" s="34">
        <f>IF($A1713="","",CHOOSE(MONTH($A1713),"ENERO","FEBRERO","MARZO","ABRIL","MAYO","JUNIO","JULIO","AGOSTO","SEPTIEMBRE","OCTUBRE","NOVIEMBRE","DICIEMBRE"))</f>
        <v/>
      </c>
      <c r="I1713" s="34">
        <f>IF($A1713="","",IF(OR($G1713="SÁBADO",$G1713="DOMINGO"),"FIN","LV"))</f>
        <v/>
      </c>
      <c r="J1713" s="34">
        <f>IF(OR($A1713="",$B1713=""),"",IF($L1713&lt;&gt;"",UPPER($L1713),IF($C1713="","FALTA",IFERROR(IF($C1713&gt;=$O1713,"ROJO FUERTE",IF($C1713&gt;=$N1713,"ROJO",IF($C1713&gt;=$M1713,"AMARILLO","VERDE"))),"REVISAR"))))</f>
        <v/>
      </c>
      <c r="K1713" s="36">
        <f>IF(OR($C1713="",$D1713=""),"",IF($D1713&gt;=$C1713,($D1713-$C1713)*24,(1-$C1713+$D1713)*24))</f>
        <v/>
      </c>
      <c r="L1713" s="34" t="n"/>
      <c r="M1713" s="53">
        <f t="array" ref="M1713">IFERROR(INDEX(EXCEPCIONES_FECHA!$D$2:$D$201,MATCH(1,(EXCEPCIONES_FECHA!$A$2:$A$201=$A1713)*(EXCEPCIONES_FECHA!$B$2:$B$201=$B1713),0)),IFERROR(INDEX(EXCEPCIONES_FECHA!$D$2:$D$201,MATCH(1,(EXCEPCIONES_FECHA!$A$2:$A$201=$A1713)*(EXCEPCIONES_FECHA!$B$2:$B$201=""),0)),IFERROR(INDEX(IF($I1713="FIN",HISTORIAL_HORARIOS!$J$2:$J$201,HISTORIAL_HORARIOS!$F$2:$F$201),MATCH(1,(HISTORIAL_HORARIOS!$A$2:$A$201=$B1713)*(HISTORIAL_HORARIOS!$C$2:$C$201&lt;=$A1713)*(HISTORIAL_HORARIOS!$D$2:$D$201&gt;=$A1713),0)),INDEX(IF($I1713="FIN",PERSONAL!$J$2:$J$80,PERSONAL!$F$2:$F$80),MATCH($B1713,PERSONAL!$A$2:$A$80,0)))))</f>
        <v/>
      </c>
      <c r="N1713" s="53">
        <f t="array" ref="N1713">IFERROR(INDEX(EXCEPCIONES_FECHA!$E$2:$E$201,MATCH(1,(EXCEPCIONES_FECHA!$A$2:$A$201=$A1713)*(EXCEPCIONES_FECHA!$B$2:$B$201=$B1713),0)),IFERROR(INDEX(EXCEPCIONES_FECHA!$E$2:$E$201,MATCH(1,(EXCEPCIONES_FECHA!$A$2:$A$201=$A1713)*(EXCEPCIONES_FECHA!$B$2:$B$201=""),0)),IFERROR(INDEX(IF($I1713="FIN",HISTORIAL_HORARIOS!$K$2:$K$201,HISTORIAL_HORARIOS!$G$2:$G$201),MATCH(1,(HISTORIAL_HORARIOS!$A$2:$A$201=$B1713)*(HISTORIAL_HORARIOS!$C$2:$C$201&lt;=$A1713)*(HISTORIAL_HORARIOS!$D$2:$D$201&gt;=$A1713),0)),INDEX(IF($I1713="FIN",PERSONAL!$K$2:$K$80,PERSONAL!$G$2:$G$80),MATCH($B1713,PERSONAL!$A$2:$A$80,0)))))</f>
        <v/>
      </c>
      <c r="O1713" s="53">
        <f t="array" ref="O1713">IFERROR(INDEX(EXCEPCIONES_FECHA!$F$2:$F$201,MATCH(1,(EXCEPCIONES_FECHA!$A$2:$A$201=$A1713)*(EXCEPCIONES_FECHA!$B$2:$B$201=$B1713),0)),IFERROR(INDEX(EXCEPCIONES_FECHA!$F$2:$F$201,MATCH(1,(EXCEPCIONES_FECHA!$A$2:$A$201=$A1713)*(EXCEPCIONES_FECHA!$B$2:$B$201=""),0)),IFERROR(INDEX(IF($I1713="FIN",HISTORIAL_HORARIOS!$L$2:$L$201,HISTORIAL_HORARIOS!$H$2:$H$201),MATCH(1,(HISTORIAL_HORARIOS!$A$2:$A$201=$B1713)*(HISTORIAL_HORARIOS!$C$2:$C$201&lt;=$A1713)*(HISTORIAL_HORARIOS!$D$2:$D$201&gt;=$A1713),0)),INDEX(IF($I1713="FIN",PERSONAL!$L$2:$L$80,PERSONAL!$H$2:$H$80),MATCH($B1713,PERSONAL!$A$2:$A$80,0)))))</f>
        <v/>
      </c>
    </row>
    <row r="1714" ht="15" customHeight="1" s="58">
      <c r="A1714" s="40" t="n"/>
      <c r="B1714" s="38" t="n"/>
      <c r="C1714" s="40" t="n"/>
      <c r="D1714" s="40" t="n"/>
      <c r="E1714" s="34">
        <f t="array" ref="E1714">IF($B1714="","",IFERROR(INDEX(PERSONAL!$B$2:$B$80,MATCH($B1714,PERSONAL!$A$2:$A$80,0)),"NO EXISTE"))</f>
        <v/>
      </c>
      <c r="F1714" s="34">
        <f t="array" ref="F1714">IF($B1714="","",IFERROR(INDEX(PERSONAL!$C$2:$C$80,MATCH($B1714,PERSONAL!$A$2:$A$80,0)),""))</f>
        <v/>
      </c>
      <c r="G1714" s="34">
        <f>IF($A1714="","",CHOOSE(WEEKDAY($A1714,2),"LUNES","MARTES","MIÉRCOLES","JUEVES","VIERNES","SÁBADO","DOMINGO"))</f>
        <v/>
      </c>
      <c r="H1714" s="34">
        <f>IF($A1714="","",CHOOSE(MONTH($A1714),"ENERO","FEBRERO","MARZO","ABRIL","MAYO","JUNIO","JULIO","AGOSTO","SEPTIEMBRE","OCTUBRE","NOVIEMBRE","DICIEMBRE"))</f>
        <v/>
      </c>
      <c r="I1714" s="34">
        <f>IF($A1714="","",IF(OR($G1714="SÁBADO",$G1714="DOMINGO"),"FIN","LV"))</f>
        <v/>
      </c>
      <c r="J1714" s="34">
        <f>IF(OR($A1714="",$B1714=""),"",IF($L1714&lt;&gt;"",UPPER($L1714),IF($C1714="","FALTA",IFERROR(IF($C1714&gt;=$O1714,"ROJO FUERTE",IF($C1714&gt;=$N1714,"ROJO",IF($C1714&gt;=$M1714,"AMARILLO","VERDE"))),"REVISAR"))))</f>
        <v/>
      </c>
      <c r="K1714" s="36">
        <f>IF(OR($C1714="",$D1714=""),"",IF($D1714&gt;=$C1714,($D1714-$C1714)*24,(1-$C1714+$D1714)*24))</f>
        <v/>
      </c>
      <c r="L1714" s="34" t="n"/>
      <c r="M1714" s="53">
        <f t="array" ref="M1714">IFERROR(INDEX(EXCEPCIONES_FECHA!$D$2:$D$201,MATCH(1,(EXCEPCIONES_FECHA!$A$2:$A$201=$A1714)*(EXCEPCIONES_FECHA!$B$2:$B$201=$B1714),0)),IFERROR(INDEX(EXCEPCIONES_FECHA!$D$2:$D$201,MATCH(1,(EXCEPCIONES_FECHA!$A$2:$A$201=$A1714)*(EXCEPCIONES_FECHA!$B$2:$B$201=""),0)),IFERROR(INDEX(IF($I1714="FIN",HISTORIAL_HORARIOS!$J$2:$J$201,HISTORIAL_HORARIOS!$F$2:$F$201),MATCH(1,(HISTORIAL_HORARIOS!$A$2:$A$201=$B1714)*(HISTORIAL_HORARIOS!$C$2:$C$201&lt;=$A1714)*(HISTORIAL_HORARIOS!$D$2:$D$201&gt;=$A1714),0)),INDEX(IF($I1714="FIN",PERSONAL!$J$2:$J$80,PERSONAL!$F$2:$F$80),MATCH($B1714,PERSONAL!$A$2:$A$80,0)))))</f>
        <v/>
      </c>
      <c r="N1714" s="53">
        <f t="array" ref="N1714">IFERROR(INDEX(EXCEPCIONES_FECHA!$E$2:$E$201,MATCH(1,(EXCEPCIONES_FECHA!$A$2:$A$201=$A1714)*(EXCEPCIONES_FECHA!$B$2:$B$201=$B1714),0)),IFERROR(INDEX(EXCEPCIONES_FECHA!$E$2:$E$201,MATCH(1,(EXCEPCIONES_FECHA!$A$2:$A$201=$A1714)*(EXCEPCIONES_FECHA!$B$2:$B$201=""),0)),IFERROR(INDEX(IF($I1714="FIN",HISTORIAL_HORARIOS!$K$2:$K$201,HISTORIAL_HORARIOS!$G$2:$G$201),MATCH(1,(HISTORIAL_HORARIOS!$A$2:$A$201=$B1714)*(HISTORIAL_HORARIOS!$C$2:$C$201&lt;=$A1714)*(HISTORIAL_HORARIOS!$D$2:$D$201&gt;=$A1714),0)),INDEX(IF($I1714="FIN",PERSONAL!$K$2:$K$80,PERSONAL!$G$2:$G$80),MATCH($B1714,PERSONAL!$A$2:$A$80,0)))))</f>
        <v/>
      </c>
      <c r="O1714" s="53">
        <f t="array" ref="O1714">IFERROR(INDEX(EXCEPCIONES_FECHA!$F$2:$F$201,MATCH(1,(EXCEPCIONES_FECHA!$A$2:$A$201=$A1714)*(EXCEPCIONES_FECHA!$B$2:$B$201=$B1714),0)),IFERROR(INDEX(EXCEPCIONES_FECHA!$F$2:$F$201,MATCH(1,(EXCEPCIONES_FECHA!$A$2:$A$201=$A1714)*(EXCEPCIONES_FECHA!$B$2:$B$201=""),0)),IFERROR(INDEX(IF($I1714="FIN",HISTORIAL_HORARIOS!$L$2:$L$201,HISTORIAL_HORARIOS!$H$2:$H$201),MATCH(1,(HISTORIAL_HORARIOS!$A$2:$A$201=$B1714)*(HISTORIAL_HORARIOS!$C$2:$C$201&lt;=$A1714)*(HISTORIAL_HORARIOS!$D$2:$D$201&gt;=$A1714),0)),INDEX(IF($I1714="FIN",PERSONAL!$L$2:$L$80,PERSONAL!$H$2:$H$80),MATCH($B1714,PERSONAL!$A$2:$A$80,0)))))</f>
        <v/>
      </c>
    </row>
    <row r="1715" ht="15" customHeight="1" s="58">
      <c r="A1715" s="40" t="n"/>
      <c r="B1715" s="38" t="n"/>
      <c r="C1715" s="40" t="n"/>
      <c r="D1715" s="40" t="n"/>
      <c r="E1715" s="34">
        <f t="array" ref="E1715">IF($B1715="","",IFERROR(INDEX(PERSONAL!$B$2:$B$80,MATCH($B1715,PERSONAL!$A$2:$A$80,0)),"NO EXISTE"))</f>
        <v/>
      </c>
      <c r="F1715" s="34">
        <f t="array" ref="F1715">IF($B1715="","",IFERROR(INDEX(PERSONAL!$C$2:$C$80,MATCH($B1715,PERSONAL!$A$2:$A$80,0)),""))</f>
        <v/>
      </c>
      <c r="G1715" s="34">
        <f>IF($A1715="","",CHOOSE(WEEKDAY($A1715,2),"LUNES","MARTES","MIÉRCOLES","JUEVES","VIERNES","SÁBADO","DOMINGO"))</f>
        <v/>
      </c>
      <c r="H1715" s="34">
        <f>IF($A1715="","",CHOOSE(MONTH($A1715),"ENERO","FEBRERO","MARZO","ABRIL","MAYO","JUNIO","JULIO","AGOSTO","SEPTIEMBRE","OCTUBRE","NOVIEMBRE","DICIEMBRE"))</f>
        <v/>
      </c>
      <c r="I1715" s="34">
        <f>IF($A1715="","",IF(OR($G1715="SÁBADO",$G1715="DOMINGO"),"FIN","LV"))</f>
        <v/>
      </c>
      <c r="J1715" s="34">
        <f>IF(OR($A1715="",$B1715=""),"",IF($L1715&lt;&gt;"",UPPER($L1715),IF($C1715="","FALTA",IFERROR(IF($C1715&gt;=$O1715,"ROJO FUERTE",IF($C1715&gt;=$N1715,"ROJO",IF($C1715&gt;=$M1715,"AMARILLO","VERDE"))),"REVISAR"))))</f>
        <v/>
      </c>
      <c r="K1715" s="36">
        <f>IF(OR($C1715="",$D1715=""),"",IF($D1715&gt;=$C1715,($D1715-$C1715)*24,(1-$C1715+$D1715)*24))</f>
        <v/>
      </c>
      <c r="L1715" s="34" t="n"/>
      <c r="M1715" s="53">
        <f t="array" ref="M1715">IFERROR(INDEX(EXCEPCIONES_FECHA!$D$2:$D$201,MATCH(1,(EXCEPCIONES_FECHA!$A$2:$A$201=$A1715)*(EXCEPCIONES_FECHA!$B$2:$B$201=$B1715),0)),IFERROR(INDEX(EXCEPCIONES_FECHA!$D$2:$D$201,MATCH(1,(EXCEPCIONES_FECHA!$A$2:$A$201=$A1715)*(EXCEPCIONES_FECHA!$B$2:$B$201=""),0)),IFERROR(INDEX(IF($I1715="FIN",HISTORIAL_HORARIOS!$J$2:$J$201,HISTORIAL_HORARIOS!$F$2:$F$201),MATCH(1,(HISTORIAL_HORARIOS!$A$2:$A$201=$B1715)*(HISTORIAL_HORARIOS!$C$2:$C$201&lt;=$A1715)*(HISTORIAL_HORARIOS!$D$2:$D$201&gt;=$A1715),0)),INDEX(IF($I1715="FIN",PERSONAL!$J$2:$J$80,PERSONAL!$F$2:$F$80),MATCH($B1715,PERSONAL!$A$2:$A$80,0)))))</f>
        <v/>
      </c>
      <c r="N1715" s="53">
        <f t="array" ref="N1715">IFERROR(INDEX(EXCEPCIONES_FECHA!$E$2:$E$201,MATCH(1,(EXCEPCIONES_FECHA!$A$2:$A$201=$A1715)*(EXCEPCIONES_FECHA!$B$2:$B$201=$B1715),0)),IFERROR(INDEX(EXCEPCIONES_FECHA!$E$2:$E$201,MATCH(1,(EXCEPCIONES_FECHA!$A$2:$A$201=$A1715)*(EXCEPCIONES_FECHA!$B$2:$B$201=""),0)),IFERROR(INDEX(IF($I1715="FIN",HISTORIAL_HORARIOS!$K$2:$K$201,HISTORIAL_HORARIOS!$G$2:$G$201),MATCH(1,(HISTORIAL_HORARIOS!$A$2:$A$201=$B1715)*(HISTORIAL_HORARIOS!$C$2:$C$201&lt;=$A1715)*(HISTORIAL_HORARIOS!$D$2:$D$201&gt;=$A1715),0)),INDEX(IF($I1715="FIN",PERSONAL!$K$2:$K$80,PERSONAL!$G$2:$G$80),MATCH($B1715,PERSONAL!$A$2:$A$80,0)))))</f>
        <v/>
      </c>
      <c r="O1715" s="53">
        <f t="array" ref="O1715">IFERROR(INDEX(EXCEPCIONES_FECHA!$F$2:$F$201,MATCH(1,(EXCEPCIONES_FECHA!$A$2:$A$201=$A1715)*(EXCEPCIONES_FECHA!$B$2:$B$201=$B1715),0)),IFERROR(INDEX(EXCEPCIONES_FECHA!$F$2:$F$201,MATCH(1,(EXCEPCIONES_FECHA!$A$2:$A$201=$A1715)*(EXCEPCIONES_FECHA!$B$2:$B$201=""),0)),IFERROR(INDEX(IF($I1715="FIN",HISTORIAL_HORARIOS!$L$2:$L$201,HISTORIAL_HORARIOS!$H$2:$H$201),MATCH(1,(HISTORIAL_HORARIOS!$A$2:$A$201=$B1715)*(HISTORIAL_HORARIOS!$C$2:$C$201&lt;=$A1715)*(HISTORIAL_HORARIOS!$D$2:$D$201&gt;=$A1715),0)),INDEX(IF($I1715="FIN",PERSONAL!$L$2:$L$80,PERSONAL!$H$2:$H$80),MATCH($B1715,PERSONAL!$A$2:$A$80,0)))))</f>
        <v/>
      </c>
    </row>
    <row r="1716" ht="15" customHeight="1" s="58">
      <c r="A1716" s="40" t="n"/>
      <c r="B1716" s="38" t="n"/>
      <c r="C1716" s="40" t="n"/>
      <c r="D1716" s="40" t="n"/>
      <c r="E1716" s="34">
        <f t="array" ref="E1716">IF($B1716="","",IFERROR(INDEX(PERSONAL!$B$2:$B$80,MATCH($B1716,PERSONAL!$A$2:$A$80,0)),"NO EXISTE"))</f>
        <v/>
      </c>
      <c r="F1716" s="34">
        <f t="array" ref="F1716">IF($B1716="","",IFERROR(INDEX(PERSONAL!$C$2:$C$80,MATCH($B1716,PERSONAL!$A$2:$A$80,0)),""))</f>
        <v/>
      </c>
      <c r="G1716" s="34">
        <f>IF($A1716="","",CHOOSE(WEEKDAY($A1716,2),"LUNES","MARTES","MIÉRCOLES","JUEVES","VIERNES","SÁBADO","DOMINGO"))</f>
        <v/>
      </c>
      <c r="H1716" s="34">
        <f>IF($A1716="","",CHOOSE(MONTH($A1716),"ENERO","FEBRERO","MARZO","ABRIL","MAYO","JUNIO","JULIO","AGOSTO","SEPTIEMBRE","OCTUBRE","NOVIEMBRE","DICIEMBRE"))</f>
        <v/>
      </c>
      <c r="I1716" s="34">
        <f>IF($A1716="","",IF(OR($G1716="SÁBADO",$G1716="DOMINGO"),"FIN","LV"))</f>
        <v/>
      </c>
      <c r="J1716" s="34">
        <f>IF(OR($A1716="",$B1716=""),"",IF($L1716&lt;&gt;"",UPPER($L1716),IF($C1716="","FALTA",IFERROR(IF($C1716&gt;=$O1716,"ROJO FUERTE",IF($C1716&gt;=$N1716,"ROJO",IF($C1716&gt;=$M1716,"AMARILLO","VERDE"))),"REVISAR"))))</f>
        <v/>
      </c>
      <c r="K1716" s="36">
        <f>IF(OR($C1716="",$D1716=""),"",IF($D1716&gt;=$C1716,($D1716-$C1716)*24,(1-$C1716+$D1716)*24))</f>
        <v/>
      </c>
      <c r="L1716" s="34" t="n"/>
      <c r="M1716" s="53">
        <f t="array" ref="M1716">IFERROR(INDEX(EXCEPCIONES_FECHA!$D$2:$D$201,MATCH(1,(EXCEPCIONES_FECHA!$A$2:$A$201=$A1716)*(EXCEPCIONES_FECHA!$B$2:$B$201=$B1716),0)),IFERROR(INDEX(EXCEPCIONES_FECHA!$D$2:$D$201,MATCH(1,(EXCEPCIONES_FECHA!$A$2:$A$201=$A1716)*(EXCEPCIONES_FECHA!$B$2:$B$201=""),0)),IFERROR(INDEX(IF($I1716="FIN",HISTORIAL_HORARIOS!$J$2:$J$201,HISTORIAL_HORARIOS!$F$2:$F$201),MATCH(1,(HISTORIAL_HORARIOS!$A$2:$A$201=$B1716)*(HISTORIAL_HORARIOS!$C$2:$C$201&lt;=$A1716)*(HISTORIAL_HORARIOS!$D$2:$D$201&gt;=$A1716),0)),INDEX(IF($I1716="FIN",PERSONAL!$J$2:$J$80,PERSONAL!$F$2:$F$80),MATCH($B1716,PERSONAL!$A$2:$A$80,0)))))</f>
        <v/>
      </c>
      <c r="N1716" s="53">
        <f t="array" ref="N1716">IFERROR(INDEX(EXCEPCIONES_FECHA!$E$2:$E$201,MATCH(1,(EXCEPCIONES_FECHA!$A$2:$A$201=$A1716)*(EXCEPCIONES_FECHA!$B$2:$B$201=$B1716),0)),IFERROR(INDEX(EXCEPCIONES_FECHA!$E$2:$E$201,MATCH(1,(EXCEPCIONES_FECHA!$A$2:$A$201=$A1716)*(EXCEPCIONES_FECHA!$B$2:$B$201=""),0)),IFERROR(INDEX(IF($I1716="FIN",HISTORIAL_HORARIOS!$K$2:$K$201,HISTORIAL_HORARIOS!$G$2:$G$201),MATCH(1,(HISTORIAL_HORARIOS!$A$2:$A$201=$B1716)*(HISTORIAL_HORARIOS!$C$2:$C$201&lt;=$A1716)*(HISTORIAL_HORARIOS!$D$2:$D$201&gt;=$A1716),0)),INDEX(IF($I1716="FIN",PERSONAL!$K$2:$K$80,PERSONAL!$G$2:$G$80),MATCH($B1716,PERSONAL!$A$2:$A$80,0)))))</f>
        <v/>
      </c>
      <c r="O1716" s="53">
        <f t="array" ref="O1716">IFERROR(INDEX(EXCEPCIONES_FECHA!$F$2:$F$201,MATCH(1,(EXCEPCIONES_FECHA!$A$2:$A$201=$A1716)*(EXCEPCIONES_FECHA!$B$2:$B$201=$B1716),0)),IFERROR(INDEX(EXCEPCIONES_FECHA!$F$2:$F$201,MATCH(1,(EXCEPCIONES_FECHA!$A$2:$A$201=$A1716)*(EXCEPCIONES_FECHA!$B$2:$B$201=""),0)),IFERROR(INDEX(IF($I1716="FIN",HISTORIAL_HORARIOS!$L$2:$L$201,HISTORIAL_HORARIOS!$H$2:$H$201),MATCH(1,(HISTORIAL_HORARIOS!$A$2:$A$201=$B1716)*(HISTORIAL_HORARIOS!$C$2:$C$201&lt;=$A1716)*(HISTORIAL_HORARIOS!$D$2:$D$201&gt;=$A1716),0)),INDEX(IF($I1716="FIN",PERSONAL!$L$2:$L$80,PERSONAL!$H$2:$H$80),MATCH($B1716,PERSONAL!$A$2:$A$80,0)))))</f>
        <v/>
      </c>
    </row>
    <row r="1717" ht="15" customHeight="1" s="58">
      <c r="A1717" s="40" t="n"/>
      <c r="B1717" s="38" t="n"/>
      <c r="C1717" s="40" t="n"/>
      <c r="D1717" s="40" t="n"/>
      <c r="E1717" s="34">
        <f t="array" ref="E1717">IF($B1717="","",IFERROR(INDEX(PERSONAL!$B$2:$B$80,MATCH($B1717,PERSONAL!$A$2:$A$80,0)),"NO EXISTE"))</f>
        <v/>
      </c>
      <c r="F1717" s="34">
        <f t="array" ref="F1717">IF($B1717="","",IFERROR(INDEX(PERSONAL!$C$2:$C$80,MATCH($B1717,PERSONAL!$A$2:$A$80,0)),""))</f>
        <v/>
      </c>
      <c r="G1717" s="34">
        <f>IF($A1717="","",CHOOSE(WEEKDAY($A1717,2),"LUNES","MARTES","MIÉRCOLES","JUEVES","VIERNES","SÁBADO","DOMINGO"))</f>
        <v/>
      </c>
      <c r="H1717" s="34">
        <f>IF($A1717="","",CHOOSE(MONTH($A1717),"ENERO","FEBRERO","MARZO","ABRIL","MAYO","JUNIO","JULIO","AGOSTO","SEPTIEMBRE","OCTUBRE","NOVIEMBRE","DICIEMBRE"))</f>
        <v/>
      </c>
      <c r="I1717" s="34">
        <f>IF($A1717="","",IF(OR($G1717="SÁBADO",$G1717="DOMINGO"),"FIN","LV"))</f>
        <v/>
      </c>
      <c r="J1717" s="34">
        <f>IF(OR($A1717="",$B1717=""),"",IF($L1717&lt;&gt;"",UPPER($L1717),IF($C1717="","FALTA",IFERROR(IF($C1717&gt;=$O1717,"ROJO FUERTE",IF($C1717&gt;=$N1717,"ROJO",IF($C1717&gt;=$M1717,"AMARILLO","VERDE"))),"REVISAR"))))</f>
        <v/>
      </c>
      <c r="K1717" s="36">
        <f>IF(OR($C1717="",$D1717=""),"",IF($D1717&gt;=$C1717,($D1717-$C1717)*24,(1-$C1717+$D1717)*24))</f>
        <v/>
      </c>
      <c r="L1717" s="34" t="n"/>
      <c r="M1717" s="53">
        <f t="array" ref="M1717">IFERROR(INDEX(EXCEPCIONES_FECHA!$D$2:$D$201,MATCH(1,(EXCEPCIONES_FECHA!$A$2:$A$201=$A1717)*(EXCEPCIONES_FECHA!$B$2:$B$201=$B1717),0)),IFERROR(INDEX(EXCEPCIONES_FECHA!$D$2:$D$201,MATCH(1,(EXCEPCIONES_FECHA!$A$2:$A$201=$A1717)*(EXCEPCIONES_FECHA!$B$2:$B$201=""),0)),IFERROR(INDEX(IF($I1717="FIN",HISTORIAL_HORARIOS!$J$2:$J$201,HISTORIAL_HORARIOS!$F$2:$F$201),MATCH(1,(HISTORIAL_HORARIOS!$A$2:$A$201=$B1717)*(HISTORIAL_HORARIOS!$C$2:$C$201&lt;=$A1717)*(HISTORIAL_HORARIOS!$D$2:$D$201&gt;=$A1717),0)),INDEX(IF($I1717="FIN",PERSONAL!$J$2:$J$80,PERSONAL!$F$2:$F$80),MATCH($B1717,PERSONAL!$A$2:$A$80,0)))))</f>
        <v/>
      </c>
      <c r="N1717" s="53">
        <f t="array" ref="N1717">IFERROR(INDEX(EXCEPCIONES_FECHA!$E$2:$E$201,MATCH(1,(EXCEPCIONES_FECHA!$A$2:$A$201=$A1717)*(EXCEPCIONES_FECHA!$B$2:$B$201=$B1717),0)),IFERROR(INDEX(EXCEPCIONES_FECHA!$E$2:$E$201,MATCH(1,(EXCEPCIONES_FECHA!$A$2:$A$201=$A1717)*(EXCEPCIONES_FECHA!$B$2:$B$201=""),0)),IFERROR(INDEX(IF($I1717="FIN",HISTORIAL_HORARIOS!$K$2:$K$201,HISTORIAL_HORARIOS!$G$2:$G$201),MATCH(1,(HISTORIAL_HORARIOS!$A$2:$A$201=$B1717)*(HISTORIAL_HORARIOS!$C$2:$C$201&lt;=$A1717)*(HISTORIAL_HORARIOS!$D$2:$D$201&gt;=$A1717),0)),INDEX(IF($I1717="FIN",PERSONAL!$K$2:$K$80,PERSONAL!$G$2:$G$80),MATCH($B1717,PERSONAL!$A$2:$A$80,0)))))</f>
        <v/>
      </c>
      <c r="O1717" s="53">
        <f t="array" ref="O1717">IFERROR(INDEX(EXCEPCIONES_FECHA!$F$2:$F$201,MATCH(1,(EXCEPCIONES_FECHA!$A$2:$A$201=$A1717)*(EXCEPCIONES_FECHA!$B$2:$B$201=$B1717),0)),IFERROR(INDEX(EXCEPCIONES_FECHA!$F$2:$F$201,MATCH(1,(EXCEPCIONES_FECHA!$A$2:$A$201=$A1717)*(EXCEPCIONES_FECHA!$B$2:$B$201=""),0)),IFERROR(INDEX(IF($I1717="FIN",HISTORIAL_HORARIOS!$L$2:$L$201,HISTORIAL_HORARIOS!$H$2:$H$201),MATCH(1,(HISTORIAL_HORARIOS!$A$2:$A$201=$B1717)*(HISTORIAL_HORARIOS!$C$2:$C$201&lt;=$A1717)*(HISTORIAL_HORARIOS!$D$2:$D$201&gt;=$A1717),0)),INDEX(IF($I1717="FIN",PERSONAL!$L$2:$L$80,PERSONAL!$H$2:$H$80),MATCH($B1717,PERSONAL!$A$2:$A$80,0)))))</f>
        <v/>
      </c>
    </row>
    <row r="1718" ht="15" customHeight="1" s="58">
      <c r="A1718" s="40" t="n"/>
      <c r="B1718" s="38" t="n"/>
      <c r="C1718" s="40" t="n"/>
      <c r="D1718" s="40" t="n"/>
      <c r="E1718" s="34">
        <f t="array" ref="E1718">IF($B1718="","",IFERROR(INDEX(PERSONAL!$B$2:$B$80,MATCH($B1718,PERSONAL!$A$2:$A$80,0)),"NO EXISTE"))</f>
        <v/>
      </c>
      <c r="F1718" s="34">
        <f t="array" ref="F1718">IF($B1718="","",IFERROR(INDEX(PERSONAL!$C$2:$C$80,MATCH($B1718,PERSONAL!$A$2:$A$80,0)),""))</f>
        <v/>
      </c>
      <c r="G1718" s="34">
        <f>IF($A1718="","",CHOOSE(WEEKDAY($A1718,2),"LUNES","MARTES","MIÉRCOLES","JUEVES","VIERNES","SÁBADO","DOMINGO"))</f>
        <v/>
      </c>
      <c r="H1718" s="34">
        <f>IF($A1718="","",CHOOSE(MONTH($A1718),"ENERO","FEBRERO","MARZO","ABRIL","MAYO","JUNIO","JULIO","AGOSTO","SEPTIEMBRE","OCTUBRE","NOVIEMBRE","DICIEMBRE"))</f>
        <v/>
      </c>
      <c r="I1718" s="34">
        <f>IF($A1718="","",IF(OR($G1718="SÁBADO",$G1718="DOMINGO"),"FIN","LV"))</f>
        <v/>
      </c>
      <c r="J1718" s="34">
        <f>IF(OR($A1718="",$B1718=""),"",IF($L1718&lt;&gt;"",UPPER($L1718),IF($C1718="","FALTA",IFERROR(IF($C1718&gt;=$O1718,"ROJO FUERTE",IF($C1718&gt;=$N1718,"ROJO",IF($C1718&gt;=$M1718,"AMARILLO","VERDE"))),"REVISAR"))))</f>
        <v/>
      </c>
      <c r="K1718" s="36">
        <f>IF(OR($C1718="",$D1718=""),"",IF($D1718&gt;=$C1718,($D1718-$C1718)*24,(1-$C1718+$D1718)*24))</f>
        <v/>
      </c>
      <c r="L1718" s="34" t="n"/>
      <c r="M1718" s="53">
        <f t="array" ref="M1718">IFERROR(INDEX(EXCEPCIONES_FECHA!$D$2:$D$201,MATCH(1,(EXCEPCIONES_FECHA!$A$2:$A$201=$A1718)*(EXCEPCIONES_FECHA!$B$2:$B$201=$B1718),0)),IFERROR(INDEX(EXCEPCIONES_FECHA!$D$2:$D$201,MATCH(1,(EXCEPCIONES_FECHA!$A$2:$A$201=$A1718)*(EXCEPCIONES_FECHA!$B$2:$B$201=""),0)),IFERROR(INDEX(IF($I1718="FIN",HISTORIAL_HORARIOS!$J$2:$J$201,HISTORIAL_HORARIOS!$F$2:$F$201),MATCH(1,(HISTORIAL_HORARIOS!$A$2:$A$201=$B1718)*(HISTORIAL_HORARIOS!$C$2:$C$201&lt;=$A1718)*(HISTORIAL_HORARIOS!$D$2:$D$201&gt;=$A1718),0)),INDEX(IF($I1718="FIN",PERSONAL!$J$2:$J$80,PERSONAL!$F$2:$F$80),MATCH($B1718,PERSONAL!$A$2:$A$80,0)))))</f>
        <v/>
      </c>
      <c r="N1718" s="53">
        <f t="array" ref="N1718">IFERROR(INDEX(EXCEPCIONES_FECHA!$E$2:$E$201,MATCH(1,(EXCEPCIONES_FECHA!$A$2:$A$201=$A1718)*(EXCEPCIONES_FECHA!$B$2:$B$201=$B1718),0)),IFERROR(INDEX(EXCEPCIONES_FECHA!$E$2:$E$201,MATCH(1,(EXCEPCIONES_FECHA!$A$2:$A$201=$A1718)*(EXCEPCIONES_FECHA!$B$2:$B$201=""),0)),IFERROR(INDEX(IF($I1718="FIN",HISTORIAL_HORARIOS!$K$2:$K$201,HISTORIAL_HORARIOS!$G$2:$G$201),MATCH(1,(HISTORIAL_HORARIOS!$A$2:$A$201=$B1718)*(HISTORIAL_HORARIOS!$C$2:$C$201&lt;=$A1718)*(HISTORIAL_HORARIOS!$D$2:$D$201&gt;=$A1718),0)),INDEX(IF($I1718="FIN",PERSONAL!$K$2:$K$80,PERSONAL!$G$2:$G$80),MATCH($B1718,PERSONAL!$A$2:$A$80,0)))))</f>
        <v/>
      </c>
      <c r="O1718" s="53">
        <f t="array" ref="O1718">IFERROR(INDEX(EXCEPCIONES_FECHA!$F$2:$F$201,MATCH(1,(EXCEPCIONES_FECHA!$A$2:$A$201=$A1718)*(EXCEPCIONES_FECHA!$B$2:$B$201=$B1718),0)),IFERROR(INDEX(EXCEPCIONES_FECHA!$F$2:$F$201,MATCH(1,(EXCEPCIONES_FECHA!$A$2:$A$201=$A1718)*(EXCEPCIONES_FECHA!$B$2:$B$201=""),0)),IFERROR(INDEX(IF($I1718="FIN",HISTORIAL_HORARIOS!$L$2:$L$201,HISTORIAL_HORARIOS!$H$2:$H$201),MATCH(1,(HISTORIAL_HORARIOS!$A$2:$A$201=$B1718)*(HISTORIAL_HORARIOS!$C$2:$C$201&lt;=$A1718)*(HISTORIAL_HORARIOS!$D$2:$D$201&gt;=$A1718),0)),INDEX(IF($I1718="FIN",PERSONAL!$L$2:$L$80,PERSONAL!$H$2:$H$80),MATCH($B1718,PERSONAL!$A$2:$A$80,0)))))</f>
        <v/>
      </c>
    </row>
    <row r="1719" ht="15" customHeight="1" s="58">
      <c r="A1719" s="40" t="n"/>
      <c r="B1719" s="38" t="n"/>
      <c r="C1719" s="40" t="n"/>
      <c r="D1719" s="40" t="n"/>
      <c r="E1719" s="34">
        <f t="array" ref="E1719">IF($B1719="","",IFERROR(INDEX(PERSONAL!$B$2:$B$80,MATCH($B1719,PERSONAL!$A$2:$A$80,0)),"NO EXISTE"))</f>
        <v/>
      </c>
      <c r="F1719" s="34">
        <f t="array" ref="F1719">IF($B1719="","",IFERROR(INDEX(PERSONAL!$C$2:$C$80,MATCH($B1719,PERSONAL!$A$2:$A$80,0)),""))</f>
        <v/>
      </c>
      <c r="G1719" s="34">
        <f>IF($A1719="","",CHOOSE(WEEKDAY($A1719,2),"LUNES","MARTES","MIÉRCOLES","JUEVES","VIERNES","SÁBADO","DOMINGO"))</f>
        <v/>
      </c>
      <c r="H1719" s="34">
        <f>IF($A1719="","",CHOOSE(MONTH($A1719),"ENERO","FEBRERO","MARZO","ABRIL","MAYO","JUNIO","JULIO","AGOSTO","SEPTIEMBRE","OCTUBRE","NOVIEMBRE","DICIEMBRE"))</f>
        <v/>
      </c>
      <c r="I1719" s="34">
        <f>IF($A1719="","",IF(OR($G1719="SÁBADO",$G1719="DOMINGO"),"FIN","LV"))</f>
        <v/>
      </c>
      <c r="J1719" s="34">
        <f>IF(OR($A1719="",$B1719=""),"",IF($L1719&lt;&gt;"",UPPER($L1719),IF($C1719="","FALTA",IFERROR(IF($C1719&gt;=$O1719,"ROJO FUERTE",IF($C1719&gt;=$N1719,"ROJO",IF($C1719&gt;=$M1719,"AMARILLO","VERDE"))),"REVISAR"))))</f>
        <v/>
      </c>
      <c r="K1719" s="36">
        <f>IF(OR($C1719="",$D1719=""),"",IF($D1719&gt;=$C1719,($D1719-$C1719)*24,(1-$C1719+$D1719)*24))</f>
        <v/>
      </c>
      <c r="L1719" s="34" t="n"/>
      <c r="M1719" s="53">
        <f t="array" ref="M1719">IFERROR(INDEX(EXCEPCIONES_FECHA!$D$2:$D$201,MATCH(1,(EXCEPCIONES_FECHA!$A$2:$A$201=$A1719)*(EXCEPCIONES_FECHA!$B$2:$B$201=$B1719),0)),IFERROR(INDEX(EXCEPCIONES_FECHA!$D$2:$D$201,MATCH(1,(EXCEPCIONES_FECHA!$A$2:$A$201=$A1719)*(EXCEPCIONES_FECHA!$B$2:$B$201=""),0)),IFERROR(INDEX(IF($I1719="FIN",HISTORIAL_HORARIOS!$J$2:$J$201,HISTORIAL_HORARIOS!$F$2:$F$201),MATCH(1,(HISTORIAL_HORARIOS!$A$2:$A$201=$B1719)*(HISTORIAL_HORARIOS!$C$2:$C$201&lt;=$A1719)*(HISTORIAL_HORARIOS!$D$2:$D$201&gt;=$A1719),0)),INDEX(IF($I1719="FIN",PERSONAL!$J$2:$J$80,PERSONAL!$F$2:$F$80),MATCH($B1719,PERSONAL!$A$2:$A$80,0)))))</f>
        <v/>
      </c>
      <c r="N1719" s="53">
        <f t="array" ref="N1719">IFERROR(INDEX(EXCEPCIONES_FECHA!$E$2:$E$201,MATCH(1,(EXCEPCIONES_FECHA!$A$2:$A$201=$A1719)*(EXCEPCIONES_FECHA!$B$2:$B$201=$B1719),0)),IFERROR(INDEX(EXCEPCIONES_FECHA!$E$2:$E$201,MATCH(1,(EXCEPCIONES_FECHA!$A$2:$A$201=$A1719)*(EXCEPCIONES_FECHA!$B$2:$B$201=""),0)),IFERROR(INDEX(IF($I1719="FIN",HISTORIAL_HORARIOS!$K$2:$K$201,HISTORIAL_HORARIOS!$G$2:$G$201),MATCH(1,(HISTORIAL_HORARIOS!$A$2:$A$201=$B1719)*(HISTORIAL_HORARIOS!$C$2:$C$201&lt;=$A1719)*(HISTORIAL_HORARIOS!$D$2:$D$201&gt;=$A1719),0)),INDEX(IF($I1719="FIN",PERSONAL!$K$2:$K$80,PERSONAL!$G$2:$G$80),MATCH($B1719,PERSONAL!$A$2:$A$80,0)))))</f>
        <v/>
      </c>
      <c r="O1719" s="53">
        <f t="array" ref="O1719">IFERROR(INDEX(EXCEPCIONES_FECHA!$F$2:$F$201,MATCH(1,(EXCEPCIONES_FECHA!$A$2:$A$201=$A1719)*(EXCEPCIONES_FECHA!$B$2:$B$201=$B1719),0)),IFERROR(INDEX(EXCEPCIONES_FECHA!$F$2:$F$201,MATCH(1,(EXCEPCIONES_FECHA!$A$2:$A$201=$A1719)*(EXCEPCIONES_FECHA!$B$2:$B$201=""),0)),IFERROR(INDEX(IF($I1719="FIN",HISTORIAL_HORARIOS!$L$2:$L$201,HISTORIAL_HORARIOS!$H$2:$H$201),MATCH(1,(HISTORIAL_HORARIOS!$A$2:$A$201=$B1719)*(HISTORIAL_HORARIOS!$C$2:$C$201&lt;=$A1719)*(HISTORIAL_HORARIOS!$D$2:$D$201&gt;=$A1719),0)),INDEX(IF($I1719="FIN",PERSONAL!$L$2:$L$80,PERSONAL!$H$2:$H$80),MATCH($B1719,PERSONAL!$A$2:$A$80,0)))))</f>
        <v/>
      </c>
    </row>
    <row r="1720" ht="15" customHeight="1" s="58">
      <c r="A1720" s="40" t="n"/>
      <c r="B1720" s="38" t="n"/>
      <c r="C1720" s="40" t="n"/>
      <c r="D1720" s="40" t="n"/>
      <c r="E1720" s="34">
        <f t="array" ref="E1720">IF($B1720="","",IFERROR(INDEX(PERSONAL!$B$2:$B$80,MATCH($B1720,PERSONAL!$A$2:$A$80,0)),"NO EXISTE"))</f>
        <v/>
      </c>
      <c r="F1720" s="34">
        <f t="array" ref="F1720">IF($B1720="","",IFERROR(INDEX(PERSONAL!$C$2:$C$80,MATCH($B1720,PERSONAL!$A$2:$A$80,0)),""))</f>
        <v/>
      </c>
      <c r="G1720" s="34">
        <f>IF($A1720="","",CHOOSE(WEEKDAY($A1720,2),"LUNES","MARTES","MIÉRCOLES","JUEVES","VIERNES","SÁBADO","DOMINGO"))</f>
        <v/>
      </c>
      <c r="H1720" s="34">
        <f>IF($A1720="","",CHOOSE(MONTH($A1720),"ENERO","FEBRERO","MARZO","ABRIL","MAYO","JUNIO","JULIO","AGOSTO","SEPTIEMBRE","OCTUBRE","NOVIEMBRE","DICIEMBRE"))</f>
        <v/>
      </c>
      <c r="I1720" s="34">
        <f>IF($A1720="","",IF(OR($G1720="SÁBADO",$G1720="DOMINGO"),"FIN","LV"))</f>
        <v/>
      </c>
      <c r="J1720" s="34">
        <f>IF(OR($A1720="",$B1720=""),"",IF($L1720&lt;&gt;"",UPPER($L1720),IF($C1720="","FALTA",IFERROR(IF($C1720&gt;=$O1720,"ROJO FUERTE",IF($C1720&gt;=$N1720,"ROJO",IF($C1720&gt;=$M1720,"AMARILLO","VERDE"))),"REVISAR"))))</f>
        <v/>
      </c>
      <c r="K1720" s="36">
        <f>IF(OR($C1720="",$D1720=""),"",IF($D1720&gt;=$C1720,($D1720-$C1720)*24,(1-$C1720+$D1720)*24))</f>
        <v/>
      </c>
      <c r="L1720" s="34" t="n"/>
      <c r="M1720" s="53">
        <f t="array" ref="M1720">IFERROR(INDEX(EXCEPCIONES_FECHA!$D$2:$D$201,MATCH(1,(EXCEPCIONES_FECHA!$A$2:$A$201=$A1720)*(EXCEPCIONES_FECHA!$B$2:$B$201=$B1720),0)),IFERROR(INDEX(EXCEPCIONES_FECHA!$D$2:$D$201,MATCH(1,(EXCEPCIONES_FECHA!$A$2:$A$201=$A1720)*(EXCEPCIONES_FECHA!$B$2:$B$201=""),0)),IFERROR(INDEX(IF($I1720="FIN",HISTORIAL_HORARIOS!$J$2:$J$201,HISTORIAL_HORARIOS!$F$2:$F$201),MATCH(1,(HISTORIAL_HORARIOS!$A$2:$A$201=$B1720)*(HISTORIAL_HORARIOS!$C$2:$C$201&lt;=$A1720)*(HISTORIAL_HORARIOS!$D$2:$D$201&gt;=$A1720),0)),INDEX(IF($I1720="FIN",PERSONAL!$J$2:$J$80,PERSONAL!$F$2:$F$80),MATCH($B1720,PERSONAL!$A$2:$A$80,0)))))</f>
        <v/>
      </c>
      <c r="N1720" s="53">
        <f t="array" ref="N1720">IFERROR(INDEX(EXCEPCIONES_FECHA!$E$2:$E$201,MATCH(1,(EXCEPCIONES_FECHA!$A$2:$A$201=$A1720)*(EXCEPCIONES_FECHA!$B$2:$B$201=$B1720),0)),IFERROR(INDEX(EXCEPCIONES_FECHA!$E$2:$E$201,MATCH(1,(EXCEPCIONES_FECHA!$A$2:$A$201=$A1720)*(EXCEPCIONES_FECHA!$B$2:$B$201=""),0)),IFERROR(INDEX(IF($I1720="FIN",HISTORIAL_HORARIOS!$K$2:$K$201,HISTORIAL_HORARIOS!$G$2:$G$201),MATCH(1,(HISTORIAL_HORARIOS!$A$2:$A$201=$B1720)*(HISTORIAL_HORARIOS!$C$2:$C$201&lt;=$A1720)*(HISTORIAL_HORARIOS!$D$2:$D$201&gt;=$A1720),0)),INDEX(IF($I1720="FIN",PERSONAL!$K$2:$K$80,PERSONAL!$G$2:$G$80),MATCH($B1720,PERSONAL!$A$2:$A$80,0)))))</f>
        <v/>
      </c>
      <c r="O1720" s="53">
        <f t="array" ref="O1720">IFERROR(INDEX(EXCEPCIONES_FECHA!$F$2:$F$201,MATCH(1,(EXCEPCIONES_FECHA!$A$2:$A$201=$A1720)*(EXCEPCIONES_FECHA!$B$2:$B$201=$B1720),0)),IFERROR(INDEX(EXCEPCIONES_FECHA!$F$2:$F$201,MATCH(1,(EXCEPCIONES_FECHA!$A$2:$A$201=$A1720)*(EXCEPCIONES_FECHA!$B$2:$B$201=""),0)),IFERROR(INDEX(IF($I1720="FIN",HISTORIAL_HORARIOS!$L$2:$L$201,HISTORIAL_HORARIOS!$H$2:$H$201),MATCH(1,(HISTORIAL_HORARIOS!$A$2:$A$201=$B1720)*(HISTORIAL_HORARIOS!$C$2:$C$201&lt;=$A1720)*(HISTORIAL_HORARIOS!$D$2:$D$201&gt;=$A1720),0)),INDEX(IF($I1720="FIN",PERSONAL!$L$2:$L$80,PERSONAL!$H$2:$H$80),MATCH($B1720,PERSONAL!$A$2:$A$80,0)))))</f>
        <v/>
      </c>
    </row>
    <row r="1721" ht="15" customHeight="1" s="58">
      <c r="A1721" s="40" t="n"/>
      <c r="B1721" s="38" t="n"/>
      <c r="C1721" s="40" t="n"/>
      <c r="D1721" s="40" t="n"/>
      <c r="E1721" s="34">
        <f t="array" ref="E1721">IF($B1721="","",IFERROR(INDEX(PERSONAL!$B$2:$B$80,MATCH($B1721,PERSONAL!$A$2:$A$80,0)),"NO EXISTE"))</f>
        <v/>
      </c>
      <c r="F1721" s="34">
        <f t="array" ref="F1721">IF($B1721="","",IFERROR(INDEX(PERSONAL!$C$2:$C$80,MATCH($B1721,PERSONAL!$A$2:$A$80,0)),""))</f>
        <v/>
      </c>
      <c r="G1721" s="34">
        <f>IF($A1721="","",CHOOSE(WEEKDAY($A1721,2),"LUNES","MARTES","MIÉRCOLES","JUEVES","VIERNES","SÁBADO","DOMINGO"))</f>
        <v/>
      </c>
      <c r="H1721" s="34">
        <f>IF($A1721="","",CHOOSE(MONTH($A1721),"ENERO","FEBRERO","MARZO","ABRIL","MAYO","JUNIO","JULIO","AGOSTO","SEPTIEMBRE","OCTUBRE","NOVIEMBRE","DICIEMBRE"))</f>
        <v/>
      </c>
      <c r="I1721" s="34">
        <f>IF($A1721="","",IF(OR($G1721="SÁBADO",$G1721="DOMINGO"),"FIN","LV"))</f>
        <v/>
      </c>
      <c r="J1721" s="34">
        <f>IF(OR($A1721="",$B1721=""),"",IF($L1721&lt;&gt;"",UPPER($L1721),IF($C1721="","FALTA",IFERROR(IF($C1721&gt;=$O1721,"ROJO FUERTE",IF($C1721&gt;=$N1721,"ROJO",IF($C1721&gt;=$M1721,"AMARILLO","VERDE"))),"REVISAR"))))</f>
        <v/>
      </c>
      <c r="K1721" s="36">
        <f>IF(OR($C1721="",$D1721=""),"",IF($D1721&gt;=$C1721,($D1721-$C1721)*24,(1-$C1721+$D1721)*24))</f>
        <v/>
      </c>
      <c r="L1721" s="34" t="n"/>
      <c r="M1721" s="53">
        <f t="array" ref="M1721">IFERROR(INDEX(EXCEPCIONES_FECHA!$D$2:$D$201,MATCH(1,(EXCEPCIONES_FECHA!$A$2:$A$201=$A1721)*(EXCEPCIONES_FECHA!$B$2:$B$201=$B1721),0)),IFERROR(INDEX(EXCEPCIONES_FECHA!$D$2:$D$201,MATCH(1,(EXCEPCIONES_FECHA!$A$2:$A$201=$A1721)*(EXCEPCIONES_FECHA!$B$2:$B$201=""),0)),IFERROR(INDEX(IF($I1721="FIN",HISTORIAL_HORARIOS!$J$2:$J$201,HISTORIAL_HORARIOS!$F$2:$F$201),MATCH(1,(HISTORIAL_HORARIOS!$A$2:$A$201=$B1721)*(HISTORIAL_HORARIOS!$C$2:$C$201&lt;=$A1721)*(HISTORIAL_HORARIOS!$D$2:$D$201&gt;=$A1721),0)),INDEX(IF($I1721="FIN",PERSONAL!$J$2:$J$80,PERSONAL!$F$2:$F$80),MATCH($B1721,PERSONAL!$A$2:$A$80,0)))))</f>
        <v/>
      </c>
      <c r="N1721" s="53">
        <f t="array" ref="N1721">IFERROR(INDEX(EXCEPCIONES_FECHA!$E$2:$E$201,MATCH(1,(EXCEPCIONES_FECHA!$A$2:$A$201=$A1721)*(EXCEPCIONES_FECHA!$B$2:$B$201=$B1721),0)),IFERROR(INDEX(EXCEPCIONES_FECHA!$E$2:$E$201,MATCH(1,(EXCEPCIONES_FECHA!$A$2:$A$201=$A1721)*(EXCEPCIONES_FECHA!$B$2:$B$201=""),0)),IFERROR(INDEX(IF($I1721="FIN",HISTORIAL_HORARIOS!$K$2:$K$201,HISTORIAL_HORARIOS!$G$2:$G$201),MATCH(1,(HISTORIAL_HORARIOS!$A$2:$A$201=$B1721)*(HISTORIAL_HORARIOS!$C$2:$C$201&lt;=$A1721)*(HISTORIAL_HORARIOS!$D$2:$D$201&gt;=$A1721),0)),INDEX(IF($I1721="FIN",PERSONAL!$K$2:$K$80,PERSONAL!$G$2:$G$80),MATCH($B1721,PERSONAL!$A$2:$A$80,0)))))</f>
        <v/>
      </c>
      <c r="O1721" s="53">
        <f t="array" ref="O1721">IFERROR(INDEX(EXCEPCIONES_FECHA!$F$2:$F$201,MATCH(1,(EXCEPCIONES_FECHA!$A$2:$A$201=$A1721)*(EXCEPCIONES_FECHA!$B$2:$B$201=$B1721),0)),IFERROR(INDEX(EXCEPCIONES_FECHA!$F$2:$F$201,MATCH(1,(EXCEPCIONES_FECHA!$A$2:$A$201=$A1721)*(EXCEPCIONES_FECHA!$B$2:$B$201=""),0)),IFERROR(INDEX(IF($I1721="FIN",HISTORIAL_HORARIOS!$L$2:$L$201,HISTORIAL_HORARIOS!$H$2:$H$201),MATCH(1,(HISTORIAL_HORARIOS!$A$2:$A$201=$B1721)*(HISTORIAL_HORARIOS!$C$2:$C$201&lt;=$A1721)*(HISTORIAL_HORARIOS!$D$2:$D$201&gt;=$A1721),0)),INDEX(IF($I1721="FIN",PERSONAL!$L$2:$L$80,PERSONAL!$H$2:$H$80),MATCH($B1721,PERSONAL!$A$2:$A$80,0)))))</f>
        <v/>
      </c>
    </row>
    <row r="1722" ht="15" customHeight="1" s="58">
      <c r="A1722" s="40" t="n"/>
      <c r="B1722" s="38" t="n"/>
      <c r="C1722" s="40" t="n"/>
      <c r="D1722" s="40" t="n"/>
      <c r="E1722" s="34">
        <f t="array" ref="E1722">IF($B1722="","",IFERROR(INDEX(PERSONAL!$B$2:$B$80,MATCH($B1722,PERSONAL!$A$2:$A$80,0)),"NO EXISTE"))</f>
        <v/>
      </c>
      <c r="F1722" s="34">
        <f t="array" ref="F1722">IF($B1722="","",IFERROR(INDEX(PERSONAL!$C$2:$C$80,MATCH($B1722,PERSONAL!$A$2:$A$80,0)),""))</f>
        <v/>
      </c>
      <c r="G1722" s="34">
        <f>IF($A1722="","",CHOOSE(WEEKDAY($A1722,2),"LUNES","MARTES","MIÉRCOLES","JUEVES","VIERNES","SÁBADO","DOMINGO"))</f>
        <v/>
      </c>
      <c r="H1722" s="34">
        <f>IF($A1722="","",CHOOSE(MONTH($A1722),"ENERO","FEBRERO","MARZO","ABRIL","MAYO","JUNIO","JULIO","AGOSTO","SEPTIEMBRE","OCTUBRE","NOVIEMBRE","DICIEMBRE"))</f>
        <v/>
      </c>
      <c r="I1722" s="34">
        <f>IF($A1722="","",IF(OR($G1722="SÁBADO",$G1722="DOMINGO"),"FIN","LV"))</f>
        <v/>
      </c>
      <c r="J1722" s="34">
        <f>IF(OR($A1722="",$B1722=""),"",IF($L1722&lt;&gt;"",UPPER($L1722),IF($C1722="","FALTA",IFERROR(IF($C1722&gt;=$O1722,"ROJO FUERTE",IF($C1722&gt;=$N1722,"ROJO",IF($C1722&gt;=$M1722,"AMARILLO","VERDE"))),"REVISAR"))))</f>
        <v/>
      </c>
      <c r="K1722" s="36">
        <f>IF(OR($C1722="",$D1722=""),"",IF($D1722&gt;=$C1722,($D1722-$C1722)*24,(1-$C1722+$D1722)*24))</f>
        <v/>
      </c>
      <c r="L1722" s="34" t="n"/>
      <c r="M1722" s="53">
        <f t="array" ref="M1722">IFERROR(INDEX(EXCEPCIONES_FECHA!$D$2:$D$201,MATCH(1,(EXCEPCIONES_FECHA!$A$2:$A$201=$A1722)*(EXCEPCIONES_FECHA!$B$2:$B$201=$B1722),0)),IFERROR(INDEX(EXCEPCIONES_FECHA!$D$2:$D$201,MATCH(1,(EXCEPCIONES_FECHA!$A$2:$A$201=$A1722)*(EXCEPCIONES_FECHA!$B$2:$B$201=""),0)),IFERROR(INDEX(IF($I1722="FIN",HISTORIAL_HORARIOS!$J$2:$J$201,HISTORIAL_HORARIOS!$F$2:$F$201),MATCH(1,(HISTORIAL_HORARIOS!$A$2:$A$201=$B1722)*(HISTORIAL_HORARIOS!$C$2:$C$201&lt;=$A1722)*(HISTORIAL_HORARIOS!$D$2:$D$201&gt;=$A1722),0)),INDEX(IF($I1722="FIN",PERSONAL!$J$2:$J$80,PERSONAL!$F$2:$F$80),MATCH($B1722,PERSONAL!$A$2:$A$80,0)))))</f>
        <v/>
      </c>
      <c r="N1722" s="53">
        <f t="array" ref="N1722">IFERROR(INDEX(EXCEPCIONES_FECHA!$E$2:$E$201,MATCH(1,(EXCEPCIONES_FECHA!$A$2:$A$201=$A1722)*(EXCEPCIONES_FECHA!$B$2:$B$201=$B1722),0)),IFERROR(INDEX(EXCEPCIONES_FECHA!$E$2:$E$201,MATCH(1,(EXCEPCIONES_FECHA!$A$2:$A$201=$A1722)*(EXCEPCIONES_FECHA!$B$2:$B$201=""),0)),IFERROR(INDEX(IF($I1722="FIN",HISTORIAL_HORARIOS!$K$2:$K$201,HISTORIAL_HORARIOS!$G$2:$G$201),MATCH(1,(HISTORIAL_HORARIOS!$A$2:$A$201=$B1722)*(HISTORIAL_HORARIOS!$C$2:$C$201&lt;=$A1722)*(HISTORIAL_HORARIOS!$D$2:$D$201&gt;=$A1722),0)),INDEX(IF($I1722="FIN",PERSONAL!$K$2:$K$80,PERSONAL!$G$2:$G$80),MATCH($B1722,PERSONAL!$A$2:$A$80,0)))))</f>
        <v/>
      </c>
      <c r="O1722" s="53">
        <f t="array" ref="O1722">IFERROR(INDEX(EXCEPCIONES_FECHA!$F$2:$F$201,MATCH(1,(EXCEPCIONES_FECHA!$A$2:$A$201=$A1722)*(EXCEPCIONES_FECHA!$B$2:$B$201=$B1722),0)),IFERROR(INDEX(EXCEPCIONES_FECHA!$F$2:$F$201,MATCH(1,(EXCEPCIONES_FECHA!$A$2:$A$201=$A1722)*(EXCEPCIONES_FECHA!$B$2:$B$201=""),0)),IFERROR(INDEX(IF($I1722="FIN",HISTORIAL_HORARIOS!$L$2:$L$201,HISTORIAL_HORARIOS!$H$2:$H$201),MATCH(1,(HISTORIAL_HORARIOS!$A$2:$A$201=$B1722)*(HISTORIAL_HORARIOS!$C$2:$C$201&lt;=$A1722)*(HISTORIAL_HORARIOS!$D$2:$D$201&gt;=$A1722),0)),INDEX(IF($I1722="FIN",PERSONAL!$L$2:$L$80,PERSONAL!$H$2:$H$80),MATCH($B1722,PERSONAL!$A$2:$A$80,0)))))</f>
        <v/>
      </c>
    </row>
  </sheetData>
  <autoFilter ref="$A$1:$L$818"/>
  <conditionalFormatting sqref="J2:J1722">
    <cfRule type="expression" priority="1" dxfId="5">
      <formula>$J2="VERDE"</formula>
    </cfRule>
    <cfRule type="expression" priority="2" dxfId="6">
      <formula>$J2="AMARILLO"</formula>
    </cfRule>
    <cfRule type="expression" priority="3" dxfId="7">
      <formula>$J2="ROJO"</formula>
    </cfRule>
    <cfRule type="expression" priority="4" dxfId="8">
      <formula>$J2="ROJO FUERTE"</formula>
    </cfRule>
    <cfRule type="expression" priority="5" dxfId="9">
      <formula>$J2="FALTA"</formula>
    </cfRule>
    <cfRule type="expression" priority="6" dxfId="10">
      <formula>$J2="VACACIONES"</formula>
    </cfRule>
    <cfRule type="expression" priority="7" dxfId="10">
      <formula>$J2="FESTIVO"</formula>
    </cfRule>
    <cfRule type="expression" priority="8" dxfId="10">
      <formula>$J2="INCAPACIDAD"</formula>
    </cfRule>
    <cfRule type="expression" priority="9" dxfId="10">
      <formula>$J2="PERMISO"</formula>
    </cfRule>
    <cfRule type="expression" priority="10" dxfId="10">
      <formula>$J2="DESCANSO"</formula>
    </cfRule>
    <cfRule type="expression" priority="11" dxfId="10">
      <formula>$J2="DESCANSO POR DINAMICA"</formula>
    </cfRule>
    <cfRule type="expression" priority="12" dxfId="10">
      <formula>$J2="DINAMICA"</formula>
    </cfRule>
  </conditionalFormatting>
  <dataValidations count="2">
    <dataValidation sqref="F2:G818" showDropDown="0" showInputMessage="0" showErrorMessage="0" allowBlank="1" type="custom">
      <formula1>AND(GTE(F2,MIN((TIME(0,0,0)),(TIME(23,59,59)))),LTE(F2,MAX((TIME(0,0,0)),(TIME(23,59,59)))))</formula1>
    </dataValidation>
    <dataValidation sqref="L2:L1722" showDropDown="0" showInputMessage="0" showErrorMessage="0" allowBlank="1" promptTitle="Novedad del dia" prompt="Deja vacio si fue dia normal. Elige VACACIONES si el empleado estuvo de vacaciones ese dia." type="list">
      <formula1>"VACACIONES,INCAPACIDAD,PERMISO,FESTIVO,DESCANSO,DESCANSO POR DINAMICA,DINAMICA"</formula1>
    </dataValidation>
  </dataValidations>
  <pageMargins left="0.75" right="0.75" top="1" bottom="1" header="0" footer="0"/>
  <pageSetup orientation="landscape" fitToHeight="0"/>
</worksheet>
</file>

<file path=xl/worksheets/sheet5.xml><?xml version="1.0" encoding="utf-8"?>
<worksheet xmlns="http://schemas.openxmlformats.org/spreadsheetml/2006/main">
  <sheetPr>
    <tabColor rgb="FFD9EAF7"/>
    <outlinePr summaryBelow="1" summaryRight="1"/>
    <pageSetUpPr fitToPage="1"/>
  </sheetPr>
  <dimension ref="A1:N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58" min="1" max="1"/>
    <col width="39.43" customWidth="1" style="58" min="2" max="2"/>
    <col width="37.86" customWidth="1" style="58" min="3" max="3"/>
    <col width="10.86" customWidth="1" style="58" min="4" max="4"/>
    <col width="13.86" customWidth="1" style="58" min="5" max="5"/>
    <col width="17.57" customWidth="1" style="58" min="6" max="6"/>
    <col width="12.43" customWidth="1" style="58" min="7" max="7"/>
    <col width="18" customWidth="1" style="58" min="8" max="8"/>
    <col width="17.14" customWidth="1" style="58" min="9" max="9"/>
    <col width="16" customWidth="1" style="58" min="10" max="10"/>
    <col width="14.86" customWidth="1" style="58" min="11" max="11"/>
    <col width="18" customWidth="1" style="58" min="12" max="12"/>
    <col width="9.710000000000001" customWidth="1" style="58" min="13" max="13"/>
    <col width="36.57" customWidth="1" style="58" min="14" max="14"/>
    <col width="8.710000000000001" customWidth="1" style="58" min="15" max="26"/>
  </cols>
  <sheetData>
    <row r="1" ht="15" customHeight="1" s="58">
      <c r="A1" s="41" t="inlineStr">
        <is>
          <t>No. EMP</t>
        </is>
      </c>
      <c r="B1" s="41" t="inlineStr">
        <is>
          <t>NOMBRE</t>
        </is>
      </c>
      <c r="C1" s="41" t="inlineStr">
        <is>
          <t>SUPERVISOR</t>
        </is>
      </c>
      <c r="D1" s="41" t="inlineStr">
        <is>
          <t>ACTIVO</t>
        </is>
      </c>
      <c r="E1" s="42" t="inlineStr">
        <is>
          <t>VERDE L-V</t>
        </is>
      </c>
      <c r="F1" s="43" t="inlineStr">
        <is>
          <t>AMARILLO L-V</t>
        </is>
      </c>
      <c r="G1" s="44" t="inlineStr">
        <is>
          <t>ROJO L-V</t>
        </is>
      </c>
      <c r="H1" s="45" t="inlineStr">
        <is>
          <t>ROJO FUERTE L-V</t>
        </is>
      </c>
      <c r="I1" s="42" t="inlineStr">
        <is>
          <t>VERDE S-D</t>
        </is>
      </c>
      <c r="J1" s="43" t="inlineStr">
        <is>
          <t>AMARILLO S-D</t>
        </is>
      </c>
      <c r="K1" s="44" t="inlineStr">
        <is>
          <t>ROJO S-D</t>
        </is>
      </c>
      <c r="L1" s="45" t="inlineStr">
        <is>
          <t>ROJO FUERTE S-D</t>
        </is>
      </c>
      <c r="M1" s="41" t="inlineStr">
        <is>
          <t>IDX SUP</t>
        </is>
      </c>
      <c r="N1" s="41" t="inlineStr">
        <is>
          <t>LLAVE</t>
        </is>
      </c>
    </row>
    <row r="2" ht="15" customHeight="1" s="58">
      <c r="A2" s="46" t="inlineStr">
        <is>
          <t>7001</t>
        </is>
      </c>
      <c r="B2" s="51" t="inlineStr">
        <is>
          <t>SOFIA MORALES VEGA</t>
        </is>
      </c>
      <c r="C2" s="48" t="inlineStr">
        <is>
          <t>CAMILA RIVERA NAVA</t>
        </is>
      </c>
      <c r="D2" s="52" t="inlineStr">
        <is>
          <t>SÍ</t>
        </is>
      </c>
      <c r="E2" s="53" t="n">
        <v>0.3333333333333333</v>
      </c>
      <c r="F2" s="53" t="n">
        <v>0.3340277777777778</v>
      </c>
      <c r="G2" s="53" t="n">
        <v>0.3375</v>
      </c>
      <c r="H2" s="53" t="n">
        <v>0.3402777777777778</v>
      </c>
      <c r="I2" s="53" t="n">
        <v>0.3333333333333333</v>
      </c>
      <c r="J2" s="53" t="n">
        <v>0.3340277777777778</v>
      </c>
      <c r="K2" s="53" t="n">
        <v>0.3375</v>
      </c>
      <c r="L2" s="53" t="n">
        <v>0.3402777777777778</v>
      </c>
      <c r="M2" s="50">
        <f>IF($A2="","",IF($D2&lt;&gt;"SÍ","",COUNTIFS($C$2:C2,C2,$D$2:D2,"SÍ")))</f>
        <v/>
      </c>
      <c r="N2" s="40">
        <f>IF(M2="","",C2&amp;"|"&amp;M2)</f>
        <v/>
      </c>
    </row>
    <row r="3" ht="15" customHeight="1" s="58">
      <c r="A3" s="46" t="inlineStr">
        <is>
          <t>7002</t>
        </is>
      </c>
      <c r="B3" s="51" t="inlineStr">
        <is>
          <t>DIEGO RAMIREZ PENA</t>
        </is>
      </c>
      <c r="C3" s="48" t="inlineStr">
        <is>
          <t>CAMILA RIVERA NAVA</t>
        </is>
      </c>
      <c r="D3" s="52" t="inlineStr">
        <is>
          <t>SÍ</t>
        </is>
      </c>
      <c r="E3" s="53" t="n">
        <v>0.3333333333333333</v>
      </c>
      <c r="F3" s="53" t="n">
        <v>0.3340277777777778</v>
      </c>
      <c r="G3" s="53" t="n">
        <v>0.3375</v>
      </c>
      <c r="H3" s="53" t="n">
        <v>0.3402777777777778</v>
      </c>
      <c r="I3" s="53" t="n">
        <v>0.3333333333333333</v>
      </c>
      <c r="J3" s="53" t="n">
        <v>0.3340277777777778</v>
      </c>
      <c r="K3" s="53" t="n">
        <v>0.3375</v>
      </c>
      <c r="L3" s="53" t="n">
        <v>0.3402777777777778</v>
      </c>
      <c r="M3" s="50">
        <f>IF($A3="","",IF($D3&lt;&gt;"SÍ","",COUNTIFS($C$2:C3,C3,$D$2:D3,"SÍ")))</f>
        <v/>
      </c>
      <c r="N3" s="40">
        <f>IF(M3="","",C3&amp;"|"&amp;M3)</f>
        <v/>
      </c>
    </row>
    <row r="4" ht="15" customHeight="1" s="58">
      <c r="A4" s="46" t="inlineStr">
        <is>
          <t>7003</t>
        </is>
      </c>
      <c r="B4" s="51" t="inlineStr">
        <is>
          <t>VALERIA CASTILLO ROJAS</t>
        </is>
      </c>
      <c r="C4" s="48" t="inlineStr">
        <is>
          <t>CAMILA RIVERA NAVA</t>
        </is>
      </c>
      <c r="D4" s="52" t="inlineStr">
        <is>
          <t>SÍ</t>
        </is>
      </c>
      <c r="E4" s="53" t="n">
        <v>0.3333333333333333</v>
      </c>
      <c r="F4" s="53" t="n">
        <v>0.3340277777777778</v>
      </c>
      <c r="G4" s="53" t="n">
        <v>0.3375</v>
      </c>
      <c r="H4" s="53" t="n">
        <v>0.3402777777777778</v>
      </c>
      <c r="I4" s="53" t="n">
        <v>0.3333333333333333</v>
      </c>
      <c r="J4" s="53" t="n">
        <v>0.3340277777777778</v>
      </c>
      <c r="K4" s="53" t="n">
        <v>0.3375</v>
      </c>
      <c r="L4" s="53" t="n">
        <v>0.3402777777777778</v>
      </c>
      <c r="M4" s="50">
        <f>IF($A4="","",IF($D4&lt;&gt;"SÍ","",COUNTIFS($C$2:C4,C4,$D$2:D4,"SÍ")))</f>
        <v/>
      </c>
      <c r="N4" s="40">
        <f>IF(M4="","",C4&amp;"|"&amp;M4)</f>
        <v/>
      </c>
    </row>
    <row r="5" ht="15" customHeight="1" s="58">
      <c r="A5" s="46" t="inlineStr">
        <is>
          <t>7004</t>
        </is>
      </c>
      <c r="B5" s="51" t="inlineStr">
        <is>
          <t>MARIANA LOPEZ SANTOS</t>
        </is>
      </c>
      <c r="C5" s="48" t="inlineStr">
        <is>
          <t>CAMILA RIVERA NAVA</t>
        </is>
      </c>
      <c r="D5" s="52" t="inlineStr">
        <is>
          <t>SÍ</t>
        </is>
      </c>
      <c r="E5" s="53" t="n">
        <v>0.3333333333333333</v>
      </c>
      <c r="F5" s="53" t="n">
        <v>0.3340277777777778</v>
      </c>
      <c r="G5" s="53" t="n">
        <v>0.3375</v>
      </c>
      <c r="H5" s="53" t="n">
        <v>0.3402777777777778</v>
      </c>
      <c r="I5" s="53" t="n">
        <v>0.3333333333333333</v>
      </c>
      <c r="J5" s="53" t="n">
        <v>0.3340277777777778</v>
      </c>
      <c r="K5" s="53" t="n">
        <v>0.3375</v>
      </c>
      <c r="L5" s="53" t="n">
        <v>0.3402777777777778</v>
      </c>
      <c r="M5" s="50">
        <f>IF($A5="","",IF($D5&lt;&gt;"SÍ","",COUNTIFS($C$2:C5,C5,$D$2:D5,"SÍ")))</f>
        <v/>
      </c>
      <c r="N5" s="40">
        <f>IF(M5="","",C5&amp;"|"&amp;M5)</f>
        <v/>
      </c>
    </row>
    <row r="6" ht="15" customHeight="1" s="58">
      <c r="A6" s="46" t="inlineStr">
        <is>
          <t>7005</t>
        </is>
      </c>
      <c r="B6" s="51" t="inlineStr">
        <is>
          <t>LUIS FERNANDO ORTIZ DIAZ</t>
        </is>
      </c>
      <c r="C6" s="48" t="inlineStr">
        <is>
          <t>MATEO HERRERA SOLIS</t>
        </is>
      </c>
      <c r="D6" s="52" t="inlineStr">
        <is>
          <t>SÍ</t>
        </is>
      </c>
      <c r="E6" s="53" t="n">
        <v>0.3333333333333333</v>
      </c>
      <c r="F6" s="53" t="n">
        <v>0.3340277777777778</v>
      </c>
      <c r="G6" s="53" t="n">
        <v>0.3375</v>
      </c>
      <c r="H6" s="53" t="n">
        <v>0.3402777777777778</v>
      </c>
      <c r="I6" s="53" t="n">
        <v>0.3333333333333333</v>
      </c>
      <c r="J6" s="53" t="n">
        <v>0.3340277777777778</v>
      </c>
      <c r="K6" s="53" t="n">
        <v>0.3375</v>
      </c>
      <c r="L6" s="53" t="n">
        <v>0.3402777777777778</v>
      </c>
      <c r="M6" s="50">
        <f>IF($A6="","",IF($D6&lt;&gt;"SÍ","",COUNTIFS($C$2:C6,C6,$D$2:D6,"SÍ")))</f>
        <v/>
      </c>
      <c r="N6" s="40">
        <f>IF(M6="","",C6&amp;"|"&amp;M6)</f>
        <v/>
      </c>
    </row>
    <row r="7" ht="15" customHeight="1" s="58">
      <c r="A7" s="46" t="inlineStr">
        <is>
          <t>7006</t>
        </is>
      </c>
      <c r="B7" s="51" t="inlineStr">
        <is>
          <t>ANDREA NAVARRO CRUZ</t>
        </is>
      </c>
      <c r="C7" s="48" t="inlineStr">
        <is>
          <t>MATEO HERRERA SOLIS</t>
        </is>
      </c>
      <c r="D7" s="52" t="inlineStr">
        <is>
          <t>SÍ</t>
        </is>
      </c>
      <c r="E7" s="53" t="n">
        <v>0.3333333333333333</v>
      </c>
      <c r="F7" s="53" t="n">
        <v>0.3340277777777778</v>
      </c>
      <c r="G7" s="53" t="n">
        <v>0.3375</v>
      </c>
      <c r="H7" s="53" t="n">
        <v>0.3402777777777778</v>
      </c>
      <c r="I7" s="53" t="n">
        <v>0.3333333333333333</v>
      </c>
      <c r="J7" s="53" t="n">
        <v>0.3340277777777778</v>
      </c>
      <c r="K7" s="53" t="n">
        <v>0.3375</v>
      </c>
      <c r="L7" s="53" t="n">
        <v>0.3402777777777778</v>
      </c>
      <c r="M7" s="50">
        <f>IF($A7="","",IF($D7&lt;&gt;"SÍ","",COUNTIFS($C$2:C7,C7,$D$2:D7,"SÍ")))</f>
        <v/>
      </c>
      <c r="N7" s="40">
        <f>IF(M7="","",C7&amp;"|"&amp;M7)</f>
        <v/>
      </c>
    </row>
    <row r="8" ht="15" customHeight="1" s="58">
      <c r="A8" s="46" t="inlineStr">
        <is>
          <t>7007</t>
        </is>
      </c>
      <c r="B8" s="51" t="inlineStr">
        <is>
          <t>CARLOS EDUARDO MENDEZ RIOS</t>
        </is>
      </c>
      <c r="C8" s="48" t="inlineStr">
        <is>
          <t>MATEO HERRERA SOLIS</t>
        </is>
      </c>
      <c r="D8" s="52" t="inlineStr">
        <is>
          <t>SÍ</t>
        </is>
      </c>
      <c r="E8" s="53" t="n">
        <v>0.3333333333333333</v>
      </c>
      <c r="F8" s="53" t="n">
        <v>0.3340277777777778</v>
      </c>
      <c r="G8" s="53" t="n">
        <v>0.3375</v>
      </c>
      <c r="H8" s="53" t="n">
        <v>0.3402777777777778</v>
      </c>
      <c r="I8" s="53" t="n">
        <v>0.3333333333333333</v>
      </c>
      <c r="J8" s="53" t="n">
        <v>0.3340277777777778</v>
      </c>
      <c r="K8" s="53" t="n">
        <v>0.3375</v>
      </c>
      <c r="L8" s="53" t="n">
        <v>0.3402777777777778</v>
      </c>
      <c r="M8" s="50">
        <f>IF($A8="","",IF($D8&lt;&gt;"SÍ","",COUNTIFS($C$2:C8,C8,$D$2:D8,"SÍ")))</f>
        <v/>
      </c>
      <c r="N8" s="40">
        <f>IF(M8="","",C8&amp;"|"&amp;M8)</f>
        <v/>
      </c>
    </row>
    <row r="9" ht="15" customHeight="1" s="58">
      <c r="A9" s="46" t="inlineStr">
        <is>
          <t>7008</t>
        </is>
      </c>
      <c r="B9" s="51" t="inlineStr">
        <is>
          <t>PAOLA JIMENEZ LARA</t>
        </is>
      </c>
      <c r="C9" s="48" t="inlineStr">
        <is>
          <t>MATEO HERRERA SOLIS</t>
        </is>
      </c>
      <c r="D9" s="34" t="inlineStr">
        <is>
          <t>SÍ</t>
        </is>
      </c>
      <c r="E9" s="52" t="n">
        <v>0.5416666666666666</v>
      </c>
      <c r="F9" s="52" t="n">
        <v>0.5423611111111111</v>
      </c>
      <c r="G9" s="52" t="n">
        <v>0.5458333333333333</v>
      </c>
      <c r="H9" s="52" t="n">
        <v>0.5486111111111112</v>
      </c>
      <c r="I9" s="53" t="n">
        <v>0.3333333333333333</v>
      </c>
      <c r="J9" s="53" t="n">
        <v>0.3340277777777778</v>
      </c>
      <c r="K9" s="53" t="n">
        <v>0.3375</v>
      </c>
      <c r="L9" s="53" t="n">
        <v>0.3402777777777778</v>
      </c>
      <c r="M9" s="50">
        <f>IF($A9="","",IF($D9&lt;&gt;"SÍ","",COUNTIFS($C$2:C9,C9,$D$2:D9,"SÍ")))</f>
        <v/>
      </c>
      <c r="N9" s="40">
        <f>IF(M9="","",C9&amp;"|"&amp;M9)</f>
        <v/>
      </c>
    </row>
    <row r="10" ht="15" customHeight="1" s="58">
      <c r="A10" s="46" t="inlineStr">
        <is>
          <t>7009</t>
        </is>
      </c>
      <c r="B10" s="51" t="inlineStr">
        <is>
          <t>JORGE ALBERTO REYES MORA</t>
        </is>
      </c>
      <c r="C10" s="48" t="inlineStr">
        <is>
          <t>MATEO HERRERA SOLIS</t>
        </is>
      </c>
      <c r="D10" s="34" t="inlineStr">
        <is>
          <t>SÍ</t>
        </is>
      </c>
      <c r="E10" s="52" t="n">
        <v>0.5416666666666666</v>
      </c>
      <c r="F10" s="52" t="n">
        <v>0.5423611111111111</v>
      </c>
      <c r="G10" s="52" t="n">
        <v>0.5458333333333333</v>
      </c>
      <c r="H10" s="52" t="n">
        <v>0.5486111111111112</v>
      </c>
      <c r="I10" s="53" t="n">
        <v>0.3333333333333333</v>
      </c>
      <c r="J10" s="53" t="n">
        <v>0.3340277777777778</v>
      </c>
      <c r="K10" s="53" t="n">
        <v>0.3375</v>
      </c>
      <c r="L10" s="53" t="n">
        <v>0.3402777777777778</v>
      </c>
      <c r="M10" s="50">
        <f>IF($A10="","",IF($D10&lt;&gt;"SÍ","",COUNTIFS($C$2:C10,C10,$D$2:D10,"SÍ")))</f>
        <v/>
      </c>
      <c r="N10" s="40">
        <f>IF(M10="","",C10&amp;"|"&amp;M10)</f>
        <v/>
      </c>
    </row>
    <row r="11" ht="15" customHeight="1" s="58">
      <c r="A11" s="46" t="inlineStr">
        <is>
          <t>7010</t>
        </is>
      </c>
      <c r="B11" s="51" t="inlineStr">
        <is>
          <t>KAREN GABRIELA FLORES LEON</t>
        </is>
      </c>
      <c r="C11" s="48" t="inlineStr">
        <is>
          <t>MATEO HERRERA SOLIS</t>
        </is>
      </c>
      <c r="D11" s="34" t="inlineStr">
        <is>
          <t>SÍ</t>
        </is>
      </c>
      <c r="E11" s="52" t="n">
        <v>0.5416666666666666</v>
      </c>
      <c r="F11" s="52" t="n">
        <v>0.5423611111111111</v>
      </c>
      <c r="G11" s="52" t="n">
        <v>0.5458333333333333</v>
      </c>
      <c r="H11" s="52" t="n">
        <v>0.5486111111111112</v>
      </c>
      <c r="I11" s="53" t="n">
        <v>0.3333333333333333</v>
      </c>
      <c r="J11" s="53" t="n">
        <v>0.3340277777777778</v>
      </c>
      <c r="K11" s="53" t="n">
        <v>0.3375</v>
      </c>
      <c r="L11" s="53" t="n">
        <v>0.3402777777777778</v>
      </c>
      <c r="M11" s="50">
        <f>IF($A11="","",IF($D11&lt;&gt;"SÍ","",COUNTIFS($C$2:C11,C11,$D$2:D11,"SÍ")))</f>
        <v/>
      </c>
      <c r="N11" s="40">
        <f>IF(M11="","",C11&amp;"|"&amp;M11)</f>
        <v/>
      </c>
    </row>
    <row r="12" ht="15" customHeight="1" s="58">
      <c r="A12" s="46" t="inlineStr">
        <is>
          <t>7011</t>
        </is>
      </c>
      <c r="B12" s="51" t="inlineStr">
        <is>
          <t>FERNANDA AGUILAR CAMPOS</t>
        </is>
      </c>
      <c r="C12" s="48" t="inlineStr">
        <is>
          <t>CAMILA RIVERA NAVA</t>
        </is>
      </c>
      <c r="D12" s="34" t="inlineStr">
        <is>
          <t>SÍ</t>
        </is>
      </c>
      <c r="E12" s="52" t="n">
        <v>0.5416666666666666</v>
      </c>
      <c r="F12" s="52" t="n">
        <v>0.5423611111111111</v>
      </c>
      <c r="G12" s="52" t="n">
        <v>0.5458333333333333</v>
      </c>
      <c r="H12" s="52" t="n">
        <v>0.5486111111111112</v>
      </c>
      <c r="I12" s="53" t="n">
        <v>0.3333333333333333</v>
      </c>
      <c r="J12" s="53" t="n">
        <v>0.3340277777777778</v>
      </c>
      <c r="K12" s="53" t="n">
        <v>0.3375</v>
      </c>
      <c r="L12" s="53" t="n">
        <v>0.3402777777777778</v>
      </c>
      <c r="M12" s="50">
        <f>IF($A12="","",IF($D12&lt;&gt;"SÍ","",COUNTIFS($C$2:C12,C12,$D$2:D12,"SÍ")))</f>
        <v/>
      </c>
      <c r="N12" s="40">
        <f>IF(M12="","",C12&amp;"|"&amp;M12)</f>
        <v/>
      </c>
    </row>
    <row r="13" ht="15" customHeight="1" s="58">
      <c r="A13" s="46" t="inlineStr">
        <is>
          <t>7012</t>
        </is>
      </c>
      <c r="B13" s="51" t="inlineStr">
        <is>
          <t>RODRIGO VARGAS PINEDA</t>
        </is>
      </c>
      <c r="C13" s="48" t="inlineStr">
        <is>
          <t>CAMILA RIVERA NAVA</t>
        </is>
      </c>
      <c r="D13" s="34" t="inlineStr">
        <is>
          <t>SÍ</t>
        </is>
      </c>
      <c r="E13" s="52" t="n">
        <v>0.5625</v>
      </c>
      <c r="F13" s="52" t="n">
        <v>0.5631944444444444</v>
      </c>
      <c r="G13" s="52" t="n">
        <v>0.5666666666666667</v>
      </c>
      <c r="H13" s="52" t="n">
        <v>0.5694444444444444</v>
      </c>
      <c r="I13" s="53" t="n">
        <v>0.3333333333333333</v>
      </c>
      <c r="J13" s="53" t="n">
        <v>0.3340277777777778</v>
      </c>
      <c r="K13" s="53" t="n">
        <v>0.3375</v>
      </c>
      <c r="L13" s="53" t="n">
        <v>0.3402777777777778</v>
      </c>
      <c r="M13" s="50">
        <f>IF($A13="","",IF($D13&lt;&gt;"SÍ","",COUNTIFS($C$2:C13,C13,$D$2:D13,"SÍ")))</f>
        <v/>
      </c>
      <c r="N13" s="40">
        <f>IF(M13="","",C13&amp;"|"&amp;M13)</f>
        <v/>
      </c>
    </row>
    <row r="14" ht="15" customHeight="1" s="58">
      <c r="A14" s="46" t="inlineStr">
        <is>
          <t>7013</t>
        </is>
      </c>
      <c r="B14" s="51" t="inlineStr">
        <is>
          <t>NATALIA SERRANO FUENTES</t>
        </is>
      </c>
      <c r="C14" s="48" t="inlineStr">
        <is>
          <t>CAMILA RIVERA NAVA</t>
        </is>
      </c>
      <c r="D14" s="34" t="inlineStr">
        <is>
          <t>SÍ</t>
        </is>
      </c>
      <c r="E14" s="52" t="n">
        <v>0.5833333333333334</v>
      </c>
      <c r="F14" s="52" t="n">
        <v>0.5840277777777778</v>
      </c>
      <c r="G14" s="52" t="n">
        <v>0.5875</v>
      </c>
      <c r="H14" s="52" t="n">
        <v>0.5902777777777778</v>
      </c>
      <c r="I14" s="53" t="n">
        <v>0.3333333333333333</v>
      </c>
      <c r="J14" s="53" t="n">
        <v>0.3340277777777778</v>
      </c>
      <c r="K14" s="53" t="n">
        <v>0.3375</v>
      </c>
      <c r="L14" s="53" t="n">
        <v>0.3402777777777778</v>
      </c>
      <c r="M14" s="50">
        <f>IF($A14="","",IF($D14&lt;&gt;"SÍ","",COUNTIFS($C$2:C14,C14,$D$2:D14,"SÍ")))</f>
        <v/>
      </c>
      <c r="N14" s="40">
        <f>IF(M14="","",C14&amp;"|"&amp;M14)</f>
        <v/>
      </c>
    </row>
    <row r="15" ht="15" customHeight="1" s="58">
      <c r="A15" s="46" t="inlineStr">
        <is>
          <t>7014</t>
        </is>
      </c>
      <c r="B15" s="51" t="inlineStr">
        <is>
          <t>MIGUEL ANGEL PAREDES GOMEZ</t>
        </is>
      </c>
      <c r="C15" s="48" t="inlineStr">
        <is>
          <t>MATEO HERRERA SOLIS</t>
        </is>
      </c>
      <c r="D15" s="34" t="inlineStr">
        <is>
          <t>SÍ</t>
        </is>
      </c>
      <c r="E15" s="52" t="n">
        <v>0.5833333333333334</v>
      </c>
      <c r="F15" s="52" t="n">
        <v>0.5840277777777778</v>
      </c>
      <c r="G15" s="52" t="n">
        <v>0.5875</v>
      </c>
      <c r="H15" s="52" t="n">
        <v>0.5902777777777778</v>
      </c>
      <c r="I15" s="53" t="n">
        <v>0.3333333333333333</v>
      </c>
      <c r="J15" s="53" t="n">
        <v>0.3340277777777778</v>
      </c>
      <c r="K15" s="53" t="n">
        <v>0.3375</v>
      </c>
      <c r="L15" s="53" t="n">
        <v>0.3402777777777778</v>
      </c>
      <c r="M15" s="50">
        <f>IF($A15="","",IF($D15&lt;&gt;"SÍ","",COUNTIFS($C$2:C15,C15,$D$2:D15,"SÍ")))</f>
        <v/>
      </c>
      <c r="N15" s="40">
        <f>IF(M15="","",C15&amp;"|"&amp;M15)</f>
        <v/>
      </c>
    </row>
    <row r="16" ht="15" customHeight="1" s="58">
      <c r="A16" s="46" t="inlineStr">
        <is>
          <t>7015</t>
        </is>
      </c>
      <c r="B16" s="51" t="inlineStr">
        <is>
          <t>DANIELA CORTES IBARRA</t>
        </is>
      </c>
      <c r="C16" s="48" t="inlineStr">
        <is>
          <t>MATEO HERRERA SOLIS</t>
        </is>
      </c>
      <c r="D16" s="34" t="inlineStr">
        <is>
          <t>SÍ</t>
        </is>
      </c>
      <c r="E16" s="52" t="n">
        <v>0.5833333333333334</v>
      </c>
      <c r="F16" s="52" t="n">
        <v>0.5840277777777778</v>
      </c>
      <c r="G16" s="52" t="n">
        <v>0.5875</v>
      </c>
      <c r="H16" s="52" t="n">
        <v>0.5902777777777778</v>
      </c>
      <c r="I16" s="53" t="n">
        <v>0.3333333333333333</v>
      </c>
      <c r="J16" s="53" t="n">
        <v>0.3340277777777778</v>
      </c>
      <c r="K16" s="53" t="n">
        <v>0.3375</v>
      </c>
      <c r="L16" s="53" t="n">
        <v>0.3402777777777778</v>
      </c>
      <c r="M16" s="50">
        <f>IF($A16="","",IF($D16&lt;&gt;"SÍ","",COUNTIFS($C$2:C16,C16,$D$2:D16,"SÍ")))</f>
        <v/>
      </c>
      <c r="N16" s="40">
        <f>IF(M16="","",C16&amp;"|"&amp;M16)</f>
        <v/>
      </c>
    </row>
    <row r="17" ht="15" customHeight="1" s="58">
      <c r="A17" s="46" t="inlineStr">
        <is>
          <t>7016</t>
        </is>
      </c>
      <c r="B17" s="51" t="inlineStr">
        <is>
          <t>EMILIANO GARCIA VEGA</t>
        </is>
      </c>
      <c r="C17" s="48" t="inlineStr">
        <is>
          <t>ALEJANDRO TORRES LUNA</t>
        </is>
      </c>
      <c r="D17" s="34" t="inlineStr">
        <is>
          <t>SÍ</t>
        </is>
      </c>
      <c r="E17" s="53" t="n">
        <v>0.375</v>
      </c>
      <c r="F17" s="53" t="n">
        <v>0.3756944444444444</v>
      </c>
      <c r="G17" s="53" t="n">
        <v>0.3791666666666667</v>
      </c>
      <c r="H17" s="53" t="n">
        <v>0.3819444444444444</v>
      </c>
      <c r="I17" s="53" t="n">
        <v>0.375</v>
      </c>
      <c r="J17" s="53" t="n">
        <v>0.3756944444444444</v>
      </c>
      <c r="K17" s="53" t="n">
        <v>0.3791666666666667</v>
      </c>
      <c r="L17" s="53" t="n">
        <v>0.3819444444444444</v>
      </c>
      <c r="M17" s="50">
        <f>IF($A17="","",IF($D17&lt;&gt;"SÍ","",COUNTIFS($C$2:C17,C17,$D$2:D17,"SÍ")))</f>
        <v/>
      </c>
      <c r="N17" s="40">
        <f>IF(M17="","",C17&amp;"|"&amp;M17)</f>
        <v/>
      </c>
    </row>
    <row r="18" ht="15" customHeight="1" s="58">
      <c r="A18" s="46" t="inlineStr">
        <is>
          <t>7017</t>
        </is>
      </c>
      <c r="B18" s="51" t="inlineStr">
        <is>
          <t>LAURA ISABEL NUNEZ PRADO</t>
        </is>
      </c>
      <c r="C18" s="48" t="inlineStr">
        <is>
          <t>ALEJANDRO TORRES LUNA</t>
        </is>
      </c>
      <c r="D18" s="34" t="inlineStr">
        <is>
          <t>SÍ</t>
        </is>
      </c>
      <c r="E18" s="53" t="n">
        <v>0.375</v>
      </c>
      <c r="F18" s="53" t="n">
        <v>0.3756944444444444</v>
      </c>
      <c r="G18" s="53" t="n">
        <v>0.3791666666666667</v>
      </c>
      <c r="H18" s="53" t="n">
        <v>0.3819444444444444</v>
      </c>
      <c r="I18" s="53" t="n">
        <v>0.375</v>
      </c>
      <c r="J18" s="53" t="n">
        <v>0.3756944444444444</v>
      </c>
      <c r="K18" s="53" t="n">
        <v>0.3791666666666667</v>
      </c>
      <c r="L18" s="53" t="n">
        <v>0.3819444444444444</v>
      </c>
      <c r="M18" s="50">
        <f>IF($A18="","",IF($D18&lt;&gt;"SÍ","",COUNTIFS($C$2:C18,C18,$D$2:D18,"SÍ")))</f>
        <v/>
      </c>
      <c r="N18" s="40">
        <f>IF(M18="","",C18&amp;"|"&amp;M18)</f>
        <v/>
      </c>
    </row>
    <row r="19" ht="15" customHeight="1" s="58">
      <c r="A19" s="46" t="inlineStr">
        <is>
          <t>7018</t>
        </is>
      </c>
      <c r="B19" s="51" t="inlineStr">
        <is>
          <t>CAMILA RIVERA NAVA</t>
        </is>
      </c>
      <c r="C19" s="48" t="inlineStr">
        <is>
          <t>ALEJANDRO TORRES LUNA</t>
        </is>
      </c>
      <c r="D19" s="34" t="inlineStr">
        <is>
          <t>SÍ</t>
        </is>
      </c>
      <c r="E19" s="53" t="n">
        <v>0.3333333333333333</v>
      </c>
      <c r="F19" s="53" t="n">
        <v>0.3340277777777778</v>
      </c>
      <c r="G19" s="53" t="n">
        <v>0.3375</v>
      </c>
      <c r="H19" s="53" t="n">
        <v>0.3402777777777778</v>
      </c>
      <c r="I19" s="53" t="n">
        <v>0.3333333333333333</v>
      </c>
      <c r="J19" s="53" t="n">
        <v>0.3340277777777778</v>
      </c>
      <c r="K19" s="53" t="n">
        <v>0.3375</v>
      </c>
      <c r="L19" s="53" t="n">
        <v>0.3402777777777778</v>
      </c>
      <c r="M19" s="50">
        <f>IF($A19="","",IF($D19&lt;&gt;"SÍ","",COUNTIFS($C$2:C19,C19,$D$2:D19,"SÍ")))</f>
        <v/>
      </c>
      <c r="N19" s="40">
        <f>IF(M19="","",C19&amp;"|"&amp;M19)</f>
        <v/>
      </c>
    </row>
    <row r="20" ht="15" customHeight="1" s="58">
      <c r="A20" s="46" t="inlineStr">
        <is>
          <t>7019</t>
        </is>
      </c>
      <c r="B20" s="51" t="inlineStr">
        <is>
          <t>OSCAR IVAN SALGADO REYES</t>
        </is>
      </c>
      <c r="C20" s="48" t="inlineStr">
        <is>
          <t>ALEJANDRO TORRES LUNA</t>
        </is>
      </c>
      <c r="D20" s="34" t="inlineStr">
        <is>
          <t>SÍ</t>
        </is>
      </c>
      <c r="E20" s="53" t="n">
        <v>0.4583333333333333</v>
      </c>
      <c r="F20" s="53" t="n">
        <v>0.4590277777777778</v>
      </c>
      <c r="G20" s="53" t="n">
        <v>0.4625</v>
      </c>
      <c r="H20" s="53" t="n">
        <v>0.4652777777777778</v>
      </c>
      <c r="I20" s="53" t="n">
        <v>0.3333333333333333</v>
      </c>
      <c r="J20" s="53" t="n">
        <v>0.3340277777777778</v>
      </c>
      <c r="K20" s="53" t="n">
        <v>0.3375</v>
      </c>
      <c r="L20" s="53" t="n">
        <v>0.3402777777777778</v>
      </c>
      <c r="M20" s="50">
        <f>IF($A20="","",IF($D20&lt;&gt;"SÍ","",COUNTIFS($C$2:C20,C20,$D$2:D20,"SÍ")))</f>
        <v/>
      </c>
      <c r="N20" s="40">
        <f>IF(M20="","",C20&amp;"|"&amp;M20)</f>
        <v/>
      </c>
    </row>
    <row r="21" ht="15" customHeight="1" s="58">
      <c r="A21" s="54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50">
        <f>IF($A21="","",IF($D21&lt;&gt;"SÍ","",COUNTIFS($C$2:C21,C21,$D$2:D21,"SÍ")))</f>
        <v/>
      </c>
      <c r="N21" s="40">
        <f>IF(M21="","",C21&amp;"|"&amp;M21)</f>
        <v/>
      </c>
    </row>
    <row r="22" ht="15" customHeight="1" s="58">
      <c r="A22" s="54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50">
        <f>IF($A22="","",IF($D22&lt;&gt;"SÍ","",COUNTIFS($C$2:C22,C22,$D$2:D22,"SÍ")))</f>
        <v/>
      </c>
      <c r="N22" s="40">
        <f>IF(M22="","",C22&amp;"|"&amp;M22)</f>
        <v/>
      </c>
    </row>
    <row r="23" ht="15" customHeight="1" s="58">
      <c r="A23" s="54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50">
        <f>IF($A23="","",IF($D23&lt;&gt;"SÍ","",COUNTIFS($C$2:C23,C23,$D$2:D23,"SÍ")))</f>
        <v/>
      </c>
      <c r="N23" s="40">
        <f>IF(M23="","",C23&amp;"|"&amp;M23)</f>
        <v/>
      </c>
    </row>
    <row r="24" ht="15" customHeight="1" s="58">
      <c r="A24" s="54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50">
        <f>IF($A24="","",IF($D24&lt;&gt;"SÍ","",COUNTIFS($C$2:C24,C24,$D$2:D24,"SÍ")))</f>
        <v/>
      </c>
      <c r="N24" s="40">
        <f>IF(M24="","",C24&amp;"|"&amp;M24)</f>
        <v/>
      </c>
    </row>
    <row r="25" ht="15" customHeight="1" s="58">
      <c r="A25" s="54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50">
        <f>IF($A25="","",IF($D25&lt;&gt;"SÍ","",COUNTIFS($C$2:C25,C25,$D$2:D25,"SÍ")))</f>
        <v/>
      </c>
      <c r="N25" s="40">
        <f>IF(M25="","",C25&amp;"|"&amp;M25)</f>
        <v/>
      </c>
    </row>
    <row r="26" ht="15" customHeight="1" s="58">
      <c r="A26" s="54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50">
        <f>IF($A26="","",IF($D26&lt;&gt;"SÍ","",COUNTIFS($C$2:C26,C26,$D$2:D26,"SÍ")))</f>
        <v/>
      </c>
      <c r="N26" s="40">
        <f>IF(M26="","",C26&amp;"|"&amp;M26)</f>
        <v/>
      </c>
    </row>
    <row r="27" ht="15" customHeight="1" s="58">
      <c r="A27" s="54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50">
        <f>IF($A27="","",IF($D27&lt;&gt;"SÍ","",COUNTIFS($C$2:C27,C27,$D$2:D27,"SÍ")))</f>
        <v/>
      </c>
      <c r="N27" s="40">
        <f>IF(M27="","",C27&amp;"|"&amp;M27)</f>
        <v/>
      </c>
    </row>
    <row r="28" ht="15" customHeight="1" s="58">
      <c r="A28" s="54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40" t="n"/>
      <c r="L28" s="40" t="n"/>
      <c r="M28" s="50">
        <f>IF($A28="","",IF($D28&lt;&gt;"SÍ","",COUNTIFS($C$2:C28,C28,$D$2:D28,"SÍ")))</f>
        <v/>
      </c>
      <c r="N28" s="40">
        <f>IF(M28="","",C28&amp;"|"&amp;M28)</f>
        <v/>
      </c>
    </row>
    <row r="29" ht="15" customHeight="1" s="58">
      <c r="A29" s="54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50">
        <f>IF($A29="","",IF($D29&lt;&gt;"SÍ","",COUNTIFS($C$2:C29,C29,$D$2:D29,"SÍ")))</f>
        <v/>
      </c>
      <c r="N29" s="40">
        <f>IF(M29="","",C29&amp;"|"&amp;M29)</f>
        <v/>
      </c>
    </row>
    <row r="30" ht="15" customHeight="1" s="58">
      <c r="A30" s="54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50">
        <f>IF($A30="","",IF($D30&lt;&gt;"SÍ","",COUNTIFS($C$2:C30,C30,$D$2:D30,"SÍ")))</f>
        <v/>
      </c>
      <c r="N30" s="40">
        <f>IF(M30="","",C30&amp;"|"&amp;M30)</f>
        <v/>
      </c>
    </row>
    <row r="31" ht="15" customHeight="1" s="58">
      <c r="A31" s="54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L31" s="40" t="n"/>
      <c r="M31" s="50">
        <f>IF($A31="","",IF($D31&lt;&gt;"SÍ","",COUNTIFS($C$2:C31,C31,$D$2:D31,"SÍ")))</f>
        <v/>
      </c>
      <c r="N31" s="40">
        <f>IF(M31="","",C31&amp;"|"&amp;M31)</f>
        <v/>
      </c>
    </row>
    <row r="32" ht="15" customHeight="1" s="58">
      <c r="A32" s="54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50">
        <f>IF($A32="","",IF($D32&lt;&gt;"SÍ","",COUNTIFS($C$2:C32,C32,$D$2:D32,"SÍ")))</f>
        <v/>
      </c>
      <c r="N32" s="40">
        <f>IF(M32="","",C32&amp;"|"&amp;M32)</f>
        <v/>
      </c>
    </row>
    <row r="33" ht="15" customHeight="1" s="58">
      <c r="A33" s="54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L33" s="40" t="n"/>
      <c r="M33" s="50">
        <f>IF($A33="","",IF($D33&lt;&gt;"SÍ","",COUNTIFS($C$2:C33,C33,$D$2:D33,"SÍ")))</f>
        <v/>
      </c>
      <c r="N33" s="40">
        <f>IF(M33="","",C33&amp;"|"&amp;M33)</f>
        <v/>
      </c>
    </row>
    <row r="34" ht="15" customHeight="1" s="58">
      <c r="A34" s="54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40" t="n"/>
      <c r="L34" s="40" t="n"/>
      <c r="M34" s="50">
        <f>IF($A34="","",IF($D34&lt;&gt;"SÍ","",COUNTIFS($C$2:C34,C34,$D$2:D34,"SÍ")))</f>
        <v/>
      </c>
      <c r="N34" s="40">
        <f>IF(M34="","",C34&amp;"|"&amp;M34)</f>
        <v/>
      </c>
    </row>
    <row r="35" ht="15" customHeight="1" s="58">
      <c r="A35" s="54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L35" s="40" t="n"/>
      <c r="M35" s="50">
        <f>IF($A35="","",IF($D35&lt;&gt;"SÍ","",COUNTIFS($C$2:C35,C35,$D$2:D35,"SÍ")))</f>
        <v/>
      </c>
      <c r="N35" s="40">
        <f>IF(M35="","",C35&amp;"|"&amp;M35)</f>
        <v/>
      </c>
    </row>
    <row r="36" ht="15" customHeight="1" s="58">
      <c r="A36" s="54" t="n"/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40" t="n"/>
      <c r="L36" s="40" t="n"/>
      <c r="M36" s="50">
        <f>IF($A36="","",IF($D36&lt;&gt;"SÍ","",COUNTIFS($C$2:C36,C36,$D$2:D36,"SÍ")))</f>
        <v/>
      </c>
      <c r="N36" s="40">
        <f>IF(M36="","",C36&amp;"|"&amp;M36)</f>
        <v/>
      </c>
    </row>
    <row r="37" ht="15" customHeight="1" s="58">
      <c r="A37" s="54" t="n"/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L37" s="40" t="n"/>
      <c r="M37" s="50">
        <f>IF($A37="","",IF($D37&lt;&gt;"SÍ","",COUNTIFS($C$2:C37,C37,$D$2:D37,"SÍ")))</f>
        <v/>
      </c>
      <c r="N37" s="40">
        <f>IF(M37="","",C37&amp;"|"&amp;M37)</f>
        <v/>
      </c>
    </row>
    <row r="38" ht="15" customHeight="1" s="58">
      <c r="A38" s="54" t="n"/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50">
        <f>IF($A38="","",IF($D38&lt;&gt;"SÍ","",COUNTIFS($C$2:C38,C38,$D$2:D38,"SÍ")))</f>
        <v/>
      </c>
      <c r="N38" s="40">
        <f>IF(M38="","",C38&amp;"|"&amp;M38)</f>
        <v/>
      </c>
    </row>
    <row r="39" ht="15" customHeight="1" s="58">
      <c r="A39" s="54" t="n"/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L39" s="40" t="n"/>
      <c r="M39" s="50">
        <f>IF($A39="","",IF($D39&lt;&gt;"SÍ","",COUNTIFS($C$2:C39,C39,$D$2:D39,"SÍ")))</f>
        <v/>
      </c>
      <c r="N39" s="40">
        <f>IF(M39="","",C39&amp;"|"&amp;M39)</f>
        <v/>
      </c>
    </row>
    <row r="40" ht="15" customHeight="1" s="58">
      <c r="A40" s="54" t="n"/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40" t="n"/>
      <c r="L40" s="40" t="n"/>
      <c r="M40" s="50">
        <f>IF($A40="","",IF($D40&lt;&gt;"SÍ","",COUNTIFS($C$2:C40,C40,$D$2:D40,"SÍ")))</f>
        <v/>
      </c>
      <c r="N40" s="40">
        <f>IF(M40="","",C40&amp;"|"&amp;M40)</f>
        <v/>
      </c>
    </row>
    <row r="41" ht="15" customHeight="1" s="58">
      <c r="A41" s="54" t="n"/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40" t="n"/>
      <c r="L41" s="40" t="n"/>
      <c r="M41" s="50">
        <f>IF($A41="","",IF($D41&lt;&gt;"SÍ","",COUNTIFS($C$2:C41,C41,$D$2:D41,"SÍ")))</f>
        <v/>
      </c>
      <c r="N41" s="40">
        <f>IF(M41="","",C41&amp;"|"&amp;M41)</f>
        <v/>
      </c>
    </row>
    <row r="42" ht="15" customHeight="1" s="58">
      <c r="A42" s="54" t="n"/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40" t="n"/>
      <c r="L42" s="40" t="n"/>
      <c r="M42" s="50">
        <f>IF($A42="","",IF($D42&lt;&gt;"SÍ","",COUNTIFS($C$2:C42,C42,$D$2:D42,"SÍ")))</f>
        <v/>
      </c>
      <c r="N42" s="40">
        <f>IF(M42="","",C42&amp;"|"&amp;M42)</f>
        <v/>
      </c>
    </row>
    <row r="43" ht="15" customHeight="1" s="58">
      <c r="A43" s="54" t="n"/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40" t="n"/>
      <c r="L43" s="40" t="n"/>
      <c r="M43" s="50">
        <f>IF($A43="","",IF($D43&lt;&gt;"SÍ","",COUNTIFS($C$2:C43,C43,$D$2:D43,"SÍ")))</f>
        <v/>
      </c>
      <c r="N43" s="40">
        <f>IF(M43="","",C43&amp;"|"&amp;M43)</f>
        <v/>
      </c>
    </row>
    <row r="44" ht="15" customHeight="1" s="58">
      <c r="A44" s="54" t="n"/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40" t="n"/>
      <c r="L44" s="40" t="n"/>
      <c r="M44" s="50">
        <f>IF($A44="","",IF($D44&lt;&gt;"SÍ","",COUNTIFS($C$2:C44,C44,$D$2:D44,"SÍ")))</f>
        <v/>
      </c>
      <c r="N44" s="40">
        <f>IF(M44="","",C44&amp;"|"&amp;M44)</f>
        <v/>
      </c>
    </row>
    <row r="45" ht="15" customHeight="1" s="58">
      <c r="A45" s="54" t="n"/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40" t="n"/>
      <c r="L45" s="40" t="n"/>
      <c r="M45" s="50">
        <f>IF($A45="","",IF($D45&lt;&gt;"SÍ","",COUNTIFS($C$2:C45,C45,$D$2:D45,"SÍ")))</f>
        <v/>
      </c>
      <c r="N45" s="40">
        <f>IF(M45="","",C45&amp;"|"&amp;M45)</f>
        <v/>
      </c>
    </row>
    <row r="46" ht="15" customHeight="1" s="58">
      <c r="A46" s="54" t="n"/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50">
        <f>IF($A46="","",IF($D46&lt;&gt;"SÍ","",COUNTIFS($C$2:C46,C46,$D$2:D46,"SÍ")))</f>
        <v/>
      </c>
      <c r="N46" s="40">
        <f>IF(M46="","",C46&amp;"|"&amp;M46)</f>
        <v/>
      </c>
    </row>
    <row r="47" ht="15" customHeight="1" s="58">
      <c r="A47" s="54" t="n"/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50">
        <f>IF($A47="","",IF($D47&lt;&gt;"SÍ","",COUNTIFS($C$2:C47,C47,$D$2:D47,"SÍ")))</f>
        <v/>
      </c>
      <c r="N47" s="40">
        <f>IF(M47="","",C47&amp;"|"&amp;M47)</f>
        <v/>
      </c>
    </row>
    <row r="48" ht="15" customHeight="1" s="58">
      <c r="A48" s="54" t="n"/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40" t="n"/>
      <c r="L48" s="40" t="n"/>
      <c r="M48" s="50">
        <f>IF($A48="","",IF($D48&lt;&gt;"SÍ","",COUNTIFS($C$2:C48,C48,$D$2:D48,"SÍ")))</f>
        <v/>
      </c>
      <c r="N48" s="40">
        <f>IF(M48="","",C48&amp;"|"&amp;M48)</f>
        <v/>
      </c>
    </row>
    <row r="49" ht="15" customHeight="1" s="58">
      <c r="A49" s="54" t="n"/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40" t="n"/>
      <c r="L49" s="40" t="n"/>
      <c r="M49" s="50">
        <f>IF($A49="","",IF($D49&lt;&gt;"SÍ","",COUNTIFS($C$2:C49,C49,$D$2:D49,"SÍ")))</f>
        <v/>
      </c>
      <c r="N49" s="40">
        <f>IF(M49="","",C49&amp;"|"&amp;M49)</f>
        <v/>
      </c>
    </row>
    <row r="50" ht="15" customHeight="1" s="58">
      <c r="A50" s="54" t="n"/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40" t="n"/>
      <c r="L50" s="40" t="n"/>
      <c r="M50" s="50">
        <f>IF($A50="","",IF($D50&lt;&gt;"SÍ","",COUNTIFS($C$2:C50,C50,$D$2:D50,"SÍ")))</f>
        <v/>
      </c>
      <c r="N50" s="40">
        <f>IF(M50="","",C50&amp;"|"&amp;M50)</f>
        <v/>
      </c>
    </row>
    <row r="51" ht="15" customHeight="1" s="58">
      <c r="A51" s="54" t="n"/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50">
        <f>IF($A51="","",IF($D51&lt;&gt;"SÍ","",COUNTIFS($C$2:C51,C51,$D$2:D51,"SÍ")))</f>
        <v/>
      </c>
      <c r="N51" s="40">
        <f>IF(M51="","",C51&amp;"|"&amp;M51)</f>
        <v/>
      </c>
    </row>
    <row r="52" ht="15" customHeight="1" s="58">
      <c r="A52" s="54" t="n"/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50">
        <f>IF($A52="","",IF($D52&lt;&gt;"SÍ","",COUNTIFS($C$2:C52,C52,$D$2:D52,"SÍ")))</f>
        <v/>
      </c>
      <c r="N52" s="40">
        <f>IF(M52="","",C52&amp;"|"&amp;M52)</f>
        <v/>
      </c>
    </row>
    <row r="53" ht="15" customHeight="1" s="58">
      <c r="A53" s="54" t="n"/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50">
        <f>IF($A53="","",IF($D53&lt;&gt;"SÍ","",COUNTIFS($C$2:C53,C53,$D$2:D53,"SÍ")))</f>
        <v/>
      </c>
      <c r="N53" s="40">
        <f>IF(M53="","",C53&amp;"|"&amp;M53)</f>
        <v/>
      </c>
    </row>
    <row r="54" ht="15" customHeight="1" s="58">
      <c r="A54" s="54" t="n"/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40" t="n"/>
      <c r="L54" s="40" t="n"/>
      <c r="M54" s="50">
        <f>IF($A54="","",IF($D54&lt;&gt;"SÍ","",COUNTIFS($C$2:C54,C54,$D$2:D54,"SÍ")))</f>
        <v/>
      </c>
      <c r="N54" s="40">
        <f>IF(M54="","",C54&amp;"|"&amp;M54)</f>
        <v/>
      </c>
    </row>
    <row r="55" ht="15" customHeight="1" s="58">
      <c r="A55" s="54" t="n"/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40" t="n"/>
      <c r="L55" s="40" t="n"/>
      <c r="M55" s="50">
        <f>IF($A55="","",IF($D55&lt;&gt;"SÍ","",COUNTIFS($C$2:C55,C55,$D$2:D55,"SÍ")))</f>
        <v/>
      </c>
      <c r="N55" s="40">
        <f>IF(M55="","",C55&amp;"|"&amp;M55)</f>
        <v/>
      </c>
    </row>
    <row r="56" ht="15" customHeight="1" s="58">
      <c r="A56" s="54" t="n"/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40" t="n"/>
      <c r="L56" s="40" t="n"/>
      <c r="M56" s="50">
        <f>IF($A56="","",IF($D56&lt;&gt;"SÍ","",COUNTIFS($C$2:C56,C56,$D$2:D56,"SÍ")))</f>
        <v/>
      </c>
      <c r="N56" s="40">
        <f>IF(M56="","",C56&amp;"|"&amp;M56)</f>
        <v/>
      </c>
    </row>
    <row r="57" ht="15" customHeight="1" s="58">
      <c r="A57" s="54" t="n"/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40" t="n"/>
      <c r="L57" s="40" t="n"/>
      <c r="M57" s="50">
        <f>IF($A57="","",IF($D57&lt;&gt;"SÍ","",COUNTIFS($C$2:C57,C57,$D$2:D57,"SÍ")))</f>
        <v/>
      </c>
      <c r="N57" s="40">
        <f>IF(M57="","",C57&amp;"|"&amp;M57)</f>
        <v/>
      </c>
    </row>
    <row r="58" ht="15" customHeight="1" s="58">
      <c r="A58" s="54" t="n"/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40" t="n"/>
      <c r="L58" s="40" t="n"/>
      <c r="M58" s="50">
        <f>IF($A58="","",IF($D58&lt;&gt;"SÍ","",COUNTIFS($C$2:C58,C58,$D$2:D58,"SÍ")))</f>
        <v/>
      </c>
      <c r="N58" s="40">
        <f>IF(M58="","",C58&amp;"|"&amp;M58)</f>
        <v/>
      </c>
    </row>
    <row r="59" ht="15" customHeight="1" s="58">
      <c r="A59" s="54" t="n"/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40" t="n"/>
      <c r="L59" s="40" t="n"/>
      <c r="M59" s="50">
        <f>IF($A59="","",IF($D59&lt;&gt;"SÍ","",COUNTIFS($C$2:C59,C59,$D$2:D59,"SÍ")))</f>
        <v/>
      </c>
      <c r="N59" s="40">
        <f>IF(M59="","",C59&amp;"|"&amp;M59)</f>
        <v/>
      </c>
    </row>
    <row r="60" ht="15" customHeight="1" s="58">
      <c r="A60" s="54" t="n"/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40" t="n"/>
      <c r="L60" s="40" t="n"/>
      <c r="M60" s="50">
        <f>IF($A60="","",IF($D60&lt;&gt;"SÍ","",COUNTIFS($C$2:C60,C60,$D$2:D60,"SÍ")))</f>
        <v/>
      </c>
      <c r="N60" s="40">
        <f>IF(M60="","",C60&amp;"|"&amp;M60)</f>
        <v/>
      </c>
    </row>
    <row r="61" ht="15" customHeight="1" s="58">
      <c r="A61" s="54" t="n"/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40" t="n"/>
      <c r="L61" s="40" t="n"/>
      <c r="M61" s="50">
        <f>IF($A61="","",IF($D61&lt;&gt;"SÍ","",COUNTIFS($C$2:C61,C61,$D$2:D61,"SÍ")))</f>
        <v/>
      </c>
      <c r="N61" s="40">
        <f>IF(M61="","",C61&amp;"|"&amp;M61)</f>
        <v/>
      </c>
    </row>
    <row r="62" ht="15" customHeight="1" s="58">
      <c r="A62" s="54" t="n"/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40" t="n"/>
      <c r="L62" s="40" t="n"/>
      <c r="M62" s="50">
        <f>IF($A62="","",IF($D62&lt;&gt;"SÍ","",COUNTIFS($C$2:C62,C62,$D$2:D62,"SÍ")))</f>
        <v/>
      </c>
      <c r="N62" s="40">
        <f>IF(M62="","",C62&amp;"|"&amp;M62)</f>
        <v/>
      </c>
    </row>
    <row r="63" ht="15" customHeight="1" s="58">
      <c r="A63" s="54" t="n"/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40" t="n"/>
      <c r="L63" s="40" t="n"/>
      <c r="M63" s="50">
        <f>IF($A63="","",IF($D63&lt;&gt;"SÍ","",COUNTIFS($C$2:C63,C63,$D$2:D63,"SÍ")))</f>
        <v/>
      </c>
      <c r="N63" s="40">
        <f>IF(M63="","",C63&amp;"|"&amp;M63)</f>
        <v/>
      </c>
    </row>
    <row r="64" ht="15" customHeight="1" s="58">
      <c r="A64" s="54" t="n"/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40" t="n"/>
      <c r="L64" s="40" t="n"/>
      <c r="M64" s="50">
        <f>IF($A64="","",IF($D64&lt;&gt;"SÍ","",COUNTIFS($C$2:C64,C64,$D$2:D64,"SÍ")))</f>
        <v/>
      </c>
      <c r="N64" s="40">
        <f>IF(M64="","",C64&amp;"|"&amp;M64)</f>
        <v/>
      </c>
    </row>
    <row r="65" ht="15" customHeight="1" s="58">
      <c r="A65" s="54" t="n"/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40" t="n"/>
      <c r="L65" s="40" t="n"/>
      <c r="M65" s="50">
        <f>IF($A65="","",IF($D65&lt;&gt;"SÍ","",COUNTIFS($C$2:C65,C65,$D$2:D65,"SÍ")))</f>
        <v/>
      </c>
      <c r="N65" s="40">
        <f>IF(M65="","",C65&amp;"|"&amp;M65)</f>
        <v/>
      </c>
    </row>
    <row r="66" ht="15" customHeight="1" s="58">
      <c r="A66" s="54" t="n"/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40" t="n"/>
      <c r="L66" s="40" t="n"/>
      <c r="M66" s="50">
        <f>IF($A66="","",IF($D66&lt;&gt;"SÍ","",COUNTIFS($C$2:C66,C66,$D$2:D66,"SÍ")))</f>
        <v/>
      </c>
      <c r="N66" s="40">
        <f>IF(M66="","",C66&amp;"|"&amp;M66)</f>
        <v/>
      </c>
    </row>
    <row r="67" ht="15" customHeight="1" s="58">
      <c r="A67" s="54" t="n"/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40" t="n"/>
      <c r="L67" s="40" t="n"/>
      <c r="M67" s="50">
        <f>IF($A67="","",IF($D67&lt;&gt;"SÍ","",COUNTIFS($C$2:C67,C67,$D$2:D67,"SÍ")))</f>
        <v/>
      </c>
      <c r="N67" s="40">
        <f>IF(M67="","",C67&amp;"|"&amp;M67)</f>
        <v/>
      </c>
    </row>
    <row r="68" ht="15" customHeight="1" s="58">
      <c r="A68" s="54" t="n"/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40" t="n"/>
      <c r="L68" s="40" t="n"/>
      <c r="M68" s="50">
        <f>IF($A68="","",IF($D68&lt;&gt;"SÍ","",COUNTIFS($C$2:C68,C68,$D$2:D68,"SÍ")))</f>
        <v/>
      </c>
      <c r="N68" s="40">
        <f>IF(M68="","",C68&amp;"|"&amp;M68)</f>
        <v/>
      </c>
    </row>
    <row r="69" ht="15" customHeight="1" s="58">
      <c r="A69" s="54" t="n"/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40" t="n"/>
      <c r="L69" s="40" t="n"/>
      <c r="M69" s="50">
        <f>IF($A69="","",IF($D69&lt;&gt;"SÍ","",COUNTIFS($C$2:C69,C69,$D$2:D69,"SÍ")))</f>
        <v/>
      </c>
      <c r="N69" s="40">
        <f>IF(M69="","",C69&amp;"|"&amp;M69)</f>
        <v/>
      </c>
    </row>
    <row r="70" ht="15" customHeight="1" s="58">
      <c r="A70" s="54" t="n"/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40" t="n"/>
      <c r="L70" s="40" t="n"/>
      <c r="M70" s="50">
        <f>IF($A70="","",IF($D70&lt;&gt;"SÍ","",COUNTIFS($C$2:C70,C70,$D$2:D70,"SÍ")))</f>
        <v/>
      </c>
      <c r="N70" s="40">
        <f>IF(M70="","",C70&amp;"|"&amp;M70)</f>
        <v/>
      </c>
    </row>
    <row r="71" ht="15" customHeight="1" s="58">
      <c r="A71" s="54" t="n"/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40" t="n"/>
      <c r="L71" s="40" t="n"/>
      <c r="M71" s="50">
        <f>IF($A71="","",IF($D71&lt;&gt;"SÍ","",COUNTIFS($C$2:C71,C71,$D$2:D71,"SÍ")))</f>
        <v/>
      </c>
      <c r="N71" s="40">
        <f>IF(M71="","",C71&amp;"|"&amp;M71)</f>
        <v/>
      </c>
    </row>
    <row r="72" ht="15" customHeight="1" s="58">
      <c r="A72" s="54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50">
        <f>IF($A72="","",IF($D72&lt;&gt;"SÍ","",COUNTIFS($C$2:C72,C72,$D$2:D72,"SÍ")))</f>
        <v/>
      </c>
      <c r="N72" s="40">
        <f>IF(M72="","",C72&amp;"|"&amp;M72)</f>
        <v/>
      </c>
    </row>
    <row r="73" ht="15" customHeight="1" s="58">
      <c r="A73" s="54" t="n"/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40" t="n"/>
      <c r="L73" s="40" t="n"/>
      <c r="M73" s="50">
        <f>IF($A73="","",IF($D73&lt;&gt;"SÍ","",COUNTIFS($C$2:C73,C73,$D$2:D73,"SÍ")))</f>
        <v/>
      </c>
      <c r="N73" s="40">
        <f>IF(M73="","",C73&amp;"|"&amp;M73)</f>
        <v/>
      </c>
    </row>
    <row r="74" ht="15" customHeight="1" s="58">
      <c r="A74" s="54" t="n"/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40" t="n"/>
      <c r="L74" s="40" t="n"/>
      <c r="M74" s="50">
        <f>IF($A74="","",IF($D74&lt;&gt;"SÍ","",COUNTIFS($C$2:C74,C74,$D$2:D74,"SÍ")))</f>
        <v/>
      </c>
      <c r="N74" s="40">
        <f>IF(M74="","",C74&amp;"|"&amp;M74)</f>
        <v/>
      </c>
    </row>
    <row r="75" ht="15" customHeight="1" s="58">
      <c r="A75" s="54" t="n"/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40" t="n"/>
      <c r="L75" s="40" t="n"/>
      <c r="M75" s="50">
        <f>IF($A75="","",IF($D75&lt;&gt;"SÍ","",COUNTIFS($C$2:C75,C75,$D$2:D75,"SÍ")))</f>
        <v/>
      </c>
      <c r="N75" s="40">
        <f>IF(M75="","",C75&amp;"|"&amp;M75)</f>
        <v/>
      </c>
    </row>
    <row r="76" ht="15" customHeight="1" s="58">
      <c r="A76" s="54" t="n"/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40" t="n"/>
      <c r="L76" s="40" t="n"/>
      <c r="M76" s="50">
        <f>IF($A76="","",IF($D76&lt;&gt;"SÍ","",COUNTIFS($C$2:C76,C76,$D$2:D76,"SÍ")))</f>
        <v/>
      </c>
      <c r="N76" s="40">
        <f>IF(M76="","",C76&amp;"|"&amp;M76)</f>
        <v/>
      </c>
    </row>
    <row r="77" ht="15" customHeight="1" s="58">
      <c r="A77" s="54" t="n"/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40" t="n"/>
      <c r="L77" s="40" t="n"/>
      <c r="M77" s="50">
        <f>IF($A77="","",IF($D77&lt;&gt;"SÍ","",COUNTIFS($C$2:C77,C77,$D$2:D77,"SÍ")))</f>
        <v/>
      </c>
      <c r="N77" s="40">
        <f>IF(M77="","",C77&amp;"|"&amp;M77)</f>
        <v/>
      </c>
    </row>
    <row r="78" ht="15" customHeight="1" s="58">
      <c r="A78" s="54" t="n"/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40" t="n"/>
      <c r="L78" s="40" t="n"/>
      <c r="M78" s="50">
        <f>IF($A78="","",IF($D78&lt;&gt;"SÍ","",COUNTIFS($C$2:C78,C78,$D$2:D78,"SÍ")))</f>
        <v/>
      </c>
      <c r="N78" s="40">
        <f>IF(M78="","",C78&amp;"|"&amp;M78)</f>
        <v/>
      </c>
    </row>
    <row r="79" ht="15" customHeight="1" s="58">
      <c r="A79" s="54" t="n"/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40" t="n"/>
      <c r="L79" s="40" t="n"/>
      <c r="M79" s="50">
        <f>IF($A79="","",IF($D79&lt;&gt;"SÍ","",COUNTIFS($C$2:C79,C79,$D$2:D79,"SÍ")))</f>
        <v/>
      </c>
      <c r="N79" s="40">
        <f>IF(M79="","",C79&amp;"|"&amp;M79)</f>
        <v/>
      </c>
    </row>
    <row r="80" ht="15" customHeight="1" s="58">
      <c r="A80" s="54" t="n"/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40" t="n"/>
      <c r="L80" s="40" t="n"/>
      <c r="M80" s="50">
        <f>IF($A80="","",IF($D80&lt;&gt;"SÍ","",COUNTIFS($C$2:C80,C80,$D$2:D80,"SÍ")))</f>
        <v/>
      </c>
      <c r="N80" s="40">
        <f>IF(M80="","",C80&amp;"|"&amp;M80)</f>
        <v/>
      </c>
    </row>
    <row r="81" ht="15.75" customHeight="1" s="58">
      <c r="A81" s="40" t="n"/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</row>
    <row r="82" ht="15.75" customHeight="1" s="58">
      <c r="A82" s="40" t="n"/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40" t="n"/>
      <c r="L82" s="40" t="n"/>
      <c r="M82" s="40" t="n"/>
      <c r="N82" s="40" t="n"/>
    </row>
    <row r="83" ht="15.75" customHeight="1" s="58">
      <c r="A83" s="40" t="n"/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</row>
    <row r="84" ht="15.75" customHeight="1" s="58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</row>
    <row r="85" ht="15.75" customHeight="1" s="58">
      <c r="A85" s="40" t="n"/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</row>
    <row r="86" ht="15.75" customHeight="1" s="58">
      <c r="A86" s="40" t="n"/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40" t="n"/>
      <c r="L86" s="40" t="n"/>
      <c r="M86" s="40" t="n"/>
      <c r="N86" s="40" t="n"/>
    </row>
    <row r="87" ht="15.75" customHeight="1" s="58">
      <c r="A87" s="40" t="n"/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</row>
    <row r="88" ht="15.75" customHeight="1" s="58">
      <c r="A88" s="40" t="n"/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40" t="n"/>
      <c r="L88" s="40" t="n"/>
      <c r="M88" s="40" t="n"/>
      <c r="N88" s="40" t="n"/>
    </row>
    <row r="89" ht="15.75" customHeight="1" s="58">
      <c r="A89" s="40" t="n"/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</row>
    <row r="90" ht="15.75" customHeight="1" s="58">
      <c r="A90" s="40" t="n"/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40" t="n"/>
      <c r="L90" s="40" t="n"/>
      <c r="M90" s="40" t="n"/>
      <c r="N90" s="40" t="n"/>
    </row>
    <row r="91" ht="15.75" customHeight="1" s="58">
      <c r="A91" s="40" t="n"/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</row>
    <row r="92" ht="15.75" customHeight="1" s="58">
      <c r="A92" s="40" t="n"/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40" t="n"/>
      <c r="L92" s="40" t="n"/>
      <c r="M92" s="40" t="n"/>
      <c r="N92" s="40" t="n"/>
    </row>
    <row r="93" ht="15.75" customHeight="1" s="58">
      <c r="A93" s="40" t="n"/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</row>
    <row r="94" ht="15.75" customHeight="1" s="58">
      <c r="A94" s="40" t="n"/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40" t="n"/>
      <c r="L94" s="40" t="n"/>
      <c r="M94" s="40" t="n"/>
      <c r="N94" s="40" t="n"/>
    </row>
    <row r="95" ht="15.75" customHeight="1" s="58">
      <c r="A95" s="40" t="n"/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</row>
    <row r="96" ht="15.75" customHeight="1" s="58">
      <c r="A96" s="40" t="n"/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40" t="n"/>
      <c r="L96" s="40" t="n"/>
      <c r="M96" s="40" t="n"/>
      <c r="N96" s="40" t="n"/>
    </row>
    <row r="97" ht="15.75" customHeight="1" s="58">
      <c r="A97" s="40" t="n"/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</row>
    <row r="98" ht="15.75" customHeight="1" s="58">
      <c r="A98" s="40" t="n"/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40" t="n"/>
      <c r="L98" s="40" t="n"/>
      <c r="M98" s="40" t="n"/>
      <c r="N98" s="40" t="n"/>
    </row>
    <row r="99" ht="15.75" customHeight="1" s="58">
      <c r="A99" s="40" t="n"/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</row>
    <row r="100" ht="15.75" customHeight="1" s="58">
      <c r="A100" s="40" t="n"/>
      <c r="B100" s="40" t="n"/>
      <c r="C100" s="40" t="n"/>
      <c r="D100" s="40" t="n"/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</row>
    <row r="101" ht="15.75" customHeight="1" s="58">
      <c r="A101" s="40" t="n"/>
      <c r="B101" s="40" t="n"/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</row>
    <row r="102" ht="15.75" customHeight="1" s="58">
      <c r="A102" s="40" t="n"/>
      <c r="B102" s="40" t="n"/>
      <c r="C102" s="40" t="n"/>
      <c r="D102" s="40" t="n"/>
      <c r="E102" s="40" t="n"/>
      <c r="F102" s="40" t="n"/>
      <c r="G102" s="40" t="n"/>
      <c r="H102" s="40" t="n"/>
      <c r="I102" s="40" t="n"/>
      <c r="J102" s="40" t="n"/>
      <c r="K102" s="40" t="n"/>
      <c r="L102" s="40" t="n"/>
      <c r="M102" s="40" t="n"/>
      <c r="N102" s="40" t="n"/>
    </row>
    <row r="103" ht="15.75" customHeight="1" s="58">
      <c r="A103" s="40" t="n"/>
      <c r="B103" s="40" t="n"/>
      <c r="C103" s="40" t="n"/>
      <c r="D103" s="40" t="n"/>
      <c r="E103" s="40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</row>
    <row r="104" ht="15.75" customHeight="1" s="58">
      <c r="A104" s="40" t="n"/>
      <c r="B104" s="40" t="n"/>
      <c r="C104" s="40" t="n"/>
      <c r="D104" s="40" t="n"/>
      <c r="E104" s="40" t="n"/>
      <c r="F104" s="40" t="n"/>
      <c r="G104" s="40" t="n"/>
      <c r="H104" s="40" t="n"/>
      <c r="I104" s="40" t="n"/>
      <c r="J104" s="40" t="n"/>
      <c r="K104" s="40" t="n"/>
      <c r="L104" s="40" t="n"/>
      <c r="M104" s="40" t="n"/>
      <c r="N104" s="40" t="n"/>
    </row>
    <row r="105" ht="15.75" customHeight="1" s="58">
      <c r="A105" s="40" t="n"/>
      <c r="B105" s="40" t="n"/>
      <c r="C105" s="40" t="n"/>
      <c r="D105" s="40" t="n"/>
      <c r="E105" s="40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</row>
    <row r="106" ht="15.75" customHeight="1" s="58">
      <c r="A106" s="40" t="n"/>
      <c r="B106" s="40" t="n"/>
      <c r="C106" s="40" t="n"/>
      <c r="D106" s="40" t="n"/>
      <c r="E106" s="40" t="n"/>
      <c r="F106" s="40" t="n"/>
      <c r="G106" s="40" t="n"/>
      <c r="H106" s="40" t="n"/>
      <c r="I106" s="40" t="n"/>
      <c r="J106" s="40" t="n"/>
      <c r="K106" s="40" t="n"/>
      <c r="L106" s="40" t="n"/>
      <c r="M106" s="40" t="n"/>
      <c r="N106" s="40" t="n"/>
    </row>
    <row r="107" ht="15.75" customHeight="1" s="58">
      <c r="A107" s="40" t="n"/>
      <c r="B107" s="40" t="n"/>
      <c r="C107" s="40" t="n"/>
      <c r="D107" s="40" t="n"/>
      <c r="E107" s="40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</row>
    <row r="108" ht="15.75" customHeight="1" s="58">
      <c r="A108" s="40" t="n"/>
      <c r="B108" s="40" t="n"/>
      <c r="C108" s="40" t="n"/>
      <c r="D108" s="40" t="n"/>
      <c r="E108" s="40" t="n"/>
      <c r="F108" s="40" t="n"/>
      <c r="G108" s="40" t="n"/>
      <c r="H108" s="40" t="n"/>
      <c r="I108" s="40" t="n"/>
      <c r="J108" s="40" t="n"/>
      <c r="K108" s="40" t="n"/>
      <c r="L108" s="40" t="n"/>
      <c r="M108" s="40" t="n"/>
      <c r="N108" s="40" t="n"/>
    </row>
    <row r="109" ht="15.75" customHeight="1" s="58">
      <c r="A109" s="40" t="n"/>
      <c r="B109" s="40" t="n"/>
      <c r="C109" s="40" t="n"/>
      <c r="D109" s="40" t="n"/>
      <c r="E109" s="40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</row>
    <row r="110" ht="15.75" customHeight="1" s="58">
      <c r="A110" s="40" t="n"/>
      <c r="B110" s="40" t="n"/>
      <c r="C110" s="40" t="n"/>
      <c r="D110" s="40" t="n"/>
      <c r="E110" s="40" t="n"/>
      <c r="F110" s="40" t="n"/>
      <c r="G110" s="40" t="n"/>
      <c r="H110" s="40" t="n"/>
      <c r="I110" s="40" t="n"/>
      <c r="J110" s="40" t="n"/>
      <c r="K110" s="40" t="n"/>
      <c r="L110" s="40" t="n"/>
      <c r="M110" s="40" t="n"/>
      <c r="N110" s="40" t="n"/>
    </row>
    <row r="111" ht="15.75" customHeight="1" s="58">
      <c r="A111" s="40" t="n"/>
      <c r="B111" s="40" t="n"/>
      <c r="C111" s="40" t="n"/>
      <c r="D111" s="40" t="n"/>
      <c r="E111" s="40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</row>
    <row r="112" ht="15.75" customHeight="1" s="58">
      <c r="A112" s="40" t="n"/>
      <c r="B112" s="40" t="n"/>
      <c r="C112" s="40" t="n"/>
      <c r="D112" s="40" t="n"/>
      <c r="E112" s="40" t="n"/>
      <c r="F112" s="40" t="n"/>
      <c r="G112" s="40" t="n"/>
      <c r="H112" s="40" t="n"/>
      <c r="I112" s="40" t="n"/>
      <c r="J112" s="40" t="n"/>
      <c r="K112" s="40" t="n"/>
      <c r="L112" s="40" t="n"/>
      <c r="M112" s="40" t="n"/>
      <c r="N112" s="40" t="n"/>
    </row>
    <row r="113" ht="15.75" customHeight="1" s="58">
      <c r="A113" s="40" t="n"/>
      <c r="B113" s="40" t="n"/>
      <c r="C113" s="40" t="n"/>
      <c r="D113" s="40" t="n"/>
      <c r="E113" s="40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</row>
    <row r="114" ht="15.75" customHeight="1" s="58">
      <c r="A114" s="40" t="n"/>
      <c r="B114" s="40" t="n"/>
      <c r="C114" s="40" t="n"/>
      <c r="D114" s="40" t="n"/>
      <c r="E114" s="40" t="n"/>
      <c r="F114" s="40" t="n"/>
      <c r="G114" s="40" t="n"/>
      <c r="H114" s="40" t="n"/>
      <c r="I114" s="40" t="n"/>
      <c r="J114" s="40" t="n"/>
      <c r="K114" s="40" t="n"/>
      <c r="L114" s="40" t="n"/>
      <c r="M114" s="40" t="n"/>
      <c r="N114" s="40" t="n"/>
    </row>
    <row r="115" ht="15.75" customHeight="1" s="58">
      <c r="A115" s="40" t="n"/>
      <c r="B115" s="40" t="n"/>
      <c r="C115" s="40" t="n"/>
      <c r="D115" s="40" t="n"/>
      <c r="E115" s="40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</row>
    <row r="116" ht="15.75" customHeight="1" s="58">
      <c r="A116" s="40" t="n"/>
      <c r="B116" s="40" t="n"/>
      <c r="C116" s="40" t="n"/>
      <c r="D116" s="40" t="n"/>
      <c r="E116" s="40" t="n"/>
      <c r="F116" s="40" t="n"/>
      <c r="G116" s="40" t="n"/>
      <c r="H116" s="40" t="n"/>
      <c r="I116" s="40" t="n"/>
      <c r="J116" s="40" t="n"/>
      <c r="K116" s="40" t="n"/>
      <c r="L116" s="40" t="n"/>
      <c r="M116" s="40" t="n"/>
      <c r="N116" s="40" t="n"/>
    </row>
    <row r="117" ht="15.75" customHeight="1" s="58">
      <c r="A117" s="40" t="n"/>
      <c r="B117" s="40" t="n"/>
      <c r="C117" s="40" t="n"/>
      <c r="D117" s="40" t="n"/>
      <c r="E117" s="40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</row>
    <row r="118" ht="15.75" customHeight="1" s="58">
      <c r="A118" s="40" t="n"/>
      <c r="B118" s="40" t="n"/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</row>
    <row r="119" ht="15.75" customHeight="1" s="58">
      <c r="A119" s="40" t="n"/>
      <c r="B119" s="40" t="n"/>
      <c r="C119" s="40" t="n"/>
      <c r="D119" s="40" t="n"/>
      <c r="E119" s="40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</row>
    <row r="120" ht="15.75" customHeight="1" s="58">
      <c r="A120" s="40" t="n"/>
      <c r="B120" s="40" t="n"/>
      <c r="C120" s="40" t="n"/>
      <c r="D120" s="40" t="n"/>
      <c r="E120" s="40" t="n"/>
      <c r="F120" s="40" t="n"/>
      <c r="G120" s="40" t="n"/>
      <c r="H120" s="40" t="n"/>
      <c r="I120" s="40" t="n"/>
      <c r="J120" s="40" t="n"/>
      <c r="K120" s="40" t="n"/>
      <c r="L120" s="40" t="n"/>
      <c r="M120" s="40" t="n"/>
      <c r="N120" s="40" t="n"/>
    </row>
    <row r="121" ht="15.75" customHeight="1" s="58">
      <c r="A121" s="40" t="n"/>
      <c r="B121" s="40" t="n"/>
      <c r="C121" s="40" t="n"/>
      <c r="D121" s="40" t="n"/>
      <c r="E121" s="40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</row>
    <row r="122" ht="15.75" customHeight="1" s="58">
      <c r="A122" s="40" t="n"/>
      <c r="B122" s="40" t="n"/>
      <c r="C122" s="40" t="n"/>
      <c r="D122" s="40" t="n"/>
      <c r="E122" s="40" t="n"/>
      <c r="F122" s="40" t="n"/>
      <c r="G122" s="40" t="n"/>
      <c r="H122" s="40" t="n"/>
      <c r="I122" s="40" t="n"/>
      <c r="J122" s="40" t="n"/>
      <c r="K122" s="40" t="n"/>
      <c r="L122" s="40" t="n"/>
      <c r="M122" s="40" t="n"/>
      <c r="N122" s="40" t="n"/>
    </row>
    <row r="123" ht="15.75" customHeight="1" s="58">
      <c r="A123" s="40" t="n"/>
      <c r="B123" s="40" t="n"/>
      <c r="C123" s="40" t="n"/>
      <c r="D123" s="40" t="n"/>
      <c r="E123" s="40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</row>
    <row r="124" ht="15.75" customHeight="1" s="58">
      <c r="A124" s="40" t="n"/>
      <c r="B124" s="40" t="n"/>
      <c r="C124" s="40" t="n"/>
      <c r="D124" s="40" t="n"/>
      <c r="E124" s="40" t="n"/>
      <c r="F124" s="40" t="n"/>
      <c r="G124" s="40" t="n"/>
      <c r="H124" s="40" t="n"/>
      <c r="I124" s="40" t="n"/>
      <c r="J124" s="40" t="n"/>
      <c r="K124" s="40" t="n"/>
      <c r="L124" s="40" t="n"/>
      <c r="M124" s="40" t="n"/>
      <c r="N124" s="40" t="n"/>
    </row>
    <row r="125" ht="15.75" customHeight="1" s="58">
      <c r="A125" s="40" t="n"/>
      <c r="B125" s="40" t="n"/>
      <c r="C125" s="40" t="n"/>
      <c r="D125" s="40" t="n"/>
      <c r="E125" s="40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</row>
    <row r="126" ht="15.75" customHeight="1" s="58">
      <c r="A126" s="40" t="n"/>
      <c r="B126" s="40" t="n"/>
      <c r="C126" s="40" t="n"/>
      <c r="D126" s="40" t="n"/>
      <c r="E126" s="40" t="n"/>
      <c r="F126" s="40" t="n"/>
      <c r="G126" s="40" t="n"/>
      <c r="H126" s="40" t="n"/>
      <c r="I126" s="40" t="n"/>
      <c r="J126" s="40" t="n"/>
      <c r="K126" s="40" t="n"/>
      <c r="L126" s="40" t="n"/>
      <c r="M126" s="40" t="n"/>
      <c r="N126" s="40" t="n"/>
    </row>
    <row r="127" ht="15.75" customHeight="1" s="58">
      <c r="A127" s="40" t="n"/>
      <c r="B127" s="40" t="n"/>
      <c r="C127" s="40" t="n"/>
      <c r="D127" s="40" t="n"/>
      <c r="E127" s="40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</row>
    <row r="128" ht="15.75" customHeight="1" s="58">
      <c r="A128" s="40" t="n"/>
      <c r="B128" s="40" t="n"/>
      <c r="C128" s="40" t="n"/>
      <c r="D128" s="40" t="n"/>
      <c r="E128" s="40" t="n"/>
      <c r="F128" s="40" t="n"/>
      <c r="G128" s="40" t="n"/>
      <c r="H128" s="40" t="n"/>
      <c r="I128" s="40" t="n"/>
      <c r="J128" s="40" t="n"/>
      <c r="K128" s="40" t="n"/>
      <c r="L128" s="40" t="n"/>
      <c r="M128" s="40" t="n"/>
      <c r="N128" s="40" t="n"/>
    </row>
    <row r="129" ht="15.75" customHeight="1" s="58">
      <c r="A129" s="40" t="n"/>
      <c r="B129" s="40" t="n"/>
      <c r="C129" s="40" t="n"/>
      <c r="D129" s="40" t="n"/>
      <c r="E129" s="40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</row>
    <row r="130" ht="15.75" customHeight="1" s="58">
      <c r="A130" s="40" t="n"/>
      <c r="B130" s="40" t="n"/>
      <c r="C130" s="40" t="n"/>
      <c r="D130" s="40" t="n"/>
      <c r="E130" s="40" t="n"/>
      <c r="F130" s="40" t="n"/>
      <c r="G130" s="40" t="n"/>
      <c r="H130" s="40" t="n"/>
      <c r="I130" s="40" t="n"/>
      <c r="J130" s="40" t="n"/>
      <c r="K130" s="40" t="n"/>
      <c r="L130" s="40" t="n"/>
      <c r="M130" s="40" t="n"/>
      <c r="N130" s="40" t="n"/>
    </row>
    <row r="131" ht="15.75" customHeight="1" s="58">
      <c r="A131" s="40" t="n"/>
      <c r="B131" s="40" t="n"/>
      <c r="C131" s="40" t="n"/>
      <c r="D131" s="40" t="n"/>
      <c r="E131" s="40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</row>
    <row r="132" ht="15.75" customHeight="1" s="58">
      <c r="A132" s="40" t="n"/>
      <c r="B132" s="40" t="n"/>
      <c r="C132" s="40" t="n"/>
      <c r="D132" s="40" t="n"/>
      <c r="E132" s="40" t="n"/>
      <c r="F132" s="40" t="n"/>
      <c r="G132" s="40" t="n"/>
      <c r="H132" s="40" t="n"/>
      <c r="I132" s="40" t="n"/>
      <c r="J132" s="40" t="n"/>
      <c r="K132" s="40" t="n"/>
      <c r="L132" s="40" t="n"/>
      <c r="M132" s="40" t="n"/>
      <c r="N132" s="40" t="n"/>
    </row>
    <row r="133" ht="15.75" customHeight="1" s="58">
      <c r="A133" s="40" t="n"/>
      <c r="B133" s="40" t="n"/>
      <c r="C133" s="40" t="n"/>
      <c r="D133" s="40" t="n"/>
      <c r="E133" s="40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</row>
    <row r="134" ht="15.75" customHeight="1" s="58">
      <c r="A134" s="40" t="n"/>
      <c r="B134" s="40" t="n"/>
      <c r="C134" s="40" t="n"/>
      <c r="D134" s="40" t="n"/>
      <c r="E134" s="40" t="n"/>
      <c r="F134" s="40" t="n"/>
      <c r="G134" s="40" t="n"/>
      <c r="H134" s="40" t="n"/>
      <c r="I134" s="40" t="n"/>
      <c r="J134" s="40" t="n"/>
      <c r="K134" s="40" t="n"/>
      <c r="L134" s="40" t="n"/>
      <c r="M134" s="40" t="n"/>
      <c r="N134" s="40" t="n"/>
    </row>
    <row r="135" ht="15.75" customHeight="1" s="58">
      <c r="A135" s="40" t="n"/>
      <c r="B135" s="40" t="n"/>
      <c r="C135" s="40" t="n"/>
      <c r="D135" s="40" t="n"/>
      <c r="E135" s="40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</row>
    <row r="136" ht="15.75" customHeight="1" s="58">
      <c r="A136" s="40" t="n"/>
      <c r="B136" s="40" t="n"/>
      <c r="C136" s="40" t="n"/>
      <c r="D136" s="40" t="n"/>
      <c r="E136" s="40" t="n"/>
      <c r="F136" s="40" t="n"/>
      <c r="G136" s="40" t="n"/>
      <c r="H136" s="40" t="n"/>
      <c r="I136" s="40" t="n"/>
      <c r="J136" s="40" t="n"/>
      <c r="K136" s="40" t="n"/>
      <c r="L136" s="40" t="n"/>
      <c r="M136" s="40" t="n"/>
      <c r="N136" s="40" t="n"/>
    </row>
    <row r="137" ht="15.75" customHeight="1" s="58">
      <c r="A137" s="40" t="n"/>
      <c r="B137" s="40" t="n"/>
      <c r="C137" s="40" t="n"/>
      <c r="D137" s="40" t="n"/>
      <c r="E137" s="40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</row>
    <row r="138" ht="15.75" customHeight="1" s="58">
      <c r="A138" s="40" t="n"/>
      <c r="B138" s="40" t="n"/>
      <c r="C138" s="40" t="n"/>
      <c r="D138" s="40" t="n"/>
      <c r="E138" s="40" t="n"/>
      <c r="F138" s="40" t="n"/>
      <c r="G138" s="40" t="n"/>
      <c r="H138" s="40" t="n"/>
      <c r="I138" s="40" t="n"/>
      <c r="J138" s="40" t="n"/>
      <c r="K138" s="40" t="n"/>
      <c r="L138" s="40" t="n"/>
      <c r="M138" s="40" t="n"/>
      <c r="N138" s="40" t="n"/>
    </row>
    <row r="139" ht="15.75" customHeight="1" s="58">
      <c r="A139" s="40" t="n"/>
      <c r="B139" s="40" t="n"/>
      <c r="C139" s="40" t="n"/>
      <c r="D139" s="40" t="n"/>
      <c r="E139" s="40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</row>
    <row r="140" ht="15.75" customHeight="1" s="58">
      <c r="A140" s="40" t="n"/>
      <c r="B140" s="40" t="n"/>
      <c r="C140" s="40" t="n"/>
      <c r="D140" s="40" t="n"/>
      <c r="E140" s="40" t="n"/>
      <c r="F140" s="40" t="n"/>
      <c r="G140" s="40" t="n"/>
      <c r="H140" s="40" t="n"/>
      <c r="I140" s="40" t="n"/>
      <c r="J140" s="40" t="n"/>
      <c r="K140" s="40" t="n"/>
      <c r="L140" s="40" t="n"/>
      <c r="M140" s="40" t="n"/>
      <c r="N140" s="40" t="n"/>
    </row>
    <row r="141" ht="15.75" customHeight="1" s="58">
      <c r="A141" s="40" t="n"/>
      <c r="B141" s="40" t="n"/>
      <c r="C141" s="40" t="n"/>
      <c r="D141" s="40" t="n"/>
      <c r="E141" s="40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</row>
    <row r="142" ht="15.75" customHeight="1" s="58">
      <c r="A142" s="40" t="n"/>
      <c r="B142" s="40" t="n"/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</row>
    <row r="143" ht="15.75" customHeight="1" s="58">
      <c r="A143" s="40" t="n"/>
      <c r="B143" s="40" t="n"/>
      <c r="C143" s="40" t="n"/>
      <c r="D143" s="40" t="n"/>
      <c r="E143" s="40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</row>
    <row r="144" ht="15.75" customHeight="1" s="58">
      <c r="A144" s="40" t="n"/>
      <c r="B144" s="40" t="n"/>
      <c r="C144" s="40" t="n"/>
      <c r="D144" s="40" t="n"/>
      <c r="E144" s="40" t="n"/>
      <c r="F144" s="40" t="n"/>
      <c r="G144" s="40" t="n"/>
      <c r="H144" s="40" t="n"/>
      <c r="I144" s="40" t="n"/>
      <c r="J144" s="40" t="n"/>
      <c r="K144" s="40" t="n"/>
      <c r="L144" s="40" t="n"/>
      <c r="M144" s="40" t="n"/>
      <c r="N144" s="40" t="n"/>
    </row>
    <row r="145" ht="15.75" customHeight="1" s="58">
      <c r="A145" s="40" t="n"/>
      <c r="B145" s="40" t="n"/>
      <c r="C145" s="40" t="n"/>
      <c r="D145" s="40" t="n"/>
      <c r="E145" s="40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</row>
    <row r="146" ht="15.75" customHeight="1" s="58">
      <c r="A146" s="40" t="n"/>
      <c r="B146" s="40" t="n"/>
      <c r="C146" s="40" t="n"/>
      <c r="D146" s="40" t="n"/>
      <c r="E146" s="40" t="n"/>
      <c r="F146" s="40" t="n"/>
      <c r="G146" s="40" t="n"/>
      <c r="H146" s="40" t="n"/>
      <c r="I146" s="40" t="n"/>
      <c r="J146" s="40" t="n"/>
      <c r="K146" s="40" t="n"/>
      <c r="L146" s="40" t="n"/>
      <c r="M146" s="40" t="n"/>
      <c r="N146" s="40" t="n"/>
    </row>
    <row r="147" ht="15.75" customHeight="1" s="58">
      <c r="A147" s="40" t="n"/>
      <c r="B147" s="40" t="n"/>
      <c r="C147" s="40" t="n"/>
      <c r="D147" s="40" t="n"/>
      <c r="E147" s="40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</row>
    <row r="148" ht="15.75" customHeight="1" s="58">
      <c r="A148" s="40" t="n"/>
      <c r="B148" s="40" t="n"/>
      <c r="C148" s="40" t="n"/>
      <c r="D148" s="40" t="n"/>
      <c r="E148" s="40" t="n"/>
      <c r="F148" s="40" t="n"/>
      <c r="G148" s="40" t="n"/>
      <c r="H148" s="40" t="n"/>
      <c r="I148" s="40" t="n"/>
      <c r="J148" s="40" t="n"/>
      <c r="K148" s="40" t="n"/>
      <c r="L148" s="40" t="n"/>
      <c r="M148" s="40" t="n"/>
      <c r="N148" s="40" t="n"/>
    </row>
    <row r="149" ht="15.75" customHeight="1" s="58">
      <c r="A149" s="40" t="n"/>
      <c r="B149" s="40" t="n"/>
      <c r="C149" s="40" t="n"/>
      <c r="D149" s="40" t="n"/>
      <c r="E149" s="40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</row>
    <row r="150" ht="15.75" customHeight="1" s="58">
      <c r="A150" s="40" t="n"/>
      <c r="B150" s="40" t="n"/>
      <c r="C150" s="40" t="n"/>
      <c r="D150" s="40" t="n"/>
      <c r="E150" s="40" t="n"/>
      <c r="F150" s="40" t="n"/>
      <c r="G150" s="40" t="n"/>
      <c r="H150" s="40" t="n"/>
      <c r="I150" s="40" t="n"/>
      <c r="J150" s="40" t="n"/>
      <c r="K150" s="40" t="n"/>
      <c r="L150" s="40" t="n"/>
      <c r="M150" s="40" t="n"/>
      <c r="N150" s="40" t="n"/>
    </row>
    <row r="151" ht="15.75" customHeight="1" s="58">
      <c r="A151" s="40" t="n"/>
      <c r="B151" s="40" t="n"/>
      <c r="C151" s="40" t="n"/>
      <c r="D151" s="40" t="n"/>
      <c r="E151" s="40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</row>
    <row r="152" ht="15.75" customHeight="1" s="58">
      <c r="A152" s="40" t="n"/>
      <c r="B152" s="40" t="n"/>
      <c r="C152" s="40" t="n"/>
      <c r="D152" s="40" t="n"/>
      <c r="E152" s="40" t="n"/>
      <c r="F152" s="40" t="n"/>
      <c r="G152" s="40" t="n"/>
      <c r="H152" s="40" t="n"/>
      <c r="I152" s="40" t="n"/>
      <c r="J152" s="40" t="n"/>
      <c r="K152" s="40" t="n"/>
      <c r="L152" s="40" t="n"/>
      <c r="M152" s="40" t="n"/>
      <c r="N152" s="40" t="n"/>
    </row>
    <row r="153" ht="15.75" customHeight="1" s="58">
      <c r="A153" s="40" t="n"/>
      <c r="B153" s="40" t="n"/>
      <c r="C153" s="40" t="n"/>
      <c r="D153" s="40" t="n"/>
      <c r="E153" s="40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</row>
    <row r="154" ht="15.75" customHeight="1" s="58">
      <c r="A154" s="40" t="n"/>
      <c r="B154" s="40" t="n"/>
      <c r="C154" s="40" t="n"/>
      <c r="D154" s="40" t="n"/>
      <c r="E154" s="40" t="n"/>
      <c r="F154" s="40" t="n"/>
      <c r="G154" s="40" t="n"/>
      <c r="H154" s="40" t="n"/>
      <c r="I154" s="40" t="n"/>
      <c r="J154" s="40" t="n"/>
      <c r="K154" s="40" t="n"/>
      <c r="L154" s="40" t="n"/>
      <c r="M154" s="40" t="n"/>
      <c r="N154" s="40" t="n"/>
    </row>
    <row r="155" ht="15.75" customHeight="1" s="58">
      <c r="A155" s="40" t="n"/>
      <c r="B155" s="40" t="n"/>
      <c r="C155" s="40" t="n"/>
      <c r="D155" s="40" t="n"/>
      <c r="E155" s="40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</row>
    <row r="156" ht="15.75" customHeight="1" s="58">
      <c r="A156" s="40" t="n"/>
      <c r="B156" s="40" t="n"/>
      <c r="C156" s="40" t="n"/>
      <c r="D156" s="40" t="n"/>
      <c r="E156" s="40" t="n"/>
      <c r="F156" s="40" t="n"/>
      <c r="G156" s="40" t="n"/>
      <c r="H156" s="40" t="n"/>
      <c r="I156" s="40" t="n"/>
      <c r="J156" s="40" t="n"/>
      <c r="K156" s="40" t="n"/>
      <c r="L156" s="40" t="n"/>
      <c r="M156" s="40" t="n"/>
      <c r="N156" s="40" t="n"/>
    </row>
    <row r="157" ht="15.75" customHeight="1" s="58">
      <c r="A157" s="40" t="n"/>
      <c r="B157" s="40" t="n"/>
      <c r="C157" s="40" t="n"/>
      <c r="D157" s="40" t="n"/>
      <c r="E157" s="40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</row>
    <row r="158" ht="15.75" customHeight="1" s="58">
      <c r="A158" s="40" t="n"/>
      <c r="B158" s="40" t="n"/>
      <c r="C158" s="40" t="n"/>
      <c r="D158" s="40" t="n"/>
      <c r="E158" s="40" t="n"/>
      <c r="F158" s="40" t="n"/>
      <c r="G158" s="40" t="n"/>
      <c r="H158" s="40" t="n"/>
      <c r="I158" s="40" t="n"/>
      <c r="J158" s="40" t="n"/>
      <c r="K158" s="40" t="n"/>
      <c r="L158" s="40" t="n"/>
      <c r="M158" s="40" t="n"/>
      <c r="N158" s="40" t="n"/>
    </row>
    <row r="159" ht="15.75" customHeight="1" s="58">
      <c r="A159" s="40" t="n"/>
      <c r="B159" s="40" t="n"/>
      <c r="C159" s="40" t="n"/>
      <c r="D159" s="40" t="n"/>
      <c r="E159" s="40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</row>
    <row r="160" ht="15.75" customHeight="1" s="58">
      <c r="A160" s="40" t="n"/>
      <c r="B160" s="40" t="n"/>
      <c r="C160" s="40" t="n"/>
      <c r="D160" s="40" t="n"/>
      <c r="E160" s="40" t="n"/>
      <c r="F160" s="40" t="n"/>
      <c r="G160" s="40" t="n"/>
      <c r="H160" s="40" t="n"/>
      <c r="I160" s="40" t="n"/>
      <c r="J160" s="40" t="n"/>
      <c r="K160" s="40" t="n"/>
      <c r="L160" s="40" t="n"/>
      <c r="M160" s="40" t="n"/>
      <c r="N160" s="40" t="n"/>
    </row>
    <row r="161" ht="15.75" customHeight="1" s="58">
      <c r="A161" s="40" t="n"/>
      <c r="B161" s="40" t="n"/>
      <c r="C161" s="40" t="n"/>
      <c r="D161" s="40" t="n"/>
      <c r="E161" s="40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</row>
    <row r="162" ht="15.75" customHeight="1" s="58">
      <c r="A162" s="40" t="n"/>
      <c r="B162" s="40" t="n"/>
      <c r="C162" s="40" t="n"/>
      <c r="D162" s="40" t="n"/>
      <c r="E162" s="40" t="n"/>
      <c r="F162" s="40" t="n"/>
      <c r="G162" s="40" t="n"/>
      <c r="H162" s="40" t="n"/>
      <c r="I162" s="40" t="n"/>
      <c r="J162" s="40" t="n"/>
      <c r="K162" s="40" t="n"/>
      <c r="L162" s="40" t="n"/>
      <c r="M162" s="40" t="n"/>
      <c r="N162" s="40" t="n"/>
    </row>
    <row r="163" ht="15.75" customHeight="1" s="58">
      <c r="A163" s="40" t="n"/>
      <c r="B163" s="40" t="n"/>
      <c r="C163" s="40" t="n"/>
      <c r="D163" s="40" t="n"/>
      <c r="E163" s="40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</row>
    <row r="164" ht="15.75" customHeight="1" s="58">
      <c r="A164" s="40" t="n"/>
      <c r="B164" s="40" t="n"/>
      <c r="C164" s="40" t="n"/>
      <c r="D164" s="40" t="n"/>
      <c r="E164" s="40" t="n"/>
      <c r="F164" s="40" t="n"/>
      <c r="G164" s="40" t="n"/>
      <c r="H164" s="40" t="n"/>
      <c r="I164" s="40" t="n"/>
      <c r="J164" s="40" t="n"/>
      <c r="K164" s="40" t="n"/>
      <c r="L164" s="40" t="n"/>
      <c r="M164" s="40" t="n"/>
      <c r="N164" s="40" t="n"/>
    </row>
    <row r="165" ht="15.75" customHeight="1" s="58">
      <c r="A165" s="40" t="n"/>
      <c r="B165" s="40" t="n"/>
      <c r="C165" s="40" t="n"/>
      <c r="D165" s="40" t="n"/>
      <c r="E165" s="40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</row>
    <row r="166" ht="15.75" customHeight="1" s="58">
      <c r="A166" s="40" t="n"/>
      <c r="B166" s="40" t="n"/>
      <c r="C166" s="40" t="n"/>
      <c r="D166" s="40" t="n"/>
      <c r="E166" s="40" t="n"/>
      <c r="F166" s="40" t="n"/>
      <c r="G166" s="40" t="n"/>
      <c r="H166" s="40" t="n"/>
      <c r="I166" s="40" t="n"/>
      <c r="J166" s="40" t="n"/>
      <c r="K166" s="40" t="n"/>
      <c r="L166" s="40" t="n"/>
      <c r="M166" s="40" t="n"/>
      <c r="N166" s="40" t="n"/>
    </row>
    <row r="167" ht="15.75" customHeight="1" s="58">
      <c r="A167" s="40" t="n"/>
      <c r="B167" s="40" t="n"/>
      <c r="C167" s="40" t="n"/>
      <c r="D167" s="40" t="n"/>
      <c r="E167" s="40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</row>
    <row r="168" ht="15.75" customHeight="1" s="58">
      <c r="A168" s="40" t="n"/>
      <c r="B168" s="40" t="n"/>
      <c r="C168" s="40" t="n"/>
      <c r="D168" s="40" t="n"/>
      <c r="E168" s="40" t="n"/>
      <c r="F168" s="40" t="n"/>
      <c r="G168" s="40" t="n"/>
      <c r="H168" s="40" t="n"/>
      <c r="I168" s="40" t="n"/>
      <c r="J168" s="40" t="n"/>
      <c r="K168" s="40" t="n"/>
      <c r="L168" s="40" t="n"/>
      <c r="M168" s="40" t="n"/>
      <c r="N168" s="40" t="n"/>
    </row>
    <row r="169" ht="15.75" customHeight="1" s="58">
      <c r="A169" s="40" t="n"/>
      <c r="B169" s="40" t="n"/>
      <c r="C169" s="40" t="n"/>
      <c r="D169" s="40" t="n"/>
      <c r="E169" s="40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</row>
    <row r="170" ht="15.75" customHeight="1" s="58">
      <c r="A170" s="40" t="n"/>
      <c r="B170" s="40" t="n"/>
      <c r="C170" s="40" t="n"/>
      <c r="D170" s="40" t="n"/>
      <c r="E170" s="40" t="n"/>
      <c r="F170" s="40" t="n"/>
      <c r="G170" s="40" t="n"/>
      <c r="H170" s="40" t="n"/>
      <c r="I170" s="40" t="n"/>
      <c r="J170" s="40" t="n"/>
      <c r="K170" s="40" t="n"/>
      <c r="L170" s="40" t="n"/>
      <c r="M170" s="40" t="n"/>
      <c r="N170" s="40" t="n"/>
    </row>
    <row r="171" ht="15.75" customHeight="1" s="58">
      <c r="A171" s="40" t="n"/>
      <c r="B171" s="40" t="n"/>
      <c r="C171" s="40" t="n"/>
      <c r="D171" s="40" t="n"/>
      <c r="E171" s="40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</row>
    <row r="172" ht="15.75" customHeight="1" s="58">
      <c r="A172" s="40" t="n"/>
      <c r="B172" s="40" t="n"/>
      <c r="C172" s="40" t="n"/>
      <c r="D172" s="40" t="n"/>
      <c r="E172" s="40" t="n"/>
      <c r="F172" s="40" t="n"/>
      <c r="G172" s="40" t="n"/>
      <c r="H172" s="40" t="n"/>
      <c r="I172" s="40" t="n"/>
      <c r="J172" s="40" t="n"/>
      <c r="K172" s="40" t="n"/>
      <c r="L172" s="40" t="n"/>
      <c r="M172" s="40" t="n"/>
      <c r="N172" s="40" t="n"/>
    </row>
    <row r="173" ht="15.75" customHeight="1" s="58">
      <c r="A173" s="40" t="n"/>
      <c r="B173" s="40" t="n"/>
      <c r="C173" s="40" t="n"/>
      <c r="D173" s="40" t="n"/>
      <c r="E173" s="40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</row>
    <row r="174" ht="15.75" customHeight="1" s="58">
      <c r="A174" s="40" t="n"/>
      <c r="B174" s="40" t="n"/>
      <c r="C174" s="40" t="n"/>
      <c r="D174" s="40" t="n"/>
      <c r="E174" s="40" t="n"/>
      <c r="F174" s="40" t="n"/>
      <c r="G174" s="40" t="n"/>
      <c r="H174" s="40" t="n"/>
      <c r="I174" s="40" t="n"/>
      <c r="J174" s="40" t="n"/>
      <c r="K174" s="40" t="n"/>
      <c r="L174" s="40" t="n"/>
      <c r="M174" s="40" t="n"/>
      <c r="N174" s="40" t="n"/>
    </row>
    <row r="175" ht="15.75" customHeight="1" s="58">
      <c r="A175" s="40" t="n"/>
      <c r="B175" s="40" t="n"/>
      <c r="C175" s="40" t="n"/>
      <c r="D175" s="40" t="n"/>
      <c r="E175" s="40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</row>
    <row r="176" ht="15.75" customHeight="1" s="58">
      <c r="A176" s="40" t="n"/>
      <c r="B176" s="40" t="n"/>
      <c r="C176" s="40" t="n"/>
      <c r="D176" s="40" t="n"/>
      <c r="E176" s="40" t="n"/>
      <c r="F176" s="40" t="n"/>
      <c r="G176" s="40" t="n"/>
      <c r="H176" s="40" t="n"/>
      <c r="I176" s="40" t="n"/>
      <c r="J176" s="40" t="n"/>
      <c r="K176" s="40" t="n"/>
      <c r="L176" s="40" t="n"/>
      <c r="M176" s="40" t="n"/>
      <c r="N176" s="40" t="n"/>
    </row>
    <row r="177" ht="15.75" customHeight="1" s="58">
      <c r="A177" s="40" t="n"/>
      <c r="B177" s="40" t="n"/>
      <c r="C177" s="40" t="n"/>
      <c r="D177" s="40" t="n"/>
      <c r="E177" s="40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</row>
    <row r="178" ht="15.75" customHeight="1" s="58">
      <c r="A178" s="40" t="n"/>
      <c r="B178" s="40" t="n"/>
      <c r="C178" s="40" t="n"/>
      <c r="D178" s="40" t="n"/>
      <c r="E178" s="40" t="n"/>
      <c r="F178" s="40" t="n"/>
      <c r="G178" s="40" t="n"/>
      <c r="H178" s="40" t="n"/>
      <c r="I178" s="40" t="n"/>
      <c r="J178" s="40" t="n"/>
      <c r="K178" s="40" t="n"/>
      <c r="L178" s="40" t="n"/>
      <c r="M178" s="40" t="n"/>
      <c r="N178" s="40" t="n"/>
    </row>
    <row r="179" ht="15.75" customHeight="1" s="58">
      <c r="A179" s="40" t="n"/>
      <c r="B179" s="40" t="n"/>
      <c r="C179" s="40" t="n"/>
      <c r="D179" s="40" t="n"/>
      <c r="E179" s="40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</row>
    <row r="180" ht="15.75" customHeight="1" s="58">
      <c r="A180" s="40" t="n"/>
      <c r="B180" s="40" t="n"/>
      <c r="C180" s="40" t="n"/>
      <c r="D180" s="40" t="n"/>
      <c r="E180" s="40" t="n"/>
      <c r="F180" s="40" t="n"/>
      <c r="G180" s="40" t="n"/>
      <c r="H180" s="40" t="n"/>
      <c r="I180" s="40" t="n"/>
      <c r="J180" s="40" t="n"/>
      <c r="K180" s="40" t="n"/>
      <c r="L180" s="40" t="n"/>
      <c r="M180" s="40" t="n"/>
      <c r="N180" s="40" t="n"/>
    </row>
    <row r="181" ht="15.75" customHeight="1" s="58">
      <c r="A181" s="40" t="n"/>
      <c r="B181" s="40" t="n"/>
      <c r="C181" s="40" t="n"/>
      <c r="D181" s="40" t="n"/>
      <c r="E181" s="40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</row>
    <row r="182" ht="15.75" customHeight="1" s="58">
      <c r="A182" s="40" t="n"/>
      <c r="B182" s="40" t="n"/>
      <c r="C182" s="40" t="n"/>
      <c r="D182" s="40" t="n"/>
      <c r="E182" s="40" t="n"/>
      <c r="F182" s="40" t="n"/>
      <c r="G182" s="40" t="n"/>
      <c r="H182" s="40" t="n"/>
      <c r="I182" s="40" t="n"/>
      <c r="J182" s="40" t="n"/>
      <c r="K182" s="40" t="n"/>
      <c r="L182" s="40" t="n"/>
      <c r="M182" s="40" t="n"/>
      <c r="N182" s="40" t="n"/>
    </row>
    <row r="183" ht="15.75" customHeight="1" s="58">
      <c r="A183" s="40" t="n"/>
      <c r="B183" s="40" t="n"/>
      <c r="C183" s="40" t="n"/>
      <c r="D183" s="40" t="n"/>
      <c r="E183" s="40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</row>
    <row r="184" ht="15.75" customHeight="1" s="58">
      <c r="A184" s="40" t="n"/>
      <c r="B184" s="40" t="n"/>
      <c r="C184" s="40" t="n"/>
      <c r="D184" s="40" t="n"/>
      <c r="E184" s="40" t="n"/>
      <c r="F184" s="40" t="n"/>
      <c r="G184" s="40" t="n"/>
      <c r="H184" s="40" t="n"/>
      <c r="I184" s="40" t="n"/>
      <c r="J184" s="40" t="n"/>
      <c r="K184" s="40" t="n"/>
      <c r="L184" s="40" t="n"/>
      <c r="M184" s="40" t="n"/>
      <c r="N184" s="40" t="n"/>
    </row>
    <row r="185" ht="15.75" customHeight="1" s="58">
      <c r="A185" s="40" t="n"/>
      <c r="B185" s="40" t="n"/>
      <c r="C185" s="40" t="n"/>
      <c r="D185" s="40" t="n"/>
      <c r="E185" s="40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</row>
    <row r="186" ht="15.75" customHeight="1" s="58">
      <c r="A186" s="40" t="n"/>
      <c r="B186" s="40" t="n"/>
      <c r="C186" s="40" t="n"/>
      <c r="D186" s="40" t="n"/>
      <c r="E186" s="40" t="n"/>
      <c r="F186" s="40" t="n"/>
      <c r="G186" s="40" t="n"/>
      <c r="H186" s="40" t="n"/>
      <c r="I186" s="40" t="n"/>
      <c r="J186" s="40" t="n"/>
      <c r="K186" s="40" t="n"/>
      <c r="L186" s="40" t="n"/>
      <c r="M186" s="40" t="n"/>
      <c r="N186" s="40" t="n"/>
    </row>
    <row r="187" ht="15.75" customHeight="1" s="58">
      <c r="A187" s="40" t="n"/>
      <c r="B187" s="40" t="n"/>
      <c r="C187" s="40" t="n"/>
      <c r="D187" s="40" t="n"/>
      <c r="E187" s="40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</row>
    <row r="188" ht="15.75" customHeight="1" s="58">
      <c r="A188" s="40" t="n"/>
      <c r="B188" s="40" t="n"/>
      <c r="C188" s="40" t="n"/>
      <c r="D188" s="40" t="n"/>
      <c r="E188" s="40" t="n"/>
      <c r="F188" s="40" t="n"/>
      <c r="G188" s="40" t="n"/>
      <c r="H188" s="40" t="n"/>
      <c r="I188" s="40" t="n"/>
      <c r="J188" s="40" t="n"/>
      <c r="K188" s="40" t="n"/>
      <c r="L188" s="40" t="n"/>
      <c r="M188" s="40" t="n"/>
      <c r="N188" s="40" t="n"/>
    </row>
    <row r="189" ht="15.75" customHeight="1" s="58">
      <c r="A189" s="40" t="n"/>
      <c r="B189" s="40" t="n"/>
      <c r="C189" s="40" t="n"/>
      <c r="D189" s="40" t="n"/>
      <c r="E189" s="40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</row>
    <row r="190" ht="15.75" customHeight="1" s="58">
      <c r="A190" s="40" t="n"/>
      <c r="B190" s="40" t="n"/>
      <c r="C190" s="40" t="n"/>
      <c r="D190" s="40" t="n"/>
      <c r="E190" s="40" t="n"/>
      <c r="F190" s="40" t="n"/>
      <c r="G190" s="40" t="n"/>
      <c r="H190" s="40" t="n"/>
      <c r="I190" s="40" t="n"/>
      <c r="J190" s="40" t="n"/>
      <c r="K190" s="40" t="n"/>
      <c r="L190" s="40" t="n"/>
      <c r="M190" s="40" t="n"/>
      <c r="N190" s="40" t="n"/>
    </row>
    <row r="191" ht="15.75" customHeight="1" s="58">
      <c r="A191" s="40" t="n"/>
      <c r="B191" s="40" t="n"/>
      <c r="C191" s="40" t="n"/>
      <c r="D191" s="40" t="n"/>
      <c r="E191" s="40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</row>
    <row r="192" ht="15.75" customHeight="1" s="58">
      <c r="A192" s="40" t="n"/>
      <c r="B192" s="40" t="n"/>
      <c r="C192" s="40" t="n"/>
      <c r="D192" s="40" t="n"/>
      <c r="E192" s="40" t="n"/>
      <c r="F192" s="40" t="n"/>
      <c r="G192" s="40" t="n"/>
      <c r="H192" s="40" t="n"/>
      <c r="I192" s="40" t="n"/>
      <c r="J192" s="40" t="n"/>
      <c r="K192" s="40" t="n"/>
      <c r="L192" s="40" t="n"/>
      <c r="M192" s="40" t="n"/>
      <c r="N192" s="40" t="n"/>
    </row>
    <row r="193" ht="15.75" customHeight="1" s="58">
      <c r="A193" s="40" t="n"/>
      <c r="B193" s="40" t="n"/>
      <c r="C193" s="40" t="n"/>
      <c r="D193" s="40" t="n"/>
      <c r="E193" s="40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</row>
    <row r="194" ht="15.75" customHeight="1" s="58">
      <c r="A194" s="40" t="n"/>
      <c r="B194" s="40" t="n"/>
      <c r="C194" s="40" t="n"/>
      <c r="D194" s="40" t="n"/>
      <c r="E194" s="40" t="n"/>
      <c r="F194" s="40" t="n"/>
      <c r="G194" s="40" t="n"/>
      <c r="H194" s="40" t="n"/>
      <c r="I194" s="40" t="n"/>
      <c r="J194" s="40" t="n"/>
      <c r="K194" s="40" t="n"/>
      <c r="L194" s="40" t="n"/>
      <c r="M194" s="40" t="n"/>
      <c r="N194" s="40" t="n"/>
    </row>
    <row r="195" ht="15.75" customHeight="1" s="58">
      <c r="A195" s="40" t="n"/>
      <c r="B195" s="40" t="n"/>
      <c r="C195" s="40" t="n"/>
      <c r="D195" s="40" t="n"/>
      <c r="E195" s="40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</row>
    <row r="196" ht="15.75" customHeight="1" s="58">
      <c r="A196" s="40" t="n"/>
      <c r="B196" s="40" t="n"/>
      <c r="C196" s="40" t="n"/>
      <c r="D196" s="40" t="n"/>
      <c r="E196" s="40" t="n"/>
      <c r="F196" s="40" t="n"/>
      <c r="G196" s="40" t="n"/>
      <c r="H196" s="40" t="n"/>
      <c r="I196" s="40" t="n"/>
      <c r="J196" s="40" t="n"/>
      <c r="K196" s="40" t="n"/>
      <c r="L196" s="40" t="n"/>
      <c r="M196" s="40" t="n"/>
      <c r="N196" s="40" t="n"/>
    </row>
    <row r="197" ht="15.75" customHeight="1" s="58">
      <c r="A197" s="40" t="n"/>
      <c r="B197" s="40" t="n"/>
      <c r="C197" s="40" t="n"/>
      <c r="D197" s="40" t="n"/>
      <c r="E197" s="40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</row>
    <row r="198" ht="15.75" customHeight="1" s="58">
      <c r="A198" s="40" t="n"/>
      <c r="B198" s="40" t="n"/>
      <c r="C198" s="40" t="n"/>
      <c r="D198" s="40" t="n"/>
      <c r="E198" s="40" t="n"/>
      <c r="F198" s="40" t="n"/>
      <c r="G198" s="40" t="n"/>
      <c r="H198" s="40" t="n"/>
      <c r="I198" s="40" t="n"/>
      <c r="J198" s="40" t="n"/>
      <c r="K198" s="40" t="n"/>
      <c r="L198" s="40" t="n"/>
      <c r="M198" s="40" t="n"/>
      <c r="N198" s="40" t="n"/>
    </row>
    <row r="199" ht="15.75" customHeight="1" s="58">
      <c r="A199" s="40" t="n"/>
      <c r="B199" s="40" t="n"/>
      <c r="C199" s="40" t="n"/>
      <c r="D199" s="40" t="n"/>
      <c r="E199" s="40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</row>
    <row r="200" ht="15.75" customHeight="1" s="58">
      <c r="A200" s="40" t="n"/>
      <c r="B200" s="40" t="n"/>
      <c r="C200" s="40" t="n"/>
      <c r="D200" s="40" t="n"/>
      <c r="E200" s="40" t="n"/>
      <c r="F200" s="40" t="n"/>
      <c r="G200" s="40" t="n"/>
      <c r="H200" s="40" t="n"/>
      <c r="I200" s="40" t="n"/>
      <c r="J200" s="40" t="n"/>
      <c r="K200" s="40" t="n"/>
      <c r="L200" s="40" t="n"/>
      <c r="M200" s="40" t="n"/>
      <c r="N200" s="40" t="n"/>
    </row>
    <row r="201" ht="15.75" customHeight="1" s="58">
      <c r="A201" s="40" t="n"/>
      <c r="B201" s="40" t="n"/>
      <c r="C201" s="40" t="n"/>
      <c r="D201" s="40" t="n"/>
      <c r="E201" s="40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</row>
    <row r="202" ht="15.75" customHeight="1" s="58">
      <c r="A202" s="40" t="n"/>
      <c r="B202" s="40" t="n"/>
      <c r="C202" s="40" t="n"/>
      <c r="D202" s="40" t="n"/>
      <c r="E202" s="40" t="n"/>
      <c r="F202" s="40" t="n"/>
      <c r="G202" s="40" t="n"/>
      <c r="H202" s="40" t="n"/>
      <c r="I202" s="40" t="n"/>
      <c r="J202" s="40" t="n"/>
      <c r="K202" s="40" t="n"/>
      <c r="L202" s="40" t="n"/>
      <c r="M202" s="40" t="n"/>
      <c r="N202" s="40" t="n"/>
    </row>
    <row r="203" ht="15.75" customHeight="1" s="58">
      <c r="A203" s="40" t="n"/>
      <c r="B203" s="40" t="n"/>
      <c r="C203" s="40" t="n"/>
      <c r="D203" s="40" t="n"/>
      <c r="E203" s="40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</row>
    <row r="204" ht="15.75" customHeight="1" s="58">
      <c r="A204" s="40" t="n"/>
      <c r="B204" s="40" t="n"/>
      <c r="C204" s="40" t="n"/>
      <c r="D204" s="40" t="n"/>
      <c r="E204" s="40" t="n"/>
      <c r="F204" s="40" t="n"/>
      <c r="G204" s="40" t="n"/>
      <c r="H204" s="40" t="n"/>
      <c r="I204" s="40" t="n"/>
      <c r="J204" s="40" t="n"/>
      <c r="K204" s="40" t="n"/>
      <c r="L204" s="40" t="n"/>
      <c r="M204" s="40" t="n"/>
      <c r="N204" s="40" t="n"/>
    </row>
    <row r="205" ht="15.75" customHeight="1" s="58">
      <c r="A205" s="40" t="n"/>
      <c r="B205" s="40" t="n"/>
      <c r="C205" s="40" t="n"/>
      <c r="D205" s="40" t="n"/>
      <c r="E205" s="40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</row>
    <row r="206" ht="15.75" customHeight="1" s="58">
      <c r="A206" s="40" t="n"/>
      <c r="B206" s="40" t="n"/>
      <c r="C206" s="40" t="n"/>
      <c r="D206" s="40" t="n"/>
      <c r="E206" s="40" t="n"/>
      <c r="F206" s="40" t="n"/>
      <c r="G206" s="40" t="n"/>
      <c r="H206" s="40" t="n"/>
      <c r="I206" s="40" t="n"/>
      <c r="J206" s="40" t="n"/>
      <c r="K206" s="40" t="n"/>
      <c r="L206" s="40" t="n"/>
      <c r="M206" s="40" t="n"/>
      <c r="N206" s="40" t="n"/>
    </row>
    <row r="207" ht="15.75" customHeight="1" s="58">
      <c r="A207" s="40" t="n"/>
      <c r="B207" s="40" t="n"/>
      <c r="C207" s="40" t="n"/>
      <c r="D207" s="40" t="n"/>
      <c r="E207" s="40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</row>
    <row r="208" ht="15.75" customHeight="1" s="58">
      <c r="A208" s="40" t="n"/>
      <c r="B208" s="40" t="n"/>
      <c r="C208" s="40" t="n"/>
      <c r="D208" s="40" t="n"/>
      <c r="E208" s="40" t="n"/>
      <c r="F208" s="40" t="n"/>
      <c r="G208" s="40" t="n"/>
      <c r="H208" s="40" t="n"/>
      <c r="I208" s="40" t="n"/>
      <c r="J208" s="40" t="n"/>
      <c r="K208" s="40" t="n"/>
      <c r="L208" s="40" t="n"/>
      <c r="M208" s="40" t="n"/>
      <c r="N208" s="40" t="n"/>
    </row>
    <row r="209" ht="15.75" customHeight="1" s="58">
      <c r="A209" s="40" t="n"/>
      <c r="B209" s="40" t="n"/>
      <c r="C209" s="40" t="n"/>
      <c r="D209" s="40" t="n"/>
      <c r="E209" s="40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</row>
    <row r="210" ht="15.75" customHeight="1" s="58">
      <c r="A210" s="40" t="n"/>
      <c r="B210" s="40" t="n"/>
      <c r="C210" s="40" t="n"/>
      <c r="D210" s="40" t="n"/>
      <c r="E210" s="40" t="n"/>
      <c r="F210" s="40" t="n"/>
      <c r="G210" s="40" t="n"/>
      <c r="H210" s="40" t="n"/>
      <c r="I210" s="40" t="n"/>
      <c r="J210" s="40" t="n"/>
      <c r="K210" s="40" t="n"/>
      <c r="L210" s="40" t="n"/>
      <c r="M210" s="40" t="n"/>
      <c r="N210" s="40" t="n"/>
    </row>
    <row r="211" ht="15.75" customHeight="1" s="58">
      <c r="A211" s="40" t="n"/>
      <c r="B211" s="40" t="n"/>
      <c r="C211" s="40" t="n"/>
      <c r="D211" s="40" t="n"/>
      <c r="E211" s="40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</row>
    <row r="212" ht="15.75" customHeight="1" s="58">
      <c r="A212" s="40" t="n"/>
      <c r="B212" s="40" t="n"/>
      <c r="C212" s="40" t="n"/>
      <c r="D212" s="40" t="n"/>
      <c r="E212" s="40" t="n"/>
      <c r="F212" s="40" t="n"/>
      <c r="G212" s="40" t="n"/>
      <c r="H212" s="40" t="n"/>
      <c r="I212" s="40" t="n"/>
      <c r="J212" s="40" t="n"/>
      <c r="K212" s="40" t="n"/>
      <c r="L212" s="40" t="n"/>
      <c r="M212" s="40" t="n"/>
      <c r="N212" s="40" t="n"/>
    </row>
    <row r="213" ht="15.75" customHeight="1" s="58">
      <c r="A213" s="40" t="n"/>
      <c r="B213" s="40" t="n"/>
      <c r="C213" s="40" t="n"/>
      <c r="D213" s="40" t="n"/>
      <c r="E213" s="40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</row>
    <row r="214" ht="15.75" customHeight="1" s="58">
      <c r="A214" s="40" t="n"/>
      <c r="B214" s="40" t="n"/>
      <c r="C214" s="40" t="n"/>
      <c r="D214" s="40" t="n"/>
      <c r="E214" s="40" t="n"/>
      <c r="F214" s="40" t="n"/>
      <c r="G214" s="40" t="n"/>
      <c r="H214" s="40" t="n"/>
      <c r="I214" s="40" t="n"/>
      <c r="J214" s="40" t="n"/>
      <c r="K214" s="40" t="n"/>
      <c r="L214" s="40" t="n"/>
      <c r="M214" s="40" t="n"/>
      <c r="N214" s="40" t="n"/>
    </row>
    <row r="215" ht="15.75" customHeight="1" s="58">
      <c r="A215" s="40" t="n"/>
      <c r="B215" s="40" t="n"/>
      <c r="C215" s="40" t="n"/>
      <c r="D215" s="40" t="n"/>
      <c r="E215" s="40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</row>
    <row r="216" ht="15.75" customHeight="1" s="58">
      <c r="A216" s="40" t="n"/>
      <c r="B216" s="40" t="n"/>
      <c r="C216" s="40" t="n"/>
      <c r="D216" s="40" t="n"/>
      <c r="E216" s="40" t="n"/>
      <c r="F216" s="40" t="n"/>
      <c r="G216" s="40" t="n"/>
      <c r="H216" s="40" t="n"/>
      <c r="I216" s="40" t="n"/>
      <c r="J216" s="40" t="n"/>
      <c r="K216" s="40" t="n"/>
      <c r="L216" s="40" t="n"/>
      <c r="M216" s="40" t="n"/>
      <c r="N216" s="40" t="n"/>
    </row>
    <row r="217" ht="15.75" customHeight="1" s="58">
      <c r="A217" s="40" t="n"/>
      <c r="B217" s="40" t="n"/>
      <c r="C217" s="40" t="n"/>
      <c r="D217" s="40" t="n"/>
      <c r="E217" s="40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</row>
    <row r="218" ht="15.75" customHeight="1" s="58">
      <c r="A218" s="40" t="n"/>
      <c r="B218" s="40" t="n"/>
      <c r="C218" s="40" t="n"/>
      <c r="D218" s="40" t="n"/>
      <c r="E218" s="40" t="n"/>
      <c r="F218" s="40" t="n"/>
      <c r="G218" s="40" t="n"/>
      <c r="H218" s="40" t="n"/>
      <c r="I218" s="40" t="n"/>
      <c r="J218" s="40" t="n"/>
      <c r="K218" s="40" t="n"/>
      <c r="L218" s="40" t="n"/>
      <c r="M218" s="40" t="n"/>
      <c r="N218" s="40" t="n"/>
    </row>
    <row r="219" ht="15.75" customHeight="1" s="58">
      <c r="A219" s="40" t="n"/>
      <c r="B219" s="40" t="n"/>
      <c r="C219" s="40" t="n"/>
      <c r="D219" s="40" t="n"/>
      <c r="E219" s="40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</row>
    <row r="220" ht="15.75" customHeight="1" s="58">
      <c r="A220" s="40" t="n"/>
      <c r="B220" s="40" t="n"/>
      <c r="C220" s="40" t="n"/>
      <c r="D220" s="40" t="n"/>
      <c r="E220" s="40" t="n"/>
      <c r="F220" s="40" t="n"/>
      <c r="G220" s="40" t="n"/>
      <c r="H220" s="40" t="n"/>
      <c r="I220" s="40" t="n"/>
      <c r="J220" s="40" t="n"/>
      <c r="K220" s="40" t="n"/>
      <c r="L220" s="40" t="n"/>
      <c r="M220" s="40" t="n"/>
      <c r="N220" s="40" t="n"/>
    </row>
    <row r="221" ht="15.75" customHeight="1" s="58">
      <c r="A221" s="40" t="n"/>
      <c r="B221" s="40" t="n"/>
      <c r="C221" s="40" t="n"/>
      <c r="D221" s="40" t="n"/>
      <c r="E221" s="40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</row>
    <row r="222" ht="15.75" customHeight="1" s="58">
      <c r="A222" s="40" t="n"/>
      <c r="B222" s="40" t="n"/>
      <c r="C222" s="40" t="n"/>
      <c r="D222" s="40" t="n"/>
      <c r="E222" s="40" t="n"/>
      <c r="F222" s="40" t="n"/>
      <c r="G222" s="40" t="n"/>
      <c r="H222" s="40" t="n"/>
      <c r="I222" s="40" t="n"/>
      <c r="J222" s="40" t="n"/>
      <c r="K222" s="40" t="n"/>
      <c r="L222" s="40" t="n"/>
      <c r="M222" s="40" t="n"/>
      <c r="N222" s="40" t="n"/>
    </row>
    <row r="223" ht="15.75" customHeight="1" s="58">
      <c r="A223" s="40" t="n"/>
      <c r="B223" s="40" t="n"/>
      <c r="C223" s="40" t="n"/>
      <c r="D223" s="40" t="n"/>
      <c r="E223" s="40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</row>
    <row r="224" ht="15.75" customHeight="1" s="58">
      <c r="A224" s="40" t="n"/>
      <c r="B224" s="40" t="n"/>
      <c r="C224" s="40" t="n"/>
      <c r="D224" s="40" t="n"/>
      <c r="E224" s="40" t="n"/>
      <c r="F224" s="40" t="n"/>
      <c r="G224" s="40" t="n"/>
      <c r="H224" s="40" t="n"/>
      <c r="I224" s="40" t="n"/>
      <c r="J224" s="40" t="n"/>
      <c r="K224" s="40" t="n"/>
      <c r="L224" s="40" t="n"/>
      <c r="M224" s="40" t="n"/>
      <c r="N224" s="40" t="n"/>
    </row>
    <row r="225" ht="15.75" customHeight="1" s="58">
      <c r="A225" s="40" t="n"/>
      <c r="B225" s="40" t="n"/>
      <c r="C225" s="40" t="n"/>
      <c r="D225" s="40" t="n"/>
      <c r="E225" s="40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</row>
    <row r="226" ht="15.75" customHeight="1" s="58">
      <c r="A226" s="40" t="n"/>
      <c r="B226" s="40" t="n"/>
      <c r="C226" s="40" t="n"/>
      <c r="D226" s="40" t="n"/>
      <c r="E226" s="40" t="n"/>
      <c r="F226" s="40" t="n"/>
      <c r="G226" s="40" t="n"/>
      <c r="H226" s="40" t="n"/>
      <c r="I226" s="40" t="n"/>
      <c r="J226" s="40" t="n"/>
      <c r="K226" s="40" t="n"/>
      <c r="L226" s="40" t="n"/>
      <c r="M226" s="40" t="n"/>
      <c r="N226" s="40" t="n"/>
    </row>
    <row r="227" ht="15.75" customHeight="1" s="58">
      <c r="A227" s="40" t="n"/>
      <c r="B227" s="40" t="n"/>
      <c r="C227" s="40" t="n"/>
      <c r="D227" s="40" t="n"/>
      <c r="E227" s="40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</row>
    <row r="228" ht="15.75" customHeight="1" s="58">
      <c r="A228" s="40" t="n"/>
      <c r="B228" s="40" t="n"/>
      <c r="C228" s="40" t="n"/>
      <c r="D228" s="40" t="n"/>
      <c r="E228" s="40" t="n"/>
      <c r="F228" s="40" t="n"/>
      <c r="G228" s="40" t="n"/>
      <c r="H228" s="40" t="n"/>
      <c r="I228" s="40" t="n"/>
      <c r="J228" s="40" t="n"/>
      <c r="K228" s="40" t="n"/>
      <c r="L228" s="40" t="n"/>
      <c r="M228" s="40" t="n"/>
      <c r="N228" s="40" t="n"/>
    </row>
    <row r="229" ht="15.75" customHeight="1" s="58">
      <c r="A229" s="40" t="n"/>
      <c r="B229" s="40" t="n"/>
      <c r="C229" s="40" t="n"/>
      <c r="D229" s="40" t="n"/>
      <c r="E229" s="40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</row>
    <row r="230" ht="15.75" customHeight="1" s="58">
      <c r="A230" s="40" t="n"/>
      <c r="B230" s="40" t="n"/>
      <c r="C230" s="40" t="n"/>
      <c r="D230" s="40" t="n"/>
      <c r="E230" s="40" t="n"/>
      <c r="F230" s="40" t="n"/>
      <c r="G230" s="40" t="n"/>
      <c r="H230" s="40" t="n"/>
      <c r="I230" s="40" t="n"/>
      <c r="J230" s="40" t="n"/>
      <c r="K230" s="40" t="n"/>
      <c r="L230" s="40" t="n"/>
      <c r="M230" s="40" t="n"/>
      <c r="N230" s="40" t="n"/>
    </row>
    <row r="231" ht="15.75" customHeight="1" s="58">
      <c r="A231" s="40" t="n"/>
      <c r="B231" s="40" t="n"/>
      <c r="C231" s="40" t="n"/>
      <c r="D231" s="40" t="n"/>
      <c r="E231" s="40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</row>
    <row r="232" ht="15.75" customHeight="1" s="58">
      <c r="A232" s="40" t="n"/>
      <c r="B232" s="40" t="n"/>
      <c r="C232" s="40" t="n"/>
      <c r="D232" s="40" t="n"/>
      <c r="E232" s="40" t="n"/>
      <c r="F232" s="40" t="n"/>
      <c r="G232" s="40" t="n"/>
      <c r="H232" s="40" t="n"/>
      <c r="I232" s="40" t="n"/>
      <c r="J232" s="40" t="n"/>
      <c r="K232" s="40" t="n"/>
      <c r="L232" s="40" t="n"/>
      <c r="M232" s="40" t="n"/>
      <c r="N232" s="40" t="n"/>
    </row>
    <row r="233" ht="15.75" customHeight="1" s="58">
      <c r="A233" s="40" t="n"/>
      <c r="B233" s="40" t="n"/>
      <c r="C233" s="40" t="n"/>
      <c r="D233" s="40" t="n"/>
      <c r="E233" s="40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</row>
    <row r="234" ht="15.75" customHeight="1" s="58">
      <c r="A234" s="40" t="n"/>
      <c r="B234" s="40" t="n"/>
      <c r="C234" s="40" t="n"/>
      <c r="D234" s="40" t="n"/>
      <c r="E234" s="40" t="n"/>
      <c r="F234" s="40" t="n"/>
      <c r="G234" s="40" t="n"/>
      <c r="H234" s="40" t="n"/>
      <c r="I234" s="40" t="n"/>
      <c r="J234" s="40" t="n"/>
      <c r="K234" s="40" t="n"/>
      <c r="L234" s="40" t="n"/>
      <c r="M234" s="40" t="n"/>
      <c r="N234" s="40" t="n"/>
    </row>
    <row r="235" ht="15.75" customHeight="1" s="58">
      <c r="A235" s="40" t="n"/>
      <c r="B235" s="40" t="n"/>
      <c r="C235" s="40" t="n"/>
      <c r="D235" s="40" t="n"/>
      <c r="E235" s="40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</row>
    <row r="236" ht="15.75" customHeight="1" s="58">
      <c r="A236" s="40" t="n"/>
      <c r="B236" s="40" t="n"/>
      <c r="C236" s="40" t="n"/>
      <c r="D236" s="40" t="n"/>
      <c r="E236" s="40" t="n"/>
      <c r="F236" s="40" t="n"/>
      <c r="G236" s="40" t="n"/>
      <c r="H236" s="40" t="n"/>
      <c r="I236" s="40" t="n"/>
      <c r="J236" s="40" t="n"/>
      <c r="K236" s="40" t="n"/>
      <c r="L236" s="40" t="n"/>
      <c r="M236" s="40" t="n"/>
      <c r="N236" s="40" t="n"/>
    </row>
    <row r="237" ht="15.75" customHeight="1" s="58">
      <c r="A237" s="40" t="n"/>
      <c r="B237" s="40" t="n"/>
      <c r="C237" s="40" t="n"/>
      <c r="D237" s="40" t="n"/>
      <c r="E237" s="40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</row>
    <row r="238" ht="15.75" customHeight="1" s="58">
      <c r="A238" s="40" t="n"/>
      <c r="B238" s="40" t="n"/>
      <c r="C238" s="40" t="n"/>
      <c r="D238" s="40" t="n"/>
      <c r="E238" s="40" t="n"/>
      <c r="F238" s="40" t="n"/>
      <c r="G238" s="40" t="n"/>
      <c r="H238" s="40" t="n"/>
      <c r="I238" s="40" t="n"/>
      <c r="J238" s="40" t="n"/>
      <c r="K238" s="40" t="n"/>
      <c r="L238" s="40" t="n"/>
      <c r="M238" s="40" t="n"/>
      <c r="N238" s="40" t="n"/>
    </row>
    <row r="239" ht="15.75" customHeight="1" s="58">
      <c r="A239" s="40" t="n"/>
      <c r="B239" s="40" t="n"/>
      <c r="C239" s="40" t="n"/>
      <c r="D239" s="40" t="n"/>
      <c r="E239" s="40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</row>
    <row r="240" ht="15.75" customHeight="1" s="58">
      <c r="A240" s="40" t="n"/>
      <c r="B240" s="40" t="n"/>
      <c r="C240" s="40" t="n"/>
      <c r="D240" s="40" t="n"/>
      <c r="E240" s="40" t="n"/>
      <c r="F240" s="40" t="n"/>
      <c r="G240" s="40" t="n"/>
      <c r="H240" s="40" t="n"/>
      <c r="I240" s="40" t="n"/>
      <c r="J240" s="40" t="n"/>
      <c r="K240" s="40" t="n"/>
      <c r="L240" s="40" t="n"/>
      <c r="M240" s="40" t="n"/>
      <c r="N240" s="40" t="n"/>
    </row>
    <row r="241" ht="15.75" customHeight="1" s="58">
      <c r="A241" s="40" t="n"/>
      <c r="B241" s="40" t="n"/>
      <c r="C241" s="40" t="n"/>
      <c r="D241" s="40" t="n"/>
      <c r="E241" s="40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</row>
    <row r="242" ht="15.75" customHeight="1" s="58">
      <c r="A242" s="40" t="n"/>
      <c r="B242" s="40" t="n"/>
      <c r="C242" s="40" t="n"/>
      <c r="D242" s="40" t="n"/>
      <c r="E242" s="40" t="n"/>
      <c r="F242" s="40" t="n"/>
      <c r="G242" s="40" t="n"/>
      <c r="H242" s="40" t="n"/>
      <c r="I242" s="40" t="n"/>
      <c r="J242" s="40" t="n"/>
      <c r="K242" s="40" t="n"/>
      <c r="L242" s="40" t="n"/>
      <c r="M242" s="40" t="n"/>
      <c r="N242" s="40" t="n"/>
    </row>
    <row r="243" ht="15.75" customHeight="1" s="58">
      <c r="A243" s="40" t="n"/>
      <c r="B243" s="40" t="n"/>
      <c r="C243" s="40" t="n"/>
      <c r="D243" s="40" t="n"/>
      <c r="E243" s="40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</row>
    <row r="244" ht="15.75" customHeight="1" s="58">
      <c r="A244" s="40" t="n"/>
      <c r="B244" s="40" t="n"/>
      <c r="C244" s="40" t="n"/>
      <c r="D244" s="40" t="n"/>
      <c r="E244" s="40" t="n"/>
      <c r="F244" s="40" t="n"/>
      <c r="G244" s="40" t="n"/>
      <c r="H244" s="40" t="n"/>
      <c r="I244" s="40" t="n"/>
      <c r="J244" s="40" t="n"/>
      <c r="K244" s="40" t="n"/>
      <c r="L244" s="40" t="n"/>
      <c r="M244" s="40" t="n"/>
      <c r="N244" s="40" t="n"/>
    </row>
    <row r="245" ht="15.75" customHeight="1" s="58">
      <c r="A245" s="40" t="n"/>
      <c r="B245" s="40" t="n"/>
      <c r="C245" s="40" t="n"/>
      <c r="D245" s="40" t="n"/>
      <c r="E245" s="40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</row>
    <row r="246" ht="15.75" customHeight="1" s="58">
      <c r="A246" s="40" t="n"/>
      <c r="B246" s="40" t="n"/>
      <c r="C246" s="40" t="n"/>
      <c r="D246" s="40" t="n"/>
      <c r="E246" s="40" t="n"/>
      <c r="F246" s="40" t="n"/>
      <c r="G246" s="40" t="n"/>
      <c r="H246" s="40" t="n"/>
      <c r="I246" s="40" t="n"/>
      <c r="J246" s="40" t="n"/>
      <c r="K246" s="40" t="n"/>
      <c r="L246" s="40" t="n"/>
      <c r="M246" s="40" t="n"/>
      <c r="N246" s="40" t="n"/>
    </row>
    <row r="247" ht="15.75" customHeight="1" s="58">
      <c r="A247" s="40" t="n"/>
      <c r="B247" s="40" t="n"/>
      <c r="C247" s="40" t="n"/>
      <c r="D247" s="40" t="n"/>
      <c r="E247" s="40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</row>
    <row r="248" ht="15.75" customHeight="1" s="58">
      <c r="A248" s="40" t="n"/>
      <c r="B248" s="40" t="n"/>
      <c r="C248" s="40" t="n"/>
      <c r="D248" s="40" t="n"/>
      <c r="E248" s="40" t="n"/>
      <c r="F248" s="40" t="n"/>
      <c r="G248" s="40" t="n"/>
      <c r="H248" s="40" t="n"/>
      <c r="I248" s="40" t="n"/>
      <c r="J248" s="40" t="n"/>
      <c r="K248" s="40" t="n"/>
      <c r="L248" s="40" t="n"/>
      <c r="M248" s="40" t="n"/>
      <c r="N248" s="40" t="n"/>
    </row>
    <row r="249" ht="15.75" customHeight="1" s="58">
      <c r="A249" s="40" t="n"/>
      <c r="B249" s="40" t="n"/>
      <c r="C249" s="40" t="n"/>
      <c r="D249" s="40" t="n"/>
      <c r="E249" s="40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</row>
    <row r="250" ht="15.75" customHeight="1" s="58">
      <c r="A250" s="40" t="n"/>
      <c r="B250" s="40" t="n"/>
      <c r="C250" s="40" t="n"/>
      <c r="D250" s="40" t="n"/>
      <c r="E250" s="40" t="n"/>
      <c r="F250" s="40" t="n"/>
      <c r="G250" s="40" t="n"/>
      <c r="H250" s="40" t="n"/>
      <c r="I250" s="40" t="n"/>
      <c r="J250" s="40" t="n"/>
      <c r="K250" s="40" t="n"/>
      <c r="L250" s="40" t="n"/>
      <c r="M250" s="40" t="n"/>
      <c r="N250" s="40" t="n"/>
    </row>
    <row r="251" ht="15.75" customHeight="1" s="58">
      <c r="A251" s="40" t="n"/>
      <c r="B251" s="40" t="n"/>
      <c r="C251" s="40" t="n"/>
      <c r="D251" s="40" t="n"/>
      <c r="E251" s="40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</row>
    <row r="252" ht="15.75" customHeight="1" s="58">
      <c r="A252" s="40" t="n"/>
      <c r="B252" s="40" t="n"/>
      <c r="C252" s="40" t="n"/>
      <c r="D252" s="40" t="n"/>
      <c r="E252" s="40" t="n"/>
      <c r="F252" s="40" t="n"/>
      <c r="G252" s="40" t="n"/>
      <c r="H252" s="40" t="n"/>
      <c r="I252" s="40" t="n"/>
      <c r="J252" s="40" t="n"/>
      <c r="K252" s="40" t="n"/>
      <c r="L252" s="40" t="n"/>
      <c r="M252" s="40" t="n"/>
      <c r="N252" s="40" t="n"/>
    </row>
    <row r="253" ht="15.75" customHeight="1" s="58">
      <c r="A253" s="40" t="n"/>
      <c r="B253" s="40" t="n"/>
      <c r="C253" s="40" t="n"/>
      <c r="D253" s="40" t="n"/>
      <c r="E253" s="40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</row>
    <row r="254" ht="15.75" customHeight="1" s="58">
      <c r="A254" s="40" t="n"/>
      <c r="B254" s="40" t="n"/>
      <c r="C254" s="40" t="n"/>
      <c r="D254" s="40" t="n"/>
      <c r="E254" s="40" t="n"/>
      <c r="F254" s="40" t="n"/>
      <c r="G254" s="40" t="n"/>
      <c r="H254" s="40" t="n"/>
      <c r="I254" s="40" t="n"/>
      <c r="J254" s="40" t="n"/>
      <c r="K254" s="40" t="n"/>
      <c r="L254" s="40" t="n"/>
      <c r="M254" s="40" t="n"/>
      <c r="N254" s="40" t="n"/>
    </row>
    <row r="255" ht="15.75" customHeight="1" s="58">
      <c r="A255" s="40" t="n"/>
      <c r="B255" s="40" t="n"/>
      <c r="C255" s="40" t="n"/>
      <c r="D255" s="40" t="n"/>
      <c r="E255" s="40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</row>
    <row r="256" ht="15.75" customHeight="1" s="58">
      <c r="A256" s="40" t="n"/>
      <c r="B256" s="40" t="n"/>
      <c r="C256" s="40" t="n"/>
      <c r="D256" s="40" t="n"/>
      <c r="E256" s="40" t="n"/>
      <c r="F256" s="40" t="n"/>
      <c r="G256" s="40" t="n"/>
      <c r="H256" s="40" t="n"/>
      <c r="I256" s="40" t="n"/>
      <c r="J256" s="40" t="n"/>
      <c r="K256" s="40" t="n"/>
      <c r="L256" s="40" t="n"/>
      <c r="M256" s="40" t="n"/>
      <c r="N256" s="40" t="n"/>
    </row>
    <row r="257" ht="15.75" customHeight="1" s="58">
      <c r="A257" s="40" t="n"/>
      <c r="B257" s="40" t="n"/>
      <c r="C257" s="40" t="n"/>
      <c r="D257" s="40" t="n"/>
      <c r="E257" s="40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</row>
    <row r="258" ht="15.75" customHeight="1" s="58">
      <c r="A258" s="40" t="n"/>
      <c r="B258" s="40" t="n"/>
      <c r="C258" s="40" t="n"/>
      <c r="D258" s="40" t="n"/>
      <c r="E258" s="40" t="n"/>
      <c r="F258" s="40" t="n"/>
      <c r="G258" s="40" t="n"/>
      <c r="H258" s="40" t="n"/>
      <c r="I258" s="40" t="n"/>
      <c r="J258" s="40" t="n"/>
      <c r="K258" s="40" t="n"/>
      <c r="L258" s="40" t="n"/>
      <c r="M258" s="40" t="n"/>
      <c r="N258" s="40" t="n"/>
    </row>
    <row r="259" ht="15.75" customHeight="1" s="58">
      <c r="A259" s="40" t="n"/>
      <c r="B259" s="40" t="n"/>
      <c r="C259" s="40" t="n"/>
      <c r="D259" s="40" t="n"/>
      <c r="E259" s="40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</row>
    <row r="260" ht="15.75" customHeight="1" s="58">
      <c r="A260" s="40" t="n"/>
      <c r="B260" s="40" t="n"/>
      <c r="C260" s="40" t="n"/>
      <c r="D260" s="40" t="n"/>
      <c r="E260" s="40" t="n"/>
      <c r="F260" s="40" t="n"/>
      <c r="G260" s="40" t="n"/>
      <c r="H260" s="40" t="n"/>
      <c r="I260" s="40" t="n"/>
      <c r="J260" s="40" t="n"/>
      <c r="K260" s="40" t="n"/>
      <c r="L260" s="40" t="n"/>
      <c r="M260" s="40" t="n"/>
      <c r="N260" s="40" t="n"/>
    </row>
    <row r="261" ht="15.75" customHeight="1" s="58">
      <c r="A261" s="40" t="n"/>
      <c r="B261" s="40" t="n"/>
      <c r="C261" s="40" t="n"/>
      <c r="D261" s="40" t="n"/>
      <c r="E261" s="40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</row>
    <row r="262" ht="15.75" customHeight="1" s="58">
      <c r="A262" s="40" t="n"/>
      <c r="B262" s="40" t="n"/>
      <c r="C262" s="40" t="n"/>
      <c r="D262" s="40" t="n"/>
      <c r="E262" s="40" t="n"/>
      <c r="F262" s="40" t="n"/>
      <c r="G262" s="40" t="n"/>
      <c r="H262" s="40" t="n"/>
      <c r="I262" s="40" t="n"/>
      <c r="J262" s="40" t="n"/>
      <c r="K262" s="40" t="n"/>
      <c r="L262" s="40" t="n"/>
      <c r="M262" s="40" t="n"/>
      <c r="N262" s="40" t="n"/>
    </row>
    <row r="263" ht="15.75" customHeight="1" s="58">
      <c r="A263" s="40" t="n"/>
      <c r="B263" s="40" t="n"/>
      <c r="C263" s="40" t="n"/>
      <c r="D263" s="40" t="n"/>
      <c r="E263" s="40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</row>
    <row r="264" ht="15.75" customHeight="1" s="58">
      <c r="A264" s="40" t="n"/>
      <c r="B264" s="40" t="n"/>
      <c r="C264" s="40" t="n"/>
      <c r="D264" s="40" t="n"/>
      <c r="E264" s="40" t="n"/>
      <c r="F264" s="40" t="n"/>
      <c r="G264" s="40" t="n"/>
      <c r="H264" s="40" t="n"/>
      <c r="I264" s="40" t="n"/>
      <c r="J264" s="40" t="n"/>
      <c r="K264" s="40" t="n"/>
      <c r="L264" s="40" t="n"/>
      <c r="M264" s="40" t="n"/>
      <c r="N264" s="40" t="n"/>
    </row>
    <row r="265" ht="15.75" customHeight="1" s="58">
      <c r="A265" s="40" t="n"/>
      <c r="B265" s="40" t="n"/>
      <c r="C265" s="40" t="n"/>
      <c r="D265" s="40" t="n"/>
      <c r="E265" s="40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</row>
    <row r="266" ht="15.75" customHeight="1" s="58">
      <c r="A266" s="40" t="n"/>
      <c r="B266" s="40" t="n"/>
      <c r="C266" s="40" t="n"/>
      <c r="D266" s="40" t="n"/>
      <c r="E266" s="40" t="n"/>
      <c r="F266" s="40" t="n"/>
      <c r="G266" s="40" t="n"/>
      <c r="H266" s="40" t="n"/>
      <c r="I266" s="40" t="n"/>
      <c r="J266" s="40" t="n"/>
      <c r="K266" s="40" t="n"/>
      <c r="L266" s="40" t="n"/>
      <c r="M266" s="40" t="n"/>
      <c r="N266" s="40" t="n"/>
    </row>
    <row r="267" ht="15.75" customHeight="1" s="58">
      <c r="A267" s="40" t="n"/>
      <c r="B267" s="40" t="n"/>
      <c r="C267" s="40" t="n"/>
      <c r="D267" s="40" t="n"/>
      <c r="E267" s="40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</row>
    <row r="268" ht="15.75" customHeight="1" s="58">
      <c r="A268" s="40" t="n"/>
      <c r="B268" s="40" t="n"/>
      <c r="C268" s="40" t="n"/>
      <c r="D268" s="40" t="n"/>
      <c r="E268" s="40" t="n"/>
      <c r="F268" s="40" t="n"/>
      <c r="G268" s="40" t="n"/>
      <c r="H268" s="40" t="n"/>
      <c r="I268" s="40" t="n"/>
      <c r="J268" s="40" t="n"/>
      <c r="K268" s="40" t="n"/>
      <c r="L268" s="40" t="n"/>
      <c r="M268" s="40" t="n"/>
      <c r="N268" s="40" t="n"/>
    </row>
    <row r="269" ht="15.75" customHeight="1" s="58">
      <c r="A269" s="40" t="n"/>
      <c r="B269" s="40" t="n"/>
      <c r="C269" s="40" t="n"/>
      <c r="D269" s="40" t="n"/>
      <c r="E269" s="40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</row>
    <row r="270" ht="15.75" customHeight="1" s="58">
      <c r="A270" s="40" t="n"/>
      <c r="B270" s="40" t="n"/>
      <c r="C270" s="40" t="n"/>
      <c r="D270" s="40" t="n"/>
      <c r="E270" s="40" t="n"/>
      <c r="F270" s="40" t="n"/>
      <c r="G270" s="40" t="n"/>
      <c r="H270" s="40" t="n"/>
      <c r="I270" s="40" t="n"/>
      <c r="J270" s="40" t="n"/>
      <c r="K270" s="40" t="n"/>
      <c r="L270" s="40" t="n"/>
      <c r="M270" s="40" t="n"/>
      <c r="N270" s="40" t="n"/>
    </row>
    <row r="271" ht="15.75" customHeight="1" s="58">
      <c r="A271" s="40" t="n"/>
      <c r="B271" s="40" t="n"/>
      <c r="C271" s="40" t="n"/>
      <c r="D271" s="40" t="n"/>
      <c r="E271" s="40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</row>
    <row r="272" ht="15.75" customHeight="1" s="58">
      <c r="A272" s="40" t="n"/>
      <c r="B272" s="40" t="n"/>
      <c r="C272" s="40" t="n"/>
      <c r="D272" s="40" t="n"/>
      <c r="E272" s="40" t="n"/>
      <c r="F272" s="40" t="n"/>
      <c r="G272" s="40" t="n"/>
      <c r="H272" s="40" t="n"/>
      <c r="I272" s="40" t="n"/>
      <c r="J272" s="40" t="n"/>
      <c r="K272" s="40" t="n"/>
      <c r="L272" s="40" t="n"/>
      <c r="M272" s="40" t="n"/>
      <c r="N272" s="40" t="n"/>
    </row>
    <row r="273" ht="15.75" customHeight="1" s="58">
      <c r="A273" s="40" t="n"/>
      <c r="B273" s="40" t="n"/>
      <c r="C273" s="40" t="n"/>
      <c r="D273" s="40" t="n"/>
      <c r="E273" s="40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</row>
    <row r="274" ht="15.75" customHeight="1" s="58">
      <c r="A274" s="40" t="n"/>
      <c r="B274" s="40" t="n"/>
      <c r="C274" s="40" t="n"/>
      <c r="D274" s="40" t="n"/>
      <c r="E274" s="40" t="n"/>
      <c r="F274" s="40" t="n"/>
      <c r="G274" s="40" t="n"/>
      <c r="H274" s="40" t="n"/>
      <c r="I274" s="40" t="n"/>
      <c r="J274" s="40" t="n"/>
      <c r="K274" s="40" t="n"/>
      <c r="L274" s="40" t="n"/>
      <c r="M274" s="40" t="n"/>
      <c r="N274" s="40" t="n"/>
    </row>
    <row r="275" ht="15.75" customHeight="1" s="58">
      <c r="A275" s="40" t="n"/>
      <c r="B275" s="40" t="n"/>
      <c r="C275" s="40" t="n"/>
      <c r="D275" s="40" t="n"/>
      <c r="E275" s="40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</row>
    <row r="276" ht="15.75" customHeight="1" s="58">
      <c r="A276" s="40" t="n"/>
      <c r="B276" s="40" t="n"/>
      <c r="C276" s="40" t="n"/>
      <c r="D276" s="40" t="n"/>
      <c r="E276" s="40" t="n"/>
      <c r="F276" s="40" t="n"/>
      <c r="G276" s="40" t="n"/>
      <c r="H276" s="40" t="n"/>
      <c r="I276" s="40" t="n"/>
      <c r="J276" s="40" t="n"/>
      <c r="K276" s="40" t="n"/>
      <c r="L276" s="40" t="n"/>
      <c r="M276" s="40" t="n"/>
      <c r="N276" s="40" t="n"/>
    </row>
    <row r="277" ht="15.75" customHeight="1" s="58">
      <c r="A277" s="40" t="n"/>
      <c r="B277" s="40" t="n"/>
      <c r="C277" s="40" t="n"/>
      <c r="D277" s="40" t="n"/>
      <c r="E277" s="40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</row>
    <row r="278" ht="15.75" customHeight="1" s="58">
      <c r="A278" s="40" t="n"/>
      <c r="B278" s="40" t="n"/>
      <c r="C278" s="40" t="n"/>
      <c r="D278" s="40" t="n"/>
      <c r="E278" s="40" t="n"/>
      <c r="F278" s="40" t="n"/>
      <c r="G278" s="40" t="n"/>
      <c r="H278" s="40" t="n"/>
      <c r="I278" s="40" t="n"/>
      <c r="J278" s="40" t="n"/>
      <c r="K278" s="40" t="n"/>
      <c r="L278" s="40" t="n"/>
      <c r="M278" s="40" t="n"/>
      <c r="N278" s="40" t="n"/>
    </row>
    <row r="279" ht="15.75" customHeight="1" s="58">
      <c r="A279" s="40" t="n"/>
      <c r="B279" s="40" t="n"/>
      <c r="C279" s="40" t="n"/>
      <c r="D279" s="40" t="n"/>
      <c r="E279" s="40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</row>
    <row r="280" ht="15.75" customHeight="1" s="58">
      <c r="A280" s="40" t="n"/>
      <c r="B280" s="40" t="n"/>
      <c r="C280" s="40" t="n"/>
      <c r="D280" s="40" t="n"/>
      <c r="E280" s="40" t="n"/>
      <c r="F280" s="40" t="n"/>
      <c r="G280" s="40" t="n"/>
      <c r="H280" s="40" t="n"/>
      <c r="I280" s="40" t="n"/>
      <c r="J280" s="40" t="n"/>
      <c r="K280" s="40" t="n"/>
      <c r="L280" s="40" t="n"/>
      <c r="M280" s="40" t="n"/>
      <c r="N280" s="40" t="n"/>
    </row>
    <row r="281" ht="15.75" customHeight="1" s="58">
      <c r="A281" s="40" t="n"/>
      <c r="B281" s="40" t="n"/>
      <c r="C281" s="40" t="n"/>
      <c r="D281" s="40" t="n"/>
      <c r="E281" s="40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</row>
    <row r="282" ht="15.75" customHeight="1" s="58">
      <c r="A282" s="40" t="n"/>
      <c r="B282" s="40" t="n"/>
      <c r="C282" s="40" t="n"/>
      <c r="D282" s="40" t="n"/>
      <c r="E282" s="40" t="n"/>
      <c r="F282" s="40" t="n"/>
      <c r="G282" s="40" t="n"/>
      <c r="H282" s="40" t="n"/>
      <c r="I282" s="40" t="n"/>
      <c r="J282" s="40" t="n"/>
      <c r="K282" s="40" t="n"/>
      <c r="L282" s="40" t="n"/>
      <c r="M282" s="40" t="n"/>
      <c r="N282" s="40" t="n"/>
    </row>
    <row r="283" ht="15.75" customHeight="1" s="58">
      <c r="A283" s="40" t="n"/>
      <c r="B283" s="40" t="n"/>
      <c r="C283" s="40" t="n"/>
      <c r="D283" s="40" t="n"/>
      <c r="E283" s="40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</row>
    <row r="284" ht="15.75" customHeight="1" s="58">
      <c r="A284" s="40" t="n"/>
      <c r="B284" s="40" t="n"/>
      <c r="C284" s="40" t="n"/>
      <c r="D284" s="40" t="n"/>
      <c r="E284" s="40" t="n"/>
      <c r="F284" s="40" t="n"/>
      <c r="G284" s="40" t="n"/>
      <c r="H284" s="40" t="n"/>
      <c r="I284" s="40" t="n"/>
      <c r="J284" s="40" t="n"/>
      <c r="K284" s="40" t="n"/>
      <c r="L284" s="40" t="n"/>
      <c r="M284" s="40" t="n"/>
      <c r="N284" s="40" t="n"/>
    </row>
    <row r="285" ht="15.75" customHeight="1" s="58">
      <c r="A285" s="40" t="n"/>
      <c r="B285" s="40" t="n"/>
      <c r="C285" s="40" t="n"/>
      <c r="D285" s="40" t="n"/>
      <c r="E285" s="40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</row>
    <row r="286" ht="15.75" customHeight="1" s="58">
      <c r="A286" s="40" t="n"/>
      <c r="B286" s="40" t="n"/>
      <c r="C286" s="40" t="n"/>
      <c r="D286" s="40" t="n"/>
      <c r="E286" s="40" t="n"/>
      <c r="F286" s="40" t="n"/>
      <c r="G286" s="40" t="n"/>
      <c r="H286" s="40" t="n"/>
      <c r="I286" s="40" t="n"/>
      <c r="J286" s="40" t="n"/>
      <c r="K286" s="40" t="n"/>
      <c r="L286" s="40" t="n"/>
      <c r="M286" s="40" t="n"/>
      <c r="N286" s="40" t="n"/>
    </row>
    <row r="287" ht="15.75" customHeight="1" s="58">
      <c r="A287" s="40" t="n"/>
      <c r="B287" s="40" t="n"/>
      <c r="C287" s="40" t="n"/>
      <c r="D287" s="40" t="n"/>
      <c r="E287" s="40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</row>
    <row r="288" ht="15.75" customHeight="1" s="58">
      <c r="A288" s="40" t="n"/>
      <c r="B288" s="40" t="n"/>
      <c r="C288" s="40" t="n"/>
      <c r="D288" s="40" t="n"/>
      <c r="E288" s="40" t="n"/>
      <c r="F288" s="40" t="n"/>
      <c r="G288" s="40" t="n"/>
      <c r="H288" s="40" t="n"/>
      <c r="I288" s="40" t="n"/>
      <c r="J288" s="40" t="n"/>
      <c r="K288" s="40" t="n"/>
      <c r="L288" s="40" t="n"/>
      <c r="M288" s="40" t="n"/>
      <c r="N288" s="40" t="n"/>
    </row>
    <row r="289" ht="15.75" customHeight="1" s="58">
      <c r="A289" s="40" t="n"/>
      <c r="B289" s="40" t="n"/>
      <c r="C289" s="40" t="n"/>
      <c r="D289" s="40" t="n"/>
      <c r="E289" s="40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</row>
    <row r="290" ht="15.75" customHeight="1" s="58">
      <c r="A290" s="40" t="n"/>
      <c r="B290" s="40" t="n"/>
      <c r="C290" s="40" t="n"/>
      <c r="D290" s="40" t="n"/>
      <c r="E290" s="40" t="n"/>
      <c r="F290" s="40" t="n"/>
      <c r="G290" s="40" t="n"/>
      <c r="H290" s="40" t="n"/>
      <c r="I290" s="40" t="n"/>
      <c r="J290" s="40" t="n"/>
      <c r="K290" s="40" t="n"/>
      <c r="L290" s="40" t="n"/>
      <c r="M290" s="40" t="n"/>
      <c r="N290" s="40" t="n"/>
    </row>
    <row r="291" ht="15.75" customHeight="1" s="58">
      <c r="A291" s="40" t="n"/>
      <c r="B291" s="40" t="n"/>
      <c r="C291" s="40" t="n"/>
      <c r="D291" s="40" t="n"/>
      <c r="E291" s="40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</row>
    <row r="292" ht="15.75" customHeight="1" s="58">
      <c r="A292" s="40" t="n"/>
      <c r="B292" s="40" t="n"/>
      <c r="C292" s="40" t="n"/>
      <c r="D292" s="40" t="n"/>
      <c r="E292" s="40" t="n"/>
      <c r="F292" s="40" t="n"/>
      <c r="G292" s="40" t="n"/>
      <c r="H292" s="40" t="n"/>
      <c r="I292" s="40" t="n"/>
      <c r="J292" s="40" t="n"/>
      <c r="K292" s="40" t="n"/>
      <c r="L292" s="40" t="n"/>
      <c r="M292" s="40" t="n"/>
      <c r="N292" s="40" t="n"/>
    </row>
    <row r="293" ht="15.75" customHeight="1" s="58">
      <c r="A293" s="40" t="n"/>
      <c r="B293" s="40" t="n"/>
      <c r="C293" s="40" t="n"/>
      <c r="D293" s="40" t="n"/>
      <c r="E293" s="40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</row>
    <row r="294" ht="15.75" customHeight="1" s="58">
      <c r="A294" s="40" t="n"/>
      <c r="B294" s="40" t="n"/>
      <c r="C294" s="40" t="n"/>
      <c r="D294" s="40" t="n"/>
      <c r="E294" s="40" t="n"/>
      <c r="F294" s="40" t="n"/>
      <c r="G294" s="40" t="n"/>
      <c r="H294" s="40" t="n"/>
      <c r="I294" s="40" t="n"/>
      <c r="J294" s="40" t="n"/>
      <c r="K294" s="40" t="n"/>
      <c r="L294" s="40" t="n"/>
      <c r="M294" s="40" t="n"/>
      <c r="N294" s="40" t="n"/>
    </row>
    <row r="295" ht="15.75" customHeight="1" s="58">
      <c r="A295" s="40" t="n"/>
      <c r="B295" s="40" t="n"/>
      <c r="C295" s="40" t="n"/>
      <c r="D295" s="40" t="n"/>
      <c r="E295" s="40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</row>
    <row r="296" ht="15.75" customHeight="1" s="58">
      <c r="A296" s="40" t="n"/>
      <c r="B296" s="40" t="n"/>
      <c r="C296" s="40" t="n"/>
      <c r="D296" s="40" t="n"/>
      <c r="E296" s="40" t="n"/>
      <c r="F296" s="40" t="n"/>
      <c r="G296" s="40" t="n"/>
      <c r="H296" s="40" t="n"/>
      <c r="I296" s="40" t="n"/>
      <c r="J296" s="40" t="n"/>
      <c r="K296" s="40" t="n"/>
      <c r="L296" s="40" t="n"/>
      <c r="M296" s="40" t="n"/>
      <c r="N296" s="40" t="n"/>
    </row>
    <row r="297" ht="15.75" customHeight="1" s="58">
      <c r="A297" s="40" t="n"/>
      <c r="B297" s="40" t="n"/>
      <c r="C297" s="40" t="n"/>
      <c r="D297" s="40" t="n"/>
      <c r="E297" s="40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</row>
    <row r="298" ht="15.75" customHeight="1" s="58">
      <c r="A298" s="40" t="n"/>
      <c r="B298" s="40" t="n"/>
      <c r="C298" s="40" t="n"/>
      <c r="D298" s="40" t="n"/>
      <c r="E298" s="40" t="n"/>
      <c r="F298" s="40" t="n"/>
      <c r="G298" s="40" t="n"/>
      <c r="H298" s="40" t="n"/>
      <c r="I298" s="40" t="n"/>
      <c r="J298" s="40" t="n"/>
      <c r="K298" s="40" t="n"/>
      <c r="L298" s="40" t="n"/>
      <c r="M298" s="40" t="n"/>
      <c r="N298" s="40" t="n"/>
    </row>
    <row r="299" ht="15.75" customHeight="1" s="58">
      <c r="A299" s="40" t="n"/>
      <c r="B299" s="40" t="n"/>
      <c r="C299" s="40" t="n"/>
      <c r="D299" s="40" t="n"/>
      <c r="E299" s="40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</row>
    <row r="300" ht="15.75" customHeight="1" s="58">
      <c r="A300" s="40" t="n"/>
      <c r="B300" s="40" t="n"/>
      <c r="C300" s="40" t="n"/>
      <c r="D300" s="40" t="n"/>
      <c r="E300" s="40" t="n"/>
      <c r="F300" s="40" t="n"/>
      <c r="G300" s="40" t="n"/>
      <c r="H300" s="40" t="n"/>
      <c r="I300" s="40" t="n"/>
      <c r="J300" s="40" t="n"/>
      <c r="K300" s="40" t="n"/>
      <c r="L300" s="40" t="n"/>
      <c r="M300" s="40" t="n"/>
      <c r="N300" s="40" t="n"/>
    </row>
    <row r="301" ht="15.75" customHeight="1" s="58">
      <c r="A301" s="40" t="n"/>
      <c r="B301" s="40" t="n"/>
      <c r="C301" s="40" t="n"/>
      <c r="D301" s="40" t="n"/>
      <c r="E301" s="40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</row>
    <row r="302" ht="15.75" customHeight="1" s="58">
      <c r="A302" s="40" t="n"/>
      <c r="B302" s="40" t="n"/>
      <c r="C302" s="40" t="n"/>
      <c r="D302" s="40" t="n"/>
      <c r="E302" s="40" t="n"/>
      <c r="F302" s="40" t="n"/>
      <c r="G302" s="40" t="n"/>
      <c r="H302" s="40" t="n"/>
      <c r="I302" s="40" t="n"/>
      <c r="J302" s="40" t="n"/>
      <c r="K302" s="40" t="n"/>
      <c r="L302" s="40" t="n"/>
      <c r="M302" s="40" t="n"/>
      <c r="N302" s="40" t="n"/>
    </row>
    <row r="303" ht="15.75" customHeight="1" s="58">
      <c r="A303" s="40" t="n"/>
      <c r="B303" s="40" t="n"/>
      <c r="C303" s="40" t="n"/>
      <c r="D303" s="40" t="n"/>
      <c r="E303" s="40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</row>
    <row r="304" ht="15.75" customHeight="1" s="58">
      <c r="A304" s="40" t="n"/>
      <c r="B304" s="40" t="n"/>
      <c r="C304" s="40" t="n"/>
      <c r="D304" s="40" t="n"/>
      <c r="E304" s="40" t="n"/>
      <c r="F304" s="40" t="n"/>
      <c r="G304" s="40" t="n"/>
      <c r="H304" s="40" t="n"/>
      <c r="I304" s="40" t="n"/>
      <c r="J304" s="40" t="n"/>
      <c r="K304" s="40" t="n"/>
      <c r="L304" s="40" t="n"/>
      <c r="M304" s="40" t="n"/>
      <c r="N304" s="40" t="n"/>
    </row>
    <row r="305" ht="15.75" customHeight="1" s="58">
      <c r="A305" s="40" t="n"/>
      <c r="B305" s="40" t="n"/>
      <c r="C305" s="40" t="n"/>
      <c r="D305" s="40" t="n"/>
      <c r="E305" s="40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</row>
    <row r="306" ht="15.75" customHeight="1" s="58">
      <c r="A306" s="40" t="n"/>
      <c r="B306" s="40" t="n"/>
      <c r="C306" s="40" t="n"/>
      <c r="D306" s="40" t="n"/>
      <c r="E306" s="40" t="n"/>
      <c r="F306" s="40" t="n"/>
      <c r="G306" s="40" t="n"/>
      <c r="H306" s="40" t="n"/>
      <c r="I306" s="40" t="n"/>
      <c r="J306" s="40" t="n"/>
      <c r="K306" s="40" t="n"/>
      <c r="L306" s="40" t="n"/>
      <c r="M306" s="40" t="n"/>
      <c r="N306" s="40" t="n"/>
    </row>
    <row r="307" ht="15.75" customHeight="1" s="58">
      <c r="A307" s="40" t="n"/>
      <c r="B307" s="40" t="n"/>
      <c r="C307" s="40" t="n"/>
      <c r="D307" s="40" t="n"/>
      <c r="E307" s="40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</row>
    <row r="308" ht="15.75" customHeight="1" s="58">
      <c r="A308" s="40" t="n"/>
      <c r="B308" s="40" t="n"/>
      <c r="C308" s="40" t="n"/>
      <c r="D308" s="40" t="n"/>
      <c r="E308" s="40" t="n"/>
      <c r="F308" s="40" t="n"/>
      <c r="G308" s="40" t="n"/>
      <c r="H308" s="40" t="n"/>
      <c r="I308" s="40" t="n"/>
      <c r="J308" s="40" t="n"/>
      <c r="K308" s="40" t="n"/>
      <c r="L308" s="40" t="n"/>
      <c r="M308" s="40" t="n"/>
      <c r="N308" s="40" t="n"/>
    </row>
    <row r="309" ht="15.75" customHeight="1" s="58">
      <c r="A309" s="40" t="n"/>
      <c r="B309" s="40" t="n"/>
      <c r="C309" s="40" t="n"/>
      <c r="D309" s="40" t="n"/>
      <c r="E309" s="40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</row>
    <row r="310" ht="15.75" customHeight="1" s="58">
      <c r="A310" s="40" t="n"/>
      <c r="B310" s="40" t="n"/>
      <c r="C310" s="40" t="n"/>
      <c r="D310" s="40" t="n"/>
      <c r="E310" s="40" t="n"/>
      <c r="F310" s="40" t="n"/>
      <c r="G310" s="40" t="n"/>
      <c r="H310" s="40" t="n"/>
      <c r="I310" s="40" t="n"/>
      <c r="J310" s="40" t="n"/>
      <c r="K310" s="40" t="n"/>
      <c r="L310" s="40" t="n"/>
      <c r="M310" s="40" t="n"/>
      <c r="N310" s="40" t="n"/>
    </row>
    <row r="311" ht="15.75" customHeight="1" s="58">
      <c r="A311" s="40" t="n"/>
      <c r="B311" s="40" t="n"/>
      <c r="C311" s="40" t="n"/>
      <c r="D311" s="40" t="n"/>
      <c r="E311" s="40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</row>
    <row r="312" ht="15.75" customHeight="1" s="58">
      <c r="A312" s="40" t="n"/>
      <c r="B312" s="40" t="n"/>
      <c r="C312" s="40" t="n"/>
      <c r="D312" s="40" t="n"/>
      <c r="E312" s="40" t="n"/>
      <c r="F312" s="40" t="n"/>
      <c r="G312" s="40" t="n"/>
      <c r="H312" s="40" t="n"/>
      <c r="I312" s="40" t="n"/>
      <c r="J312" s="40" t="n"/>
      <c r="K312" s="40" t="n"/>
      <c r="L312" s="40" t="n"/>
      <c r="M312" s="40" t="n"/>
      <c r="N312" s="40" t="n"/>
    </row>
    <row r="313" ht="15.75" customHeight="1" s="58">
      <c r="A313" s="40" t="n"/>
      <c r="B313" s="40" t="n"/>
      <c r="C313" s="40" t="n"/>
      <c r="D313" s="40" t="n"/>
      <c r="E313" s="40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</row>
    <row r="314" ht="15.75" customHeight="1" s="58">
      <c r="A314" s="40" t="n"/>
      <c r="B314" s="40" t="n"/>
      <c r="C314" s="40" t="n"/>
      <c r="D314" s="40" t="n"/>
      <c r="E314" s="40" t="n"/>
      <c r="F314" s="40" t="n"/>
      <c r="G314" s="40" t="n"/>
      <c r="H314" s="40" t="n"/>
      <c r="I314" s="40" t="n"/>
      <c r="J314" s="40" t="n"/>
      <c r="K314" s="40" t="n"/>
      <c r="L314" s="40" t="n"/>
      <c r="M314" s="40" t="n"/>
      <c r="N314" s="40" t="n"/>
    </row>
    <row r="315" ht="15.75" customHeight="1" s="58">
      <c r="A315" s="40" t="n"/>
      <c r="B315" s="40" t="n"/>
      <c r="C315" s="40" t="n"/>
      <c r="D315" s="40" t="n"/>
      <c r="E315" s="40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</row>
    <row r="316" ht="15.75" customHeight="1" s="58">
      <c r="A316" s="40" t="n"/>
      <c r="B316" s="40" t="n"/>
      <c r="C316" s="40" t="n"/>
      <c r="D316" s="40" t="n"/>
      <c r="E316" s="40" t="n"/>
      <c r="F316" s="40" t="n"/>
      <c r="G316" s="40" t="n"/>
      <c r="H316" s="40" t="n"/>
      <c r="I316" s="40" t="n"/>
      <c r="J316" s="40" t="n"/>
      <c r="K316" s="40" t="n"/>
      <c r="L316" s="40" t="n"/>
      <c r="M316" s="40" t="n"/>
      <c r="N316" s="40" t="n"/>
    </row>
    <row r="317" ht="15.75" customHeight="1" s="58">
      <c r="A317" s="40" t="n"/>
      <c r="B317" s="40" t="n"/>
      <c r="C317" s="40" t="n"/>
      <c r="D317" s="40" t="n"/>
      <c r="E317" s="40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</row>
    <row r="318" ht="15.75" customHeight="1" s="58">
      <c r="A318" s="40" t="n"/>
      <c r="B318" s="40" t="n"/>
      <c r="C318" s="40" t="n"/>
      <c r="D318" s="40" t="n"/>
      <c r="E318" s="40" t="n"/>
      <c r="F318" s="40" t="n"/>
      <c r="G318" s="40" t="n"/>
      <c r="H318" s="40" t="n"/>
      <c r="I318" s="40" t="n"/>
      <c r="J318" s="40" t="n"/>
      <c r="K318" s="40" t="n"/>
      <c r="L318" s="40" t="n"/>
      <c r="M318" s="40" t="n"/>
      <c r="N318" s="40" t="n"/>
    </row>
    <row r="319" ht="15.75" customHeight="1" s="58">
      <c r="A319" s="40" t="n"/>
      <c r="B319" s="40" t="n"/>
      <c r="C319" s="40" t="n"/>
      <c r="D319" s="40" t="n"/>
      <c r="E319" s="40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</row>
    <row r="320" ht="15.75" customHeight="1" s="58">
      <c r="A320" s="40" t="n"/>
      <c r="B320" s="40" t="n"/>
      <c r="C320" s="40" t="n"/>
      <c r="D320" s="40" t="n"/>
      <c r="E320" s="40" t="n"/>
      <c r="F320" s="40" t="n"/>
      <c r="G320" s="40" t="n"/>
      <c r="H320" s="40" t="n"/>
      <c r="I320" s="40" t="n"/>
      <c r="J320" s="40" t="n"/>
      <c r="K320" s="40" t="n"/>
      <c r="L320" s="40" t="n"/>
      <c r="M320" s="40" t="n"/>
      <c r="N320" s="40" t="n"/>
    </row>
    <row r="321" ht="15.75" customHeight="1" s="58">
      <c r="A321" s="40" t="n"/>
      <c r="B321" s="40" t="n"/>
      <c r="C321" s="40" t="n"/>
      <c r="D321" s="40" t="n"/>
      <c r="E321" s="40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</row>
    <row r="322" ht="15.75" customHeight="1" s="58">
      <c r="A322" s="40" t="n"/>
      <c r="B322" s="40" t="n"/>
      <c r="C322" s="40" t="n"/>
      <c r="D322" s="40" t="n"/>
      <c r="E322" s="40" t="n"/>
      <c r="F322" s="40" t="n"/>
      <c r="G322" s="40" t="n"/>
      <c r="H322" s="40" t="n"/>
      <c r="I322" s="40" t="n"/>
      <c r="J322" s="40" t="n"/>
      <c r="K322" s="40" t="n"/>
      <c r="L322" s="40" t="n"/>
      <c r="M322" s="40" t="n"/>
      <c r="N322" s="40" t="n"/>
    </row>
    <row r="323" ht="15.75" customHeight="1" s="58">
      <c r="A323" s="40" t="n"/>
      <c r="B323" s="40" t="n"/>
      <c r="C323" s="40" t="n"/>
      <c r="D323" s="40" t="n"/>
      <c r="E323" s="40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</row>
    <row r="324" ht="15.75" customHeight="1" s="58">
      <c r="A324" s="40" t="n"/>
      <c r="B324" s="40" t="n"/>
      <c r="C324" s="40" t="n"/>
      <c r="D324" s="40" t="n"/>
      <c r="E324" s="40" t="n"/>
      <c r="F324" s="40" t="n"/>
      <c r="G324" s="40" t="n"/>
      <c r="H324" s="40" t="n"/>
      <c r="I324" s="40" t="n"/>
      <c r="J324" s="40" t="n"/>
      <c r="K324" s="40" t="n"/>
      <c r="L324" s="40" t="n"/>
      <c r="M324" s="40" t="n"/>
      <c r="N324" s="40" t="n"/>
    </row>
    <row r="325" ht="15.75" customHeight="1" s="58">
      <c r="A325" s="40" t="n"/>
      <c r="B325" s="40" t="n"/>
      <c r="C325" s="40" t="n"/>
      <c r="D325" s="40" t="n"/>
      <c r="E325" s="40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</row>
    <row r="326" ht="15.75" customHeight="1" s="58">
      <c r="A326" s="40" t="n"/>
      <c r="B326" s="40" t="n"/>
      <c r="C326" s="40" t="n"/>
      <c r="D326" s="40" t="n"/>
      <c r="E326" s="40" t="n"/>
      <c r="F326" s="40" t="n"/>
      <c r="G326" s="40" t="n"/>
      <c r="H326" s="40" t="n"/>
      <c r="I326" s="40" t="n"/>
      <c r="J326" s="40" t="n"/>
      <c r="K326" s="40" t="n"/>
      <c r="L326" s="40" t="n"/>
      <c r="M326" s="40" t="n"/>
      <c r="N326" s="40" t="n"/>
    </row>
    <row r="327" ht="15.75" customHeight="1" s="58">
      <c r="A327" s="40" t="n"/>
      <c r="B327" s="40" t="n"/>
      <c r="C327" s="40" t="n"/>
      <c r="D327" s="40" t="n"/>
      <c r="E327" s="40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</row>
    <row r="328" ht="15.75" customHeight="1" s="58">
      <c r="A328" s="40" t="n"/>
      <c r="B328" s="40" t="n"/>
      <c r="C328" s="40" t="n"/>
      <c r="D328" s="40" t="n"/>
      <c r="E328" s="40" t="n"/>
      <c r="F328" s="40" t="n"/>
      <c r="G328" s="40" t="n"/>
      <c r="H328" s="40" t="n"/>
      <c r="I328" s="40" t="n"/>
      <c r="J328" s="40" t="n"/>
      <c r="K328" s="40" t="n"/>
      <c r="L328" s="40" t="n"/>
      <c r="M328" s="40" t="n"/>
      <c r="N328" s="40" t="n"/>
    </row>
    <row r="329" ht="15.75" customHeight="1" s="58">
      <c r="A329" s="40" t="n"/>
      <c r="B329" s="40" t="n"/>
      <c r="C329" s="40" t="n"/>
      <c r="D329" s="40" t="n"/>
      <c r="E329" s="40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</row>
    <row r="330" ht="15.75" customHeight="1" s="58">
      <c r="A330" s="40" t="n"/>
      <c r="B330" s="40" t="n"/>
      <c r="C330" s="40" t="n"/>
      <c r="D330" s="40" t="n"/>
      <c r="E330" s="40" t="n"/>
      <c r="F330" s="40" t="n"/>
      <c r="G330" s="40" t="n"/>
      <c r="H330" s="40" t="n"/>
      <c r="I330" s="40" t="n"/>
      <c r="J330" s="40" t="n"/>
      <c r="K330" s="40" t="n"/>
      <c r="L330" s="40" t="n"/>
      <c r="M330" s="40" t="n"/>
      <c r="N330" s="40" t="n"/>
    </row>
    <row r="331" ht="15.75" customHeight="1" s="58">
      <c r="A331" s="40" t="n"/>
      <c r="B331" s="40" t="n"/>
      <c r="C331" s="40" t="n"/>
      <c r="D331" s="40" t="n"/>
      <c r="E331" s="40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</row>
    <row r="332" ht="15.75" customHeight="1" s="58">
      <c r="A332" s="40" t="n"/>
      <c r="B332" s="40" t="n"/>
      <c r="C332" s="40" t="n"/>
      <c r="D332" s="40" t="n"/>
      <c r="E332" s="40" t="n"/>
      <c r="F332" s="40" t="n"/>
      <c r="G332" s="40" t="n"/>
      <c r="H332" s="40" t="n"/>
      <c r="I332" s="40" t="n"/>
      <c r="J332" s="40" t="n"/>
      <c r="K332" s="40" t="n"/>
      <c r="L332" s="40" t="n"/>
      <c r="M332" s="40" t="n"/>
      <c r="N332" s="40" t="n"/>
    </row>
    <row r="333" ht="15.75" customHeight="1" s="58">
      <c r="A333" s="40" t="n"/>
      <c r="B333" s="40" t="n"/>
      <c r="C333" s="40" t="n"/>
      <c r="D333" s="40" t="n"/>
      <c r="E333" s="40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</row>
    <row r="334" ht="15.75" customHeight="1" s="58">
      <c r="A334" s="40" t="n"/>
      <c r="B334" s="40" t="n"/>
      <c r="C334" s="40" t="n"/>
      <c r="D334" s="40" t="n"/>
      <c r="E334" s="40" t="n"/>
      <c r="F334" s="40" t="n"/>
      <c r="G334" s="40" t="n"/>
      <c r="H334" s="40" t="n"/>
      <c r="I334" s="40" t="n"/>
      <c r="J334" s="40" t="n"/>
      <c r="K334" s="40" t="n"/>
      <c r="L334" s="40" t="n"/>
      <c r="M334" s="40" t="n"/>
      <c r="N334" s="40" t="n"/>
    </row>
    <row r="335" ht="15.75" customHeight="1" s="58">
      <c r="A335" s="40" t="n"/>
      <c r="B335" s="40" t="n"/>
      <c r="C335" s="40" t="n"/>
      <c r="D335" s="40" t="n"/>
      <c r="E335" s="40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</row>
    <row r="336" ht="15.75" customHeight="1" s="58">
      <c r="A336" s="40" t="n"/>
      <c r="B336" s="40" t="n"/>
      <c r="C336" s="40" t="n"/>
      <c r="D336" s="40" t="n"/>
      <c r="E336" s="40" t="n"/>
      <c r="F336" s="40" t="n"/>
      <c r="G336" s="40" t="n"/>
      <c r="H336" s="40" t="n"/>
      <c r="I336" s="40" t="n"/>
      <c r="J336" s="40" t="n"/>
      <c r="K336" s="40" t="n"/>
      <c r="L336" s="40" t="n"/>
      <c r="M336" s="40" t="n"/>
      <c r="N336" s="40" t="n"/>
    </row>
    <row r="337" ht="15.75" customHeight="1" s="58">
      <c r="A337" s="40" t="n"/>
      <c r="B337" s="40" t="n"/>
      <c r="C337" s="40" t="n"/>
      <c r="D337" s="40" t="n"/>
      <c r="E337" s="40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</row>
    <row r="338" ht="15.75" customHeight="1" s="58">
      <c r="A338" s="40" t="n"/>
      <c r="B338" s="40" t="n"/>
      <c r="C338" s="40" t="n"/>
      <c r="D338" s="40" t="n"/>
      <c r="E338" s="40" t="n"/>
      <c r="F338" s="40" t="n"/>
      <c r="G338" s="40" t="n"/>
      <c r="H338" s="40" t="n"/>
      <c r="I338" s="40" t="n"/>
      <c r="J338" s="40" t="n"/>
      <c r="K338" s="40" t="n"/>
      <c r="L338" s="40" t="n"/>
      <c r="M338" s="40" t="n"/>
      <c r="N338" s="40" t="n"/>
    </row>
    <row r="339" ht="15.75" customHeight="1" s="58">
      <c r="A339" s="40" t="n"/>
      <c r="B339" s="40" t="n"/>
      <c r="C339" s="40" t="n"/>
      <c r="D339" s="40" t="n"/>
      <c r="E339" s="40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</row>
    <row r="340" ht="15.75" customHeight="1" s="58">
      <c r="A340" s="40" t="n"/>
      <c r="B340" s="40" t="n"/>
      <c r="C340" s="40" t="n"/>
      <c r="D340" s="40" t="n"/>
      <c r="E340" s="40" t="n"/>
      <c r="F340" s="40" t="n"/>
      <c r="G340" s="40" t="n"/>
      <c r="H340" s="40" t="n"/>
      <c r="I340" s="40" t="n"/>
      <c r="J340" s="40" t="n"/>
      <c r="K340" s="40" t="n"/>
      <c r="L340" s="40" t="n"/>
      <c r="M340" s="40" t="n"/>
      <c r="N340" s="40" t="n"/>
    </row>
    <row r="341" ht="15.75" customHeight="1" s="58">
      <c r="A341" s="40" t="n"/>
      <c r="B341" s="40" t="n"/>
      <c r="C341" s="40" t="n"/>
      <c r="D341" s="40" t="n"/>
      <c r="E341" s="40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</row>
    <row r="342" ht="15.75" customHeight="1" s="58">
      <c r="A342" s="40" t="n"/>
      <c r="B342" s="40" t="n"/>
      <c r="C342" s="40" t="n"/>
      <c r="D342" s="40" t="n"/>
      <c r="E342" s="40" t="n"/>
      <c r="F342" s="40" t="n"/>
      <c r="G342" s="40" t="n"/>
      <c r="H342" s="40" t="n"/>
      <c r="I342" s="40" t="n"/>
      <c r="J342" s="40" t="n"/>
      <c r="K342" s="40" t="n"/>
      <c r="L342" s="40" t="n"/>
      <c r="M342" s="40" t="n"/>
      <c r="N342" s="40" t="n"/>
    </row>
    <row r="343" ht="15.75" customHeight="1" s="58">
      <c r="A343" s="40" t="n"/>
      <c r="B343" s="40" t="n"/>
      <c r="C343" s="40" t="n"/>
      <c r="D343" s="40" t="n"/>
      <c r="E343" s="40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</row>
    <row r="344" ht="15.75" customHeight="1" s="58">
      <c r="A344" s="40" t="n"/>
      <c r="B344" s="40" t="n"/>
      <c r="C344" s="40" t="n"/>
      <c r="D344" s="40" t="n"/>
      <c r="E344" s="40" t="n"/>
      <c r="F344" s="40" t="n"/>
      <c r="G344" s="40" t="n"/>
      <c r="H344" s="40" t="n"/>
      <c r="I344" s="40" t="n"/>
      <c r="J344" s="40" t="n"/>
      <c r="K344" s="40" t="n"/>
      <c r="L344" s="40" t="n"/>
      <c r="M344" s="40" t="n"/>
      <c r="N344" s="40" t="n"/>
    </row>
    <row r="345" ht="15.75" customHeight="1" s="58">
      <c r="A345" s="40" t="n"/>
      <c r="B345" s="40" t="n"/>
      <c r="C345" s="40" t="n"/>
      <c r="D345" s="40" t="n"/>
      <c r="E345" s="40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</row>
    <row r="346" ht="15.75" customHeight="1" s="58">
      <c r="A346" s="40" t="n"/>
      <c r="B346" s="40" t="n"/>
      <c r="C346" s="40" t="n"/>
      <c r="D346" s="40" t="n"/>
      <c r="E346" s="40" t="n"/>
      <c r="F346" s="40" t="n"/>
      <c r="G346" s="40" t="n"/>
      <c r="H346" s="40" t="n"/>
      <c r="I346" s="40" t="n"/>
      <c r="J346" s="40" t="n"/>
      <c r="K346" s="40" t="n"/>
      <c r="L346" s="40" t="n"/>
      <c r="M346" s="40" t="n"/>
      <c r="N346" s="40" t="n"/>
    </row>
    <row r="347" ht="15.75" customHeight="1" s="58">
      <c r="A347" s="40" t="n"/>
      <c r="B347" s="40" t="n"/>
      <c r="C347" s="40" t="n"/>
      <c r="D347" s="40" t="n"/>
      <c r="E347" s="40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</row>
    <row r="348" ht="15.75" customHeight="1" s="58">
      <c r="A348" s="40" t="n"/>
      <c r="B348" s="40" t="n"/>
      <c r="C348" s="40" t="n"/>
      <c r="D348" s="40" t="n"/>
      <c r="E348" s="40" t="n"/>
      <c r="F348" s="40" t="n"/>
      <c r="G348" s="40" t="n"/>
      <c r="H348" s="40" t="n"/>
      <c r="I348" s="40" t="n"/>
      <c r="J348" s="40" t="n"/>
      <c r="K348" s="40" t="n"/>
      <c r="L348" s="40" t="n"/>
      <c r="M348" s="40" t="n"/>
      <c r="N348" s="40" t="n"/>
    </row>
    <row r="349" ht="15.75" customHeight="1" s="58">
      <c r="A349" s="40" t="n"/>
      <c r="B349" s="40" t="n"/>
      <c r="C349" s="40" t="n"/>
      <c r="D349" s="40" t="n"/>
      <c r="E349" s="40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</row>
    <row r="350" ht="15.75" customHeight="1" s="58">
      <c r="A350" s="40" t="n"/>
      <c r="B350" s="40" t="n"/>
      <c r="C350" s="40" t="n"/>
      <c r="D350" s="40" t="n"/>
      <c r="E350" s="40" t="n"/>
      <c r="F350" s="40" t="n"/>
      <c r="G350" s="40" t="n"/>
      <c r="H350" s="40" t="n"/>
      <c r="I350" s="40" t="n"/>
      <c r="J350" s="40" t="n"/>
      <c r="K350" s="40" t="n"/>
      <c r="L350" s="40" t="n"/>
      <c r="M350" s="40" t="n"/>
      <c r="N350" s="40" t="n"/>
    </row>
    <row r="351" ht="15.75" customHeight="1" s="58">
      <c r="A351" s="40" t="n"/>
      <c r="B351" s="40" t="n"/>
      <c r="C351" s="40" t="n"/>
      <c r="D351" s="40" t="n"/>
      <c r="E351" s="40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</row>
    <row r="352" ht="15.75" customHeight="1" s="58">
      <c r="A352" s="40" t="n"/>
      <c r="B352" s="40" t="n"/>
      <c r="C352" s="40" t="n"/>
      <c r="D352" s="40" t="n"/>
      <c r="E352" s="40" t="n"/>
      <c r="F352" s="40" t="n"/>
      <c r="G352" s="40" t="n"/>
      <c r="H352" s="40" t="n"/>
      <c r="I352" s="40" t="n"/>
      <c r="J352" s="40" t="n"/>
      <c r="K352" s="40" t="n"/>
      <c r="L352" s="40" t="n"/>
      <c r="M352" s="40" t="n"/>
      <c r="N352" s="40" t="n"/>
    </row>
    <row r="353" ht="15.75" customHeight="1" s="58">
      <c r="A353" s="40" t="n"/>
      <c r="B353" s="40" t="n"/>
      <c r="C353" s="40" t="n"/>
      <c r="D353" s="40" t="n"/>
      <c r="E353" s="40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</row>
    <row r="354" ht="15.75" customHeight="1" s="58">
      <c r="A354" s="40" t="n"/>
      <c r="B354" s="40" t="n"/>
      <c r="C354" s="40" t="n"/>
      <c r="D354" s="40" t="n"/>
      <c r="E354" s="40" t="n"/>
      <c r="F354" s="40" t="n"/>
      <c r="G354" s="40" t="n"/>
      <c r="H354" s="40" t="n"/>
      <c r="I354" s="40" t="n"/>
      <c r="J354" s="40" t="n"/>
      <c r="K354" s="40" t="n"/>
      <c r="L354" s="40" t="n"/>
      <c r="M354" s="40" t="n"/>
      <c r="N354" s="40" t="n"/>
    </row>
    <row r="355" ht="15.75" customHeight="1" s="58">
      <c r="A355" s="40" t="n"/>
      <c r="B355" s="40" t="n"/>
      <c r="C355" s="40" t="n"/>
      <c r="D355" s="40" t="n"/>
      <c r="E355" s="40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</row>
    <row r="356" ht="15.75" customHeight="1" s="58">
      <c r="A356" s="40" t="n"/>
      <c r="B356" s="40" t="n"/>
      <c r="C356" s="40" t="n"/>
      <c r="D356" s="40" t="n"/>
      <c r="E356" s="40" t="n"/>
      <c r="F356" s="40" t="n"/>
      <c r="G356" s="40" t="n"/>
      <c r="H356" s="40" t="n"/>
      <c r="I356" s="40" t="n"/>
      <c r="J356" s="40" t="n"/>
      <c r="K356" s="40" t="n"/>
      <c r="L356" s="40" t="n"/>
      <c r="M356" s="40" t="n"/>
      <c r="N356" s="40" t="n"/>
    </row>
    <row r="357" ht="15.75" customHeight="1" s="58">
      <c r="A357" s="40" t="n"/>
      <c r="B357" s="40" t="n"/>
      <c r="C357" s="40" t="n"/>
      <c r="D357" s="40" t="n"/>
      <c r="E357" s="40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</row>
    <row r="358" ht="15.75" customHeight="1" s="58">
      <c r="A358" s="40" t="n"/>
      <c r="B358" s="40" t="n"/>
      <c r="C358" s="40" t="n"/>
      <c r="D358" s="40" t="n"/>
      <c r="E358" s="40" t="n"/>
      <c r="F358" s="40" t="n"/>
      <c r="G358" s="40" t="n"/>
      <c r="H358" s="40" t="n"/>
      <c r="I358" s="40" t="n"/>
      <c r="J358" s="40" t="n"/>
      <c r="K358" s="40" t="n"/>
      <c r="L358" s="40" t="n"/>
      <c r="M358" s="40" t="n"/>
      <c r="N358" s="40" t="n"/>
    </row>
    <row r="359" ht="15.75" customHeight="1" s="58">
      <c r="A359" s="40" t="n"/>
      <c r="B359" s="40" t="n"/>
      <c r="C359" s="40" t="n"/>
      <c r="D359" s="40" t="n"/>
      <c r="E359" s="40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</row>
    <row r="360" ht="15.75" customHeight="1" s="58">
      <c r="A360" s="40" t="n"/>
      <c r="B360" s="40" t="n"/>
      <c r="C360" s="40" t="n"/>
      <c r="D360" s="40" t="n"/>
      <c r="E360" s="40" t="n"/>
      <c r="F360" s="40" t="n"/>
      <c r="G360" s="40" t="n"/>
      <c r="H360" s="40" t="n"/>
      <c r="I360" s="40" t="n"/>
      <c r="J360" s="40" t="n"/>
      <c r="K360" s="40" t="n"/>
      <c r="L360" s="40" t="n"/>
      <c r="M360" s="40" t="n"/>
      <c r="N360" s="40" t="n"/>
    </row>
    <row r="361" ht="15.75" customHeight="1" s="58">
      <c r="A361" s="40" t="n"/>
      <c r="B361" s="40" t="n"/>
      <c r="C361" s="40" t="n"/>
      <c r="D361" s="40" t="n"/>
      <c r="E361" s="40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</row>
    <row r="362" ht="15.75" customHeight="1" s="58">
      <c r="A362" s="40" t="n"/>
      <c r="B362" s="40" t="n"/>
      <c r="C362" s="40" t="n"/>
      <c r="D362" s="40" t="n"/>
      <c r="E362" s="40" t="n"/>
      <c r="F362" s="40" t="n"/>
      <c r="G362" s="40" t="n"/>
      <c r="H362" s="40" t="n"/>
      <c r="I362" s="40" t="n"/>
      <c r="J362" s="40" t="n"/>
      <c r="K362" s="40" t="n"/>
      <c r="L362" s="40" t="n"/>
      <c r="M362" s="40" t="n"/>
      <c r="N362" s="40" t="n"/>
    </row>
    <row r="363" ht="15.75" customHeight="1" s="58">
      <c r="A363" s="40" t="n"/>
      <c r="B363" s="40" t="n"/>
      <c r="C363" s="40" t="n"/>
      <c r="D363" s="40" t="n"/>
      <c r="E363" s="40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</row>
    <row r="364" ht="15.75" customHeight="1" s="58">
      <c r="A364" s="40" t="n"/>
      <c r="B364" s="40" t="n"/>
      <c r="C364" s="40" t="n"/>
      <c r="D364" s="40" t="n"/>
      <c r="E364" s="40" t="n"/>
      <c r="F364" s="40" t="n"/>
      <c r="G364" s="40" t="n"/>
      <c r="H364" s="40" t="n"/>
      <c r="I364" s="40" t="n"/>
      <c r="J364" s="40" t="n"/>
      <c r="K364" s="40" t="n"/>
      <c r="L364" s="40" t="n"/>
      <c r="M364" s="40" t="n"/>
      <c r="N364" s="40" t="n"/>
    </row>
    <row r="365" ht="15.75" customHeight="1" s="58">
      <c r="A365" s="40" t="n"/>
      <c r="B365" s="40" t="n"/>
      <c r="C365" s="40" t="n"/>
      <c r="D365" s="40" t="n"/>
      <c r="E365" s="40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</row>
    <row r="366" ht="15.75" customHeight="1" s="58">
      <c r="A366" s="40" t="n"/>
      <c r="B366" s="40" t="n"/>
      <c r="C366" s="40" t="n"/>
      <c r="D366" s="40" t="n"/>
      <c r="E366" s="40" t="n"/>
      <c r="F366" s="40" t="n"/>
      <c r="G366" s="40" t="n"/>
      <c r="H366" s="40" t="n"/>
      <c r="I366" s="40" t="n"/>
      <c r="J366" s="40" t="n"/>
      <c r="K366" s="40" t="n"/>
      <c r="L366" s="40" t="n"/>
      <c r="M366" s="40" t="n"/>
      <c r="N366" s="40" t="n"/>
    </row>
    <row r="367" ht="15.75" customHeight="1" s="58">
      <c r="A367" s="40" t="n"/>
      <c r="B367" s="40" t="n"/>
      <c r="C367" s="40" t="n"/>
      <c r="D367" s="40" t="n"/>
      <c r="E367" s="40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</row>
    <row r="368" ht="15.75" customHeight="1" s="58">
      <c r="A368" s="40" t="n"/>
      <c r="B368" s="40" t="n"/>
      <c r="C368" s="40" t="n"/>
      <c r="D368" s="40" t="n"/>
      <c r="E368" s="40" t="n"/>
      <c r="F368" s="40" t="n"/>
      <c r="G368" s="40" t="n"/>
      <c r="H368" s="40" t="n"/>
      <c r="I368" s="40" t="n"/>
      <c r="J368" s="40" t="n"/>
      <c r="K368" s="40" t="n"/>
      <c r="L368" s="40" t="n"/>
      <c r="M368" s="40" t="n"/>
      <c r="N368" s="40" t="n"/>
    </row>
    <row r="369" ht="15.75" customHeight="1" s="58">
      <c r="A369" s="40" t="n"/>
      <c r="B369" s="40" t="n"/>
      <c r="C369" s="40" t="n"/>
      <c r="D369" s="40" t="n"/>
      <c r="E369" s="40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</row>
    <row r="370" ht="15.75" customHeight="1" s="58">
      <c r="A370" s="40" t="n"/>
      <c r="B370" s="40" t="n"/>
      <c r="C370" s="40" t="n"/>
      <c r="D370" s="40" t="n"/>
      <c r="E370" s="40" t="n"/>
      <c r="F370" s="40" t="n"/>
      <c r="G370" s="40" t="n"/>
      <c r="H370" s="40" t="n"/>
      <c r="I370" s="40" t="n"/>
      <c r="J370" s="40" t="n"/>
      <c r="K370" s="40" t="n"/>
      <c r="L370" s="40" t="n"/>
      <c r="M370" s="40" t="n"/>
      <c r="N370" s="40" t="n"/>
    </row>
    <row r="371" ht="15.75" customHeight="1" s="58">
      <c r="A371" s="40" t="n"/>
      <c r="B371" s="40" t="n"/>
      <c r="C371" s="40" t="n"/>
      <c r="D371" s="40" t="n"/>
      <c r="E371" s="40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</row>
    <row r="372" ht="15.75" customHeight="1" s="58">
      <c r="A372" s="40" t="n"/>
      <c r="B372" s="40" t="n"/>
      <c r="C372" s="40" t="n"/>
      <c r="D372" s="40" t="n"/>
      <c r="E372" s="40" t="n"/>
      <c r="F372" s="40" t="n"/>
      <c r="G372" s="40" t="n"/>
      <c r="H372" s="40" t="n"/>
      <c r="I372" s="40" t="n"/>
      <c r="J372" s="40" t="n"/>
      <c r="K372" s="40" t="n"/>
      <c r="L372" s="40" t="n"/>
      <c r="M372" s="40" t="n"/>
      <c r="N372" s="40" t="n"/>
    </row>
    <row r="373" ht="15.75" customHeight="1" s="58">
      <c r="A373" s="40" t="n"/>
      <c r="B373" s="40" t="n"/>
      <c r="C373" s="40" t="n"/>
      <c r="D373" s="40" t="n"/>
      <c r="E373" s="40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</row>
    <row r="374" ht="15.75" customHeight="1" s="58">
      <c r="A374" s="40" t="n"/>
      <c r="B374" s="40" t="n"/>
      <c r="C374" s="40" t="n"/>
      <c r="D374" s="40" t="n"/>
      <c r="E374" s="40" t="n"/>
      <c r="F374" s="40" t="n"/>
      <c r="G374" s="40" t="n"/>
      <c r="H374" s="40" t="n"/>
      <c r="I374" s="40" t="n"/>
      <c r="J374" s="40" t="n"/>
      <c r="K374" s="40" t="n"/>
      <c r="L374" s="40" t="n"/>
      <c r="M374" s="40" t="n"/>
      <c r="N374" s="40" t="n"/>
    </row>
    <row r="375" ht="15.75" customHeight="1" s="58">
      <c r="A375" s="40" t="n"/>
      <c r="B375" s="40" t="n"/>
      <c r="C375" s="40" t="n"/>
      <c r="D375" s="40" t="n"/>
      <c r="E375" s="40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</row>
    <row r="376" ht="15.75" customHeight="1" s="58">
      <c r="A376" s="40" t="n"/>
      <c r="B376" s="40" t="n"/>
      <c r="C376" s="40" t="n"/>
      <c r="D376" s="40" t="n"/>
      <c r="E376" s="40" t="n"/>
      <c r="F376" s="40" t="n"/>
      <c r="G376" s="40" t="n"/>
      <c r="H376" s="40" t="n"/>
      <c r="I376" s="40" t="n"/>
      <c r="J376" s="40" t="n"/>
      <c r="K376" s="40" t="n"/>
      <c r="L376" s="40" t="n"/>
      <c r="M376" s="40" t="n"/>
      <c r="N376" s="40" t="n"/>
    </row>
    <row r="377" ht="15.75" customHeight="1" s="58">
      <c r="A377" s="40" t="n"/>
      <c r="B377" s="40" t="n"/>
      <c r="C377" s="40" t="n"/>
      <c r="D377" s="40" t="n"/>
      <c r="E377" s="40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</row>
    <row r="378" ht="15.75" customHeight="1" s="58">
      <c r="A378" s="40" t="n"/>
      <c r="B378" s="40" t="n"/>
      <c r="C378" s="40" t="n"/>
      <c r="D378" s="40" t="n"/>
      <c r="E378" s="40" t="n"/>
      <c r="F378" s="40" t="n"/>
      <c r="G378" s="40" t="n"/>
      <c r="H378" s="40" t="n"/>
      <c r="I378" s="40" t="n"/>
      <c r="J378" s="40" t="n"/>
      <c r="K378" s="40" t="n"/>
      <c r="L378" s="40" t="n"/>
      <c r="M378" s="40" t="n"/>
      <c r="N378" s="40" t="n"/>
    </row>
    <row r="379" ht="15.75" customHeight="1" s="58">
      <c r="A379" s="40" t="n"/>
      <c r="B379" s="40" t="n"/>
      <c r="C379" s="40" t="n"/>
      <c r="D379" s="40" t="n"/>
      <c r="E379" s="40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</row>
    <row r="380" ht="15.75" customHeight="1" s="58">
      <c r="A380" s="40" t="n"/>
      <c r="B380" s="40" t="n"/>
      <c r="C380" s="40" t="n"/>
      <c r="D380" s="40" t="n"/>
      <c r="E380" s="40" t="n"/>
      <c r="F380" s="40" t="n"/>
      <c r="G380" s="40" t="n"/>
      <c r="H380" s="40" t="n"/>
      <c r="I380" s="40" t="n"/>
      <c r="J380" s="40" t="n"/>
      <c r="K380" s="40" t="n"/>
      <c r="L380" s="40" t="n"/>
      <c r="M380" s="40" t="n"/>
      <c r="N380" s="40" t="n"/>
    </row>
    <row r="381" ht="15.75" customHeight="1" s="58">
      <c r="A381" s="40" t="n"/>
      <c r="B381" s="40" t="n"/>
      <c r="C381" s="40" t="n"/>
      <c r="D381" s="40" t="n"/>
      <c r="E381" s="40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</row>
    <row r="382" ht="15.75" customHeight="1" s="58">
      <c r="A382" s="40" t="n"/>
      <c r="B382" s="40" t="n"/>
      <c r="C382" s="40" t="n"/>
      <c r="D382" s="40" t="n"/>
      <c r="E382" s="40" t="n"/>
      <c r="F382" s="40" t="n"/>
      <c r="G382" s="40" t="n"/>
      <c r="H382" s="40" t="n"/>
      <c r="I382" s="40" t="n"/>
      <c r="J382" s="40" t="n"/>
      <c r="K382" s="40" t="n"/>
      <c r="L382" s="40" t="n"/>
      <c r="M382" s="40" t="n"/>
      <c r="N382" s="40" t="n"/>
    </row>
    <row r="383" ht="15.75" customHeight="1" s="58">
      <c r="A383" s="40" t="n"/>
      <c r="B383" s="40" t="n"/>
      <c r="C383" s="40" t="n"/>
      <c r="D383" s="40" t="n"/>
      <c r="E383" s="40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</row>
    <row r="384" ht="15.75" customHeight="1" s="58">
      <c r="A384" s="40" t="n"/>
      <c r="B384" s="40" t="n"/>
      <c r="C384" s="40" t="n"/>
      <c r="D384" s="40" t="n"/>
      <c r="E384" s="40" t="n"/>
      <c r="F384" s="40" t="n"/>
      <c r="G384" s="40" t="n"/>
      <c r="H384" s="40" t="n"/>
      <c r="I384" s="40" t="n"/>
      <c r="J384" s="40" t="n"/>
      <c r="K384" s="40" t="n"/>
      <c r="L384" s="40" t="n"/>
      <c r="M384" s="40" t="n"/>
      <c r="N384" s="40" t="n"/>
    </row>
    <row r="385" ht="15.75" customHeight="1" s="58">
      <c r="A385" s="40" t="n"/>
      <c r="B385" s="40" t="n"/>
      <c r="C385" s="40" t="n"/>
      <c r="D385" s="40" t="n"/>
      <c r="E385" s="40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</row>
    <row r="386" ht="15.75" customHeight="1" s="58">
      <c r="A386" s="40" t="n"/>
      <c r="B386" s="40" t="n"/>
      <c r="C386" s="40" t="n"/>
      <c r="D386" s="40" t="n"/>
      <c r="E386" s="40" t="n"/>
      <c r="F386" s="40" t="n"/>
      <c r="G386" s="40" t="n"/>
      <c r="H386" s="40" t="n"/>
      <c r="I386" s="40" t="n"/>
      <c r="J386" s="40" t="n"/>
      <c r="K386" s="40" t="n"/>
      <c r="L386" s="40" t="n"/>
      <c r="M386" s="40" t="n"/>
      <c r="N386" s="40" t="n"/>
    </row>
    <row r="387" ht="15.75" customHeight="1" s="58">
      <c r="A387" s="40" t="n"/>
      <c r="B387" s="40" t="n"/>
      <c r="C387" s="40" t="n"/>
      <c r="D387" s="40" t="n"/>
      <c r="E387" s="40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</row>
    <row r="388" ht="15.75" customHeight="1" s="58">
      <c r="A388" s="40" t="n"/>
      <c r="B388" s="40" t="n"/>
      <c r="C388" s="40" t="n"/>
      <c r="D388" s="40" t="n"/>
      <c r="E388" s="40" t="n"/>
      <c r="F388" s="40" t="n"/>
      <c r="G388" s="40" t="n"/>
      <c r="H388" s="40" t="n"/>
      <c r="I388" s="40" t="n"/>
      <c r="J388" s="40" t="n"/>
      <c r="K388" s="40" t="n"/>
      <c r="L388" s="40" t="n"/>
      <c r="M388" s="40" t="n"/>
      <c r="N388" s="40" t="n"/>
    </row>
    <row r="389" ht="15.75" customHeight="1" s="58">
      <c r="A389" s="40" t="n"/>
      <c r="B389" s="40" t="n"/>
      <c r="C389" s="40" t="n"/>
      <c r="D389" s="40" t="n"/>
      <c r="E389" s="40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</row>
    <row r="390" ht="15.75" customHeight="1" s="58">
      <c r="A390" s="40" t="n"/>
      <c r="B390" s="40" t="n"/>
      <c r="C390" s="40" t="n"/>
      <c r="D390" s="40" t="n"/>
      <c r="E390" s="40" t="n"/>
      <c r="F390" s="40" t="n"/>
      <c r="G390" s="40" t="n"/>
      <c r="H390" s="40" t="n"/>
      <c r="I390" s="40" t="n"/>
      <c r="J390" s="40" t="n"/>
      <c r="K390" s="40" t="n"/>
      <c r="L390" s="40" t="n"/>
      <c r="M390" s="40" t="n"/>
      <c r="N390" s="40" t="n"/>
    </row>
    <row r="391" ht="15.75" customHeight="1" s="58">
      <c r="A391" s="40" t="n"/>
      <c r="B391" s="40" t="n"/>
      <c r="C391" s="40" t="n"/>
      <c r="D391" s="40" t="n"/>
      <c r="E391" s="40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</row>
    <row r="392" ht="15.75" customHeight="1" s="58">
      <c r="A392" s="40" t="n"/>
      <c r="B392" s="40" t="n"/>
      <c r="C392" s="40" t="n"/>
      <c r="D392" s="40" t="n"/>
      <c r="E392" s="40" t="n"/>
      <c r="F392" s="40" t="n"/>
      <c r="G392" s="40" t="n"/>
      <c r="H392" s="40" t="n"/>
      <c r="I392" s="40" t="n"/>
      <c r="J392" s="40" t="n"/>
      <c r="K392" s="40" t="n"/>
      <c r="L392" s="40" t="n"/>
      <c r="M392" s="40" t="n"/>
      <c r="N392" s="40" t="n"/>
    </row>
    <row r="393" ht="15.75" customHeight="1" s="58">
      <c r="A393" s="40" t="n"/>
      <c r="B393" s="40" t="n"/>
      <c r="C393" s="40" t="n"/>
      <c r="D393" s="40" t="n"/>
      <c r="E393" s="40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</row>
    <row r="394" ht="15.75" customHeight="1" s="58">
      <c r="A394" s="40" t="n"/>
      <c r="B394" s="40" t="n"/>
      <c r="C394" s="40" t="n"/>
      <c r="D394" s="40" t="n"/>
      <c r="E394" s="40" t="n"/>
      <c r="F394" s="40" t="n"/>
      <c r="G394" s="40" t="n"/>
      <c r="H394" s="40" t="n"/>
      <c r="I394" s="40" t="n"/>
      <c r="J394" s="40" t="n"/>
      <c r="K394" s="40" t="n"/>
      <c r="L394" s="40" t="n"/>
      <c r="M394" s="40" t="n"/>
      <c r="N394" s="40" t="n"/>
    </row>
    <row r="395" ht="15.75" customHeight="1" s="58">
      <c r="A395" s="40" t="n"/>
      <c r="B395" s="40" t="n"/>
      <c r="C395" s="40" t="n"/>
      <c r="D395" s="40" t="n"/>
      <c r="E395" s="40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</row>
    <row r="396" ht="15.75" customHeight="1" s="58">
      <c r="A396" s="40" t="n"/>
      <c r="B396" s="40" t="n"/>
      <c r="C396" s="40" t="n"/>
      <c r="D396" s="40" t="n"/>
      <c r="E396" s="40" t="n"/>
      <c r="F396" s="40" t="n"/>
      <c r="G396" s="40" t="n"/>
      <c r="H396" s="40" t="n"/>
      <c r="I396" s="40" t="n"/>
      <c r="J396" s="40" t="n"/>
      <c r="K396" s="40" t="n"/>
      <c r="L396" s="40" t="n"/>
      <c r="M396" s="40" t="n"/>
      <c r="N396" s="40" t="n"/>
    </row>
    <row r="397" ht="15.75" customHeight="1" s="58">
      <c r="A397" s="40" t="n"/>
      <c r="B397" s="40" t="n"/>
      <c r="C397" s="40" t="n"/>
      <c r="D397" s="40" t="n"/>
      <c r="E397" s="40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</row>
    <row r="398" ht="15.75" customHeight="1" s="58">
      <c r="A398" s="40" t="n"/>
      <c r="B398" s="40" t="n"/>
      <c r="C398" s="40" t="n"/>
      <c r="D398" s="40" t="n"/>
      <c r="E398" s="40" t="n"/>
      <c r="F398" s="40" t="n"/>
      <c r="G398" s="40" t="n"/>
      <c r="H398" s="40" t="n"/>
      <c r="I398" s="40" t="n"/>
      <c r="J398" s="40" t="n"/>
      <c r="K398" s="40" t="n"/>
      <c r="L398" s="40" t="n"/>
      <c r="M398" s="40" t="n"/>
      <c r="N398" s="40" t="n"/>
    </row>
    <row r="399" ht="15.75" customHeight="1" s="58">
      <c r="A399" s="40" t="n"/>
      <c r="B399" s="40" t="n"/>
      <c r="C399" s="40" t="n"/>
      <c r="D399" s="40" t="n"/>
      <c r="E399" s="40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</row>
    <row r="400" ht="15.75" customHeight="1" s="58">
      <c r="A400" s="40" t="n"/>
      <c r="B400" s="40" t="n"/>
      <c r="C400" s="40" t="n"/>
      <c r="D400" s="40" t="n"/>
      <c r="E400" s="40" t="n"/>
      <c r="F400" s="40" t="n"/>
      <c r="G400" s="40" t="n"/>
      <c r="H400" s="40" t="n"/>
      <c r="I400" s="40" t="n"/>
      <c r="J400" s="40" t="n"/>
      <c r="K400" s="40" t="n"/>
      <c r="L400" s="40" t="n"/>
      <c r="M400" s="40" t="n"/>
      <c r="N400" s="40" t="n"/>
    </row>
    <row r="401" ht="15.75" customHeight="1" s="58">
      <c r="A401" s="40" t="n"/>
      <c r="B401" s="40" t="n"/>
      <c r="C401" s="40" t="n"/>
      <c r="D401" s="40" t="n"/>
      <c r="E401" s="40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</row>
    <row r="402" ht="15.75" customHeight="1" s="58">
      <c r="A402" s="40" t="n"/>
      <c r="B402" s="40" t="n"/>
      <c r="C402" s="40" t="n"/>
      <c r="D402" s="40" t="n"/>
      <c r="E402" s="40" t="n"/>
      <c r="F402" s="40" t="n"/>
      <c r="G402" s="40" t="n"/>
      <c r="H402" s="40" t="n"/>
      <c r="I402" s="40" t="n"/>
      <c r="J402" s="40" t="n"/>
      <c r="K402" s="40" t="n"/>
      <c r="L402" s="40" t="n"/>
      <c r="M402" s="40" t="n"/>
      <c r="N402" s="40" t="n"/>
    </row>
    <row r="403" ht="15.75" customHeight="1" s="58">
      <c r="A403" s="40" t="n"/>
      <c r="B403" s="40" t="n"/>
      <c r="C403" s="40" t="n"/>
      <c r="D403" s="40" t="n"/>
      <c r="E403" s="40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</row>
    <row r="404" ht="15.75" customHeight="1" s="58">
      <c r="A404" s="40" t="n"/>
      <c r="B404" s="40" t="n"/>
      <c r="C404" s="40" t="n"/>
      <c r="D404" s="40" t="n"/>
      <c r="E404" s="40" t="n"/>
      <c r="F404" s="40" t="n"/>
      <c r="G404" s="40" t="n"/>
      <c r="H404" s="40" t="n"/>
      <c r="I404" s="40" t="n"/>
      <c r="J404" s="40" t="n"/>
      <c r="K404" s="40" t="n"/>
      <c r="L404" s="40" t="n"/>
      <c r="M404" s="40" t="n"/>
      <c r="N404" s="40" t="n"/>
    </row>
    <row r="405" ht="15.75" customHeight="1" s="58">
      <c r="A405" s="40" t="n"/>
      <c r="B405" s="40" t="n"/>
      <c r="C405" s="40" t="n"/>
      <c r="D405" s="40" t="n"/>
      <c r="E405" s="40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</row>
    <row r="406" ht="15.75" customHeight="1" s="58">
      <c r="A406" s="40" t="n"/>
      <c r="B406" s="40" t="n"/>
      <c r="C406" s="40" t="n"/>
      <c r="D406" s="40" t="n"/>
      <c r="E406" s="40" t="n"/>
      <c r="F406" s="40" t="n"/>
      <c r="G406" s="40" t="n"/>
      <c r="H406" s="40" t="n"/>
      <c r="I406" s="40" t="n"/>
      <c r="J406" s="40" t="n"/>
      <c r="K406" s="40" t="n"/>
      <c r="L406" s="40" t="n"/>
      <c r="M406" s="40" t="n"/>
      <c r="N406" s="40" t="n"/>
    </row>
    <row r="407" ht="15.75" customHeight="1" s="58">
      <c r="A407" s="40" t="n"/>
      <c r="B407" s="40" t="n"/>
      <c r="C407" s="40" t="n"/>
      <c r="D407" s="40" t="n"/>
      <c r="E407" s="40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</row>
    <row r="408" ht="15.75" customHeight="1" s="58">
      <c r="A408" s="40" t="n"/>
      <c r="B408" s="40" t="n"/>
      <c r="C408" s="40" t="n"/>
      <c r="D408" s="40" t="n"/>
      <c r="E408" s="40" t="n"/>
      <c r="F408" s="40" t="n"/>
      <c r="G408" s="40" t="n"/>
      <c r="H408" s="40" t="n"/>
      <c r="I408" s="40" t="n"/>
      <c r="J408" s="40" t="n"/>
      <c r="K408" s="40" t="n"/>
      <c r="L408" s="40" t="n"/>
      <c r="M408" s="40" t="n"/>
      <c r="N408" s="40" t="n"/>
    </row>
    <row r="409" ht="15.75" customHeight="1" s="58">
      <c r="A409" s="40" t="n"/>
      <c r="B409" s="40" t="n"/>
      <c r="C409" s="40" t="n"/>
      <c r="D409" s="40" t="n"/>
      <c r="E409" s="40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</row>
    <row r="410" ht="15.75" customHeight="1" s="58">
      <c r="A410" s="40" t="n"/>
      <c r="B410" s="40" t="n"/>
      <c r="C410" s="40" t="n"/>
      <c r="D410" s="40" t="n"/>
      <c r="E410" s="40" t="n"/>
      <c r="F410" s="40" t="n"/>
      <c r="G410" s="40" t="n"/>
      <c r="H410" s="40" t="n"/>
      <c r="I410" s="40" t="n"/>
      <c r="J410" s="40" t="n"/>
      <c r="K410" s="40" t="n"/>
      <c r="L410" s="40" t="n"/>
      <c r="M410" s="40" t="n"/>
      <c r="N410" s="40" t="n"/>
    </row>
    <row r="411" ht="15.75" customHeight="1" s="58">
      <c r="A411" s="40" t="n"/>
      <c r="B411" s="40" t="n"/>
      <c r="C411" s="40" t="n"/>
      <c r="D411" s="40" t="n"/>
      <c r="E411" s="40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</row>
    <row r="412" ht="15.75" customHeight="1" s="58">
      <c r="A412" s="40" t="n"/>
      <c r="B412" s="40" t="n"/>
      <c r="C412" s="40" t="n"/>
      <c r="D412" s="40" t="n"/>
      <c r="E412" s="40" t="n"/>
      <c r="F412" s="40" t="n"/>
      <c r="G412" s="40" t="n"/>
      <c r="H412" s="40" t="n"/>
      <c r="I412" s="40" t="n"/>
      <c r="J412" s="40" t="n"/>
      <c r="K412" s="40" t="n"/>
      <c r="L412" s="40" t="n"/>
      <c r="M412" s="40" t="n"/>
      <c r="N412" s="40" t="n"/>
    </row>
    <row r="413" ht="15.75" customHeight="1" s="58">
      <c r="A413" s="40" t="n"/>
      <c r="B413" s="40" t="n"/>
      <c r="C413" s="40" t="n"/>
      <c r="D413" s="40" t="n"/>
      <c r="E413" s="40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</row>
    <row r="414" ht="15.75" customHeight="1" s="58">
      <c r="A414" s="40" t="n"/>
      <c r="B414" s="40" t="n"/>
      <c r="C414" s="40" t="n"/>
      <c r="D414" s="40" t="n"/>
      <c r="E414" s="40" t="n"/>
      <c r="F414" s="40" t="n"/>
      <c r="G414" s="40" t="n"/>
      <c r="H414" s="40" t="n"/>
      <c r="I414" s="40" t="n"/>
      <c r="J414" s="40" t="n"/>
      <c r="K414" s="40" t="n"/>
      <c r="L414" s="40" t="n"/>
      <c r="M414" s="40" t="n"/>
      <c r="N414" s="40" t="n"/>
    </row>
    <row r="415" ht="15.75" customHeight="1" s="58">
      <c r="A415" s="40" t="n"/>
      <c r="B415" s="40" t="n"/>
      <c r="C415" s="40" t="n"/>
      <c r="D415" s="40" t="n"/>
      <c r="E415" s="40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</row>
    <row r="416" ht="15.75" customHeight="1" s="58">
      <c r="A416" s="40" t="n"/>
      <c r="B416" s="40" t="n"/>
      <c r="C416" s="40" t="n"/>
      <c r="D416" s="40" t="n"/>
      <c r="E416" s="40" t="n"/>
      <c r="F416" s="40" t="n"/>
      <c r="G416" s="40" t="n"/>
      <c r="H416" s="40" t="n"/>
      <c r="I416" s="40" t="n"/>
      <c r="J416" s="40" t="n"/>
      <c r="K416" s="40" t="n"/>
      <c r="L416" s="40" t="n"/>
      <c r="M416" s="40" t="n"/>
      <c r="N416" s="40" t="n"/>
    </row>
    <row r="417" ht="15.75" customHeight="1" s="58">
      <c r="A417" s="40" t="n"/>
      <c r="B417" s="40" t="n"/>
      <c r="C417" s="40" t="n"/>
      <c r="D417" s="40" t="n"/>
      <c r="E417" s="40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</row>
    <row r="418" ht="15.75" customHeight="1" s="58">
      <c r="A418" s="40" t="n"/>
      <c r="B418" s="40" t="n"/>
      <c r="C418" s="40" t="n"/>
      <c r="D418" s="40" t="n"/>
      <c r="E418" s="40" t="n"/>
      <c r="F418" s="40" t="n"/>
      <c r="G418" s="40" t="n"/>
      <c r="H418" s="40" t="n"/>
      <c r="I418" s="40" t="n"/>
      <c r="J418" s="40" t="n"/>
      <c r="K418" s="40" t="n"/>
      <c r="L418" s="40" t="n"/>
      <c r="M418" s="40" t="n"/>
      <c r="N418" s="40" t="n"/>
    </row>
    <row r="419" ht="15.75" customHeight="1" s="58">
      <c r="A419" s="40" t="n"/>
      <c r="B419" s="40" t="n"/>
      <c r="C419" s="40" t="n"/>
      <c r="D419" s="40" t="n"/>
      <c r="E419" s="40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</row>
    <row r="420" ht="15.75" customHeight="1" s="58">
      <c r="A420" s="40" t="n"/>
      <c r="B420" s="40" t="n"/>
      <c r="C420" s="40" t="n"/>
      <c r="D420" s="40" t="n"/>
      <c r="E420" s="40" t="n"/>
      <c r="F420" s="40" t="n"/>
      <c r="G420" s="40" t="n"/>
      <c r="H420" s="40" t="n"/>
      <c r="I420" s="40" t="n"/>
      <c r="J420" s="40" t="n"/>
      <c r="K420" s="40" t="n"/>
      <c r="L420" s="40" t="n"/>
      <c r="M420" s="40" t="n"/>
      <c r="N420" s="40" t="n"/>
    </row>
    <row r="421" ht="15.75" customHeight="1" s="58">
      <c r="A421" s="40" t="n"/>
      <c r="B421" s="40" t="n"/>
      <c r="C421" s="40" t="n"/>
      <c r="D421" s="40" t="n"/>
      <c r="E421" s="40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</row>
    <row r="422" ht="15.75" customHeight="1" s="58">
      <c r="A422" s="40" t="n"/>
      <c r="B422" s="40" t="n"/>
      <c r="C422" s="40" t="n"/>
      <c r="D422" s="40" t="n"/>
      <c r="E422" s="40" t="n"/>
      <c r="F422" s="40" t="n"/>
      <c r="G422" s="40" t="n"/>
      <c r="H422" s="40" t="n"/>
      <c r="I422" s="40" t="n"/>
      <c r="J422" s="40" t="n"/>
      <c r="K422" s="40" t="n"/>
      <c r="L422" s="40" t="n"/>
      <c r="M422" s="40" t="n"/>
      <c r="N422" s="40" t="n"/>
    </row>
    <row r="423" ht="15.75" customHeight="1" s="58">
      <c r="A423" s="40" t="n"/>
      <c r="B423" s="40" t="n"/>
      <c r="C423" s="40" t="n"/>
      <c r="D423" s="40" t="n"/>
      <c r="E423" s="40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</row>
    <row r="424" ht="15.75" customHeight="1" s="58">
      <c r="A424" s="40" t="n"/>
      <c r="B424" s="40" t="n"/>
      <c r="C424" s="40" t="n"/>
      <c r="D424" s="40" t="n"/>
      <c r="E424" s="40" t="n"/>
      <c r="F424" s="40" t="n"/>
      <c r="G424" s="40" t="n"/>
      <c r="H424" s="40" t="n"/>
      <c r="I424" s="40" t="n"/>
      <c r="J424" s="40" t="n"/>
      <c r="K424" s="40" t="n"/>
      <c r="L424" s="40" t="n"/>
      <c r="M424" s="40" t="n"/>
      <c r="N424" s="40" t="n"/>
    </row>
    <row r="425" ht="15.75" customHeight="1" s="58">
      <c r="A425" s="40" t="n"/>
      <c r="B425" s="40" t="n"/>
      <c r="C425" s="40" t="n"/>
      <c r="D425" s="40" t="n"/>
      <c r="E425" s="40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</row>
    <row r="426" ht="15.75" customHeight="1" s="58">
      <c r="A426" s="40" t="n"/>
      <c r="B426" s="40" t="n"/>
      <c r="C426" s="40" t="n"/>
      <c r="D426" s="40" t="n"/>
      <c r="E426" s="40" t="n"/>
      <c r="F426" s="40" t="n"/>
      <c r="G426" s="40" t="n"/>
      <c r="H426" s="40" t="n"/>
      <c r="I426" s="40" t="n"/>
      <c r="J426" s="40" t="n"/>
      <c r="K426" s="40" t="n"/>
      <c r="L426" s="40" t="n"/>
      <c r="M426" s="40" t="n"/>
      <c r="N426" s="40" t="n"/>
    </row>
    <row r="427" ht="15.75" customHeight="1" s="58">
      <c r="A427" s="40" t="n"/>
      <c r="B427" s="40" t="n"/>
      <c r="C427" s="40" t="n"/>
      <c r="D427" s="40" t="n"/>
      <c r="E427" s="40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</row>
    <row r="428" ht="15.75" customHeight="1" s="58">
      <c r="A428" s="40" t="n"/>
      <c r="B428" s="40" t="n"/>
      <c r="C428" s="40" t="n"/>
      <c r="D428" s="40" t="n"/>
      <c r="E428" s="40" t="n"/>
      <c r="F428" s="40" t="n"/>
      <c r="G428" s="40" t="n"/>
      <c r="H428" s="40" t="n"/>
      <c r="I428" s="40" t="n"/>
      <c r="J428" s="40" t="n"/>
      <c r="K428" s="40" t="n"/>
      <c r="L428" s="40" t="n"/>
      <c r="M428" s="40" t="n"/>
      <c r="N428" s="40" t="n"/>
    </row>
    <row r="429" ht="15.75" customHeight="1" s="58">
      <c r="A429" s="40" t="n"/>
      <c r="B429" s="40" t="n"/>
      <c r="C429" s="40" t="n"/>
      <c r="D429" s="40" t="n"/>
      <c r="E429" s="40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</row>
    <row r="430" ht="15.75" customHeight="1" s="58">
      <c r="A430" s="40" t="n"/>
      <c r="B430" s="40" t="n"/>
      <c r="C430" s="40" t="n"/>
      <c r="D430" s="40" t="n"/>
      <c r="E430" s="40" t="n"/>
      <c r="F430" s="40" t="n"/>
      <c r="G430" s="40" t="n"/>
      <c r="H430" s="40" t="n"/>
      <c r="I430" s="40" t="n"/>
      <c r="J430" s="40" t="n"/>
      <c r="K430" s="40" t="n"/>
      <c r="L430" s="40" t="n"/>
      <c r="M430" s="40" t="n"/>
      <c r="N430" s="40" t="n"/>
    </row>
    <row r="431" ht="15.75" customHeight="1" s="58">
      <c r="A431" s="40" t="n"/>
      <c r="B431" s="40" t="n"/>
      <c r="C431" s="40" t="n"/>
      <c r="D431" s="40" t="n"/>
      <c r="E431" s="40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</row>
    <row r="432" ht="15.75" customHeight="1" s="58">
      <c r="A432" s="40" t="n"/>
      <c r="B432" s="40" t="n"/>
      <c r="C432" s="40" t="n"/>
      <c r="D432" s="40" t="n"/>
      <c r="E432" s="40" t="n"/>
      <c r="F432" s="40" t="n"/>
      <c r="G432" s="40" t="n"/>
      <c r="H432" s="40" t="n"/>
      <c r="I432" s="40" t="n"/>
      <c r="J432" s="40" t="n"/>
      <c r="K432" s="40" t="n"/>
      <c r="L432" s="40" t="n"/>
      <c r="M432" s="40" t="n"/>
      <c r="N432" s="40" t="n"/>
    </row>
    <row r="433" ht="15.75" customHeight="1" s="58">
      <c r="A433" s="40" t="n"/>
      <c r="B433" s="40" t="n"/>
      <c r="C433" s="40" t="n"/>
      <c r="D433" s="40" t="n"/>
      <c r="E433" s="40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</row>
    <row r="434" ht="15.75" customHeight="1" s="58">
      <c r="A434" s="40" t="n"/>
      <c r="B434" s="40" t="n"/>
      <c r="C434" s="40" t="n"/>
      <c r="D434" s="40" t="n"/>
      <c r="E434" s="40" t="n"/>
      <c r="F434" s="40" t="n"/>
      <c r="G434" s="40" t="n"/>
      <c r="H434" s="40" t="n"/>
      <c r="I434" s="40" t="n"/>
      <c r="J434" s="40" t="n"/>
      <c r="K434" s="40" t="n"/>
      <c r="L434" s="40" t="n"/>
      <c r="M434" s="40" t="n"/>
      <c r="N434" s="40" t="n"/>
    </row>
    <row r="435" ht="15.75" customHeight="1" s="58">
      <c r="A435" s="40" t="n"/>
      <c r="B435" s="40" t="n"/>
      <c r="C435" s="40" t="n"/>
      <c r="D435" s="40" t="n"/>
      <c r="E435" s="40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</row>
    <row r="436" ht="15.75" customHeight="1" s="58">
      <c r="A436" s="40" t="n"/>
      <c r="B436" s="40" t="n"/>
      <c r="C436" s="40" t="n"/>
      <c r="D436" s="40" t="n"/>
      <c r="E436" s="40" t="n"/>
      <c r="F436" s="40" t="n"/>
      <c r="G436" s="40" t="n"/>
      <c r="H436" s="40" t="n"/>
      <c r="I436" s="40" t="n"/>
      <c r="J436" s="40" t="n"/>
      <c r="K436" s="40" t="n"/>
      <c r="L436" s="40" t="n"/>
      <c r="M436" s="40" t="n"/>
      <c r="N436" s="40" t="n"/>
    </row>
    <row r="437" ht="15.75" customHeight="1" s="58">
      <c r="A437" s="40" t="n"/>
      <c r="B437" s="40" t="n"/>
      <c r="C437" s="40" t="n"/>
      <c r="D437" s="40" t="n"/>
      <c r="E437" s="40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</row>
    <row r="438" ht="15.75" customHeight="1" s="58">
      <c r="A438" s="40" t="n"/>
      <c r="B438" s="40" t="n"/>
      <c r="C438" s="40" t="n"/>
      <c r="D438" s="40" t="n"/>
      <c r="E438" s="40" t="n"/>
      <c r="F438" s="40" t="n"/>
      <c r="G438" s="40" t="n"/>
      <c r="H438" s="40" t="n"/>
      <c r="I438" s="40" t="n"/>
      <c r="J438" s="40" t="n"/>
      <c r="K438" s="40" t="n"/>
      <c r="L438" s="40" t="n"/>
      <c r="M438" s="40" t="n"/>
      <c r="N438" s="40" t="n"/>
    </row>
    <row r="439" ht="15.75" customHeight="1" s="58">
      <c r="A439" s="40" t="n"/>
      <c r="B439" s="40" t="n"/>
      <c r="C439" s="40" t="n"/>
      <c r="D439" s="40" t="n"/>
      <c r="E439" s="40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</row>
    <row r="440" ht="15.75" customHeight="1" s="58">
      <c r="A440" s="40" t="n"/>
      <c r="B440" s="40" t="n"/>
      <c r="C440" s="40" t="n"/>
      <c r="D440" s="40" t="n"/>
      <c r="E440" s="40" t="n"/>
      <c r="F440" s="40" t="n"/>
      <c r="G440" s="40" t="n"/>
      <c r="H440" s="40" t="n"/>
      <c r="I440" s="40" t="n"/>
      <c r="J440" s="40" t="n"/>
      <c r="K440" s="40" t="n"/>
      <c r="L440" s="40" t="n"/>
      <c r="M440" s="40" t="n"/>
      <c r="N440" s="40" t="n"/>
    </row>
    <row r="441" ht="15.75" customHeight="1" s="58">
      <c r="A441" s="40" t="n"/>
      <c r="B441" s="40" t="n"/>
      <c r="C441" s="40" t="n"/>
      <c r="D441" s="40" t="n"/>
      <c r="E441" s="40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</row>
    <row r="442" ht="15.75" customHeight="1" s="58">
      <c r="A442" s="40" t="n"/>
      <c r="B442" s="40" t="n"/>
      <c r="C442" s="40" t="n"/>
      <c r="D442" s="40" t="n"/>
      <c r="E442" s="40" t="n"/>
      <c r="F442" s="40" t="n"/>
      <c r="G442" s="40" t="n"/>
      <c r="H442" s="40" t="n"/>
      <c r="I442" s="40" t="n"/>
      <c r="J442" s="40" t="n"/>
      <c r="K442" s="40" t="n"/>
      <c r="L442" s="40" t="n"/>
      <c r="M442" s="40" t="n"/>
      <c r="N442" s="40" t="n"/>
    </row>
    <row r="443" ht="15.75" customHeight="1" s="58">
      <c r="A443" s="40" t="n"/>
      <c r="B443" s="40" t="n"/>
      <c r="C443" s="40" t="n"/>
      <c r="D443" s="40" t="n"/>
      <c r="E443" s="40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</row>
    <row r="444" ht="15.75" customHeight="1" s="58">
      <c r="A444" s="40" t="n"/>
      <c r="B444" s="40" t="n"/>
      <c r="C444" s="40" t="n"/>
      <c r="D444" s="40" t="n"/>
      <c r="E444" s="40" t="n"/>
      <c r="F444" s="40" t="n"/>
      <c r="G444" s="40" t="n"/>
      <c r="H444" s="40" t="n"/>
      <c r="I444" s="40" t="n"/>
      <c r="J444" s="40" t="n"/>
      <c r="K444" s="40" t="n"/>
      <c r="L444" s="40" t="n"/>
      <c r="M444" s="40" t="n"/>
      <c r="N444" s="40" t="n"/>
    </row>
    <row r="445" ht="15.75" customHeight="1" s="58">
      <c r="A445" s="40" t="n"/>
      <c r="B445" s="40" t="n"/>
      <c r="C445" s="40" t="n"/>
      <c r="D445" s="40" t="n"/>
      <c r="E445" s="40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</row>
    <row r="446" ht="15.75" customHeight="1" s="58">
      <c r="A446" s="40" t="n"/>
      <c r="B446" s="40" t="n"/>
      <c r="C446" s="40" t="n"/>
      <c r="D446" s="40" t="n"/>
      <c r="E446" s="40" t="n"/>
      <c r="F446" s="40" t="n"/>
      <c r="G446" s="40" t="n"/>
      <c r="H446" s="40" t="n"/>
      <c r="I446" s="40" t="n"/>
      <c r="J446" s="40" t="n"/>
      <c r="K446" s="40" t="n"/>
      <c r="L446" s="40" t="n"/>
      <c r="M446" s="40" t="n"/>
      <c r="N446" s="40" t="n"/>
    </row>
    <row r="447" ht="15.75" customHeight="1" s="58">
      <c r="A447" s="40" t="n"/>
      <c r="B447" s="40" t="n"/>
      <c r="C447" s="40" t="n"/>
      <c r="D447" s="40" t="n"/>
      <c r="E447" s="40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</row>
    <row r="448" ht="15.75" customHeight="1" s="58">
      <c r="A448" s="40" t="n"/>
      <c r="B448" s="40" t="n"/>
      <c r="C448" s="40" t="n"/>
      <c r="D448" s="40" t="n"/>
      <c r="E448" s="40" t="n"/>
      <c r="F448" s="40" t="n"/>
      <c r="G448" s="40" t="n"/>
      <c r="H448" s="40" t="n"/>
      <c r="I448" s="40" t="n"/>
      <c r="J448" s="40" t="n"/>
      <c r="K448" s="40" t="n"/>
      <c r="L448" s="40" t="n"/>
      <c r="M448" s="40" t="n"/>
      <c r="N448" s="40" t="n"/>
    </row>
    <row r="449" ht="15.75" customHeight="1" s="58">
      <c r="A449" s="40" t="n"/>
      <c r="B449" s="40" t="n"/>
      <c r="C449" s="40" t="n"/>
      <c r="D449" s="40" t="n"/>
      <c r="E449" s="40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</row>
    <row r="450" ht="15.75" customHeight="1" s="58">
      <c r="A450" s="40" t="n"/>
      <c r="B450" s="40" t="n"/>
      <c r="C450" s="40" t="n"/>
      <c r="D450" s="40" t="n"/>
      <c r="E450" s="40" t="n"/>
      <c r="F450" s="40" t="n"/>
      <c r="G450" s="40" t="n"/>
      <c r="H450" s="40" t="n"/>
      <c r="I450" s="40" t="n"/>
      <c r="J450" s="40" t="n"/>
      <c r="K450" s="40" t="n"/>
      <c r="L450" s="40" t="n"/>
      <c r="M450" s="40" t="n"/>
      <c r="N450" s="40" t="n"/>
    </row>
    <row r="451" ht="15.75" customHeight="1" s="58">
      <c r="A451" s="40" t="n"/>
      <c r="B451" s="40" t="n"/>
      <c r="C451" s="40" t="n"/>
      <c r="D451" s="40" t="n"/>
      <c r="E451" s="40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</row>
    <row r="452" ht="15.75" customHeight="1" s="58">
      <c r="A452" s="40" t="n"/>
      <c r="B452" s="40" t="n"/>
      <c r="C452" s="40" t="n"/>
      <c r="D452" s="40" t="n"/>
      <c r="E452" s="40" t="n"/>
      <c r="F452" s="40" t="n"/>
      <c r="G452" s="40" t="n"/>
      <c r="H452" s="40" t="n"/>
      <c r="I452" s="40" t="n"/>
      <c r="J452" s="40" t="n"/>
      <c r="K452" s="40" t="n"/>
      <c r="L452" s="40" t="n"/>
      <c r="M452" s="40" t="n"/>
      <c r="N452" s="40" t="n"/>
    </row>
    <row r="453" ht="15.75" customHeight="1" s="58">
      <c r="A453" s="40" t="n"/>
      <c r="B453" s="40" t="n"/>
      <c r="C453" s="40" t="n"/>
      <c r="D453" s="40" t="n"/>
      <c r="E453" s="40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</row>
    <row r="454" ht="15.75" customHeight="1" s="58">
      <c r="A454" s="40" t="n"/>
      <c r="B454" s="40" t="n"/>
      <c r="C454" s="40" t="n"/>
      <c r="D454" s="40" t="n"/>
      <c r="E454" s="40" t="n"/>
      <c r="F454" s="40" t="n"/>
      <c r="G454" s="40" t="n"/>
      <c r="H454" s="40" t="n"/>
      <c r="I454" s="40" t="n"/>
      <c r="J454" s="40" t="n"/>
      <c r="K454" s="40" t="n"/>
      <c r="L454" s="40" t="n"/>
      <c r="M454" s="40" t="n"/>
      <c r="N454" s="40" t="n"/>
    </row>
    <row r="455" ht="15.75" customHeight="1" s="58">
      <c r="A455" s="40" t="n"/>
      <c r="B455" s="40" t="n"/>
      <c r="C455" s="40" t="n"/>
      <c r="D455" s="40" t="n"/>
      <c r="E455" s="40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</row>
    <row r="456" ht="15.75" customHeight="1" s="58">
      <c r="A456" s="40" t="n"/>
      <c r="B456" s="40" t="n"/>
      <c r="C456" s="40" t="n"/>
      <c r="D456" s="40" t="n"/>
      <c r="E456" s="40" t="n"/>
      <c r="F456" s="40" t="n"/>
      <c r="G456" s="40" t="n"/>
      <c r="H456" s="40" t="n"/>
      <c r="I456" s="40" t="n"/>
      <c r="J456" s="40" t="n"/>
      <c r="K456" s="40" t="n"/>
      <c r="L456" s="40" t="n"/>
      <c r="M456" s="40" t="n"/>
      <c r="N456" s="40" t="n"/>
    </row>
    <row r="457" ht="15.75" customHeight="1" s="58">
      <c r="A457" s="40" t="n"/>
      <c r="B457" s="40" t="n"/>
      <c r="C457" s="40" t="n"/>
      <c r="D457" s="40" t="n"/>
      <c r="E457" s="40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</row>
    <row r="458" ht="15.75" customHeight="1" s="58">
      <c r="A458" s="40" t="n"/>
      <c r="B458" s="40" t="n"/>
      <c r="C458" s="40" t="n"/>
      <c r="D458" s="40" t="n"/>
      <c r="E458" s="40" t="n"/>
      <c r="F458" s="40" t="n"/>
      <c r="G458" s="40" t="n"/>
      <c r="H458" s="40" t="n"/>
      <c r="I458" s="40" t="n"/>
      <c r="J458" s="40" t="n"/>
      <c r="K458" s="40" t="n"/>
      <c r="L458" s="40" t="n"/>
      <c r="M458" s="40" t="n"/>
      <c r="N458" s="40" t="n"/>
    </row>
    <row r="459" ht="15.75" customHeight="1" s="58">
      <c r="A459" s="40" t="n"/>
      <c r="B459" s="40" t="n"/>
      <c r="C459" s="40" t="n"/>
      <c r="D459" s="40" t="n"/>
      <c r="E459" s="40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</row>
    <row r="460" ht="15.75" customHeight="1" s="58">
      <c r="A460" s="40" t="n"/>
      <c r="B460" s="40" t="n"/>
      <c r="C460" s="40" t="n"/>
      <c r="D460" s="40" t="n"/>
      <c r="E460" s="40" t="n"/>
      <c r="F460" s="40" t="n"/>
      <c r="G460" s="40" t="n"/>
      <c r="H460" s="40" t="n"/>
      <c r="I460" s="40" t="n"/>
      <c r="J460" s="40" t="n"/>
      <c r="K460" s="40" t="n"/>
      <c r="L460" s="40" t="n"/>
      <c r="M460" s="40" t="n"/>
      <c r="N460" s="40" t="n"/>
    </row>
    <row r="461" ht="15.75" customHeight="1" s="58">
      <c r="A461" s="40" t="n"/>
      <c r="B461" s="40" t="n"/>
      <c r="C461" s="40" t="n"/>
      <c r="D461" s="40" t="n"/>
      <c r="E461" s="40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</row>
    <row r="462" ht="15.75" customHeight="1" s="58">
      <c r="A462" s="40" t="n"/>
      <c r="B462" s="40" t="n"/>
      <c r="C462" s="40" t="n"/>
      <c r="D462" s="40" t="n"/>
      <c r="E462" s="40" t="n"/>
      <c r="F462" s="40" t="n"/>
      <c r="G462" s="40" t="n"/>
      <c r="H462" s="40" t="n"/>
      <c r="I462" s="40" t="n"/>
      <c r="J462" s="40" t="n"/>
      <c r="K462" s="40" t="n"/>
      <c r="L462" s="40" t="n"/>
      <c r="M462" s="40" t="n"/>
      <c r="N462" s="40" t="n"/>
    </row>
    <row r="463" ht="15.75" customHeight="1" s="58">
      <c r="A463" s="40" t="n"/>
      <c r="B463" s="40" t="n"/>
      <c r="C463" s="40" t="n"/>
      <c r="D463" s="40" t="n"/>
      <c r="E463" s="40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</row>
    <row r="464" ht="15.75" customHeight="1" s="58">
      <c r="A464" s="40" t="n"/>
      <c r="B464" s="40" t="n"/>
      <c r="C464" s="40" t="n"/>
      <c r="D464" s="40" t="n"/>
      <c r="E464" s="40" t="n"/>
      <c r="F464" s="40" t="n"/>
      <c r="G464" s="40" t="n"/>
      <c r="H464" s="40" t="n"/>
      <c r="I464" s="40" t="n"/>
      <c r="J464" s="40" t="n"/>
      <c r="K464" s="40" t="n"/>
      <c r="L464" s="40" t="n"/>
      <c r="M464" s="40" t="n"/>
      <c r="N464" s="40" t="n"/>
    </row>
    <row r="465" ht="15.75" customHeight="1" s="58">
      <c r="A465" s="40" t="n"/>
      <c r="B465" s="40" t="n"/>
      <c r="C465" s="40" t="n"/>
      <c r="D465" s="40" t="n"/>
      <c r="E465" s="40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</row>
    <row r="466" ht="15.75" customHeight="1" s="58">
      <c r="A466" s="40" t="n"/>
      <c r="B466" s="40" t="n"/>
      <c r="C466" s="40" t="n"/>
      <c r="D466" s="40" t="n"/>
      <c r="E466" s="40" t="n"/>
      <c r="F466" s="40" t="n"/>
      <c r="G466" s="40" t="n"/>
      <c r="H466" s="40" t="n"/>
      <c r="I466" s="40" t="n"/>
      <c r="J466" s="40" t="n"/>
      <c r="K466" s="40" t="n"/>
      <c r="L466" s="40" t="n"/>
      <c r="M466" s="40" t="n"/>
      <c r="N466" s="40" t="n"/>
    </row>
    <row r="467" ht="15.75" customHeight="1" s="58">
      <c r="A467" s="40" t="n"/>
      <c r="B467" s="40" t="n"/>
      <c r="C467" s="40" t="n"/>
      <c r="D467" s="40" t="n"/>
      <c r="E467" s="40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</row>
    <row r="468" ht="15.75" customHeight="1" s="58">
      <c r="A468" s="40" t="n"/>
      <c r="B468" s="40" t="n"/>
      <c r="C468" s="40" t="n"/>
      <c r="D468" s="40" t="n"/>
      <c r="E468" s="40" t="n"/>
      <c r="F468" s="40" t="n"/>
      <c r="G468" s="40" t="n"/>
      <c r="H468" s="40" t="n"/>
      <c r="I468" s="40" t="n"/>
      <c r="J468" s="40" t="n"/>
      <c r="K468" s="40" t="n"/>
      <c r="L468" s="40" t="n"/>
      <c r="M468" s="40" t="n"/>
      <c r="N468" s="40" t="n"/>
    </row>
    <row r="469" ht="15.75" customHeight="1" s="58">
      <c r="A469" s="40" t="n"/>
      <c r="B469" s="40" t="n"/>
      <c r="C469" s="40" t="n"/>
      <c r="D469" s="40" t="n"/>
      <c r="E469" s="40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</row>
    <row r="470" ht="15.75" customHeight="1" s="58">
      <c r="A470" s="40" t="n"/>
      <c r="B470" s="40" t="n"/>
      <c r="C470" s="40" t="n"/>
      <c r="D470" s="40" t="n"/>
      <c r="E470" s="40" t="n"/>
      <c r="F470" s="40" t="n"/>
      <c r="G470" s="40" t="n"/>
      <c r="H470" s="40" t="n"/>
      <c r="I470" s="40" t="n"/>
      <c r="J470" s="40" t="n"/>
      <c r="K470" s="40" t="n"/>
      <c r="L470" s="40" t="n"/>
      <c r="M470" s="40" t="n"/>
      <c r="N470" s="40" t="n"/>
    </row>
    <row r="471" ht="15.75" customHeight="1" s="58">
      <c r="A471" s="40" t="n"/>
      <c r="B471" s="40" t="n"/>
      <c r="C471" s="40" t="n"/>
      <c r="D471" s="40" t="n"/>
      <c r="E471" s="40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</row>
    <row r="472" ht="15.75" customHeight="1" s="58">
      <c r="A472" s="40" t="n"/>
      <c r="B472" s="40" t="n"/>
      <c r="C472" s="40" t="n"/>
      <c r="D472" s="40" t="n"/>
      <c r="E472" s="40" t="n"/>
      <c r="F472" s="40" t="n"/>
      <c r="G472" s="40" t="n"/>
      <c r="H472" s="40" t="n"/>
      <c r="I472" s="40" t="n"/>
      <c r="J472" s="40" t="n"/>
      <c r="K472" s="40" t="n"/>
      <c r="L472" s="40" t="n"/>
      <c r="M472" s="40" t="n"/>
      <c r="N472" s="40" t="n"/>
    </row>
    <row r="473" ht="15.75" customHeight="1" s="58">
      <c r="A473" s="40" t="n"/>
      <c r="B473" s="40" t="n"/>
      <c r="C473" s="40" t="n"/>
      <c r="D473" s="40" t="n"/>
      <c r="E473" s="40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</row>
    <row r="474" ht="15.75" customHeight="1" s="58">
      <c r="A474" s="40" t="n"/>
      <c r="B474" s="40" t="n"/>
      <c r="C474" s="40" t="n"/>
      <c r="D474" s="40" t="n"/>
      <c r="E474" s="40" t="n"/>
      <c r="F474" s="40" t="n"/>
      <c r="G474" s="40" t="n"/>
      <c r="H474" s="40" t="n"/>
      <c r="I474" s="40" t="n"/>
      <c r="J474" s="40" t="n"/>
      <c r="K474" s="40" t="n"/>
      <c r="L474" s="40" t="n"/>
      <c r="M474" s="40" t="n"/>
      <c r="N474" s="40" t="n"/>
    </row>
    <row r="475" ht="15.75" customHeight="1" s="58">
      <c r="A475" s="40" t="n"/>
      <c r="B475" s="40" t="n"/>
      <c r="C475" s="40" t="n"/>
      <c r="D475" s="40" t="n"/>
      <c r="E475" s="40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</row>
    <row r="476" ht="15.75" customHeight="1" s="58">
      <c r="A476" s="40" t="n"/>
      <c r="B476" s="40" t="n"/>
      <c r="C476" s="40" t="n"/>
      <c r="D476" s="40" t="n"/>
      <c r="E476" s="40" t="n"/>
      <c r="F476" s="40" t="n"/>
      <c r="G476" s="40" t="n"/>
      <c r="H476" s="40" t="n"/>
      <c r="I476" s="40" t="n"/>
      <c r="J476" s="40" t="n"/>
      <c r="K476" s="40" t="n"/>
      <c r="L476" s="40" t="n"/>
      <c r="M476" s="40" t="n"/>
      <c r="N476" s="40" t="n"/>
    </row>
    <row r="477" ht="15.75" customHeight="1" s="58">
      <c r="A477" s="40" t="n"/>
      <c r="B477" s="40" t="n"/>
      <c r="C477" s="40" t="n"/>
      <c r="D477" s="40" t="n"/>
      <c r="E477" s="40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</row>
    <row r="478" ht="15.75" customHeight="1" s="58">
      <c r="A478" s="40" t="n"/>
      <c r="B478" s="40" t="n"/>
      <c r="C478" s="40" t="n"/>
      <c r="D478" s="40" t="n"/>
      <c r="E478" s="40" t="n"/>
      <c r="F478" s="40" t="n"/>
      <c r="G478" s="40" t="n"/>
      <c r="H478" s="40" t="n"/>
      <c r="I478" s="40" t="n"/>
      <c r="J478" s="40" t="n"/>
      <c r="K478" s="40" t="n"/>
      <c r="L478" s="40" t="n"/>
      <c r="M478" s="40" t="n"/>
      <c r="N478" s="40" t="n"/>
    </row>
    <row r="479" ht="15.75" customHeight="1" s="58">
      <c r="A479" s="40" t="n"/>
      <c r="B479" s="40" t="n"/>
      <c r="C479" s="40" t="n"/>
      <c r="D479" s="40" t="n"/>
      <c r="E479" s="40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</row>
    <row r="480" ht="15.75" customHeight="1" s="58">
      <c r="A480" s="40" t="n"/>
      <c r="B480" s="40" t="n"/>
      <c r="C480" s="40" t="n"/>
      <c r="D480" s="40" t="n"/>
      <c r="E480" s="40" t="n"/>
      <c r="F480" s="40" t="n"/>
      <c r="G480" s="40" t="n"/>
      <c r="H480" s="40" t="n"/>
      <c r="I480" s="40" t="n"/>
      <c r="J480" s="40" t="n"/>
      <c r="K480" s="40" t="n"/>
      <c r="L480" s="40" t="n"/>
      <c r="M480" s="40" t="n"/>
      <c r="N480" s="40" t="n"/>
    </row>
    <row r="481" ht="15.75" customHeight="1" s="58">
      <c r="A481" s="40" t="n"/>
      <c r="B481" s="40" t="n"/>
      <c r="C481" s="40" t="n"/>
      <c r="D481" s="40" t="n"/>
      <c r="E481" s="40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</row>
    <row r="482" ht="15.75" customHeight="1" s="58">
      <c r="A482" s="40" t="n"/>
      <c r="B482" s="40" t="n"/>
      <c r="C482" s="40" t="n"/>
      <c r="D482" s="40" t="n"/>
      <c r="E482" s="40" t="n"/>
      <c r="F482" s="40" t="n"/>
      <c r="G482" s="40" t="n"/>
      <c r="H482" s="40" t="n"/>
      <c r="I482" s="40" t="n"/>
      <c r="J482" s="40" t="n"/>
      <c r="K482" s="40" t="n"/>
      <c r="L482" s="40" t="n"/>
      <c r="M482" s="40" t="n"/>
      <c r="N482" s="40" t="n"/>
    </row>
    <row r="483" ht="15.75" customHeight="1" s="58">
      <c r="A483" s="40" t="n"/>
      <c r="B483" s="40" t="n"/>
      <c r="C483" s="40" t="n"/>
      <c r="D483" s="40" t="n"/>
      <c r="E483" s="40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</row>
    <row r="484" ht="15.75" customHeight="1" s="58">
      <c r="A484" s="40" t="n"/>
      <c r="B484" s="40" t="n"/>
      <c r="C484" s="40" t="n"/>
      <c r="D484" s="40" t="n"/>
      <c r="E484" s="40" t="n"/>
      <c r="F484" s="40" t="n"/>
      <c r="G484" s="40" t="n"/>
      <c r="H484" s="40" t="n"/>
      <c r="I484" s="40" t="n"/>
      <c r="J484" s="40" t="n"/>
      <c r="K484" s="40" t="n"/>
      <c r="L484" s="40" t="n"/>
      <c r="M484" s="40" t="n"/>
      <c r="N484" s="40" t="n"/>
    </row>
    <row r="485" ht="15.75" customHeight="1" s="58">
      <c r="A485" s="40" t="n"/>
      <c r="B485" s="40" t="n"/>
      <c r="C485" s="40" t="n"/>
      <c r="D485" s="40" t="n"/>
      <c r="E485" s="40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</row>
    <row r="486" ht="15.75" customHeight="1" s="58">
      <c r="A486" s="40" t="n"/>
      <c r="B486" s="40" t="n"/>
      <c r="C486" s="40" t="n"/>
      <c r="D486" s="40" t="n"/>
      <c r="E486" s="40" t="n"/>
      <c r="F486" s="40" t="n"/>
      <c r="G486" s="40" t="n"/>
      <c r="H486" s="40" t="n"/>
      <c r="I486" s="40" t="n"/>
      <c r="J486" s="40" t="n"/>
      <c r="K486" s="40" t="n"/>
      <c r="L486" s="40" t="n"/>
      <c r="M486" s="40" t="n"/>
      <c r="N486" s="40" t="n"/>
    </row>
    <row r="487" ht="15.75" customHeight="1" s="58">
      <c r="A487" s="40" t="n"/>
      <c r="B487" s="40" t="n"/>
      <c r="C487" s="40" t="n"/>
      <c r="D487" s="40" t="n"/>
      <c r="E487" s="40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</row>
    <row r="488" ht="15.75" customHeight="1" s="58">
      <c r="A488" s="40" t="n"/>
      <c r="B488" s="40" t="n"/>
      <c r="C488" s="40" t="n"/>
      <c r="D488" s="40" t="n"/>
      <c r="E488" s="40" t="n"/>
      <c r="F488" s="40" t="n"/>
      <c r="G488" s="40" t="n"/>
      <c r="H488" s="40" t="n"/>
      <c r="I488" s="40" t="n"/>
      <c r="J488" s="40" t="n"/>
      <c r="K488" s="40" t="n"/>
      <c r="L488" s="40" t="n"/>
      <c r="M488" s="40" t="n"/>
      <c r="N488" s="40" t="n"/>
    </row>
    <row r="489" ht="15.75" customHeight="1" s="58">
      <c r="A489" s="40" t="n"/>
      <c r="B489" s="40" t="n"/>
      <c r="C489" s="40" t="n"/>
      <c r="D489" s="40" t="n"/>
      <c r="E489" s="40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</row>
    <row r="490" ht="15.75" customHeight="1" s="58">
      <c r="A490" s="40" t="n"/>
      <c r="B490" s="40" t="n"/>
      <c r="C490" s="40" t="n"/>
      <c r="D490" s="40" t="n"/>
      <c r="E490" s="40" t="n"/>
      <c r="F490" s="40" t="n"/>
      <c r="G490" s="40" t="n"/>
      <c r="H490" s="40" t="n"/>
      <c r="I490" s="40" t="n"/>
      <c r="J490" s="40" t="n"/>
      <c r="K490" s="40" t="n"/>
      <c r="L490" s="40" t="n"/>
      <c r="M490" s="40" t="n"/>
      <c r="N490" s="40" t="n"/>
    </row>
    <row r="491" ht="15.75" customHeight="1" s="58">
      <c r="A491" s="40" t="n"/>
      <c r="B491" s="40" t="n"/>
      <c r="C491" s="40" t="n"/>
      <c r="D491" s="40" t="n"/>
      <c r="E491" s="40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</row>
    <row r="492" ht="15.75" customHeight="1" s="58">
      <c r="A492" s="40" t="n"/>
      <c r="B492" s="40" t="n"/>
      <c r="C492" s="40" t="n"/>
      <c r="D492" s="40" t="n"/>
      <c r="E492" s="40" t="n"/>
      <c r="F492" s="40" t="n"/>
      <c r="G492" s="40" t="n"/>
      <c r="H492" s="40" t="n"/>
      <c r="I492" s="40" t="n"/>
      <c r="J492" s="40" t="n"/>
      <c r="K492" s="40" t="n"/>
      <c r="L492" s="40" t="n"/>
      <c r="M492" s="40" t="n"/>
      <c r="N492" s="40" t="n"/>
    </row>
    <row r="493" ht="15.75" customHeight="1" s="58">
      <c r="A493" s="40" t="n"/>
      <c r="B493" s="40" t="n"/>
      <c r="C493" s="40" t="n"/>
      <c r="D493" s="40" t="n"/>
      <c r="E493" s="40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</row>
    <row r="494" ht="15.75" customHeight="1" s="58">
      <c r="A494" s="40" t="n"/>
      <c r="B494" s="40" t="n"/>
      <c r="C494" s="40" t="n"/>
      <c r="D494" s="40" t="n"/>
      <c r="E494" s="40" t="n"/>
      <c r="F494" s="40" t="n"/>
      <c r="G494" s="40" t="n"/>
      <c r="H494" s="40" t="n"/>
      <c r="I494" s="40" t="n"/>
      <c r="J494" s="40" t="n"/>
      <c r="K494" s="40" t="n"/>
      <c r="L494" s="40" t="n"/>
      <c r="M494" s="40" t="n"/>
      <c r="N494" s="40" t="n"/>
    </row>
    <row r="495" ht="15.75" customHeight="1" s="58">
      <c r="A495" s="40" t="n"/>
      <c r="B495" s="40" t="n"/>
      <c r="C495" s="40" t="n"/>
      <c r="D495" s="40" t="n"/>
      <c r="E495" s="40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</row>
    <row r="496" ht="15.75" customHeight="1" s="58">
      <c r="A496" s="40" t="n"/>
      <c r="B496" s="40" t="n"/>
      <c r="C496" s="40" t="n"/>
      <c r="D496" s="40" t="n"/>
      <c r="E496" s="40" t="n"/>
      <c r="F496" s="40" t="n"/>
      <c r="G496" s="40" t="n"/>
      <c r="H496" s="40" t="n"/>
      <c r="I496" s="40" t="n"/>
      <c r="J496" s="40" t="n"/>
      <c r="K496" s="40" t="n"/>
      <c r="L496" s="40" t="n"/>
      <c r="M496" s="40" t="n"/>
      <c r="N496" s="40" t="n"/>
    </row>
    <row r="497" ht="15.75" customHeight="1" s="58">
      <c r="A497" s="40" t="n"/>
      <c r="B497" s="40" t="n"/>
      <c r="C497" s="40" t="n"/>
      <c r="D497" s="40" t="n"/>
      <c r="E497" s="40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</row>
    <row r="498" ht="15.75" customHeight="1" s="58">
      <c r="A498" s="40" t="n"/>
      <c r="B498" s="40" t="n"/>
      <c r="C498" s="40" t="n"/>
      <c r="D498" s="40" t="n"/>
      <c r="E498" s="40" t="n"/>
      <c r="F498" s="40" t="n"/>
      <c r="G498" s="40" t="n"/>
      <c r="H498" s="40" t="n"/>
      <c r="I498" s="40" t="n"/>
      <c r="J498" s="40" t="n"/>
      <c r="K498" s="40" t="n"/>
      <c r="L498" s="40" t="n"/>
      <c r="M498" s="40" t="n"/>
      <c r="N498" s="40" t="n"/>
    </row>
    <row r="499" ht="15.75" customHeight="1" s="58">
      <c r="A499" s="40" t="n"/>
      <c r="B499" s="40" t="n"/>
      <c r="C499" s="40" t="n"/>
      <c r="D499" s="40" t="n"/>
      <c r="E499" s="40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</row>
    <row r="500" ht="15.75" customHeight="1" s="58">
      <c r="A500" s="40" t="n"/>
      <c r="B500" s="40" t="n"/>
      <c r="C500" s="40" t="n"/>
      <c r="D500" s="40" t="n"/>
      <c r="E500" s="40" t="n"/>
      <c r="F500" s="40" t="n"/>
      <c r="G500" s="40" t="n"/>
      <c r="H500" s="40" t="n"/>
      <c r="I500" s="40" t="n"/>
      <c r="J500" s="40" t="n"/>
      <c r="K500" s="40" t="n"/>
      <c r="L500" s="40" t="n"/>
      <c r="M500" s="40" t="n"/>
      <c r="N500" s="40" t="n"/>
    </row>
    <row r="501" ht="15.75" customHeight="1" s="58">
      <c r="A501" s="40" t="n"/>
      <c r="B501" s="40" t="n"/>
      <c r="C501" s="40" t="n"/>
      <c r="D501" s="40" t="n"/>
      <c r="E501" s="40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</row>
    <row r="502" ht="15.75" customHeight="1" s="58">
      <c r="A502" s="40" t="n"/>
      <c r="B502" s="40" t="n"/>
      <c r="C502" s="40" t="n"/>
      <c r="D502" s="40" t="n"/>
      <c r="E502" s="40" t="n"/>
      <c r="F502" s="40" t="n"/>
      <c r="G502" s="40" t="n"/>
      <c r="H502" s="40" t="n"/>
      <c r="I502" s="40" t="n"/>
      <c r="J502" s="40" t="n"/>
      <c r="K502" s="40" t="n"/>
      <c r="L502" s="40" t="n"/>
      <c r="M502" s="40" t="n"/>
      <c r="N502" s="40" t="n"/>
    </row>
    <row r="503" ht="15.75" customHeight="1" s="58">
      <c r="A503" s="40" t="n"/>
      <c r="B503" s="40" t="n"/>
      <c r="C503" s="40" t="n"/>
      <c r="D503" s="40" t="n"/>
      <c r="E503" s="40" t="n"/>
      <c r="F503" s="40" t="n"/>
      <c r="G503" s="40" t="n"/>
      <c r="H503" s="40" t="n"/>
      <c r="I503" s="40" t="n"/>
      <c r="J503" s="40" t="n"/>
      <c r="K503" s="40" t="n"/>
      <c r="L503" s="40" t="n"/>
      <c r="M503" s="40" t="n"/>
      <c r="N503" s="40" t="n"/>
    </row>
    <row r="504" ht="15.75" customHeight="1" s="58">
      <c r="A504" s="40" t="n"/>
      <c r="B504" s="40" t="n"/>
      <c r="C504" s="40" t="n"/>
      <c r="D504" s="40" t="n"/>
      <c r="E504" s="40" t="n"/>
      <c r="F504" s="40" t="n"/>
      <c r="G504" s="40" t="n"/>
      <c r="H504" s="40" t="n"/>
      <c r="I504" s="40" t="n"/>
      <c r="J504" s="40" t="n"/>
      <c r="K504" s="40" t="n"/>
      <c r="L504" s="40" t="n"/>
      <c r="M504" s="40" t="n"/>
      <c r="N504" s="40" t="n"/>
    </row>
    <row r="505" ht="15.75" customHeight="1" s="58">
      <c r="A505" s="40" t="n"/>
      <c r="B505" s="40" t="n"/>
      <c r="C505" s="40" t="n"/>
      <c r="D505" s="40" t="n"/>
      <c r="E505" s="40" t="n"/>
      <c r="F505" s="40" t="n"/>
      <c r="G505" s="40" t="n"/>
      <c r="H505" s="40" t="n"/>
      <c r="I505" s="40" t="n"/>
      <c r="J505" s="40" t="n"/>
      <c r="K505" s="40" t="n"/>
      <c r="L505" s="40" t="n"/>
      <c r="M505" s="40" t="n"/>
      <c r="N505" s="40" t="n"/>
    </row>
    <row r="506" ht="15.75" customHeight="1" s="58">
      <c r="A506" s="40" t="n"/>
      <c r="B506" s="40" t="n"/>
      <c r="C506" s="40" t="n"/>
      <c r="D506" s="40" t="n"/>
      <c r="E506" s="40" t="n"/>
      <c r="F506" s="40" t="n"/>
      <c r="G506" s="40" t="n"/>
      <c r="H506" s="40" t="n"/>
      <c r="I506" s="40" t="n"/>
      <c r="J506" s="40" t="n"/>
      <c r="K506" s="40" t="n"/>
      <c r="L506" s="40" t="n"/>
      <c r="M506" s="40" t="n"/>
      <c r="N506" s="40" t="n"/>
    </row>
    <row r="507" ht="15.75" customHeight="1" s="58">
      <c r="A507" s="40" t="n"/>
      <c r="B507" s="40" t="n"/>
      <c r="C507" s="40" t="n"/>
      <c r="D507" s="40" t="n"/>
      <c r="E507" s="40" t="n"/>
      <c r="F507" s="40" t="n"/>
      <c r="G507" s="40" t="n"/>
      <c r="H507" s="40" t="n"/>
      <c r="I507" s="40" t="n"/>
      <c r="J507" s="40" t="n"/>
      <c r="K507" s="40" t="n"/>
      <c r="L507" s="40" t="n"/>
      <c r="M507" s="40" t="n"/>
      <c r="N507" s="40" t="n"/>
    </row>
    <row r="508" ht="15.75" customHeight="1" s="58">
      <c r="A508" s="40" t="n"/>
      <c r="B508" s="40" t="n"/>
      <c r="C508" s="40" t="n"/>
      <c r="D508" s="40" t="n"/>
      <c r="E508" s="40" t="n"/>
      <c r="F508" s="40" t="n"/>
      <c r="G508" s="40" t="n"/>
      <c r="H508" s="40" t="n"/>
      <c r="I508" s="40" t="n"/>
      <c r="J508" s="40" t="n"/>
      <c r="K508" s="40" t="n"/>
      <c r="L508" s="40" t="n"/>
      <c r="M508" s="40" t="n"/>
      <c r="N508" s="40" t="n"/>
    </row>
    <row r="509" ht="15.75" customHeight="1" s="58">
      <c r="A509" s="40" t="n"/>
      <c r="B509" s="40" t="n"/>
      <c r="C509" s="40" t="n"/>
      <c r="D509" s="40" t="n"/>
      <c r="E509" s="40" t="n"/>
      <c r="F509" s="40" t="n"/>
      <c r="G509" s="40" t="n"/>
      <c r="H509" s="40" t="n"/>
      <c r="I509" s="40" t="n"/>
      <c r="J509" s="40" t="n"/>
      <c r="K509" s="40" t="n"/>
      <c r="L509" s="40" t="n"/>
      <c r="M509" s="40" t="n"/>
      <c r="N509" s="40" t="n"/>
    </row>
    <row r="510" ht="15.75" customHeight="1" s="58">
      <c r="A510" s="40" t="n"/>
      <c r="B510" s="40" t="n"/>
      <c r="C510" s="40" t="n"/>
      <c r="D510" s="40" t="n"/>
      <c r="E510" s="40" t="n"/>
      <c r="F510" s="40" t="n"/>
      <c r="G510" s="40" t="n"/>
      <c r="H510" s="40" t="n"/>
      <c r="I510" s="40" t="n"/>
      <c r="J510" s="40" t="n"/>
      <c r="K510" s="40" t="n"/>
      <c r="L510" s="40" t="n"/>
      <c r="M510" s="40" t="n"/>
      <c r="N510" s="40" t="n"/>
    </row>
    <row r="511" ht="15.75" customHeight="1" s="58">
      <c r="A511" s="40" t="n"/>
      <c r="B511" s="40" t="n"/>
      <c r="C511" s="40" t="n"/>
      <c r="D511" s="40" t="n"/>
      <c r="E511" s="40" t="n"/>
      <c r="F511" s="40" t="n"/>
      <c r="G511" s="40" t="n"/>
      <c r="H511" s="40" t="n"/>
      <c r="I511" s="40" t="n"/>
      <c r="J511" s="40" t="n"/>
      <c r="K511" s="40" t="n"/>
      <c r="L511" s="40" t="n"/>
      <c r="M511" s="40" t="n"/>
      <c r="N511" s="40" t="n"/>
    </row>
    <row r="512" ht="15.75" customHeight="1" s="58">
      <c r="A512" s="40" t="n"/>
      <c r="B512" s="40" t="n"/>
      <c r="C512" s="40" t="n"/>
      <c r="D512" s="40" t="n"/>
      <c r="E512" s="40" t="n"/>
      <c r="F512" s="40" t="n"/>
      <c r="G512" s="40" t="n"/>
      <c r="H512" s="40" t="n"/>
      <c r="I512" s="40" t="n"/>
      <c r="J512" s="40" t="n"/>
      <c r="K512" s="40" t="n"/>
      <c r="L512" s="40" t="n"/>
      <c r="M512" s="40" t="n"/>
      <c r="N512" s="40" t="n"/>
    </row>
    <row r="513" ht="15.75" customHeight="1" s="58">
      <c r="A513" s="40" t="n"/>
      <c r="B513" s="40" t="n"/>
      <c r="C513" s="40" t="n"/>
      <c r="D513" s="40" t="n"/>
      <c r="E513" s="40" t="n"/>
      <c r="F513" s="40" t="n"/>
      <c r="G513" s="40" t="n"/>
      <c r="H513" s="40" t="n"/>
      <c r="I513" s="40" t="n"/>
      <c r="J513" s="40" t="n"/>
      <c r="K513" s="40" t="n"/>
      <c r="L513" s="40" t="n"/>
      <c r="M513" s="40" t="n"/>
      <c r="N513" s="40" t="n"/>
    </row>
    <row r="514" ht="15.75" customHeight="1" s="58">
      <c r="A514" s="40" t="n"/>
      <c r="B514" s="40" t="n"/>
      <c r="C514" s="40" t="n"/>
      <c r="D514" s="40" t="n"/>
      <c r="E514" s="40" t="n"/>
      <c r="F514" s="40" t="n"/>
      <c r="G514" s="40" t="n"/>
      <c r="H514" s="40" t="n"/>
      <c r="I514" s="40" t="n"/>
      <c r="J514" s="40" t="n"/>
      <c r="K514" s="40" t="n"/>
      <c r="L514" s="40" t="n"/>
      <c r="M514" s="40" t="n"/>
      <c r="N514" s="40" t="n"/>
    </row>
    <row r="515" ht="15.75" customHeight="1" s="58">
      <c r="A515" s="40" t="n"/>
      <c r="B515" s="40" t="n"/>
      <c r="C515" s="40" t="n"/>
      <c r="D515" s="40" t="n"/>
      <c r="E515" s="40" t="n"/>
      <c r="F515" s="40" t="n"/>
      <c r="G515" s="40" t="n"/>
      <c r="H515" s="40" t="n"/>
      <c r="I515" s="40" t="n"/>
      <c r="J515" s="40" t="n"/>
      <c r="K515" s="40" t="n"/>
      <c r="L515" s="40" t="n"/>
      <c r="M515" s="40" t="n"/>
      <c r="N515" s="40" t="n"/>
    </row>
    <row r="516" ht="15.75" customHeight="1" s="58">
      <c r="A516" s="40" t="n"/>
      <c r="B516" s="40" t="n"/>
      <c r="C516" s="40" t="n"/>
      <c r="D516" s="40" t="n"/>
      <c r="E516" s="40" t="n"/>
      <c r="F516" s="40" t="n"/>
      <c r="G516" s="40" t="n"/>
      <c r="H516" s="40" t="n"/>
      <c r="I516" s="40" t="n"/>
      <c r="J516" s="40" t="n"/>
      <c r="K516" s="40" t="n"/>
      <c r="L516" s="40" t="n"/>
      <c r="M516" s="40" t="n"/>
      <c r="N516" s="40" t="n"/>
    </row>
    <row r="517" ht="15.75" customHeight="1" s="58">
      <c r="A517" s="40" t="n"/>
      <c r="B517" s="40" t="n"/>
      <c r="C517" s="40" t="n"/>
      <c r="D517" s="40" t="n"/>
      <c r="E517" s="40" t="n"/>
      <c r="F517" s="40" t="n"/>
      <c r="G517" s="40" t="n"/>
      <c r="H517" s="40" t="n"/>
      <c r="I517" s="40" t="n"/>
      <c r="J517" s="40" t="n"/>
      <c r="K517" s="40" t="n"/>
      <c r="L517" s="40" t="n"/>
      <c r="M517" s="40" t="n"/>
      <c r="N517" s="40" t="n"/>
    </row>
    <row r="518" ht="15.75" customHeight="1" s="58">
      <c r="A518" s="40" t="n"/>
      <c r="B518" s="40" t="n"/>
      <c r="C518" s="40" t="n"/>
      <c r="D518" s="40" t="n"/>
      <c r="E518" s="40" t="n"/>
      <c r="F518" s="40" t="n"/>
      <c r="G518" s="40" t="n"/>
      <c r="H518" s="40" t="n"/>
      <c r="I518" s="40" t="n"/>
      <c r="J518" s="40" t="n"/>
      <c r="K518" s="40" t="n"/>
      <c r="L518" s="40" t="n"/>
      <c r="M518" s="40" t="n"/>
      <c r="N518" s="40" t="n"/>
    </row>
    <row r="519" ht="15.75" customHeight="1" s="58">
      <c r="A519" s="40" t="n"/>
      <c r="B519" s="40" t="n"/>
      <c r="C519" s="40" t="n"/>
      <c r="D519" s="40" t="n"/>
      <c r="E519" s="40" t="n"/>
      <c r="F519" s="40" t="n"/>
      <c r="G519" s="40" t="n"/>
      <c r="H519" s="40" t="n"/>
      <c r="I519" s="40" t="n"/>
      <c r="J519" s="40" t="n"/>
      <c r="K519" s="40" t="n"/>
      <c r="L519" s="40" t="n"/>
      <c r="M519" s="40" t="n"/>
      <c r="N519" s="40" t="n"/>
    </row>
    <row r="520" ht="15.75" customHeight="1" s="58">
      <c r="A520" s="40" t="n"/>
      <c r="B520" s="40" t="n"/>
      <c r="C520" s="40" t="n"/>
      <c r="D520" s="40" t="n"/>
      <c r="E520" s="40" t="n"/>
      <c r="F520" s="40" t="n"/>
      <c r="G520" s="40" t="n"/>
      <c r="H520" s="40" t="n"/>
      <c r="I520" s="40" t="n"/>
      <c r="J520" s="40" t="n"/>
      <c r="K520" s="40" t="n"/>
      <c r="L520" s="40" t="n"/>
      <c r="M520" s="40" t="n"/>
      <c r="N520" s="40" t="n"/>
    </row>
    <row r="521" ht="15.75" customHeight="1" s="58">
      <c r="A521" s="40" t="n"/>
      <c r="B521" s="40" t="n"/>
      <c r="C521" s="40" t="n"/>
      <c r="D521" s="40" t="n"/>
      <c r="E521" s="40" t="n"/>
      <c r="F521" s="40" t="n"/>
      <c r="G521" s="40" t="n"/>
      <c r="H521" s="40" t="n"/>
      <c r="I521" s="40" t="n"/>
      <c r="J521" s="40" t="n"/>
      <c r="K521" s="40" t="n"/>
      <c r="L521" s="40" t="n"/>
      <c r="M521" s="40" t="n"/>
      <c r="N521" s="40" t="n"/>
    </row>
    <row r="522" ht="15.75" customHeight="1" s="58">
      <c r="A522" s="40" t="n"/>
      <c r="B522" s="40" t="n"/>
      <c r="C522" s="40" t="n"/>
      <c r="D522" s="40" t="n"/>
      <c r="E522" s="40" t="n"/>
      <c r="F522" s="40" t="n"/>
      <c r="G522" s="40" t="n"/>
      <c r="H522" s="40" t="n"/>
      <c r="I522" s="40" t="n"/>
      <c r="J522" s="40" t="n"/>
      <c r="K522" s="40" t="n"/>
      <c r="L522" s="40" t="n"/>
      <c r="M522" s="40" t="n"/>
      <c r="N522" s="40" t="n"/>
    </row>
    <row r="523" ht="15.75" customHeight="1" s="58">
      <c r="A523" s="40" t="n"/>
      <c r="B523" s="40" t="n"/>
      <c r="C523" s="40" t="n"/>
      <c r="D523" s="40" t="n"/>
      <c r="E523" s="40" t="n"/>
      <c r="F523" s="40" t="n"/>
      <c r="G523" s="40" t="n"/>
      <c r="H523" s="40" t="n"/>
      <c r="I523" s="40" t="n"/>
      <c r="J523" s="40" t="n"/>
      <c r="K523" s="40" t="n"/>
      <c r="L523" s="40" t="n"/>
      <c r="M523" s="40" t="n"/>
      <c r="N523" s="40" t="n"/>
    </row>
    <row r="524" ht="15.75" customHeight="1" s="58">
      <c r="A524" s="40" t="n"/>
      <c r="B524" s="40" t="n"/>
      <c r="C524" s="40" t="n"/>
      <c r="D524" s="40" t="n"/>
      <c r="E524" s="40" t="n"/>
      <c r="F524" s="40" t="n"/>
      <c r="G524" s="40" t="n"/>
      <c r="H524" s="40" t="n"/>
      <c r="I524" s="40" t="n"/>
      <c r="J524" s="40" t="n"/>
      <c r="K524" s="40" t="n"/>
      <c r="L524" s="40" t="n"/>
      <c r="M524" s="40" t="n"/>
      <c r="N524" s="40" t="n"/>
    </row>
    <row r="525" ht="15.75" customHeight="1" s="58">
      <c r="A525" s="40" t="n"/>
      <c r="B525" s="40" t="n"/>
      <c r="C525" s="40" t="n"/>
      <c r="D525" s="40" t="n"/>
      <c r="E525" s="40" t="n"/>
      <c r="F525" s="40" t="n"/>
      <c r="G525" s="40" t="n"/>
      <c r="H525" s="40" t="n"/>
      <c r="I525" s="40" t="n"/>
      <c r="J525" s="40" t="n"/>
      <c r="K525" s="40" t="n"/>
      <c r="L525" s="40" t="n"/>
      <c r="M525" s="40" t="n"/>
      <c r="N525" s="40" t="n"/>
    </row>
    <row r="526" ht="15.75" customHeight="1" s="58">
      <c r="A526" s="40" t="n"/>
      <c r="B526" s="40" t="n"/>
      <c r="C526" s="40" t="n"/>
      <c r="D526" s="40" t="n"/>
      <c r="E526" s="40" t="n"/>
      <c r="F526" s="40" t="n"/>
      <c r="G526" s="40" t="n"/>
      <c r="H526" s="40" t="n"/>
      <c r="I526" s="40" t="n"/>
      <c r="J526" s="40" t="n"/>
      <c r="K526" s="40" t="n"/>
      <c r="L526" s="40" t="n"/>
      <c r="M526" s="40" t="n"/>
      <c r="N526" s="40" t="n"/>
    </row>
    <row r="527" ht="15.75" customHeight="1" s="58">
      <c r="A527" s="40" t="n"/>
      <c r="B527" s="40" t="n"/>
      <c r="C527" s="40" t="n"/>
      <c r="D527" s="40" t="n"/>
      <c r="E527" s="40" t="n"/>
      <c r="F527" s="40" t="n"/>
      <c r="G527" s="40" t="n"/>
      <c r="H527" s="40" t="n"/>
      <c r="I527" s="40" t="n"/>
      <c r="J527" s="40" t="n"/>
      <c r="K527" s="40" t="n"/>
      <c r="L527" s="40" t="n"/>
      <c r="M527" s="40" t="n"/>
      <c r="N527" s="40" t="n"/>
    </row>
    <row r="528" ht="15.75" customHeight="1" s="58">
      <c r="A528" s="40" t="n"/>
      <c r="B528" s="40" t="n"/>
      <c r="C528" s="40" t="n"/>
      <c r="D528" s="40" t="n"/>
      <c r="E528" s="40" t="n"/>
      <c r="F528" s="40" t="n"/>
      <c r="G528" s="40" t="n"/>
      <c r="H528" s="40" t="n"/>
      <c r="I528" s="40" t="n"/>
      <c r="J528" s="40" t="n"/>
      <c r="K528" s="40" t="n"/>
      <c r="L528" s="40" t="n"/>
      <c r="M528" s="40" t="n"/>
      <c r="N528" s="40" t="n"/>
    </row>
    <row r="529" ht="15.75" customHeight="1" s="58">
      <c r="A529" s="40" t="n"/>
      <c r="B529" s="40" t="n"/>
      <c r="C529" s="40" t="n"/>
      <c r="D529" s="40" t="n"/>
      <c r="E529" s="40" t="n"/>
      <c r="F529" s="40" t="n"/>
      <c r="G529" s="40" t="n"/>
      <c r="H529" s="40" t="n"/>
      <c r="I529" s="40" t="n"/>
      <c r="J529" s="40" t="n"/>
      <c r="K529" s="40" t="n"/>
      <c r="L529" s="40" t="n"/>
      <c r="M529" s="40" t="n"/>
      <c r="N529" s="40" t="n"/>
    </row>
    <row r="530" ht="15.75" customHeight="1" s="58">
      <c r="A530" s="40" t="n"/>
      <c r="B530" s="40" t="n"/>
      <c r="C530" s="40" t="n"/>
      <c r="D530" s="40" t="n"/>
      <c r="E530" s="40" t="n"/>
      <c r="F530" s="40" t="n"/>
      <c r="G530" s="40" t="n"/>
      <c r="H530" s="40" t="n"/>
      <c r="I530" s="40" t="n"/>
      <c r="J530" s="40" t="n"/>
      <c r="K530" s="40" t="n"/>
      <c r="L530" s="40" t="n"/>
      <c r="M530" s="40" t="n"/>
      <c r="N530" s="40" t="n"/>
    </row>
    <row r="531" ht="15.75" customHeight="1" s="58">
      <c r="A531" s="40" t="n"/>
      <c r="B531" s="40" t="n"/>
      <c r="C531" s="40" t="n"/>
      <c r="D531" s="40" t="n"/>
      <c r="E531" s="40" t="n"/>
      <c r="F531" s="40" t="n"/>
      <c r="G531" s="40" t="n"/>
      <c r="H531" s="40" t="n"/>
      <c r="I531" s="40" t="n"/>
      <c r="J531" s="40" t="n"/>
      <c r="K531" s="40" t="n"/>
      <c r="L531" s="40" t="n"/>
      <c r="M531" s="40" t="n"/>
      <c r="N531" s="40" t="n"/>
    </row>
    <row r="532" ht="15.75" customHeight="1" s="58">
      <c r="A532" s="40" t="n"/>
      <c r="B532" s="40" t="n"/>
      <c r="C532" s="40" t="n"/>
      <c r="D532" s="40" t="n"/>
      <c r="E532" s="40" t="n"/>
      <c r="F532" s="40" t="n"/>
      <c r="G532" s="40" t="n"/>
      <c r="H532" s="40" t="n"/>
      <c r="I532" s="40" t="n"/>
      <c r="J532" s="40" t="n"/>
      <c r="K532" s="40" t="n"/>
      <c r="L532" s="40" t="n"/>
      <c r="M532" s="40" t="n"/>
      <c r="N532" s="40" t="n"/>
    </row>
    <row r="533" ht="15.75" customHeight="1" s="58">
      <c r="A533" s="40" t="n"/>
      <c r="B533" s="40" t="n"/>
      <c r="C533" s="40" t="n"/>
      <c r="D533" s="40" t="n"/>
      <c r="E533" s="40" t="n"/>
      <c r="F533" s="40" t="n"/>
      <c r="G533" s="40" t="n"/>
      <c r="H533" s="40" t="n"/>
      <c r="I533" s="40" t="n"/>
      <c r="J533" s="40" t="n"/>
      <c r="K533" s="40" t="n"/>
      <c r="L533" s="40" t="n"/>
      <c r="M533" s="40" t="n"/>
      <c r="N533" s="40" t="n"/>
    </row>
    <row r="534" ht="15.75" customHeight="1" s="58">
      <c r="A534" s="40" t="n"/>
      <c r="B534" s="40" t="n"/>
      <c r="C534" s="40" t="n"/>
      <c r="D534" s="40" t="n"/>
      <c r="E534" s="40" t="n"/>
      <c r="F534" s="40" t="n"/>
      <c r="G534" s="40" t="n"/>
      <c r="H534" s="40" t="n"/>
      <c r="I534" s="40" t="n"/>
      <c r="J534" s="40" t="n"/>
      <c r="K534" s="40" t="n"/>
      <c r="L534" s="40" t="n"/>
      <c r="M534" s="40" t="n"/>
      <c r="N534" s="40" t="n"/>
    </row>
    <row r="535" ht="15.75" customHeight="1" s="58">
      <c r="A535" s="40" t="n"/>
      <c r="B535" s="40" t="n"/>
      <c r="C535" s="40" t="n"/>
      <c r="D535" s="40" t="n"/>
      <c r="E535" s="40" t="n"/>
      <c r="F535" s="40" t="n"/>
      <c r="G535" s="40" t="n"/>
      <c r="H535" s="40" t="n"/>
      <c r="I535" s="40" t="n"/>
      <c r="J535" s="40" t="n"/>
      <c r="K535" s="40" t="n"/>
      <c r="L535" s="40" t="n"/>
      <c r="M535" s="40" t="n"/>
      <c r="N535" s="40" t="n"/>
    </row>
    <row r="536" ht="15.75" customHeight="1" s="58">
      <c r="A536" s="40" t="n"/>
      <c r="B536" s="40" t="n"/>
      <c r="C536" s="40" t="n"/>
      <c r="D536" s="40" t="n"/>
      <c r="E536" s="40" t="n"/>
      <c r="F536" s="40" t="n"/>
      <c r="G536" s="40" t="n"/>
      <c r="H536" s="40" t="n"/>
      <c r="I536" s="40" t="n"/>
      <c r="J536" s="40" t="n"/>
      <c r="K536" s="40" t="n"/>
      <c r="L536" s="40" t="n"/>
      <c r="M536" s="40" t="n"/>
      <c r="N536" s="40" t="n"/>
    </row>
    <row r="537" ht="15.75" customHeight="1" s="58">
      <c r="A537" s="40" t="n"/>
      <c r="B537" s="40" t="n"/>
      <c r="C537" s="40" t="n"/>
      <c r="D537" s="40" t="n"/>
      <c r="E537" s="40" t="n"/>
      <c r="F537" s="40" t="n"/>
      <c r="G537" s="40" t="n"/>
      <c r="H537" s="40" t="n"/>
      <c r="I537" s="40" t="n"/>
      <c r="J537" s="40" t="n"/>
      <c r="K537" s="40" t="n"/>
      <c r="L537" s="40" t="n"/>
      <c r="M537" s="40" t="n"/>
      <c r="N537" s="40" t="n"/>
    </row>
    <row r="538" ht="15.75" customHeight="1" s="58">
      <c r="A538" s="40" t="n"/>
      <c r="B538" s="40" t="n"/>
      <c r="C538" s="40" t="n"/>
      <c r="D538" s="40" t="n"/>
      <c r="E538" s="40" t="n"/>
      <c r="F538" s="40" t="n"/>
      <c r="G538" s="40" t="n"/>
      <c r="H538" s="40" t="n"/>
      <c r="I538" s="40" t="n"/>
      <c r="J538" s="40" t="n"/>
      <c r="K538" s="40" t="n"/>
      <c r="L538" s="40" t="n"/>
      <c r="M538" s="40" t="n"/>
      <c r="N538" s="40" t="n"/>
    </row>
    <row r="539" ht="15.75" customHeight="1" s="58">
      <c r="A539" s="40" t="n"/>
      <c r="B539" s="40" t="n"/>
      <c r="C539" s="40" t="n"/>
      <c r="D539" s="40" t="n"/>
      <c r="E539" s="40" t="n"/>
      <c r="F539" s="40" t="n"/>
      <c r="G539" s="40" t="n"/>
      <c r="H539" s="40" t="n"/>
      <c r="I539" s="40" t="n"/>
      <c r="J539" s="40" t="n"/>
      <c r="K539" s="40" t="n"/>
      <c r="L539" s="40" t="n"/>
      <c r="M539" s="40" t="n"/>
      <c r="N539" s="40" t="n"/>
    </row>
    <row r="540" ht="15.75" customHeight="1" s="58">
      <c r="A540" s="40" t="n"/>
      <c r="B540" s="40" t="n"/>
      <c r="C540" s="40" t="n"/>
      <c r="D540" s="40" t="n"/>
      <c r="E540" s="40" t="n"/>
      <c r="F540" s="40" t="n"/>
      <c r="G540" s="40" t="n"/>
      <c r="H540" s="40" t="n"/>
      <c r="I540" s="40" t="n"/>
      <c r="J540" s="40" t="n"/>
      <c r="K540" s="40" t="n"/>
      <c r="L540" s="40" t="n"/>
      <c r="M540" s="40" t="n"/>
      <c r="N540" s="40" t="n"/>
    </row>
    <row r="541" ht="15.75" customHeight="1" s="58">
      <c r="A541" s="40" t="n"/>
      <c r="B541" s="40" t="n"/>
      <c r="C541" s="40" t="n"/>
      <c r="D541" s="40" t="n"/>
      <c r="E541" s="40" t="n"/>
      <c r="F541" s="40" t="n"/>
      <c r="G541" s="40" t="n"/>
      <c r="H541" s="40" t="n"/>
      <c r="I541" s="40" t="n"/>
      <c r="J541" s="40" t="n"/>
      <c r="K541" s="40" t="n"/>
      <c r="L541" s="40" t="n"/>
      <c r="M541" s="40" t="n"/>
      <c r="N541" s="40" t="n"/>
    </row>
    <row r="542" ht="15.75" customHeight="1" s="58">
      <c r="A542" s="40" t="n"/>
      <c r="B542" s="40" t="n"/>
      <c r="C542" s="40" t="n"/>
      <c r="D542" s="40" t="n"/>
      <c r="E542" s="40" t="n"/>
      <c r="F542" s="40" t="n"/>
      <c r="G542" s="40" t="n"/>
      <c r="H542" s="40" t="n"/>
      <c r="I542" s="40" t="n"/>
      <c r="J542" s="40" t="n"/>
      <c r="K542" s="40" t="n"/>
      <c r="L542" s="40" t="n"/>
      <c r="M542" s="40" t="n"/>
      <c r="N542" s="40" t="n"/>
    </row>
    <row r="543" ht="15.75" customHeight="1" s="58">
      <c r="A543" s="40" t="n"/>
      <c r="B543" s="40" t="n"/>
      <c r="C543" s="40" t="n"/>
      <c r="D543" s="40" t="n"/>
      <c r="E543" s="40" t="n"/>
      <c r="F543" s="40" t="n"/>
      <c r="G543" s="40" t="n"/>
      <c r="H543" s="40" t="n"/>
      <c r="I543" s="40" t="n"/>
      <c r="J543" s="40" t="n"/>
      <c r="K543" s="40" t="n"/>
      <c r="L543" s="40" t="n"/>
      <c r="M543" s="40" t="n"/>
      <c r="N543" s="40" t="n"/>
    </row>
    <row r="544" ht="15.75" customHeight="1" s="58">
      <c r="A544" s="40" t="n"/>
      <c r="B544" s="40" t="n"/>
      <c r="C544" s="40" t="n"/>
      <c r="D544" s="40" t="n"/>
      <c r="E544" s="40" t="n"/>
      <c r="F544" s="40" t="n"/>
      <c r="G544" s="40" t="n"/>
      <c r="H544" s="40" t="n"/>
      <c r="I544" s="40" t="n"/>
      <c r="J544" s="40" t="n"/>
      <c r="K544" s="40" t="n"/>
      <c r="L544" s="40" t="n"/>
      <c r="M544" s="40" t="n"/>
      <c r="N544" s="40" t="n"/>
    </row>
    <row r="545" ht="15.75" customHeight="1" s="58">
      <c r="A545" s="40" t="n"/>
      <c r="B545" s="40" t="n"/>
      <c r="C545" s="40" t="n"/>
      <c r="D545" s="40" t="n"/>
      <c r="E545" s="40" t="n"/>
      <c r="F545" s="40" t="n"/>
      <c r="G545" s="40" t="n"/>
      <c r="H545" s="40" t="n"/>
      <c r="I545" s="40" t="n"/>
      <c r="J545" s="40" t="n"/>
      <c r="K545" s="40" t="n"/>
      <c r="L545" s="40" t="n"/>
      <c r="M545" s="40" t="n"/>
      <c r="N545" s="40" t="n"/>
    </row>
    <row r="546" ht="15.75" customHeight="1" s="58">
      <c r="A546" s="40" t="n"/>
      <c r="B546" s="40" t="n"/>
      <c r="C546" s="40" t="n"/>
      <c r="D546" s="40" t="n"/>
      <c r="E546" s="40" t="n"/>
      <c r="F546" s="40" t="n"/>
      <c r="G546" s="40" t="n"/>
      <c r="H546" s="40" t="n"/>
      <c r="I546" s="40" t="n"/>
      <c r="J546" s="40" t="n"/>
      <c r="K546" s="40" t="n"/>
      <c r="L546" s="40" t="n"/>
      <c r="M546" s="40" t="n"/>
      <c r="N546" s="40" t="n"/>
    </row>
    <row r="547" ht="15.75" customHeight="1" s="58">
      <c r="A547" s="40" t="n"/>
      <c r="B547" s="40" t="n"/>
      <c r="C547" s="40" t="n"/>
      <c r="D547" s="40" t="n"/>
      <c r="E547" s="40" t="n"/>
      <c r="F547" s="40" t="n"/>
      <c r="G547" s="40" t="n"/>
      <c r="H547" s="40" t="n"/>
      <c r="I547" s="40" t="n"/>
      <c r="J547" s="40" t="n"/>
      <c r="K547" s="40" t="n"/>
      <c r="L547" s="40" t="n"/>
      <c r="M547" s="40" t="n"/>
      <c r="N547" s="40" t="n"/>
    </row>
    <row r="548" ht="15.75" customHeight="1" s="58">
      <c r="A548" s="40" t="n"/>
      <c r="B548" s="40" t="n"/>
      <c r="C548" s="40" t="n"/>
      <c r="D548" s="40" t="n"/>
      <c r="E548" s="40" t="n"/>
      <c r="F548" s="40" t="n"/>
      <c r="G548" s="40" t="n"/>
      <c r="H548" s="40" t="n"/>
      <c r="I548" s="40" t="n"/>
      <c r="J548" s="40" t="n"/>
      <c r="K548" s="40" t="n"/>
      <c r="L548" s="40" t="n"/>
      <c r="M548" s="40" t="n"/>
      <c r="N548" s="40" t="n"/>
    </row>
    <row r="549" ht="15.75" customHeight="1" s="58">
      <c r="A549" s="40" t="n"/>
      <c r="B549" s="40" t="n"/>
      <c r="C549" s="40" t="n"/>
      <c r="D549" s="40" t="n"/>
      <c r="E549" s="40" t="n"/>
      <c r="F549" s="40" t="n"/>
      <c r="G549" s="40" t="n"/>
      <c r="H549" s="40" t="n"/>
      <c r="I549" s="40" t="n"/>
      <c r="J549" s="40" t="n"/>
      <c r="K549" s="40" t="n"/>
      <c r="L549" s="40" t="n"/>
      <c r="M549" s="40" t="n"/>
      <c r="N549" s="40" t="n"/>
    </row>
    <row r="550" ht="15.75" customHeight="1" s="58">
      <c r="A550" s="40" t="n"/>
      <c r="B550" s="40" t="n"/>
      <c r="C550" s="40" t="n"/>
      <c r="D550" s="40" t="n"/>
      <c r="E550" s="40" t="n"/>
      <c r="F550" s="40" t="n"/>
      <c r="G550" s="40" t="n"/>
      <c r="H550" s="40" t="n"/>
      <c r="I550" s="40" t="n"/>
      <c r="J550" s="40" t="n"/>
      <c r="K550" s="40" t="n"/>
      <c r="L550" s="40" t="n"/>
      <c r="M550" s="40" t="n"/>
      <c r="N550" s="40" t="n"/>
    </row>
    <row r="551" ht="15.75" customHeight="1" s="58">
      <c r="A551" s="40" t="n"/>
      <c r="B551" s="40" t="n"/>
      <c r="C551" s="40" t="n"/>
      <c r="D551" s="40" t="n"/>
      <c r="E551" s="40" t="n"/>
      <c r="F551" s="40" t="n"/>
      <c r="G551" s="40" t="n"/>
      <c r="H551" s="40" t="n"/>
      <c r="I551" s="40" t="n"/>
      <c r="J551" s="40" t="n"/>
      <c r="K551" s="40" t="n"/>
      <c r="L551" s="40" t="n"/>
      <c r="M551" s="40" t="n"/>
      <c r="N551" s="40" t="n"/>
    </row>
    <row r="552" ht="15.75" customHeight="1" s="58">
      <c r="A552" s="40" t="n"/>
      <c r="B552" s="40" t="n"/>
      <c r="C552" s="40" t="n"/>
      <c r="D552" s="40" t="n"/>
      <c r="E552" s="40" t="n"/>
      <c r="F552" s="40" t="n"/>
      <c r="G552" s="40" t="n"/>
      <c r="H552" s="40" t="n"/>
      <c r="I552" s="40" t="n"/>
      <c r="J552" s="40" t="n"/>
      <c r="K552" s="40" t="n"/>
      <c r="L552" s="40" t="n"/>
      <c r="M552" s="40" t="n"/>
      <c r="N552" s="40" t="n"/>
    </row>
    <row r="553" ht="15.75" customHeight="1" s="58">
      <c r="A553" s="40" t="n"/>
      <c r="B553" s="40" t="n"/>
      <c r="C553" s="40" t="n"/>
      <c r="D553" s="40" t="n"/>
      <c r="E553" s="40" t="n"/>
      <c r="F553" s="40" t="n"/>
      <c r="G553" s="40" t="n"/>
      <c r="H553" s="40" t="n"/>
      <c r="I553" s="40" t="n"/>
      <c r="J553" s="40" t="n"/>
      <c r="K553" s="40" t="n"/>
      <c r="L553" s="40" t="n"/>
      <c r="M553" s="40" t="n"/>
      <c r="N553" s="40" t="n"/>
    </row>
    <row r="554" ht="15.75" customHeight="1" s="58">
      <c r="A554" s="40" t="n"/>
      <c r="B554" s="40" t="n"/>
      <c r="C554" s="40" t="n"/>
      <c r="D554" s="40" t="n"/>
      <c r="E554" s="40" t="n"/>
      <c r="F554" s="40" t="n"/>
      <c r="G554" s="40" t="n"/>
      <c r="H554" s="40" t="n"/>
      <c r="I554" s="40" t="n"/>
      <c r="J554" s="40" t="n"/>
      <c r="K554" s="40" t="n"/>
      <c r="L554" s="40" t="n"/>
      <c r="M554" s="40" t="n"/>
      <c r="N554" s="40" t="n"/>
    </row>
    <row r="555" ht="15.75" customHeight="1" s="58">
      <c r="A555" s="40" t="n"/>
      <c r="B555" s="40" t="n"/>
      <c r="C555" s="40" t="n"/>
      <c r="D555" s="40" t="n"/>
      <c r="E555" s="40" t="n"/>
      <c r="F555" s="40" t="n"/>
      <c r="G555" s="40" t="n"/>
      <c r="H555" s="40" t="n"/>
      <c r="I555" s="40" t="n"/>
      <c r="J555" s="40" t="n"/>
      <c r="K555" s="40" t="n"/>
      <c r="L555" s="40" t="n"/>
      <c r="M555" s="40" t="n"/>
      <c r="N555" s="40" t="n"/>
    </row>
    <row r="556" ht="15.75" customHeight="1" s="58">
      <c r="A556" s="40" t="n"/>
      <c r="B556" s="40" t="n"/>
      <c r="C556" s="40" t="n"/>
      <c r="D556" s="40" t="n"/>
      <c r="E556" s="40" t="n"/>
      <c r="F556" s="40" t="n"/>
      <c r="G556" s="40" t="n"/>
      <c r="H556" s="40" t="n"/>
      <c r="I556" s="40" t="n"/>
      <c r="J556" s="40" t="n"/>
      <c r="K556" s="40" t="n"/>
      <c r="L556" s="40" t="n"/>
      <c r="M556" s="40" t="n"/>
      <c r="N556" s="40" t="n"/>
    </row>
    <row r="557" ht="15.75" customHeight="1" s="58">
      <c r="A557" s="40" t="n"/>
      <c r="B557" s="40" t="n"/>
      <c r="C557" s="40" t="n"/>
      <c r="D557" s="40" t="n"/>
      <c r="E557" s="40" t="n"/>
      <c r="F557" s="40" t="n"/>
      <c r="G557" s="40" t="n"/>
      <c r="H557" s="40" t="n"/>
      <c r="I557" s="40" t="n"/>
      <c r="J557" s="40" t="n"/>
      <c r="K557" s="40" t="n"/>
      <c r="L557" s="40" t="n"/>
      <c r="M557" s="40" t="n"/>
      <c r="N557" s="40" t="n"/>
    </row>
    <row r="558" ht="15.75" customHeight="1" s="58">
      <c r="A558" s="40" t="n"/>
      <c r="B558" s="40" t="n"/>
      <c r="C558" s="40" t="n"/>
      <c r="D558" s="40" t="n"/>
      <c r="E558" s="40" t="n"/>
      <c r="F558" s="40" t="n"/>
      <c r="G558" s="40" t="n"/>
      <c r="H558" s="40" t="n"/>
      <c r="I558" s="40" t="n"/>
      <c r="J558" s="40" t="n"/>
      <c r="K558" s="40" t="n"/>
      <c r="L558" s="40" t="n"/>
      <c r="M558" s="40" t="n"/>
      <c r="N558" s="40" t="n"/>
    </row>
    <row r="559" ht="15.75" customHeight="1" s="58">
      <c r="A559" s="40" t="n"/>
      <c r="B559" s="40" t="n"/>
      <c r="C559" s="40" t="n"/>
      <c r="D559" s="40" t="n"/>
      <c r="E559" s="40" t="n"/>
      <c r="F559" s="40" t="n"/>
      <c r="G559" s="40" t="n"/>
      <c r="H559" s="40" t="n"/>
      <c r="I559" s="40" t="n"/>
      <c r="J559" s="40" t="n"/>
      <c r="K559" s="40" t="n"/>
      <c r="L559" s="40" t="n"/>
      <c r="M559" s="40" t="n"/>
      <c r="N559" s="40" t="n"/>
    </row>
    <row r="560" ht="15.75" customHeight="1" s="58">
      <c r="A560" s="40" t="n"/>
      <c r="B560" s="40" t="n"/>
      <c r="C560" s="40" t="n"/>
      <c r="D560" s="40" t="n"/>
      <c r="E560" s="40" t="n"/>
      <c r="F560" s="40" t="n"/>
      <c r="G560" s="40" t="n"/>
      <c r="H560" s="40" t="n"/>
      <c r="I560" s="40" t="n"/>
      <c r="J560" s="40" t="n"/>
      <c r="K560" s="40" t="n"/>
      <c r="L560" s="40" t="n"/>
      <c r="M560" s="40" t="n"/>
      <c r="N560" s="40" t="n"/>
    </row>
    <row r="561" ht="15.75" customHeight="1" s="58">
      <c r="A561" s="40" t="n"/>
      <c r="B561" s="40" t="n"/>
      <c r="C561" s="40" t="n"/>
      <c r="D561" s="40" t="n"/>
      <c r="E561" s="40" t="n"/>
      <c r="F561" s="40" t="n"/>
      <c r="G561" s="40" t="n"/>
      <c r="H561" s="40" t="n"/>
      <c r="I561" s="40" t="n"/>
      <c r="J561" s="40" t="n"/>
      <c r="K561" s="40" t="n"/>
      <c r="L561" s="40" t="n"/>
      <c r="M561" s="40" t="n"/>
      <c r="N561" s="40" t="n"/>
    </row>
    <row r="562" ht="15.75" customHeight="1" s="58">
      <c r="A562" s="40" t="n"/>
      <c r="B562" s="40" t="n"/>
      <c r="C562" s="40" t="n"/>
      <c r="D562" s="40" t="n"/>
      <c r="E562" s="40" t="n"/>
      <c r="F562" s="40" t="n"/>
      <c r="G562" s="40" t="n"/>
      <c r="H562" s="40" t="n"/>
      <c r="I562" s="40" t="n"/>
      <c r="J562" s="40" t="n"/>
      <c r="K562" s="40" t="n"/>
      <c r="L562" s="40" t="n"/>
      <c r="M562" s="40" t="n"/>
      <c r="N562" s="40" t="n"/>
    </row>
    <row r="563" ht="15.75" customHeight="1" s="58">
      <c r="A563" s="40" t="n"/>
      <c r="B563" s="40" t="n"/>
      <c r="C563" s="40" t="n"/>
      <c r="D563" s="40" t="n"/>
      <c r="E563" s="40" t="n"/>
      <c r="F563" s="40" t="n"/>
      <c r="G563" s="40" t="n"/>
      <c r="H563" s="40" t="n"/>
      <c r="I563" s="40" t="n"/>
      <c r="J563" s="40" t="n"/>
      <c r="K563" s="40" t="n"/>
      <c r="L563" s="40" t="n"/>
      <c r="M563" s="40" t="n"/>
      <c r="N563" s="40" t="n"/>
    </row>
    <row r="564" ht="15.75" customHeight="1" s="58">
      <c r="A564" s="40" t="n"/>
      <c r="B564" s="40" t="n"/>
      <c r="C564" s="40" t="n"/>
      <c r="D564" s="40" t="n"/>
      <c r="E564" s="40" t="n"/>
      <c r="F564" s="40" t="n"/>
      <c r="G564" s="40" t="n"/>
      <c r="H564" s="40" t="n"/>
      <c r="I564" s="40" t="n"/>
      <c r="J564" s="40" t="n"/>
      <c r="K564" s="40" t="n"/>
      <c r="L564" s="40" t="n"/>
      <c r="M564" s="40" t="n"/>
      <c r="N564" s="40" t="n"/>
    </row>
    <row r="565" ht="15.75" customHeight="1" s="58">
      <c r="A565" s="40" t="n"/>
      <c r="B565" s="40" t="n"/>
      <c r="C565" s="40" t="n"/>
      <c r="D565" s="40" t="n"/>
      <c r="E565" s="40" t="n"/>
      <c r="F565" s="40" t="n"/>
      <c r="G565" s="40" t="n"/>
      <c r="H565" s="40" t="n"/>
      <c r="I565" s="40" t="n"/>
      <c r="J565" s="40" t="n"/>
      <c r="K565" s="40" t="n"/>
      <c r="L565" s="40" t="n"/>
      <c r="M565" s="40" t="n"/>
      <c r="N565" s="40" t="n"/>
    </row>
    <row r="566" ht="15.75" customHeight="1" s="58">
      <c r="A566" s="40" t="n"/>
      <c r="B566" s="40" t="n"/>
      <c r="C566" s="40" t="n"/>
      <c r="D566" s="40" t="n"/>
      <c r="E566" s="40" t="n"/>
      <c r="F566" s="40" t="n"/>
      <c r="G566" s="40" t="n"/>
      <c r="H566" s="40" t="n"/>
      <c r="I566" s="40" t="n"/>
      <c r="J566" s="40" t="n"/>
      <c r="K566" s="40" t="n"/>
      <c r="L566" s="40" t="n"/>
      <c r="M566" s="40" t="n"/>
      <c r="N566" s="40" t="n"/>
    </row>
    <row r="567" ht="15.75" customHeight="1" s="58">
      <c r="A567" s="40" t="n"/>
      <c r="B567" s="40" t="n"/>
      <c r="C567" s="40" t="n"/>
      <c r="D567" s="40" t="n"/>
      <c r="E567" s="40" t="n"/>
      <c r="F567" s="40" t="n"/>
      <c r="G567" s="40" t="n"/>
      <c r="H567" s="40" t="n"/>
      <c r="I567" s="40" t="n"/>
      <c r="J567" s="40" t="n"/>
      <c r="K567" s="40" t="n"/>
      <c r="L567" s="40" t="n"/>
      <c r="M567" s="40" t="n"/>
      <c r="N567" s="40" t="n"/>
    </row>
    <row r="568" ht="15.75" customHeight="1" s="58">
      <c r="A568" s="40" t="n"/>
      <c r="B568" s="40" t="n"/>
      <c r="C568" s="40" t="n"/>
      <c r="D568" s="40" t="n"/>
      <c r="E568" s="40" t="n"/>
      <c r="F568" s="40" t="n"/>
      <c r="G568" s="40" t="n"/>
      <c r="H568" s="40" t="n"/>
      <c r="I568" s="40" t="n"/>
      <c r="J568" s="40" t="n"/>
      <c r="K568" s="40" t="n"/>
      <c r="L568" s="40" t="n"/>
      <c r="M568" s="40" t="n"/>
      <c r="N568" s="40" t="n"/>
    </row>
    <row r="569" ht="15.75" customHeight="1" s="58">
      <c r="A569" s="40" t="n"/>
      <c r="B569" s="40" t="n"/>
      <c r="C569" s="40" t="n"/>
      <c r="D569" s="40" t="n"/>
      <c r="E569" s="40" t="n"/>
      <c r="F569" s="40" t="n"/>
      <c r="G569" s="40" t="n"/>
      <c r="H569" s="40" t="n"/>
      <c r="I569" s="40" t="n"/>
      <c r="J569" s="40" t="n"/>
      <c r="K569" s="40" t="n"/>
      <c r="L569" s="40" t="n"/>
      <c r="M569" s="40" t="n"/>
      <c r="N569" s="40" t="n"/>
    </row>
    <row r="570" ht="15.75" customHeight="1" s="58">
      <c r="A570" s="40" t="n"/>
      <c r="B570" s="40" t="n"/>
      <c r="C570" s="40" t="n"/>
      <c r="D570" s="40" t="n"/>
      <c r="E570" s="40" t="n"/>
      <c r="F570" s="40" t="n"/>
      <c r="G570" s="40" t="n"/>
      <c r="H570" s="40" t="n"/>
      <c r="I570" s="40" t="n"/>
      <c r="J570" s="40" t="n"/>
      <c r="K570" s="40" t="n"/>
      <c r="L570" s="40" t="n"/>
      <c r="M570" s="40" t="n"/>
      <c r="N570" s="40" t="n"/>
    </row>
    <row r="571" ht="15.75" customHeight="1" s="58">
      <c r="A571" s="40" t="n"/>
      <c r="B571" s="40" t="n"/>
      <c r="C571" s="40" t="n"/>
      <c r="D571" s="40" t="n"/>
      <c r="E571" s="40" t="n"/>
      <c r="F571" s="40" t="n"/>
      <c r="G571" s="40" t="n"/>
      <c r="H571" s="40" t="n"/>
      <c r="I571" s="40" t="n"/>
      <c r="J571" s="40" t="n"/>
      <c r="K571" s="40" t="n"/>
      <c r="L571" s="40" t="n"/>
      <c r="M571" s="40" t="n"/>
      <c r="N571" s="40" t="n"/>
    </row>
    <row r="572" ht="15.75" customHeight="1" s="58">
      <c r="A572" s="40" t="n"/>
      <c r="B572" s="40" t="n"/>
      <c r="C572" s="40" t="n"/>
      <c r="D572" s="40" t="n"/>
      <c r="E572" s="40" t="n"/>
      <c r="F572" s="40" t="n"/>
      <c r="G572" s="40" t="n"/>
      <c r="H572" s="40" t="n"/>
      <c r="I572" s="40" t="n"/>
      <c r="J572" s="40" t="n"/>
      <c r="K572" s="40" t="n"/>
      <c r="L572" s="40" t="n"/>
      <c r="M572" s="40" t="n"/>
      <c r="N572" s="40" t="n"/>
    </row>
    <row r="573" ht="15.75" customHeight="1" s="58">
      <c r="A573" s="40" t="n"/>
      <c r="B573" s="40" t="n"/>
      <c r="C573" s="40" t="n"/>
      <c r="D573" s="40" t="n"/>
      <c r="E573" s="40" t="n"/>
      <c r="F573" s="40" t="n"/>
      <c r="G573" s="40" t="n"/>
      <c r="H573" s="40" t="n"/>
      <c r="I573" s="40" t="n"/>
      <c r="J573" s="40" t="n"/>
      <c r="K573" s="40" t="n"/>
      <c r="L573" s="40" t="n"/>
      <c r="M573" s="40" t="n"/>
      <c r="N573" s="40" t="n"/>
    </row>
    <row r="574" ht="15.75" customHeight="1" s="58">
      <c r="A574" s="40" t="n"/>
      <c r="B574" s="40" t="n"/>
      <c r="C574" s="40" t="n"/>
      <c r="D574" s="40" t="n"/>
      <c r="E574" s="40" t="n"/>
      <c r="F574" s="40" t="n"/>
      <c r="G574" s="40" t="n"/>
      <c r="H574" s="40" t="n"/>
      <c r="I574" s="40" t="n"/>
      <c r="J574" s="40" t="n"/>
      <c r="K574" s="40" t="n"/>
      <c r="L574" s="40" t="n"/>
      <c r="M574" s="40" t="n"/>
      <c r="N574" s="40" t="n"/>
    </row>
    <row r="575" ht="15.75" customHeight="1" s="58">
      <c r="A575" s="40" t="n"/>
      <c r="B575" s="40" t="n"/>
      <c r="C575" s="40" t="n"/>
      <c r="D575" s="40" t="n"/>
      <c r="E575" s="40" t="n"/>
      <c r="F575" s="40" t="n"/>
      <c r="G575" s="40" t="n"/>
      <c r="H575" s="40" t="n"/>
      <c r="I575" s="40" t="n"/>
      <c r="J575" s="40" t="n"/>
      <c r="K575" s="40" t="n"/>
      <c r="L575" s="40" t="n"/>
      <c r="M575" s="40" t="n"/>
      <c r="N575" s="40" t="n"/>
    </row>
    <row r="576" ht="15.75" customHeight="1" s="58">
      <c r="A576" s="40" t="n"/>
      <c r="B576" s="40" t="n"/>
      <c r="C576" s="40" t="n"/>
      <c r="D576" s="40" t="n"/>
      <c r="E576" s="40" t="n"/>
      <c r="F576" s="40" t="n"/>
      <c r="G576" s="40" t="n"/>
      <c r="H576" s="40" t="n"/>
      <c r="I576" s="40" t="n"/>
      <c r="J576" s="40" t="n"/>
      <c r="K576" s="40" t="n"/>
      <c r="L576" s="40" t="n"/>
      <c r="M576" s="40" t="n"/>
      <c r="N576" s="40" t="n"/>
    </row>
    <row r="577" ht="15.75" customHeight="1" s="58">
      <c r="A577" s="40" t="n"/>
      <c r="B577" s="40" t="n"/>
      <c r="C577" s="40" t="n"/>
      <c r="D577" s="40" t="n"/>
      <c r="E577" s="40" t="n"/>
      <c r="F577" s="40" t="n"/>
      <c r="G577" s="40" t="n"/>
      <c r="H577" s="40" t="n"/>
      <c r="I577" s="40" t="n"/>
      <c r="J577" s="40" t="n"/>
      <c r="K577" s="40" t="n"/>
      <c r="L577" s="40" t="n"/>
      <c r="M577" s="40" t="n"/>
      <c r="N577" s="40" t="n"/>
    </row>
    <row r="578" ht="15.75" customHeight="1" s="58">
      <c r="A578" s="40" t="n"/>
      <c r="B578" s="40" t="n"/>
      <c r="C578" s="40" t="n"/>
      <c r="D578" s="40" t="n"/>
      <c r="E578" s="40" t="n"/>
      <c r="F578" s="40" t="n"/>
      <c r="G578" s="40" t="n"/>
      <c r="H578" s="40" t="n"/>
      <c r="I578" s="40" t="n"/>
      <c r="J578" s="40" t="n"/>
      <c r="K578" s="40" t="n"/>
      <c r="L578" s="40" t="n"/>
      <c r="M578" s="40" t="n"/>
      <c r="N578" s="40" t="n"/>
    </row>
    <row r="579" ht="15.75" customHeight="1" s="58">
      <c r="A579" s="40" t="n"/>
      <c r="B579" s="40" t="n"/>
      <c r="C579" s="40" t="n"/>
      <c r="D579" s="40" t="n"/>
      <c r="E579" s="40" t="n"/>
      <c r="F579" s="40" t="n"/>
      <c r="G579" s="40" t="n"/>
      <c r="H579" s="40" t="n"/>
      <c r="I579" s="40" t="n"/>
      <c r="J579" s="40" t="n"/>
      <c r="K579" s="40" t="n"/>
      <c r="L579" s="40" t="n"/>
      <c r="M579" s="40" t="n"/>
      <c r="N579" s="40" t="n"/>
    </row>
    <row r="580" ht="15.75" customHeight="1" s="58">
      <c r="A580" s="40" t="n"/>
      <c r="B580" s="40" t="n"/>
      <c r="C580" s="40" t="n"/>
      <c r="D580" s="40" t="n"/>
      <c r="E580" s="40" t="n"/>
      <c r="F580" s="40" t="n"/>
      <c r="G580" s="40" t="n"/>
      <c r="H580" s="40" t="n"/>
      <c r="I580" s="40" t="n"/>
      <c r="J580" s="40" t="n"/>
      <c r="K580" s="40" t="n"/>
      <c r="L580" s="40" t="n"/>
      <c r="M580" s="40" t="n"/>
      <c r="N580" s="40" t="n"/>
    </row>
    <row r="581" ht="15.75" customHeight="1" s="58">
      <c r="A581" s="40" t="n"/>
      <c r="B581" s="40" t="n"/>
      <c r="C581" s="40" t="n"/>
      <c r="D581" s="40" t="n"/>
      <c r="E581" s="40" t="n"/>
      <c r="F581" s="40" t="n"/>
      <c r="G581" s="40" t="n"/>
      <c r="H581" s="40" t="n"/>
      <c r="I581" s="40" t="n"/>
      <c r="J581" s="40" t="n"/>
      <c r="K581" s="40" t="n"/>
      <c r="L581" s="40" t="n"/>
      <c r="M581" s="40" t="n"/>
      <c r="N581" s="40" t="n"/>
    </row>
    <row r="582" ht="15.75" customHeight="1" s="58">
      <c r="A582" s="40" t="n"/>
      <c r="B582" s="40" t="n"/>
      <c r="C582" s="40" t="n"/>
      <c r="D582" s="40" t="n"/>
      <c r="E582" s="40" t="n"/>
      <c r="F582" s="40" t="n"/>
      <c r="G582" s="40" t="n"/>
      <c r="H582" s="40" t="n"/>
      <c r="I582" s="40" t="n"/>
      <c r="J582" s="40" t="n"/>
      <c r="K582" s="40" t="n"/>
      <c r="L582" s="40" t="n"/>
      <c r="M582" s="40" t="n"/>
      <c r="N582" s="40" t="n"/>
    </row>
    <row r="583" ht="15.75" customHeight="1" s="58">
      <c r="A583" s="40" t="n"/>
      <c r="B583" s="40" t="n"/>
      <c r="C583" s="40" t="n"/>
      <c r="D583" s="40" t="n"/>
      <c r="E583" s="40" t="n"/>
      <c r="F583" s="40" t="n"/>
      <c r="G583" s="40" t="n"/>
      <c r="H583" s="40" t="n"/>
      <c r="I583" s="40" t="n"/>
      <c r="J583" s="40" t="n"/>
      <c r="K583" s="40" t="n"/>
      <c r="L583" s="40" t="n"/>
      <c r="M583" s="40" t="n"/>
      <c r="N583" s="40" t="n"/>
    </row>
    <row r="584" ht="15.75" customHeight="1" s="58">
      <c r="A584" s="40" t="n"/>
      <c r="B584" s="40" t="n"/>
      <c r="C584" s="40" t="n"/>
      <c r="D584" s="40" t="n"/>
      <c r="E584" s="40" t="n"/>
      <c r="F584" s="40" t="n"/>
      <c r="G584" s="40" t="n"/>
      <c r="H584" s="40" t="n"/>
      <c r="I584" s="40" t="n"/>
      <c r="J584" s="40" t="n"/>
      <c r="K584" s="40" t="n"/>
      <c r="L584" s="40" t="n"/>
      <c r="M584" s="40" t="n"/>
      <c r="N584" s="40" t="n"/>
    </row>
    <row r="585" ht="15.75" customHeight="1" s="58">
      <c r="A585" s="40" t="n"/>
      <c r="B585" s="40" t="n"/>
      <c r="C585" s="40" t="n"/>
      <c r="D585" s="40" t="n"/>
      <c r="E585" s="40" t="n"/>
      <c r="F585" s="40" t="n"/>
      <c r="G585" s="40" t="n"/>
      <c r="H585" s="40" t="n"/>
      <c r="I585" s="40" t="n"/>
      <c r="J585" s="40" t="n"/>
      <c r="K585" s="40" t="n"/>
      <c r="L585" s="40" t="n"/>
      <c r="M585" s="40" t="n"/>
      <c r="N585" s="40" t="n"/>
    </row>
    <row r="586" ht="15.75" customHeight="1" s="58">
      <c r="A586" s="40" t="n"/>
      <c r="B586" s="40" t="n"/>
      <c r="C586" s="40" t="n"/>
      <c r="D586" s="40" t="n"/>
      <c r="E586" s="40" t="n"/>
      <c r="F586" s="40" t="n"/>
      <c r="G586" s="40" t="n"/>
      <c r="H586" s="40" t="n"/>
      <c r="I586" s="40" t="n"/>
      <c r="J586" s="40" t="n"/>
      <c r="K586" s="40" t="n"/>
      <c r="L586" s="40" t="n"/>
      <c r="M586" s="40" t="n"/>
      <c r="N586" s="40" t="n"/>
    </row>
    <row r="587" ht="15.75" customHeight="1" s="58">
      <c r="A587" s="40" t="n"/>
      <c r="B587" s="40" t="n"/>
      <c r="C587" s="40" t="n"/>
      <c r="D587" s="40" t="n"/>
      <c r="E587" s="40" t="n"/>
      <c r="F587" s="40" t="n"/>
      <c r="G587" s="40" t="n"/>
      <c r="H587" s="40" t="n"/>
      <c r="I587" s="40" t="n"/>
      <c r="J587" s="40" t="n"/>
      <c r="K587" s="40" t="n"/>
      <c r="L587" s="40" t="n"/>
      <c r="M587" s="40" t="n"/>
      <c r="N587" s="40" t="n"/>
    </row>
    <row r="588" ht="15.75" customHeight="1" s="58">
      <c r="A588" s="40" t="n"/>
      <c r="B588" s="40" t="n"/>
      <c r="C588" s="40" t="n"/>
      <c r="D588" s="40" t="n"/>
      <c r="E588" s="40" t="n"/>
      <c r="F588" s="40" t="n"/>
      <c r="G588" s="40" t="n"/>
      <c r="H588" s="40" t="n"/>
      <c r="I588" s="40" t="n"/>
      <c r="J588" s="40" t="n"/>
      <c r="K588" s="40" t="n"/>
      <c r="L588" s="40" t="n"/>
      <c r="M588" s="40" t="n"/>
      <c r="N588" s="40" t="n"/>
    </row>
    <row r="589" ht="15.75" customHeight="1" s="58">
      <c r="A589" s="40" t="n"/>
      <c r="B589" s="40" t="n"/>
      <c r="C589" s="40" t="n"/>
      <c r="D589" s="40" t="n"/>
      <c r="E589" s="40" t="n"/>
      <c r="F589" s="40" t="n"/>
      <c r="G589" s="40" t="n"/>
      <c r="H589" s="40" t="n"/>
      <c r="I589" s="40" t="n"/>
      <c r="J589" s="40" t="n"/>
      <c r="K589" s="40" t="n"/>
      <c r="L589" s="40" t="n"/>
      <c r="M589" s="40" t="n"/>
      <c r="N589" s="40" t="n"/>
    </row>
    <row r="590" ht="15.75" customHeight="1" s="58">
      <c r="A590" s="40" t="n"/>
      <c r="B590" s="40" t="n"/>
      <c r="C590" s="40" t="n"/>
      <c r="D590" s="40" t="n"/>
      <c r="E590" s="40" t="n"/>
      <c r="F590" s="40" t="n"/>
      <c r="G590" s="40" t="n"/>
      <c r="H590" s="40" t="n"/>
      <c r="I590" s="40" t="n"/>
      <c r="J590" s="40" t="n"/>
      <c r="K590" s="40" t="n"/>
      <c r="L590" s="40" t="n"/>
      <c r="M590" s="40" t="n"/>
      <c r="N590" s="40" t="n"/>
    </row>
    <row r="591" ht="15.75" customHeight="1" s="58">
      <c r="A591" s="40" t="n"/>
      <c r="B591" s="40" t="n"/>
      <c r="C591" s="40" t="n"/>
      <c r="D591" s="40" t="n"/>
      <c r="E591" s="40" t="n"/>
      <c r="F591" s="40" t="n"/>
      <c r="G591" s="40" t="n"/>
      <c r="H591" s="40" t="n"/>
      <c r="I591" s="40" t="n"/>
      <c r="J591" s="40" t="n"/>
      <c r="K591" s="40" t="n"/>
      <c r="L591" s="40" t="n"/>
      <c r="M591" s="40" t="n"/>
      <c r="N591" s="40" t="n"/>
    </row>
    <row r="592" ht="15.75" customHeight="1" s="58">
      <c r="A592" s="40" t="n"/>
      <c r="B592" s="40" t="n"/>
      <c r="C592" s="40" t="n"/>
      <c r="D592" s="40" t="n"/>
      <c r="E592" s="40" t="n"/>
      <c r="F592" s="40" t="n"/>
      <c r="G592" s="40" t="n"/>
      <c r="H592" s="40" t="n"/>
      <c r="I592" s="40" t="n"/>
      <c r="J592" s="40" t="n"/>
      <c r="K592" s="40" t="n"/>
      <c r="L592" s="40" t="n"/>
      <c r="M592" s="40" t="n"/>
      <c r="N592" s="40" t="n"/>
    </row>
    <row r="593" ht="15.75" customHeight="1" s="58">
      <c r="A593" s="40" t="n"/>
      <c r="B593" s="40" t="n"/>
      <c r="C593" s="40" t="n"/>
      <c r="D593" s="40" t="n"/>
      <c r="E593" s="40" t="n"/>
      <c r="F593" s="40" t="n"/>
      <c r="G593" s="40" t="n"/>
      <c r="H593" s="40" t="n"/>
      <c r="I593" s="40" t="n"/>
      <c r="J593" s="40" t="n"/>
      <c r="K593" s="40" t="n"/>
      <c r="L593" s="40" t="n"/>
      <c r="M593" s="40" t="n"/>
      <c r="N593" s="40" t="n"/>
    </row>
    <row r="594" ht="15.75" customHeight="1" s="58">
      <c r="A594" s="40" t="n"/>
      <c r="B594" s="40" t="n"/>
      <c r="C594" s="40" t="n"/>
      <c r="D594" s="40" t="n"/>
      <c r="E594" s="40" t="n"/>
      <c r="F594" s="40" t="n"/>
      <c r="G594" s="40" t="n"/>
      <c r="H594" s="40" t="n"/>
      <c r="I594" s="40" t="n"/>
      <c r="J594" s="40" t="n"/>
      <c r="K594" s="40" t="n"/>
      <c r="L594" s="40" t="n"/>
      <c r="M594" s="40" t="n"/>
      <c r="N594" s="40" t="n"/>
    </row>
    <row r="595" ht="15.75" customHeight="1" s="58">
      <c r="A595" s="40" t="n"/>
      <c r="B595" s="40" t="n"/>
      <c r="C595" s="40" t="n"/>
      <c r="D595" s="40" t="n"/>
      <c r="E595" s="40" t="n"/>
      <c r="F595" s="40" t="n"/>
      <c r="G595" s="40" t="n"/>
      <c r="H595" s="40" t="n"/>
      <c r="I595" s="40" t="n"/>
      <c r="J595" s="40" t="n"/>
      <c r="K595" s="40" t="n"/>
      <c r="L595" s="40" t="n"/>
      <c r="M595" s="40" t="n"/>
      <c r="N595" s="40" t="n"/>
    </row>
    <row r="596" ht="15.75" customHeight="1" s="58">
      <c r="A596" s="40" t="n"/>
      <c r="B596" s="40" t="n"/>
      <c r="C596" s="40" t="n"/>
      <c r="D596" s="40" t="n"/>
      <c r="E596" s="40" t="n"/>
      <c r="F596" s="40" t="n"/>
      <c r="G596" s="40" t="n"/>
      <c r="H596" s="40" t="n"/>
      <c r="I596" s="40" t="n"/>
      <c r="J596" s="40" t="n"/>
      <c r="K596" s="40" t="n"/>
      <c r="L596" s="40" t="n"/>
      <c r="M596" s="40" t="n"/>
      <c r="N596" s="40" t="n"/>
    </row>
    <row r="597" ht="15.75" customHeight="1" s="58">
      <c r="A597" s="40" t="n"/>
      <c r="B597" s="40" t="n"/>
      <c r="C597" s="40" t="n"/>
      <c r="D597" s="40" t="n"/>
      <c r="E597" s="40" t="n"/>
      <c r="F597" s="40" t="n"/>
      <c r="G597" s="40" t="n"/>
      <c r="H597" s="40" t="n"/>
      <c r="I597" s="40" t="n"/>
      <c r="J597" s="40" t="n"/>
      <c r="K597" s="40" t="n"/>
      <c r="L597" s="40" t="n"/>
      <c r="M597" s="40" t="n"/>
      <c r="N597" s="40" t="n"/>
    </row>
    <row r="598" ht="15.75" customHeight="1" s="58">
      <c r="A598" s="40" t="n"/>
      <c r="B598" s="40" t="n"/>
      <c r="C598" s="40" t="n"/>
      <c r="D598" s="40" t="n"/>
      <c r="E598" s="40" t="n"/>
      <c r="F598" s="40" t="n"/>
      <c r="G598" s="40" t="n"/>
      <c r="H598" s="40" t="n"/>
      <c r="I598" s="40" t="n"/>
      <c r="J598" s="40" t="n"/>
      <c r="K598" s="40" t="n"/>
      <c r="L598" s="40" t="n"/>
      <c r="M598" s="40" t="n"/>
      <c r="N598" s="40" t="n"/>
    </row>
    <row r="599" ht="15.75" customHeight="1" s="58">
      <c r="A599" s="40" t="n"/>
      <c r="B599" s="40" t="n"/>
      <c r="C599" s="40" t="n"/>
      <c r="D599" s="40" t="n"/>
      <c r="E599" s="40" t="n"/>
      <c r="F599" s="40" t="n"/>
      <c r="G599" s="40" t="n"/>
      <c r="H599" s="40" t="n"/>
      <c r="I599" s="40" t="n"/>
      <c r="J599" s="40" t="n"/>
      <c r="K599" s="40" t="n"/>
      <c r="L599" s="40" t="n"/>
      <c r="M599" s="40" t="n"/>
      <c r="N599" s="40" t="n"/>
    </row>
    <row r="600" ht="15.75" customHeight="1" s="58">
      <c r="A600" s="40" t="n"/>
      <c r="B600" s="40" t="n"/>
      <c r="C600" s="40" t="n"/>
      <c r="D600" s="40" t="n"/>
      <c r="E600" s="40" t="n"/>
      <c r="F600" s="40" t="n"/>
      <c r="G600" s="40" t="n"/>
      <c r="H600" s="40" t="n"/>
      <c r="I600" s="40" t="n"/>
      <c r="J600" s="40" t="n"/>
      <c r="K600" s="40" t="n"/>
      <c r="L600" s="40" t="n"/>
      <c r="M600" s="40" t="n"/>
      <c r="N600" s="40" t="n"/>
    </row>
    <row r="601" ht="15.75" customHeight="1" s="58">
      <c r="A601" s="40" t="n"/>
      <c r="B601" s="40" t="n"/>
      <c r="C601" s="40" t="n"/>
      <c r="D601" s="40" t="n"/>
      <c r="E601" s="40" t="n"/>
      <c r="F601" s="40" t="n"/>
      <c r="G601" s="40" t="n"/>
      <c r="H601" s="40" t="n"/>
      <c r="I601" s="40" t="n"/>
      <c r="J601" s="40" t="n"/>
      <c r="K601" s="40" t="n"/>
      <c r="L601" s="40" t="n"/>
      <c r="M601" s="40" t="n"/>
      <c r="N601" s="40" t="n"/>
    </row>
    <row r="602" ht="15.75" customHeight="1" s="58">
      <c r="A602" s="40" t="n"/>
      <c r="B602" s="40" t="n"/>
      <c r="C602" s="40" t="n"/>
      <c r="D602" s="40" t="n"/>
      <c r="E602" s="40" t="n"/>
      <c r="F602" s="40" t="n"/>
      <c r="G602" s="40" t="n"/>
      <c r="H602" s="40" t="n"/>
      <c r="I602" s="40" t="n"/>
      <c r="J602" s="40" t="n"/>
      <c r="K602" s="40" t="n"/>
      <c r="L602" s="40" t="n"/>
      <c r="M602" s="40" t="n"/>
      <c r="N602" s="40" t="n"/>
    </row>
    <row r="603" ht="15.75" customHeight="1" s="58">
      <c r="A603" s="40" t="n"/>
      <c r="B603" s="40" t="n"/>
      <c r="C603" s="40" t="n"/>
      <c r="D603" s="40" t="n"/>
      <c r="E603" s="40" t="n"/>
      <c r="F603" s="40" t="n"/>
      <c r="G603" s="40" t="n"/>
      <c r="H603" s="40" t="n"/>
      <c r="I603" s="40" t="n"/>
      <c r="J603" s="40" t="n"/>
      <c r="K603" s="40" t="n"/>
      <c r="L603" s="40" t="n"/>
      <c r="M603" s="40" t="n"/>
      <c r="N603" s="40" t="n"/>
    </row>
    <row r="604" ht="15.75" customHeight="1" s="58">
      <c r="A604" s="40" t="n"/>
      <c r="B604" s="40" t="n"/>
      <c r="C604" s="40" t="n"/>
      <c r="D604" s="40" t="n"/>
      <c r="E604" s="40" t="n"/>
      <c r="F604" s="40" t="n"/>
      <c r="G604" s="40" t="n"/>
      <c r="H604" s="40" t="n"/>
      <c r="I604" s="40" t="n"/>
      <c r="J604" s="40" t="n"/>
      <c r="K604" s="40" t="n"/>
      <c r="L604" s="40" t="n"/>
      <c r="M604" s="40" t="n"/>
      <c r="N604" s="40" t="n"/>
    </row>
    <row r="605" ht="15.75" customHeight="1" s="58">
      <c r="A605" s="40" t="n"/>
      <c r="B605" s="40" t="n"/>
      <c r="C605" s="40" t="n"/>
      <c r="D605" s="40" t="n"/>
      <c r="E605" s="40" t="n"/>
      <c r="F605" s="40" t="n"/>
      <c r="G605" s="40" t="n"/>
      <c r="H605" s="40" t="n"/>
      <c r="I605" s="40" t="n"/>
      <c r="J605" s="40" t="n"/>
      <c r="K605" s="40" t="n"/>
      <c r="L605" s="40" t="n"/>
      <c r="M605" s="40" t="n"/>
      <c r="N605" s="40" t="n"/>
    </row>
    <row r="606" ht="15.75" customHeight="1" s="58">
      <c r="A606" s="40" t="n"/>
      <c r="B606" s="40" t="n"/>
      <c r="C606" s="40" t="n"/>
      <c r="D606" s="40" t="n"/>
      <c r="E606" s="40" t="n"/>
      <c r="F606" s="40" t="n"/>
      <c r="G606" s="40" t="n"/>
      <c r="H606" s="40" t="n"/>
      <c r="I606" s="40" t="n"/>
      <c r="J606" s="40" t="n"/>
      <c r="K606" s="40" t="n"/>
      <c r="L606" s="40" t="n"/>
      <c r="M606" s="40" t="n"/>
      <c r="N606" s="40" t="n"/>
    </row>
    <row r="607" ht="15.75" customHeight="1" s="58">
      <c r="A607" s="40" t="n"/>
      <c r="B607" s="40" t="n"/>
      <c r="C607" s="40" t="n"/>
      <c r="D607" s="40" t="n"/>
      <c r="E607" s="40" t="n"/>
      <c r="F607" s="40" t="n"/>
      <c r="G607" s="40" t="n"/>
      <c r="H607" s="40" t="n"/>
      <c r="I607" s="40" t="n"/>
      <c r="J607" s="40" t="n"/>
      <c r="K607" s="40" t="n"/>
      <c r="L607" s="40" t="n"/>
      <c r="M607" s="40" t="n"/>
      <c r="N607" s="40" t="n"/>
    </row>
    <row r="608" ht="15.75" customHeight="1" s="58">
      <c r="A608" s="40" t="n"/>
      <c r="B608" s="40" t="n"/>
      <c r="C608" s="40" t="n"/>
      <c r="D608" s="40" t="n"/>
      <c r="E608" s="40" t="n"/>
      <c r="F608" s="40" t="n"/>
      <c r="G608" s="40" t="n"/>
      <c r="H608" s="40" t="n"/>
      <c r="I608" s="40" t="n"/>
      <c r="J608" s="40" t="n"/>
      <c r="K608" s="40" t="n"/>
      <c r="L608" s="40" t="n"/>
      <c r="M608" s="40" t="n"/>
      <c r="N608" s="40" t="n"/>
    </row>
    <row r="609" ht="15.75" customHeight="1" s="58">
      <c r="A609" s="40" t="n"/>
      <c r="B609" s="40" t="n"/>
      <c r="C609" s="40" t="n"/>
      <c r="D609" s="40" t="n"/>
      <c r="E609" s="40" t="n"/>
      <c r="F609" s="40" t="n"/>
      <c r="G609" s="40" t="n"/>
      <c r="H609" s="40" t="n"/>
      <c r="I609" s="40" t="n"/>
      <c r="J609" s="40" t="n"/>
      <c r="K609" s="40" t="n"/>
      <c r="L609" s="40" t="n"/>
      <c r="M609" s="40" t="n"/>
      <c r="N609" s="40" t="n"/>
    </row>
    <row r="610" ht="15.75" customHeight="1" s="58">
      <c r="A610" s="40" t="n"/>
      <c r="B610" s="40" t="n"/>
      <c r="C610" s="40" t="n"/>
      <c r="D610" s="40" t="n"/>
      <c r="E610" s="40" t="n"/>
      <c r="F610" s="40" t="n"/>
      <c r="G610" s="40" t="n"/>
      <c r="H610" s="40" t="n"/>
      <c r="I610" s="40" t="n"/>
      <c r="J610" s="40" t="n"/>
      <c r="K610" s="40" t="n"/>
      <c r="L610" s="40" t="n"/>
      <c r="M610" s="40" t="n"/>
      <c r="N610" s="40" t="n"/>
    </row>
    <row r="611" ht="15.75" customHeight="1" s="58">
      <c r="A611" s="40" t="n"/>
      <c r="B611" s="40" t="n"/>
      <c r="C611" s="40" t="n"/>
      <c r="D611" s="40" t="n"/>
      <c r="E611" s="40" t="n"/>
      <c r="F611" s="40" t="n"/>
      <c r="G611" s="40" t="n"/>
      <c r="H611" s="40" t="n"/>
      <c r="I611" s="40" t="n"/>
      <c r="J611" s="40" t="n"/>
      <c r="K611" s="40" t="n"/>
      <c r="L611" s="40" t="n"/>
      <c r="M611" s="40" t="n"/>
      <c r="N611" s="40" t="n"/>
    </row>
    <row r="612" ht="15.75" customHeight="1" s="58">
      <c r="A612" s="40" t="n"/>
      <c r="B612" s="40" t="n"/>
      <c r="C612" s="40" t="n"/>
      <c r="D612" s="40" t="n"/>
      <c r="E612" s="40" t="n"/>
      <c r="F612" s="40" t="n"/>
      <c r="G612" s="40" t="n"/>
      <c r="H612" s="40" t="n"/>
      <c r="I612" s="40" t="n"/>
      <c r="J612" s="40" t="n"/>
      <c r="K612" s="40" t="n"/>
      <c r="L612" s="40" t="n"/>
      <c r="M612" s="40" t="n"/>
      <c r="N612" s="40" t="n"/>
    </row>
    <row r="613" ht="15.75" customHeight="1" s="58">
      <c r="A613" s="40" t="n"/>
      <c r="B613" s="40" t="n"/>
      <c r="C613" s="40" t="n"/>
      <c r="D613" s="40" t="n"/>
      <c r="E613" s="40" t="n"/>
      <c r="F613" s="40" t="n"/>
      <c r="G613" s="40" t="n"/>
      <c r="H613" s="40" t="n"/>
      <c r="I613" s="40" t="n"/>
      <c r="J613" s="40" t="n"/>
      <c r="K613" s="40" t="n"/>
      <c r="L613" s="40" t="n"/>
      <c r="M613" s="40" t="n"/>
      <c r="N613" s="40" t="n"/>
    </row>
    <row r="614" ht="15.75" customHeight="1" s="58">
      <c r="A614" s="40" t="n"/>
      <c r="B614" s="40" t="n"/>
      <c r="C614" s="40" t="n"/>
      <c r="D614" s="40" t="n"/>
      <c r="E614" s="40" t="n"/>
      <c r="F614" s="40" t="n"/>
      <c r="G614" s="40" t="n"/>
      <c r="H614" s="40" t="n"/>
      <c r="I614" s="40" t="n"/>
      <c r="J614" s="40" t="n"/>
      <c r="K614" s="40" t="n"/>
      <c r="L614" s="40" t="n"/>
      <c r="M614" s="40" t="n"/>
      <c r="N614" s="40" t="n"/>
    </row>
    <row r="615" ht="15.75" customHeight="1" s="58">
      <c r="A615" s="40" t="n"/>
      <c r="B615" s="40" t="n"/>
      <c r="C615" s="40" t="n"/>
      <c r="D615" s="40" t="n"/>
      <c r="E615" s="40" t="n"/>
      <c r="F615" s="40" t="n"/>
      <c r="G615" s="40" t="n"/>
      <c r="H615" s="40" t="n"/>
      <c r="I615" s="40" t="n"/>
      <c r="J615" s="40" t="n"/>
      <c r="K615" s="40" t="n"/>
      <c r="L615" s="40" t="n"/>
      <c r="M615" s="40" t="n"/>
      <c r="N615" s="40" t="n"/>
    </row>
    <row r="616" ht="15.75" customHeight="1" s="58">
      <c r="A616" s="40" t="n"/>
      <c r="B616" s="40" t="n"/>
      <c r="C616" s="40" t="n"/>
      <c r="D616" s="40" t="n"/>
      <c r="E616" s="40" t="n"/>
      <c r="F616" s="40" t="n"/>
      <c r="G616" s="40" t="n"/>
      <c r="H616" s="40" t="n"/>
      <c r="I616" s="40" t="n"/>
      <c r="J616" s="40" t="n"/>
      <c r="K616" s="40" t="n"/>
      <c r="L616" s="40" t="n"/>
      <c r="M616" s="40" t="n"/>
      <c r="N616" s="40" t="n"/>
    </row>
    <row r="617" ht="15.75" customHeight="1" s="58">
      <c r="A617" s="40" t="n"/>
      <c r="B617" s="40" t="n"/>
      <c r="C617" s="40" t="n"/>
      <c r="D617" s="40" t="n"/>
      <c r="E617" s="40" t="n"/>
      <c r="F617" s="40" t="n"/>
      <c r="G617" s="40" t="n"/>
      <c r="H617" s="40" t="n"/>
      <c r="I617" s="40" t="n"/>
      <c r="J617" s="40" t="n"/>
      <c r="K617" s="40" t="n"/>
      <c r="L617" s="40" t="n"/>
      <c r="M617" s="40" t="n"/>
      <c r="N617" s="40" t="n"/>
    </row>
    <row r="618" ht="15.75" customHeight="1" s="58">
      <c r="A618" s="40" t="n"/>
      <c r="B618" s="40" t="n"/>
      <c r="C618" s="40" t="n"/>
      <c r="D618" s="40" t="n"/>
      <c r="E618" s="40" t="n"/>
      <c r="F618" s="40" t="n"/>
      <c r="G618" s="40" t="n"/>
      <c r="H618" s="40" t="n"/>
      <c r="I618" s="40" t="n"/>
      <c r="J618" s="40" t="n"/>
      <c r="K618" s="40" t="n"/>
      <c r="L618" s="40" t="n"/>
      <c r="M618" s="40" t="n"/>
      <c r="N618" s="40" t="n"/>
    </row>
    <row r="619" ht="15.75" customHeight="1" s="58">
      <c r="A619" s="40" t="n"/>
      <c r="B619" s="40" t="n"/>
      <c r="C619" s="40" t="n"/>
      <c r="D619" s="40" t="n"/>
      <c r="E619" s="40" t="n"/>
      <c r="F619" s="40" t="n"/>
      <c r="G619" s="40" t="n"/>
      <c r="H619" s="40" t="n"/>
      <c r="I619" s="40" t="n"/>
      <c r="J619" s="40" t="n"/>
      <c r="K619" s="40" t="n"/>
      <c r="L619" s="40" t="n"/>
      <c r="M619" s="40" t="n"/>
      <c r="N619" s="40" t="n"/>
    </row>
    <row r="620" ht="15.75" customHeight="1" s="58">
      <c r="A620" s="40" t="n"/>
      <c r="B620" s="40" t="n"/>
      <c r="C620" s="40" t="n"/>
      <c r="D620" s="40" t="n"/>
      <c r="E620" s="40" t="n"/>
      <c r="F620" s="40" t="n"/>
      <c r="G620" s="40" t="n"/>
      <c r="H620" s="40" t="n"/>
      <c r="I620" s="40" t="n"/>
      <c r="J620" s="40" t="n"/>
      <c r="K620" s="40" t="n"/>
      <c r="L620" s="40" t="n"/>
      <c r="M620" s="40" t="n"/>
      <c r="N620" s="40" t="n"/>
    </row>
    <row r="621" ht="15.75" customHeight="1" s="58">
      <c r="A621" s="40" t="n"/>
      <c r="B621" s="40" t="n"/>
      <c r="C621" s="40" t="n"/>
      <c r="D621" s="40" t="n"/>
      <c r="E621" s="40" t="n"/>
      <c r="F621" s="40" t="n"/>
      <c r="G621" s="40" t="n"/>
      <c r="H621" s="40" t="n"/>
      <c r="I621" s="40" t="n"/>
      <c r="J621" s="40" t="n"/>
      <c r="K621" s="40" t="n"/>
      <c r="L621" s="40" t="n"/>
      <c r="M621" s="40" t="n"/>
      <c r="N621" s="40" t="n"/>
    </row>
    <row r="622" ht="15.75" customHeight="1" s="58">
      <c r="A622" s="40" t="n"/>
      <c r="B622" s="40" t="n"/>
      <c r="C622" s="40" t="n"/>
      <c r="D622" s="40" t="n"/>
      <c r="E622" s="40" t="n"/>
      <c r="F622" s="40" t="n"/>
      <c r="G622" s="40" t="n"/>
      <c r="H622" s="40" t="n"/>
      <c r="I622" s="40" t="n"/>
      <c r="J622" s="40" t="n"/>
      <c r="K622" s="40" t="n"/>
      <c r="L622" s="40" t="n"/>
      <c r="M622" s="40" t="n"/>
      <c r="N622" s="40" t="n"/>
    </row>
    <row r="623" ht="15.75" customHeight="1" s="58">
      <c r="A623" s="40" t="n"/>
      <c r="B623" s="40" t="n"/>
      <c r="C623" s="40" t="n"/>
      <c r="D623" s="40" t="n"/>
      <c r="E623" s="40" t="n"/>
      <c r="F623" s="40" t="n"/>
      <c r="G623" s="40" t="n"/>
      <c r="H623" s="40" t="n"/>
      <c r="I623" s="40" t="n"/>
      <c r="J623" s="40" t="n"/>
      <c r="K623" s="40" t="n"/>
      <c r="L623" s="40" t="n"/>
      <c r="M623" s="40" t="n"/>
      <c r="N623" s="40" t="n"/>
    </row>
    <row r="624" ht="15.75" customHeight="1" s="58">
      <c r="A624" s="40" t="n"/>
      <c r="B624" s="40" t="n"/>
      <c r="C624" s="40" t="n"/>
      <c r="D624" s="40" t="n"/>
      <c r="E624" s="40" t="n"/>
      <c r="F624" s="40" t="n"/>
      <c r="G624" s="40" t="n"/>
      <c r="H624" s="40" t="n"/>
      <c r="I624" s="40" t="n"/>
      <c r="J624" s="40" t="n"/>
      <c r="K624" s="40" t="n"/>
      <c r="L624" s="40" t="n"/>
      <c r="M624" s="40" t="n"/>
      <c r="N624" s="40" t="n"/>
    </row>
    <row r="625" ht="15.75" customHeight="1" s="58">
      <c r="A625" s="40" t="n"/>
      <c r="B625" s="40" t="n"/>
      <c r="C625" s="40" t="n"/>
      <c r="D625" s="40" t="n"/>
      <c r="E625" s="40" t="n"/>
      <c r="F625" s="40" t="n"/>
      <c r="G625" s="40" t="n"/>
      <c r="H625" s="40" t="n"/>
      <c r="I625" s="40" t="n"/>
      <c r="J625" s="40" t="n"/>
      <c r="K625" s="40" t="n"/>
      <c r="L625" s="40" t="n"/>
      <c r="M625" s="40" t="n"/>
      <c r="N625" s="40" t="n"/>
    </row>
    <row r="626" ht="15.75" customHeight="1" s="58">
      <c r="A626" s="40" t="n"/>
      <c r="B626" s="40" t="n"/>
      <c r="C626" s="40" t="n"/>
      <c r="D626" s="40" t="n"/>
      <c r="E626" s="40" t="n"/>
      <c r="F626" s="40" t="n"/>
      <c r="G626" s="40" t="n"/>
      <c r="H626" s="40" t="n"/>
      <c r="I626" s="40" t="n"/>
      <c r="J626" s="40" t="n"/>
      <c r="K626" s="40" t="n"/>
      <c r="L626" s="40" t="n"/>
      <c r="M626" s="40" t="n"/>
      <c r="N626" s="40" t="n"/>
    </row>
    <row r="627" ht="15.75" customHeight="1" s="58">
      <c r="A627" s="40" t="n"/>
      <c r="B627" s="40" t="n"/>
      <c r="C627" s="40" t="n"/>
      <c r="D627" s="40" t="n"/>
      <c r="E627" s="40" t="n"/>
      <c r="F627" s="40" t="n"/>
      <c r="G627" s="40" t="n"/>
      <c r="H627" s="40" t="n"/>
      <c r="I627" s="40" t="n"/>
      <c r="J627" s="40" t="n"/>
      <c r="K627" s="40" t="n"/>
      <c r="L627" s="40" t="n"/>
      <c r="M627" s="40" t="n"/>
      <c r="N627" s="40" t="n"/>
    </row>
    <row r="628" ht="15.75" customHeight="1" s="58">
      <c r="A628" s="40" t="n"/>
      <c r="B628" s="40" t="n"/>
      <c r="C628" s="40" t="n"/>
      <c r="D628" s="40" t="n"/>
      <c r="E628" s="40" t="n"/>
      <c r="F628" s="40" t="n"/>
      <c r="G628" s="40" t="n"/>
      <c r="H628" s="40" t="n"/>
      <c r="I628" s="40" t="n"/>
      <c r="J628" s="40" t="n"/>
      <c r="K628" s="40" t="n"/>
      <c r="L628" s="40" t="n"/>
      <c r="M628" s="40" t="n"/>
      <c r="N628" s="40" t="n"/>
    </row>
    <row r="629" ht="15.75" customHeight="1" s="58">
      <c r="A629" s="40" t="n"/>
      <c r="B629" s="40" t="n"/>
      <c r="C629" s="40" t="n"/>
      <c r="D629" s="40" t="n"/>
      <c r="E629" s="40" t="n"/>
      <c r="F629" s="40" t="n"/>
      <c r="G629" s="40" t="n"/>
      <c r="H629" s="40" t="n"/>
      <c r="I629" s="40" t="n"/>
      <c r="J629" s="40" t="n"/>
      <c r="K629" s="40" t="n"/>
      <c r="L629" s="40" t="n"/>
      <c r="M629" s="40" t="n"/>
      <c r="N629" s="40" t="n"/>
    </row>
    <row r="630" ht="15.75" customHeight="1" s="58">
      <c r="A630" s="40" t="n"/>
      <c r="B630" s="40" t="n"/>
      <c r="C630" s="40" t="n"/>
      <c r="D630" s="40" t="n"/>
      <c r="E630" s="40" t="n"/>
      <c r="F630" s="40" t="n"/>
      <c r="G630" s="40" t="n"/>
      <c r="H630" s="40" t="n"/>
      <c r="I630" s="40" t="n"/>
      <c r="J630" s="40" t="n"/>
      <c r="K630" s="40" t="n"/>
      <c r="L630" s="40" t="n"/>
      <c r="M630" s="40" t="n"/>
      <c r="N630" s="40" t="n"/>
    </row>
    <row r="631" ht="15.75" customHeight="1" s="58">
      <c r="A631" s="40" t="n"/>
      <c r="B631" s="40" t="n"/>
      <c r="C631" s="40" t="n"/>
      <c r="D631" s="40" t="n"/>
      <c r="E631" s="40" t="n"/>
      <c r="F631" s="40" t="n"/>
      <c r="G631" s="40" t="n"/>
      <c r="H631" s="40" t="n"/>
      <c r="I631" s="40" t="n"/>
      <c r="J631" s="40" t="n"/>
      <c r="K631" s="40" t="n"/>
      <c r="L631" s="40" t="n"/>
      <c r="M631" s="40" t="n"/>
      <c r="N631" s="40" t="n"/>
    </row>
    <row r="632" ht="15.75" customHeight="1" s="58">
      <c r="A632" s="40" t="n"/>
      <c r="B632" s="40" t="n"/>
      <c r="C632" s="40" t="n"/>
      <c r="D632" s="40" t="n"/>
      <c r="E632" s="40" t="n"/>
      <c r="F632" s="40" t="n"/>
      <c r="G632" s="40" t="n"/>
      <c r="H632" s="40" t="n"/>
      <c r="I632" s="40" t="n"/>
      <c r="J632" s="40" t="n"/>
      <c r="K632" s="40" t="n"/>
      <c r="L632" s="40" t="n"/>
      <c r="M632" s="40" t="n"/>
      <c r="N632" s="40" t="n"/>
    </row>
    <row r="633" ht="15.75" customHeight="1" s="58">
      <c r="A633" s="40" t="n"/>
      <c r="B633" s="40" t="n"/>
      <c r="C633" s="40" t="n"/>
      <c r="D633" s="40" t="n"/>
      <c r="E633" s="40" t="n"/>
      <c r="F633" s="40" t="n"/>
      <c r="G633" s="40" t="n"/>
      <c r="H633" s="40" t="n"/>
      <c r="I633" s="40" t="n"/>
      <c r="J633" s="40" t="n"/>
      <c r="K633" s="40" t="n"/>
      <c r="L633" s="40" t="n"/>
      <c r="M633" s="40" t="n"/>
      <c r="N633" s="40" t="n"/>
    </row>
    <row r="634" ht="15.75" customHeight="1" s="58">
      <c r="A634" s="40" t="n"/>
      <c r="B634" s="40" t="n"/>
      <c r="C634" s="40" t="n"/>
      <c r="D634" s="40" t="n"/>
      <c r="E634" s="40" t="n"/>
      <c r="F634" s="40" t="n"/>
      <c r="G634" s="40" t="n"/>
      <c r="H634" s="40" t="n"/>
      <c r="I634" s="40" t="n"/>
      <c r="J634" s="40" t="n"/>
      <c r="K634" s="40" t="n"/>
      <c r="L634" s="40" t="n"/>
      <c r="M634" s="40" t="n"/>
      <c r="N634" s="40" t="n"/>
    </row>
    <row r="635" ht="15.75" customHeight="1" s="58">
      <c r="A635" s="40" t="n"/>
      <c r="B635" s="40" t="n"/>
      <c r="C635" s="40" t="n"/>
      <c r="D635" s="40" t="n"/>
      <c r="E635" s="40" t="n"/>
      <c r="F635" s="40" t="n"/>
      <c r="G635" s="40" t="n"/>
      <c r="H635" s="40" t="n"/>
      <c r="I635" s="40" t="n"/>
      <c r="J635" s="40" t="n"/>
      <c r="K635" s="40" t="n"/>
      <c r="L635" s="40" t="n"/>
      <c r="M635" s="40" t="n"/>
      <c r="N635" s="40" t="n"/>
    </row>
    <row r="636" ht="15.75" customHeight="1" s="58">
      <c r="A636" s="40" t="n"/>
      <c r="B636" s="40" t="n"/>
      <c r="C636" s="40" t="n"/>
      <c r="D636" s="40" t="n"/>
      <c r="E636" s="40" t="n"/>
      <c r="F636" s="40" t="n"/>
      <c r="G636" s="40" t="n"/>
      <c r="H636" s="40" t="n"/>
      <c r="I636" s="40" t="n"/>
      <c r="J636" s="40" t="n"/>
      <c r="K636" s="40" t="n"/>
      <c r="L636" s="40" t="n"/>
      <c r="M636" s="40" t="n"/>
      <c r="N636" s="40" t="n"/>
    </row>
    <row r="637" ht="15.75" customHeight="1" s="58">
      <c r="A637" s="40" t="n"/>
      <c r="B637" s="40" t="n"/>
      <c r="C637" s="40" t="n"/>
      <c r="D637" s="40" t="n"/>
      <c r="E637" s="40" t="n"/>
      <c r="F637" s="40" t="n"/>
      <c r="G637" s="40" t="n"/>
      <c r="H637" s="40" t="n"/>
      <c r="I637" s="40" t="n"/>
      <c r="J637" s="40" t="n"/>
      <c r="K637" s="40" t="n"/>
      <c r="L637" s="40" t="n"/>
      <c r="M637" s="40" t="n"/>
      <c r="N637" s="40" t="n"/>
    </row>
    <row r="638" ht="15.75" customHeight="1" s="58">
      <c r="A638" s="40" t="n"/>
      <c r="B638" s="40" t="n"/>
      <c r="C638" s="40" t="n"/>
      <c r="D638" s="40" t="n"/>
      <c r="E638" s="40" t="n"/>
      <c r="F638" s="40" t="n"/>
      <c r="G638" s="40" t="n"/>
      <c r="H638" s="40" t="n"/>
      <c r="I638" s="40" t="n"/>
      <c r="J638" s="40" t="n"/>
      <c r="K638" s="40" t="n"/>
      <c r="L638" s="40" t="n"/>
      <c r="M638" s="40" t="n"/>
      <c r="N638" s="40" t="n"/>
    </row>
    <row r="639" ht="15.75" customHeight="1" s="58">
      <c r="A639" s="40" t="n"/>
      <c r="B639" s="40" t="n"/>
      <c r="C639" s="40" t="n"/>
      <c r="D639" s="40" t="n"/>
      <c r="E639" s="40" t="n"/>
      <c r="F639" s="40" t="n"/>
      <c r="G639" s="40" t="n"/>
      <c r="H639" s="40" t="n"/>
      <c r="I639" s="40" t="n"/>
      <c r="J639" s="40" t="n"/>
      <c r="K639" s="40" t="n"/>
      <c r="L639" s="40" t="n"/>
      <c r="M639" s="40" t="n"/>
      <c r="N639" s="40" t="n"/>
    </row>
    <row r="640" ht="15.75" customHeight="1" s="58">
      <c r="A640" s="40" t="n"/>
      <c r="B640" s="40" t="n"/>
      <c r="C640" s="40" t="n"/>
      <c r="D640" s="40" t="n"/>
      <c r="E640" s="40" t="n"/>
      <c r="F640" s="40" t="n"/>
      <c r="G640" s="40" t="n"/>
      <c r="H640" s="40" t="n"/>
      <c r="I640" s="40" t="n"/>
      <c r="J640" s="40" t="n"/>
      <c r="K640" s="40" t="n"/>
      <c r="L640" s="40" t="n"/>
      <c r="M640" s="40" t="n"/>
      <c r="N640" s="40" t="n"/>
    </row>
    <row r="641" ht="15.75" customHeight="1" s="58">
      <c r="A641" s="40" t="n"/>
      <c r="B641" s="40" t="n"/>
      <c r="C641" s="40" t="n"/>
      <c r="D641" s="40" t="n"/>
      <c r="E641" s="40" t="n"/>
      <c r="F641" s="40" t="n"/>
      <c r="G641" s="40" t="n"/>
      <c r="H641" s="40" t="n"/>
      <c r="I641" s="40" t="n"/>
      <c r="J641" s="40" t="n"/>
      <c r="K641" s="40" t="n"/>
      <c r="L641" s="40" t="n"/>
      <c r="M641" s="40" t="n"/>
      <c r="N641" s="40" t="n"/>
    </row>
    <row r="642" ht="15.75" customHeight="1" s="58">
      <c r="A642" s="40" t="n"/>
      <c r="B642" s="40" t="n"/>
      <c r="C642" s="40" t="n"/>
      <c r="D642" s="40" t="n"/>
      <c r="E642" s="40" t="n"/>
      <c r="F642" s="40" t="n"/>
      <c r="G642" s="40" t="n"/>
      <c r="H642" s="40" t="n"/>
      <c r="I642" s="40" t="n"/>
      <c r="J642" s="40" t="n"/>
      <c r="K642" s="40" t="n"/>
      <c r="L642" s="40" t="n"/>
      <c r="M642" s="40" t="n"/>
      <c r="N642" s="40" t="n"/>
    </row>
    <row r="643" ht="15.75" customHeight="1" s="58">
      <c r="A643" s="40" t="n"/>
      <c r="B643" s="40" t="n"/>
      <c r="C643" s="40" t="n"/>
      <c r="D643" s="40" t="n"/>
      <c r="E643" s="40" t="n"/>
      <c r="F643" s="40" t="n"/>
      <c r="G643" s="40" t="n"/>
      <c r="H643" s="40" t="n"/>
      <c r="I643" s="40" t="n"/>
      <c r="J643" s="40" t="n"/>
      <c r="K643" s="40" t="n"/>
      <c r="L643" s="40" t="n"/>
      <c r="M643" s="40" t="n"/>
      <c r="N643" s="40" t="n"/>
    </row>
    <row r="644" ht="15.75" customHeight="1" s="58">
      <c r="A644" s="40" t="n"/>
      <c r="B644" s="40" t="n"/>
      <c r="C644" s="40" t="n"/>
      <c r="D644" s="40" t="n"/>
      <c r="E644" s="40" t="n"/>
      <c r="F644" s="40" t="n"/>
      <c r="G644" s="40" t="n"/>
      <c r="H644" s="40" t="n"/>
      <c r="I644" s="40" t="n"/>
      <c r="J644" s="40" t="n"/>
      <c r="K644" s="40" t="n"/>
      <c r="L644" s="40" t="n"/>
      <c r="M644" s="40" t="n"/>
      <c r="N644" s="40" t="n"/>
    </row>
    <row r="645" ht="15.75" customHeight="1" s="58">
      <c r="A645" s="40" t="n"/>
      <c r="B645" s="40" t="n"/>
      <c r="C645" s="40" t="n"/>
      <c r="D645" s="40" t="n"/>
      <c r="E645" s="40" t="n"/>
      <c r="F645" s="40" t="n"/>
      <c r="G645" s="40" t="n"/>
      <c r="H645" s="40" t="n"/>
      <c r="I645" s="40" t="n"/>
      <c r="J645" s="40" t="n"/>
      <c r="K645" s="40" t="n"/>
      <c r="L645" s="40" t="n"/>
      <c r="M645" s="40" t="n"/>
      <c r="N645" s="40" t="n"/>
    </row>
    <row r="646" ht="15.75" customHeight="1" s="58">
      <c r="A646" s="40" t="n"/>
      <c r="B646" s="40" t="n"/>
      <c r="C646" s="40" t="n"/>
      <c r="D646" s="40" t="n"/>
      <c r="E646" s="40" t="n"/>
      <c r="F646" s="40" t="n"/>
      <c r="G646" s="40" t="n"/>
      <c r="H646" s="40" t="n"/>
      <c r="I646" s="40" t="n"/>
      <c r="J646" s="40" t="n"/>
      <c r="K646" s="40" t="n"/>
      <c r="L646" s="40" t="n"/>
      <c r="M646" s="40" t="n"/>
      <c r="N646" s="40" t="n"/>
    </row>
    <row r="647" ht="15.75" customHeight="1" s="58">
      <c r="A647" s="40" t="n"/>
      <c r="B647" s="40" t="n"/>
      <c r="C647" s="40" t="n"/>
      <c r="D647" s="40" t="n"/>
      <c r="E647" s="40" t="n"/>
      <c r="F647" s="40" t="n"/>
      <c r="G647" s="40" t="n"/>
      <c r="H647" s="40" t="n"/>
      <c r="I647" s="40" t="n"/>
      <c r="J647" s="40" t="n"/>
      <c r="K647" s="40" t="n"/>
      <c r="L647" s="40" t="n"/>
      <c r="M647" s="40" t="n"/>
      <c r="N647" s="40" t="n"/>
    </row>
    <row r="648" ht="15.75" customHeight="1" s="58">
      <c r="A648" s="40" t="n"/>
      <c r="B648" s="40" t="n"/>
      <c r="C648" s="40" t="n"/>
      <c r="D648" s="40" t="n"/>
      <c r="E648" s="40" t="n"/>
      <c r="F648" s="40" t="n"/>
      <c r="G648" s="40" t="n"/>
      <c r="H648" s="40" t="n"/>
      <c r="I648" s="40" t="n"/>
      <c r="J648" s="40" t="n"/>
      <c r="K648" s="40" t="n"/>
      <c r="L648" s="40" t="n"/>
      <c r="M648" s="40" t="n"/>
      <c r="N648" s="40" t="n"/>
    </row>
    <row r="649" ht="15.75" customHeight="1" s="58">
      <c r="A649" s="40" t="n"/>
      <c r="B649" s="40" t="n"/>
      <c r="C649" s="40" t="n"/>
      <c r="D649" s="40" t="n"/>
      <c r="E649" s="40" t="n"/>
      <c r="F649" s="40" t="n"/>
      <c r="G649" s="40" t="n"/>
      <c r="H649" s="40" t="n"/>
      <c r="I649" s="40" t="n"/>
      <c r="J649" s="40" t="n"/>
      <c r="K649" s="40" t="n"/>
      <c r="L649" s="40" t="n"/>
      <c r="M649" s="40" t="n"/>
      <c r="N649" s="40" t="n"/>
    </row>
    <row r="650" ht="15.75" customHeight="1" s="58">
      <c r="A650" s="40" t="n"/>
      <c r="B650" s="40" t="n"/>
      <c r="C650" s="40" t="n"/>
      <c r="D650" s="40" t="n"/>
      <c r="E650" s="40" t="n"/>
      <c r="F650" s="40" t="n"/>
      <c r="G650" s="40" t="n"/>
      <c r="H650" s="40" t="n"/>
      <c r="I650" s="40" t="n"/>
      <c r="J650" s="40" t="n"/>
      <c r="K650" s="40" t="n"/>
      <c r="L650" s="40" t="n"/>
      <c r="M650" s="40" t="n"/>
      <c r="N650" s="40" t="n"/>
    </row>
    <row r="651" ht="15.75" customHeight="1" s="58">
      <c r="A651" s="40" t="n"/>
      <c r="B651" s="40" t="n"/>
      <c r="C651" s="40" t="n"/>
      <c r="D651" s="40" t="n"/>
      <c r="E651" s="40" t="n"/>
      <c r="F651" s="40" t="n"/>
      <c r="G651" s="40" t="n"/>
      <c r="H651" s="40" t="n"/>
      <c r="I651" s="40" t="n"/>
      <c r="J651" s="40" t="n"/>
      <c r="K651" s="40" t="n"/>
      <c r="L651" s="40" t="n"/>
      <c r="M651" s="40" t="n"/>
      <c r="N651" s="40" t="n"/>
    </row>
    <row r="652" ht="15.75" customHeight="1" s="58">
      <c r="A652" s="40" t="n"/>
      <c r="B652" s="40" t="n"/>
      <c r="C652" s="40" t="n"/>
      <c r="D652" s="40" t="n"/>
      <c r="E652" s="40" t="n"/>
      <c r="F652" s="40" t="n"/>
      <c r="G652" s="40" t="n"/>
      <c r="H652" s="40" t="n"/>
      <c r="I652" s="40" t="n"/>
      <c r="J652" s="40" t="n"/>
      <c r="K652" s="40" t="n"/>
      <c r="L652" s="40" t="n"/>
      <c r="M652" s="40" t="n"/>
      <c r="N652" s="40" t="n"/>
    </row>
    <row r="653" ht="15.75" customHeight="1" s="58">
      <c r="A653" s="40" t="n"/>
      <c r="B653" s="40" t="n"/>
      <c r="C653" s="40" t="n"/>
      <c r="D653" s="40" t="n"/>
      <c r="E653" s="40" t="n"/>
      <c r="F653" s="40" t="n"/>
      <c r="G653" s="40" t="n"/>
      <c r="H653" s="40" t="n"/>
      <c r="I653" s="40" t="n"/>
      <c r="J653" s="40" t="n"/>
      <c r="K653" s="40" t="n"/>
      <c r="L653" s="40" t="n"/>
      <c r="M653" s="40" t="n"/>
      <c r="N653" s="40" t="n"/>
    </row>
    <row r="654" ht="15.75" customHeight="1" s="58">
      <c r="A654" s="40" t="n"/>
      <c r="B654" s="40" t="n"/>
      <c r="C654" s="40" t="n"/>
      <c r="D654" s="40" t="n"/>
      <c r="E654" s="40" t="n"/>
      <c r="F654" s="40" t="n"/>
      <c r="G654" s="40" t="n"/>
      <c r="H654" s="40" t="n"/>
      <c r="I654" s="40" t="n"/>
      <c r="J654" s="40" t="n"/>
      <c r="K654" s="40" t="n"/>
      <c r="L654" s="40" t="n"/>
      <c r="M654" s="40" t="n"/>
      <c r="N654" s="40" t="n"/>
    </row>
    <row r="655" ht="15.75" customHeight="1" s="58">
      <c r="A655" s="40" t="n"/>
      <c r="B655" s="40" t="n"/>
      <c r="C655" s="40" t="n"/>
      <c r="D655" s="40" t="n"/>
      <c r="E655" s="40" t="n"/>
      <c r="F655" s="40" t="n"/>
      <c r="G655" s="40" t="n"/>
      <c r="H655" s="40" t="n"/>
      <c r="I655" s="40" t="n"/>
      <c r="J655" s="40" t="n"/>
      <c r="K655" s="40" t="n"/>
      <c r="L655" s="40" t="n"/>
      <c r="M655" s="40" t="n"/>
      <c r="N655" s="40" t="n"/>
    </row>
    <row r="656" ht="15.75" customHeight="1" s="58">
      <c r="A656" s="40" t="n"/>
      <c r="B656" s="40" t="n"/>
      <c r="C656" s="40" t="n"/>
      <c r="D656" s="40" t="n"/>
      <c r="E656" s="40" t="n"/>
      <c r="F656" s="40" t="n"/>
      <c r="G656" s="40" t="n"/>
      <c r="H656" s="40" t="n"/>
      <c r="I656" s="40" t="n"/>
      <c r="J656" s="40" t="n"/>
      <c r="K656" s="40" t="n"/>
      <c r="L656" s="40" t="n"/>
      <c r="M656" s="40" t="n"/>
      <c r="N656" s="40" t="n"/>
    </row>
    <row r="657" ht="15.75" customHeight="1" s="58">
      <c r="A657" s="40" t="n"/>
      <c r="B657" s="40" t="n"/>
      <c r="C657" s="40" t="n"/>
      <c r="D657" s="40" t="n"/>
      <c r="E657" s="40" t="n"/>
      <c r="F657" s="40" t="n"/>
      <c r="G657" s="40" t="n"/>
      <c r="H657" s="40" t="n"/>
      <c r="I657" s="40" t="n"/>
      <c r="J657" s="40" t="n"/>
      <c r="K657" s="40" t="n"/>
      <c r="L657" s="40" t="n"/>
      <c r="M657" s="40" t="n"/>
      <c r="N657" s="40" t="n"/>
    </row>
    <row r="658" ht="15.75" customHeight="1" s="58">
      <c r="A658" s="40" t="n"/>
      <c r="B658" s="40" t="n"/>
      <c r="C658" s="40" t="n"/>
      <c r="D658" s="40" t="n"/>
      <c r="E658" s="40" t="n"/>
      <c r="F658" s="40" t="n"/>
      <c r="G658" s="40" t="n"/>
      <c r="H658" s="40" t="n"/>
      <c r="I658" s="40" t="n"/>
      <c r="J658" s="40" t="n"/>
      <c r="K658" s="40" t="n"/>
      <c r="L658" s="40" t="n"/>
      <c r="M658" s="40" t="n"/>
      <c r="N658" s="40" t="n"/>
    </row>
    <row r="659" ht="15.75" customHeight="1" s="58">
      <c r="A659" s="40" t="n"/>
      <c r="B659" s="40" t="n"/>
      <c r="C659" s="40" t="n"/>
      <c r="D659" s="40" t="n"/>
      <c r="E659" s="40" t="n"/>
      <c r="F659" s="40" t="n"/>
      <c r="G659" s="40" t="n"/>
      <c r="H659" s="40" t="n"/>
      <c r="I659" s="40" t="n"/>
      <c r="J659" s="40" t="n"/>
      <c r="K659" s="40" t="n"/>
      <c r="L659" s="40" t="n"/>
      <c r="M659" s="40" t="n"/>
      <c r="N659" s="40" t="n"/>
    </row>
    <row r="660" ht="15.75" customHeight="1" s="58">
      <c r="A660" s="40" t="n"/>
      <c r="B660" s="40" t="n"/>
      <c r="C660" s="40" t="n"/>
      <c r="D660" s="40" t="n"/>
      <c r="E660" s="40" t="n"/>
      <c r="F660" s="40" t="n"/>
      <c r="G660" s="40" t="n"/>
      <c r="H660" s="40" t="n"/>
      <c r="I660" s="40" t="n"/>
      <c r="J660" s="40" t="n"/>
      <c r="K660" s="40" t="n"/>
      <c r="L660" s="40" t="n"/>
      <c r="M660" s="40" t="n"/>
      <c r="N660" s="40" t="n"/>
    </row>
    <row r="661" ht="15.75" customHeight="1" s="58">
      <c r="A661" s="40" t="n"/>
      <c r="B661" s="40" t="n"/>
      <c r="C661" s="40" t="n"/>
      <c r="D661" s="40" t="n"/>
      <c r="E661" s="40" t="n"/>
      <c r="F661" s="40" t="n"/>
      <c r="G661" s="40" t="n"/>
      <c r="H661" s="40" t="n"/>
      <c r="I661" s="40" t="n"/>
      <c r="J661" s="40" t="n"/>
      <c r="K661" s="40" t="n"/>
      <c r="L661" s="40" t="n"/>
      <c r="M661" s="40" t="n"/>
      <c r="N661" s="40" t="n"/>
    </row>
    <row r="662" ht="15.75" customHeight="1" s="58">
      <c r="A662" s="40" t="n"/>
      <c r="B662" s="40" t="n"/>
      <c r="C662" s="40" t="n"/>
      <c r="D662" s="40" t="n"/>
      <c r="E662" s="40" t="n"/>
      <c r="F662" s="40" t="n"/>
      <c r="G662" s="40" t="n"/>
      <c r="H662" s="40" t="n"/>
      <c r="I662" s="40" t="n"/>
      <c r="J662" s="40" t="n"/>
      <c r="K662" s="40" t="n"/>
      <c r="L662" s="40" t="n"/>
      <c r="M662" s="40" t="n"/>
      <c r="N662" s="40" t="n"/>
    </row>
    <row r="663" ht="15.75" customHeight="1" s="58">
      <c r="A663" s="40" t="n"/>
      <c r="B663" s="40" t="n"/>
      <c r="C663" s="40" t="n"/>
      <c r="D663" s="40" t="n"/>
      <c r="E663" s="40" t="n"/>
      <c r="F663" s="40" t="n"/>
      <c r="G663" s="40" t="n"/>
      <c r="H663" s="40" t="n"/>
      <c r="I663" s="40" t="n"/>
      <c r="J663" s="40" t="n"/>
      <c r="K663" s="40" t="n"/>
      <c r="L663" s="40" t="n"/>
      <c r="M663" s="40" t="n"/>
      <c r="N663" s="40" t="n"/>
    </row>
    <row r="664" ht="15.75" customHeight="1" s="58">
      <c r="A664" s="40" t="n"/>
      <c r="B664" s="40" t="n"/>
      <c r="C664" s="40" t="n"/>
      <c r="D664" s="40" t="n"/>
      <c r="E664" s="40" t="n"/>
      <c r="F664" s="40" t="n"/>
      <c r="G664" s="40" t="n"/>
      <c r="H664" s="40" t="n"/>
      <c r="I664" s="40" t="n"/>
      <c r="J664" s="40" t="n"/>
      <c r="K664" s="40" t="n"/>
      <c r="L664" s="40" t="n"/>
      <c r="M664" s="40" t="n"/>
      <c r="N664" s="40" t="n"/>
    </row>
    <row r="665" ht="15.75" customHeight="1" s="58">
      <c r="A665" s="40" t="n"/>
      <c r="B665" s="40" t="n"/>
      <c r="C665" s="40" t="n"/>
      <c r="D665" s="40" t="n"/>
      <c r="E665" s="40" t="n"/>
      <c r="F665" s="40" t="n"/>
      <c r="G665" s="40" t="n"/>
      <c r="H665" s="40" t="n"/>
      <c r="I665" s="40" t="n"/>
      <c r="J665" s="40" t="n"/>
      <c r="K665" s="40" t="n"/>
      <c r="L665" s="40" t="n"/>
      <c r="M665" s="40" t="n"/>
      <c r="N665" s="40" t="n"/>
    </row>
    <row r="666" ht="15.75" customHeight="1" s="58">
      <c r="A666" s="40" t="n"/>
      <c r="B666" s="40" t="n"/>
      <c r="C666" s="40" t="n"/>
      <c r="D666" s="40" t="n"/>
      <c r="E666" s="40" t="n"/>
      <c r="F666" s="40" t="n"/>
      <c r="G666" s="40" t="n"/>
      <c r="H666" s="40" t="n"/>
      <c r="I666" s="40" t="n"/>
      <c r="J666" s="40" t="n"/>
      <c r="K666" s="40" t="n"/>
      <c r="L666" s="40" t="n"/>
      <c r="M666" s="40" t="n"/>
      <c r="N666" s="40" t="n"/>
    </row>
    <row r="667" ht="15.75" customHeight="1" s="58">
      <c r="A667" s="40" t="n"/>
      <c r="B667" s="40" t="n"/>
      <c r="C667" s="40" t="n"/>
      <c r="D667" s="40" t="n"/>
      <c r="E667" s="40" t="n"/>
      <c r="F667" s="40" t="n"/>
      <c r="G667" s="40" t="n"/>
      <c r="H667" s="40" t="n"/>
      <c r="I667" s="40" t="n"/>
      <c r="J667" s="40" t="n"/>
      <c r="K667" s="40" t="n"/>
      <c r="L667" s="40" t="n"/>
      <c r="M667" s="40" t="n"/>
      <c r="N667" s="40" t="n"/>
    </row>
    <row r="668" ht="15.75" customHeight="1" s="58">
      <c r="A668" s="40" t="n"/>
      <c r="B668" s="40" t="n"/>
      <c r="C668" s="40" t="n"/>
      <c r="D668" s="40" t="n"/>
      <c r="E668" s="40" t="n"/>
      <c r="F668" s="40" t="n"/>
      <c r="G668" s="40" t="n"/>
      <c r="H668" s="40" t="n"/>
      <c r="I668" s="40" t="n"/>
      <c r="J668" s="40" t="n"/>
      <c r="K668" s="40" t="n"/>
      <c r="L668" s="40" t="n"/>
      <c r="M668" s="40" t="n"/>
      <c r="N668" s="40" t="n"/>
    </row>
    <row r="669" ht="15.75" customHeight="1" s="58">
      <c r="A669" s="40" t="n"/>
      <c r="B669" s="40" t="n"/>
      <c r="C669" s="40" t="n"/>
      <c r="D669" s="40" t="n"/>
      <c r="E669" s="40" t="n"/>
      <c r="F669" s="40" t="n"/>
      <c r="G669" s="40" t="n"/>
      <c r="H669" s="40" t="n"/>
      <c r="I669" s="40" t="n"/>
      <c r="J669" s="40" t="n"/>
      <c r="K669" s="40" t="n"/>
      <c r="L669" s="40" t="n"/>
      <c r="M669" s="40" t="n"/>
      <c r="N669" s="40" t="n"/>
    </row>
    <row r="670" ht="15.75" customHeight="1" s="58">
      <c r="A670" s="40" t="n"/>
      <c r="B670" s="40" t="n"/>
      <c r="C670" s="40" t="n"/>
      <c r="D670" s="40" t="n"/>
      <c r="E670" s="40" t="n"/>
      <c r="F670" s="40" t="n"/>
      <c r="G670" s="40" t="n"/>
      <c r="H670" s="40" t="n"/>
      <c r="I670" s="40" t="n"/>
      <c r="J670" s="40" t="n"/>
      <c r="K670" s="40" t="n"/>
      <c r="L670" s="40" t="n"/>
      <c r="M670" s="40" t="n"/>
      <c r="N670" s="40" t="n"/>
    </row>
    <row r="671" ht="15.75" customHeight="1" s="58">
      <c r="A671" s="40" t="n"/>
      <c r="B671" s="40" t="n"/>
      <c r="C671" s="40" t="n"/>
      <c r="D671" s="40" t="n"/>
      <c r="E671" s="40" t="n"/>
      <c r="F671" s="40" t="n"/>
      <c r="G671" s="40" t="n"/>
      <c r="H671" s="40" t="n"/>
      <c r="I671" s="40" t="n"/>
      <c r="J671" s="40" t="n"/>
      <c r="K671" s="40" t="n"/>
      <c r="L671" s="40" t="n"/>
      <c r="M671" s="40" t="n"/>
      <c r="N671" s="40" t="n"/>
    </row>
    <row r="672" ht="15.75" customHeight="1" s="58">
      <c r="A672" s="40" t="n"/>
      <c r="B672" s="40" t="n"/>
      <c r="C672" s="40" t="n"/>
      <c r="D672" s="40" t="n"/>
      <c r="E672" s="40" t="n"/>
      <c r="F672" s="40" t="n"/>
      <c r="G672" s="40" t="n"/>
      <c r="H672" s="40" t="n"/>
      <c r="I672" s="40" t="n"/>
      <c r="J672" s="40" t="n"/>
      <c r="K672" s="40" t="n"/>
      <c r="L672" s="40" t="n"/>
      <c r="M672" s="40" t="n"/>
      <c r="N672" s="40" t="n"/>
    </row>
    <row r="673" ht="15.75" customHeight="1" s="58">
      <c r="A673" s="40" t="n"/>
      <c r="B673" s="40" t="n"/>
      <c r="C673" s="40" t="n"/>
      <c r="D673" s="40" t="n"/>
      <c r="E673" s="40" t="n"/>
      <c r="F673" s="40" t="n"/>
      <c r="G673" s="40" t="n"/>
      <c r="H673" s="40" t="n"/>
      <c r="I673" s="40" t="n"/>
      <c r="J673" s="40" t="n"/>
      <c r="K673" s="40" t="n"/>
      <c r="L673" s="40" t="n"/>
      <c r="M673" s="40" t="n"/>
      <c r="N673" s="40" t="n"/>
    </row>
    <row r="674" ht="15.75" customHeight="1" s="58">
      <c r="A674" s="40" t="n"/>
      <c r="B674" s="40" t="n"/>
      <c r="C674" s="40" t="n"/>
      <c r="D674" s="40" t="n"/>
      <c r="E674" s="40" t="n"/>
      <c r="F674" s="40" t="n"/>
      <c r="G674" s="40" t="n"/>
      <c r="H674" s="40" t="n"/>
      <c r="I674" s="40" t="n"/>
      <c r="J674" s="40" t="n"/>
      <c r="K674" s="40" t="n"/>
      <c r="L674" s="40" t="n"/>
      <c r="M674" s="40" t="n"/>
      <c r="N674" s="40" t="n"/>
    </row>
    <row r="675" ht="15.75" customHeight="1" s="58">
      <c r="A675" s="40" t="n"/>
      <c r="B675" s="40" t="n"/>
      <c r="C675" s="40" t="n"/>
      <c r="D675" s="40" t="n"/>
      <c r="E675" s="40" t="n"/>
      <c r="F675" s="40" t="n"/>
      <c r="G675" s="40" t="n"/>
      <c r="H675" s="40" t="n"/>
      <c r="I675" s="40" t="n"/>
      <c r="J675" s="40" t="n"/>
      <c r="K675" s="40" t="n"/>
      <c r="L675" s="40" t="n"/>
      <c r="M675" s="40" t="n"/>
      <c r="N675" s="40" t="n"/>
    </row>
    <row r="676" ht="15.75" customHeight="1" s="58">
      <c r="A676" s="40" t="n"/>
      <c r="B676" s="40" t="n"/>
      <c r="C676" s="40" t="n"/>
      <c r="D676" s="40" t="n"/>
      <c r="E676" s="40" t="n"/>
      <c r="F676" s="40" t="n"/>
      <c r="G676" s="40" t="n"/>
      <c r="H676" s="40" t="n"/>
      <c r="I676" s="40" t="n"/>
      <c r="J676" s="40" t="n"/>
      <c r="K676" s="40" t="n"/>
      <c r="L676" s="40" t="n"/>
      <c r="M676" s="40" t="n"/>
      <c r="N676" s="40" t="n"/>
    </row>
    <row r="677" ht="15.75" customHeight="1" s="58">
      <c r="A677" s="40" t="n"/>
      <c r="B677" s="40" t="n"/>
      <c r="C677" s="40" t="n"/>
      <c r="D677" s="40" t="n"/>
      <c r="E677" s="40" t="n"/>
      <c r="F677" s="40" t="n"/>
      <c r="G677" s="40" t="n"/>
      <c r="H677" s="40" t="n"/>
      <c r="I677" s="40" t="n"/>
      <c r="J677" s="40" t="n"/>
      <c r="K677" s="40" t="n"/>
      <c r="L677" s="40" t="n"/>
      <c r="M677" s="40" t="n"/>
      <c r="N677" s="40" t="n"/>
    </row>
    <row r="678" ht="15.75" customHeight="1" s="58">
      <c r="A678" s="40" t="n"/>
      <c r="B678" s="40" t="n"/>
      <c r="C678" s="40" t="n"/>
      <c r="D678" s="40" t="n"/>
      <c r="E678" s="40" t="n"/>
      <c r="F678" s="40" t="n"/>
      <c r="G678" s="40" t="n"/>
      <c r="H678" s="40" t="n"/>
      <c r="I678" s="40" t="n"/>
      <c r="J678" s="40" t="n"/>
      <c r="K678" s="40" t="n"/>
      <c r="L678" s="40" t="n"/>
      <c r="M678" s="40" t="n"/>
      <c r="N678" s="40" t="n"/>
    </row>
    <row r="679" ht="15.75" customHeight="1" s="58">
      <c r="A679" s="40" t="n"/>
      <c r="B679" s="40" t="n"/>
      <c r="C679" s="40" t="n"/>
      <c r="D679" s="40" t="n"/>
      <c r="E679" s="40" t="n"/>
      <c r="F679" s="40" t="n"/>
      <c r="G679" s="40" t="n"/>
      <c r="H679" s="40" t="n"/>
      <c r="I679" s="40" t="n"/>
      <c r="J679" s="40" t="n"/>
      <c r="K679" s="40" t="n"/>
      <c r="L679" s="40" t="n"/>
      <c r="M679" s="40" t="n"/>
      <c r="N679" s="40" t="n"/>
    </row>
    <row r="680" ht="15.75" customHeight="1" s="58">
      <c r="A680" s="40" t="n"/>
      <c r="B680" s="40" t="n"/>
      <c r="C680" s="40" t="n"/>
      <c r="D680" s="40" t="n"/>
      <c r="E680" s="40" t="n"/>
      <c r="F680" s="40" t="n"/>
      <c r="G680" s="40" t="n"/>
      <c r="H680" s="40" t="n"/>
      <c r="I680" s="40" t="n"/>
      <c r="J680" s="40" t="n"/>
      <c r="K680" s="40" t="n"/>
      <c r="L680" s="40" t="n"/>
      <c r="M680" s="40" t="n"/>
      <c r="N680" s="40" t="n"/>
    </row>
    <row r="681" ht="15.75" customHeight="1" s="58">
      <c r="A681" s="40" t="n"/>
      <c r="B681" s="40" t="n"/>
      <c r="C681" s="40" t="n"/>
      <c r="D681" s="40" t="n"/>
      <c r="E681" s="40" t="n"/>
      <c r="F681" s="40" t="n"/>
      <c r="G681" s="40" t="n"/>
      <c r="H681" s="40" t="n"/>
      <c r="I681" s="40" t="n"/>
      <c r="J681" s="40" t="n"/>
      <c r="K681" s="40" t="n"/>
      <c r="L681" s="40" t="n"/>
      <c r="M681" s="40" t="n"/>
      <c r="N681" s="40" t="n"/>
    </row>
    <row r="682" ht="15.75" customHeight="1" s="58">
      <c r="A682" s="40" t="n"/>
      <c r="B682" s="40" t="n"/>
      <c r="C682" s="40" t="n"/>
      <c r="D682" s="40" t="n"/>
      <c r="E682" s="40" t="n"/>
      <c r="F682" s="40" t="n"/>
      <c r="G682" s="40" t="n"/>
      <c r="H682" s="40" t="n"/>
      <c r="I682" s="40" t="n"/>
      <c r="J682" s="40" t="n"/>
      <c r="K682" s="40" t="n"/>
      <c r="L682" s="40" t="n"/>
      <c r="M682" s="40" t="n"/>
      <c r="N682" s="40" t="n"/>
    </row>
    <row r="683" ht="15.75" customHeight="1" s="58">
      <c r="A683" s="40" t="n"/>
      <c r="B683" s="40" t="n"/>
      <c r="C683" s="40" t="n"/>
      <c r="D683" s="40" t="n"/>
      <c r="E683" s="40" t="n"/>
      <c r="F683" s="40" t="n"/>
      <c r="G683" s="40" t="n"/>
      <c r="H683" s="40" t="n"/>
      <c r="I683" s="40" t="n"/>
      <c r="J683" s="40" t="n"/>
      <c r="K683" s="40" t="n"/>
      <c r="L683" s="40" t="n"/>
      <c r="M683" s="40" t="n"/>
      <c r="N683" s="40" t="n"/>
    </row>
    <row r="684" ht="15.75" customHeight="1" s="58">
      <c r="A684" s="40" t="n"/>
      <c r="B684" s="40" t="n"/>
      <c r="C684" s="40" t="n"/>
      <c r="D684" s="40" t="n"/>
      <c r="E684" s="40" t="n"/>
      <c r="F684" s="40" t="n"/>
      <c r="G684" s="40" t="n"/>
      <c r="H684" s="40" t="n"/>
      <c r="I684" s="40" t="n"/>
      <c r="J684" s="40" t="n"/>
      <c r="K684" s="40" t="n"/>
      <c r="L684" s="40" t="n"/>
      <c r="M684" s="40" t="n"/>
      <c r="N684" s="40" t="n"/>
    </row>
    <row r="685" ht="15.75" customHeight="1" s="58">
      <c r="A685" s="40" t="n"/>
      <c r="B685" s="40" t="n"/>
      <c r="C685" s="40" t="n"/>
      <c r="D685" s="40" t="n"/>
      <c r="E685" s="40" t="n"/>
      <c r="F685" s="40" t="n"/>
      <c r="G685" s="40" t="n"/>
      <c r="H685" s="40" t="n"/>
      <c r="I685" s="40" t="n"/>
      <c r="J685" s="40" t="n"/>
      <c r="K685" s="40" t="n"/>
      <c r="L685" s="40" t="n"/>
      <c r="M685" s="40" t="n"/>
      <c r="N685" s="40" t="n"/>
    </row>
    <row r="686" ht="15.75" customHeight="1" s="58">
      <c r="A686" s="40" t="n"/>
      <c r="B686" s="40" t="n"/>
      <c r="C686" s="40" t="n"/>
      <c r="D686" s="40" t="n"/>
      <c r="E686" s="40" t="n"/>
      <c r="F686" s="40" t="n"/>
      <c r="G686" s="40" t="n"/>
      <c r="H686" s="40" t="n"/>
      <c r="I686" s="40" t="n"/>
      <c r="J686" s="40" t="n"/>
      <c r="K686" s="40" t="n"/>
      <c r="L686" s="40" t="n"/>
      <c r="M686" s="40" t="n"/>
      <c r="N686" s="40" t="n"/>
    </row>
    <row r="687" ht="15.75" customHeight="1" s="58">
      <c r="A687" s="40" t="n"/>
      <c r="B687" s="40" t="n"/>
      <c r="C687" s="40" t="n"/>
      <c r="D687" s="40" t="n"/>
      <c r="E687" s="40" t="n"/>
      <c r="F687" s="40" t="n"/>
      <c r="G687" s="40" t="n"/>
      <c r="H687" s="40" t="n"/>
      <c r="I687" s="40" t="n"/>
      <c r="J687" s="40" t="n"/>
      <c r="K687" s="40" t="n"/>
      <c r="L687" s="40" t="n"/>
      <c r="M687" s="40" t="n"/>
      <c r="N687" s="40" t="n"/>
    </row>
    <row r="688" ht="15.75" customHeight="1" s="58">
      <c r="A688" s="40" t="n"/>
      <c r="B688" s="40" t="n"/>
      <c r="C688" s="40" t="n"/>
      <c r="D688" s="40" t="n"/>
      <c r="E688" s="40" t="n"/>
      <c r="F688" s="40" t="n"/>
      <c r="G688" s="40" t="n"/>
      <c r="H688" s="40" t="n"/>
      <c r="I688" s="40" t="n"/>
      <c r="J688" s="40" t="n"/>
      <c r="K688" s="40" t="n"/>
      <c r="L688" s="40" t="n"/>
      <c r="M688" s="40" t="n"/>
      <c r="N688" s="40" t="n"/>
    </row>
    <row r="689" ht="15.75" customHeight="1" s="58">
      <c r="A689" s="40" t="n"/>
      <c r="B689" s="40" t="n"/>
      <c r="C689" s="40" t="n"/>
      <c r="D689" s="40" t="n"/>
      <c r="E689" s="40" t="n"/>
      <c r="F689" s="40" t="n"/>
      <c r="G689" s="40" t="n"/>
      <c r="H689" s="40" t="n"/>
      <c r="I689" s="40" t="n"/>
      <c r="J689" s="40" t="n"/>
      <c r="K689" s="40" t="n"/>
      <c r="L689" s="40" t="n"/>
      <c r="M689" s="40" t="n"/>
      <c r="N689" s="40" t="n"/>
    </row>
    <row r="690" ht="15.75" customHeight="1" s="58">
      <c r="A690" s="40" t="n"/>
      <c r="B690" s="40" t="n"/>
      <c r="C690" s="40" t="n"/>
      <c r="D690" s="40" t="n"/>
      <c r="E690" s="40" t="n"/>
      <c r="F690" s="40" t="n"/>
      <c r="G690" s="40" t="n"/>
      <c r="H690" s="40" t="n"/>
      <c r="I690" s="40" t="n"/>
      <c r="J690" s="40" t="n"/>
      <c r="K690" s="40" t="n"/>
      <c r="L690" s="40" t="n"/>
      <c r="M690" s="40" t="n"/>
      <c r="N690" s="40" t="n"/>
    </row>
    <row r="691" ht="15.75" customHeight="1" s="58">
      <c r="A691" s="40" t="n"/>
      <c r="B691" s="40" t="n"/>
      <c r="C691" s="40" t="n"/>
      <c r="D691" s="40" t="n"/>
      <c r="E691" s="40" t="n"/>
      <c r="F691" s="40" t="n"/>
      <c r="G691" s="40" t="n"/>
      <c r="H691" s="40" t="n"/>
      <c r="I691" s="40" t="n"/>
      <c r="J691" s="40" t="n"/>
      <c r="K691" s="40" t="n"/>
      <c r="L691" s="40" t="n"/>
      <c r="M691" s="40" t="n"/>
      <c r="N691" s="40" t="n"/>
    </row>
    <row r="692" ht="15.75" customHeight="1" s="58">
      <c r="A692" s="40" t="n"/>
      <c r="B692" s="40" t="n"/>
      <c r="C692" s="40" t="n"/>
      <c r="D692" s="40" t="n"/>
      <c r="E692" s="40" t="n"/>
      <c r="F692" s="40" t="n"/>
      <c r="G692" s="40" t="n"/>
      <c r="H692" s="40" t="n"/>
      <c r="I692" s="40" t="n"/>
      <c r="J692" s="40" t="n"/>
      <c r="K692" s="40" t="n"/>
      <c r="L692" s="40" t="n"/>
      <c r="M692" s="40" t="n"/>
      <c r="N692" s="40" t="n"/>
    </row>
    <row r="693" ht="15.75" customHeight="1" s="58">
      <c r="A693" s="40" t="n"/>
      <c r="B693" s="40" t="n"/>
      <c r="C693" s="40" t="n"/>
      <c r="D693" s="40" t="n"/>
      <c r="E693" s="40" t="n"/>
      <c r="F693" s="40" t="n"/>
      <c r="G693" s="40" t="n"/>
      <c r="H693" s="40" t="n"/>
      <c r="I693" s="40" t="n"/>
      <c r="J693" s="40" t="n"/>
      <c r="K693" s="40" t="n"/>
      <c r="L693" s="40" t="n"/>
      <c r="M693" s="40" t="n"/>
      <c r="N693" s="40" t="n"/>
    </row>
    <row r="694" ht="15.75" customHeight="1" s="58">
      <c r="A694" s="40" t="n"/>
      <c r="B694" s="40" t="n"/>
      <c r="C694" s="40" t="n"/>
      <c r="D694" s="40" t="n"/>
      <c r="E694" s="40" t="n"/>
      <c r="F694" s="40" t="n"/>
      <c r="G694" s="40" t="n"/>
      <c r="H694" s="40" t="n"/>
      <c r="I694" s="40" t="n"/>
      <c r="J694" s="40" t="n"/>
      <c r="K694" s="40" t="n"/>
      <c r="L694" s="40" t="n"/>
      <c r="M694" s="40" t="n"/>
      <c r="N694" s="40" t="n"/>
    </row>
    <row r="695" ht="15.75" customHeight="1" s="58">
      <c r="A695" s="40" t="n"/>
      <c r="B695" s="40" t="n"/>
      <c r="C695" s="40" t="n"/>
      <c r="D695" s="40" t="n"/>
      <c r="E695" s="40" t="n"/>
      <c r="F695" s="40" t="n"/>
      <c r="G695" s="40" t="n"/>
      <c r="H695" s="40" t="n"/>
      <c r="I695" s="40" t="n"/>
      <c r="J695" s="40" t="n"/>
      <c r="K695" s="40" t="n"/>
      <c r="L695" s="40" t="n"/>
      <c r="M695" s="40" t="n"/>
      <c r="N695" s="40" t="n"/>
    </row>
    <row r="696" ht="15.75" customHeight="1" s="58">
      <c r="A696" s="40" t="n"/>
      <c r="B696" s="40" t="n"/>
      <c r="C696" s="40" t="n"/>
      <c r="D696" s="40" t="n"/>
      <c r="E696" s="40" t="n"/>
      <c r="F696" s="40" t="n"/>
      <c r="G696" s="40" t="n"/>
      <c r="H696" s="40" t="n"/>
      <c r="I696" s="40" t="n"/>
      <c r="J696" s="40" t="n"/>
      <c r="K696" s="40" t="n"/>
      <c r="L696" s="40" t="n"/>
      <c r="M696" s="40" t="n"/>
      <c r="N696" s="40" t="n"/>
    </row>
    <row r="697" ht="15.75" customHeight="1" s="58">
      <c r="A697" s="40" t="n"/>
      <c r="B697" s="40" t="n"/>
      <c r="C697" s="40" t="n"/>
      <c r="D697" s="40" t="n"/>
      <c r="E697" s="40" t="n"/>
      <c r="F697" s="40" t="n"/>
      <c r="G697" s="40" t="n"/>
      <c r="H697" s="40" t="n"/>
      <c r="I697" s="40" t="n"/>
      <c r="J697" s="40" t="n"/>
      <c r="K697" s="40" t="n"/>
      <c r="L697" s="40" t="n"/>
      <c r="M697" s="40" t="n"/>
      <c r="N697" s="40" t="n"/>
    </row>
    <row r="698" ht="15.75" customHeight="1" s="58">
      <c r="A698" s="40" t="n"/>
      <c r="B698" s="40" t="n"/>
      <c r="C698" s="40" t="n"/>
      <c r="D698" s="40" t="n"/>
      <c r="E698" s="40" t="n"/>
      <c r="F698" s="40" t="n"/>
      <c r="G698" s="40" t="n"/>
      <c r="H698" s="40" t="n"/>
      <c r="I698" s="40" t="n"/>
      <c r="J698" s="40" t="n"/>
      <c r="K698" s="40" t="n"/>
      <c r="L698" s="40" t="n"/>
      <c r="M698" s="40" t="n"/>
      <c r="N698" s="40" t="n"/>
    </row>
    <row r="699" ht="15.75" customHeight="1" s="58">
      <c r="A699" s="40" t="n"/>
      <c r="B699" s="40" t="n"/>
      <c r="C699" s="40" t="n"/>
      <c r="D699" s="40" t="n"/>
      <c r="E699" s="40" t="n"/>
      <c r="F699" s="40" t="n"/>
      <c r="G699" s="40" t="n"/>
      <c r="H699" s="40" t="n"/>
      <c r="I699" s="40" t="n"/>
      <c r="J699" s="40" t="n"/>
      <c r="K699" s="40" t="n"/>
      <c r="L699" s="40" t="n"/>
      <c r="M699" s="40" t="n"/>
      <c r="N699" s="40" t="n"/>
    </row>
    <row r="700" ht="15.75" customHeight="1" s="58">
      <c r="A700" s="40" t="n"/>
      <c r="B700" s="40" t="n"/>
      <c r="C700" s="40" t="n"/>
      <c r="D700" s="40" t="n"/>
      <c r="E700" s="40" t="n"/>
      <c r="F700" s="40" t="n"/>
      <c r="G700" s="40" t="n"/>
      <c r="H700" s="40" t="n"/>
      <c r="I700" s="40" t="n"/>
      <c r="J700" s="40" t="n"/>
      <c r="K700" s="40" t="n"/>
      <c r="L700" s="40" t="n"/>
      <c r="M700" s="40" t="n"/>
      <c r="N700" s="40" t="n"/>
    </row>
    <row r="701" ht="15.75" customHeight="1" s="58">
      <c r="A701" s="40" t="n"/>
      <c r="B701" s="40" t="n"/>
      <c r="C701" s="40" t="n"/>
      <c r="D701" s="40" t="n"/>
      <c r="E701" s="40" t="n"/>
      <c r="F701" s="40" t="n"/>
      <c r="G701" s="40" t="n"/>
      <c r="H701" s="40" t="n"/>
      <c r="I701" s="40" t="n"/>
      <c r="J701" s="40" t="n"/>
      <c r="K701" s="40" t="n"/>
      <c r="L701" s="40" t="n"/>
      <c r="M701" s="40" t="n"/>
      <c r="N701" s="40" t="n"/>
    </row>
    <row r="702" ht="15.75" customHeight="1" s="58">
      <c r="A702" s="40" t="n"/>
      <c r="B702" s="40" t="n"/>
      <c r="C702" s="40" t="n"/>
      <c r="D702" s="40" t="n"/>
      <c r="E702" s="40" t="n"/>
      <c r="F702" s="40" t="n"/>
      <c r="G702" s="40" t="n"/>
      <c r="H702" s="40" t="n"/>
      <c r="I702" s="40" t="n"/>
      <c r="J702" s="40" t="n"/>
      <c r="K702" s="40" t="n"/>
      <c r="L702" s="40" t="n"/>
      <c r="M702" s="40" t="n"/>
      <c r="N702" s="40" t="n"/>
    </row>
    <row r="703" ht="15.75" customHeight="1" s="58">
      <c r="A703" s="40" t="n"/>
      <c r="B703" s="40" t="n"/>
      <c r="C703" s="40" t="n"/>
      <c r="D703" s="40" t="n"/>
      <c r="E703" s="40" t="n"/>
      <c r="F703" s="40" t="n"/>
      <c r="G703" s="40" t="n"/>
      <c r="H703" s="40" t="n"/>
      <c r="I703" s="40" t="n"/>
      <c r="J703" s="40" t="n"/>
      <c r="K703" s="40" t="n"/>
      <c r="L703" s="40" t="n"/>
      <c r="M703" s="40" t="n"/>
      <c r="N703" s="40" t="n"/>
    </row>
    <row r="704" ht="15.75" customHeight="1" s="58">
      <c r="A704" s="40" t="n"/>
      <c r="B704" s="40" t="n"/>
      <c r="C704" s="40" t="n"/>
      <c r="D704" s="40" t="n"/>
      <c r="E704" s="40" t="n"/>
      <c r="F704" s="40" t="n"/>
      <c r="G704" s="40" t="n"/>
      <c r="H704" s="40" t="n"/>
      <c r="I704" s="40" t="n"/>
      <c r="J704" s="40" t="n"/>
      <c r="K704" s="40" t="n"/>
      <c r="L704" s="40" t="n"/>
      <c r="M704" s="40" t="n"/>
      <c r="N704" s="40" t="n"/>
    </row>
    <row r="705" ht="15.75" customHeight="1" s="58">
      <c r="A705" s="40" t="n"/>
      <c r="B705" s="40" t="n"/>
      <c r="C705" s="40" t="n"/>
      <c r="D705" s="40" t="n"/>
      <c r="E705" s="40" t="n"/>
      <c r="F705" s="40" t="n"/>
      <c r="G705" s="40" t="n"/>
      <c r="H705" s="40" t="n"/>
      <c r="I705" s="40" t="n"/>
      <c r="J705" s="40" t="n"/>
      <c r="K705" s="40" t="n"/>
      <c r="L705" s="40" t="n"/>
      <c r="M705" s="40" t="n"/>
      <c r="N705" s="40" t="n"/>
    </row>
    <row r="706" ht="15.75" customHeight="1" s="58">
      <c r="A706" s="40" t="n"/>
      <c r="B706" s="40" t="n"/>
      <c r="C706" s="40" t="n"/>
      <c r="D706" s="40" t="n"/>
      <c r="E706" s="40" t="n"/>
      <c r="F706" s="40" t="n"/>
      <c r="G706" s="40" t="n"/>
      <c r="H706" s="40" t="n"/>
      <c r="I706" s="40" t="n"/>
      <c r="J706" s="40" t="n"/>
      <c r="K706" s="40" t="n"/>
      <c r="L706" s="40" t="n"/>
      <c r="M706" s="40" t="n"/>
      <c r="N706" s="40" t="n"/>
    </row>
    <row r="707" ht="15.75" customHeight="1" s="58">
      <c r="A707" s="40" t="n"/>
      <c r="B707" s="40" t="n"/>
      <c r="C707" s="40" t="n"/>
      <c r="D707" s="40" t="n"/>
      <c r="E707" s="40" t="n"/>
      <c r="F707" s="40" t="n"/>
      <c r="G707" s="40" t="n"/>
      <c r="H707" s="40" t="n"/>
      <c r="I707" s="40" t="n"/>
      <c r="J707" s="40" t="n"/>
      <c r="K707" s="40" t="n"/>
      <c r="L707" s="40" t="n"/>
      <c r="M707" s="40" t="n"/>
      <c r="N707" s="40" t="n"/>
    </row>
    <row r="708" ht="15.75" customHeight="1" s="58">
      <c r="A708" s="40" t="n"/>
      <c r="B708" s="40" t="n"/>
      <c r="C708" s="40" t="n"/>
      <c r="D708" s="40" t="n"/>
      <c r="E708" s="40" t="n"/>
      <c r="F708" s="40" t="n"/>
      <c r="G708" s="40" t="n"/>
      <c r="H708" s="40" t="n"/>
      <c r="I708" s="40" t="n"/>
      <c r="J708" s="40" t="n"/>
      <c r="K708" s="40" t="n"/>
      <c r="L708" s="40" t="n"/>
      <c r="M708" s="40" t="n"/>
      <c r="N708" s="40" t="n"/>
    </row>
    <row r="709" ht="15.75" customHeight="1" s="58">
      <c r="A709" s="40" t="n"/>
      <c r="B709" s="40" t="n"/>
      <c r="C709" s="40" t="n"/>
      <c r="D709" s="40" t="n"/>
      <c r="E709" s="40" t="n"/>
      <c r="F709" s="40" t="n"/>
      <c r="G709" s="40" t="n"/>
      <c r="H709" s="40" t="n"/>
      <c r="I709" s="40" t="n"/>
      <c r="J709" s="40" t="n"/>
      <c r="K709" s="40" t="n"/>
      <c r="L709" s="40" t="n"/>
      <c r="M709" s="40" t="n"/>
      <c r="N709" s="40" t="n"/>
    </row>
    <row r="710" ht="15.75" customHeight="1" s="58">
      <c r="A710" s="40" t="n"/>
      <c r="B710" s="40" t="n"/>
      <c r="C710" s="40" t="n"/>
      <c r="D710" s="40" t="n"/>
      <c r="E710" s="40" t="n"/>
      <c r="F710" s="40" t="n"/>
      <c r="G710" s="40" t="n"/>
      <c r="H710" s="40" t="n"/>
      <c r="I710" s="40" t="n"/>
      <c r="J710" s="40" t="n"/>
      <c r="K710" s="40" t="n"/>
      <c r="L710" s="40" t="n"/>
      <c r="M710" s="40" t="n"/>
      <c r="N710" s="40" t="n"/>
    </row>
    <row r="711" ht="15.75" customHeight="1" s="58">
      <c r="A711" s="40" t="n"/>
      <c r="B711" s="40" t="n"/>
      <c r="C711" s="40" t="n"/>
      <c r="D711" s="40" t="n"/>
      <c r="E711" s="40" t="n"/>
      <c r="F711" s="40" t="n"/>
      <c r="G711" s="40" t="n"/>
      <c r="H711" s="40" t="n"/>
      <c r="I711" s="40" t="n"/>
      <c r="J711" s="40" t="n"/>
      <c r="K711" s="40" t="n"/>
      <c r="L711" s="40" t="n"/>
      <c r="M711" s="40" t="n"/>
      <c r="N711" s="40" t="n"/>
    </row>
    <row r="712" ht="15.75" customHeight="1" s="58">
      <c r="A712" s="40" t="n"/>
      <c r="B712" s="40" t="n"/>
      <c r="C712" s="40" t="n"/>
      <c r="D712" s="40" t="n"/>
      <c r="E712" s="40" t="n"/>
      <c r="F712" s="40" t="n"/>
      <c r="G712" s="40" t="n"/>
      <c r="H712" s="40" t="n"/>
      <c r="I712" s="40" t="n"/>
      <c r="J712" s="40" t="n"/>
      <c r="K712" s="40" t="n"/>
      <c r="L712" s="40" t="n"/>
      <c r="M712" s="40" t="n"/>
      <c r="N712" s="40" t="n"/>
    </row>
    <row r="713" ht="15.75" customHeight="1" s="58">
      <c r="A713" s="40" t="n"/>
      <c r="B713" s="40" t="n"/>
      <c r="C713" s="40" t="n"/>
      <c r="D713" s="40" t="n"/>
      <c r="E713" s="40" t="n"/>
      <c r="F713" s="40" t="n"/>
      <c r="G713" s="40" t="n"/>
      <c r="H713" s="40" t="n"/>
      <c r="I713" s="40" t="n"/>
      <c r="J713" s="40" t="n"/>
      <c r="K713" s="40" t="n"/>
      <c r="L713" s="40" t="n"/>
      <c r="M713" s="40" t="n"/>
      <c r="N713" s="40" t="n"/>
    </row>
    <row r="714" ht="15.75" customHeight="1" s="58">
      <c r="A714" s="40" t="n"/>
      <c r="B714" s="40" t="n"/>
      <c r="C714" s="40" t="n"/>
      <c r="D714" s="40" t="n"/>
      <c r="E714" s="40" t="n"/>
      <c r="F714" s="40" t="n"/>
      <c r="G714" s="40" t="n"/>
      <c r="H714" s="40" t="n"/>
      <c r="I714" s="40" t="n"/>
      <c r="J714" s="40" t="n"/>
      <c r="K714" s="40" t="n"/>
      <c r="L714" s="40" t="n"/>
      <c r="M714" s="40" t="n"/>
      <c r="N714" s="40" t="n"/>
    </row>
    <row r="715" ht="15.75" customHeight="1" s="58">
      <c r="A715" s="40" t="n"/>
      <c r="B715" s="40" t="n"/>
      <c r="C715" s="40" t="n"/>
      <c r="D715" s="40" t="n"/>
      <c r="E715" s="40" t="n"/>
      <c r="F715" s="40" t="n"/>
      <c r="G715" s="40" t="n"/>
      <c r="H715" s="40" t="n"/>
      <c r="I715" s="40" t="n"/>
      <c r="J715" s="40" t="n"/>
      <c r="K715" s="40" t="n"/>
      <c r="L715" s="40" t="n"/>
      <c r="M715" s="40" t="n"/>
      <c r="N715" s="40" t="n"/>
    </row>
    <row r="716" ht="15.75" customHeight="1" s="58">
      <c r="A716" s="40" t="n"/>
      <c r="B716" s="40" t="n"/>
      <c r="C716" s="40" t="n"/>
      <c r="D716" s="40" t="n"/>
      <c r="E716" s="40" t="n"/>
      <c r="F716" s="40" t="n"/>
      <c r="G716" s="40" t="n"/>
      <c r="H716" s="40" t="n"/>
      <c r="I716" s="40" t="n"/>
      <c r="J716" s="40" t="n"/>
      <c r="K716" s="40" t="n"/>
      <c r="L716" s="40" t="n"/>
      <c r="M716" s="40" t="n"/>
      <c r="N716" s="40" t="n"/>
    </row>
    <row r="717" ht="15.75" customHeight="1" s="58">
      <c r="A717" s="40" t="n"/>
      <c r="B717" s="40" t="n"/>
      <c r="C717" s="40" t="n"/>
      <c r="D717" s="40" t="n"/>
      <c r="E717" s="40" t="n"/>
      <c r="F717" s="40" t="n"/>
      <c r="G717" s="40" t="n"/>
      <c r="H717" s="40" t="n"/>
      <c r="I717" s="40" t="n"/>
      <c r="J717" s="40" t="n"/>
      <c r="K717" s="40" t="n"/>
      <c r="L717" s="40" t="n"/>
      <c r="M717" s="40" t="n"/>
      <c r="N717" s="40" t="n"/>
    </row>
    <row r="718" ht="15.75" customHeight="1" s="58">
      <c r="A718" s="40" t="n"/>
      <c r="B718" s="40" t="n"/>
      <c r="C718" s="40" t="n"/>
      <c r="D718" s="40" t="n"/>
      <c r="E718" s="40" t="n"/>
      <c r="F718" s="40" t="n"/>
      <c r="G718" s="40" t="n"/>
      <c r="H718" s="40" t="n"/>
      <c r="I718" s="40" t="n"/>
      <c r="J718" s="40" t="n"/>
      <c r="K718" s="40" t="n"/>
      <c r="L718" s="40" t="n"/>
      <c r="M718" s="40" t="n"/>
      <c r="N718" s="40" t="n"/>
    </row>
    <row r="719" ht="15.75" customHeight="1" s="58">
      <c r="A719" s="40" t="n"/>
      <c r="B719" s="40" t="n"/>
      <c r="C719" s="40" t="n"/>
      <c r="D719" s="40" t="n"/>
      <c r="E719" s="40" t="n"/>
      <c r="F719" s="40" t="n"/>
      <c r="G719" s="40" t="n"/>
      <c r="H719" s="40" t="n"/>
      <c r="I719" s="40" t="n"/>
      <c r="J719" s="40" t="n"/>
      <c r="K719" s="40" t="n"/>
      <c r="L719" s="40" t="n"/>
      <c r="M719" s="40" t="n"/>
      <c r="N719" s="40" t="n"/>
    </row>
    <row r="720" ht="15.75" customHeight="1" s="58">
      <c r="A720" s="40" t="n"/>
      <c r="B720" s="40" t="n"/>
      <c r="C720" s="40" t="n"/>
      <c r="D720" s="40" t="n"/>
      <c r="E720" s="40" t="n"/>
      <c r="F720" s="40" t="n"/>
      <c r="G720" s="40" t="n"/>
      <c r="H720" s="40" t="n"/>
      <c r="I720" s="40" t="n"/>
      <c r="J720" s="40" t="n"/>
      <c r="K720" s="40" t="n"/>
      <c r="L720" s="40" t="n"/>
      <c r="M720" s="40" t="n"/>
      <c r="N720" s="40" t="n"/>
    </row>
    <row r="721" ht="15.75" customHeight="1" s="58">
      <c r="A721" s="40" t="n"/>
      <c r="B721" s="40" t="n"/>
      <c r="C721" s="40" t="n"/>
      <c r="D721" s="40" t="n"/>
      <c r="E721" s="40" t="n"/>
      <c r="F721" s="40" t="n"/>
      <c r="G721" s="40" t="n"/>
      <c r="H721" s="40" t="n"/>
      <c r="I721" s="40" t="n"/>
      <c r="J721" s="40" t="n"/>
      <c r="K721" s="40" t="n"/>
      <c r="L721" s="40" t="n"/>
      <c r="M721" s="40" t="n"/>
      <c r="N721" s="40" t="n"/>
    </row>
    <row r="722" ht="15.75" customHeight="1" s="58">
      <c r="A722" s="40" t="n"/>
      <c r="B722" s="40" t="n"/>
      <c r="C722" s="40" t="n"/>
      <c r="D722" s="40" t="n"/>
      <c r="E722" s="40" t="n"/>
      <c r="F722" s="40" t="n"/>
      <c r="G722" s="40" t="n"/>
      <c r="H722" s="40" t="n"/>
      <c r="I722" s="40" t="n"/>
      <c r="J722" s="40" t="n"/>
      <c r="K722" s="40" t="n"/>
      <c r="L722" s="40" t="n"/>
      <c r="M722" s="40" t="n"/>
      <c r="N722" s="40" t="n"/>
    </row>
    <row r="723" ht="15.75" customHeight="1" s="58">
      <c r="A723" s="40" t="n"/>
      <c r="B723" s="40" t="n"/>
      <c r="C723" s="40" t="n"/>
      <c r="D723" s="40" t="n"/>
      <c r="E723" s="40" t="n"/>
      <c r="F723" s="40" t="n"/>
      <c r="G723" s="40" t="n"/>
      <c r="H723" s="40" t="n"/>
      <c r="I723" s="40" t="n"/>
      <c r="J723" s="40" t="n"/>
      <c r="K723" s="40" t="n"/>
      <c r="L723" s="40" t="n"/>
      <c r="M723" s="40" t="n"/>
      <c r="N723" s="40" t="n"/>
    </row>
    <row r="724" ht="15.75" customHeight="1" s="58">
      <c r="A724" s="40" t="n"/>
      <c r="B724" s="40" t="n"/>
      <c r="C724" s="40" t="n"/>
      <c r="D724" s="40" t="n"/>
      <c r="E724" s="40" t="n"/>
      <c r="F724" s="40" t="n"/>
      <c r="G724" s="40" t="n"/>
      <c r="H724" s="40" t="n"/>
      <c r="I724" s="40" t="n"/>
      <c r="J724" s="40" t="n"/>
      <c r="K724" s="40" t="n"/>
      <c r="L724" s="40" t="n"/>
      <c r="M724" s="40" t="n"/>
      <c r="N724" s="40" t="n"/>
    </row>
    <row r="725" ht="15.75" customHeight="1" s="58">
      <c r="A725" s="40" t="n"/>
      <c r="B725" s="40" t="n"/>
      <c r="C725" s="40" t="n"/>
      <c r="D725" s="40" t="n"/>
      <c r="E725" s="40" t="n"/>
      <c r="F725" s="40" t="n"/>
      <c r="G725" s="40" t="n"/>
      <c r="H725" s="40" t="n"/>
      <c r="I725" s="40" t="n"/>
      <c r="J725" s="40" t="n"/>
      <c r="K725" s="40" t="n"/>
      <c r="L725" s="40" t="n"/>
      <c r="M725" s="40" t="n"/>
      <c r="N725" s="40" t="n"/>
    </row>
    <row r="726" ht="15.75" customHeight="1" s="58">
      <c r="A726" s="40" t="n"/>
      <c r="B726" s="40" t="n"/>
      <c r="C726" s="40" t="n"/>
      <c r="D726" s="40" t="n"/>
      <c r="E726" s="40" t="n"/>
      <c r="F726" s="40" t="n"/>
      <c r="G726" s="40" t="n"/>
      <c r="H726" s="40" t="n"/>
      <c r="I726" s="40" t="n"/>
      <c r="J726" s="40" t="n"/>
      <c r="K726" s="40" t="n"/>
      <c r="L726" s="40" t="n"/>
      <c r="M726" s="40" t="n"/>
      <c r="N726" s="40" t="n"/>
    </row>
    <row r="727" ht="15.75" customHeight="1" s="58">
      <c r="A727" s="40" t="n"/>
      <c r="B727" s="40" t="n"/>
      <c r="C727" s="40" t="n"/>
      <c r="D727" s="40" t="n"/>
      <c r="E727" s="40" t="n"/>
      <c r="F727" s="40" t="n"/>
      <c r="G727" s="40" t="n"/>
      <c r="H727" s="40" t="n"/>
      <c r="I727" s="40" t="n"/>
      <c r="J727" s="40" t="n"/>
      <c r="K727" s="40" t="n"/>
      <c r="L727" s="40" t="n"/>
      <c r="M727" s="40" t="n"/>
      <c r="N727" s="40" t="n"/>
    </row>
    <row r="728" ht="15.75" customHeight="1" s="58">
      <c r="A728" s="40" t="n"/>
      <c r="B728" s="40" t="n"/>
      <c r="C728" s="40" t="n"/>
      <c r="D728" s="40" t="n"/>
      <c r="E728" s="40" t="n"/>
      <c r="F728" s="40" t="n"/>
      <c r="G728" s="40" t="n"/>
      <c r="H728" s="40" t="n"/>
      <c r="I728" s="40" t="n"/>
      <c r="J728" s="40" t="n"/>
      <c r="K728" s="40" t="n"/>
      <c r="L728" s="40" t="n"/>
      <c r="M728" s="40" t="n"/>
      <c r="N728" s="40" t="n"/>
    </row>
    <row r="729" ht="15.75" customHeight="1" s="58">
      <c r="A729" s="40" t="n"/>
      <c r="B729" s="40" t="n"/>
      <c r="C729" s="40" t="n"/>
      <c r="D729" s="40" t="n"/>
      <c r="E729" s="40" t="n"/>
      <c r="F729" s="40" t="n"/>
      <c r="G729" s="40" t="n"/>
      <c r="H729" s="40" t="n"/>
      <c r="I729" s="40" t="n"/>
      <c r="J729" s="40" t="n"/>
      <c r="K729" s="40" t="n"/>
      <c r="L729" s="40" t="n"/>
      <c r="M729" s="40" t="n"/>
      <c r="N729" s="40" t="n"/>
    </row>
    <row r="730" ht="15.75" customHeight="1" s="58">
      <c r="A730" s="40" t="n"/>
      <c r="B730" s="40" t="n"/>
      <c r="C730" s="40" t="n"/>
      <c r="D730" s="40" t="n"/>
      <c r="E730" s="40" t="n"/>
      <c r="F730" s="40" t="n"/>
      <c r="G730" s="40" t="n"/>
      <c r="H730" s="40" t="n"/>
      <c r="I730" s="40" t="n"/>
      <c r="J730" s="40" t="n"/>
      <c r="K730" s="40" t="n"/>
      <c r="L730" s="40" t="n"/>
      <c r="M730" s="40" t="n"/>
      <c r="N730" s="40" t="n"/>
    </row>
    <row r="731" ht="15.75" customHeight="1" s="58">
      <c r="A731" s="40" t="n"/>
      <c r="B731" s="40" t="n"/>
      <c r="C731" s="40" t="n"/>
      <c r="D731" s="40" t="n"/>
      <c r="E731" s="40" t="n"/>
      <c r="F731" s="40" t="n"/>
      <c r="G731" s="40" t="n"/>
      <c r="H731" s="40" t="n"/>
      <c r="I731" s="40" t="n"/>
      <c r="J731" s="40" t="n"/>
      <c r="K731" s="40" t="n"/>
      <c r="L731" s="40" t="n"/>
      <c r="M731" s="40" t="n"/>
      <c r="N731" s="40" t="n"/>
    </row>
    <row r="732" ht="15.75" customHeight="1" s="58">
      <c r="A732" s="40" t="n"/>
      <c r="B732" s="40" t="n"/>
      <c r="C732" s="40" t="n"/>
      <c r="D732" s="40" t="n"/>
      <c r="E732" s="40" t="n"/>
      <c r="F732" s="40" t="n"/>
      <c r="G732" s="40" t="n"/>
      <c r="H732" s="40" t="n"/>
      <c r="I732" s="40" t="n"/>
      <c r="J732" s="40" t="n"/>
      <c r="K732" s="40" t="n"/>
      <c r="L732" s="40" t="n"/>
      <c r="M732" s="40" t="n"/>
      <c r="N732" s="40" t="n"/>
    </row>
    <row r="733" ht="15.75" customHeight="1" s="58">
      <c r="A733" s="40" t="n"/>
      <c r="B733" s="40" t="n"/>
      <c r="C733" s="40" t="n"/>
      <c r="D733" s="40" t="n"/>
      <c r="E733" s="40" t="n"/>
      <c r="F733" s="40" t="n"/>
      <c r="G733" s="40" t="n"/>
      <c r="H733" s="40" t="n"/>
      <c r="I733" s="40" t="n"/>
      <c r="J733" s="40" t="n"/>
      <c r="K733" s="40" t="n"/>
      <c r="L733" s="40" t="n"/>
      <c r="M733" s="40" t="n"/>
      <c r="N733" s="40" t="n"/>
    </row>
    <row r="734" ht="15.75" customHeight="1" s="58">
      <c r="A734" s="40" t="n"/>
      <c r="B734" s="40" t="n"/>
      <c r="C734" s="40" t="n"/>
      <c r="D734" s="40" t="n"/>
      <c r="E734" s="40" t="n"/>
      <c r="F734" s="40" t="n"/>
      <c r="G734" s="40" t="n"/>
      <c r="H734" s="40" t="n"/>
      <c r="I734" s="40" t="n"/>
      <c r="J734" s="40" t="n"/>
      <c r="K734" s="40" t="n"/>
      <c r="L734" s="40" t="n"/>
      <c r="M734" s="40" t="n"/>
      <c r="N734" s="40" t="n"/>
    </row>
    <row r="735" ht="15.75" customHeight="1" s="58">
      <c r="A735" s="40" t="n"/>
      <c r="B735" s="40" t="n"/>
      <c r="C735" s="40" t="n"/>
      <c r="D735" s="40" t="n"/>
      <c r="E735" s="40" t="n"/>
      <c r="F735" s="40" t="n"/>
      <c r="G735" s="40" t="n"/>
      <c r="H735" s="40" t="n"/>
      <c r="I735" s="40" t="n"/>
      <c r="J735" s="40" t="n"/>
      <c r="K735" s="40" t="n"/>
      <c r="L735" s="40" t="n"/>
      <c r="M735" s="40" t="n"/>
      <c r="N735" s="40" t="n"/>
    </row>
    <row r="736" ht="15.75" customHeight="1" s="58">
      <c r="A736" s="40" t="n"/>
      <c r="B736" s="40" t="n"/>
      <c r="C736" s="40" t="n"/>
      <c r="D736" s="40" t="n"/>
      <c r="E736" s="40" t="n"/>
      <c r="F736" s="40" t="n"/>
      <c r="G736" s="40" t="n"/>
      <c r="H736" s="40" t="n"/>
      <c r="I736" s="40" t="n"/>
      <c r="J736" s="40" t="n"/>
      <c r="K736" s="40" t="n"/>
      <c r="L736" s="40" t="n"/>
      <c r="M736" s="40" t="n"/>
      <c r="N736" s="40" t="n"/>
    </row>
    <row r="737" ht="15.75" customHeight="1" s="58">
      <c r="A737" s="40" t="n"/>
      <c r="B737" s="40" t="n"/>
      <c r="C737" s="40" t="n"/>
      <c r="D737" s="40" t="n"/>
      <c r="E737" s="40" t="n"/>
      <c r="F737" s="40" t="n"/>
      <c r="G737" s="40" t="n"/>
      <c r="H737" s="40" t="n"/>
      <c r="I737" s="40" t="n"/>
      <c r="J737" s="40" t="n"/>
      <c r="K737" s="40" t="n"/>
      <c r="L737" s="40" t="n"/>
      <c r="M737" s="40" t="n"/>
      <c r="N737" s="40" t="n"/>
    </row>
    <row r="738" ht="15.75" customHeight="1" s="58">
      <c r="A738" s="40" t="n"/>
      <c r="B738" s="40" t="n"/>
      <c r="C738" s="40" t="n"/>
      <c r="D738" s="40" t="n"/>
      <c r="E738" s="40" t="n"/>
      <c r="F738" s="40" t="n"/>
      <c r="G738" s="40" t="n"/>
      <c r="H738" s="40" t="n"/>
      <c r="I738" s="40" t="n"/>
      <c r="J738" s="40" t="n"/>
      <c r="K738" s="40" t="n"/>
      <c r="L738" s="40" t="n"/>
      <c r="M738" s="40" t="n"/>
      <c r="N738" s="40" t="n"/>
    </row>
    <row r="739" ht="15.75" customHeight="1" s="58">
      <c r="A739" s="40" t="n"/>
      <c r="B739" s="40" t="n"/>
      <c r="C739" s="40" t="n"/>
      <c r="D739" s="40" t="n"/>
      <c r="E739" s="40" t="n"/>
      <c r="F739" s="40" t="n"/>
      <c r="G739" s="40" t="n"/>
      <c r="H739" s="40" t="n"/>
      <c r="I739" s="40" t="n"/>
      <c r="J739" s="40" t="n"/>
      <c r="K739" s="40" t="n"/>
      <c r="L739" s="40" t="n"/>
      <c r="M739" s="40" t="n"/>
      <c r="N739" s="40" t="n"/>
    </row>
    <row r="740" ht="15.75" customHeight="1" s="58">
      <c r="A740" s="40" t="n"/>
      <c r="B740" s="40" t="n"/>
      <c r="C740" s="40" t="n"/>
      <c r="D740" s="40" t="n"/>
      <c r="E740" s="40" t="n"/>
      <c r="F740" s="40" t="n"/>
      <c r="G740" s="40" t="n"/>
      <c r="H740" s="40" t="n"/>
      <c r="I740" s="40" t="n"/>
      <c r="J740" s="40" t="n"/>
      <c r="K740" s="40" t="n"/>
      <c r="L740" s="40" t="n"/>
      <c r="M740" s="40" t="n"/>
      <c r="N740" s="40" t="n"/>
    </row>
    <row r="741" ht="15.75" customHeight="1" s="58">
      <c r="A741" s="40" t="n"/>
      <c r="B741" s="40" t="n"/>
      <c r="C741" s="40" t="n"/>
      <c r="D741" s="40" t="n"/>
      <c r="E741" s="40" t="n"/>
      <c r="F741" s="40" t="n"/>
      <c r="G741" s="40" t="n"/>
      <c r="H741" s="40" t="n"/>
      <c r="I741" s="40" t="n"/>
      <c r="J741" s="40" t="n"/>
      <c r="K741" s="40" t="n"/>
      <c r="L741" s="40" t="n"/>
      <c r="M741" s="40" t="n"/>
      <c r="N741" s="40" t="n"/>
    </row>
    <row r="742" ht="15.75" customHeight="1" s="58">
      <c r="A742" s="40" t="n"/>
      <c r="B742" s="40" t="n"/>
      <c r="C742" s="40" t="n"/>
      <c r="D742" s="40" t="n"/>
      <c r="E742" s="40" t="n"/>
      <c r="F742" s="40" t="n"/>
      <c r="G742" s="40" t="n"/>
      <c r="H742" s="40" t="n"/>
      <c r="I742" s="40" t="n"/>
      <c r="J742" s="40" t="n"/>
      <c r="K742" s="40" t="n"/>
      <c r="L742" s="40" t="n"/>
      <c r="M742" s="40" t="n"/>
      <c r="N742" s="40" t="n"/>
    </row>
    <row r="743" ht="15.75" customHeight="1" s="58">
      <c r="A743" s="40" t="n"/>
      <c r="B743" s="40" t="n"/>
      <c r="C743" s="40" t="n"/>
      <c r="D743" s="40" t="n"/>
      <c r="E743" s="40" t="n"/>
      <c r="F743" s="40" t="n"/>
      <c r="G743" s="40" t="n"/>
      <c r="H743" s="40" t="n"/>
      <c r="I743" s="40" t="n"/>
      <c r="J743" s="40" t="n"/>
      <c r="K743" s="40" t="n"/>
      <c r="L743" s="40" t="n"/>
      <c r="M743" s="40" t="n"/>
      <c r="N743" s="40" t="n"/>
    </row>
    <row r="744" ht="15.75" customHeight="1" s="58">
      <c r="A744" s="40" t="n"/>
      <c r="B744" s="40" t="n"/>
      <c r="C744" s="40" t="n"/>
      <c r="D744" s="40" t="n"/>
      <c r="E744" s="40" t="n"/>
      <c r="F744" s="40" t="n"/>
      <c r="G744" s="40" t="n"/>
      <c r="H744" s="40" t="n"/>
      <c r="I744" s="40" t="n"/>
      <c r="J744" s="40" t="n"/>
      <c r="K744" s="40" t="n"/>
      <c r="L744" s="40" t="n"/>
      <c r="M744" s="40" t="n"/>
      <c r="N744" s="40" t="n"/>
    </row>
    <row r="745" ht="15.75" customHeight="1" s="58">
      <c r="A745" s="40" t="n"/>
      <c r="B745" s="40" t="n"/>
      <c r="C745" s="40" t="n"/>
      <c r="D745" s="40" t="n"/>
      <c r="E745" s="40" t="n"/>
      <c r="F745" s="40" t="n"/>
      <c r="G745" s="40" t="n"/>
      <c r="H745" s="40" t="n"/>
      <c r="I745" s="40" t="n"/>
      <c r="J745" s="40" t="n"/>
      <c r="K745" s="40" t="n"/>
      <c r="L745" s="40" t="n"/>
      <c r="M745" s="40" t="n"/>
      <c r="N745" s="40" t="n"/>
    </row>
    <row r="746" ht="15.75" customHeight="1" s="58">
      <c r="A746" s="40" t="n"/>
      <c r="B746" s="40" t="n"/>
      <c r="C746" s="40" t="n"/>
      <c r="D746" s="40" t="n"/>
      <c r="E746" s="40" t="n"/>
      <c r="F746" s="40" t="n"/>
      <c r="G746" s="40" t="n"/>
      <c r="H746" s="40" t="n"/>
      <c r="I746" s="40" t="n"/>
      <c r="J746" s="40" t="n"/>
      <c r="K746" s="40" t="n"/>
      <c r="L746" s="40" t="n"/>
      <c r="M746" s="40" t="n"/>
      <c r="N746" s="40" t="n"/>
    </row>
    <row r="747" ht="15.75" customHeight="1" s="58">
      <c r="A747" s="40" t="n"/>
      <c r="B747" s="40" t="n"/>
      <c r="C747" s="40" t="n"/>
      <c r="D747" s="40" t="n"/>
      <c r="E747" s="40" t="n"/>
      <c r="F747" s="40" t="n"/>
      <c r="G747" s="40" t="n"/>
      <c r="H747" s="40" t="n"/>
      <c r="I747" s="40" t="n"/>
      <c r="J747" s="40" t="n"/>
      <c r="K747" s="40" t="n"/>
      <c r="L747" s="40" t="n"/>
      <c r="M747" s="40" t="n"/>
      <c r="N747" s="40" t="n"/>
    </row>
    <row r="748" ht="15.75" customHeight="1" s="58">
      <c r="A748" s="40" t="n"/>
      <c r="B748" s="40" t="n"/>
      <c r="C748" s="40" t="n"/>
      <c r="D748" s="40" t="n"/>
      <c r="E748" s="40" t="n"/>
      <c r="F748" s="40" t="n"/>
      <c r="G748" s="40" t="n"/>
      <c r="H748" s="40" t="n"/>
      <c r="I748" s="40" t="n"/>
      <c r="J748" s="40" t="n"/>
      <c r="K748" s="40" t="n"/>
      <c r="L748" s="40" t="n"/>
      <c r="M748" s="40" t="n"/>
      <c r="N748" s="40" t="n"/>
    </row>
    <row r="749" ht="15.75" customHeight="1" s="58">
      <c r="A749" s="40" t="n"/>
      <c r="B749" s="40" t="n"/>
      <c r="C749" s="40" t="n"/>
      <c r="D749" s="40" t="n"/>
      <c r="E749" s="40" t="n"/>
      <c r="F749" s="40" t="n"/>
      <c r="G749" s="40" t="n"/>
      <c r="H749" s="40" t="n"/>
      <c r="I749" s="40" t="n"/>
      <c r="J749" s="40" t="n"/>
      <c r="K749" s="40" t="n"/>
      <c r="L749" s="40" t="n"/>
      <c r="M749" s="40" t="n"/>
      <c r="N749" s="40" t="n"/>
    </row>
    <row r="750" ht="15.75" customHeight="1" s="58">
      <c r="A750" s="40" t="n"/>
      <c r="B750" s="40" t="n"/>
      <c r="C750" s="40" t="n"/>
      <c r="D750" s="40" t="n"/>
      <c r="E750" s="40" t="n"/>
      <c r="F750" s="40" t="n"/>
      <c r="G750" s="40" t="n"/>
      <c r="H750" s="40" t="n"/>
      <c r="I750" s="40" t="n"/>
      <c r="J750" s="40" t="n"/>
      <c r="K750" s="40" t="n"/>
      <c r="L750" s="40" t="n"/>
      <c r="M750" s="40" t="n"/>
      <c r="N750" s="40" t="n"/>
    </row>
    <row r="751" ht="15.75" customHeight="1" s="58">
      <c r="A751" s="40" t="n"/>
      <c r="B751" s="40" t="n"/>
      <c r="C751" s="40" t="n"/>
      <c r="D751" s="40" t="n"/>
      <c r="E751" s="40" t="n"/>
      <c r="F751" s="40" t="n"/>
      <c r="G751" s="40" t="n"/>
      <c r="H751" s="40" t="n"/>
      <c r="I751" s="40" t="n"/>
      <c r="J751" s="40" t="n"/>
      <c r="K751" s="40" t="n"/>
      <c r="L751" s="40" t="n"/>
      <c r="M751" s="40" t="n"/>
      <c r="N751" s="40" t="n"/>
    </row>
    <row r="752" ht="15.75" customHeight="1" s="58">
      <c r="A752" s="40" t="n"/>
      <c r="B752" s="40" t="n"/>
      <c r="C752" s="40" t="n"/>
      <c r="D752" s="40" t="n"/>
      <c r="E752" s="40" t="n"/>
      <c r="F752" s="40" t="n"/>
      <c r="G752" s="40" t="n"/>
      <c r="H752" s="40" t="n"/>
      <c r="I752" s="40" t="n"/>
      <c r="J752" s="40" t="n"/>
      <c r="K752" s="40" t="n"/>
      <c r="L752" s="40" t="n"/>
      <c r="M752" s="40" t="n"/>
      <c r="N752" s="40" t="n"/>
    </row>
    <row r="753" ht="15.75" customHeight="1" s="58">
      <c r="A753" s="40" t="n"/>
      <c r="B753" s="40" t="n"/>
      <c r="C753" s="40" t="n"/>
      <c r="D753" s="40" t="n"/>
      <c r="E753" s="40" t="n"/>
      <c r="F753" s="40" t="n"/>
      <c r="G753" s="40" t="n"/>
      <c r="H753" s="40" t="n"/>
      <c r="I753" s="40" t="n"/>
      <c r="J753" s="40" t="n"/>
      <c r="K753" s="40" t="n"/>
      <c r="L753" s="40" t="n"/>
      <c r="M753" s="40" t="n"/>
      <c r="N753" s="40" t="n"/>
    </row>
    <row r="754" ht="15.75" customHeight="1" s="58">
      <c r="A754" s="40" t="n"/>
      <c r="B754" s="40" t="n"/>
      <c r="C754" s="40" t="n"/>
      <c r="D754" s="40" t="n"/>
      <c r="E754" s="40" t="n"/>
      <c r="F754" s="40" t="n"/>
      <c r="G754" s="40" t="n"/>
      <c r="H754" s="40" t="n"/>
      <c r="I754" s="40" t="n"/>
      <c r="J754" s="40" t="n"/>
      <c r="K754" s="40" t="n"/>
      <c r="L754" s="40" t="n"/>
      <c r="M754" s="40" t="n"/>
      <c r="N754" s="40" t="n"/>
    </row>
    <row r="755" ht="15.75" customHeight="1" s="58">
      <c r="A755" s="40" t="n"/>
      <c r="B755" s="40" t="n"/>
      <c r="C755" s="40" t="n"/>
      <c r="D755" s="40" t="n"/>
      <c r="E755" s="40" t="n"/>
      <c r="F755" s="40" t="n"/>
      <c r="G755" s="40" t="n"/>
      <c r="H755" s="40" t="n"/>
      <c r="I755" s="40" t="n"/>
      <c r="J755" s="40" t="n"/>
      <c r="K755" s="40" t="n"/>
      <c r="L755" s="40" t="n"/>
      <c r="M755" s="40" t="n"/>
      <c r="N755" s="40" t="n"/>
    </row>
    <row r="756" ht="15.75" customHeight="1" s="58">
      <c r="A756" s="40" t="n"/>
      <c r="B756" s="40" t="n"/>
      <c r="C756" s="40" t="n"/>
      <c r="D756" s="40" t="n"/>
      <c r="E756" s="40" t="n"/>
      <c r="F756" s="40" t="n"/>
      <c r="G756" s="40" t="n"/>
      <c r="H756" s="40" t="n"/>
      <c r="I756" s="40" t="n"/>
      <c r="J756" s="40" t="n"/>
      <c r="K756" s="40" t="n"/>
      <c r="L756" s="40" t="n"/>
      <c r="M756" s="40" t="n"/>
      <c r="N756" s="40" t="n"/>
    </row>
    <row r="757" ht="15.75" customHeight="1" s="58">
      <c r="A757" s="40" t="n"/>
      <c r="B757" s="40" t="n"/>
      <c r="C757" s="40" t="n"/>
      <c r="D757" s="40" t="n"/>
      <c r="E757" s="40" t="n"/>
      <c r="F757" s="40" t="n"/>
      <c r="G757" s="40" t="n"/>
      <c r="H757" s="40" t="n"/>
      <c r="I757" s="40" t="n"/>
      <c r="J757" s="40" t="n"/>
      <c r="K757" s="40" t="n"/>
      <c r="L757" s="40" t="n"/>
      <c r="M757" s="40" t="n"/>
      <c r="N757" s="40" t="n"/>
    </row>
    <row r="758" ht="15.75" customHeight="1" s="58">
      <c r="A758" s="40" t="n"/>
      <c r="B758" s="40" t="n"/>
      <c r="C758" s="40" t="n"/>
      <c r="D758" s="40" t="n"/>
      <c r="E758" s="40" t="n"/>
      <c r="F758" s="40" t="n"/>
      <c r="G758" s="40" t="n"/>
      <c r="H758" s="40" t="n"/>
      <c r="I758" s="40" t="n"/>
      <c r="J758" s="40" t="n"/>
      <c r="K758" s="40" t="n"/>
      <c r="L758" s="40" t="n"/>
      <c r="M758" s="40" t="n"/>
      <c r="N758" s="40" t="n"/>
    </row>
    <row r="759" ht="15.75" customHeight="1" s="58">
      <c r="A759" s="40" t="n"/>
      <c r="B759" s="40" t="n"/>
      <c r="C759" s="40" t="n"/>
      <c r="D759" s="40" t="n"/>
      <c r="E759" s="40" t="n"/>
      <c r="F759" s="40" t="n"/>
      <c r="G759" s="40" t="n"/>
      <c r="H759" s="40" t="n"/>
      <c r="I759" s="40" t="n"/>
      <c r="J759" s="40" t="n"/>
      <c r="K759" s="40" t="n"/>
      <c r="L759" s="40" t="n"/>
      <c r="M759" s="40" t="n"/>
      <c r="N759" s="40" t="n"/>
    </row>
    <row r="760" ht="15.75" customHeight="1" s="58">
      <c r="A760" s="40" t="n"/>
      <c r="B760" s="40" t="n"/>
      <c r="C760" s="40" t="n"/>
      <c r="D760" s="40" t="n"/>
      <c r="E760" s="40" t="n"/>
      <c r="F760" s="40" t="n"/>
      <c r="G760" s="40" t="n"/>
      <c r="H760" s="40" t="n"/>
      <c r="I760" s="40" t="n"/>
      <c r="J760" s="40" t="n"/>
      <c r="K760" s="40" t="n"/>
      <c r="L760" s="40" t="n"/>
      <c r="M760" s="40" t="n"/>
      <c r="N760" s="40" t="n"/>
    </row>
    <row r="761" ht="15.75" customHeight="1" s="58">
      <c r="A761" s="40" t="n"/>
      <c r="B761" s="40" t="n"/>
      <c r="C761" s="40" t="n"/>
      <c r="D761" s="40" t="n"/>
      <c r="E761" s="40" t="n"/>
      <c r="F761" s="40" t="n"/>
      <c r="G761" s="40" t="n"/>
      <c r="H761" s="40" t="n"/>
      <c r="I761" s="40" t="n"/>
      <c r="J761" s="40" t="n"/>
      <c r="K761" s="40" t="n"/>
      <c r="L761" s="40" t="n"/>
      <c r="M761" s="40" t="n"/>
      <c r="N761" s="40" t="n"/>
    </row>
    <row r="762" ht="15.75" customHeight="1" s="58">
      <c r="A762" s="40" t="n"/>
      <c r="B762" s="40" t="n"/>
      <c r="C762" s="40" t="n"/>
      <c r="D762" s="40" t="n"/>
      <c r="E762" s="40" t="n"/>
      <c r="F762" s="40" t="n"/>
      <c r="G762" s="40" t="n"/>
      <c r="H762" s="40" t="n"/>
      <c r="I762" s="40" t="n"/>
      <c r="J762" s="40" t="n"/>
      <c r="K762" s="40" t="n"/>
      <c r="L762" s="40" t="n"/>
      <c r="M762" s="40" t="n"/>
      <c r="N762" s="40" t="n"/>
    </row>
    <row r="763" ht="15.75" customHeight="1" s="58">
      <c r="A763" s="40" t="n"/>
      <c r="B763" s="40" t="n"/>
      <c r="C763" s="40" t="n"/>
      <c r="D763" s="40" t="n"/>
      <c r="E763" s="40" t="n"/>
      <c r="F763" s="40" t="n"/>
      <c r="G763" s="40" t="n"/>
      <c r="H763" s="40" t="n"/>
      <c r="I763" s="40" t="n"/>
      <c r="J763" s="40" t="n"/>
      <c r="K763" s="40" t="n"/>
      <c r="L763" s="40" t="n"/>
      <c r="M763" s="40" t="n"/>
      <c r="N763" s="40" t="n"/>
    </row>
    <row r="764" ht="15.75" customHeight="1" s="58">
      <c r="A764" s="40" t="n"/>
      <c r="B764" s="40" t="n"/>
      <c r="C764" s="40" t="n"/>
      <c r="D764" s="40" t="n"/>
      <c r="E764" s="40" t="n"/>
      <c r="F764" s="40" t="n"/>
      <c r="G764" s="40" t="n"/>
      <c r="H764" s="40" t="n"/>
      <c r="I764" s="40" t="n"/>
      <c r="J764" s="40" t="n"/>
      <c r="K764" s="40" t="n"/>
      <c r="L764" s="40" t="n"/>
      <c r="M764" s="40" t="n"/>
      <c r="N764" s="40" t="n"/>
    </row>
    <row r="765" ht="15.75" customHeight="1" s="58">
      <c r="A765" s="40" t="n"/>
      <c r="B765" s="40" t="n"/>
      <c r="C765" s="40" t="n"/>
      <c r="D765" s="40" t="n"/>
      <c r="E765" s="40" t="n"/>
      <c r="F765" s="40" t="n"/>
      <c r="G765" s="40" t="n"/>
      <c r="H765" s="40" t="n"/>
      <c r="I765" s="40" t="n"/>
      <c r="J765" s="40" t="n"/>
      <c r="K765" s="40" t="n"/>
      <c r="L765" s="40" t="n"/>
      <c r="M765" s="40" t="n"/>
      <c r="N765" s="40" t="n"/>
    </row>
    <row r="766" ht="15.75" customHeight="1" s="58">
      <c r="A766" s="40" t="n"/>
      <c r="B766" s="40" t="n"/>
      <c r="C766" s="40" t="n"/>
      <c r="D766" s="40" t="n"/>
      <c r="E766" s="40" t="n"/>
      <c r="F766" s="40" t="n"/>
      <c r="G766" s="40" t="n"/>
      <c r="H766" s="40" t="n"/>
      <c r="I766" s="40" t="n"/>
      <c r="J766" s="40" t="n"/>
      <c r="K766" s="40" t="n"/>
      <c r="L766" s="40" t="n"/>
      <c r="M766" s="40" t="n"/>
      <c r="N766" s="40" t="n"/>
    </row>
    <row r="767" ht="15.75" customHeight="1" s="58">
      <c r="A767" s="40" t="n"/>
      <c r="B767" s="40" t="n"/>
      <c r="C767" s="40" t="n"/>
      <c r="D767" s="40" t="n"/>
      <c r="E767" s="40" t="n"/>
      <c r="F767" s="40" t="n"/>
      <c r="G767" s="40" t="n"/>
      <c r="H767" s="40" t="n"/>
      <c r="I767" s="40" t="n"/>
      <c r="J767" s="40" t="n"/>
      <c r="K767" s="40" t="n"/>
      <c r="L767" s="40" t="n"/>
      <c r="M767" s="40" t="n"/>
      <c r="N767" s="40" t="n"/>
    </row>
    <row r="768" ht="15.75" customHeight="1" s="58">
      <c r="A768" s="40" t="n"/>
      <c r="B768" s="40" t="n"/>
      <c r="C768" s="40" t="n"/>
      <c r="D768" s="40" t="n"/>
      <c r="E768" s="40" t="n"/>
      <c r="F768" s="40" t="n"/>
      <c r="G768" s="40" t="n"/>
      <c r="H768" s="40" t="n"/>
      <c r="I768" s="40" t="n"/>
      <c r="J768" s="40" t="n"/>
      <c r="K768" s="40" t="n"/>
      <c r="L768" s="40" t="n"/>
      <c r="M768" s="40" t="n"/>
      <c r="N768" s="40" t="n"/>
    </row>
    <row r="769" ht="15.75" customHeight="1" s="58">
      <c r="A769" s="40" t="n"/>
      <c r="B769" s="40" t="n"/>
      <c r="C769" s="40" t="n"/>
      <c r="D769" s="40" t="n"/>
      <c r="E769" s="40" t="n"/>
      <c r="F769" s="40" t="n"/>
      <c r="G769" s="40" t="n"/>
      <c r="H769" s="40" t="n"/>
      <c r="I769" s="40" t="n"/>
      <c r="J769" s="40" t="n"/>
      <c r="K769" s="40" t="n"/>
      <c r="L769" s="40" t="n"/>
      <c r="M769" s="40" t="n"/>
      <c r="N769" s="40" t="n"/>
    </row>
    <row r="770" ht="15.75" customHeight="1" s="58">
      <c r="A770" s="40" t="n"/>
      <c r="B770" s="40" t="n"/>
      <c r="C770" s="40" t="n"/>
      <c r="D770" s="40" t="n"/>
      <c r="E770" s="40" t="n"/>
      <c r="F770" s="40" t="n"/>
      <c r="G770" s="40" t="n"/>
      <c r="H770" s="40" t="n"/>
      <c r="I770" s="40" t="n"/>
      <c r="J770" s="40" t="n"/>
      <c r="K770" s="40" t="n"/>
      <c r="L770" s="40" t="n"/>
      <c r="M770" s="40" t="n"/>
      <c r="N770" s="40" t="n"/>
    </row>
    <row r="771" ht="15.75" customHeight="1" s="58">
      <c r="A771" s="40" t="n"/>
      <c r="B771" s="40" t="n"/>
      <c r="C771" s="40" t="n"/>
      <c r="D771" s="40" t="n"/>
      <c r="E771" s="40" t="n"/>
      <c r="F771" s="40" t="n"/>
      <c r="G771" s="40" t="n"/>
      <c r="H771" s="40" t="n"/>
      <c r="I771" s="40" t="n"/>
      <c r="J771" s="40" t="n"/>
      <c r="K771" s="40" t="n"/>
      <c r="L771" s="40" t="n"/>
      <c r="M771" s="40" t="n"/>
      <c r="N771" s="40" t="n"/>
    </row>
    <row r="772" ht="15.75" customHeight="1" s="58">
      <c r="A772" s="40" t="n"/>
      <c r="B772" s="40" t="n"/>
      <c r="C772" s="40" t="n"/>
      <c r="D772" s="40" t="n"/>
      <c r="E772" s="40" t="n"/>
      <c r="F772" s="40" t="n"/>
      <c r="G772" s="40" t="n"/>
      <c r="H772" s="40" t="n"/>
      <c r="I772" s="40" t="n"/>
      <c r="J772" s="40" t="n"/>
      <c r="K772" s="40" t="n"/>
      <c r="L772" s="40" t="n"/>
      <c r="M772" s="40" t="n"/>
      <c r="N772" s="40" t="n"/>
    </row>
    <row r="773" ht="15.75" customHeight="1" s="58">
      <c r="A773" s="40" t="n"/>
      <c r="B773" s="40" t="n"/>
      <c r="C773" s="40" t="n"/>
      <c r="D773" s="40" t="n"/>
      <c r="E773" s="40" t="n"/>
      <c r="F773" s="40" t="n"/>
      <c r="G773" s="40" t="n"/>
      <c r="H773" s="40" t="n"/>
      <c r="I773" s="40" t="n"/>
      <c r="J773" s="40" t="n"/>
      <c r="K773" s="40" t="n"/>
      <c r="L773" s="40" t="n"/>
      <c r="M773" s="40" t="n"/>
      <c r="N773" s="40" t="n"/>
    </row>
    <row r="774" ht="15.75" customHeight="1" s="58">
      <c r="A774" s="40" t="n"/>
      <c r="B774" s="40" t="n"/>
      <c r="C774" s="40" t="n"/>
      <c r="D774" s="40" t="n"/>
      <c r="E774" s="40" t="n"/>
      <c r="F774" s="40" t="n"/>
      <c r="G774" s="40" t="n"/>
      <c r="H774" s="40" t="n"/>
      <c r="I774" s="40" t="n"/>
      <c r="J774" s="40" t="n"/>
      <c r="K774" s="40" t="n"/>
      <c r="L774" s="40" t="n"/>
      <c r="M774" s="40" t="n"/>
      <c r="N774" s="40" t="n"/>
    </row>
    <row r="775" ht="15.75" customHeight="1" s="58">
      <c r="A775" s="40" t="n"/>
      <c r="B775" s="40" t="n"/>
      <c r="C775" s="40" t="n"/>
      <c r="D775" s="40" t="n"/>
      <c r="E775" s="40" t="n"/>
      <c r="F775" s="40" t="n"/>
      <c r="G775" s="40" t="n"/>
      <c r="H775" s="40" t="n"/>
      <c r="I775" s="40" t="n"/>
      <c r="J775" s="40" t="n"/>
      <c r="K775" s="40" t="n"/>
      <c r="L775" s="40" t="n"/>
      <c r="M775" s="40" t="n"/>
      <c r="N775" s="40" t="n"/>
    </row>
    <row r="776" ht="15.75" customHeight="1" s="58">
      <c r="A776" s="40" t="n"/>
      <c r="B776" s="40" t="n"/>
      <c r="C776" s="40" t="n"/>
      <c r="D776" s="40" t="n"/>
      <c r="E776" s="40" t="n"/>
      <c r="F776" s="40" t="n"/>
      <c r="G776" s="40" t="n"/>
      <c r="H776" s="40" t="n"/>
      <c r="I776" s="40" t="n"/>
      <c r="J776" s="40" t="n"/>
      <c r="K776" s="40" t="n"/>
      <c r="L776" s="40" t="n"/>
      <c r="M776" s="40" t="n"/>
      <c r="N776" s="40" t="n"/>
    </row>
    <row r="777" ht="15.75" customHeight="1" s="58">
      <c r="A777" s="40" t="n"/>
      <c r="B777" s="40" t="n"/>
      <c r="C777" s="40" t="n"/>
      <c r="D777" s="40" t="n"/>
      <c r="E777" s="40" t="n"/>
      <c r="F777" s="40" t="n"/>
      <c r="G777" s="40" t="n"/>
      <c r="H777" s="40" t="n"/>
      <c r="I777" s="40" t="n"/>
      <c r="J777" s="40" t="n"/>
      <c r="K777" s="40" t="n"/>
      <c r="L777" s="40" t="n"/>
      <c r="M777" s="40" t="n"/>
      <c r="N777" s="40" t="n"/>
    </row>
    <row r="778" ht="15.75" customHeight="1" s="58">
      <c r="A778" s="40" t="n"/>
      <c r="B778" s="40" t="n"/>
      <c r="C778" s="40" t="n"/>
      <c r="D778" s="40" t="n"/>
      <c r="E778" s="40" t="n"/>
      <c r="F778" s="40" t="n"/>
      <c r="G778" s="40" t="n"/>
      <c r="H778" s="40" t="n"/>
      <c r="I778" s="40" t="n"/>
      <c r="J778" s="40" t="n"/>
      <c r="K778" s="40" t="n"/>
      <c r="L778" s="40" t="n"/>
      <c r="M778" s="40" t="n"/>
      <c r="N778" s="40" t="n"/>
    </row>
    <row r="779" ht="15.75" customHeight="1" s="58">
      <c r="A779" s="40" t="n"/>
      <c r="B779" s="40" t="n"/>
      <c r="C779" s="40" t="n"/>
      <c r="D779" s="40" t="n"/>
      <c r="E779" s="40" t="n"/>
      <c r="F779" s="40" t="n"/>
      <c r="G779" s="40" t="n"/>
      <c r="H779" s="40" t="n"/>
      <c r="I779" s="40" t="n"/>
      <c r="J779" s="40" t="n"/>
      <c r="K779" s="40" t="n"/>
      <c r="L779" s="40" t="n"/>
      <c r="M779" s="40" t="n"/>
      <c r="N779" s="40" t="n"/>
    </row>
    <row r="780" ht="15.75" customHeight="1" s="58">
      <c r="A780" s="40" t="n"/>
      <c r="B780" s="40" t="n"/>
      <c r="C780" s="40" t="n"/>
      <c r="D780" s="40" t="n"/>
      <c r="E780" s="40" t="n"/>
      <c r="F780" s="40" t="n"/>
      <c r="G780" s="40" t="n"/>
      <c r="H780" s="40" t="n"/>
      <c r="I780" s="40" t="n"/>
      <c r="J780" s="40" t="n"/>
      <c r="K780" s="40" t="n"/>
      <c r="L780" s="40" t="n"/>
      <c r="M780" s="40" t="n"/>
      <c r="N780" s="40" t="n"/>
    </row>
    <row r="781" ht="15.75" customHeight="1" s="58">
      <c r="A781" s="40" t="n"/>
      <c r="B781" s="40" t="n"/>
      <c r="C781" s="40" t="n"/>
      <c r="D781" s="40" t="n"/>
      <c r="E781" s="40" t="n"/>
      <c r="F781" s="40" t="n"/>
      <c r="G781" s="40" t="n"/>
      <c r="H781" s="40" t="n"/>
      <c r="I781" s="40" t="n"/>
      <c r="J781" s="40" t="n"/>
      <c r="K781" s="40" t="n"/>
      <c r="L781" s="40" t="n"/>
      <c r="M781" s="40" t="n"/>
      <c r="N781" s="40" t="n"/>
    </row>
    <row r="782" ht="15.75" customHeight="1" s="58">
      <c r="A782" s="40" t="n"/>
      <c r="B782" s="40" t="n"/>
      <c r="C782" s="40" t="n"/>
      <c r="D782" s="40" t="n"/>
      <c r="E782" s="40" t="n"/>
      <c r="F782" s="40" t="n"/>
      <c r="G782" s="40" t="n"/>
      <c r="H782" s="40" t="n"/>
      <c r="I782" s="40" t="n"/>
      <c r="J782" s="40" t="n"/>
      <c r="K782" s="40" t="n"/>
      <c r="L782" s="40" t="n"/>
      <c r="M782" s="40" t="n"/>
      <c r="N782" s="40" t="n"/>
    </row>
    <row r="783" ht="15.75" customHeight="1" s="58">
      <c r="A783" s="40" t="n"/>
      <c r="B783" s="40" t="n"/>
      <c r="C783" s="40" t="n"/>
      <c r="D783" s="40" t="n"/>
      <c r="E783" s="40" t="n"/>
      <c r="F783" s="40" t="n"/>
      <c r="G783" s="40" t="n"/>
      <c r="H783" s="40" t="n"/>
      <c r="I783" s="40" t="n"/>
      <c r="J783" s="40" t="n"/>
      <c r="K783" s="40" t="n"/>
      <c r="L783" s="40" t="n"/>
      <c r="M783" s="40" t="n"/>
      <c r="N783" s="40" t="n"/>
    </row>
    <row r="784" ht="15.75" customHeight="1" s="58">
      <c r="A784" s="40" t="n"/>
      <c r="B784" s="40" t="n"/>
      <c r="C784" s="40" t="n"/>
      <c r="D784" s="40" t="n"/>
      <c r="E784" s="40" t="n"/>
      <c r="F784" s="40" t="n"/>
      <c r="G784" s="40" t="n"/>
      <c r="H784" s="40" t="n"/>
      <c r="I784" s="40" t="n"/>
      <c r="J784" s="40" t="n"/>
      <c r="K784" s="40" t="n"/>
      <c r="L784" s="40" t="n"/>
      <c r="M784" s="40" t="n"/>
      <c r="N784" s="40" t="n"/>
    </row>
    <row r="785" ht="15.75" customHeight="1" s="58">
      <c r="A785" s="40" t="n"/>
      <c r="B785" s="40" t="n"/>
      <c r="C785" s="40" t="n"/>
      <c r="D785" s="40" t="n"/>
      <c r="E785" s="40" t="n"/>
      <c r="F785" s="40" t="n"/>
      <c r="G785" s="40" t="n"/>
      <c r="H785" s="40" t="n"/>
      <c r="I785" s="40" t="n"/>
      <c r="J785" s="40" t="n"/>
      <c r="K785" s="40" t="n"/>
      <c r="L785" s="40" t="n"/>
      <c r="M785" s="40" t="n"/>
      <c r="N785" s="40" t="n"/>
    </row>
    <row r="786" ht="15.75" customHeight="1" s="58">
      <c r="A786" s="40" t="n"/>
      <c r="B786" s="40" t="n"/>
      <c r="C786" s="40" t="n"/>
      <c r="D786" s="40" t="n"/>
      <c r="E786" s="40" t="n"/>
      <c r="F786" s="40" t="n"/>
      <c r="G786" s="40" t="n"/>
      <c r="H786" s="40" t="n"/>
      <c r="I786" s="40" t="n"/>
      <c r="J786" s="40" t="n"/>
      <c r="K786" s="40" t="n"/>
      <c r="L786" s="40" t="n"/>
      <c r="M786" s="40" t="n"/>
      <c r="N786" s="40" t="n"/>
    </row>
    <row r="787" ht="15.75" customHeight="1" s="58">
      <c r="A787" s="40" t="n"/>
      <c r="B787" s="40" t="n"/>
      <c r="C787" s="40" t="n"/>
      <c r="D787" s="40" t="n"/>
      <c r="E787" s="40" t="n"/>
      <c r="F787" s="40" t="n"/>
      <c r="G787" s="40" t="n"/>
      <c r="H787" s="40" t="n"/>
      <c r="I787" s="40" t="n"/>
      <c r="J787" s="40" t="n"/>
      <c r="K787" s="40" t="n"/>
      <c r="L787" s="40" t="n"/>
      <c r="M787" s="40" t="n"/>
      <c r="N787" s="40" t="n"/>
    </row>
    <row r="788" ht="15.75" customHeight="1" s="58">
      <c r="A788" s="40" t="n"/>
      <c r="B788" s="40" t="n"/>
      <c r="C788" s="40" t="n"/>
      <c r="D788" s="40" t="n"/>
      <c r="E788" s="40" t="n"/>
      <c r="F788" s="40" t="n"/>
      <c r="G788" s="40" t="n"/>
      <c r="H788" s="40" t="n"/>
      <c r="I788" s="40" t="n"/>
      <c r="J788" s="40" t="n"/>
      <c r="K788" s="40" t="n"/>
      <c r="L788" s="40" t="n"/>
      <c r="M788" s="40" t="n"/>
      <c r="N788" s="40" t="n"/>
    </row>
    <row r="789" ht="15.75" customHeight="1" s="58">
      <c r="A789" s="40" t="n"/>
      <c r="B789" s="40" t="n"/>
      <c r="C789" s="40" t="n"/>
      <c r="D789" s="40" t="n"/>
      <c r="E789" s="40" t="n"/>
      <c r="F789" s="40" t="n"/>
      <c r="G789" s="40" t="n"/>
      <c r="H789" s="40" t="n"/>
      <c r="I789" s="40" t="n"/>
      <c r="J789" s="40" t="n"/>
      <c r="K789" s="40" t="n"/>
      <c r="L789" s="40" t="n"/>
      <c r="M789" s="40" t="n"/>
      <c r="N789" s="40" t="n"/>
    </row>
    <row r="790" ht="15.75" customHeight="1" s="58">
      <c r="A790" s="40" t="n"/>
      <c r="B790" s="40" t="n"/>
      <c r="C790" s="40" t="n"/>
      <c r="D790" s="40" t="n"/>
      <c r="E790" s="40" t="n"/>
      <c r="F790" s="40" t="n"/>
      <c r="G790" s="40" t="n"/>
      <c r="H790" s="40" t="n"/>
      <c r="I790" s="40" t="n"/>
      <c r="J790" s="40" t="n"/>
      <c r="K790" s="40" t="n"/>
      <c r="L790" s="40" t="n"/>
      <c r="M790" s="40" t="n"/>
      <c r="N790" s="40" t="n"/>
    </row>
    <row r="791" ht="15.75" customHeight="1" s="58">
      <c r="A791" s="40" t="n"/>
      <c r="B791" s="40" t="n"/>
      <c r="C791" s="40" t="n"/>
      <c r="D791" s="40" t="n"/>
      <c r="E791" s="40" t="n"/>
      <c r="F791" s="40" t="n"/>
      <c r="G791" s="40" t="n"/>
      <c r="H791" s="40" t="n"/>
      <c r="I791" s="40" t="n"/>
      <c r="J791" s="40" t="n"/>
      <c r="K791" s="40" t="n"/>
      <c r="L791" s="40" t="n"/>
      <c r="M791" s="40" t="n"/>
      <c r="N791" s="40" t="n"/>
    </row>
    <row r="792" ht="15.75" customHeight="1" s="58">
      <c r="A792" s="40" t="n"/>
      <c r="B792" s="40" t="n"/>
      <c r="C792" s="40" t="n"/>
      <c r="D792" s="40" t="n"/>
      <c r="E792" s="40" t="n"/>
      <c r="F792" s="40" t="n"/>
      <c r="G792" s="40" t="n"/>
      <c r="H792" s="40" t="n"/>
      <c r="I792" s="40" t="n"/>
      <c r="J792" s="40" t="n"/>
      <c r="K792" s="40" t="n"/>
      <c r="L792" s="40" t="n"/>
      <c r="M792" s="40" t="n"/>
      <c r="N792" s="40" t="n"/>
    </row>
    <row r="793" ht="15.75" customHeight="1" s="58">
      <c r="A793" s="40" t="n"/>
      <c r="B793" s="40" t="n"/>
      <c r="C793" s="40" t="n"/>
      <c r="D793" s="40" t="n"/>
      <c r="E793" s="40" t="n"/>
      <c r="F793" s="40" t="n"/>
      <c r="G793" s="40" t="n"/>
      <c r="H793" s="40" t="n"/>
      <c r="I793" s="40" t="n"/>
      <c r="J793" s="40" t="n"/>
      <c r="K793" s="40" t="n"/>
      <c r="L793" s="40" t="n"/>
      <c r="M793" s="40" t="n"/>
      <c r="N793" s="40" t="n"/>
    </row>
    <row r="794" ht="15.75" customHeight="1" s="58">
      <c r="A794" s="40" t="n"/>
      <c r="B794" s="40" t="n"/>
      <c r="C794" s="40" t="n"/>
      <c r="D794" s="40" t="n"/>
      <c r="E794" s="40" t="n"/>
      <c r="F794" s="40" t="n"/>
      <c r="G794" s="40" t="n"/>
      <c r="H794" s="40" t="n"/>
      <c r="I794" s="40" t="n"/>
      <c r="J794" s="40" t="n"/>
      <c r="K794" s="40" t="n"/>
      <c r="L794" s="40" t="n"/>
      <c r="M794" s="40" t="n"/>
      <c r="N794" s="40" t="n"/>
    </row>
    <row r="795" ht="15.75" customHeight="1" s="58">
      <c r="A795" s="40" t="n"/>
      <c r="B795" s="40" t="n"/>
      <c r="C795" s="40" t="n"/>
      <c r="D795" s="40" t="n"/>
      <c r="E795" s="40" t="n"/>
      <c r="F795" s="40" t="n"/>
      <c r="G795" s="40" t="n"/>
      <c r="H795" s="40" t="n"/>
      <c r="I795" s="40" t="n"/>
      <c r="J795" s="40" t="n"/>
      <c r="K795" s="40" t="n"/>
      <c r="L795" s="40" t="n"/>
      <c r="M795" s="40" t="n"/>
      <c r="N795" s="40" t="n"/>
    </row>
    <row r="796" ht="15.75" customHeight="1" s="58">
      <c r="A796" s="40" t="n"/>
      <c r="B796" s="40" t="n"/>
      <c r="C796" s="40" t="n"/>
      <c r="D796" s="40" t="n"/>
      <c r="E796" s="40" t="n"/>
      <c r="F796" s="40" t="n"/>
      <c r="G796" s="40" t="n"/>
      <c r="H796" s="40" t="n"/>
      <c r="I796" s="40" t="n"/>
      <c r="J796" s="40" t="n"/>
      <c r="K796" s="40" t="n"/>
      <c r="L796" s="40" t="n"/>
      <c r="M796" s="40" t="n"/>
      <c r="N796" s="40" t="n"/>
    </row>
    <row r="797" ht="15.75" customHeight="1" s="58">
      <c r="A797" s="40" t="n"/>
      <c r="B797" s="40" t="n"/>
      <c r="C797" s="40" t="n"/>
      <c r="D797" s="40" t="n"/>
      <c r="E797" s="40" t="n"/>
      <c r="F797" s="40" t="n"/>
      <c r="G797" s="40" t="n"/>
      <c r="H797" s="40" t="n"/>
      <c r="I797" s="40" t="n"/>
      <c r="J797" s="40" t="n"/>
      <c r="K797" s="40" t="n"/>
      <c r="L797" s="40" t="n"/>
      <c r="M797" s="40" t="n"/>
      <c r="N797" s="40" t="n"/>
    </row>
    <row r="798" ht="15.75" customHeight="1" s="58">
      <c r="A798" s="40" t="n"/>
      <c r="B798" s="40" t="n"/>
      <c r="C798" s="40" t="n"/>
      <c r="D798" s="40" t="n"/>
      <c r="E798" s="40" t="n"/>
      <c r="F798" s="40" t="n"/>
      <c r="G798" s="40" t="n"/>
      <c r="H798" s="40" t="n"/>
      <c r="I798" s="40" t="n"/>
      <c r="J798" s="40" t="n"/>
      <c r="K798" s="40" t="n"/>
      <c r="L798" s="40" t="n"/>
      <c r="M798" s="40" t="n"/>
      <c r="N798" s="40" t="n"/>
    </row>
    <row r="799" ht="15.75" customHeight="1" s="58">
      <c r="A799" s="40" t="n"/>
      <c r="B799" s="40" t="n"/>
      <c r="C799" s="40" t="n"/>
      <c r="D799" s="40" t="n"/>
      <c r="E799" s="40" t="n"/>
      <c r="F799" s="40" t="n"/>
      <c r="G799" s="40" t="n"/>
      <c r="H799" s="40" t="n"/>
      <c r="I799" s="40" t="n"/>
      <c r="J799" s="40" t="n"/>
      <c r="K799" s="40" t="n"/>
      <c r="L799" s="40" t="n"/>
      <c r="M799" s="40" t="n"/>
      <c r="N799" s="40" t="n"/>
    </row>
    <row r="800" ht="15.75" customHeight="1" s="58">
      <c r="A800" s="40" t="n"/>
      <c r="B800" s="40" t="n"/>
      <c r="C800" s="40" t="n"/>
      <c r="D800" s="40" t="n"/>
      <c r="E800" s="40" t="n"/>
      <c r="F800" s="40" t="n"/>
      <c r="G800" s="40" t="n"/>
      <c r="H800" s="40" t="n"/>
      <c r="I800" s="40" t="n"/>
      <c r="J800" s="40" t="n"/>
      <c r="K800" s="40" t="n"/>
      <c r="L800" s="40" t="n"/>
      <c r="M800" s="40" t="n"/>
      <c r="N800" s="40" t="n"/>
    </row>
    <row r="801" ht="15.75" customHeight="1" s="58">
      <c r="A801" s="40" t="n"/>
      <c r="B801" s="40" t="n"/>
      <c r="C801" s="40" t="n"/>
      <c r="D801" s="40" t="n"/>
      <c r="E801" s="40" t="n"/>
      <c r="F801" s="40" t="n"/>
      <c r="G801" s="40" t="n"/>
      <c r="H801" s="40" t="n"/>
      <c r="I801" s="40" t="n"/>
      <c r="J801" s="40" t="n"/>
      <c r="K801" s="40" t="n"/>
      <c r="L801" s="40" t="n"/>
      <c r="M801" s="40" t="n"/>
      <c r="N801" s="40" t="n"/>
    </row>
    <row r="802" ht="15.75" customHeight="1" s="58">
      <c r="A802" s="40" t="n"/>
      <c r="B802" s="40" t="n"/>
      <c r="C802" s="40" t="n"/>
      <c r="D802" s="40" t="n"/>
      <c r="E802" s="40" t="n"/>
      <c r="F802" s="40" t="n"/>
      <c r="G802" s="40" t="n"/>
      <c r="H802" s="40" t="n"/>
      <c r="I802" s="40" t="n"/>
      <c r="J802" s="40" t="n"/>
      <c r="K802" s="40" t="n"/>
      <c r="L802" s="40" t="n"/>
      <c r="M802" s="40" t="n"/>
      <c r="N802" s="40" t="n"/>
    </row>
    <row r="803" ht="15.75" customHeight="1" s="58">
      <c r="A803" s="40" t="n"/>
      <c r="B803" s="40" t="n"/>
      <c r="C803" s="40" t="n"/>
      <c r="D803" s="40" t="n"/>
      <c r="E803" s="40" t="n"/>
      <c r="F803" s="40" t="n"/>
      <c r="G803" s="40" t="n"/>
      <c r="H803" s="40" t="n"/>
      <c r="I803" s="40" t="n"/>
      <c r="J803" s="40" t="n"/>
      <c r="K803" s="40" t="n"/>
      <c r="L803" s="40" t="n"/>
      <c r="M803" s="40" t="n"/>
      <c r="N803" s="40" t="n"/>
    </row>
    <row r="804" ht="15.75" customHeight="1" s="58">
      <c r="A804" s="40" t="n"/>
      <c r="B804" s="40" t="n"/>
      <c r="C804" s="40" t="n"/>
      <c r="D804" s="40" t="n"/>
      <c r="E804" s="40" t="n"/>
      <c r="F804" s="40" t="n"/>
      <c r="G804" s="40" t="n"/>
      <c r="H804" s="40" t="n"/>
      <c r="I804" s="40" t="n"/>
      <c r="J804" s="40" t="n"/>
      <c r="K804" s="40" t="n"/>
      <c r="L804" s="40" t="n"/>
      <c r="M804" s="40" t="n"/>
      <c r="N804" s="40" t="n"/>
    </row>
    <row r="805" ht="15.75" customHeight="1" s="58">
      <c r="A805" s="40" t="n"/>
      <c r="B805" s="40" t="n"/>
      <c r="C805" s="40" t="n"/>
      <c r="D805" s="40" t="n"/>
      <c r="E805" s="40" t="n"/>
      <c r="F805" s="40" t="n"/>
      <c r="G805" s="40" t="n"/>
      <c r="H805" s="40" t="n"/>
      <c r="I805" s="40" t="n"/>
      <c r="J805" s="40" t="n"/>
      <c r="K805" s="40" t="n"/>
      <c r="L805" s="40" t="n"/>
      <c r="M805" s="40" t="n"/>
      <c r="N805" s="40" t="n"/>
    </row>
    <row r="806" ht="15.75" customHeight="1" s="58">
      <c r="A806" s="40" t="n"/>
      <c r="B806" s="40" t="n"/>
      <c r="C806" s="40" t="n"/>
      <c r="D806" s="40" t="n"/>
      <c r="E806" s="40" t="n"/>
      <c r="F806" s="40" t="n"/>
      <c r="G806" s="40" t="n"/>
      <c r="H806" s="40" t="n"/>
      <c r="I806" s="40" t="n"/>
      <c r="J806" s="40" t="n"/>
      <c r="K806" s="40" t="n"/>
      <c r="L806" s="40" t="n"/>
      <c r="M806" s="40" t="n"/>
      <c r="N806" s="40" t="n"/>
    </row>
    <row r="807" ht="15.75" customHeight="1" s="58">
      <c r="A807" s="40" t="n"/>
      <c r="B807" s="40" t="n"/>
      <c r="C807" s="40" t="n"/>
      <c r="D807" s="40" t="n"/>
      <c r="E807" s="40" t="n"/>
      <c r="F807" s="40" t="n"/>
      <c r="G807" s="40" t="n"/>
      <c r="H807" s="40" t="n"/>
      <c r="I807" s="40" t="n"/>
      <c r="J807" s="40" t="n"/>
      <c r="K807" s="40" t="n"/>
      <c r="L807" s="40" t="n"/>
      <c r="M807" s="40" t="n"/>
      <c r="N807" s="40" t="n"/>
    </row>
    <row r="808" ht="15.75" customHeight="1" s="58">
      <c r="A808" s="40" t="n"/>
      <c r="B808" s="40" t="n"/>
      <c r="C808" s="40" t="n"/>
      <c r="D808" s="40" t="n"/>
      <c r="E808" s="40" t="n"/>
      <c r="F808" s="40" t="n"/>
      <c r="G808" s="40" t="n"/>
      <c r="H808" s="40" t="n"/>
      <c r="I808" s="40" t="n"/>
      <c r="J808" s="40" t="n"/>
      <c r="K808" s="40" t="n"/>
      <c r="L808" s="40" t="n"/>
      <c r="M808" s="40" t="n"/>
      <c r="N808" s="40" t="n"/>
    </row>
    <row r="809" ht="15.75" customHeight="1" s="58">
      <c r="A809" s="40" t="n"/>
      <c r="B809" s="40" t="n"/>
      <c r="C809" s="40" t="n"/>
      <c r="D809" s="40" t="n"/>
      <c r="E809" s="40" t="n"/>
      <c r="F809" s="40" t="n"/>
      <c r="G809" s="40" t="n"/>
      <c r="H809" s="40" t="n"/>
      <c r="I809" s="40" t="n"/>
      <c r="J809" s="40" t="n"/>
      <c r="K809" s="40" t="n"/>
      <c r="L809" s="40" t="n"/>
      <c r="M809" s="40" t="n"/>
      <c r="N809" s="40" t="n"/>
    </row>
    <row r="810" ht="15.75" customHeight="1" s="58">
      <c r="A810" s="40" t="n"/>
      <c r="B810" s="40" t="n"/>
      <c r="C810" s="40" t="n"/>
      <c r="D810" s="40" t="n"/>
      <c r="E810" s="40" t="n"/>
      <c r="F810" s="40" t="n"/>
      <c r="G810" s="40" t="n"/>
      <c r="H810" s="40" t="n"/>
      <c r="I810" s="40" t="n"/>
      <c r="J810" s="40" t="n"/>
      <c r="K810" s="40" t="n"/>
      <c r="L810" s="40" t="n"/>
      <c r="M810" s="40" t="n"/>
      <c r="N810" s="40" t="n"/>
    </row>
    <row r="811" ht="15.75" customHeight="1" s="58">
      <c r="A811" s="40" t="n"/>
      <c r="B811" s="40" t="n"/>
      <c r="C811" s="40" t="n"/>
      <c r="D811" s="40" t="n"/>
      <c r="E811" s="40" t="n"/>
      <c r="F811" s="40" t="n"/>
      <c r="G811" s="40" t="n"/>
      <c r="H811" s="40" t="n"/>
      <c r="I811" s="40" t="n"/>
      <c r="J811" s="40" t="n"/>
      <c r="K811" s="40" t="n"/>
      <c r="L811" s="40" t="n"/>
      <c r="M811" s="40" t="n"/>
      <c r="N811" s="40" t="n"/>
    </row>
    <row r="812" ht="15.75" customHeight="1" s="58">
      <c r="A812" s="40" t="n"/>
      <c r="B812" s="40" t="n"/>
      <c r="C812" s="40" t="n"/>
      <c r="D812" s="40" t="n"/>
      <c r="E812" s="40" t="n"/>
      <c r="F812" s="40" t="n"/>
      <c r="G812" s="40" t="n"/>
      <c r="H812" s="40" t="n"/>
      <c r="I812" s="40" t="n"/>
      <c r="J812" s="40" t="n"/>
      <c r="K812" s="40" t="n"/>
      <c r="L812" s="40" t="n"/>
      <c r="M812" s="40" t="n"/>
      <c r="N812" s="40" t="n"/>
    </row>
    <row r="813" ht="15.75" customHeight="1" s="58">
      <c r="A813" s="40" t="n"/>
      <c r="B813" s="40" t="n"/>
      <c r="C813" s="40" t="n"/>
      <c r="D813" s="40" t="n"/>
      <c r="E813" s="40" t="n"/>
      <c r="F813" s="40" t="n"/>
      <c r="G813" s="40" t="n"/>
      <c r="H813" s="40" t="n"/>
      <c r="I813" s="40" t="n"/>
      <c r="J813" s="40" t="n"/>
      <c r="K813" s="40" t="n"/>
      <c r="L813" s="40" t="n"/>
      <c r="M813" s="40" t="n"/>
      <c r="N813" s="40" t="n"/>
    </row>
    <row r="814" ht="15.75" customHeight="1" s="58">
      <c r="A814" s="40" t="n"/>
      <c r="B814" s="40" t="n"/>
      <c r="C814" s="40" t="n"/>
      <c r="D814" s="40" t="n"/>
      <c r="E814" s="40" t="n"/>
      <c r="F814" s="40" t="n"/>
      <c r="G814" s="40" t="n"/>
      <c r="H814" s="40" t="n"/>
      <c r="I814" s="40" t="n"/>
      <c r="J814" s="40" t="n"/>
      <c r="K814" s="40" t="n"/>
      <c r="L814" s="40" t="n"/>
      <c r="M814" s="40" t="n"/>
      <c r="N814" s="40" t="n"/>
    </row>
    <row r="815" ht="15.75" customHeight="1" s="58">
      <c r="A815" s="40" t="n"/>
      <c r="B815" s="40" t="n"/>
      <c r="C815" s="40" t="n"/>
      <c r="D815" s="40" t="n"/>
      <c r="E815" s="40" t="n"/>
      <c r="F815" s="40" t="n"/>
      <c r="G815" s="40" t="n"/>
      <c r="H815" s="40" t="n"/>
      <c r="I815" s="40" t="n"/>
      <c r="J815" s="40" t="n"/>
      <c r="K815" s="40" t="n"/>
      <c r="L815" s="40" t="n"/>
      <c r="M815" s="40" t="n"/>
      <c r="N815" s="40" t="n"/>
    </row>
    <row r="816" ht="15.75" customHeight="1" s="58">
      <c r="A816" s="40" t="n"/>
      <c r="B816" s="40" t="n"/>
      <c r="C816" s="40" t="n"/>
      <c r="D816" s="40" t="n"/>
      <c r="E816" s="40" t="n"/>
      <c r="F816" s="40" t="n"/>
      <c r="G816" s="40" t="n"/>
      <c r="H816" s="40" t="n"/>
      <c r="I816" s="40" t="n"/>
      <c r="J816" s="40" t="n"/>
      <c r="K816" s="40" t="n"/>
      <c r="L816" s="40" t="n"/>
      <c r="M816" s="40" t="n"/>
      <c r="N816" s="40" t="n"/>
    </row>
    <row r="817" ht="15.75" customHeight="1" s="58">
      <c r="A817" s="40" t="n"/>
      <c r="B817" s="40" t="n"/>
      <c r="C817" s="40" t="n"/>
      <c r="D817" s="40" t="n"/>
      <c r="E817" s="40" t="n"/>
      <c r="F817" s="40" t="n"/>
      <c r="G817" s="40" t="n"/>
      <c r="H817" s="40" t="n"/>
      <c r="I817" s="40" t="n"/>
      <c r="J817" s="40" t="n"/>
      <c r="K817" s="40" t="n"/>
      <c r="L817" s="40" t="n"/>
      <c r="M817" s="40" t="n"/>
      <c r="N817" s="40" t="n"/>
    </row>
    <row r="818" ht="15.75" customHeight="1" s="58">
      <c r="A818" s="40" t="n"/>
      <c r="B818" s="40" t="n"/>
      <c r="C818" s="40" t="n"/>
      <c r="D818" s="40" t="n"/>
      <c r="E818" s="40" t="n"/>
      <c r="F818" s="40" t="n"/>
      <c r="G818" s="40" t="n"/>
      <c r="H818" s="40" t="n"/>
      <c r="I818" s="40" t="n"/>
      <c r="J818" s="40" t="n"/>
      <c r="K818" s="40" t="n"/>
      <c r="L818" s="40" t="n"/>
      <c r="M818" s="40" t="n"/>
      <c r="N818" s="40" t="n"/>
    </row>
    <row r="819" ht="15.75" customHeight="1" s="58">
      <c r="A819" s="40" t="n"/>
      <c r="B819" s="40" t="n"/>
      <c r="C819" s="40" t="n"/>
      <c r="D819" s="40" t="n"/>
      <c r="E819" s="40" t="n"/>
      <c r="F819" s="40" t="n"/>
      <c r="G819" s="40" t="n"/>
      <c r="H819" s="40" t="n"/>
      <c r="I819" s="40" t="n"/>
      <c r="J819" s="40" t="n"/>
      <c r="K819" s="40" t="n"/>
      <c r="L819" s="40" t="n"/>
      <c r="M819" s="40" t="n"/>
      <c r="N819" s="40" t="n"/>
    </row>
    <row r="820" ht="15.75" customHeight="1" s="58">
      <c r="A820" s="40" t="n"/>
      <c r="B820" s="40" t="n"/>
      <c r="C820" s="40" t="n"/>
      <c r="D820" s="40" t="n"/>
      <c r="E820" s="40" t="n"/>
      <c r="F820" s="40" t="n"/>
      <c r="G820" s="40" t="n"/>
      <c r="H820" s="40" t="n"/>
      <c r="I820" s="40" t="n"/>
      <c r="J820" s="40" t="n"/>
      <c r="K820" s="40" t="n"/>
      <c r="L820" s="40" t="n"/>
      <c r="M820" s="40" t="n"/>
      <c r="N820" s="40" t="n"/>
    </row>
    <row r="821" ht="15.75" customHeight="1" s="58">
      <c r="A821" s="40" t="n"/>
      <c r="B821" s="40" t="n"/>
      <c r="C821" s="40" t="n"/>
      <c r="D821" s="40" t="n"/>
      <c r="E821" s="40" t="n"/>
      <c r="F821" s="40" t="n"/>
      <c r="G821" s="40" t="n"/>
      <c r="H821" s="40" t="n"/>
      <c r="I821" s="40" t="n"/>
      <c r="J821" s="40" t="n"/>
      <c r="K821" s="40" t="n"/>
      <c r="L821" s="40" t="n"/>
      <c r="M821" s="40" t="n"/>
      <c r="N821" s="40" t="n"/>
    </row>
    <row r="822" ht="15.75" customHeight="1" s="58">
      <c r="A822" s="40" t="n"/>
      <c r="B822" s="40" t="n"/>
      <c r="C822" s="40" t="n"/>
      <c r="D822" s="40" t="n"/>
      <c r="E822" s="40" t="n"/>
      <c r="F822" s="40" t="n"/>
      <c r="G822" s="40" t="n"/>
      <c r="H822" s="40" t="n"/>
      <c r="I822" s="40" t="n"/>
      <c r="J822" s="40" t="n"/>
      <c r="K822" s="40" t="n"/>
      <c r="L822" s="40" t="n"/>
      <c r="M822" s="40" t="n"/>
      <c r="N822" s="40" t="n"/>
    </row>
    <row r="823" ht="15.75" customHeight="1" s="58">
      <c r="A823" s="40" t="n"/>
      <c r="B823" s="40" t="n"/>
      <c r="C823" s="40" t="n"/>
      <c r="D823" s="40" t="n"/>
      <c r="E823" s="40" t="n"/>
      <c r="F823" s="40" t="n"/>
      <c r="G823" s="40" t="n"/>
      <c r="H823" s="40" t="n"/>
      <c r="I823" s="40" t="n"/>
      <c r="J823" s="40" t="n"/>
      <c r="K823" s="40" t="n"/>
      <c r="L823" s="40" t="n"/>
      <c r="M823" s="40" t="n"/>
      <c r="N823" s="40" t="n"/>
    </row>
    <row r="824" ht="15.75" customHeight="1" s="58">
      <c r="A824" s="40" t="n"/>
      <c r="B824" s="40" t="n"/>
      <c r="C824" s="40" t="n"/>
      <c r="D824" s="40" t="n"/>
      <c r="E824" s="40" t="n"/>
      <c r="F824" s="40" t="n"/>
      <c r="G824" s="40" t="n"/>
      <c r="H824" s="40" t="n"/>
      <c r="I824" s="40" t="n"/>
      <c r="J824" s="40" t="n"/>
      <c r="K824" s="40" t="n"/>
      <c r="L824" s="40" t="n"/>
      <c r="M824" s="40" t="n"/>
      <c r="N824" s="40" t="n"/>
    </row>
    <row r="825" ht="15.75" customHeight="1" s="58">
      <c r="A825" s="40" t="n"/>
      <c r="B825" s="40" t="n"/>
      <c r="C825" s="40" t="n"/>
      <c r="D825" s="40" t="n"/>
      <c r="E825" s="40" t="n"/>
      <c r="F825" s="40" t="n"/>
      <c r="G825" s="40" t="n"/>
      <c r="H825" s="40" t="n"/>
      <c r="I825" s="40" t="n"/>
      <c r="J825" s="40" t="n"/>
      <c r="K825" s="40" t="n"/>
      <c r="L825" s="40" t="n"/>
      <c r="M825" s="40" t="n"/>
      <c r="N825" s="40" t="n"/>
    </row>
    <row r="826" ht="15.75" customHeight="1" s="58">
      <c r="A826" s="40" t="n"/>
      <c r="B826" s="40" t="n"/>
      <c r="C826" s="40" t="n"/>
      <c r="D826" s="40" t="n"/>
      <c r="E826" s="40" t="n"/>
      <c r="F826" s="40" t="n"/>
      <c r="G826" s="40" t="n"/>
      <c r="H826" s="40" t="n"/>
      <c r="I826" s="40" t="n"/>
      <c r="J826" s="40" t="n"/>
      <c r="K826" s="40" t="n"/>
      <c r="L826" s="40" t="n"/>
      <c r="M826" s="40" t="n"/>
      <c r="N826" s="40" t="n"/>
    </row>
    <row r="827" ht="15.75" customHeight="1" s="58">
      <c r="A827" s="40" t="n"/>
      <c r="B827" s="40" t="n"/>
      <c r="C827" s="40" t="n"/>
      <c r="D827" s="40" t="n"/>
      <c r="E827" s="40" t="n"/>
      <c r="F827" s="40" t="n"/>
      <c r="G827" s="40" t="n"/>
      <c r="H827" s="40" t="n"/>
      <c r="I827" s="40" t="n"/>
      <c r="J827" s="40" t="n"/>
      <c r="K827" s="40" t="n"/>
      <c r="L827" s="40" t="n"/>
      <c r="M827" s="40" t="n"/>
      <c r="N827" s="40" t="n"/>
    </row>
    <row r="828" ht="15.75" customHeight="1" s="58">
      <c r="A828" s="40" t="n"/>
      <c r="B828" s="40" t="n"/>
      <c r="C828" s="40" t="n"/>
      <c r="D828" s="40" t="n"/>
      <c r="E828" s="40" t="n"/>
      <c r="F828" s="40" t="n"/>
      <c r="G828" s="40" t="n"/>
      <c r="H828" s="40" t="n"/>
      <c r="I828" s="40" t="n"/>
      <c r="J828" s="40" t="n"/>
      <c r="K828" s="40" t="n"/>
      <c r="L828" s="40" t="n"/>
      <c r="M828" s="40" t="n"/>
      <c r="N828" s="40" t="n"/>
    </row>
    <row r="829" ht="15.75" customHeight="1" s="58">
      <c r="A829" s="40" t="n"/>
      <c r="B829" s="40" t="n"/>
      <c r="C829" s="40" t="n"/>
      <c r="D829" s="40" t="n"/>
      <c r="E829" s="40" t="n"/>
      <c r="F829" s="40" t="n"/>
      <c r="G829" s="40" t="n"/>
      <c r="H829" s="40" t="n"/>
      <c r="I829" s="40" t="n"/>
      <c r="J829" s="40" t="n"/>
      <c r="K829" s="40" t="n"/>
      <c r="L829" s="40" t="n"/>
      <c r="M829" s="40" t="n"/>
      <c r="N829" s="40" t="n"/>
    </row>
    <row r="830" ht="15.75" customHeight="1" s="58">
      <c r="A830" s="40" t="n"/>
      <c r="B830" s="40" t="n"/>
      <c r="C830" s="40" t="n"/>
      <c r="D830" s="40" t="n"/>
      <c r="E830" s="40" t="n"/>
      <c r="F830" s="40" t="n"/>
      <c r="G830" s="40" t="n"/>
      <c r="H830" s="40" t="n"/>
      <c r="I830" s="40" t="n"/>
      <c r="J830" s="40" t="n"/>
      <c r="K830" s="40" t="n"/>
      <c r="L830" s="40" t="n"/>
      <c r="M830" s="40" t="n"/>
      <c r="N830" s="40" t="n"/>
    </row>
    <row r="831" ht="15.75" customHeight="1" s="58">
      <c r="A831" s="40" t="n"/>
      <c r="B831" s="40" t="n"/>
      <c r="C831" s="40" t="n"/>
      <c r="D831" s="40" t="n"/>
      <c r="E831" s="40" t="n"/>
      <c r="F831" s="40" t="n"/>
      <c r="G831" s="40" t="n"/>
      <c r="H831" s="40" t="n"/>
      <c r="I831" s="40" t="n"/>
      <c r="J831" s="40" t="n"/>
      <c r="K831" s="40" t="n"/>
      <c r="L831" s="40" t="n"/>
      <c r="M831" s="40" t="n"/>
      <c r="N831" s="40" t="n"/>
    </row>
    <row r="832" ht="15.75" customHeight="1" s="58">
      <c r="A832" s="40" t="n"/>
      <c r="B832" s="40" t="n"/>
      <c r="C832" s="40" t="n"/>
      <c r="D832" s="40" t="n"/>
      <c r="E832" s="40" t="n"/>
      <c r="F832" s="40" t="n"/>
      <c r="G832" s="40" t="n"/>
      <c r="H832" s="40" t="n"/>
      <c r="I832" s="40" t="n"/>
      <c r="J832" s="40" t="n"/>
      <c r="K832" s="40" t="n"/>
      <c r="L832" s="40" t="n"/>
      <c r="M832" s="40" t="n"/>
      <c r="N832" s="40" t="n"/>
    </row>
    <row r="833" ht="15.75" customHeight="1" s="58">
      <c r="A833" s="40" t="n"/>
      <c r="B833" s="40" t="n"/>
      <c r="C833" s="40" t="n"/>
      <c r="D833" s="40" t="n"/>
      <c r="E833" s="40" t="n"/>
      <c r="F833" s="40" t="n"/>
      <c r="G833" s="40" t="n"/>
      <c r="H833" s="40" t="n"/>
      <c r="I833" s="40" t="n"/>
      <c r="J833" s="40" t="n"/>
      <c r="K833" s="40" t="n"/>
      <c r="L833" s="40" t="n"/>
      <c r="M833" s="40" t="n"/>
      <c r="N833" s="40" t="n"/>
    </row>
    <row r="834" ht="15.75" customHeight="1" s="58">
      <c r="A834" s="40" t="n"/>
      <c r="B834" s="40" t="n"/>
      <c r="C834" s="40" t="n"/>
      <c r="D834" s="40" t="n"/>
      <c r="E834" s="40" t="n"/>
      <c r="F834" s="40" t="n"/>
      <c r="G834" s="40" t="n"/>
      <c r="H834" s="40" t="n"/>
      <c r="I834" s="40" t="n"/>
      <c r="J834" s="40" t="n"/>
      <c r="K834" s="40" t="n"/>
      <c r="L834" s="40" t="n"/>
      <c r="M834" s="40" t="n"/>
      <c r="N834" s="40" t="n"/>
    </row>
    <row r="835" ht="15.75" customHeight="1" s="58">
      <c r="A835" s="40" t="n"/>
      <c r="B835" s="40" t="n"/>
      <c r="C835" s="40" t="n"/>
      <c r="D835" s="40" t="n"/>
      <c r="E835" s="40" t="n"/>
      <c r="F835" s="40" t="n"/>
      <c r="G835" s="40" t="n"/>
      <c r="H835" s="40" t="n"/>
      <c r="I835" s="40" t="n"/>
      <c r="J835" s="40" t="n"/>
      <c r="K835" s="40" t="n"/>
      <c r="L835" s="40" t="n"/>
      <c r="M835" s="40" t="n"/>
      <c r="N835" s="40" t="n"/>
    </row>
    <row r="836" ht="15.75" customHeight="1" s="58">
      <c r="A836" s="40" t="n"/>
      <c r="B836" s="40" t="n"/>
      <c r="C836" s="40" t="n"/>
      <c r="D836" s="40" t="n"/>
      <c r="E836" s="40" t="n"/>
      <c r="F836" s="40" t="n"/>
      <c r="G836" s="40" t="n"/>
      <c r="H836" s="40" t="n"/>
      <c r="I836" s="40" t="n"/>
      <c r="J836" s="40" t="n"/>
      <c r="K836" s="40" t="n"/>
      <c r="L836" s="40" t="n"/>
      <c r="M836" s="40" t="n"/>
      <c r="N836" s="40" t="n"/>
    </row>
    <row r="837" ht="15.75" customHeight="1" s="58">
      <c r="A837" s="40" t="n"/>
      <c r="B837" s="40" t="n"/>
      <c r="C837" s="40" t="n"/>
      <c r="D837" s="40" t="n"/>
      <c r="E837" s="40" t="n"/>
      <c r="F837" s="40" t="n"/>
      <c r="G837" s="40" t="n"/>
      <c r="H837" s="40" t="n"/>
      <c r="I837" s="40" t="n"/>
      <c r="J837" s="40" t="n"/>
      <c r="K837" s="40" t="n"/>
      <c r="L837" s="40" t="n"/>
      <c r="M837" s="40" t="n"/>
      <c r="N837" s="40" t="n"/>
    </row>
    <row r="838" ht="15.75" customHeight="1" s="58">
      <c r="A838" s="40" t="n"/>
      <c r="B838" s="40" t="n"/>
      <c r="C838" s="40" t="n"/>
      <c r="D838" s="40" t="n"/>
      <c r="E838" s="40" t="n"/>
      <c r="F838" s="40" t="n"/>
      <c r="G838" s="40" t="n"/>
      <c r="H838" s="40" t="n"/>
      <c r="I838" s="40" t="n"/>
      <c r="J838" s="40" t="n"/>
      <c r="K838" s="40" t="n"/>
      <c r="L838" s="40" t="n"/>
      <c r="M838" s="40" t="n"/>
      <c r="N838" s="40" t="n"/>
    </row>
    <row r="839" ht="15.75" customHeight="1" s="58">
      <c r="A839" s="40" t="n"/>
      <c r="B839" s="40" t="n"/>
      <c r="C839" s="40" t="n"/>
      <c r="D839" s="40" t="n"/>
      <c r="E839" s="40" t="n"/>
      <c r="F839" s="40" t="n"/>
      <c r="G839" s="40" t="n"/>
      <c r="H839" s="40" t="n"/>
      <c r="I839" s="40" t="n"/>
      <c r="J839" s="40" t="n"/>
      <c r="K839" s="40" t="n"/>
      <c r="L839" s="40" t="n"/>
      <c r="M839" s="40" t="n"/>
      <c r="N839" s="40" t="n"/>
    </row>
    <row r="840" ht="15.75" customHeight="1" s="58">
      <c r="A840" s="40" t="n"/>
      <c r="B840" s="40" t="n"/>
      <c r="C840" s="40" t="n"/>
      <c r="D840" s="40" t="n"/>
      <c r="E840" s="40" t="n"/>
      <c r="F840" s="40" t="n"/>
      <c r="G840" s="40" t="n"/>
      <c r="H840" s="40" t="n"/>
      <c r="I840" s="40" t="n"/>
      <c r="J840" s="40" t="n"/>
      <c r="K840" s="40" t="n"/>
      <c r="L840" s="40" t="n"/>
      <c r="M840" s="40" t="n"/>
      <c r="N840" s="40" t="n"/>
    </row>
    <row r="841" ht="15.75" customHeight="1" s="58">
      <c r="A841" s="40" t="n"/>
      <c r="B841" s="40" t="n"/>
      <c r="C841" s="40" t="n"/>
      <c r="D841" s="40" t="n"/>
      <c r="E841" s="40" t="n"/>
      <c r="F841" s="40" t="n"/>
      <c r="G841" s="40" t="n"/>
      <c r="H841" s="40" t="n"/>
      <c r="I841" s="40" t="n"/>
      <c r="J841" s="40" t="n"/>
      <c r="K841" s="40" t="n"/>
      <c r="L841" s="40" t="n"/>
      <c r="M841" s="40" t="n"/>
      <c r="N841" s="40" t="n"/>
    </row>
    <row r="842" ht="15.75" customHeight="1" s="58">
      <c r="A842" s="40" t="n"/>
      <c r="B842" s="40" t="n"/>
      <c r="C842" s="40" t="n"/>
      <c r="D842" s="40" t="n"/>
      <c r="E842" s="40" t="n"/>
      <c r="F842" s="40" t="n"/>
      <c r="G842" s="40" t="n"/>
      <c r="H842" s="40" t="n"/>
      <c r="I842" s="40" t="n"/>
      <c r="J842" s="40" t="n"/>
      <c r="K842" s="40" t="n"/>
      <c r="L842" s="40" t="n"/>
      <c r="M842" s="40" t="n"/>
      <c r="N842" s="40" t="n"/>
    </row>
    <row r="843" ht="15.75" customHeight="1" s="58">
      <c r="A843" s="40" t="n"/>
      <c r="B843" s="40" t="n"/>
      <c r="C843" s="40" t="n"/>
      <c r="D843" s="40" t="n"/>
      <c r="E843" s="40" t="n"/>
      <c r="F843" s="40" t="n"/>
      <c r="G843" s="40" t="n"/>
      <c r="H843" s="40" t="n"/>
      <c r="I843" s="40" t="n"/>
      <c r="J843" s="40" t="n"/>
      <c r="K843" s="40" t="n"/>
      <c r="L843" s="40" t="n"/>
      <c r="M843" s="40" t="n"/>
      <c r="N843" s="40" t="n"/>
    </row>
    <row r="844" ht="15.75" customHeight="1" s="58">
      <c r="A844" s="40" t="n"/>
      <c r="B844" s="40" t="n"/>
      <c r="C844" s="40" t="n"/>
      <c r="D844" s="40" t="n"/>
      <c r="E844" s="40" t="n"/>
      <c r="F844" s="40" t="n"/>
      <c r="G844" s="40" t="n"/>
      <c r="H844" s="40" t="n"/>
      <c r="I844" s="40" t="n"/>
      <c r="J844" s="40" t="n"/>
      <c r="K844" s="40" t="n"/>
      <c r="L844" s="40" t="n"/>
      <c r="M844" s="40" t="n"/>
      <c r="N844" s="40" t="n"/>
    </row>
    <row r="845" ht="15.75" customHeight="1" s="58">
      <c r="A845" s="40" t="n"/>
      <c r="B845" s="40" t="n"/>
      <c r="C845" s="40" t="n"/>
      <c r="D845" s="40" t="n"/>
      <c r="E845" s="40" t="n"/>
      <c r="F845" s="40" t="n"/>
      <c r="G845" s="40" t="n"/>
      <c r="H845" s="40" t="n"/>
      <c r="I845" s="40" t="n"/>
      <c r="J845" s="40" t="n"/>
      <c r="K845" s="40" t="n"/>
      <c r="L845" s="40" t="n"/>
      <c r="M845" s="40" t="n"/>
      <c r="N845" s="40" t="n"/>
    </row>
    <row r="846" ht="15.75" customHeight="1" s="58">
      <c r="A846" s="40" t="n"/>
      <c r="B846" s="40" t="n"/>
      <c r="C846" s="40" t="n"/>
      <c r="D846" s="40" t="n"/>
      <c r="E846" s="40" t="n"/>
      <c r="F846" s="40" t="n"/>
      <c r="G846" s="40" t="n"/>
      <c r="H846" s="40" t="n"/>
      <c r="I846" s="40" t="n"/>
      <c r="J846" s="40" t="n"/>
      <c r="K846" s="40" t="n"/>
      <c r="L846" s="40" t="n"/>
      <c r="M846" s="40" t="n"/>
      <c r="N846" s="40" t="n"/>
    </row>
    <row r="847" ht="15.75" customHeight="1" s="58">
      <c r="A847" s="40" t="n"/>
      <c r="B847" s="40" t="n"/>
      <c r="C847" s="40" t="n"/>
      <c r="D847" s="40" t="n"/>
      <c r="E847" s="40" t="n"/>
      <c r="F847" s="40" t="n"/>
      <c r="G847" s="40" t="n"/>
      <c r="H847" s="40" t="n"/>
      <c r="I847" s="40" t="n"/>
      <c r="J847" s="40" t="n"/>
      <c r="K847" s="40" t="n"/>
      <c r="L847" s="40" t="n"/>
      <c r="M847" s="40" t="n"/>
      <c r="N847" s="40" t="n"/>
    </row>
    <row r="848" ht="15.75" customHeight="1" s="58">
      <c r="A848" s="40" t="n"/>
      <c r="B848" s="40" t="n"/>
      <c r="C848" s="40" t="n"/>
      <c r="D848" s="40" t="n"/>
      <c r="E848" s="40" t="n"/>
      <c r="F848" s="40" t="n"/>
      <c r="G848" s="40" t="n"/>
      <c r="H848" s="40" t="n"/>
      <c r="I848" s="40" t="n"/>
      <c r="J848" s="40" t="n"/>
      <c r="K848" s="40" t="n"/>
      <c r="L848" s="40" t="n"/>
      <c r="M848" s="40" t="n"/>
      <c r="N848" s="40" t="n"/>
    </row>
    <row r="849" ht="15.75" customHeight="1" s="58">
      <c r="A849" s="40" t="n"/>
      <c r="B849" s="40" t="n"/>
      <c r="C849" s="40" t="n"/>
      <c r="D849" s="40" t="n"/>
      <c r="E849" s="40" t="n"/>
      <c r="F849" s="40" t="n"/>
      <c r="G849" s="40" t="n"/>
      <c r="H849" s="40" t="n"/>
      <c r="I849" s="40" t="n"/>
      <c r="J849" s="40" t="n"/>
      <c r="K849" s="40" t="n"/>
      <c r="L849" s="40" t="n"/>
      <c r="M849" s="40" t="n"/>
      <c r="N849" s="40" t="n"/>
    </row>
    <row r="850" ht="15.75" customHeight="1" s="58">
      <c r="A850" s="40" t="n"/>
      <c r="B850" s="40" t="n"/>
      <c r="C850" s="40" t="n"/>
      <c r="D850" s="40" t="n"/>
      <c r="E850" s="40" t="n"/>
      <c r="F850" s="40" t="n"/>
      <c r="G850" s="40" t="n"/>
      <c r="H850" s="40" t="n"/>
      <c r="I850" s="40" t="n"/>
      <c r="J850" s="40" t="n"/>
      <c r="K850" s="40" t="n"/>
      <c r="L850" s="40" t="n"/>
      <c r="M850" s="40" t="n"/>
      <c r="N850" s="40" t="n"/>
    </row>
    <row r="851" ht="15.75" customHeight="1" s="58">
      <c r="A851" s="40" t="n"/>
      <c r="B851" s="40" t="n"/>
      <c r="C851" s="40" t="n"/>
      <c r="D851" s="40" t="n"/>
      <c r="E851" s="40" t="n"/>
      <c r="F851" s="40" t="n"/>
      <c r="G851" s="40" t="n"/>
      <c r="H851" s="40" t="n"/>
      <c r="I851" s="40" t="n"/>
      <c r="J851" s="40" t="n"/>
      <c r="K851" s="40" t="n"/>
      <c r="L851" s="40" t="n"/>
      <c r="M851" s="40" t="n"/>
      <c r="N851" s="40" t="n"/>
    </row>
    <row r="852" ht="15.75" customHeight="1" s="58">
      <c r="A852" s="40" t="n"/>
      <c r="B852" s="40" t="n"/>
      <c r="C852" s="40" t="n"/>
      <c r="D852" s="40" t="n"/>
      <c r="E852" s="40" t="n"/>
      <c r="F852" s="40" t="n"/>
      <c r="G852" s="40" t="n"/>
      <c r="H852" s="40" t="n"/>
      <c r="I852" s="40" t="n"/>
      <c r="J852" s="40" t="n"/>
      <c r="K852" s="40" t="n"/>
      <c r="L852" s="40" t="n"/>
      <c r="M852" s="40" t="n"/>
      <c r="N852" s="40" t="n"/>
    </row>
    <row r="853" ht="15.75" customHeight="1" s="58">
      <c r="A853" s="40" t="n"/>
      <c r="B853" s="40" t="n"/>
      <c r="C853" s="40" t="n"/>
      <c r="D853" s="40" t="n"/>
      <c r="E853" s="40" t="n"/>
      <c r="F853" s="40" t="n"/>
      <c r="G853" s="40" t="n"/>
      <c r="H853" s="40" t="n"/>
      <c r="I853" s="40" t="n"/>
      <c r="J853" s="40" t="n"/>
      <c r="K853" s="40" t="n"/>
      <c r="L853" s="40" t="n"/>
      <c r="M853" s="40" t="n"/>
      <c r="N853" s="40" t="n"/>
    </row>
    <row r="854" ht="15.75" customHeight="1" s="58">
      <c r="A854" s="40" t="n"/>
      <c r="B854" s="40" t="n"/>
      <c r="C854" s="40" t="n"/>
      <c r="D854" s="40" t="n"/>
      <c r="E854" s="40" t="n"/>
      <c r="F854" s="40" t="n"/>
      <c r="G854" s="40" t="n"/>
      <c r="H854" s="40" t="n"/>
      <c r="I854" s="40" t="n"/>
      <c r="J854" s="40" t="n"/>
      <c r="K854" s="40" t="n"/>
      <c r="L854" s="40" t="n"/>
      <c r="M854" s="40" t="n"/>
      <c r="N854" s="40" t="n"/>
    </row>
    <row r="855" ht="15.75" customHeight="1" s="58">
      <c r="A855" s="40" t="n"/>
      <c r="B855" s="40" t="n"/>
      <c r="C855" s="40" t="n"/>
      <c r="D855" s="40" t="n"/>
      <c r="E855" s="40" t="n"/>
      <c r="F855" s="40" t="n"/>
      <c r="G855" s="40" t="n"/>
      <c r="H855" s="40" t="n"/>
      <c r="I855" s="40" t="n"/>
      <c r="J855" s="40" t="n"/>
      <c r="K855" s="40" t="n"/>
      <c r="L855" s="40" t="n"/>
      <c r="M855" s="40" t="n"/>
      <c r="N855" s="40" t="n"/>
    </row>
    <row r="856" ht="15.75" customHeight="1" s="58">
      <c r="A856" s="40" t="n"/>
      <c r="B856" s="40" t="n"/>
      <c r="C856" s="40" t="n"/>
      <c r="D856" s="40" t="n"/>
      <c r="E856" s="40" t="n"/>
      <c r="F856" s="40" t="n"/>
      <c r="G856" s="40" t="n"/>
      <c r="H856" s="40" t="n"/>
      <c r="I856" s="40" t="n"/>
      <c r="J856" s="40" t="n"/>
      <c r="K856" s="40" t="n"/>
      <c r="L856" s="40" t="n"/>
      <c r="M856" s="40" t="n"/>
      <c r="N856" s="40" t="n"/>
    </row>
    <row r="857" ht="15.75" customHeight="1" s="58">
      <c r="A857" s="40" t="n"/>
      <c r="B857" s="40" t="n"/>
      <c r="C857" s="40" t="n"/>
      <c r="D857" s="40" t="n"/>
      <c r="E857" s="40" t="n"/>
      <c r="F857" s="40" t="n"/>
      <c r="G857" s="40" t="n"/>
      <c r="H857" s="40" t="n"/>
      <c r="I857" s="40" t="n"/>
      <c r="J857" s="40" t="n"/>
      <c r="K857" s="40" t="n"/>
      <c r="L857" s="40" t="n"/>
      <c r="M857" s="40" t="n"/>
      <c r="N857" s="40" t="n"/>
    </row>
    <row r="858" ht="15.75" customHeight="1" s="58">
      <c r="A858" s="40" t="n"/>
      <c r="B858" s="40" t="n"/>
      <c r="C858" s="40" t="n"/>
      <c r="D858" s="40" t="n"/>
      <c r="E858" s="40" t="n"/>
      <c r="F858" s="40" t="n"/>
      <c r="G858" s="40" t="n"/>
      <c r="H858" s="40" t="n"/>
      <c r="I858" s="40" t="n"/>
      <c r="J858" s="40" t="n"/>
      <c r="K858" s="40" t="n"/>
      <c r="L858" s="40" t="n"/>
      <c r="M858" s="40" t="n"/>
      <c r="N858" s="40" t="n"/>
    </row>
    <row r="859" ht="15.75" customHeight="1" s="58">
      <c r="A859" s="40" t="n"/>
      <c r="B859" s="40" t="n"/>
      <c r="C859" s="40" t="n"/>
      <c r="D859" s="40" t="n"/>
      <c r="E859" s="40" t="n"/>
      <c r="F859" s="40" t="n"/>
      <c r="G859" s="40" t="n"/>
      <c r="H859" s="40" t="n"/>
      <c r="I859" s="40" t="n"/>
      <c r="J859" s="40" t="n"/>
      <c r="K859" s="40" t="n"/>
      <c r="L859" s="40" t="n"/>
      <c r="M859" s="40" t="n"/>
      <c r="N859" s="40" t="n"/>
    </row>
    <row r="860" ht="15.75" customHeight="1" s="58">
      <c r="A860" s="40" t="n"/>
      <c r="B860" s="40" t="n"/>
      <c r="C860" s="40" t="n"/>
      <c r="D860" s="40" t="n"/>
      <c r="E860" s="40" t="n"/>
      <c r="F860" s="40" t="n"/>
      <c r="G860" s="40" t="n"/>
      <c r="H860" s="40" t="n"/>
      <c r="I860" s="40" t="n"/>
      <c r="J860" s="40" t="n"/>
      <c r="K860" s="40" t="n"/>
      <c r="L860" s="40" t="n"/>
      <c r="M860" s="40" t="n"/>
      <c r="N860" s="40" t="n"/>
    </row>
    <row r="861" ht="15.75" customHeight="1" s="58">
      <c r="A861" s="40" t="n"/>
      <c r="B861" s="40" t="n"/>
      <c r="C861" s="40" t="n"/>
      <c r="D861" s="40" t="n"/>
      <c r="E861" s="40" t="n"/>
      <c r="F861" s="40" t="n"/>
      <c r="G861" s="40" t="n"/>
      <c r="H861" s="40" t="n"/>
      <c r="I861" s="40" t="n"/>
      <c r="J861" s="40" t="n"/>
      <c r="K861" s="40" t="n"/>
      <c r="L861" s="40" t="n"/>
      <c r="M861" s="40" t="n"/>
      <c r="N861" s="40" t="n"/>
    </row>
    <row r="862" ht="15.75" customHeight="1" s="58">
      <c r="A862" s="40" t="n"/>
      <c r="B862" s="40" t="n"/>
      <c r="C862" s="40" t="n"/>
      <c r="D862" s="40" t="n"/>
      <c r="E862" s="40" t="n"/>
      <c r="F862" s="40" t="n"/>
      <c r="G862" s="40" t="n"/>
      <c r="H862" s="40" t="n"/>
      <c r="I862" s="40" t="n"/>
      <c r="J862" s="40" t="n"/>
      <c r="K862" s="40" t="n"/>
      <c r="L862" s="40" t="n"/>
      <c r="M862" s="40" t="n"/>
      <c r="N862" s="40" t="n"/>
    </row>
    <row r="863" ht="15.75" customHeight="1" s="58">
      <c r="A863" s="40" t="n"/>
      <c r="B863" s="40" t="n"/>
      <c r="C863" s="40" t="n"/>
      <c r="D863" s="40" t="n"/>
      <c r="E863" s="40" t="n"/>
      <c r="F863" s="40" t="n"/>
      <c r="G863" s="40" t="n"/>
      <c r="H863" s="40" t="n"/>
      <c r="I863" s="40" t="n"/>
      <c r="J863" s="40" t="n"/>
      <c r="K863" s="40" t="n"/>
      <c r="L863" s="40" t="n"/>
      <c r="M863" s="40" t="n"/>
      <c r="N863" s="40" t="n"/>
    </row>
    <row r="864" ht="15.75" customHeight="1" s="58">
      <c r="A864" s="40" t="n"/>
      <c r="B864" s="40" t="n"/>
      <c r="C864" s="40" t="n"/>
      <c r="D864" s="40" t="n"/>
      <c r="E864" s="40" t="n"/>
      <c r="F864" s="40" t="n"/>
      <c r="G864" s="40" t="n"/>
      <c r="H864" s="40" t="n"/>
      <c r="I864" s="40" t="n"/>
      <c r="J864" s="40" t="n"/>
      <c r="K864" s="40" t="n"/>
      <c r="L864" s="40" t="n"/>
      <c r="M864" s="40" t="n"/>
      <c r="N864" s="40" t="n"/>
    </row>
    <row r="865" ht="15.75" customHeight="1" s="58">
      <c r="A865" s="40" t="n"/>
      <c r="B865" s="40" t="n"/>
      <c r="C865" s="40" t="n"/>
      <c r="D865" s="40" t="n"/>
      <c r="E865" s="40" t="n"/>
      <c r="F865" s="40" t="n"/>
      <c r="G865" s="40" t="n"/>
      <c r="H865" s="40" t="n"/>
      <c r="I865" s="40" t="n"/>
      <c r="J865" s="40" t="n"/>
      <c r="K865" s="40" t="n"/>
      <c r="L865" s="40" t="n"/>
      <c r="M865" s="40" t="n"/>
      <c r="N865" s="40" t="n"/>
    </row>
    <row r="866" ht="15.75" customHeight="1" s="58">
      <c r="A866" s="40" t="n"/>
      <c r="B866" s="40" t="n"/>
      <c r="C866" s="40" t="n"/>
      <c r="D866" s="40" t="n"/>
      <c r="E866" s="40" t="n"/>
      <c r="F866" s="40" t="n"/>
      <c r="G866" s="40" t="n"/>
      <c r="H866" s="40" t="n"/>
      <c r="I866" s="40" t="n"/>
      <c r="J866" s="40" t="n"/>
      <c r="K866" s="40" t="n"/>
      <c r="L866" s="40" t="n"/>
      <c r="M866" s="40" t="n"/>
      <c r="N866" s="40" t="n"/>
    </row>
    <row r="867" ht="15.75" customHeight="1" s="58">
      <c r="A867" s="40" t="n"/>
      <c r="B867" s="40" t="n"/>
      <c r="C867" s="40" t="n"/>
      <c r="D867" s="40" t="n"/>
      <c r="E867" s="40" t="n"/>
      <c r="F867" s="40" t="n"/>
      <c r="G867" s="40" t="n"/>
      <c r="H867" s="40" t="n"/>
      <c r="I867" s="40" t="n"/>
      <c r="J867" s="40" t="n"/>
      <c r="K867" s="40" t="n"/>
      <c r="L867" s="40" t="n"/>
      <c r="M867" s="40" t="n"/>
      <c r="N867" s="40" t="n"/>
    </row>
    <row r="868" ht="15.75" customHeight="1" s="58">
      <c r="A868" s="40" t="n"/>
      <c r="B868" s="40" t="n"/>
      <c r="C868" s="40" t="n"/>
      <c r="D868" s="40" t="n"/>
      <c r="E868" s="40" t="n"/>
      <c r="F868" s="40" t="n"/>
      <c r="G868" s="40" t="n"/>
      <c r="H868" s="40" t="n"/>
      <c r="I868" s="40" t="n"/>
      <c r="J868" s="40" t="n"/>
      <c r="K868" s="40" t="n"/>
      <c r="L868" s="40" t="n"/>
      <c r="M868" s="40" t="n"/>
      <c r="N868" s="40" t="n"/>
    </row>
    <row r="869" ht="15.75" customHeight="1" s="58">
      <c r="A869" s="40" t="n"/>
      <c r="B869" s="40" t="n"/>
      <c r="C869" s="40" t="n"/>
      <c r="D869" s="40" t="n"/>
      <c r="E869" s="40" t="n"/>
      <c r="F869" s="40" t="n"/>
      <c r="G869" s="40" t="n"/>
      <c r="H869" s="40" t="n"/>
      <c r="I869" s="40" t="n"/>
      <c r="J869" s="40" t="n"/>
      <c r="K869" s="40" t="n"/>
      <c r="L869" s="40" t="n"/>
      <c r="M869" s="40" t="n"/>
      <c r="N869" s="40" t="n"/>
    </row>
    <row r="870" ht="15.75" customHeight="1" s="58">
      <c r="A870" s="40" t="n"/>
      <c r="B870" s="40" t="n"/>
      <c r="C870" s="40" t="n"/>
      <c r="D870" s="40" t="n"/>
      <c r="E870" s="40" t="n"/>
      <c r="F870" s="40" t="n"/>
      <c r="G870" s="40" t="n"/>
      <c r="H870" s="40" t="n"/>
      <c r="I870" s="40" t="n"/>
      <c r="J870" s="40" t="n"/>
      <c r="K870" s="40" t="n"/>
      <c r="L870" s="40" t="n"/>
      <c r="M870" s="40" t="n"/>
      <c r="N870" s="40" t="n"/>
    </row>
    <row r="871" ht="15.75" customHeight="1" s="58">
      <c r="A871" s="40" t="n"/>
      <c r="B871" s="40" t="n"/>
      <c r="C871" s="40" t="n"/>
      <c r="D871" s="40" t="n"/>
      <c r="E871" s="40" t="n"/>
      <c r="F871" s="40" t="n"/>
      <c r="G871" s="40" t="n"/>
      <c r="H871" s="40" t="n"/>
      <c r="I871" s="40" t="n"/>
      <c r="J871" s="40" t="n"/>
      <c r="K871" s="40" t="n"/>
      <c r="L871" s="40" t="n"/>
      <c r="M871" s="40" t="n"/>
      <c r="N871" s="40" t="n"/>
    </row>
    <row r="872" ht="15.75" customHeight="1" s="58">
      <c r="A872" s="40" t="n"/>
      <c r="B872" s="40" t="n"/>
      <c r="C872" s="40" t="n"/>
      <c r="D872" s="40" t="n"/>
      <c r="E872" s="40" t="n"/>
      <c r="F872" s="40" t="n"/>
      <c r="G872" s="40" t="n"/>
      <c r="H872" s="40" t="n"/>
      <c r="I872" s="40" t="n"/>
      <c r="J872" s="40" t="n"/>
      <c r="K872" s="40" t="n"/>
      <c r="L872" s="40" t="n"/>
      <c r="M872" s="40" t="n"/>
      <c r="N872" s="40" t="n"/>
    </row>
    <row r="873" ht="15.75" customHeight="1" s="58">
      <c r="A873" s="40" t="n"/>
      <c r="B873" s="40" t="n"/>
      <c r="C873" s="40" t="n"/>
      <c r="D873" s="40" t="n"/>
      <c r="E873" s="40" t="n"/>
      <c r="F873" s="40" t="n"/>
      <c r="G873" s="40" t="n"/>
      <c r="H873" s="40" t="n"/>
      <c r="I873" s="40" t="n"/>
      <c r="J873" s="40" t="n"/>
      <c r="K873" s="40" t="n"/>
      <c r="L873" s="40" t="n"/>
      <c r="M873" s="40" t="n"/>
      <c r="N873" s="40" t="n"/>
    </row>
    <row r="874" ht="15.75" customHeight="1" s="58">
      <c r="A874" s="40" t="n"/>
      <c r="B874" s="40" t="n"/>
      <c r="C874" s="40" t="n"/>
      <c r="D874" s="40" t="n"/>
      <c r="E874" s="40" t="n"/>
      <c r="F874" s="40" t="n"/>
      <c r="G874" s="40" t="n"/>
      <c r="H874" s="40" t="n"/>
      <c r="I874" s="40" t="n"/>
      <c r="J874" s="40" t="n"/>
      <c r="K874" s="40" t="n"/>
      <c r="L874" s="40" t="n"/>
      <c r="M874" s="40" t="n"/>
      <c r="N874" s="40" t="n"/>
    </row>
    <row r="875" ht="15.75" customHeight="1" s="58">
      <c r="A875" s="40" t="n"/>
      <c r="B875" s="40" t="n"/>
      <c r="C875" s="40" t="n"/>
      <c r="D875" s="40" t="n"/>
      <c r="E875" s="40" t="n"/>
      <c r="F875" s="40" t="n"/>
      <c r="G875" s="40" t="n"/>
      <c r="H875" s="40" t="n"/>
      <c r="I875" s="40" t="n"/>
      <c r="J875" s="40" t="n"/>
      <c r="K875" s="40" t="n"/>
      <c r="L875" s="40" t="n"/>
      <c r="M875" s="40" t="n"/>
      <c r="N875" s="40" t="n"/>
    </row>
    <row r="876" ht="15.75" customHeight="1" s="58">
      <c r="A876" s="40" t="n"/>
      <c r="B876" s="40" t="n"/>
      <c r="C876" s="40" t="n"/>
      <c r="D876" s="40" t="n"/>
      <c r="E876" s="40" t="n"/>
      <c r="F876" s="40" t="n"/>
      <c r="G876" s="40" t="n"/>
      <c r="H876" s="40" t="n"/>
      <c r="I876" s="40" t="n"/>
      <c r="J876" s="40" t="n"/>
      <c r="K876" s="40" t="n"/>
      <c r="L876" s="40" t="n"/>
      <c r="M876" s="40" t="n"/>
      <c r="N876" s="40" t="n"/>
    </row>
    <row r="877" ht="15.75" customHeight="1" s="58">
      <c r="A877" s="40" t="n"/>
      <c r="B877" s="40" t="n"/>
      <c r="C877" s="40" t="n"/>
      <c r="D877" s="40" t="n"/>
      <c r="E877" s="40" t="n"/>
      <c r="F877" s="40" t="n"/>
      <c r="G877" s="40" t="n"/>
      <c r="H877" s="40" t="n"/>
      <c r="I877" s="40" t="n"/>
      <c r="J877" s="40" t="n"/>
      <c r="K877" s="40" t="n"/>
      <c r="L877" s="40" t="n"/>
      <c r="M877" s="40" t="n"/>
      <c r="N877" s="40" t="n"/>
    </row>
    <row r="878" ht="15.75" customHeight="1" s="58">
      <c r="A878" s="40" t="n"/>
      <c r="B878" s="40" t="n"/>
      <c r="C878" s="40" t="n"/>
      <c r="D878" s="40" t="n"/>
      <c r="E878" s="40" t="n"/>
      <c r="F878" s="40" t="n"/>
      <c r="G878" s="40" t="n"/>
      <c r="H878" s="40" t="n"/>
      <c r="I878" s="40" t="n"/>
      <c r="J878" s="40" t="n"/>
      <c r="K878" s="40" t="n"/>
      <c r="L878" s="40" t="n"/>
      <c r="M878" s="40" t="n"/>
      <c r="N878" s="40" t="n"/>
    </row>
    <row r="879" ht="15.75" customHeight="1" s="58">
      <c r="A879" s="40" t="n"/>
      <c r="B879" s="40" t="n"/>
      <c r="C879" s="40" t="n"/>
      <c r="D879" s="40" t="n"/>
      <c r="E879" s="40" t="n"/>
      <c r="F879" s="40" t="n"/>
      <c r="G879" s="40" t="n"/>
      <c r="H879" s="40" t="n"/>
      <c r="I879" s="40" t="n"/>
      <c r="J879" s="40" t="n"/>
      <c r="K879" s="40" t="n"/>
      <c r="L879" s="40" t="n"/>
      <c r="M879" s="40" t="n"/>
      <c r="N879" s="40" t="n"/>
    </row>
    <row r="880" ht="15.75" customHeight="1" s="58">
      <c r="A880" s="40" t="n"/>
      <c r="B880" s="40" t="n"/>
      <c r="C880" s="40" t="n"/>
      <c r="D880" s="40" t="n"/>
      <c r="E880" s="40" t="n"/>
      <c r="F880" s="40" t="n"/>
      <c r="G880" s="40" t="n"/>
      <c r="H880" s="40" t="n"/>
      <c r="I880" s="40" t="n"/>
      <c r="J880" s="40" t="n"/>
      <c r="K880" s="40" t="n"/>
      <c r="L880" s="40" t="n"/>
      <c r="M880" s="40" t="n"/>
      <c r="N880" s="40" t="n"/>
    </row>
    <row r="881" ht="15.75" customHeight="1" s="58">
      <c r="A881" s="40" t="n"/>
      <c r="B881" s="40" t="n"/>
      <c r="C881" s="40" t="n"/>
      <c r="D881" s="40" t="n"/>
      <c r="E881" s="40" t="n"/>
      <c r="F881" s="40" t="n"/>
      <c r="G881" s="40" t="n"/>
      <c r="H881" s="40" t="n"/>
      <c r="I881" s="40" t="n"/>
      <c r="J881" s="40" t="n"/>
      <c r="K881" s="40" t="n"/>
      <c r="L881" s="40" t="n"/>
      <c r="M881" s="40" t="n"/>
      <c r="N881" s="40" t="n"/>
    </row>
    <row r="882" ht="15.75" customHeight="1" s="58">
      <c r="A882" s="40" t="n"/>
      <c r="B882" s="40" t="n"/>
      <c r="C882" s="40" t="n"/>
      <c r="D882" s="40" t="n"/>
      <c r="E882" s="40" t="n"/>
      <c r="F882" s="40" t="n"/>
      <c r="G882" s="40" t="n"/>
      <c r="H882" s="40" t="n"/>
      <c r="I882" s="40" t="n"/>
      <c r="J882" s="40" t="n"/>
      <c r="K882" s="40" t="n"/>
      <c r="L882" s="40" t="n"/>
      <c r="M882" s="40" t="n"/>
      <c r="N882" s="40" t="n"/>
    </row>
    <row r="883" ht="15.75" customHeight="1" s="58">
      <c r="A883" s="40" t="n"/>
      <c r="B883" s="40" t="n"/>
      <c r="C883" s="40" t="n"/>
      <c r="D883" s="40" t="n"/>
      <c r="E883" s="40" t="n"/>
      <c r="F883" s="40" t="n"/>
      <c r="G883" s="40" t="n"/>
      <c r="H883" s="40" t="n"/>
      <c r="I883" s="40" t="n"/>
      <c r="J883" s="40" t="n"/>
      <c r="K883" s="40" t="n"/>
      <c r="L883" s="40" t="n"/>
      <c r="M883" s="40" t="n"/>
      <c r="N883" s="40" t="n"/>
    </row>
    <row r="884" ht="15.75" customHeight="1" s="58">
      <c r="A884" s="40" t="n"/>
      <c r="B884" s="40" t="n"/>
      <c r="C884" s="40" t="n"/>
      <c r="D884" s="40" t="n"/>
      <c r="E884" s="40" t="n"/>
      <c r="F884" s="40" t="n"/>
      <c r="G884" s="40" t="n"/>
      <c r="H884" s="40" t="n"/>
      <c r="I884" s="40" t="n"/>
      <c r="J884" s="40" t="n"/>
      <c r="K884" s="40" t="n"/>
      <c r="L884" s="40" t="n"/>
      <c r="M884" s="40" t="n"/>
      <c r="N884" s="40" t="n"/>
    </row>
    <row r="885" ht="15.75" customHeight="1" s="58">
      <c r="A885" s="40" t="n"/>
      <c r="B885" s="40" t="n"/>
      <c r="C885" s="40" t="n"/>
      <c r="D885" s="40" t="n"/>
      <c r="E885" s="40" t="n"/>
      <c r="F885" s="40" t="n"/>
      <c r="G885" s="40" t="n"/>
      <c r="H885" s="40" t="n"/>
      <c r="I885" s="40" t="n"/>
      <c r="J885" s="40" t="n"/>
      <c r="K885" s="40" t="n"/>
      <c r="L885" s="40" t="n"/>
      <c r="M885" s="40" t="n"/>
      <c r="N885" s="40" t="n"/>
    </row>
    <row r="886" ht="15.75" customHeight="1" s="58">
      <c r="A886" s="40" t="n"/>
      <c r="B886" s="40" t="n"/>
      <c r="C886" s="40" t="n"/>
      <c r="D886" s="40" t="n"/>
      <c r="E886" s="40" t="n"/>
      <c r="F886" s="40" t="n"/>
      <c r="G886" s="40" t="n"/>
      <c r="H886" s="40" t="n"/>
      <c r="I886" s="40" t="n"/>
      <c r="J886" s="40" t="n"/>
      <c r="K886" s="40" t="n"/>
      <c r="L886" s="40" t="n"/>
      <c r="M886" s="40" t="n"/>
      <c r="N886" s="40" t="n"/>
    </row>
    <row r="887" ht="15.75" customHeight="1" s="58">
      <c r="A887" s="40" t="n"/>
      <c r="B887" s="40" t="n"/>
      <c r="C887" s="40" t="n"/>
      <c r="D887" s="40" t="n"/>
      <c r="E887" s="40" t="n"/>
      <c r="F887" s="40" t="n"/>
      <c r="G887" s="40" t="n"/>
      <c r="H887" s="40" t="n"/>
      <c r="I887" s="40" t="n"/>
      <c r="J887" s="40" t="n"/>
      <c r="K887" s="40" t="n"/>
      <c r="L887" s="40" t="n"/>
      <c r="M887" s="40" t="n"/>
      <c r="N887" s="40" t="n"/>
    </row>
    <row r="888" ht="15.75" customHeight="1" s="58">
      <c r="A888" s="40" t="n"/>
      <c r="B888" s="40" t="n"/>
      <c r="C888" s="40" t="n"/>
      <c r="D888" s="40" t="n"/>
      <c r="E888" s="40" t="n"/>
      <c r="F888" s="40" t="n"/>
      <c r="G888" s="40" t="n"/>
      <c r="H888" s="40" t="n"/>
      <c r="I888" s="40" t="n"/>
      <c r="J888" s="40" t="n"/>
      <c r="K888" s="40" t="n"/>
      <c r="L888" s="40" t="n"/>
      <c r="M888" s="40" t="n"/>
      <c r="N888" s="40" t="n"/>
    </row>
    <row r="889" ht="15.75" customHeight="1" s="58">
      <c r="A889" s="40" t="n"/>
      <c r="B889" s="40" t="n"/>
      <c r="C889" s="40" t="n"/>
      <c r="D889" s="40" t="n"/>
      <c r="E889" s="40" t="n"/>
      <c r="F889" s="40" t="n"/>
      <c r="G889" s="40" t="n"/>
      <c r="H889" s="40" t="n"/>
      <c r="I889" s="40" t="n"/>
      <c r="J889" s="40" t="n"/>
      <c r="K889" s="40" t="n"/>
      <c r="L889" s="40" t="n"/>
      <c r="M889" s="40" t="n"/>
      <c r="N889" s="40" t="n"/>
    </row>
    <row r="890" ht="15.75" customHeight="1" s="58">
      <c r="A890" s="40" t="n"/>
      <c r="B890" s="40" t="n"/>
      <c r="C890" s="40" t="n"/>
      <c r="D890" s="40" t="n"/>
      <c r="E890" s="40" t="n"/>
      <c r="F890" s="40" t="n"/>
      <c r="G890" s="40" t="n"/>
      <c r="H890" s="40" t="n"/>
      <c r="I890" s="40" t="n"/>
      <c r="J890" s="40" t="n"/>
      <c r="K890" s="40" t="n"/>
      <c r="L890" s="40" t="n"/>
      <c r="M890" s="40" t="n"/>
      <c r="N890" s="40" t="n"/>
    </row>
    <row r="891" ht="15.75" customHeight="1" s="58">
      <c r="A891" s="40" t="n"/>
      <c r="B891" s="40" t="n"/>
      <c r="C891" s="40" t="n"/>
      <c r="D891" s="40" t="n"/>
      <c r="E891" s="40" t="n"/>
      <c r="F891" s="40" t="n"/>
      <c r="G891" s="40" t="n"/>
      <c r="H891" s="40" t="n"/>
      <c r="I891" s="40" t="n"/>
      <c r="J891" s="40" t="n"/>
      <c r="K891" s="40" t="n"/>
      <c r="L891" s="40" t="n"/>
      <c r="M891" s="40" t="n"/>
      <c r="N891" s="40" t="n"/>
    </row>
    <row r="892" ht="15.75" customHeight="1" s="58">
      <c r="A892" s="40" t="n"/>
      <c r="B892" s="40" t="n"/>
      <c r="C892" s="40" t="n"/>
      <c r="D892" s="40" t="n"/>
      <c r="E892" s="40" t="n"/>
      <c r="F892" s="40" t="n"/>
      <c r="G892" s="40" t="n"/>
      <c r="H892" s="40" t="n"/>
      <c r="I892" s="40" t="n"/>
      <c r="J892" s="40" t="n"/>
      <c r="K892" s="40" t="n"/>
      <c r="L892" s="40" t="n"/>
      <c r="M892" s="40" t="n"/>
      <c r="N892" s="40" t="n"/>
    </row>
    <row r="893" ht="15.75" customHeight="1" s="58">
      <c r="A893" s="40" t="n"/>
      <c r="B893" s="40" t="n"/>
      <c r="C893" s="40" t="n"/>
      <c r="D893" s="40" t="n"/>
      <c r="E893" s="40" t="n"/>
      <c r="F893" s="40" t="n"/>
      <c r="G893" s="40" t="n"/>
      <c r="H893" s="40" t="n"/>
      <c r="I893" s="40" t="n"/>
      <c r="J893" s="40" t="n"/>
      <c r="K893" s="40" t="n"/>
      <c r="L893" s="40" t="n"/>
      <c r="M893" s="40" t="n"/>
      <c r="N893" s="40" t="n"/>
    </row>
    <row r="894" ht="15.75" customHeight="1" s="58">
      <c r="A894" s="40" t="n"/>
      <c r="B894" s="40" t="n"/>
      <c r="C894" s="40" t="n"/>
      <c r="D894" s="40" t="n"/>
      <c r="E894" s="40" t="n"/>
      <c r="F894" s="40" t="n"/>
      <c r="G894" s="40" t="n"/>
      <c r="H894" s="40" t="n"/>
      <c r="I894" s="40" t="n"/>
      <c r="J894" s="40" t="n"/>
      <c r="K894" s="40" t="n"/>
      <c r="L894" s="40" t="n"/>
      <c r="M894" s="40" t="n"/>
      <c r="N894" s="40" t="n"/>
    </row>
    <row r="895" ht="15.75" customHeight="1" s="58">
      <c r="A895" s="40" t="n"/>
      <c r="B895" s="40" t="n"/>
      <c r="C895" s="40" t="n"/>
      <c r="D895" s="40" t="n"/>
      <c r="E895" s="40" t="n"/>
      <c r="F895" s="40" t="n"/>
      <c r="G895" s="40" t="n"/>
      <c r="H895" s="40" t="n"/>
      <c r="I895" s="40" t="n"/>
      <c r="J895" s="40" t="n"/>
      <c r="K895" s="40" t="n"/>
      <c r="L895" s="40" t="n"/>
      <c r="M895" s="40" t="n"/>
      <c r="N895" s="40" t="n"/>
    </row>
    <row r="896" ht="15.75" customHeight="1" s="58">
      <c r="A896" s="40" t="n"/>
      <c r="B896" s="40" t="n"/>
      <c r="C896" s="40" t="n"/>
      <c r="D896" s="40" t="n"/>
      <c r="E896" s="40" t="n"/>
      <c r="F896" s="40" t="n"/>
      <c r="G896" s="40" t="n"/>
      <c r="H896" s="40" t="n"/>
      <c r="I896" s="40" t="n"/>
      <c r="J896" s="40" t="n"/>
      <c r="K896" s="40" t="n"/>
      <c r="L896" s="40" t="n"/>
      <c r="M896" s="40" t="n"/>
      <c r="N896" s="40" t="n"/>
    </row>
    <row r="897" ht="15.75" customHeight="1" s="58">
      <c r="A897" s="40" t="n"/>
      <c r="B897" s="40" t="n"/>
      <c r="C897" s="40" t="n"/>
      <c r="D897" s="40" t="n"/>
      <c r="E897" s="40" t="n"/>
      <c r="F897" s="40" t="n"/>
      <c r="G897" s="40" t="n"/>
      <c r="H897" s="40" t="n"/>
      <c r="I897" s="40" t="n"/>
      <c r="J897" s="40" t="n"/>
      <c r="K897" s="40" t="n"/>
      <c r="L897" s="40" t="n"/>
      <c r="M897" s="40" t="n"/>
      <c r="N897" s="40" t="n"/>
    </row>
    <row r="898" ht="15.75" customHeight="1" s="58">
      <c r="A898" s="40" t="n"/>
      <c r="B898" s="40" t="n"/>
      <c r="C898" s="40" t="n"/>
      <c r="D898" s="40" t="n"/>
      <c r="E898" s="40" t="n"/>
      <c r="F898" s="40" t="n"/>
      <c r="G898" s="40" t="n"/>
      <c r="H898" s="40" t="n"/>
      <c r="I898" s="40" t="n"/>
      <c r="J898" s="40" t="n"/>
      <c r="K898" s="40" t="n"/>
      <c r="L898" s="40" t="n"/>
      <c r="M898" s="40" t="n"/>
      <c r="N898" s="40" t="n"/>
    </row>
    <row r="899" ht="15.75" customHeight="1" s="58">
      <c r="A899" s="40" t="n"/>
      <c r="B899" s="40" t="n"/>
      <c r="C899" s="40" t="n"/>
      <c r="D899" s="40" t="n"/>
      <c r="E899" s="40" t="n"/>
      <c r="F899" s="40" t="n"/>
      <c r="G899" s="40" t="n"/>
      <c r="H899" s="40" t="n"/>
      <c r="I899" s="40" t="n"/>
      <c r="J899" s="40" t="n"/>
      <c r="K899" s="40" t="n"/>
      <c r="L899" s="40" t="n"/>
      <c r="M899" s="40" t="n"/>
      <c r="N899" s="40" t="n"/>
    </row>
    <row r="900" ht="15.75" customHeight="1" s="58">
      <c r="A900" s="40" t="n"/>
      <c r="B900" s="40" t="n"/>
      <c r="C900" s="40" t="n"/>
      <c r="D900" s="40" t="n"/>
      <c r="E900" s="40" t="n"/>
      <c r="F900" s="40" t="n"/>
      <c r="G900" s="40" t="n"/>
      <c r="H900" s="40" t="n"/>
      <c r="I900" s="40" t="n"/>
      <c r="J900" s="40" t="n"/>
      <c r="K900" s="40" t="n"/>
      <c r="L900" s="40" t="n"/>
      <c r="M900" s="40" t="n"/>
      <c r="N900" s="40" t="n"/>
    </row>
    <row r="901" ht="15.75" customHeight="1" s="58">
      <c r="A901" s="40" t="n"/>
      <c r="B901" s="40" t="n"/>
      <c r="C901" s="40" t="n"/>
      <c r="D901" s="40" t="n"/>
      <c r="E901" s="40" t="n"/>
      <c r="F901" s="40" t="n"/>
      <c r="G901" s="40" t="n"/>
      <c r="H901" s="40" t="n"/>
      <c r="I901" s="40" t="n"/>
      <c r="J901" s="40" t="n"/>
      <c r="K901" s="40" t="n"/>
      <c r="L901" s="40" t="n"/>
      <c r="M901" s="40" t="n"/>
      <c r="N901" s="40" t="n"/>
    </row>
    <row r="902" ht="15.75" customHeight="1" s="58">
      <c r="A902" s="40" t="n"/>
      <c r="B902" s="40" t="n"/>
      <c r="C902" s="40" t="n"/>
      <c r="D902" s="40" t="n"/>
      <c r="E902" s="40" t="n"/>
      <c r="F902" s="40" t="n"/>
      <c r="G902" s="40" t="n"/>
      <c r="H902" s="40" t="n"/>
      <c r="I902" s="40" t="n"/>
      <c r="J902" s="40" t="n"/>
      <c r="K902" s="40" t="n"/>
      <c r="L902" s="40" t="n"/>
      <c r="M902" s="40" t="n"/>
      <c r="N902" s="40" t="n"/>
    </row>
    <row r="903" ht="15.75" customHeight="1" s="58">
      <c r="A903" s="40" t="n"/>
      <c r="B903" s="40" t="n"/>
      <c r="C903" s="40" t="n"/>
      <c r="D903" s="40" t="n"/>
      <c r="E903" s="40" t="n"/>
      <c r="F903" s="40" t="n"/>
      <c r="G903" s="40" t="n"/>
      <c r="H903" s="40" t="n"/>
      <c r="I903" s="40" t="n"/>
      <c r="J903" s="40" t="n"/>
      <c r="K903" s="40" t="n"/>
      <c r="L903" s="40" t="n"/>
      <c r="M903" s="40" t="n"/>
      <c r="N903" s="40" t="n"/>
    </row>
    <row r="904" ht="15.75" customHeight="1" s="58">
      <c r="A904" s="40" t="n"/>
      <c r="B904" s="40" t="n"/>
      <c r="C904" s="40" t="n"/>
      <c r="D904" s="40" t="n"/>
      <c r="E904" s="40" t="n"/>
      <c r="F904" s="40" t="n"/>
      <c r="G904" s="40" t="n"/>
      <c r="H904" s="40" t="n"/>
      <c r="I904" s="40" t="n"/>
      <c r="J904" s="40" t="n"/>
      <c r="K904" s="40" t="n"/>
      <c r="L904" s="40" t="n"/>
      <c r="M904" s="40" t="n"/>
      <c r="N904" s="40" t="n"/>
    </row>
    <row r="905" ht="15.75" customHeight="1" s="58">
      <c r="A905" s="40" t="n"/>
      <c r="B905" s="40" t="n"/>
      <c r="C905" s="40" t="n"/>
      <c r="D905" s="40" t="n"/>
      <c r="E905" s="40" t="n"/>
      <c r="F905" s="40" t="n"/>
      <c r="G905" s="40" t="n"/>
      <c r="H905" s="40" t="n"/>
      <c r="I905" s="40" t="n"/>
      <c r="J905" s="40" t="n"/>
      <c r="K905" s="40" t="n"/>
      <c r="L905" s="40" t="n"/>
      <c r="M905" s="40" t="n"/>
      <c r="N905" s="40" t="n"/>
    </row>
    <row r="906" ht="15.75" customHeight="1" s="58">
      <c r="A906" s="40" t="n"/>
      <c r="B906" s="40" t="n"/>
      <c r="C906" s="40" t="n"/>
      <c r="D906" s="40" t="n"/>
      <c r="E906" s="40" t="n"/>
      <c r="F906" s="40" t="n"/>
      <c r="G906" s="40" t="n"/>
      <c r="H906" s="40" t="n"/>
      <c r="I906" s="40" t="n"/>
      <c r="J906" s="40" t="n"/>
      <c r="K906" s="40" t="n"/>
      <c r="L906" s="40" t="n"/>
      <c r="M906" s="40" t="n"/>
      <c r="N906" s="40" t="n"/>
    </row>
    <row r="907" ht="15.75" customHeight="1" s="58">
      <c r="A907" s="40" t="n"/>
      <c r="B907" s="40" t="n"/>
      <c r="C907" s="40" t="n"/>
      <c r="D907" s="40" t="n"/>
      <c r="E907" s="40" t="n"/>
      <c r="F907" s="40" t="n"/>
      <c r="G907" s="40" t="n"/>
      <c r="H907" s="40" t="n"/>
      <c r="I907" s="40" t="n"/>
      <c r="J907" s="40" t="n"/>
      <c r="K907" s="40" t="n"/>
      <c r="L907" s="40" t="n"/>
      <c r="M907" s="40" t="n"/>
      <c r="N907" s="40" t="n"/>
    </row>
    <row r="908" ht="15.75" customHeight="1" s="58">
      <c r="A908" s="40" t="n"/>
      <c r="B908" s="40" t="n"/>
      <c r="C908" s="40" t="n"/>
      <c r="D908" s="40" t="n"/>
      <c r="E908" s="40" t="n"/>
      <c r="F908" s="40" t="n"/>
      <c r="G908" s="40" t="n"/>
      <c r="H908" s="40" t="n"/>
      <c r="I908" s="40" t="n"/>
      <c r="J908" s="40" t="n"/>
      <c r="K908" s="40" t="n"/>
      <c r="L908" s="40" t="n"/>
      <c r="M908" s="40" t="n"/>
      <c r="N908" s="40" t="n"/>
    </row>
    <row r="909" ht="15.75" customHeight="1" s="58">
      <c r="A909" s="40" t="n"/>
      <c r="B909" s="40" t="n"/>
      <c r="C909" s="40" t="n"/>
      <c r="D909" s="40" t="n"/>
      <c r="E909" s="40" t="n"/>
      <c r="F909" s="40" t="n"/>
      <c r="G909" s="40" t="n"/>
      <c r="H909" s="40" t="n"/>
      <c r="I909" s="40" t="n"/>
      <c r="J909" s="40" t="n"/>
      <c r="K909" s="40" t="n"/>
      <c r="L909" s="40" t="n"/>
      <c r="M909" s="40" t="n"/>
      <c r="N909" s="40" t="n"/>
    </row>
    <row r="910" ht="15.75" customHeight="1" s="58">
      <c r="A910" s="40" t="n"/>
      <c r="B910" s="40" t="n"/>
      <c r="C910" s="40" t="n"/>
      <c r="D910" s="40" t="n"/>
      <c r="E910" s="40" t="n"/>
      <c r="F910" s="40" t="n"/>
      <c r="G910" s="40" t="n"/>
      <c r="H910" s="40" t="n"/>
      <c r="I910" s="40" t="n"/>
      <c r="J910" s="40" t="n"/>
      <c r="K910" s="40" t="n"/>
      <c r="L910" s="40" t="n"/>
      <c r="M910" s="40" t="n"/>
      <c r="N910" s="40" t="n"/>
    </row>
    <row r="911" ht="15.75" customHeight="1" s="58">
      <c r="A911" s="40" t="n"/>
      <c r="B911" s="40" t="n"/>
      <c r="C911" s="40" t="n"/>
      <c r="D911" s="40" t="n"/>
      <c r="E911" s="40" t="n"/>
      <c r="F911" s="40" t="n"/>
      <c r="G911" s="40" t="n"/>
      <c r="H911" s="40" t="n"/>
      <c r="I911" s="40" t="n"/>
      <c r="J911" s="40" t="n"/>
      <c r="K911" s="40" t="n"/>
      <c r="L911" s="40" t="n"/>
      <c r="M911" s="40" t="n"/>
      <c r="N911" s="40" t="n"/>
    </row>
    <row r="912" ht="15.75" customHeight="1" s="58">
      <c r="A912" s="40" t="n"/>
      <c r="B912" s="40" t="n"/>
      <c r="C912" s="40" t="n"/>
      <c r="D912" s="40" t="n"/>
      <c r="E912" s="40" t="n"/>
      <c r="F912" s="40" t="n"/>
      <c r="G912" s="40" t="n"/>
      <c r="H912" s="40" t="n"/>
      <c r="I912" s="40" t="n"/>
      <c r="J912" s="40" t="n"/>
      <c r="K912" s="40" t="n"/>
      <c r="L912" s="40" t="n"/>
      <c r="M912" s="40" t="n"/>
      <c r="N912" s="40" t="n"/>
    </row>
    <row r="913" ht="15.75" customHeight="1" s="58">
      <c r="A913" s="40" t="n"/>
      <c r="B913" s="40" t="n"/>
      <c r="C913" s="40" t="n"/>
      <c r="D913" s="40" t="n"/>
      <c r="E913" s="40" t="n"/>
      <c r="F913" s="40" t="n"/>
      <c r="G913" s="40" t="n"/>
      <c r="H913" s="40" t="n"/>
      <c r="I913" s="40" t="n"/>
      <c r="J913" s="40" t="n"/>
      <c r="K913" s="40" t="n"/>
      <c r="L913" s="40" t="n"/>
      <c r="M913" s="40" t="n"/>
      <c r="N913" s="40" t="n"/>
    </row>
    <row r="914" ht="15.75" customHeight="1" s="58">
      <c r="A914" s="40" t="n"/>
      <c r="B914" s="40" t="n"/>
      <c r="C914" s="40" t="n"/>
      <c r="D914" s="40" t="n"/>
      <c r="E914" s="40" t="n"/>
      <c r="F914" s="40" t="n"/>
      <c r="G914" s="40" t="n"/>
      <c r="H914" s="40" t="n"/>
      <c r="I914" s="40" t="n"/>
      <c r="J914" s="40" t="n"/>
      <c r="K914" s="40" t="n"/>
      <c r="L914" s="40" t="n"/>
      <c r="M914" s="40" t="n"/>
      <c r="N914" s="40" t="n"/>
    </row>
    <row r="915" ht="15.75" customHeight="1" s="58">
      <c r="A915" s="40" t="n"/>
      <c r="B915" s="40" t="n"/>
      <c r="C915" s="40" t="n"/>
      <c r="D915" s="40" t="n"/>
      <c r="E915" s="40" t="n"/>
      <c r="F915" s="40" t="n"/>
      <c r="G915" s="40" t="n"/>
      <c r="H915" s="40" t="n"/>
      <c r="I915" s="40" t="n"/>
      <c r="J915" s="40" t="n"/>
      <c r="K915" s="40" t="n"/>
      <c r="L915" s="40" t="n"/>
      <c r="M915" s="40" t="n"/>
      <c r="N915" s="40" t="n"/>
    </row>
    <row r="916" ht="15.75" customHeight="1" s="58">
      <c r="A916" s="40" t="n"/>
      <c r="B916" s="40" t="n"/>
      <c r="C916" s="40" t="n"/>
      <c r="D916" s="40" t="n"/>
      <c r="E916" s="40" t="n"/>
      <c r="F916" s="40" t="n"/>
      <c r="G916" s="40" t="n"/>
      <c r="H916" s="40" t="n"/>
      <c r="I916" s="40" t="n"/>
      <c r="J916" s="40" t="n"/>
      <c r="K916" s="40" t="n"/>
      <c r="L916" s="40" t="n"/>
      <c r="M916" s="40" t="n"/>
      <c r="N916" s="40" t="n"/>
    </row>
    <row r="917" ht="15.75" customHeight="1" s="58">
      <c r="A917" s="40" t="n"/>
      <c r="B917" s="40" t="n"/>
      <c r="C917" s="40" t="n"/>
      <c r="D917" s="40" t="n"/>
      <c r="E917" s="40" t="n"/>
      <c r="F917" s="40" t="n"/>
      <c r="G917" s="40" t="n"/>
      <c r="H917" s="40" t="n"/>
      <c r="I917" s="40" t="n"/>
      <c r="J917" s="40" t="n"/>
      <c r="K917" s="40" t="n"/>
      <c r="L917" s="40" t="n"/>
      <c r="M917" s="40" t="n"/>
      <c r="N917" s="40" t="n"/>
    </row>
    <row r="918" ht="15.75" customHeight="1" s="58">
      <c r="A918" s="40" t="n"/>
      <c r="B918" s="40" t="n"/>
      <c r="C918" s="40" t="n"/>
      <c r="D918" s="40" t="n"/>
      <c r="E918" s="40" t="n"/>
      <c r="F918" s="40" t="n"/>
      <c r="G918" s="40" t="n"/>
      <c r="H918" s="40" t="n"/>
      <c r="I918" s="40" t="n"/>
      <c r="J918" s="40" t="n"/>
      <c r="K918" s="40" t="n"/>
      <c r="L918" s="40" t="n"/>
      <c r="M918" s="40" t="n"/>
      <c r="N918" s="40" t="n"/>
    </row>
    <row r="919" ht="15.75" customHeight="1" s="58">
      <c r="A919" s="40" t="n"/>
      <c r="B919" s="40" t="n"/>
      <c r="C919" s="40" t="n"/>
      <c r="D919" s="40" t="n"/>
      <c r="E919" s="40" t="n"/>
      <c r="F919" s="40" t="n"/>
      <c r="G919" s="40" t="n"/>
      <c r="H919" s="40" t="n"/>
      <c r="I919" s="40" t="n"/>
      <c r="J919" s="40" t="n"/>
      <c r="K919" s="40" t="n"/>
      <c r="L919" s="40" t="n"/>
      <c r="M919" s="40" t="n"/>
      <c r="N919" s="40" t="n"/>
    </row>
    <row r="920" ht="15.75" customHeight="1" s="58">
      <c r="A920" s="40" t="n"/>
      <c r="B920" s="40" t="n"/>
      <c r="C920" s="40" t="n"/>
      <c r="D920" s="40" t="n"/>
      <c r="E920" s="40" t="n"/>
      <c r="F920" s="40" t="n"/>
      <c r="G920" s="40" t="n"/>
      <c r="H920" s="40" t="n"/>
      <c r="I920" s="40" t="n"/>
      <c r="J920" s="40" t="n"/>
      <c r="K920" s="40" t="n"/>
      <c r="L920" s="40" t="n"/>
      <c r="M920" s="40" t="n"/>
      <c r="N920" s="40" t="n"/>
    </row>
    <row r="921" ht="15.75" customHeight="1" s="58">
      <c r="A921" s="40" t="n"/>
      <c r="B921" s="40" t="n"/>
      <c r="C921" s="40" t="n"/>
      <c r="D921" s="40" t="n"/>
      <c r="E921" s="40" t="n"/>
      <c r="F921" s="40" t="n"/>
      <c r="G921" s="40" t="n"/>
      <c r="H921" s="40" t="n"/>
      <c r="I921" s="40" t="n"/>
      <c r="J921" s="40" t="n"/>
      <c r="K921" s="40" t="n"/>
      <c r="L921" s="40" t="n"/>
      <c r="M921" s="40" t="n"/>
      <c r="N921" s="40" t="n"/>
    </row>
    <row r="922" ht="15.75" customHeight="1" s="58">
      <c r="A922" s="40" t="n"/>
      <c r="B922" s="40" t="n"/>
      <c r="C922" s="40" t="n"/>
      <c r="D922" s="40" t="n"/>
      <c r="E922" s="40" t="n"/>
      <c r="F922" s="40" t="n"/>
      <c r="G922" s="40" t="n"/>
      <c r="H922" s="40" t="n"/>
      <c r="I922" s="40" t="n"/>
      <c r="J922" s="40" t="n"/>
      <c r="K922" s="40" t="n"/>
      <c r="L922" s="40" t="n"/>
      <c r="M922" s="40" t="n"/>
      <c r="N922" s="40" t="n"/>
    </row>
    <row r="923" ht="15.75" customHeight="1" s="58">
      <c r="A923" s="40" t="n"/>
      <c r="B923" s="40" t="n"/>
      <c r="C923" s="40" t="n"/>
      <c r="D923" s="40" t="n"/>
      <c r="E923" s="40" t="n"/>
      <c r="F923" s="40" t="n"/>
      <c r="G923" s="40" t="n"/>
      <c r="H923" s="40" t="n"/>
      <c r="I923" s="40" t="n"/>
      <c r="J923" s="40" t="n"/>
      <c r="K923" s="40" t="n"/>
      <c r="L923" s="40" t="n"/>
      <c r="M923" s="40" t="n"/>
      <c r="N923" s="40" t="n"/>
    </row>
    <row r="924" ht="15.75" customHeight="1" s="58">
      <c r="A924" s="40" t="n"/>
      <c r="B924" s="40" t="n"/>
      <c r="C924" s="40" t="n"/>
      <c r="D924" s="40" t="n"/>
      <c r="E924" s="40" t="n"/>
      <c r="F924" s="40" t="n"/>
      <c r="G924" s="40" t="n"/>
      <c r="H924" s="40" t="n"/>
      <c r="I924" s="40" t="n"/>
      <c r="J924" s="40" t="n"/>
      <c r="K924" s="40" t="n"/>
      <c r="L924" s="40" t="n"/>
      <c r="M924" s="40" t="n"/>
      <c r="N924" s="40" t="n"/>
    </row>
    <row r="925" ht="15.75" customHeight="1" s="58">
      <c r="A925" s="40" t="n"/>
      <c r="B925" s="40" t="n"/>
      <c r="C925" s="40" t="n"/>
      <c r="D925" s="40" t="n"/>
      <c r="E925" s="40" t="n"/>
      <c r="F925" s="40" t="n"/>
      <c r="G925" s="40" t="n"/>
      <c r="H925" s="40" t="n"/>
      <c r="I925" s="40" t="n"/>
      <c r="J925" s="40" t="n"/>
      <c r="K925" s="40" t="n"/>
      <c r="L925" s="40" t="n"/>
      <c r="M925" s="40" t="n"/>
      <c r="N925" s="40" t="n"/>
    </row>
    <row r="926" ht="15.75" customHeight="1" s="58">
      <c r="A926" s="40" t="n"/>
      <c r="B926" s="40" t="n"/>
      <c r="C926" s="40" t="n"/>
      <c r="D926" s="40" t="n"/>
      <c r="E926" s="40" t="n"/>
      <c r="F926" s="40" t="n"/>
      <c r="G926" s="40" t="n"/>
      <c r="H926" s="40" t="n"/>
      <c r="I926" s="40" t="n"/>
      <c r="J926" s="40" t="n"/>
      <c r="K926" s="40" t="n"/>
      <c r="L926" s="40" t="n"/>
      <c r="M926" s="40" t="n"/>
      <c r="N926" s="40" t="n"/>
    </row>
    <row r="927" ht="15.75" customHeight="1" s="58">
      <c r="A927" s="40" t="n"/>
      <c r="B927" s="40" t="n"/>
      <c r="C927" s="40" t="n"/>
      <c r="D927" s="40" t="n"/>
      <c r="E927" s="40" t="n"/>
      <c r="F927" s="40" t="n"/>
      <c r="G927" s="40" t="n"/>
      <c r="H927" s="40" t="n"/>
      <c r="I927" s="40" t="n"/>
      <c r="J927" s="40" t="n"/>
      <c r="K927" s="40" t="n"/>
      <c r="L927" s="40" t="n"/>
      <c r="M927" s="40" t="n"/>
      <c r="N927" s="40" t="n"/>
    </row>
    <row r="928" ht="15.75" customHeight="1" s="58">
      <c r="A928" s="40" t="n"/>
      <c r="B928" s="40" t="n"/>
      <c r="C928" s="40" t="n"/>
      <c r="D928" s="40" t="n"/>
      <c r="E928" s="40" t="n"/>
      <c r="F928" s="40" t="n"/>
      <c r="G928" s="40" t="n"/>
      <c r="H928" s="40" t="n"/>
      <c r="I928" s="40" t="n"/>
      <c r="J928" s="40" t="n"/>
      <c r="K928" s="40" t="n"/>
      <c r="L928" s="40" t="n"/>
      <c r="M928" s="40" t="n"/>
      <c r="N928" s="40" t="n"/>
    </row>
    <row r="929" ht="15.75" customHeight="1" s="58">
      <c r="A929" s="40" t="n"/>
      <c r="B929" s="40" t="n"/>
      <c r="C929" s="40" t="n"/>
      <c r="D929" s="40" t="n"/>
      <c r="E929" s="40" t="n"/>
      <c r="F929" s="40" t="n"/>
      <c r="G929" s="40" t="n"/>
      <c r="H929" s="40" t="n"/>
      <c r="I929" s="40" t="n"/>
      <c r="J929" s="40" t="n"/>
      <c r="K929" s="40" t="n"/>
      <c r="L929" s="40" t="n"/>
      <c r="M929" s="40" t="n"/>
      <c r="N929" s="40" t="n"/>
    </row>
    <row r="930" ht="15.75" customHeight="1" s="58">
      <c r="A930" s="40" t="n"/>
      <c r="B930" s="40" t="n"/>
      <c r="C930" s="40" t="n"/>
      <c r="D930" s="40" t="n"/>
      <c r="E930" s="40" t="n"/>
      <c r="F930" s="40" t="n"/>
      <c r="G930" s="40" t="n"/>
      <c r="H930" s="40" t="n"/>
      <c r="I930" s="40" t="n"/>
      <c r="J930" s="40" t="n"/>
      <c r="K930" s="40" t="n"/>
      <c r="L930" s="40" t="n"/>
      <c r="M930" s="40" t="n"/>
      <c r="N930" s="40" t="n"/>
    </row>
    <row r="931" ht="15.75" customHeight="1" s="58">
      <c r="A931" s="40" t="n"/>
      <c r="B931" s="40" t="n"/>
      <c r="C931" s="40" t="n"/>
      <c r="D931" s="40" t="n"/>
      <c r="E931" s="40" t="n"/>
      <c r="F931" s="40" t="n"/>
      <c r="G931" s="40" t="n"/>
      <c r="H931" s="40" t="n"/>
      <c r="I931" s="40" t="n"/>
      <c r="J931" s="40" t="n"/>
      <c r="K931" s="40" t="n"/>
      <c r="L931" s="40" t="n"/>
      <c r="M931" s="40" t="n"/>
      <c r="N931" s="40" t="n"/>
    </row>
    <row r="932" ht="15.75" customHeight="1" s="58">
      <c r="A932" s="40" t="n"/>
      <c r="B932" s="40" t="n"/>
      <c r="C932" s="40" t="n"/>
      <c r="D932" s="40" t="n"/>
      <c r="E932" s="40" t="n"/>
      <c r="F932" s="40" t="n"/>
      <c r="G932" s="40" t="n"/>
      <c r="H932" s="40" t="n"/>
      <c r="I932" s="40" t="n"/>
      <c r="J932" s="40" t="n"/>
      <c r="K932" s="40" t="n"/>
      <c r="L932" s="40" t="n"/>
      <c r="M932" s="40" t="n"/>
      <c r="N932" s="40" t="n"/>
    </row>
    <row r="933" ht="15.75" customHeight="1" s="58">
      <c r="A933" s="40" t="n"/>
      <c r="B933" s="40" t="n"/>
      <c r="C933" s="40" t="n"/>
      <c r="D933" s="40" t="n"/>
      <c r="E933" s="40" t="n"/>
      <c r="F933" s="40" t="n"/>
      <c r="G933" s="40" t="n"/>
      <c r="H933" s="40" t="n"/>
      <c r="I933" s="40" t="n"/>
      <c r="J933" s="40" t="n"/>
      <c r="K933" s="40" t="n"/>
      <c r="L933" s="40" t="n"/>
      <c r="M933" s="40" t="n"/>
      <c r="N933" s="40" t="n"/>
    </row>
    <row r="934" ht="15.75" customHeight="1" s="58">
      <c r="A934" s="40" t="n"/>
      <c r="B934" s="40" t="n"/>
      <c r="C934" s="40" t="n"/>
      <c r="D934" s="40" t="n"/>
      <c r="E934" s="40" t="n"/>
      <c r="F934" s="40" t="n"/>
      <c r="G934" s="40" t="n"/>
      <c r="H934" s="40" t="n"/>
      <c r="I934" s="40" t="n"/>
      <c r="J934" s="40" t="n"/>
      <c r="K934" s="40" t="n"/>
      <c r="L934" s="40" t="n"/>
      <c r="M934" s="40" t="n"/>
      <c r="N934" s="40" t="n"/>
    </row>
    <row r="935" ht="15.75" customHeight="1" s="58">
      <c r="A935" s="40" t="n"/>
      <c r="B935" s="40" t="n"/>
      <c r="C935" s="40" t="n"/>
      <c r="D935" s="40" t="n"/>
      <c r="E935" s="40" t="n"/>
      <c r="F935" s="40" t="n"/>
      <c r="G935" s="40" t="n"/>
      <c r="H935" s="40" t="n"/>
      <c r="I935" s="40" t="n"/>
      <c r="J935" s="40" t="n"/>
      <c r="K935" s="40" t="n"/>
      <c r="L935" s="40" t="n"/>
      <c r="M935" s="40" t="n"/>
      <c r="N935" s="40" t="n"/>
    </row>
    <row r="936" ht="15.75" customHeight="1" s="58">
      <c r="A936" s="40" t="n"/>
      <c r="B936" s="40" t="n"/>
      <c r="C936" s="40" t="n"/>
      <c r="D936" s="40" t="n"/>
      <c r="E936" s="40" t="n"/>
      <c r="F936" s="40" t="n"/>
      <c r="G936" s="40" t="n"/>
      <c r="H936" s="40" t="n"/>
      <c r="I936" s="40" t="n"/>
      <c r="J936" s="40" t="n"/>
      <c r="K936" s="40" t="n"/>
      <c r="L936" s="40" t="n"/>
      <c r="M936" s="40" t="n"/>
      <c r="N936" s="40" t="n"/>
    </row>
    <row r="937" ht="15.75" customHeight="1" s="58">
      <c r="A937" s="40" t="n"/>
      <c r="B937" s="40" t="n"/>
      <c r="C937" s="40" t="n"/>
      <c r="D937" s="40" t="n"/>
      <c r="E937" s="40" t="n"/>
      <c r="F937" s="40" t="n"/>
      <c r="G937" s="40" t="n"/>
      <c r="H937" s="40" t="n"/>
      <c r="I937" s="40" t="n"/>
      <c r="J937" s="40" t="n"/>
      <c r="K937" s="40" t="n"/>
      <c r="L937" s="40" t="n"/>
      <c r="M937" s="40" t="n"/>
      <c r="N937" s="40" t="n"/>
    </row>
    <row r="938" ht="15.75" customHeight="1" s="58">
      <c r="A938" s="40" t="n"/>
      <c r="B938" s="40" t="n"/>
      <c r="C938" s="40" t="n"/>
      <c r="D938" s="40" t="n"/>
      <c r="E938" s="40" t="n"/>
      <c r="F938" s="40" t="n"/>
      <c r="G938" s="40" t="n"/>
      <c r="H938" s="40" t="n"/>
      <c r="I938" s="40" t="n"/>
      <c r="J938" s="40" t="n"/>
      <c r="K938" s="40" t="n"/>
      <c r="L938" s="40" t="n"/>
      <c r="M938" s="40" t="n"/>
      <c r="N938" s="40" t="n"/>
    </row>
    <row r="939" ht="15.75" customHeight="1" s="58">
      <c r="A939" s="40" t="n"/>
      <c r="B939" s="40" t="n"/>
      <c r="C939" s="40" t="n"/>
      <c r="D939" s="40" t="n"/>
      <c r="E939" s="40" t="n"/>
      <c r="F939" s="40" t="n"/>
      <c r="G939" s="40" t="n"/>
      <c r="H939" s="40" t="n"/>
      <c r="I939" s="40" t="n"/>
      <c r="J939" s="40" t="n"/>
      <c r="K939" s="40" t="n"/>
      <c r="L939" s="40" t="n"/>
      <c r="M939" s="40" t="n"/>
      <c r="N939" s="40" t="n"/>
    </row>
    <row r="940" ht="15.75" customHeight="1" s="58">
      <c r="A940" s="40" t="n"/>
      <c r="B940" s="40" t="n"/>
      <c r="C940" s="40" t="n"/>
      <c r="D940" s="40" t="n"/>
      <c r="E940" s="40" t="n"/>
      <c r="F940" s="40" t="n"/>
      <c r="G940" s="40" t="n"/>
      <c r="H940" s="40" t="n"/>
      <c r="I940" s="40" t="n"/>
      <c r="J940" s="40" t="n"/>
      <c r="K940" s="40" t="n"/>
      <c r="L940" s="40" t="n"/>
      <c r="M940" s="40" t="n"/>
      <c r="N940" s="40" t="n"/>
    </row>
    <row r="941" ht="15.75" customHeight="1" s="58">
      <c r="A941" s="40" t="n"/>
      <c r="B941" s="40" t="n"/>
      <c r="C941" s="40" t="n"/>
      <c r="D941" s="40" t="n"/>
      <c r="E941" s="40" t="n"/>
      <c r="F941" s="40" t="n"/>
      <c r="G941" s="40" t="n"/>
      <c r="H941" s="40" t="n"/>
      <c r="I941" s="40" t="n"/>
      <c r="J941" s="40" t="n"/>
      <c r="K941" s="40" t="n"/>
      <c r="L941" s="40" t="n"/>
      <c r="M941" s="40" t="n"/>
      <c r="N941" s="40" t="n"/>
    </row>
    <row r="942" ht="15.75" customHeight="1" s="58">
      <c r="A942" s="40" t="n"/>
      <c r="B942" s="40" t="n"/>
      <c r="C942" s="40" t="n"/>
      <c r="D942" s="40" t="n"/>
      <c r="E942" s="40" t="n"/>
      <c r="F942" s="40" t="n"/>
      <c r="G942" s="40" t="n"/>
      <c r="H942" s="40" t="n"/>
      <c r="I942" s="40" t="n"/>
      <c r="J942" s="40" t="n"/>
      <c r="K942" s="40" t="n"/>
      <c r="L942" s="40" t="n"/>
      <c r="M942" s="40" t="n"/>
      <c r="N942" s="40" t="n"/>
    </row>
    <row r="943" ht="15.75" customHeight="1" s="58">
      <c r="A943" s="40" t="n"/>
      <c r="B943" s="40" t="n"/>
      <c r="C943" s="40" t="n"/>
      <c r="D943" s="40" t="n"/>
      <c r="E943" s="40" t="n"/>
      <c r="F943" s="40" t="n"/>
      <c r="G943" s="40" t="n"/>
      <c r="H943" s="40" t="n"/>
      <c r="I943" s="40" t="n"/>
      <c r="J943" s="40" t="n"/>
      <c r="K943" s="40" t="n"/>
      <c r="L943" s="40" t="n"/>
      <c r="M943" s="40" t="n"/>
      <c r="N943" s="40" t="n"/>
    </row>
    <row r="944" ht="15.75" customHeight="1" s="58">
      <c r="A944" s="40" t="n"/>
      <c r="B944" s="40" t="n"/>
      <c r="C944" s="40" t="n"/>
      <c r="D944" s="40" t="n"/>
      <c r="E944" s="40" t="n"/>
      <c r="F944" s="40" t="n"/>
      <c r="G944" s="40" t="n"/>
      <c r="H944" s="40" t="n"/>
      <c r="I944" s="40" t="n"/>
      <c r="J944" s="40" t="n"/>
      <c r="K944" s="40" t="n"/>
      <c r="L944" s="40" t="n"/>
      <c r="M944" s="40" t="n"/>
      <c r="N944" s="40" t="n"/>
    </row>
    <row r="945" ht="15.75" customHeight="1" s="58">
      <c r="A945" s="40" t="n"/>
      <c r="B945" s="40" t="n"/>
      <c r="C945" s="40" t="n"/>
      <c r="D945" s="40" t="n"/>
      <c r="E945" s="40" t="n"/>
      <c r="F945" s="40" t="n"/>
      <c r="G945" s="40" t="n"/>
      <c r="H945" s="40" t="n"/>
      <c r="I945" s="40" t="n"/>
      <c r="J945" s="40" t="n"/>
      <c r="K945" s="40" t="n"/>
      <c r="L945" s="40" t="n"/>
      <c r="M945" s="40" t="n"/>
      <c r="N945" s="40" t="n"/>
    </row>
    <row r="946" ht="15.75" customHeight="1" s="58">
      <c r="A946" s="40" t="n"/>
      <c r="B946" s="40" t="n"/>
      <c r="C946" s="40" t="n"/>
      <c r="D946" s="40" t="n"/>
      <c r="E946" s="40" t="n"/>
      <c r="F946" s="40" t="n"/>
      <c r="G946" s="40" t="n"/>
      <c r="H946" s="40" t="n"/>
      <c r="I946" s="40" t="n"/>
      <c r="J946" s="40" t="n"/>
      <c r="K946" s="40" t="n"/>
      <c r="L946" s="40" t="n"/>
      <c r="M946" s="40" t="n"/>
      <c r="N946" s="40" t="n"/>
    </row>
    <row r="947" ht="15.75" customHeight="1" s="58">
      <c r="A947" s="40" t="n"/>
      <c r="B947" s="40" t="n"/>
      <c r="C947" s="40" t="n"/>
      <c r="D947" s="40" t="n"/>
      <c r="E947" s="40" t="n"/>
      <c r="F947" s="40" t="n"/>
      <c r="G947" s="40" t="n"/>
      <c r="H947" s="40" t="n"/>
      <c r="I947" s="40" t="n"/>
      <c r="J947" s="40" t="n"/>
      <c r="K947" s="40" t="n"/>
      <c r="L947" s="40" t="n"/>
      <c r="M947" s="40" t="n"/>
      <c r="N947" s="40" t="n"/>
    </row>
    <row r="948" ht="15.75" customHeight="1" s="58">
      <c r="A948" s="40" t="n"/>
      <c r="B948" s="40" t="n"/>
      <c r="C948" s="40" t="n"/>
      <c r="D948" s="40" t="n"/>
      <c r="E948" s="40" t="n"/>
      <c r="F948" s="40" t="n"/>
      <c r="G948" s="40" t="n"/>
      <c r="H948" s="40" t="n"/>
      <c r="I948" s="40" t="n"/>
      <c r="J948" s="40" t="n"/>
      <c r="K948" s="40" t="n"/>
      <c r="L948" s="40" t="n"/>
      <c r="M948" s="40" t="n"/>
      <c r="N948" s="40" t="n"/>
    </row>
    <row r="949" ht="15.75" customHeight="1" s="58">
      <c r="A949" s="40" t="n"/>
      <c r="B949" s="40" t="n"/>
      <c r="C949" s="40" t="n"/>
      <c r="D949" s="40" t="n"/>
      <c r="E949" s="40" t="n"/>
      <c r="F949" s="40" t="n"/>
      <c r="G949" s="40" t="n"/>
      <c r="H949" s="40" t="n"/>
      <c r="I949" s="40" t="n"/>
      <c r="J949" s="40" t="n"/>
      <c r="K949" s="40" t="n"/>
      <c r="L949" s="40" t="n"/>
      <c r="M949" s="40" t="n"/>
      <c r="N949" s="40" t="n"/>
    </row>
    <row r="950" ht="15.75" customHeight="1" s="58">
      <c r="A950" s="40" t="n"/>
      <c r="B950" s="40" t="n"/>
      <c r="C950" s="40" t="n"/>
      <c r="D950" s="40" t="n"/>
      <c r="E950" s="40" t="n"/>
      <c r="F950" s="40" t="n"/>
      <c r="G950" s="40" t="n"/>
      <c r="H950" s="40" t="n"/>
      <c r="I950" s="40" t="n"/>
      <c r="J950" s="40" t="n"/>
      <c r="K950" s="40" t="n"/>
      <c r="L950" s="40" t="n"/>
      <c r="M950" s="40" t="n"/>
      <c r="N950" s="40" t="n"/>
    </row>
    <row r="951" ht="15.75" customHeight="1" s="58">
      <c r="A951" s="40" t="n"/>
      <c r="B951" s="40" t="n"/>
      <c r="C951" s="40" t="n"/>
      <c r="D951" s="40" t="n"/>
      <c r="E951" s="40" t="n"/>
      <c r="F951" s="40" t="n"/>
      <c r="G951" s="40" t="n"/>
      <c r="H951" s="40" t="n"/>
      <c r="I951" s="40" t="n"/>
      <c r="J951" s="40" t="n"/>
      <c r="K951" s="40" t="n"/>
      <c r="L951" s="40" t="n"/>
      <c r="M951" s="40" t="n"/>
      <c r="N951" s="40" t="n"/>
    </row>
    <row r="952" ht="15.75" customHeight="1" s="58">
      <c r="A952" s="40" t="n"/>
      <c r="B952" s="40" t="n"/>
      <c r="C952" s="40" t="n"/>
      <c r="D952" s="40" t="n"/>
      <c r="E952" s="40" t="n"/>
      <c r="F952" s="40" t="n"/>
      <c r="G952" s="40" t="n"/>
      <c r="H952" s="40" t="n"/>
      <c r="I952" s="40" t="n"/>
      <c r="J952" s="40" t="n"/>
      <c r="K952" s="40" t="n"/>
      <c r="L952" s="40" t="n"/>
      <c r="M952" s="40" t="n"/>
      <c r="N952" s="40" t="n"/>
    </row>
    <row r="953" ht="15.75" customHeight="1" s="58">
      <c r="A953" s="40" t="n"/>
      <c r="B953" s="40" t="n"/>
      <c r="C953" s="40" t="n"/>
      <c r="D953" s="40" t="n"/>
      <c r="E953" s="40" t="n"/>
      <c r="F953" s="40" t="n"/>
      <c r="G953" s="40" t="n"/>
      <c r="H953" s="40" t="n"/>
      <c r="I953" s="40" t="n"/>
      <c r="J953" s="40" t="n"/>
      <c r="K953" s="40" t="n"/>
      <c r="L953" s="40" t="n"/>
      <c r="M953" s="40" t="n"/>
      <c r="N953" s="40" t="n"/>
    </row>
    <row r="954" ht="15.75" customHeight="1" s="58">
      <c r="A954" s="40" t="n"/>
      <c r="B954" s="40" t="n"/>
      <c r="C954" s="40" t="n"/>
      <c r="D954" s="40" t="n"/>
      <c r="E954" s="40" t="n"/>
      <c r="F954" s="40" t="n"/>
      <c r="G954" s="40" t="n"/>
      <c r="H954" s="40" t="n"/>
      <c r="I954" s="40" t="n"/>
      <c r="J954" s="40" t="n"/>
      <c r="K954" s="40" t="n"/>
      <c r="L954" s="40" t="n"/>
      <c r="M954" s="40" t="n"/>
      <c r="N954" s="40" t="n"/>
    </row>
    <row r="955" ht="15.75" customHeight="1" s="58">
      <c r="A955" s="40" t="n"/>
      <c r="B955" s="40" t="n"/>
      <c r="C955" s="40" t="n"/>
      <c r="D955" s="40" t="n"/>
      <c r="E955" s="40" t="n"/>
      <c r="F955" s="40" t="n"/>
      <c r="G955" s="40" t="n"/>
      <c r="H955" s="40" t="n"/>
      <c r="I955" s="40" t="n"/>
      <c r="J955" s="40" t="n"/>
      <c r="K955" s="40" t="n"/>
      <c r="L955" s="40" t="n"/>
      <c r="M955" s="40" t="n"/>
      <c r="N955" s="40" t="n"/>
    </row>
    <row r="956" ht="15.75" customHeight="1" s="58">
      <c r="A956" s="40" t="n"/>
      <c r="B956" s="40" t="n"/>
      <c r="C956" s="40" t="n"/>
      <c r="D956" s="40" t="n"/>
      <c r="E956" s="40" t="n"/>
      <c r="F956" s="40" t="n"/>
      <c r="G956" s="40" t="n"/>
      <c r="H956" s="40" t="n"/>
      <c r="I956" s="40" t="n"/>
      <c r="J956" s="40" t="n"/>
      <c r="K956" s="40" t="n"/>
      <c r="L956" s="40" t="n"/>
      <c r="M956" s="40" t="n"/>
      <c r="N956" s="40" t="n"/>
    </row>
    <row r="957" ht="15.75" customHeight="1" s="58">
      <c r="A957" s="40" t="n"/>
      <c r="B957" s="40" t="n"/>
      <c r="C957" s="40" t="n"/>
      <c r="D957" s="40" t="n"/>
      <c r="E957" s="40" t="n"/>
      <c r="F957" s="40" t="n"/>
      <c r="G957" s="40" t="n"/>
      <c r="H957" s="40" t="n"/>
      <c r="I957" s="40" t="n"/>
      <c r="J957" s="40" t="n"/>
      <c r="K957" s="40" t="n"/>
      <c r="L957" s="40" t="n"/>
      <c r="M957" s="40" t="n"/>
      <c r="N957" s="40" t="n"/>
    </row>
    <row r="958" ht="15.75" customHeight="1" s="58">
      <c r="A958" s="40" t="n"/>
      <c r="B958" s="40" t="n"/>
      <c r="C958" s="40" t="n"/>
      <c r="D958" s="40" t="n"/>
      <c r="E958" s="40" t="n"/>
      <c r="F958" s="40" t="n"/>
      <c r="G958" s="40" t="n"/>
      <c r="H958" s="40" t="n"/>
      <c r="I958" s="40" t="n"/>
      <c r="J958" s="40" t="n"/>
      <c r="K958" s="40" t="n"/>
      <c r="L958" s="40" t="n"/>
      <c r="M958" s="40" t="n"/>
      <c r="N958" s="40" t="n"/>
    </row>
    <row r="959" ht="15.75" customHeight="1" s="58">
      <c r="A959" s="40" t="n"/>
      <c r="B959" s="40" t="n"/>
      <c r="C959" s="40" t="n"/>
      <c r="D959" s="40" t="n"/>
      <c r="E959" s="40" t="n"/>
      <c r="F959" s="40" t="n"/>
      <c r="G959" s="40" t="n"/>
      <c r="H959" s="40" t="n"/>
      <c r="I959" s="40" t="n"/>
      <c r="J959" s="40" t="n"/>
      <c r="K959" s="40" t="n"/>
      <c r="L959" s="40" t="n"/>
      <c r="M959" s="40" t="n"/>
      <c r="N959" s="40" t="n"/>
    </row>
    <row r="960" ht="15.75" customHeight="1" s="58">
      <c r="A960" s="40" t="n"/>
      <c r="B960" s="40" t="n"/>
      <c r="C960" s="40" t="n"/>
      <c r="D960" s="40" t="n"/>
      <c r="E960" s="40" t="n"/>
      <c r="F960" s="40" t="n"/>
      <c r="G960" s="40" t="n"/>
      <c r="H960" s="40" t="n"/>
      <c r="I960" s="40" t="n"/>
      <c r="J960" s="40" t="n"/>
      <c r="K960" s="40" t="n"/>
      <c r="L960" s="40" t="n"/>
      <c r="M960" s="40" t="n"/>
      <c r="N960" s="40" t="n"/>
    </row>
    <row r="961" ht="15.75" customHeight="1" s="58">
      <c r="A961" s="40" t="n"/>
      <c r="B961" s="40" t="n"/>
      <c r="C961" s="40" t="n"/>
      <c r="D961" s="40" t="n"/>
      <c r="E961" s="40" t="n"/>
      <c r="F961" s="40" t="n"/>
      <c r="G961" s="40" t="n"/>
      <c r="H961" s="40" t="n"/>
      <c r="I961" s="40" t="n"/>
      <c r="J961" s="40" t="n"/>
      <c r="K961" s="40" t="n"/>
      <c r="L961" s="40" t="n"/>
      <c r="M961" s="40" t="n"/>
      <c r="N961" s="40" t="n"/>
    </row>
    <row r="962" ht="15.75" customHeight="1" s="58">
      <c r="A962" s="40" t="n"/>
      <c r="B962" s="40" t="n"/>
      <c r="C962" s="40" t="n"/>
      <c r="D962" s="40" t="n"/>
      <c r="E962" s="40" t="n"/>
      <c r="F962" s="40" t="n"/>
      <c r="G962" s="40" t="n"/>
      <c r="H962" s="40" t="n"/>
      <c r="I962" s="40" t="n"/>
      <c r="J962" s="40" t="n"/>
      <c r="K962" s="40" t="n"/>
      <c r="L962" s="40" t="n"/>
      <c r="M962" s="40" t="n"/>
      <c r="N962" s="40" t="n"/>
    </row>
    <row r="963" ht="15.75" customHeight="1" s="58">
      <c r="A963" s="40" t="n"/>
      <c r="B963" s="40" t="n"/>
      <c r="C963" s="40" t="n"/>
      <c r="D963" s="40" t="n"/>
      <c r="E963" s="40" t="n"/>
      <c r="F963" s="40" t="n"/>
      <c r="G963" s="40" t="n"/>
      <c r="H963" s="40" t="n"/>
      <c r="I963" s="40" t="n"/>
      <c r="J963" s="40" t="n"/>
      <c r="K963" s="40" t="n"/>
      <c r="L963" s="40" t="n"/>
      <c r="M963" s="40" t="n"/>
      <c r="N963" s="40" t="n"/>
    </row>
    <row r="964" ht="15.75" customHeight="1" s="58">
      <c r="A964" s="40" t="n"/>
      <c r="B964" s="40" t="n"/>
      <c r="C964" s="40" t="n"/>
      <c r="D964" s="40" t="n"/>
      <c r="E964" s="40" t="n"/>
      <c r="F964" s="40" t="n"/>
      <c r="G964" s="40" t="n"/>
      <c r="H964" s="40" t="n"/>
      <c r="I964" s="40" t="n"/>
      <c r="J964" s="40" t="n"/>
      <c r="K964" s="40" t="n"/>
      <c r="L964" s="40" t="n"/>
      <c r="M964" s="40" t="n"/>
      <c r="N964" s="40" t="n"/>
    </row>
    <row r="965" ht="15.75" customHeight="1" s="58">
      <c r="A965" s="40" t="n"/>
      <c r="B965" s="40" t="n"/>
      <c r="C965" s="40" t="n"/>
      <c r="D965" s="40" t="n"/>
      <c r="E965" s="40" t="n"/>
      <c r="F965" s="40" t="n"/>
      <c r="G965" s="40" t="n"/>
      <c r="H965" s="40" t="n"/>
      <c r="I965" s="40" t="n"/>
      <c r="J965" s="40" t="n"/>
      <c r="K965" s="40" t="n"/>
      <c r="L965" s="40" t="n"/>
      <c r="M965" s="40" t="n"/>
      <c r="N965" s="40" t="n"/>
    </row>
    <row r="966" ht="15.75" customHeight="1" s="58">
      <c r="A966" s="40" t="n"/>
      <c r="B966" s="40" t="n"/>
      <c r="C966" s="40" t="n"/>
      <c r="D966" s="40" t="n"/>
      <c r="E966" s="40" t="n"/>
      <c r="F966" s="40" t="n"/>
      <c r="G966" s="40" t="n"/>
      <c r="H966" s="40" t="n"/>
      <c r="I966" s="40" t="n"/>
      <c r="J966" s="40" t="n"/>
      <c r="K966" s="40" t="n"/>
      <c r="L966" s="40" t="n"/>
      <c r="M966" s="40" t="n"/>
      <c r="N966" s="40" t="n"/>
    </row>
    <row r="967" ht="15.75" customHeight="1" s="58">
      <c r="A967" s="40" t="n"/>
      <c r="B967" s="40" t="n"/>
      <c r="C967" s="40" t="n"/>
      <c r="D967" s="40" t="n"/>
      <c r="E967" s="40" t="n"/>
      <c r="F967" s="40" t="n"/>
      <c r="G967" s="40" t="n"/>
      <c r="H967" s="40" t="n"/>
      <c r="I967" s="40" t="n"/>
      <c r="J967" s="40" t="n"/>
      <c r="K967" s="40" t="n"/>
      <c r="L967" s="40" t="n"/>
      <c r="M967" s="40" t="n"/>
      <c r="N967" s="40" t="n"/>
    </row>
    <row r="968" ht="15.75" customHeight="1" s="58">
      <c r="A968" s="40" t="n"/>
      <c r="B968" s="40" t="n"/>
      <c r="C968" s="40" t="n"/>
      <c r="D968" s="40" t="n"/>
      <c r="E968" s="40" t="n"/>
      <c r="F968" s="40" t="n"/>
      <c r="G968" s="40" t="n"/>
      <c r="H968" s="40" t="n"/>
      <c r="I968" s="40" t="n"/>
      <c r="J968" s="40" t="n"/>
      <c r="K968" s="40" t="n"/>
      <c r="L968" s="40" t="n"/>
      <c r="M968" s="40" t="n"/>
      <c r="N968" s="40" t="n"/>
    </row>
    <row r="969" ht="15.75" customHeight="1" s="58">
      <c r="A969" s="40" t="n"/>
      <c r="B969" s="40" t="n"/>
      <c r="C969" s="40" t="n"/>
      <c r="D969" s="40" t="n"/>
      <c r="E969" s="40" t="n"/>
      <c r="F969" s="40" t="n"/>
      <c r="G969" s="40" t="n"/>
      <c r="H969" s="40" t="n"/>
      <c r="I969" s="40" t="n"/>
      <c r="J969" s="40" t="n"/>
      <c r="K969" s="40" t="n"/>
      <c r="L969" s="40" t="n"/>
      <c r="M969" s="40" t="n"/>
      <c r="N969" s="40" t="n"/>
    </row>
    <row r="970" ht="15.75" customHeight="1" s="58">
      <c r="A970" s="40" t="n"/>
      <c r="B970" s="40" t="n"/>
      <c r="C970" s="40" t="n"/>
      <c r="D970" s="40" t="n"/>
      <c r="E970" s="40" t="n"/>
      <c r="F970" s="40" t="n"/>
      <c r="G970" s="40" t="n"/>
      <c r="H970" s="40" t="n"/>
      <c r="I970" s="40" t="n"/>
      <c r="J970" s="40" t="n"/>
      <c r="K970" s="40" t="n"/>
      <c r="L970" s="40" t="n"/>
      <c r="M970" s="40" t="n"/>
      <c r="N970" s="40" t="n"/>
    </row>
    <row r="971" ht="15.75" customHeight="1" s="58">
      <c r="A971" s="40" t="n"/>
      <c r="B971" s="40" t="n"/>
      <c r="C971" s="40" t="n"/>
      <c r="D971" s="40" t="n"/>
      <c r="E971" s="40" t="n"/>
      <c r="F971" s="40" t="n"/>
      <c r="G971" s="40" t="n"/>
      <c r="H971" s="40" t="n"/>
      <c r="I971" s="40" t="n"/>
      <c r="J971" s="40" t="n"/>
      <c r="K971" s="40" t="n"/>
      <c r="L971" s="40" t="n"/>
      <c r="M971" s="40" t="n"/>
      <c r="N971" s="40" t="n"/>
    </row>
    <row r="972" ht="15.75" customHeight="1" s="58">
      <c r="A972" s="40" t="n"/>
      <c r="B972" s="40" t="n"/>
      <c r="C972" s="40" t="n"/>
      <c r="D972" s="40" t="n"/>
      <c r="E972" s="40" t="n"/>
      <c r="F972" s="40" t="n"/>
      <c r="G972" s="40" t="n"/>
      <c r="H972" s="40" t="n"/>
      <c r="I972" s="40" t="n"/>
      <c r="J972" s="40" t="n"/>
      <c r="K972" s="40" t="n"/>
      <c r="L972" s="40" t="n"/>
      <c r="M972" s="40" t="n"/>
      <c r="N972" s="40" t="n"/>
    </row>
    <row r="973" ht="15.75" customHeight="1" s="58">
      <c r="A973" s="40" t="n"/>
      <c r="B973" s="40" t="n"/>
      <c r="C973" s="40" t="n"/>
      <c r="D973" s="40" t="n"/>
      <c r="E973" s="40" t="n"/>
      <c r="F973" s="40" t="n"/>
      <c r="G973" s="40" t="n"/>
      <c r="H973" s="40" t="n"/>
      <c r="I973" s="40" t="n"/>
      <c r="J973" s="40" t="n"/>
      <c r="K973" s="40" t="n"/>
      <c r="L973" s="40" t="n"/>
      <c r="M973" s="40" t="n"/>
      <c r="N973" s="40" t="n"/>
    </row>
    <row r="974" ht="15.75" customHeight="1" s="58">
      <c r="A974" s="40" t="n"/>
      <c r="B974" s="40" t="n"/>
      <c r="C974" s="40" t="n"/>
      <c r="D974" s="40" t="n"/>
      <c r="E974" s="40" t="n"/>
      <c r="F974" s="40" t="n"/>
      <c r="G974" s="40" t="n"/>
      <c r="H974" s="40" t="n"/>
      <c r="I974" s="40" t="n"/>
      <c r="J974" s="40" t="n"/>
      <c r="K974" s="40" t="n"/>
      <c r="L974" s="40" t="n"/>
      <c r="M974" s="40" t="n"/>
      <c r="N974" s="40" t="n"/>
    </row>
    <row r="975" ht="15.75" customHeight="1" s="58">
      <c r="A975" s="40" t="n"/>
      <c r="B975" s="40" t="n"/>
      <c r="C975" s="40" t="n"/>
      <c r="D975" s="40" t="n"/>
      <c r="E975" s="40" t="n"/>
      <c r="F975" s="40" t="n"/>
      <c r="G975" s="40" t="n"/>
      <c r="H975" s="40" t="n"/>
      <c r="I975" s="40" t="n"/>
      <c r="J975" s="40" t="n"/>
      <c r="K975" s="40" t="n"/>
      <c r="L975" s="40" t="n"/>
      <c r="M975" s="40" t="n"/>
      <c r="N975" s="40" t="n"/>
    </row>
    <row r="976" ht="15.75" customHeight="1" s="58">
      <c r="A976" s="40" t="n"/>
      <c r="B976" s="40" t="n"/>
      <c r="C976" s="40" t="n"/>
      <c r="D976" s="40" t="n"/>
      <c r="E976" s="40" t="n"/>
      <c r="F976" s="40" t="n"/>
      <c r="G976" s="40" t="n"/>
      <c r="H976" s="40" t="n"/>
      <c r="I976" s="40" t="n"/>
      <c r="J976" s="40" t="n"/>
      <c r="K976" s="40" t="n"/>
      <c r="L976" s="40" t="n"/>
      <c r="M976" s="40" t="n"/>
      <c r="N976" s="40" t="n"/>
    </row>
    <row r="977" ht="15.75" customHeight="1" s="58">
      <c r="A977" s="40" t="n"/>
      <c r="B977" s="40" t="n"/>
      <c r="C977" s="40" t="n"/>
      <c r="D977" s="40" t="n"/>
      <c r="E977" s="40" t="n"/>
      <c r="F977" s="40" t="n"/>
      <c r="G977" s="40" t="n"/>
      <c r="H977" s="40" t="n"/>
      <c r="I977" s="40" t="n"/>
      <c r="J977" s="40" t="n"/>
      <c r="K977" s="40" t="n"/>
      <c r="L977" s="40" t="n"/>
      <c r="M977" s="40" t="n"/>
      <c r="N977" s="40" t="n"/>
    </row>
    <row r="978" ht="15.75" customHeight="1" s="58">
      <c r="A978" s="40" t="n"/>
      <c r="B978" s="40" t="n"/>
      <c r="C978" s="40" t="n"/>
      <c r="D978" s="40" t="n"/>
      <c r="E978" s="40" t="n"/>
      <c r="F978" s="40" t="n"/>
      <c r="G978" s="40" t="n"/>
      <c r="H978" s="40" t="n"/>
      <c r="I978" s="40" t="n"/>
      <c r="J978" s="40" t="n"/>
      <c r="K978" s="40" t="n"/>
      <c r="L978" s="40" t="n"/>
      <c r="M978" s="40" t="n"/>
      <c r="N978" s="40" t="n"/>
    </row>
    <row r="979" ht="15.75" customHeight="1" s="58">
      <c r="A979" s="40" t="n"/>
      <c r="B979" s="40" t="n"/>
      <c r="C979" s="40" t="n"/>
      <c r="D979" s="40" t="n"/>
      <c r="E979" s="40" t="n"/>
      <c r="F979" s="40" t="n"/>
      <c r="G979" s="40" t="n"/>
      <c r="H979" s="40" t="n"/>
      <c r="I979" s="40" t="n"/>
      <c r="J979" s="40" t="n"/>
      <c r="K979" s="40" t="n"/>
      <c r="L979" s="40" t="n"/>
      <c r="M979" s="40" t="n"/>
      <c r="N979" s="40" t="n"/>
    </row>
    <row r="980" ht="15.75" customHeight="1" s="58">
      <c r="A980" s="40" t="n"/>
      <c r="B980" s="40" t="n"/>
      <c r="C980" s="40" t="n"/>
      <c r="D980" s="40" t="n"/>
      <c r="E980" s="40" t="n"/>
      <c r="F980" s="40" t="n"/>
      <c r="G980" s="40" t="n"/>
      <c r="H980" s="40" t="n"/>
      <c r="I980" s="40" t="n"/>
      <c r="J980" s="40" t="n"/>
      <c r="K980" s="40" t="n"/>
      <c r="L980" s="40" t="n"/>
      <c r="M980" s="40" t="n"/>
      <c r="N980" s="40" t="n"/>
    </row>
    <row r="981" ht="15.75" customHeight="1" s="58">
      <c r="A981" s="40" t="n"/>
      <c r="B981" s="40" t="n"/>
      <c r="C981" s="40" t="n"/>
      <c r="D981" s="40" t="n"/>
      <c r="E981" s="40" t="n"/>
      <c r="F981" s="40" t="n"/>
      <c r="G981" s="40" t="n"/>
      <c r="H981" s="40" t="n"/>
      <c r="I981" s="40" t="n"/>
      <c r="J981" s="40" t="n"/>
      <c r="K981" s="40" t="n"/>
      <c r="L981" s="40" t="n"/>
      <c r="M981" s="40" t="n"/>
      <c r="N981" s="40" t="n"/>
    </row>
    <row r="982" ht="15.75" customHeight="1" s="58">
      <c r="A982" s="40" t="n"/>
      <c r="B982" s="40" t="n"/>
      <c r="C982" s="40" t="n"/>
      <c r="D982" s="40" t="n"/>
      <c r="E982" s="40" t="n"/>
      <c r="F982" s="40" t="n"/>
      <c r="G982" s="40" t="n"/>
      <c r="H982" s="40" t="n"/>
      <c r="I982" s="40" t="n"/>
      <c r="J982" s="40" t="n"/>
      <c r="K982" s="40" t="n"/>
      <c r="L982" s="40" t="n"/>
      <c r="M982" s="40" t="n"/>
      <c r="N982" s="40" t="n"/>
    </row>
    <row r="983" ht="15.75" customHeight="1" s="58">
      <c r="A983" s="40" t="n"/>
      <c r="B983" s="40" t="n"/>
      <c r="C983" s="40" t="n"/>
      <c r="D983" s="40" t="n"/>
      <c r="E983" s="40" t="n"/>
      <c r="F983" s="40" t="n"/>
      <c r="G983" s="40" t="n"/>
      <c r="H983" s="40" t="n"/>
      <c r="I983" s="40" t="n"/>
      <c r="J983" s="40" t="n"/>
      <c r="K983" s="40" t="n"/>
      <c r="L983" s="40" t="n"/>
      <c r="M983" s="40" t="n"/>
      <c r="N983" s="40" t="n"/>
    </row>
    <row r="984" ht="15.75" customHeight="1" s="58">
      <c r="A984" s="40" t="n"/>
      <c r="B984" s="40" t="n"/>
      <c r="C984" s="40" t="n"/>
      <c r="D984" s="40" t="n"/>
      <c r="E984" s="40" t="n"/>
      <c r="F984" s="40" t="n"/>
      <c r="G984" s="40" t="n"/>
      <c r="H984" s="40" t="n"/>
      <c r="I984" s="40" t="n"/>
      <c r="J984" s="40" t="n"/>
      <c r="K984" s="40" t="n"/>
      <c r="L984" s="40" t="n"/>
      <c r="M984" s="40" t="n"/>
      <c r="N984" s="40" t="n"/>
    </row>
    <row r="985" ht="15.75" customHeight="1" s="58">
      <c r="A985" s="40" t="n"/>
      <c r="B985" s="40" t="n"/>
      <c r="C985" s="40" t="n"/>
      <c r="D985" s="40" t="n"/>
      <c r="E985" s="40" t="n"/>
      <c r="F985" s="40" t="n"/>
      <c r="G985" s="40" t="n"/>
      <c r="H985" s="40" t="n"/>
      <c r="I985" s="40" t="n"/>
      <c r="J985" s="40" t="n"/>
      <c r="K985" s="40" t="n"/>
      <c r="L985" s="40" t="n"/>
      <c r="M985" s="40" t="n"/>
      <c r="N985" s="40" t="n"/>
    </row>
    <row r="986" ht="15.75" customHeight="1" s="58">
      <c r="A986" s="40" t="n"/>
      <c r="B986" s="40" t="n"/>
      <c r="C986" s="40" t="n"/>
      <c r="D986" s="40" t="n"/>
      <c r="E986" s="40" t="n"/>
      <c r="F986" s="40" t="n"/>
      <c r="G986" s="40" t="n"/>
      <c r="H986" s="40" t="n"/>
      <c r="I986" s="40" t="n"/>
      <c r="J986" s="40" t="n"/>
      <c r="K986" s="40" t="n"/>
      <c r="L986" s="40" t="n"/>
      <c r="M986" s="40" t="n"/>
      <c r="N986" s="40" t="n"/>
    </row>
    <row r="987" ht="15.75" customHeight="1" s="58">
      <c r="A987" s="40" t="n"/>
      <c r="B987" s="40" t="n"/>
      <c r="C987" s="40" t="n"/>
      <c r="D987" s="40" t="n"/>
      <c r="E987" s="40" t="n"/>
      <c r="F987" s="40" t="n"/>
      <c r="G987" s="40" t="n"/>
      <c r="H987" s="40" t="n"/>
      <c r="I987" s="40" t="n"/>
      <c r="J987" s="40" t="n"/>
      <c r="K987" s="40" t="n"/>
      <c r="L987" s="40" t="n"/>
      <c r="M987" s="40" t="n"/>
      <c r="N987" s="40" t="n"/>
    </row>
    <row r="988" ht="15.75" customHeight="1" s="58">
      <c r="A988" s="40" t="n"/>
      <c r="B988" s="40" t="n"/>
      <c r="C988" s="40" t="n"/>
      <c r="D988" s="40" t="n"/>
      <c r="E988" s="40" t="n"/>
      <c r="F988" s="40" t="n"/>
      <c r="G988" s="40" t="n"/>
      <c r="H988" s="40" t="n"/>
      <c r="I988" s="40" t="n"/>
      <c r="J988" s="40" t="n"/>
      <c r="K988" s="40" t="n"/>
      <c r="L988" s="40" t="n"/>
      <c r="M988" s="40" t="n"/>
      <c r="N988" s="40" t="n"/>
    </row>
    <row r="989" ht="15.75" customHeight="1" s="58">
      <c r="A989" s="40" t="n"/>
      <c r="B989" s="40" t="n"/>
      <c r="C989" s="40" t="n"/>
      <c r="D989" s="40" t="n"/>
      <c r="E989" s="40" t="n"/>
      <c r="F989" s="40" t="n"/>
      <c r="G989" s="40" t="n"/>
      <c r="H989" s="40" t="n"/>
      <c r="I989" s="40" t="n"/>
      <c r="J989" s="40" t="n"/>
      <c r="K989" s="40" t="n"/>
      <c r="L989" s="40" t="n"/>
      <c r="M989" s="40" t="n"/>
      <c r="N989" s="40" t="n"/>
    </row>
    <row r="990" ht="15.75" customHeight="1" s="58">
      <c r="A990" s="40" t="n"/>
      <c r="B990" s="40" t="n"/>
      <c r="C990" s="40" t="n"/>
      <c r="D990" s="40" t="n"/>
      <c r="E990" s="40" t="n"/>
      <c r="F990" s="40" t="n"/>
      <c r="G990" s="40" t="n"/>
      <c r="H990" s="40" t="n"/>
      <c r="I990" s="40" t="n"/>
      <c r="J990" s="40" t="n"/>
      <c r="K990" s="40" t="n"/>
      <c r="L990" s="40" t="n"/>
      <c r="M990" s="40" t="n"/>
      <c r="N990" s="40" t="n"/>
    </row>
    <row r="991" ht="15.75" customHeight="1" s="58">
      <c r="A991" s="40" t="n"/>
      <c r="B991" s="40" t="n"/>
      <c r="C991" s="40" t="n"/>
      <c r="D991" s="40" t="n"/>
      <c r="E991" s="40" t="n"/>
      <c r="F991" s="40" t="n"/>
      <c r="G991" s="40" t="n"/>
      <c r="H991" s="40" t="n"/>
      <c r="I991" s="40" t="n"/>
      <c r="J991" s="40" t="n"/>
      <c r="K991" s="40" t="n"/>
      <c r="L991" s="40" t="n"/>
      <c r="M991" s="40" t="n"/>
      <c r="N991" s="40" t="n"/>
    </row>
    <row r="992" ht="15.75" customHeight="1" s="58">
      <c r="A992" s="40" t="n"/>
      <c r="B992" s="40" t="n"/>
      <c r="C992" s="40" t="n"/>
      <c r="D992" s="40" t="n"/>
      <c r="E992" s="40" t="n"/>
      <c r="F992" s="40" t="n"/>
      <c r="G992" s="40" t="n"/>
      <c r="H992" s="40" t="n"/>
      <c r="I992" s="40" t="n"/>
      <c r="J992" s="40" t="n"/>
      <c r="K992" s="40" t="n"/>
      <c r="L992" s="40" t="n"/>
      <c r="M992" s="40" t="n"/>
      <c r="N992" s="40" t="n"/>
    </row>
    <row r="993" ht="15.75" customHeight="1" s="58">
      <c r="A993" s="40" t="n"/>
      <c r="B993" s="40" t="n"/>
      <c r="C993" s="40" t="n"/>
      <c r="D993" s="40" t="n"/>
      <c r="E993" s="40" t="n"/>
      <c r="F993" s="40" t="n"/>
      <c r="G993" s="40" t="n"/>
      <c r="H993" s="40" t="n"/>
      <c r="I993" s="40" t="n"/>
      <c r="J993" s="40" t="n"/>
      <c r="K993" s="40" t="n"/>
      <c r="L993" s="40" t="n"/>
      <c r="M993" s="40" t="n"/>
      <c r="N993" s="40" t="n"/>
    </row>
    <row r="994" ht="15.75" customHeight="1" s="58">
      <c r="A994" s="40" t="n"/>
      <c r="B994" s="40" t="n"/>
      <c r="C994" s="40" t="n"/>
      <c r="D994" s="40" t="n"/>
      <c r="E994" s="40" t="n"/>
      <c r="F994" s="40" t="n"/>
      <c r="G994" s="40" t="n"/>
      <c r="H994" s="40" t="n"/>
      <c r="I994" s="40" t="n"/>
      <c r="J994" s="40" t="n"/>
      <c r="K994" s="40" t="n"/>
      <c r="L994" s="40" t="n"/>
      <c r="M994" s="40" t="n"/>
      <c r="N994" s="40" t="n"/>
    </row>
    <row r="995" ht="15.75" customHeight="1" s="58">
      <c r="A995" s="40" t="n"/>
      <c r="B995" s="40" t="n"/>
      <c r="C995" s="40" t="n"/>
      <c r="D995" s="40" t="n"/>
      <c r="E995" s="40" t="n"/>
      <c r="F995" s="40" t="n"/>
      <c r="G995" s="40" t="n"/>
      <c r="H995" s="40" t="n"/>
      <c r="I995" s="40" t="n"/>
      <c r="J995" s="40" t="n"/>
      <c r="K995" s="40" t="n"/>
      <c r="L995" s="40" t="n"/>
      <c r="M995" s="40" t="n"/>
      <c r="N995" s="40" t="n"/>
    </row>
    <row r="996" ht="15.75" customHeight="1" s="58">
      <c r="A996" s="40" t="n"/>
      <c r="B996" s="40" t="n"/>
      <c r="C996" s="40" t="n"/>
      <c r="D996" s="40" t="n"/>
      <c r="E996" s="40" t="n"/>
      <c r="F996" s="40" t="n"/>
      <c r="G996" s="40" t="n"/>
      <c r="H996" s="40" t="n"/>
      <c r="I996" s="40" t="n"/>
      <c r="J996" s="40" t="n"/>
      <c r="K996" s="40" t="n"/>
      <c r="L996" s="40" t="n"/>
      <c r="M996" s="40" t="n"/>
      <c r="N996" s="40" t="n"/>
    </row>
    <row r="997" ht="15.75" customHeight="1" s="58">
      <c r="A997" s="40" t="n"/>
      <c r="B997" s="40" t="n"/>
      <c r="C997" s="40" t="n"/>
      <c r="D997" s="40" t="n"/>
      <c r="E997" s="40" t="n"/>
      <c r="F997" s="40" t="n"/>
      <c r="G997" s="40" t="n"/>
      <c r="H997" s="40" t="n"/>
      <c r="I997" s="40" t="n"/>
      <c r="J997" s="40" t="n"/>
      <c r="K997" s="40" t="n"/>
      <c r="L997" s="40" t="n"/>
      <c r="M997" s="40" t="n"/>
      <c r="N997" s="40" t="n"/>
    </row>
    <row r="998" ht="15.75" customHeight="1" s="58">
      <c r="A998" s="40" t="n"/>
      <c r="B998" s="40" t="n"/>
      <c r="C998" s="40" t="n"/>
      <c r="D998" s="40" t="n"/>
      <c r="E998" s="40" t="n"/>
      <c r="F998" s="40" t="n"/>
      <c r="G998" s="40" t="n"/>
      <c r="H998" s="40" t="n"/>
      <c r="I998" s="40" t="n"/>
      <c r="J998" s="40" t="n"/>
      <c r="K998" s="40" t="n"/>
      <c r="L998" s="40" t="n"/>
      <c r="M998" s="40" t="n"/>
      <c r="N998" s="40" t="n"/>
    </row>
    <row r="999" ht="15.75" customHeight="1" s="58">
      <c r="A999" s="40" t="n"/>
      <c r="B999" s="40" t="n"/>
      <c r="C999" s="40" t="n"/>
      <c r="D999" s="40" t="n"/>
      <c r="E999" s="40" t="n"/>
      <c r="F999" s="40" t="n"/>
      <c r="G999" s="40" t="n"/>
      <c r="H999" s="40" t="n"/>
      <c r="I999" s="40" t="n"/>
      <c r="J999" s="40" t="n"/>
      <c r="K999" s="40" t="n"/>
      <c r="L999" s="40" t="n"/>
      <c r="M999" s="40" t="n"/>
      <c r="N999" s="40" t="n"/>
    </row>
    <row r="1000" ht="15.75" customHeight="1" s="58">
      <c r="A1000" s="40" t="inlineStr">
        <is>
          <t>Demo publico: datos ficticios anonimizados para portafolio.</t>
        </is>
      </c>
      <c r="B1000" s="40" t="n"/>
      <c r="C1000" s="40" t="n"/>
      <c r="D1000" s="40" t="n"/>
      <c r="E1000" s="40" t="n"/>
      <c r="F1000" s="40" t="n"/>
      <c r="G1000" s="40" t="n"/>
      <c r="H1000" s="40" t="n"/>
      <c r="I1000" s="40" t="n"/>
      <c r="J1000" s="40" t="n"/>
      <c r="K1000" s="40" t="n"/>
      <c r="L1000" s="40" t="n"/>
      <c r="M1000" s="40" t="n"/>
      <c r="N1000" s="40" t="n"/>
    </row>
  </sheetData>
  <dataValidations count="1">
    <dataValidation sqref="D2:D80" showDropDown="0" showInputMessage="0" showErrorMessage="0" allowBlank="1" type="list">
      <formula1>"SÍ,NO"</formula1>
    </dataValidation>
  </dataValidations>
  <pageMargins left="0.75" right="0.75" top="1" bottom="1" header="0" footer="0"/>
  <pageSetup orientation="landscape"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BFBFBF"/>
    <outlinePr summaryBelow="1" summaryRight="1"/>
    <pageSetUpPr fitToPage="1"/>
  </sheetPr>
  <dimension ref="A1:F1000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8" min="1" max="2"/>
    <col width="8.710000000000001" customWidth="1" style="58" min="3" max="4"/>
    <col width="12" customWidth="1" style="58" min="5" max="5"/>
    <col width="18" customWidth="1" style="58" min="6" max="6"/>
    <col width="8.710000000000001" customWidth="1" style="58" min="7" max="26"/>
  </cols>
  <sheetData>
    <row r="1" ht="15" customHeight="1" s="58">
      <c r="A1" s="55" t="inlineStr">
        <is>
          <t>FECHA</t>
        </is>
      </c>
      <c r="B1" s="55" t="inlineStr">
        <is>
          <t>DÍA</t>
        </is>
      </c>
      <c r="E1" s="55" t="inlineStr">
        <is>
          <t>No. MES</t>
        </is>
      </c>
      <c r="F1" s="55" t="inlineStr">
        <is>
          <t>MES</t>
        </is>
      </c>
    </row>
    <row r="2" ht="15" customHeight="1" s="58">
      <c r="A2" s="56" t="n">
        <v>46023</v>
      </c>
      <c r="B2" s="57" t="inlineStr">
        <is>
          <t>JUEVES</t>
        </is>
      </c>
      <c r="E2" s="1" t="n"/>
      <c r="F2" s="1" t="n"/>
    </row>
    <row r="3" ht="15" customHeight="1" s="58">
      <c r="A3" s="56" t="n">
        <v>46024</v>
      </c>
      <c r="B3" s="57" t="inlineStr">
        <is>
          <t>VIERNES</t>
        </is>
      </c>
      <c r="E3" s="57" t="n">
        <v>1</v>
      </c>
      <c r="F3" s="57" t="inlineStr">
        <is>
          <t>ENERO</t>
        </is>
      </c>
    </row>
    <row r="4" ht="15" customHeight="1" s="58">
      <c r="A4" s="56" t="n">
        <v>46025</v>
      </c>
      <c r="B4" s="57" t="inlineStr">
        <is>
          <t>SÁBADO</t>
        </is>
      </c>
      <c r="E4" s="57" t="n">
        <v>2</v>
      </c>
      <c r="F4" s="57" t="inlineStr">
        <is>
          <t>FEBRERO</t>
        </is>
      </c>
    </row>
    <row r="5" ht="15" customHeight="1" s="58">
      <c r="A5" s="56" t="n">
        <v>46026</v>
      </c>
      <c r="B5" s="57" t="inlineStr">
        <is>
          <t>DOMINGO</t>
        </is>
      </c>
      <c r="E5" s="57" t="n">
        <v>3</v>
      </c>
      <c r="F5" s="57" t="inlineStr">
        <is>
          <t>MARZO</t>
        </is>
      </c>
    </row>
    <row r="6" ht="15" customHeight="1" s="58">
      <c r="A6" s="56" t="n">
        <v>46027</v>
      </c>
      <c r="B6" s="57" t="inlineStr">
        <is>
          <t>LUNES</t>
        </is>
      </c>
      <c r="E6" s="57" t="n">
        <v>4</v>
      </c>
      <c r="F6" s="57" t="inlineStr">
        <is>
          <t>ABRIL</t>
        </is>
      </c>
    </row>
    <row r="7" ht="15" customHeight="1" s="58">
      <c r="A7" s="56" t="n">
        <v>46028</v>
      </c>
      <c r="B7" s="57" t="inlineStr">
        <is>
          <t>MARTES</t>
        </is>
      </c>
      <c r="E7" s="57" t="n">
        <v>5</v>
      </c>
      <c r="F7" s="57" t="inlineStr">
        <is>
          <t>MAYO</t>
        </is>
      </c>
    </row>
    <row r="8" ht="15" customHeight="1" s="58">
      <c r="A8" s="56" t="n">
        <v>46029</v>
      </c>
      <c r="B8" s="57" t="inlineStr">
        <is>
          <t>MIÉRCOLES</t>
        </is>
      </c>
      <c r="E8" s="57" t="n">
        <v>6</v>
      </c>
      <c r="F8" s="57" t="inlineStr">
        <is>
          <t>JUNIO</t>
        </is>
      </c>
    </row>
    <row r="9" ht="15" customHeight="1" s="58">
      <c r="A9" s="56" t="n">
        <v>46030</v>
      </c>
      <c r="B9" s="57" t="inlineStr">
        <is>
          <t>JUEVES</t>
        </is>
      </c>
      <c r="E9" s="57" t="n">
        <v>7</v>
      </c>
      <c r="F9" s="57" t="inlineStr">
        <is>
          <t>JULIO</t>
        </is>
      </c>
    </row>
    <row r="10" ht="15" customHeight="1" s="58">
      <c r="A10" s="56" t="n">
        <v>46031</v>
      </c>
      <c r="B10" s="57" t="inlineStr">
        <is>
          <t>VIERNES</t>
        </is>
      </c>
      <c r="E10" s="57" t="n">
        <v>8</v>
      </c>
      <c r="F10" s="57" t="inlineStr">
        <is>
          <t>AGOSTO</t>
        </is>
      </c>
    </row>
    <row r="11" ht="15" customHeight="1" s="58">
      <c r="A11" s="56" t="n">
        <v>46032</v>
      </c>
      <c r="B11" s="57" t="inlineStr">
        <is>
          <t>SÁBADO</t>
        </is>
      </c>
      <c r="E11" s="57" t="n">
        <v>9</v>
      </c>
      <c r="F11" s="57" t="inlineStr">
        <is>
          <t>SEPTIEMBRE</t>
        </is>
      </c>
    </row>
    <row r="12" ht="15" customHeight="1" s="58">
      <c r="A12" s="56" t="n">
        <v>46033</v>
      </c>
      <c r="B12" s="57" t="inlineStr">
        <is>
          <t>DOMINGO</t>
        </is>
      </c>
      <c r="E12" s="57" t="n">
        <v>10</v>
      </c>
      <c r="F12" s="57" t="inlineStr">
        <is>
          <t>OCTUBRE</t>
        </is>
      </c>
    </row>
    <row r="13" ht="15" customHeight="1" s="58">
      <c r="A13" s="56" t="n">
        <v>46034</v>
      </c>
      <c r="B13" s="57" t="inlineStr">
        <is>
          <t>LUNES</t>
        </is>
      </c>
      <c r="E13" s="57" t="n">
        <v>11</v>
      </c>
      <c r="F13" s="57" t="inlineStr">
        <is>
          <t>NOVIEMBRE</t>
        </is>
      </c>
    </row>
    <row r="14" ht="15" customHeight="1" s="58">
      <c r="A14" s="56" t="n">
        <v>46035</v>
      </c>
      <c r="B14" s="57" t="inlineStr">
        <is>
          <t>MARTES</t>
        </is>
      </c>
      <c r="E14" s="57" t="n">
        <v>12</v>
      </c>
      <c r="F14" s="57" t="inlineStr">
        <is>
          <t>DICIEMBRE</t>
        </is>
      </c>
    </row>
    <row r="15" ht="15" customHeight="1" s="58">
      <c r="A15" s="56" t="n">
        <v>46036</v>
      </c>
      <c r="B15" s="57" t="inlineStr">
        <is>
          <t>MIÉRCOLES</t>
        </is>
      </c>
      <c r="E15" s="1" t="n"/>
      <c r="F15" s="1" t="n"/>
    </row>
    <row r="16" ht="15" customHeight="1" s="58">
      <c r="A16" s="56" t="n">
        <v>46037</v>
      </c>
      <c r="B16" s="57" t="inlineStr">
        <is>
          <t>JUEVES</t>
        </is>
      </c>
      <c r="E16" s="1" t="n"/>
      <c r="F16" s="1" t="n"/>
    </row>
    <row r="17" ht="15" customHeight="1" s="58">
      <c r="A17" s="56" t="n">
        <v>46038</v>
      </c>
      <c r="B17" s="57" t="inlineStr">
        <is>
          <t>VIERNES</t>
        </is>
      </c>
      <c r="E17" s="1" t="n"/>
      <c r="F17" s="1" t="n"/>
    </row>
    <row r="18" ht="15" customHeight="1" s="58">
      <c r="A18" s="56" t="n">
        <v>46039</v>
      </c>
      <c r="B18" s="57" t="inlineStr">
        <is>
          <t>SÁBADO</t>
        </is>
      </c>
      <c r="E18" s="1" t="n"/>
      <c r="F18" s="1" t="n"/>
    </row>
    <row r="19" ht="15" customHeight="1" s="58">
      <c r="A19" s="56" t="n">
        <v>46040</v>
      </c>
      <c r="B19" s="57" t="inlineStr">
        <is>
          <t>DOMINGO</t>
        </is>
      </c>
      <c r="E19" s="1" t="n"/>
      <c r="F19" s="1" t="n"/>
    </row>
    <row r="20" ht="15" customHeight="1" s="58">
      <c r="A20" s="56" t="n">
        <v>46041</v>
      </c>
      <c r="B20" s="57" t="inlineStr">
        <is>
          <t>LUNES</t>
        </is>
      </c>
      <c r="E20" s="1" t="n"/>
      <c r="F20" s="1" t="n"/>
    </row>
    <row r="21" ht="15" customHeight="1" s="58">
      <c r="A21" s="56" t="n">
        <v>46042</v>
      </c>
      <c r="B21" s="57" t="inlineStr">
        <is>
          <t>MARTES</t>
        </is>
      </c>
      <c r="E21" s="1" t="n"/>
      <c r="F21" s="1" t="n"/>
    </row>
    <row r="22" ht="15" customHeight="1" s="58">
      <c r="A22" s="56" t="n">
        <v>46043</v>
      </c>
      <c r="B22" s="57" t="inlineStr">
        <is>
          <t>MIÉRCOLES</t>
        </is>
      </c>
      <c r="E22" s="1" t="n"/>
      <c r="F22" s="1" t="n"/>
    </row>
    <row r="23" ht="15" customHeight="1" s="58">
      <c r="A23" s="56" t="n">
        <v>46044</v>
      </c>
      <c r="B23" s="57" t="inlineStr">
        <is>
          <t>JUEVES</t>
        </is>
      </c>
      <c r="E23" s="1" t="n"/>
      <c r="F23" s="1" t="n"/>
    </row>
    <row r="24" ht="15" customHeight="1" s="58">
      <c r="A24" s="56" t="n">
        <v>46045</v>
      </c>
      <c r="B24" s="57" t="inlineStr">
        <is>
          <t>VIERNES</t>
        </is>
      </c>
      <c r="E24" s="1" t="n"/>
      <c r="F24" s="1" t="n"/>
    </row>
    <row r="25" ht="15" customHeight="1" s="58">
      <c r="A25" s="56" t="n">
        <v>46046</v>
      </c>
      <c r="B25" s="57" t="inlineStr">
        <is>
          <t>SÁBADO</t>
        </is>
      </c>
      <c r="E25" s="1" t="n"/>
      <c r="F25" s="1" t="n"/>
    </row>
    <row r="26" ht="15" customHeight="1" s="58">
      <c r="A26" s="56" t="n">
        <v>46047</v>
      </c>
      <c r="B26" s="57" t="inlineStr">
        <is>
          <t>DOMINGO</t>
        </is>
      </c>
      <c r="E26" s="1" t="n"/>
      <c r="F26" s="1" t="n"/>
    </row>
    <row r="27" ht="15" customHeight="1" s="58">
      <c r="A27" s="56" t="n">
        <v>46048</v>
      </c>
      <c r="B27" s="57" t="inlineStr">
        <is>
          <t>LUNES</t>
        </is>
      </c>
      <c r="E27" s="1" t="n"/>
      <c r="F27" s="1" t="n"/>
    </row>
    <row r="28" ht="15" customHeight="1" s="58">
      <c r="A28" s="56" t="n">
        <v>46049</v>
      </c>
      <c r="B28" s="57" t="inlineStr">
        <is>
          <t>MARTES</t>
        </is>
      </c>
      <c r="E28" s="1" t="n"/>
      <c r="F28" s="1" t="n"/>
    </row>
    <row r="29" ht="15" customHeight="1" s="58">
      <c r="A29" s="56" t="n">
        <v>46050</v>
      </c>
      <c r="B29" s="57" t="inlineStr">
        <is>
          <t>MIÉRCOLES</t>
        </is>
      </c>
      <c r="E29" s="1" t="n"/>
      <c r="F29" s="1" t="n"/>
    </row>
    <row r="30" ht="15" customHeight="1" s="58">
      <c r="A30" s="56" t="n">
        <v>46051</v>
      </c>
      <c r="B30" s="57" t="inlineStr">
        <is>
          <t>JUEVES</t>
        </is>
      </c>
      <c r="E30" s="1" t="n"/>
      <c r="F30" s="1" t="n"/>
    </row>
    <row r="31" ht="15" customHeight="1" s="58">
      <c r="A31" s="56" t="n">
        <v>46052</v>
      </c>
      <c r="B31" s="57" t="inlineStr">
        <is>
          <t>VIERNES</t>
        </is>
      </c>
      <c r="E31" s="1" t="n"/>
      <c r="F31" s="1" t="n"/>
    </row>
    <row r="32" ht="15" customHeight="1" s="58">
      <c r="A32" s="56" t="n">
        <v>46053</v>
      </c>
      <c r="B32" s="57" t="inlineStr">
        <is>
          <t>SÁBADO</t>
        </is>
      </c>
      <c r="E32" s="1" t="n"/>
      <c r="F32" s="1" t="n"/>
    </row>
    <row r="33" ht="15" customHeight="1" s="58">
      <c r="A33" s="56" t="n">
        <v>46054</v>
      </c>
      <c r="B33" s="57" t="inlineStr">
        <is>
          <t>DOMINGO</t>
        </is>
      </c>
      <c r="E33" s="1" t="n"/>
      <c r="F33" s="1" t="n"/>
    </row>
    <row r="34" ht="15" customHeight="1" s="58">
      <c r="A34" s="56" t="n">
        <v>46055</v>
      </c>
      <c r="B34" s="57" t="inlineStr">
        <is>
          <t>LUNES</t>
        </is>
      </c>
      <c r="E34" s="1" t="n"/>
      <c r="F34" s="1" t="n"/>
    </row>
    <row r="35" ht="15" customHeight="1" s="58">
      <c r="A35" s="56" t="n">
        <v>46056</v>
      </c>
      <c r="B35" s="57" t="inlineStr">
        <is>
          <t>MARTES</t>
        </is>
      </c>
      <c r="E35" s="1" t="n"/>
      <c r="F35" s="1" t="n"/>
    </row>
    <row r="36" ht="15" customHeight="1" s="58">
      <c r="A36" s="56" t="n">
        <v>46057</v>
      </c>
      <c r="B36" s="57" t="inlineStr">
        <is>
          <t>MIÉRCOLES</t>
        </is>
      </c>
      <c r="E36" s="1" t="n"/>
      <c r="F36" s="1" t="n"/>
    </row>
    <row r="37" ht="15" customHeight="1" s="58">
      <c r="A37" s="56" t="n">
        <v>46058</v>
      </c>
      <c r="B37" s="57" t="inlineStr">
        <is>
          <t>JUEVES</t>
        </is>
      </c>
      <c r="E37" s="1" t="n"/>
      <c r="F37" s="1" t="n"/>
    </row>
    <row r="38" ht="15" customHeight="1" s="58">
      <c r="A38" s="56" t="n">
        <v>46059</v>
      </c>
      <c r="B38" s="57" t="inlineStr">
        <is>
          <t>VIERNES</t>
        </is>
      </c>
      <c r="E38" s="1" t="n"/>
      <c r="F38" s="1" t="n"/>
    </row>
    <row r="39" ht="15" customHeight="1" s="58">
      <c r="A39" s="56" t="n">
        <v>46060</v>
      </c>
      <c r="B39" s="57" t="inlineStr">
        <is>
          <t>SÁBADO</t>
        </is>
      </c>
      <c r="E39" s="1" t="n"/>
      <c r="F39" s="1" t="n"/>
    </row>
    <row r="40" ht="15" customHeight="1" s="58">
      <c r="A40" s="56" t="n">
        <v>46061</v>
      </c>
      <c r="B40" s="57" t="inlineStr">
        <is>
          <t>DOMINGO</t>
        </is>
      </c>
      <c r="E40" s="1" t="n"/>
      <c r="F40" s="1" t="n"/>
    </row>
    <row r="41" ht="15" customHeight="1" s="58">
      <c r="A41" s="56" t="n">
        <v>46062</v>
      </c>
      <c r="B41" s="57" t="inlineStr">
        <is>
          <t>LUNES</t>
        </is>
      </c>
      <c r="E41" s="1" t="n"/>
      <c r="F41" s="1" t="n"/>
    </row>
    <row r="42" ht="15" customHeight="1" s="58">
      <c r="A42" s="56" t="n">
        <v>46063</v>
      </c>
      <c r="B42" s="57" t="inlineStr">
        <is>
          <t>MARTES</t>
        </is>
      </c>
      <c r="E42" s="1" t="n"/>
      <c r="F42" s="1" t="n"/>
    </row>
    <row r="43" ht="15" customHeight="1" s="58">
      <c r="A43" s="56" t="n">
        <v>46064</v>
      </c>
      <c r="B43" s="57" t="inlineStr">
        <is>
          <t>MIÉRCOLES</t>
        </is>
      </c>
      <c r="E43" s="1" t="n"/>
      <c r="F43" s="1" t="n"/>
    </row>
    <row r="44" ht="15" customHeight="1" s="58">
      <c r="A44" s="56" t="n">
        <v>46065</v>
      </c>
      <c r="B44" s="57" t="inlineStr">
        <is>
          <t>JUEVES</t>
        </is>
      </c>
      <c r="E44" s="1" t="n"/>
      <c r="F44" s="1" t="n"/>
    </row>
    <row r="45" ht="15" customHeight="1" s="58">
      <c r="A45" s="56" t="n">
        <v>46066</v>
      </c>
      <c r="B45" s="57" t="inlineStr">
        <is>
          <t>VIERNES</t>
        </is>
      </c>
      <c r="E45" s="1" t="n"/>
      <c r="F45" s="1" t="n"/>
    </row>
    <row r="46" ht="15" customHeight="1" s="58">
      <c r="A46" s="56" t="n">
        <v>46067</v>
      </c>
      <c r="B46" s="57" t="inlineStr">
        <is>
          <t>SÁBADO</t>
        </is>
      </c>
      <c r="E46" s="1" t="n"/>
      <c r="F46" s="1" t="n"/>
    </row>
    <row r="47" ht="15" customHeight="1" s="58">
      <c r="A47" s="56" t="n">
        <v>46068</v>
      </c>
      <c r="B47" s="57" t="inlineStr">
        <is>
          <t>DOMINGO</t>
        </is>
      </c>
      <c r="E47" s="1" t="n"/>
      <c r="F47" s="1" t="n"/>
    </row>
    <row r="48" ht="15" customHeight="1" s="58">
      <c r="A48" s="56" t="n">
        <v>46069</v>
      </c>
      <c r="B48" s="57" t="inlineStr">
        <is>
          <t>LUNES</t>
        </is>
      </c>
      <c r="E48" s="1" t="n"/>
      <c r="F48" s="1" t="n"/>
    </row>
    <row r="49" ht="15" customHeight="1" s="58">
      <c r="A49" s="56" t="n">
        <v>46070</v>
      </c>
      <c r="B49" s="57" t="inlineStr">
        <is>
          <t>MARTES</t>
        </is>
      </c>
      <c r="E49" s="1" t="n"/>
      <c r="F49" s="1" t="n"/>
    </row>
    <row r="50" ht="15" customHeight="1" s="58">
      <c r="A50" s="56" t="n">
        <v>46071</v>
      </c>
      <c r="B50" s="57" t="inlineStr">
        <is>
          <t>MIÉRCOLES</t>
        </is>
      </c>
      <c r="E50" s="1" t="n"/>
      <c r="F50" s="1" t="n"/>
    </row>
    <row r="51" ht="15" customHeight="1" s="58">
      <c r="A51" s="56" t="n">
        <v>46072</v>
      </c>
      <c r="B51" s="57" t="inlineStr">
        <is>
          <t>JUEVES</t>
        </is>
      </c>
      <c r="E51" s="1" t="n"/>
      <c r="F51" s="1" t="n"/>
    </row>
    <row r="52" ht="15" customHeight="1" s="58">
      <c r="A52" s="56" t="n">
        <v>46073</v>
      </c>
      <c r="B52" s="57" t="inlineStr">
        <is>
          <t>VIERNES</t>
        </is>
      </c>
      <c r="E52" s="1" t="n"/>
      <c r="F52" s="1" t="n"/>
    </row>
    <row r="53" ht="15" customHeight="1" s="58">
      <c r="A53" s="56" t="n">
        <v>46074</v>
      </c>
      <c r="B53" s="57" t="inlineStr">
        <is>
          <t>SÁBADO</t>
        </is>
      </c>
      <c r="E53" s="1" t="n"/>
      <c r="F53" s="1" t="n"/>
    </row>
    <row r="54" ht="15" customHeight="1" s="58">
      <c r="A54" s="56" t="n">
        <v>46075</v>
      </c>
      <c r="B54" s="57" t="inlineStr">
        <is>
          <t>DOMINGO</t>
        </is>
      </c>
      <c r="E54" s="1" t="n"/>
      <c r="F54" s="1" t="n"/>
    </row>
    <row r="55" ht="15" customHeight="1" s="58">
      <c r="A55" s="56" t="n">
        <v>46076</v>
      </c>
      <c r="B55" s="57" t="inlineStr">
        <is>
          <t>LUNES</t>
        </is>
      </c>
      <c r="E55" s="1" t="n"/>
      <c r="F55" s="1" t="n"/>
    </row>
    <row r="56" ht="15" customHeight="1" s="58">
      <c r="A56" s="56" t="n">
        <v>46077</v>
      </c>
      <c r="B56" s="57" t="inlineStr">
        <is>
          <t>MARTES</t>
        </is>
      </c>
      <c r="E56" s="1" t="n"/>
      <c r="F56" s="1" t="n"/>
    </row>
    <row r="57" ht="15" customHeight="1" s="58">
      <c r="A57" s="56" t="n">
        <v>46078</v>
      </c>
      <c r="B57" s="57" t="inlineStr">
        <is>
          <t>MIÉRCOLES</t>
        </is>
      </c>
      <c r="E57" s="1" t="n"/>
      <c r="F57" s="1" t="n"/>
    </row>
    <row r="58" ht="15" customHeight="1" s="58">
      <c r="A58" s="56" t="n">
        <v>46079</v>
      </c>
      <c r="B58" s="57" t="inlineStr">
        <is>
          <t>JUEVES</t>
        </is>
      </c>
      <c r="E58" s="1" t="n"/>
      <c r="F58" s="1" t="n"/>
    </row>
    <row r="59" ht="15" customHeight="1" s="58">
      <c r="A59" s="56" t="n">
        <v>46080</v>
      </c>
      <c r="B59" s="57" t="inlineStr">
        <is>
          <t>VIERNES</t>
        </is>
      </c>
      <c r="E59" s="1" t="n"/>
      <c r="F59" s="1" t="n"/>
    </row>
    <row r="60" ht="15" customHeight="1" s="58">
      <c r="A60" s="56" t="n">
        <v>46081</v>
      </c>
      <c r="B60" s="57" t="inlineStr">
        <is>
          <t>SÁBADO</t>
        </is>
      </c>
      <c r="E60" s="1" t="n"/>
      <c r="F60" s="1" t="n"/>
    </row>
    <row r="61" ht="15" customHeight="1" s="58">
      <c r="A61" s="56" t="n">
        <v>46082</v>
      </c>
      <c r="B61" s="57" t="inlineStr">
        <is>
          <t>DOMINGO</t>
        </is>
      </c>
      <c r="E61" s="1" t="n"/>
      <c r="F61" s="1" t="n"/>
    </row>
    <row r="62" ht="15" customHeight="1" s="58">
      <c r="A62" s="56" t="n">
        <v>46083</v>
      </c>
      <c r="B62" s="57" t="inlineStr">
        <is>
          <t>LUNES</t>
        </is>
      </c>
      <c r="E62" s="1" t="n"/>
      <c r="F62" s="1" t="n"/>
    </row>
    <row r="63" ht="15" customHeight="1" s="58">
      <c r="A63" s="56" t="n">
        <v>46084</v>
      </c>
      <c r="B63" s="57" t="inlineStr">
        <is>
          <t>MARTES</t>
        </is>
      </c>
      <c r="E63" s="1" t="n"/>
      <c r="F63" s="1" t="n"/>
    </row>
    <row r="64" ht="15" customHeight="1" s="58">
      <c r="A64" s="56" t="n">
        <v>46085</v>
      </c>
      <c r="B64" s="57" t="inlineStr">
        <is>
          <t>MIÉRCOLES</t>
        </is>
      </c>
      <c r="E64" s="1" t="n"/>
      <c r="F64" s="1" t="n"/>
    </row>
    <row r="65" ht="15" customHeight="1" s="58">
      <c r="A65" s="56" t="n">
        <v>46086</v>
      </c>
      <c r="B65" s="57" t="inlineStr">
        <is>
          <t>JUEVES</t>
        </is>
      </c>
      <c r="E65" s="1" t="n"/>
      <c r="F65" s="1" t="n"/>
    </row>
    <row r="66" ht="15" customHeight="1" s="58">
      <c r="A66" s="56" t="n">
        <v>46087</v>
      </c>
      <c r="B66" s="57" t="inlineStr">
        <is>
          <t>VIERNES</t>
        </is>
      </c>
      <c r="E66" s="1" t="n"/>
      <c r="F66" s="1" t="n"/>
    </row>
    <row r="67" ht="15" customHeight="1" s="58">
      <c r="A67" s="56" t="n">
        <v>46088</v>
      </c>
      <c r="B67" s="57" t="inlineStr">
        <is>
          <t>SÁBADO</t>
        </is>
      </c>
      <c r="E67" s="1" t="n"/>
      <c r="F67" s="1" t="n"/>
    </row>
    <row r="68" ht="15" customHeight="1" s="58">
      <c r="A68" s="56" t="n">
        <v>46089</v>
      </c>
      <c r="B68" s="57" t="inlineStr">
        <is>
          <t>DOMINGO</t>
        </is>
      </c>
      <c r="E68" s="1" t="n"/>
      <c r="F68" s="1" t="n"/>
    </row>
    <row r="69" ht="15" customHeight="1" s="58">
      <c r="A69" s="56" t="n">
        <v>46090</v>
      </c>
      <c r="B69" s="57" t="inlineStr">
        <is>
          <t>LUNES</t>
        </is>
      </c>
      <c r="E69" s="1" t="n"/>
      <c r="F69" s="1" t="n"/>
    </row>
    <row r="70" ht="15" customHeight="1" s="58">
      <c r="A70" s="56" t="n">
        <v>46091</v>
      </c>
      <c r="B70" s="57" t="inlineStr">
        <is>
          <t>MARTES</t>
        </is>
      </c>
      <c r="E70" s="1" t="n"/>
      <c r="F70" s="1" t="n"/>
    </row>
    <row r="71" ht="15" customHeight="1" s="58">
      <c r="A71" s="56" t="n">
        <v>46092</v>
      </c>
      <c r="B71" s="57" t="inlineStr">
        <is>
          <t>MIÉRCOLES</t>
        </is>
      </c>
      <c r="E71" s="1" t="n"/>
      <c r="F71" s="1" t="n"/>
    </row>
    <row r="72" ht="15" customHeight="1" s="58">
      <c r="A72" s="56" t="n">
        <v>46093</v>
      </c>
      <c r="B72" s="57" t="inlineStr">
        <is>
          <t>JUEVES</t>
        </is>
      </c>
      <c r="E72" s="1" t="n"/>
      <c r="F72" s="1" t="n"/>
    </row>
    <row r="73" ht="15" customHeight="1" s="58">
      <c r="A73" s="56" t="n">
        <v>46094</v>
      </c>
      <c r="B73" s="57" t="inlineStr">
        <is>
          <t>VIERNES</t>
        </is>
      </c>
      <c r="E73" s="1" t="n"/>
      <c r="F73" s="1" t="n"/>
    </row>
    <row r="74" ht="15" customHeight="1" s="58">
      <c r="A74" s="56" t="n">
        <v>46095</v>
      </c>
      <c r="B74" s="57" t="inlineStr">
        <is>
          <t>SÁBADO</t>
        </is>
      </c>
      <c r="E74" s="1" t="n"/>
      <c r="F74" s="1" t="n"/>
    </row>
    <row r="75" ht="15" customHeight="1" s="58">
      <c r="A75" s="56" t="n">
        <v>46096</v>
      </c>
      <c r="B75" s="57" t="inlineStr">
        <is>
          <t>DOMINGO</t>
        </is>
      </c>
      <c r="E75" s="1" t="n"/>
      <c r="F75" s="1" t="n"/>
    </row>
    <row r="76" ht="15" customHeight="1" s="58">
      <c r="A76" s="56" t="n">
        <v>46097</v>
      </c>
      <c r="B76" s="57" t="inlineStr">
        <is>
          <t>LUNES</t>
        </is>
      </c>
      <c r="E76" s="1" t="n"/>
      <c r="F76" s="1" t="n"/>
    </row>
    <row r="77" ht="15" customHeight="1" s="58">
      <c r="A77" s="56" t="n">
        <v>46098</v>
      </c>
      <c r="B77" s="57" t="inlineStr">
        <is>
          <t>MARTES</t>
        </is>
      </c>
      <c r="E77" s="1" t="n"/>
      <c r="F77" s="1" t="n"/>
    </row>
    <row r="78" ht="15" customHeight="1" s="58">
      <c r="A78" s="56" t="n">
        <v>46099</v>
      </c>
      <c r="B78" s="57" t="inlineStr">
        <is>
          <t>MIÉRCOLES</t>
        </is>
      </c>
      <c r="E78" s="1" t="n"/>
      <c r="F78" s="1" t="n"/>
    </row>
    <row r="79" ht="15" customHeight="1" s="58">
      <c r="A79" s="56" t="n">
        <v>46100</v>
      </c>
      <c r="B79" s="57" t="inlineStr">
        <is>
          <t>JUEVES</t>
        </is>
      </c>
      <c r="E79" s="1" t="n"/>
      <c r="F79" s="1" t="n"/>
    </row>
    <row r="80" ht="15" customHeight="1" s="58">
      <c r="A80" s="56" t="n">
        <v>46101</v>
      </c>
      <c r="B80" s="57" t="inlineStr">
        <is>
          <t>VIERNES</t>
        </is>
      </c>
      <c r="E80" s="1" t="n"/>
      <c r="F80" s="1" t="n"/>
    </row>
    <row r="81" ht="15" customHeight="1" s="58">
      <c r="A81" s="56" t="n">
        <v>46102</v>
      </c>
      <c r="B81" s="57" t="inlineStr">
        <is>
          <t>SÁBADO</t>
        </is>
      </c>
      <c r="E81" s="1" t="n"/>
      <c r="F81" s="1" t="n"/>
    </row>
    <row r="82" ht="15" customHeight="1" s="58">
      <c r="A82" s="56" t="n">
        <v>46103</v>
      </c>
      <c r="B82" s="57" t="inlineStr">
        <is>
          <t>DOMINGO</t>
        </is>
      </c>
      <c r="E82" s="1" t="n"/>
      <c r="F82" s="1" t="n"/>
    </row>
    <row r="83" ht="15" customHeight="1" s="58">
      <c r="A83" s="56" t="n">
        <v>46104</v>
      </c>
      <c r="B83" s="57" t="inlineStr">
        <is>
          <t>LUNES</t>
        </is>
      </c>
      <c r="E83" s="1" t="n"/>
      <c r="F83" s="1" t="n"/>
    </row>
    <row r="84" ht="15" customHeight="1" s="58">
      <c r="A84" s="56" t="n">
        <v>46105</v>
      </c>
      <c r="B84" s="57" t="inlineStr">
        <is>
          <t>MARTES</t>
        </is>
      </c>
      <c r="E84" s="1" t="n"/>
      <c r="F84" s="1" t="n"/>
    </row>
    <row r="85" ht="15" customHeight="1" s="58">
      <c r="A85" s="56" t="n">
        <v>46106</v>
      </c>
      <c r="B85" s="57" t="inlineStr">
        <is>
          <t>MIÉRCOLES</t>
        </is>
      </c>
      <c r="E85" s="1" t="n"/>
      <c r="F85" s="1" t="n"/>
    </row>
    <row r="86" ht="15" customHeight="1" s="58">
      <c r="A86" s="56" t="n">
        <v>46107</v>
      </c>
      <c r="B86" s="57" t="inlineStr">
        <is>
          <t>JUEVES</t>
        </is>
      </c>
      <c r="E86" s="1" t="n"/>
      <c r="F86" s="1" t="n"/>
    </row>
    <row r="87" ht="15" customHeight="1" s="58">
      <c r="A87" s="56" t="n">
        <v>46108</v>
      </c>
      <c r="B87" s="57" t="inlineStr">
        <is>
          <t>VIERNES</t>
        </is>
      </c>
      <c r="E87" s="1" t="n"/>
      <c r="F87" s="1" t="n"/>
    </row>
    <row r="88" ht="15" customHeight="1" s="58">
      <c r="A88" s="56" t="n">
        <v>46109</v>
      </c>
      <c r="B88" s="57" t="inlineStr">
        <is>
          <t>SÁBADO</t>
        </is>
      </c>
      <c r="E88" s="1" t="n"/>
      <c r="F88" s="1" t="n"/>
    </row>
    <row r="89" ht="15" customHeight="1" s="58">
      <c r="A89" s="56" t="n">
        <v>46110</v>
      </c>
      <c r="B89" s="57" t="inlineStr">
        <is>
          <t>DOMINGO</t>
        </is>
      </c>
      <c r="E89" s="1" t="n"/>
      <c r="F89" s="1" t="n"/>
    </row>
    <row r="90" ht="15" customHeight="1" s="58">
      <c r="A90" s="56" t="n">
        <v>46111</v>
      </c>
      <c r="B90" s="57" t="inlineStr">
        <is>
          <t>LUNES</t>
        </is>
      </c>
      <c r="E90" s="1" t="n"/>
      <c r="F90" s="1" t="n"/>
    </row>
    <row r="91" ht="15" customHeight="1" s="58">
      <c r="A91" s="56" t="n">
        <v>46112</v>
      </c>
      <c r="B91" s="57" t="inlineStr">
        <is>
          <t>MARTES</t>
        </is>
      </c>
      <c r="E91" s="1" t="n"/>
      <c r="F91" s="1" t="n"/>
    </row>
    <row r="92" ht="15" customHeight="1" s="58">
      <c r="A92" s="56" t="n">
        <v>46113</v>
      </c>
      <c r="B92" s="57" t="inlineStr">
        <is>
          <t>MIÉRCOLES</t>
        </is>
      </c>
      <c r="E92" s="1" t="n"/>
      <c r="F92" s="1" t="n"/>
    </row>
    <row r="93" ht="15" customHeight="1" s="58">
      <c r="A93" s="56" t="n">
        <v>46114</v>
      </c>
      <c r="B93" s="57" t="inlineStr">
        <is>
          <t>JUEVES</t>
        </is>
      </c>
      <c r="E93" s="1" t="n"/>
      <c r="F93" s="1" t="n"/>
    </row>
    <row r="94" ht="15" customHeight="1" s="58">
      <c r="A94" s="56" t="n">
        <v>46115</v>
      </c>
      <c r="B94" s="57" t="inlineStr">
        <is>
          <t>VIERNES</t>
        </is>
      </c>
      <c r="E94" s="1" t="n"/>
      <c r="F94" s="1" t="n"/>
    </row>
    <row r="95" ht="15" customHeight="1" s="58">
      <c r="A95" s="56" t="n">
        <v>46116</v>
      </c>
      <c r="B95" s="57" t="inlineStr">
        <is>
          <t>SÁBADO</t>
        </is>
      </c>
      <c r="E95" s="1" t="n"/>
      <c r="F95" s="1" t="n"/>
    </row>
    <row r="96" ht="15" customHeight="1" s="58">
      <c r="A96" s="56" t="n">
        <v>46117</v>
      </c>
      <c r="B96" s="57" t="inlineStr">
        <is>
          <t>DOMINGO</t>
        </is>
      </c>
      <c r="E96" s="1" t="n"/>
      <c r="F96" s="1" t="n"/>
    </row>
    <row r="97" ht="15" customHeight="1" s="58">
      <c r="A97" s="56" t="n">
        <v>46118</v>
      </c>
      <c r="B97" s="57" t="inlineStr">
        <is>
          <t>LUNES</t>
        </is>
      </c>
      <c r="E97" s="1" t="n"/>
      <c r="F97" s="1" t="n"/>
    </row>
    <row r="98" ht="15" customHeight="1" s="58">
      <c r="A98" s="56" t="n">
        <v>46119</v>
      </c>
      <c r="B98" s="57" t="inlineStr">
        <is>
          <t>MARTES</t>
        </is>
      </c>
      <c r="E98" s="1" t="n"/>
      <c r="F98" s="1" t="n"/>
    </row>
    <row r="99" ht="15" customHeight="1" s="58">
      <c r="A99" s="56" t="n">
        <v>46120</v>
      </c>
      <c r="B99" s="57" t="inlineStr">
        <is>
          <t>MIÉRCOLES</t>
        </is>
      </c>
      <c r="E99" s="1" t="n"/>
      <c r="F99" s="1" t="n"/>
    </row>
    <row r="100" ht="15" customHeight="1" s="58">
      <c r="A100" s="56" t="n">
        <v>46121</v>
      </c>
      <c r="B100" s="57" t="inlineStr">
        <is>
          <t>JUEVES</t>
        </is>
      </c>
      <c r="E100" s="1" t="n"/>
      <c r="F100" s="1" t="n"/>
    </row>
    <row r="101" ht="15" customHeight="1" s="58">
      <c r="A101" s="56" t="n">
        <v>46122</v>
      </c>
      <c r="B101" s="57" t="inlineStr">
        <is>
          <t>VIERNES</t>
        </is>
      </c>
      <c r="E101" s="1" t="n"/>
      <c r="F101" s="1" t="n"/>
    </row>
    <row r="102" ht="15" customHeight="1" s="58">
      <c r="A102" s="56" t="n">
        <v>46123</v>
      </c>
      <c r="B102" s="57" t="inlineStr">
        <is>
          <t>SÁBADO</t>
        </is>
      </c>
      <c r="E102" s="1" t="n"/>
      <c r="F102" s="1" t="n"/>
    </row>
    <row r="103" ht="15" customHeight="1" s="58">
      <c r="A103" s="56" t="n">
        <v>46124</v>
      </c>
      <c r="B103" s="57" t="inlineStr">
        <is>
          <t>DOMINGO</t>
        </is>
      </c>
      <c r="E103" s="1" t="n"/>
      <c r="F103" s="1" t="n"/>
    </row>
    <row r="104" ht="15" customHeight="1" s="58">
      <c r="A104" s="56" t="n">
        <v>46125</v>
      </c>
      <c r="B104" s="57" t="inlineStr">
        <is>
          <t>LUNES</t>
        </is>
      </c>
      <c r="E104" s="1" t="n"/>
      <c r="F104" s="1" t="n"/>
    </row>
    <row r="105" ht="15" customHeight="1" s="58">
      <c r="A105" s="56" t="n">
        <v>46126</v>
      </c>
      <c r="B105" s="57" t="inlineStr">
        <is>
          <t>MARTES</t>
        </is>
      </c>
      <c r="E105" s="1" t="n"/>
      <c r="F105" s="1" t="n"/>
    </row>
    <row r="106" ht="15" customHeight="1" s="58">
      <c r="A106" s="56" t="n">
        <v>46127</v>
      </c>
      <c r="B106" s="57" t="inlineStr">
        <is>
          <t>MIÉRCOLES</t>
        </is>
      </c>
      <c r="E106" s="1" t="n"/>
      <c r="F106" s="1" t="n"/>
    </row>
    <row r="107" ht="15" customHeight="1" s="58">
      <c r="A107" s="56" t="n">
        <v>46128</v>
      </c>
      <c r="B107" s="57" t="inlineStr">
        <is>
          <t>JUEVES</t>
        </is>
      </c>
      <c r="E107" s="1" t="n"/>
      <c r="F107" s="1" t="n"/>
    </row>
    <row r="108" ht="15" customHeight="1" s="58">
      <c r="A108" s="56" t="n">
        <v>46129</v>
      </c>
      <c r="B108" s="57" t="inlineStr">
        <is>
          <t>VIERNES</t>
        </is>
      </c>
      <c r="E108" s="1" t="n"/>
      <c r="F108" s="1" t="n"/>
    </row>
    <row r="109" ht="15" customHeight="1" s="58">
      <c r="A109" s="56" t="n">
        <v>46130</v>
      </c>
      <c r="B109" s="57" t="inlineStr">
        <is>
          <t>SÁBADO</t>
        </is>
      </c>
      <c r="E109" s="1" t="n"/>
      <c r="F109" s="1" t="n"/>
    </row>
    <row r="110" ht="15" customHeight="1" s="58">
      <c r="A110" s="56" t="n">
        <v>46131</v>
      </c>
      <c r="B110" s="57" t="inlineStr">
        <is>
          <t>DOMINGO</t>
        </is>
      </c>
      <c r="E110" s="1" t="n"/>
      <c r="F110" s="1" t="n"/>
    </row>
    <row r="111" ht="15" customHeight="1" s="58">
      <c r="A111" s="56" t="n">
        <v>46132</v>
      </c>
      <c r="B111" s="57" t="inlineStr">
        <is>
          <t>LUNES</t>
        </is>
      </c>
      <c r="E111" s="1" t="n"/>
      <c r="F111" s="1" t="n"/>
    </row>
    <row r="112" ht="15" customHeight="1" s="58">
      <c r="A112" s="56" t="n">
        <v>46133</v>
      </c>
      <c r="B112" s="57" t="inlineStr">
        <is>
          <t>MARTES</t>
        </is>
      </c>
      <c r="E112" s="1" t="n"/>
      <c r="F112" s="1" t="n"/>
    </row>
    <row r="113" ht="15" customHeight="1" s="58">
      <c r="A113" s="56" t="n">
        <v>46134</v>
      </c>
      <c r="B113" s="57" t="inlineStr">
        <is>
          <t>MIÉRCOLES</t>
        </is>
      </c>
      <c r="E113" s="1" t="n"/>
      <c r="F113" s="1" t="n"/>
    </row>
    <row r="114" ht="15" customHeight="1" s="58">
      <c r="A114" s="56" t="n">
        <v>46135</v>
      </c>
      <c r="B114" s="57" t="inlineStr">
        <is>
          <t>JUEVES</t>
        </is>
      </c>
      <c r="E114" s="1" t="n"/>
      <c r="F114" s="1" t="n"/>
    </row>
    <row r="115" ht="15" customHeight="1" s="58">
      <c r="A115" s="56" t="n">
        <v>46136</v>
      </c>
      <c r="B115" s="57" t="inlineStr">
        <is>
          <t>VIERNES</t>
        </is>
      </c>
      <c r="E115" s="1" t="n"/>
      <c r="F115" s="1" t="n"/>
    </row>
    <row r="116" ht="15" customHeight="1" s="58">
      <c r="A116" s="56" t="n">
        <v>46137</v>
      </c>
      <c r="B116" s="57" t="inlineStr">
        <is>
          <t>SÁBADO</t>
        </is>
      </c>
      <c r="E116" s="1" t="n"/>
      <c r="F116" s="1" t="n"/>
    </row>
    <row r="117" ht="15" customHeight="1" s="58">
      <c r="A117" s="56" t="n">
        <v>46138</v>
      </c>
      <c r="B117" s="57" t="inlineStr">
        <is>
          <t>DOMINGO</t>
        </is>
      </c>
      <c r="E117" s="1" t="n"/>
      <c r="F117" s="1" t="n"/>
    </row>
    <row r="118" ht="15" customHeight="1" s="58">
      <c r="A118" s="56" t="n">
        <v>46139</v>
      </c>
      <c r="B118" s="57" t="inlineStr">
        <is>
          <t>LUNES</t>
        </is>
      </c>
      <c r="E118" s="1" t="n"/>
      <c r="F118" s="1" t="n"/>
    </row>
    <row r="119" ht="15" customHeight="1" s="58">
      <c r="A119" s="56" t="n">
        <v>46140</v>
      </c>
      <c r="B119" s="57" t="inlineStr">
        <is>
          <t>MARTES</t>
        </is>
      </c>
      <c r="E119" s="1" t="n"/>
      <c r="F119" s="1" t="n"/>
    </row>
    <row r="120" ht="15" customHeight="1" s="58">
      <c r="A120" s="56" t="n">
        <v>46141</v>
      </c>
      <c r="B120" s="57" t="inlineStr">
        <is>
          <t>MIÉRCOLES</t>
        </is>
      </c>
      <c r="E120" s="1" t="n"/>
      <c r="F120" s="1" t="n"/>
    </row>
    <row r="121" ht="15" customHeight="1" s="58">
      <c r="A121" s="56" t="n">
        <v>46142</v>
      </c>
      <c r="B121" s="57" t="inlineStr">
        <is>
          <t>JUEVES</t>
        </is>
      </c>
      <c r="E121" s="1" t="n"/>
      <c r="F121" s="1" t="n"/>
    </row>
    <row r="122" ht="15" customHeight="1" s="58">
      <c r="A122" s="56" t="n">
        <v>46143</v>
      </c>
      <c r="B122" s="57" t="inlineStr">
        <is>
          <t>VIERNES</t>
        </is>
      </c>
      <c r="E122" s="1" t="n"/>
      <c r="F122" s="1" t="n"/>
    </row>
    <row r="123" ht="15" customHeight="1" s="58">
      <c r="A123" s="56" t="n">
        <v>46144</v>
      </c>
      <c r="B123" s="57" t="inlineStr">
        <is>
          <t>SÁBADO</t>
        </is>
      </c>
      <c r="E123" s="1" t="n"/>
      <c r="F123" s="1" t="n"/>
    </row>
    <row r="124" ht="15" customHeight="1" s="58">
      <c r="A124" s="56" t="n">
        <v>46145</v>
      </c>
      <c r="B124" s="57" t="inlineStr">
        <is>
          <t>DOMINGO</t>
        </is>
      </c>
      <c r="E124" s="1" t="n"/>
      <c r="F124" s="1" t="n"/>
    </row>
    <row r="125" ht="15" customHeight="1" s="58">
      <c r="A125" s="56" t="n">
        <v>46146</v>
      </c>
      <c r="B125" s="57" t="inlineStr">
        <is>
          <t>LUNES</t>
        </is>
      </c>
      <c r="E125" s="1" t="n"/>
      <c r="F125" s="1" t="n"/>
    </row>
    <row r="126" ht="15" customHeight="1" s="58">
      <c r="A126" s="56" t="n">
        <v>46147</v>
      </c>
      <c r="B126" s="57" t="inlineStr">
        <is>
          <t>MARTES</t>
        </is>
      </c>
      <c r="E126" s="1" t="n"/>
      <c r="F126" s="1" t="n"/>
    </row>
    <row r="127" ht="15" customHeight="1" s="58">
      <c r="A127" s="56" t="n">
        <v>46148</v>
      </c>
      <c r="B127" s="57" t="inlineStr">
        <is>
          <t>MIÉRCOLES</t>
        </is>
      </c>
      <c r="E127" s="1" t="n"/>
      <c r="F127" s="1" t="n"/>
    </row>
    <row r="128" ht="15" customHeight="1" s="58">
      <c r="A128" s="56" t="n">
        <v>46149</v>
      </c>
      <c r="B128" s="57" t="inlineStr">
        <is>
          <t>JUEVES</t>
        </is>
      </c>
      <c r="E128" s="1" t="n"/>
      <c r="F128" s="1" t="n"/>
    </row>
    <row r="129" ht="15" customHeight="1" s="58">
      <c r="A129" s="56" t="n">
        <v>46150</v>
      </c>
      <c r="B129" s="57" t="inlineStr">
        <is>
          <t>VIERNES</t>
        </is>
      </c>
      <c r="E129" s="1" t="n"/>
      <c r="F129" s="1" t="n"/>
    </row>
    <row r="130" ht="15" customHeight="1" s="58">
      <c r="A130" s="56" t="n">
        <v>46151</v>
      </c>
      <c r="B130" s="57" t="inlineStr">
        <is>
          <t>SÁBADO</t>
        </is>
      </c>
      <c r="E130" s="1" t="n"/>
      <c r="F130" s="1" t="n"/>
    </row>
    <row r="131" ht="15" customHeight="1" s="58">
      <c r="A131" s="56" t="n">
        <v>46152</v>
      </c>
      <c r="B131" s="57" t="inlineStr">
        <is>
          <t>DOMINGO</t>
        </is>
      </c>
      <c r="E131" s="1" t="n"/>
      <c r="F131" s="1" t="n"/>
    </row>
    <row r="132" ht="15" customHeight="1" s="58">
      <c r="A132" s="56" t="n">
        <v>46153</v>
      </c>
      <c r="B132" s="57" t="inlineStr">
        <is>
          <t>LUNES</t>
        </is>
      </c>
      <c r="E132" s="1" t="n"/>
      <c r="F132" s="1" t="n"/>
    </row>
    <row r="133" ht="15" customHeight="1" s="58">
      <c r="A133" s="56" t="n">
        <v>46154</v>
      </c>
      <c r="B133" s="57" t="inlineStr">
        <is>
          <t>MARTES</t>
        </is>
      </c>
      <c r="E133" s="1" t="n"/>
      <c r="F133" s="1" t="n"/>
    </row>
    <row r="134" ht="15" customHeight="1" s="58">
      <c r="A134" s="56" t="n">
        <v>46155</v>
      </c>
      <c r="B134" s="57" t="inlineStr">
        <is>
          <t>MIÉRCOLES</t>
        </is>
      </c>
      <c r="E134" s="1" t="n"/>
      <c r="F134" s="1" t="n"/>
    </row>
    <row r="135" ht="15" customHeight="1" s="58">
      <c r="A135" s="56" t="n">
        <v>46156</v>
      </c>
      <c r="B135" s="57" t="inlineStr">
        <is>
          <t>JUEVES</t>
        </is>
      </c>
      <c r="E135" s="1" t="n"/>
      <c r="F135" s="1" t="n"/>
    </row>
    <row r="136" ht="15" customHeight="1" s="58">
      <c r="A136" s="56" t="n">
        <v>46157</v>
      </c>
      <c r="B136" s="57" t="inlineStr">
        <is>
          <t>VIERNES</t>
        </is>
      </c>
      <c r="E136" s="1" t="n"/>
      <c r="F136" s="1" t="n"/>
    </row>
    <row r="137" ht="15" customHeight="1" s="58">
      <c r="A137" s="56" t="n">
        <v>46158</v>
      </c>
      <c r="B137" s="57" t="inlineStr">
        <is>
          <t>SÁBADO</t>
        </is>
      </c>
      <c r="E137" s="1" t="n"/>
      <c r="F137" s="1" t="n"/>
    </row>
    <row r="138" ht="15" customHeight="1" s="58">
      <c r="A138" s="56" t="n">
        <v>46159</v>
      </c>
      <c r="B138" s="57" t="inlineStr">
        <is>
          <t>DOMINGO</t>
        </is>
      </c>
      <c r="E138" s="1" t="n"/>
      <c r="F138" s="1" t="n"/>
    </row>
    <row r="139" ht="15" customHeight="1" s="58">
      <c r="A139" s="56" t="n">
        <v>46160</v>
      </c>
      <c r="B139" s="57" t="inlineStr">
        <is>
          <t>LUNES</t>
        </is>
      </c>
      <c r="E139" s="1" t="n"/>
      <c r="F139" s="1" t="n"/>
    </row>
    <row r="140" ht="15" customHeight="1" s="58">
      <c r="A140" s="56" t="n">
        <v>46161</v>
      </c>
      <c r="B140" s="57" t="inlineStr">
        <is>
          <t>MARTES</t>
        </is>
      </c>
      <c r="E140" s="1" t="n"/>
      <c r="F140" s="1" t="n"/>
    </row>
    <row r="141" ht="15" customHeight="1" s="58">
      <c r="A141" s="56" t="n">
        <v>46162</v>
      </c>
      <c r="B141" s="57" t="inlineStr">
        <is>
          <t>MIÉRCOLES</t>
        </is>
      </c>
      <c r="E141" s="1" t="n"/>
      <c r="F141" s="1" t="n"/>
    </row>
    <row r="142" ht="15" customHeight="1" s="58">
      <c r="A142" s="56" t="n">
        <v>46163</v>
      </c>
      <c r="B142" s="57" t="inlineStr">
        <is>
          <t>JUEVES</t>
        </is>
      </c>
      <c r="E142" s="1" t="n"/>
      <c r="F142" s="1" t="n"/>
    </row>
    <row r="143" ht="15" customHeight="1" s="58">
      <c r="A143" s="56" t="n">
        <v>46164</v>
      </c>
      <c r="B143" s="57" t="inlineStr">
        <is>
          <t>VIERNES</t>
        </is>
      </c>
      <c r="E143" s="1" t="n"/>
      <c r="F143" s="1" t="n"/>
    </row>
    <row r="144" ht="15" customHeight="1" s="58">
      <c r="A144" s="56" t="n">
        <v>46165</v>
      </c>
      <c r="B144" s="57" t="inlineStr">
        <is>
          <t>SÁBADO</t>
        </is>
      </c>
      <c r="E144" s="1" t="n"/>
      <c r="F144" s="1" t="n"/>
    </row>
    <row r="145" ht="15" customHeight="1" s="58">
      <c r="A145" s="56" t="n">
        <v>46166</v>
      </c>
      <c r="B145" s="57" t="inlineStr">
        <is>
          <t>DOMINGO</t>
        </is>
      </c>
      <c r="E145" s="1" t="n"/>
      <c r="F145" s="1" t="n"/>
    </row>
    <row r="146" ht="15" customHeight="1" s="58">
      <c r="A146" s="56" t="n">
        <v>46167</v>
      </c>
      <c r="B146" s="57" t="inlineStr">
        <is>
          <t>LUNES</t>
        </is>
      </c>
      <c r="E146" s="1" t="n"/>
      <c r="F146" s="1" t="n"/>
    </row>
    <row r="147" ht="15" customHeight="1" s="58">
      <c r="A147" s="56" t="n">
        <v>46168</v>
      </c>
      <c r="B147" s="57" t="inlineStr">
        <is>
          <t>MARTES</t>
        </is>
      </c>
      <c r="E147" s="1" t="n"/>
      <c r="F147" s="1" t="n"/>
    </row>
    <row r="148" ht="15" customHeight="1" s="58">
      <c r="A148" s="56" t="n">
        <v>46169</v>
      </c>
      <c r="B148" s="57" t="inlineStr">
        <is>
          <t>MIÉRCOLES</t>
        </is>
      </c>
      <c r="E148" s="1" t="n"/>
      <c r="F148" s="1" t="n"/>
    </row>
    <row r="149" ht="15" customHeight="1" s="58">
      <c r="A149" s="56" t="n">
        <v>46170</v>
      </c>
      <c r="B149" s="57" t="inlineStr">
        <is>
          <t>JUEVES</t>
        </is>
      </c>
      <c r="E149" s="1" t="n"/>
      <c r="F149" s="1" t="n"/>
    </row>
    <row r="150" ht="15" customHeight="1" s="58">
      <c r="A150" s="56" t="n">
        <v>46171</v>
      </c>
      <c r="B150" s="57" t="inlineStr">
        <is>
          <t>VIERNES</t>
        </is>
      </c>
      <c r="E150" s="1" t="n"/>
      <c r="F150" s="1" t="n"/>
    </row>
    <row r="151" ht="15" customHeight="1" s="58">
      <c r="A151" s="56" t="n">
        <v>46172</v>
      </c>
      <c r="B151" s="57" t="inlineStr">
        <is>
          <t>SÁBADO</t>
        </is>
      </c>
      <c r="E151" s="1" t="n"/>
      <c r="F151" s="1" t="n"/>
    </row>
    <row r="152" ht="15" customHeight="1" s="58">
      <c r="A152" s="56" t="n">
        <v>46173</v>
      </c>
      <c r="B152" s="57" t="inlineStr">
        <is>
          <t>DOMINGO</t>
        </is>
      </c>
      <c r="E152" s="1" t="n"/>
      <c r="F152" s="1" t="n"/>
    </row>
    <row r="153" ht="15" customHeight="1" s="58">
      <c r="A153" s="56" t="n">
        <v>46174</v>
      </c>
      <c r="B153" s="57" t="inlineStr">
        <is>
          <t>LUNES</t>
        </is>
      </c>
      <c r="E153" s="1" t="n"/>
      <c r="F153" s="1" t="n"/>
    </row>
    <row r="154" ht="15" customHeight="1" s="58">
      <c r="A154" s="56" t="n">
        <v>46175</v>
      </c>
      <c r="B154" s="57" t="inlineStr">
        <is>
          <t>MARTES</t>
        </is>
      </c>
      <c r="E154" s="1" t="n"/>
      <c r="F154" s="1" t="n"/>
    </row>
    <row r="155" ht="15" customHeight="1" s="58">
      <c r="A155" s="56" t="n">
        <v>46176</v>
      </c>
      <c r="B155" s="57" t="inlineStr">
        <is>
          <t>MIÉRCOLES</t>
        </is>
      </c>
      <c r="E155" s="1" t="n"/>
      <c r="F155" s="1" t="n"/>
    </row>
    <row r="156" ht="15" customHeight="1" s="58">
      <c r="A156" s="56" t="n">
        <v>46177</v>
      </c>
      <c r="B156" s="57" t="inlineStr">
        <is>
          <t>JUEVES</t>
        </is>
      </c>
      <c r="E156" s="1" t="n"/>
      <c r="F156" s="1" t="n"/>
    </row>
    <row r="157" ht="15" customHeight="1" s="58">
      <c r="A157" s="56" t="n">
        <v>46178</v>
      </c>
      <c r="B157" s="57" t="inlineStr">
        <is>
          <t>VIERNES</t>
        </is>
      </c>
      <c r="E157" s="1" t="n"/>
      <c r="F157" s="1" t="n"/>
    </row>
    <row r="158" ht="15" customHeight="1" s="58">
      <c r="A158" s="56" t="n">
        <v>46179</v>
      </c>
      <c r="B158" s="57" t="inlineStr">
        <is>
          <t>SÁBADO</t>
        </is>
      </c>
      <c r="E158" s="1" t="n"/>
      <c r="F158" s="1" t="n"/>
    </row>
    <row r="159" ht="15" customHeight="1" s="58">
      <c r="A159" s="56" t="n">
        <v>46180</v>
      </c>
      <c r="B159" s="57" t="inlineStr">
        <is>
          <t>DOMINGO</t>
        </is>
      </c>
      <c r="E159" s="1" t="n"/>
      <c r="F159" s="1" t="n"/>
    </row>
    <row r="160" ht="15" customHeight="1" s="58">
      <c r="A160" s="56" t="n">
        <v>46181</v>
      </c>
      <c r="B160" s="57" t="inlineStr">
        <is>
          <t>LUNES</t>
        </is>
      </c>
      <c r="E160" s="1" t="n"/>
      <c r="F160" s="1" t="n"/>
    </row>
    <row r="161" ht="15" customHeight="1" s="58">
      <c r="A161" s="56" t="n">
        <v>46182</v>
      </c>
      <c r="B161" s="57" t="inlineStr">
        <is>
          <t>MARTES</t>
        </is>
      </c>
      <c r="E161" s="1" t="n"/>
      <c r="F161" s="1" t="n"/>
    </row>
    <row r="162" ht="15" customHeight="1" s="58">
      <c r="A162" s="56" t="n">
        <v>46183</v>
      </c>
      <c r="B162" s="57" t="inlineStr">
        <is>
          <t>MIÉRCOLES</t>
        </is>
      </c>
      <c r="E162" s="1" t="n"/>
      <c r="F162" s="1" t="n"/>
    </row>
    <row r="163" ht="15" customHeight="1" s="58">
      <c r="A163" s="56" t="n">
        <v>46184</v>
      </c>
      <c r="B163" s="57" t="inlineStr">
        <is>
          <t>JUEVES</t>
        </is>
      </c>
      <c r="E163" s="1" t="n"/>
      <c r="F163" s="1" t="n"/>
    </row>
    <row r="164" ht="15" customHeight="1" s="58">
      <c r="A164" s="56" t="n">
        <v>46185</v>
      </c>
      <c r="B164" s="57" t="inlineStr">
        <is>
          <t>VIERNES</t>
        </is>
      </c>
      <c r="E164" s="1" t="n"/>
      <c r="F164" s="1" t="n"/>
    </row>
    <row r="165" ht="15" customHeight="1" s="58">
      <c r="A165" s="56" t="n">
        <v>46186</v>
      </c>
      <c r="B165" s="57" t="inlineStr">
        <is>
          <t>SÁBADO</t>
        </is>
      </c>
      <c r="E165" s="1" t="n"/>
      <c r="F165" s="1" t="n"/>
    </row>
    <row r="166" ht="15" customHeight="1" s="58">
      <c r="A166" s="56" t="n">
        <v>46187</v>
      </c>
      <c r="B166" s="57" t="inlineStr">
        <is>
          <t>DOMINGO</t>
        </is>
      </c>
      <c r="E166" s="1" t="n"/>
      <c r="F166" s="1" t="n"/>
    </row>
    <row r="167" ht="15" customHeight="1" s="58">
      <c r="A167" s="56" t="n">
        <v>46188</v>
      </c>
      <c r="B167" s="57" t="inlineStr">
        <is>
          <t>LUNES</t>
        </is>
      </c>
      <c r="E167" s="1" t="n"/>
      <c r="F167" s="1" t="n"/>
    </row>
    <row r="168" ht="15" customHeight="1" s="58">
      <c r="A168" s="56" t="n">
        <v>46189</v>
      </c>
      <c r="B168" s="57" t="inlineStr">
        <is>
          <t>MARTES</t>
        </is>
      </c>
      <c r="E168" s="1" t="n"/>
      <c r="F168" s="1" t="n"/>
    </row>
    <row r="169" ht="15" customHeight="1" s="58">
      <c r="A169" s="56" t="n">
        <v>46190</v>
      </c>
      <c r="B169" s="57" t="inlineStr">
        <is>
          <t>MIÉRCOLES</t>
        </is>
      </c>
      <c r="E169" s="1" t="n"/>
      <c r="F169" s="1" t="n"/>
    </row>
    <row r="170" ht="15" customHeight="1" s="58">
      <c r="A170" s="56" t="n">
        <v>46191</v>
      </c>
      <c r="B170" s="57" t="inlineStr">
        <is>
          <t>JUEVES</t>
        </is>
      </c>
      <c r="E170" s="1" t="n"/>
      <c r="F170" s="1" t="n"/>
    </row>
    <row r="171" ht="15" customHeight="1" s="58">
      <c r="A171" s="56" t="n">
        <v>46192</v>
      </c>
      <c r="B171" s="57" t="inlineStr">
        <is>
          <t>VIERNES</t>
        </is>
      </c>
      <c r="E171" s="1" t="n"/>
      <c r="F171" s="1" t="n"/>
    </row>
    <row r="172" ht="15" customHeight="1" s="58">
      <c r="A172" s="56" t="n">
        <v>46193</v>
      </c>
      <c r="B172" s="57" t="inlineStr">
        <is>
          <t>SÁBADO</t>
        </is>
      </c>
      <c r="E172" s="1" t="n"/>
      <c r="F172" s="1" t="n"/>
    </row>
    <row r="173" ht="15" customHeight="1" s="58">
      <c r="A173" s="56" t="n">
        <v>46194</v>
      </c>
      <c r="B173" s="57" t="inlineStr">
        <is>
          <t>DOMINGO</t>
        </is>
      </c>
      <c r="E173" s="1" t="n"/>
      <c r="F173" s="1" t="n"/>
    </row>
    <row r="174" ht="15" customHeight="1" s="58">
      <c r="A174" s="56" t="n">
        <v>46195</v>
      </c>
      <c r="B174" s="57" t="inlineStr">
        <is>
          <t>LUNES</t>
        </is>
      </c>
      <c r="E174" s="1" t="n"/>
      <c r="F174" s="1" t="n"/>
    </row>
    <row r="175" ht="15" customHeight="1" s="58">
      <c r="A175" s="56" t="n">
        <v>46196</v>
      </c>
      <c r="B175" s="57" t="inlineStr">
        <is>
          <t>MARTES</t>
        </is>
      </c>
      <c r="E175" s="1" t="n"/>
      <c r="F175" s="1" t="n"/>
    </row>
    <row r="176" ht="15" customHeight="1" s="58">
      <c r="A176" s="56" t="n">
        <v>46197</v>
      </c>
      <c r="B176" s="57" t="inlineStr">
        <is>
          <t>MIÉRCOLES</t>
        </is>
      </c>
      <c r="E176" s="1" t="n"/>
      <c r="F176" s="1" t="n"/>
    </row>
    <row r="177" ht="15" customHeight="1" s="58">
      <c r="A177" s="56" t="n">
        <v>46198</v>
      </c>
      <c r="B177" s="57" t="inlineStr">
        <is>
          <t>JUEVES</t>
        </is>
      </c>
      <c r="E177" s="1" t="n"/>
      <c r="F177" s="1" t="n"/>
    </row>
    <row r="178" ht="15" customHeight="1" s="58">
      <c r="A178" s="56" t="n">
        <v>46199</v>
      </c>
      <c r="B178" s="57" t="inlineStr">
        <is>
          <t>VIERNES</t>
        </is>
      </c>
      <c r="E178" s="1" t="n"/>
      <c r="F178" s="1" t="n"/>
    </row>
    <row r="179" ht="15" customHeight="1" s="58">
      <c r="A179" s="56" t="n">
        <v>46200</v>
      </c>
      <c r="B179" s="57" t="inlineStr">
        <is>
          <t>SÁBADO</t>
        </is>
      </c>
      <c r="E179" s="1" t="n"/>
      <c r="F179" s="1" t="n"/>
    </row>
    <row r="180" ht="15" customHeight="1" s="58">
      <c r="A180" s="56" t="n">
        <v>46201</v>
      </c>
      <c r="B180" s="57" t="inlineStr">
        <is>
          <t>DOMINGO</t>
        </is>
      </c>
      <c r="E180" s="1" t="n"/>
      <c r="F180" s="1" t="n"/>
    </row>
    <row r="181" ht="15" customHeight="1" s="58">
      <c r="A181" s="56" t="n">
        <v>46202</v>
      </c>
      <c r="B181" s="57" t="inlineStr">
        <is>
          <t>LUNES</t>
        </is>
      </c>
      <c r="E181" s="1" t="n"/>
      <c r="F181" s="1" t="n"/>
    </row>
    <row r="182" ht="15" customHeight="1" s="58">
      <c r="A182" s="56" t="n">
        <v>46203</v>
      </c>
      <c r="B182" s="57" t="inlineStr">
        <is>
          <t>MARTES</t>
        </is>
      </c>
      <c r="E182" s="1" t="n"/>
      <c r="F182" s="1" t="n"/>
    </row>
    <row r="183" ht="15" customHeight="1" s="58">
      <c r="A183" s="56" t="n">
        <v>46204</v>
      </c>
      <c r="B183" s="57" t="inlineStr">
        <is>
          <t>MIÉRCOLES</t>
        </is>
      </c>
      <c r="E183" s="1" t="n"/>
      <c r="F183" s="1" t="n"/>
    </row>
    <row r="184" ht="15" customHeight="1" s="58">
      <c r="A184" s="56" t="n">
        <v>46205</v>
      </c>
      <c r="B184" s="57" t="inlineStr">
        <is>
          <t>JUEVES</t>
        </is>
      </c>
      <c r="E184" s="1" t="n"/>
      <c r="F184" s="1" t="n"/>
    </row>
    <row r="185" ht="15" customHeight="1" s="58">
      <c r="A185" s="56" t="n">
        <v>46206</v>
      </c>
      <c r="B185" s="57" t="inlineStr">
        <is>
          <t>VIERNES</t>
        </is>
      </c>
      <c r="E185" s="1" t="n"/>
      <c r="F185" s="1" t="n"/>
    </row>
    <row r="186" ht="15" customHeight="1" s="58">
      <c r="A186" s="56" t="n">
        <v>46207</v>
      </c>
      <c r="B186" s="57" t="inlineStr">
        <is>
          <t>SÁBADO</t>
        </is>
      </c>
      <c r="E186" s="1" t="n"/>
      <c r="F186" s="1" t="n"/>
    </row>
    <row r="187" ht="15" customHeight="1" s="58">
      <c r="A187" s="56" t="n">
        <v>46208</v>
      </c>
      <c r="B187" s="57" t="inlineStr">
        <is>
          <t>DOMINGO</t>
        </is>
      </c>
      <c r="E187" s="1" t="n"/>
      <c r="F187" s="1" t="n"/>
    </row>
    <row r="188" ht="15" customHeight="1" s="58">
      <c r="A188" s="56" t="n">
        <v>46209</v>
      </c>
      <c r="B188" s="57" t="inlineStr">
        <is>
          <t>LUNES</t>
        </is>
      </c>
      <c r="E188" s="1" t="n"/>
      <c r="F188" s="1" t="n"/>
    </row>
    <row r="189" ht="15" customHeight="1" s="58">
      <c r="A189" s="56" t="n">
        <v>46210</v>
      </c>
      <c r="B189" s="57" t="inlineStr">
        <is>
          <t>MARTES</t>
        </is>
      </c>
      <c r="E189" s="1" t="n"/>
      <c r="F189" s="1" t="n"/>
    </row>
    <row r="190" ht="15" customHeight="1" s="58">
      <c r="A190" s="56" t="n">
        <v>46211</v>
      </c>
      <c r="B190" s="57" t="inlineStr">
        <is>
          <t>MIÉRCOLES</t>
        </is>
      </c>
      <c r="E190" s="1" t="n"/>
      <c r="F190" s="1" t="n"/>
    </row>
    <row r="191" ht="15" customHeight="1" s="58">
      <c r="A191" s="56" t="n">
        <v>46212</v>
      </c>
      <c r="B191" s="57" t="inlineStr">
        <is>
          <t>JUEVES</t>
        </is>
      </c>
      <c r="E191" s="1" t="n"/>
      <c r="F191" s="1" t="n"/>
    </row>
    <row r="192" ht="15" customHeight="1" s="58">
      <c r="A192" s="56" t="n">
        <v>46213</v>
      </c>
      <c r="B192" s="57" t="inlineStr">
        <is>
          <t>VIERNES</t>
        </is>
      </c>
      <c r="E192" s="1" t="n"/>
      <c r="F192" s="1" t="n"/>
    </row>
    <row r="193" ht="15" customHeight="1" s="58">
      <c r="A193" s="56" t="n">
        <v>46214</v>
      </c>
      <c r="B193" s="57" t="inlineStr">
        <is>
          <t>SÁBADO</t>
        </is>
      </c>
      <c r="E193" s="1" t="n"/>
      <c r="F193" s="1" t="n"/>
    </row>
    <row r="194" ht="15" customHeight="1" s="58">
      <c r="A194" s="56" t="n">
        <v>46215</v>
      </c>
      <c r="B194" s="57" t="inlineStr">
        <is>
          <t>DOMINGO</t>
        </is>
      </c>
      <c r="E194" s="1" t="n"/>
      <c r="F194" s="1" t="n"/>
    </row>
    <row r="195" ht="15" customHeight="1" s="58">
      <c r="A195" s="56" t="n">
        <v>46216</v>
      </c>
      <c r="B195" s="57" t="inlineStr">
        <is>
          <t>LUNES</t>
        </is>
      </c>
      <c r="E195" s="1" t="n"/>
      <c r="F195" s="1" t="n"/>
    </row>
    <row r="196" ht="15" customHeight="1" s="58">
      <c r="A196" s="56" t="n">
        <v>46217</v>
      </c>
      <c r="B196" s="57" t="inlineStr">
        <is>
          <t>MARTES</t>
        </is>
      </c>
      <c r="E196" s="1" t="n"/>
      <c r="F196" s="1" t="n"/>
    </row>
    <row r="197" ht="15" customHeight="1" s="58">
      <c r="A197" s="56" t="n">
        <v>46218</v>
      </c>
      <c r="B197" s="57" t="inlineStr">
        <is>
          <t>MIÉRCOLES</t>
        </is>
      </c>
      <c r="E197" s="1" t="n"/>
      <c r="F197" s="1" t="n"/>
    </row>
    <row r="198" ht="15" customHeight="1" s="58">
      <c r="A198" s="56" t="n">
        <v>46219</v>
      </c>
      <c r="B198" s="57" t="inlineStr">
        <is>
          <t>JUEVES</t>
        </is>
      </c>
      <c r="E198" s="1" t="n"/>
      <c r="F198" s="1" t="n"/>
    </row>
    <row r="199" ht="15" customHeight="1" s="58">
      <c r="A199" s="56" t="n">
        <v>46220</v>
      </c>
      <c r="B199" s="57" t="inlineStr">
        <is>
          <t>VIERNES</t>
        </is>
      </c>
      <c r="E199" s="1" t="n"/>
      <c r="F199" s="1" t="n"/>
    </row>
    <row r="200" ht="15" customHeight="1" s="58">
      <c r="A200" s="56" t="n">
        <v>46221</v>
      </c>
      <c r="B200" s="57" t="inlineStr">
        <is>
          <t>SÁBADO</t>
        </is>
      </c>
      <c r="E200" s="1" t="n"/>
      <c r="F200" s="1" t="n"/>
    </row>
    <row r="201" ht="15" customHeight="1" s="58">
      <c r="A201" s="56" t="n">
        <v>46222</v>
      </c>
      <c r="B201" s="57" t="inlineStr">
        <is>
          <t>DOMINGO</t>
        </is>
      </c>
      <c r="E201" s="1" t="n"/>
      <c r="F201" s="1" t="n"/>
    </row>
    <row r="202" ht="15" customHeight="1" s="58">
      <c r="A202" s="56" t="n">
        <v>46223</v>
      </c>
      <c r="B202" s="57" t="inlineStr">
        <is>
          <t>LUNES</t>
        </is>
      </c>
      <c r="E202" s="1" t="n"/>
      <c r="F202" s="1" t="n"/>
    </row>
    <row r="203" ht="15" customHeight="1" s="58">
      <c r="A203" s="56" t="n">
        <v>46224</v>
      </c>
      <c r="B203" s="57" t="inlineStr">
        <is>
          <t>MARTES</t>
        </is>
      </c>
      <c r="E203" s="1" t="n"/>
      <c r="F203" s="1" t="n"/>
    </row>
    <row r="204" ht="15" customHeight="1" s="58">
      <c r="A204" s="56" t="n">
        <v>46225</v>
      </c>
      <c r="B204" s="57" t="inlineStr">
        <is>
          <t>MIÉRCOLES</t>
        </is>
      </c>
      <c r="E204" s="1" t="n"/>
      <c r="F204" s="1" t="n"/>
    </row>
    <row r="205" ht="15" customHeight="1" s="58">
      <c r="A205" s="56" t="n">
        <v>46226</v>
      </c>
      <c r="B205" s="57" t="inlineStr">
        <is>
          <t>JUEVES</t>
        </is>
      </c>
      <c r="E205" s="1" t="n"/>
      <c r="F205" s="1" t="n"/>
    </row>
    <row r="206" ht="15" customHeight="1" s="58">
      <c r="A206" s="56" t="n">
        <v>46227</v>
      </c>
      <c r="B206" s="57" t="inlineStr">
        <is>
          <t>VIERNES</t>
        </is>
      </c>
      <c r="E206" s="1" t="n"/>
      <c r="F206" s="1" t="n"/>
    </row>
    <row r="207" ht="15" customHeight="1" s="58">
      <c r="A207" s="56" t="n">
        <v>46228</v>
      </c>
      <c r="B207" s="57" t="inlineStr">
        <is>
          <t>SÁBADO</t>
        </is>
      </c>
      <c r="E207" s="1" t="n"/>
      <c r="F207" s="1" t="n"/>
    </row>
    <row r="208" ht="15" customHeight="1" s="58">
      <c r="A208" s="56" t="n">
        <v>46229</v>
      </c>
      <c r="B208" s="57" t="inlineStr">
        <is>
          <t>DOMINGO</t>
        </is>
      </c>
      <c r="E208" s="1" t="n"/>
      <c r="F208" s="1" t="n"/>
    </row>
    <row r="209" ht="15" customHeight="1" s="58">
      <c r="A209" s="56" t="n">
        <v>46230</v>
      </c>
      <c r="B209" s="57" t="inlineStr">
        <is>
          <t>LUNES</t>
        </is>
      </c>
      <c r="E209" s="1" t="n"/>
      <c r="F209" s="1" t="n"/>
    </row>
    <row r="210" ht="15" customHeight="1" s="58">
      <c r="A210" s="56" t="n">
        <v>46231</v>
      </c>
      <c r="B210" s="57" t="inlineStr">
        <is>
          <t>MARTES</t>
        </is>
      </c>
      <c r="E210" s="1" t="n"/>
      <c r="F210" s="1" t="n"/>
    </row>
    <row r="211" ht="15" customHeight="1" s="58">
      <c r="A211" s="56" t="n">
        <v>46232</v>
      </c>
      <c r="B211" s="57" t="inlineStr">
        <is>
          <t>MIÉRCOLES</t>
        </is>
      </c>
      <c r="E211" s="1" t="n"/>
      <c r="F211" s="1" t="n"/>
    </row>
    <row r="212" ht="15" customHeight="1" s="58">
      <c r="A212" s="56" t="n">
        <v>46233</v>
      </c>
      <c r="B212" s="57" t="inlineStr">
        <is>
          <t>JUEVES</t>
        </is>
      </c>
      <c r="E212" s="1" t="n"/>
      <c r="F212" s="1" t="n"/>
    </row>
    <row r="213" ht="15" customHeight="1" s="58">
      <c r="A213" s="56" t="n">
        <v>46234</v>
      </c>
      <c r="B213" s="57" t="inlineStr">
        <is>
          <t>VIERNES</t>
        </is>
      </c>
      <c r="E213" s="1" t="n"/>
      <c r="F213" s="1" t="n"/>
    </row>
    <row r="214" ht="15" customHeight="1" s="58">
      <c r="A214" s="56" t="n">
        <v>46235</v>
      </c>
      <c r="B214" s="57" t="inlineStr">
        <is>
          <t>SÁBADO</t>
        </is>
      </c>
      <c r="E214" s="1" t="n"/>
      <c r="F214" s="1" t="n"/>
    </row>
    <row r="215" ht="15" customHeight="1" s="58">
      <c r="A215" s="56" t="n">
        <v>46236</v>
      </c>
      <c r="B215" s="57" t="inlineStr">
        <is>
          <t>DOMINGO</t>
        </is>
      </c>
      <c r="E215" s="1" t="n"/>
      <c r="F215" s="1" t="n"/>
    </row>
    <row r="216" ht="15" customHeight="1" s="58">
      <c r="A216" s="56" t="n">
        <v>46237</v>
      </c>
      <c r="B216" s="57" t="inlineStr">
        <is>
          <t>LUNES</t>
        </is>
      </c>
      <c r="E216" s="1" t="n"/>
      <c r="F216" s="1" t="n"/>
    </row>
    <row r="217" ht="15" customHeight="1" s="58">
      <c r="A217" s="56" t="n">
        <v>46238</v>
      </c>
      <c r="B217" s="57" t="inlineStr">
        <is>
          <t>MARTES</t>
        </is>
      </c>
      <c r="E217" s="1" t="n"/>
      <c r="F217" s="1" t="n"/>
    </row>
    <row r="218" ht="15" customHeight="1" s="58">
      <c r="A218" s="56" t="n">
        <v>46239</v>
      </c>
      <c r="B218" s="57" t="inlineStr">
        <is>
          <t>MIÉRCOLES</t>
        </is>
      </c>
      <c r="E218" s="1" t="n"/>
      <c r="F218" s="1" t="n"/>
    </row>
    <row r="219" ht="15" customHeight="1" s="58">
      <c r="A219" s="56" t="n">
        <v>46240</v>
      </c>
      <c r="B219" s="57" t="inlineStr">
        <is>
          <t>JUEVES</t>
        </is>
      </c>
      <c r="E219" s="1" t="n"/>
      <c r="F219" s="1" t="n"/>
    </row>
    <row r="220" ht="15" customHeight="1" s="58">
      <c r="A220" s="56" t="n">
        <v>46241</v>
      </c>
      <c r="B220" s="57" t="inlineStr">
        <is>
          <t>VIERNES</t>
        </is>
      </c>
      <c r="E220" s="1" t="n"/>
      <c r="F220" s="1" t="n"/>
    </row>
    <row r="221" ht="15" customHeight="1" s="58">
      <c r="A221" s="56" t="n">
        <v>46242</v>
      </c>
      <c r="B221" s="57" t="inlineStr">
        <is>
          <t>SÁBADO</t>
        </is>
      </c>
      <c r="E221" s="1" t="n"/>
      <c r="F221" s="1" t="n"/>
    </row>
    <row r="222" ht="15" customHeight="1" s="58">
      <c r="A222" s="56" t="n">
        <v>46243</v>
      </c>
      <c r="B222" s="57" t="inlineStr">
        <is>
          <t>DOMINGO</t>
        </is>
      </c>
      <c r="E222" s="1" t="n"/>
      <c r="F222" s="1" t="n"/>
    </row>
    <row r="223" ht="15" customHeight="1" s="58">
      <c r="A223" s="56" t="n">
        <v>46244</v>
      </c>
      <c r="B223" s="57" t="inlineStr">
        <is>
          <t>LUNES</t>
        </is>
      </c>
      <c r="E223" s="1" t="n"/>
      <c r="F223" s="1" t="n"/>
    </row>
    <row r="224" ht="15" customHeight="1" s="58">
      <c r="A224" s="56" t="n">
        <v>46245</v>
      </c>
      <c r="B224" s="57" t="inlineStr">
        <is>
          <t>MARTES</t>
        </is>
      </c>
      <c r="E224" s="1" t="n"/>
      <c r="F224" s="1" t="n"/>
    </row>
    <row r="225" ht="15" customHeight="1" s="58">
      <c r="A225" s="56" t="n">
        <v>46246</v>
      </c>
      <c r="B225" s="57" t="inlineStr">
        <is>
          <t>MIÉRCOLES</t>
        </is>
      </c>
      <c r="E225" s="1" t="n"/>
      <c r="F225" s="1" t="n"/>
    </row>
    <row r="226" ht="15" customHeight="1" s="58">
      <c r="A226" s="56" t="n">
        <v>46247</v>
      </c>
      <c r="B226" s="57" t="inlineStr">
        <is>
          <t>JUEVES</t>
        </is>
      </c>
      <c r="E226" s="1" t="n"/>
      <c r="F226" s="1" t="n"/>
    </row>
    <row r="227" ht="15" customHeight="1" s="58">
      <c r="A227" s="56" t="n">
        <v>46248</v>
      </c>
      <c r="B227" s="57" t="inlineStr">
        <is>
          <t>VIERNES</t>
        </is>
      </c>
      <c r="E227" s="1" t="n"/>
      <c r="F227" s="1" t="n"/>
    </row>
    <row r="228" ht="15" customHeight="1" s="58">
      <c r="A228" s="56" t="n">
        <v>46249</v>
      </c>
      <c r="B228" s="57" t="inlineStr">
        <is>
          <t>SÁBADO</t>
        </is>
      </c>
      <c r="E228" s="1" t="n"/>
      <c r="F228" s="1" t="n"/>
    </row>
    <row r="229" ht="15" customHeight="1" s="58">
      <c r="A229" s="56" t="n">
        <v>46250</v>
      </c>
      <c r="B229" s="57" t="inlineStr">
        <is>
          <t>DOMINGO</t>
        </is>
      </c>
      <c r="E229" s="1" t="n"/>
      <c r="F229" s="1" t="n"/>
    </row>
    <row r="230" ht="15" customHeight="1" s="58">
      <c r="A230" s="56" t="n">
        <v>46251</v>
      </c>
      <c r="B230" s="57" t="inlineStr">
        <is>
          <t>LUNES</t>
        </is>
      </c>
      <c r="E230" s="1" t="n"/>
      <c r="F230" s="1" t="n"/>
    </row>
    <row r="231" ht="15" customHeight="1" s="58">
      <c r="A231" s="56" t="n">
        <v>46252</v>
      </c>
      <c r="B231" s="57" t="inlineStr">
        <is>
          <t>MARTES</t>
        </is>
      </c>
      <c r="E231" s="1" t="n"/>
      <c r="F231" s="1" t="n"/>
    </row>
    <row r="232" ht="15" customHeight="1" s="58">
      <c r="A232" s="56" t="n">
        <v>46253</v>
      </c>
      <c r="B232" s="57" t="inlineStr">
        <is>
          <t>MIÉRCOLES</t>
        </is>
      </c>
      <c r="E232" s="1" t="n"/>
      <c r="F232" s="1" t="n"/>
    </row>
    <row r="233" ht="15" customHeight="1" s="58">
      <c r="A233" s="56" t="n">
        <v>46254</v>
      </c>
      <c r="B233" s="57" t="inlineStr">
        <is>
          <t>JUEVES</t>
        </is>
      </c>
      <c r="E233" s="1" t="n"/>
      <c r="F233" s="1" t="n"/>
    </row>
    <row r="234" ht="15" customHeight="1" s="58">
      <c r="A234" s="56" t="n">
        <v>46255</v>
      </c>
      <c r="B234" s="57" t="inlineStr">
        <is>
          <t>VIERNES</t>
        </is>
      </c>
      <c r="E234" s="1" t="n"/>
      <c r="F234" s="1" t="n"/>
    </row>
    <row r="235" ht="15" customHeight="1" s="58">
      <c r="A235" s="56" t="n">
        <v>46256</v>
      </c>
      <c r="B235" s="57" t="inlineStr">
        <is>
          <t>SÁBADO</t>
        </is>
      </c>
      <c r="E235" s="1" t="n"/>
      <c r="F235" s="1" t="n"/>
    </row>
    <row r="236" ht="15" customHeight="1" s="58">
      <c r="A236" s="56" t="n">
        <v>46257</v>
      </c>
      <c r="B236" s="57" t="inlineStr">
        <is>
          <t>DOMINGO</t>
        </is>
      </c>
      <c r="E236" s="1" t="n"/>
      <c r="F236" s="1" t="n"/>
    </row>
    <row r="237" ht="15" customHeight="1" s="58">
      <c r="A237" s="56" t="n">
        <v>46258</v>
      </c>
      <c r="B237" s="57" t="inlineStr">
        <is>
          <t>LUNES</t>
        </is>
      </c>
      <c r="E237" s="1" t="n"/>
      <c r="F237" s="1" t="n"/>
    </row>
    <row r="238" ht="15" customHeight="1" s="58">
      <c r="A238" s="56" t="n">
        <v>46259</v>
      </c>
      <c r="B238" s="57" t="inlineStr">
        <is>
          <t>MARTES</t>
        </is>
      </c>
      <c r="E238" s="1" t="n"/>
      <c r="F238" s="1" t="n"/>
    </row>
    <row r="239" ht="15" customHeight="1" s="58">
      <c r="A239" s="56" t="n">
        <v>46260</v>
      </c>
      <c r="B239" s="57" t="inlineStr">
        <is>
          <t>MIÉRCOLES</t>
        </is>
      </c>
      <c r="E239" s="1" t="n"/>
      <c r="F239" s="1" t="n"/>
    </row>
    <row r="240" ht="15" customHeight="1" s="58">
      <c r="A240" s="56" t="n">
        <v>46261</v>
      </c>
      <c r="B240" s="57" t="inlineStr">
        <is>
          <t>JUEVES</t>
        </is>
      </c>
      <c r="E240" s="1" t="n"/>
      <c r="F240" s="1" t="n"/>
    </row>
    <row r="241" ht="15" customHeight="1" s="58">
      <c r="A241" s="56" t="n">
        <v>46262</v>
      </c>
      <c r="B241" s="57" t="inlineStr">
        <is>
          <t>VIERNES</t>
        </is>
      </c>
      <c r="E241" s="1" t="n"/>
      <c r="F241" s="1" t="n"/>
    </row>
    <row r="242" ht="15" customHeight="1" s="58">
      <c r="A242" s="56" t="n">
        <v>46263</v>
      </c>
      <c r="B242" s="57" t="inlineStr">
        <is>
          <t>SÁBADO</t>
        </is>
      </c>
      <c r="E242" s="1" t="n"/>
      <c r="F242" s="1" t="n"/>
    </row>
    <row r="243" ht="15" customHeight="1" s="58">
      <c r="A243" s="56" t="n">
        <v>46264</v>
      </c>
      <c r="B243" s="57" t="inlineStr">
        <is>
          <t>DOMINGO</t>
        </is>
      </c>
      <c r="E243" s="1" t="n"/>
      <c r="F243" s="1" t="n"/>
    </row>
    <row r="244" ht="15" customHeight="1" s="58">
      <c r="A244" s="56" t="n">
        <v>46265</v>
      </c>
      <c r="B244" s="57" t="inlineStr">
        <is>
          <t>LUNES</t>
        </is>
      </c>
      <c r="E244" s="1" t="n"/>
      <c r="F244" s="1" t="n"/>
    </row>
    <row r="245" ht="15" customHeight="1" s="58">
      <c r="A245" s="56" t="n">
        <v>46266</v>
      </c>
      <c r="B245" s="57" t="inlineStr">
        <is>
          <t>MARTES</t>
        </is>
      </c>
      <c r="E245" s="1" t="n"/>
      <c r="F245" s="1" t="n"/>
    </row>
    <row r="246" ht="15" customHeight="1" s="58">
      <c r="A246" s="56" t="n">
        <v>46267</v>
      </c>
      <c r="B246" s="57" t="inlineStr">
        <is>
          <t>MIÉRCOLES</t>
        </is>
      </c>
      <c r="E246" s="1" t="n"/>
      <c r="F246" s="1" t="n"/>
    </row>
    <row r="247" ht="15" customHeight="1" s="58">
      <c r="A247" s="56" t="n">
        <v>46268</v>
      </c>
      <c r="B247" s="57" t="inlineStr">
        <is>
          <t>JUEVES</t>
        </is>
      </c>
      <c r="E247" s="1" t="n"/>
      <c r="F247" s="1" t="n"/>
    </row>
    <row r="248" ht="15" customHeight="1" s="58">
      <c r="A248" s="56" t="n">
        <v>46269</v>
      </c>
      <c r="B248" s="57" t="inlineStr">
        <is>
          <t>VIERNES</t>
        </is>
      </c>
      <c r="E248" s="1" t="n"/>
      <c r="F248" s="1" t="n"/>
    </row>
    <row r="249" ht="15" customHeight="1" s="58">
      <c r="A249" s="56" t="n">
        <v>46270</v>
      </c>
      <c r="B249" s="57" t="inlineStr">
        <is>
          <t>SÁBADO</t>
        </is>
      </c>
      <c r="E249" s="1" t="n"/>
      <c r="F249" s="1" t="n"/>
    </row>
    <row r="250" ht="15" customHeight="1" s="58">
      <c r="A250" s="56" t="n">
        <v>46271</v>
      </c>
      <c r="B250" s="57" t="inlineStr">
        <is>
          <t>DOMINGO</t>
        </is>
      </c>
      <c r="E250" s="1" t="n"/>
      <c r="F250" s="1" t="n"/>
    </row>
    <row r="251" ht="15" customHeight="1" s="58">
      <c r="A251" s="56" t="n">
        <v>46272</v>
      </c>
      <c r="B251" s="57" t="inlineStr">
        <is>
          <t>LUNES</t>
        </is>
      </c>
      <c r="E251" s="1" t="n"/>
      <c r="F251" s="1" t="n"/>
    </row>
    <row r="252" ht="15" customHeight="1" s="58">
      <c r="A252" s="56" t="n">
        <v>46273</v>
      </c>
      <c r="B252" s="57" t="inlineStr">
        <is>
          <t>MARTES</t>
        </is>
      </c>
      <c r="E252" s="1" t="n"/>
      <c r="F252" s="1" t="n"/>
    </row>
    <row r="253" ht="15" customHeight="1" s="58">
      <c r="A253" s="56" t="n">
        <v>46274</v>
      </c>
      <c r="B253" s="57" t="inlineStr">
        <is>
          <t>MIÉRCOLES</t>
        </is>
      </c>
      <c r="E253" s="1" t="n"/>
      <c r="F253" s="1" t="n"/>
    </row>
    <row r="254" ht="15" customHeight="1" s="58">
      <c r="A254" s="56" t="n">
        <v>46275</v>
      </c>
      <c r="B254" s="57" t="inlineStr">
        <is>
          <t>JUEVES</t>
        </is>
      </c>
      <c r="E254" s="1" t="n"/>
      <c r="F254" s="1" t="n"/>
    </row>
    <row r="255" ht="15" customHeight="1" s="58">
      <c r="A255" s="56" t="n">
        <v>46276</v>
      </c>
      <c r="B255" s="57" t="inlineStr">
        <is>
          <t>VIERNES</t>
        </is>
      </c>
      <c r="E255" s="1" t="n"/>
      <c r="F255" s="1" t="n"/>
    </row>
    <row r="256" ht="15" customHeight="1" s="58">
      <c r="A256" s="56" t="n">
        <v>46277</v>
      </c>
      <c r="B256" s="57" t="inlineStr">
        <is>
          <t>SÁBADO</t>
        </is>
      </c>
      <c r="E256" s="1" t="n"/>
      <c r="F256" s="1" t="n"/>
    </row>
    <row r="257" ht="15" customHeight="1" s="58">
      <c r="A257" s="56" t="n">
        <v>46278</v>
      </c>
      <c r="B257" s="57" t="inlineStr">
        <is>
          <t>DOMINGO</t>
        </is>
      </c>
      <c r="E257" s="1" t="n"/>
      <c r="F257" s="1" t="n"/>
    </row>
    <row r="258" ht="15" customHeight="1" s="58">
      <c r="A258" s="56" t="n">
        <v>46279</v>
      </c>
      <c r="B258" s="57" t="inlineStr">
        <is>
          <t>LUNES</t>
        </is>
      </c>
      <c r="E258" s="1" t="n"/>
      <c r="F258" s="1" t="n"/>
    </row>
    <row r="259" ht="15" customHeight="1" s="58">
      <c r="A259" s="56" t="n">
        <v>46280</v>
      </c>
      <c r="B259" s="57" t="inlineStr">
        <is>
          <t>MARTES</t>
        </is>
      </c>
      <c r="E259" s="1" t="n"/>
      <c r="F259" s="1" t="n"/>
    </row>
    <row r="260" ht="15" customHeight="1" s="58">
      <c r="A260" s="56" t="n">
        <v>46281</v>
      </c>
      <c r="B260" s="57" t="inlineStr">
        <is>
          <t>MIÉRCOLES</t>
        </is>
      </c>
      <c r="E260" s="1" t="n"/>
      <c r="F260" s="1" t="n"/>
    </row>
    <row r="261" ht="15" customHeight="1" s="58">
      <c r="A261" s="56" t="n">
        <v>46282</v>
      </c>
      <c r="B261" s="57" t="inlineStr">
        <is>
          <t>JUEVES</t>
        </is>
      </c>
      <c r="E261" s="1" t="n"/>
      <c r="F261" s="1" t="n"/>
    </row>
    <row r="262" ht="15" customHeight="1" s="58">
      <c r="A262" s="56" t="n">
        <v>46283</v>
      </c>
      <c r="B262" s="57" t="inlineStr">
        <is>
          <t>VIERNES</t>
        </is>
      </c>
      <c r="E262" s="1" t="n"/>
      <c r="F262" s="1" t="n"/>
    </row>
    <row r="263" ht="15" customHeight="1" s="58">
      <c r="A263" s="56" t="n">
        <v>46284</v>
      </c>
      <c r="B263" s="57" t="inlineStr">
        <is>
          <t>SÁBADO</t>
        </is>
      </c>
      <c r="E263" s="1" t="n"/>
      <c r="F263" s="1" t="n"/>
    </row>
    <row r="264" ht="15" customHeight="1" s="58">
      <c r="A264" s="56" t="n">
        <v>46285</v>
      </c>
      <c r="B264" s="57" t="inlineStr">
        <is>
          <t>DOMINGO</t>
        </is>
      </c>
      <c r="E264" s="1" t="n"/>
      <c r="F264" s="1" t="n"/>
    </row>
    <row r="265" ht="15" customHeight="1" s="58">
      <c r="A265" s="56" t="n">
        <v>46286</v>
      </c>
      <c r="B265" s="57" t="inlineStr">
        <is>
          <t>LUNES</t>
        </is>
      </c>
      <c r="E265" s="1" t="n"/>
      <c r="F265" s="1" t="n"/>
    </row>
    <row r="266" ht="15" customHeight="1" s="58">
      <c r="A266" s="56" t="n">
        <v>46287</v>
      </c>
      <c r="B266" s="57" t="inlineStr">
        <is>
          <t>MARTES</t>
        </is>
      </c>
      <c r="E266" s="1" t="n"/>
      <c r="F266" s="1" t="n"/>
    </row>
    <row r="267" ht="15" customHeight="1" s="58">
      <c r="A267" s="56" t="n">
        <v>46288</v>
      </c>
      <c r="B267" s="57" t="inlineStr">
        <is>
          <t>MIÉRCOLES</t>
        </is>
      </c>
      <c r="E267" s="1" t="n"/>
      <c r="F267" s="1" t="n"/>
    </row>
    <row r="268" ht="15" customHeight="1" s="58">
      <c r="A268" s="56" t="n">
        <v>46289</v>
      </c>
      <c r="B268" s="57" t="inlineStr">
        <is>
          <t>JUEVES</t>
        </is>
      </c>
      <c r="E268" s="1" t="n"/>
      <c r="F268" s="1" t="n"/>
    </row>
    <row r="269" ht="15" customHeight="1" s="58">
      <c r="A269" s="56" t="n">
        <v>46290</v>
      </c>
      <c r="B269" s="57" t="inlineStr">
        <is>
          <t>VIERNES</t>
        </is>
      </c>
      <c r="E269" s="1" t="n"/>
      <c r="F269" s="1" t="n"/>
    </row>
    <row r="270" ht="15" customHeight="1" s="58">
      <c r="A270" s="56" t="n">
        <v>46291</v>
      </c>
      <c r="B270" s="57" t="inlineStr">
        <is>
          <t>SÁBADO</t>
        </is>
      </c>
      <c r="E270" s="1" t="n"/>
      <c r="F270" s="1" t="n"/>
    </row>
    <row r="271" ht="15" customHeight="1" s="58">
      <c r="A271" s="56" t="n">
        <v>46292</v>
      </c>
      <c r="B271" s="57" t="inlineStr">
        <is>
          <t>DOMINGO</t>
        </is>
      </c>
      <c r="E271" s="1" t="n"/>
      <c r="F271" s="1" t="n"/>
    </row>
    <row r="272" ht="15" customHeight="1" s="58">
      <c r="A272" s="56" t="n">
        <v>46293</v>
      </c>
      <c r="B272" s="57" t="inlineStr">
        <is>
          <t>LUNES</t>
        </is>
      </c>
      <c r="E272" s="1" t="n"/>
      <c r="F272" s="1" t="n"/>
    </row>
    <row r="273" ht="15" customHeight="1" s="58">
      <c r="A273" s="56" t="n">
        <v>46294</v>
      </c>
      <c r="B273" s="57" t="inlineStr">
        <is>
          <t>MARTES</t>
        </is>
      </c>
      <c r="E273" s="1" t="n"/>
      <c r="F273" s="1" t="n"/>
    </row>
    <row r="274" ht="15" customHeight="1" s="58">
      <c r="A274" s="56" t="n">
        <v>46295</v>
      </c>
      <c r="B274" s="57" t="inlineStr">
        <is>
          <t>MIÉRCOLES</t>
        </is>
      </c>
      <c r="E274" s="1" t="n"/>
      <c r="F274" s="1" t="n"/>
    </row>
    <row r="275" ht="15" customHeight="1" s="58">
      <c r="A275" s="56" t="n">
        <v>46296</v>
      </c>
      <c r="B275" s="57" t="inlineStr">
        <is>
          <t>JUEVES</t>
        </is>
      </c>
      <c r="E275" s="1" t="n"/>
      <c r="F275" s="1" t="n"/>
    </row>
    <row r="276" ht="15" customHeight="1" s="58">
      <c r="A276" s="56" t="n">
        <v>46297</v>
      </c>
      <c r="B276" s="57" t="inlineStr">
        <is>
          <t>VIERNES</t>
        </is>
      </c>
      <c r="E276" s="1" t="n"/>
      <c r="F276" s="1" t="n"/>
    </row>
    <row r="277" ht="15" customHeight="1" s="58">
      <c r="A277" s="56" t="n">
        <v>46298</v>
      </c>
      <c r="B277" s="57" t="inlineStr">
        <is>
          <t>SÁBADO</t>
        </is>
      </c>
      <c r="E277" s="1" t="n"/>
      <c r="F277" s="1" t="n"/>
    </row>
    <row r="278" ht="15" customHeight="1" s="58">
      <c r="A278" s="56" t="n">
        <v>46299</v>
      </c>
      <c r="B278" s="57" t="inlineStr">
        <is>
          <t>DOMINGO</t>
        </is>
      </c>
      <c r="E278" s="1" t="n"/>
      <c r="F278" s="1" t="n"/>
    </row>
    <row r="279" ht="15" customHeight="1" s="58">
      <c r="A279" s="56" t="n">
        <v>46300</v>
      </c>
      <c r="B279" s="57" t="inlineStr">
        <is>
          <t>LUNES</t>
        </is>
      </c>
      <c r="E279" s="1" t="n"/>
      <c r="F279" s="1" t="n"/>
    </row>
    <row r="280" ht="15" customHeight="1" s="58">
      <c r="A280" s="56" t="n">
        <v>46301</v>
      </c>
      <c r="B280" s="57" t="inlineStr">
        <is>
          <t>MARTES</t>
        </is>
      </c>
      <c r="E280" s="1" t="n"/>
      <c r="F280" s="1" t="n"/>
    </row>
    <row r="281" ht="15" customHeight="1" s="58">
      <c r="A281" s="56" t="n">
        <v>46302</v>
      </c>
      <c r="B281" s="57" t="inlineStr">
        <is>
          <t>MIÉRCOLES</t>
        </is>
      </c>
      <c r="E281" s="1" t="n"/>
      <c r="F281" s="1" t="n"/>
    </row>
    <row r="282" ht="15" customHeight="1" s="58">
      <c r="A282" s="56" t="n">
        <v>46303</v>
      </c>
      <c r="B282" s="57" t="inlineStr">
        <is>
          <t>JUEVES</t>
        </is>
      </c>
      <c r="E282" s="1" t="n"/>
      <c r="F282" s="1" t="n"/>
    </row>
    <row r="283" ht="15" customHeight="1" s="58">
      <c r="A283" s="56" t="n">
        <v>46304</v>
      </c>
      <c r="B283" s="57" t="inlineStr">
        <is>
          <t>VIERNES</t>
        </is>
      </c>
      <c r="E283" s="1" t="n"/>
      <c r="F283" s="1" t="n"/>
    </row>
    <row r="284" ht="15" customHeight="1" s="58">
      <c r="A284" s="56" t="n">
        <v>46305</v>
      </c>
      <c r="B284" s="57" t="inlineStr">
        <is>
          <t>SÁBADO</t>
        </is>
      </c>
      <c r="E284" s="1" t="n"/>
      <c r="F284" s="1" t="n"/>
    </row>
    <row r="285" ht="15" customHeight="1" s="58">
      <c r="A285" s="56" t="n">
        <v>46306</v>
      </c>
      <c r="B285" s="57" t="inlineStr">
        <is>
          <t>DOMINGO</t>
        </is>
      </c>
      <c r="E285" s="1" t="n"/>
      <c r="F285" s="1" t="n"/>
    </row>
    <row r="286" ht="15" customHeight="1" s="58">
      <c r="A286" s="56" t="n">
        <v>46307</v>
      </c>
      <c r="B286" s="57" t="inlineStr">
        <is>
          <t>LUNES</t>
        </is>
      </c>
      <c r="E286" s="1" t="n"/>
      <c r="F286" s="1" t="n"/>
    </row>
    <row r="287" ht="15" customHeight="1" s="58">
      <c r="A287" s="56" t="n">
        <v>46308</v>
      </c>
      <c r="B287" s="57" t="inlineStr">
        <is>
          <t>MARTES</t>
        </is>
      </c>
      <c r="E287" s="1" t="n"/>
      <c r="F287" s="1" t="n"/>
    </row>
    <row r="288" ht="15" customHeight="1" s="58">
      <c r="A288" s="56" t="n">
        <v>46309</v>
      </c>
      <c r="B288" s="57" t="inlineStr">
        <is>
          <t>MIÉRCOLES</t>
        </is>
      </c>
      <c r="E288" s="1" t="n"/>
      <c r="F288" s="1" t="n"/>
    </row>
    <row r="289" ht="15" customHeight="1" s="58">
      <c r="A289" s="56" t="n">
        <v>46310</v>
      </c>
      <c r="B289" s="57" t="inlineStr">
        <is>
          <t>JUEVES</t>
        </is>
      </c>
      <c r="E289" s="1" t="n"/>
      <c r="F289" s="1" t="n"/>
    </row>
    <row r="290" ht="15" customHeight="1" s="58">
      <c r="A290" s="56" t="n">
        <v>46311</v>
      </c>
      <c r="B290" s="57" t="inlineStr">
        <is>
          <t>VIERNES</t>
        </is>
      </c>
      <c r="E290" s="1" t="n"/>
      <c r="F290" s="1" t="n"/>
    </row>
    <row r="291" ht="15" customHeight="1" s="58">
      <c r="A291" s="56" t="n">
        <v>46312</v>
      </c>
      <c r="B291" s="57" t="inlineStr">
        <is>
          <t>SÁBADO</t>
        </is>
      </c>
      <c r="E291" s="1" t="n"/>
      <c r="F291" s="1" t="n"/>
    </row>
    <row r="292" ht="15" customHeight="1" s="58">
      <c r="A292" s="56" t="n">
        <v>46313</v>
      </c>
      <c r="B292" s="57" t="inlineStr">
        <is>
          <t>DOMINGO</t>
        </is>
      </c>
      <c r="E292" s="1" t="n"/>
      <c r="F292" s="1" t="n"/>
    </row>
    <row r="293" ht="15" customHeight="1" s="58">
      <c r="A293" s="56" t="n">
        <v>46314</v>
      </c>
      <c r="B293" s="57" t="inlineStr">
        <is>
          <t>LUNES</t>
        </is>
      </c>
      <c r="E293" s="1" t="n"/>
      <c r="F293" s="1" t="n"/>
    </row>
    <row r="294" ht="15" customHeight="1" s="58">
      <c r="A294" s="56" t="n">
        <v>46315</v>
      </c>
      <c r="B294" s="57" t="inlineStr">
        <is>
          <t>MARTES</t>
        </is>
      </c>
      <c r="E294" s="1" t="n"/>
      <c r="F294" s="1" t="n"/>
    </row>
    <row r="295" ht="15" customHeight="1" s="58">
      <c r="A295" s="56" t="n">
        <v>46316</v>
      </c>
      <c r="B295" s="57" t="inlineStr">
        <is>
          <t>MIÉRCOLES</t>
        </is>
      </c>
      <c r="E295" s="1" t="n"/>
      <c r="F295" s="1" t="n"/>
    </row>
    <row r="296" ht="15" customHeight="1" s="58">
      <c r="A296" s="56" t="n">
        <v>46317</v>
      </c>
      <c r="B296" s="57" t="inlineStr">
        <is>
          <t>JUEVES</t>
        </is>
      </c>
      <c r="E296" s="1" t="n"/>
      <c r="F296" s="1" t="n"/>
    </row>
    <row r="297" ht="15" customHeight="1" s="58">
      <c r="A297" s="56" t="n">
        <v>46318</v>
      </c>
      <c r="B297" s="57" t="inlineStr">
        <is>
          <t>VIERNES</t>
        </is>
      </c>
      <c r="E297" s="1" t="n"/>
      <c r="F297" s="1" t="n"/>
    </row>
    <row r="298" ht="15" customHeight="1" s="58">
      <c r="A298" s="56" t="n">
        <v>46319</v>
      </c>
      <c r="B298" s="57" t="inlineStr">
        <is>
          <t>SÁBADO</t>
        </is>
      </c>
      <c r="E298" s="1" t="n"/>
      <c r="F298" s="1" t="n"/>
    </row>
    <row r="299" ht="15" customHeight="1" s="58">
      <c r="A299" s="56" t="n">
        <v>46320</v>
      </c>
      <c r="B299" s="57" t="inlineStr">
        <is>
          <t>DOMINGO</t>
        </is>
      </c>
      <c r="E299" s="1" t="n"/>
      <c r="F299" s="1" t="n"/>
    </row>
    <row r="300" ht="15" customHeight="1" s="58">
      <c r="A300" s="56" t="n">
        <v>46321</v>
      </c>
      <c r="B300" s="57" t="inlineStr">
        <is>
          <t>LUNES</t>
        </is>
      </c>
      <c r="E300" s="1" t="n"/>
      <c r="F300" s="1" t="n"/>
    </row>
    <row r="301" ht="15" customHeight="1" s="58">
      <c r="A301" s="56" t="n">
        <v>46322</v>
      </c>
      <c r="B301" s="57" t="inlineStr">
        <is>
          <t>MARTES</t>
        </is>
      </c>
      <c r="E301" s="1" t="n"/>
      <c r="F301" s="1" t="n"/>
    </row>
    <row r="302" ht="15" customHeight="1" s="58">
      <c r="A302" s="56" t="n">
        <v>46323</v>
      </c>
      <c r="B302" s="57" t="inlineStr">
        <is>
          <t>MIÉRCOLES</t>
        </is>
      </c>
      <c r="E302" s="1" t="n"/>
      <c r="F302" s="1" t="n"/>
    </row>
    <row r="303" ht="15" customHeight="1" s="58">
      <c r="A303" s="56" t="n">
        <v>46324</v>
      </c>
      <c r="B303" s="57" t="inlineStr">
        <is>
          <t>JUEVES</t>
        </is>
      </c>
      <c r="E303" s="1" t="n"/>
      <c r="F303" s="1" t="n"/>
    </row>
    <row r="304" ht="15" customHeight="1" s="58">
      <c r="A304" s="56" t="n">
        <v>46325</v>
      </c>
      <c r="B304" s="57" t="inlineStr">
        <is>
          <t>VIERNES</t>
        </is>
      </c>
      <c r="E304" s="1" t="n"/>
      <c r="F304" s="1" t="n"/>
    </row>
    <row r="305" ht="15" customHeight="1" s="58">
      <c r="A305" s="56" t="n">
        <v>46326</v>
      </c>
      <c r="B305" s="57" t="inlineStr">
        <is>
          <t>SÁBADO</t>
        </is>
      </c>
      <c r="E305" s="1" t="n"/>
      <c r="F305" s="1" t="n"/>
    </row>
    <row r="306" ht="15" customHeight="1" s="58">
      <c r="A306" s="56" t="n">
        <v>46327</v>
      </c>
      <c r="B306" s="57" t="inlineStr">
        <is>
          <t>DOMINGO</t>
        </is>
      </c>
      <c r="E306" s="1" t="n"/>
      <c r="F306" s="1" t="n"/>
    </row>
    <row r="307" ht="15" customHeight="1" s="58">
      <c r="A307" s="56" t="n">
        <v>46328</v>
      </c>
      <c r="B307" s="57" t="inlineStr">
        <is>
          <t>LUNES</t>
        </is>
      </c>
      <c r="E307" s="1" t="n"/>
      <c r="F307" s="1" t="n"/>
    </row>
    <row r="308" ht="15" customHeight="1" s="58">
      <c r="A308" s="56" t="n">
        <v>46329</v>
      </c>
      <c r="B308" s="57" t="inlineStr">
        <is>
          <t>MARTES</t>
        </is>
      </c>
      <c r="E308" s="1" t="n"/>
      <c r="F308" s="1" t="n"/>
    </row>
    <row r="309" ht="15" customHeight="1" s="58">
      <c r="A309" s="56" t="n">
        <v>46330</v>
      </c>
      <c r="B309" s="57" t="inlineStr">
        <is>
          <t>MIÉRCOLES</t>
        </is>
      </c>
      <c r="E309" s="1" t="n"/>
      <c r="F309" s="1" t="n"/>
    </row>
    <row r="310" ht="15" customHeight="1" s="58">
      <c r="A310" s="56" t="n">
        <v>46331</v>
      </c>
      <c r="B310" s="57" t="inlineStr">
        <is>
          <t>JUEVES</t>
        </is>
      </c>
      <c r="E310" s="1" t="n"/>
      <c r="F310" s="1" t="n"/>
    </row>
    <row r="311" ht="15" customHeight="1" s="58">
      <c r="A311" s="56" t="n">
        <v>46332</v>
      </c>
      <c r="B311" s="57" t="inlineStr">
        <is>
          <t>VIERNES</t>
        </is>
      </c>
      <c r="E311" s="1" t="n"/>
      <c r="F311" s="1" t="n"/>
    </row>
    <row r="312" ht="15" customHeight="1" s="58">
      <c r="A312" s="56" t="n">
        <v>46333</v>
      </c>
      <c r="B312" s="57" t="inlineStr">
        <is>
          <t>SÁBADO</t>
        </is>
      </c>
      <c r="E312" s="1" t="n"/>
      <c r="F312" s="1" t="n"/>
    </row>
    <row r="313" ht="15" customHeight="1" s="58">
      <c r="A313" s="56" t="n">
        <v>46334</v>
      </c>
      <c r="B313" s="57" t="inlineStr">
        <is>
          <t>DOMINGO</t>
        </is>
      </c>
      <c r="E313" s="1" t="n"/>
      <c r="F313" s="1" t="n"/>
    </row>
    <row r="314" ht="15" customHeight="1" s="58">
      <c r="A314" s="56" t="n">
        <v>46335</v>
      </c>
      <c r="B314" s="57" t="inlineStr">
        <is>
          <t>LUNES</t>
        </is>
      </c>
      <c r="E314" s="1" t="n"/>
      <c r="F314" s="1" t="n"/>
    </row>
    <row r="315" ht="15" customHeight="1" s="58">
      <c r="A315" s="56" t="n">
        <v>46336</v>
      </c>
      <c r="B315" s="57" t="inlineStr">
        <is>
          <t>MARTES</t>
        </is>
      </c>
      <c r="E315" s="1" t="n"/>
      <c r="F315" s="1" t="n"/>
    </row>
    <row r="316" ht="15" customHeight="1" s="58">
      <c r="A316" s="56" t="n">
        <v>46337</v>
      </c>
      <c r="B316" s="57" t="inlineStr">
        <is>
          <t>MIÉRCOLES</t>
        </is>
      </c>
      <c r="E316" s="1" t="n"/>
      <c r="F316" s="1" t="n"/>
    </row>
    <row r="317" ht="15" customHeight="1" s="58">
      <c r="A317" s="56" t="n">
        <v>46338</v>
      </c>
      <c r="B317" s="57" t="inlineStr">
        <is>
          <t>JUEVES</t>
        </is>
      </c>
      <c r="E317" s="1" t="n"/>
      <c r="F317" s="1" t="n"/>
    </row>
    <row r="318" ht="15" customHeight="1" s="58">
      <c r="A318" s="56" t="n">
        <v>46339</v>
      </c>
      <c r="B318" s="57" t="inlineStr">
        <is>
          <t>VIERNES</t>
        </is>
      </c>
      <c r="E318" s="1" t="n"/>
      <c r="F318" s="1" t="n"/>
    </row>
    <row r="319" ht="15" customHeight="1" s="58">
      <c r="A319" s="56" t="n">
        <v>46340</v>
      </c>
      <c r="B319" s="57" t="inlineStr">
        <is>
          <t>SÁBADO</t>
        </is>
      </c>
      <c r="E319" s="1" t="n"/>
      <c r="F319" s="1" t="n"/>
    </row>
    <row r="320" ht="15" customHeight="1" s="58">
      <c r="A320" s="56" t="n">
        <v>46341</v>
      </c>
      <c r="B320" s="57" t="inlineStr">
        <is>
          <t>DOMINGO</t>
        </is>
      </c>
      <c r="E320" s="1" t="n"/>
      <c r="F320" s="1" t="n"/>
    </row>
    <row r="321" ht="15" customHeight="1" s="58">
      <c r="A321" s="56" t="n">
        <v>46342</v>
      </c>
      <c r="B321" s="57" t="inlineStr">
        <is>
          <t>LUNES</t>
        </is>
      </c>
      <c r="E321" s="1" t="n"/>
      <c r="F321" s="1" t="n"/>
    </row>
    <row r="322" ht="15" customHeight="1" s="58">
      <c r="A322" s="56" t="n">
        <v>46343</v>
      </c>
      <c r="B322" s="57" t="inlineStr">
        <is>
          <t>MARTES</t>
        </is>
      </c>
      <c r="E322" s="1" t="n"/>
      <c r="F322" s="1" t="n"/>
    </row>
    <row r="323" ht="15" customHeight="1" s="58">
      <c r="A323" s="56" t="n">
        <v>46344</v>
      </c>
      <c r="B323" s="57" t="inlineStr">
        <is>
          <t>MIÉRCOLES</t>
        </is>
      </c>
      <c r="E323" s="1" t="n"/>
      <c r="F323" s="1" t="n"/>
    </row>
    <row r="324" ht="15" customHeight="1" s="58">
      <c r="A324" s="56" t="n">
        <v>46345</v>
      </c>
      <c r="B324" s="57" t="inlineStr">
        <is>
          <t>JUEVES</t>
        </is>
      </c>
      <c r="E324" s="1" t="n"/>
      <c r="F324" s="1" t="n"/>
    </row>
    <row r="325" ht="15" customHeight="1" s="58">
      <c r="A325" s="56" t="n">
        <v>46346</v>
      </c>
      <c r="B325" s="57" t="inlineStr">
        <is>
          <t>VIERNES</t>
        </is>
      </c>
      <c r="E325" s="1" t="n"/>
      <c r="F325" s="1" t="n"/>
    </row>
    <row r="326" ht="15" customHeight="1" s="58">
      <c r="A326" s="56" t="n">
        <v>46347</v>
      </c>
      <c r="B326" s="57" t="inlineStr">
        <is>
          <t>SÁBADO</t>
        </is>
      </c>
      <c r="E326" s="1" t="n"/>
      <c r="F326" s="1" t="n"/>
    </row>
    <row r="327" ht="15" customHeight="1" s="58">
      <c r="A327" s="56" t="n">
        <v>46348</v>
      </c>
      <c r="B327" s="57" t="inlineStr">
        <is>
          <t>DOMINGO</t>
        </is>
      </c>
      <c r="E327" s="1" t="n"/>
      <c r="F327" s="1" t="n"/>
    </row>
    <row r="328" ht="15" customHeight="1" s="58">
      <c r="A328" s="56" t="n">
        <v>46349</v>
      </c>
      <c r="B328" s="57" t="inlineStr">
        <is>
          <t>LUNES</t>
        </is>
      </c>
      <c r="E328" s="1" t="n"/>
      <c r="F328" s="1" t="n"/>
    </row>
    <row r="329" ht="15" customHeight="1" s="58">
      <c r="A329" s="56" t="n">
        <v>46350</v>
      </c>
      <c r="B329" s="57" t="inlineStr">
        <is>
          <t>MARTES</t>
        </is>
      </c>
      <c r="E329" s="1" t="n"/>
      <c r="F329" s="1" t="n"/>
    </row>
    <row r="330" ht="15" customHeight="1" s="58">
      <c r="A330" s="56" t="n">
        <v>46351</v>
      </c>
      <c r="B330" s="57" t="inlineStr">
        <is>
          <t>MIÉRCOLES</t>
        </is>
      </c>
      <c r="E330" s="1" t="n"/>
      <c r="F330" s="1" t="n"/>
    </row>
    <row r="331" ht="15" customHeight="1" s="58">
      <c r="A331" s="56" t="n">
        <v>46352</v>
      </c>
      <c r="B331" s="57" t="inlineStr">
        <is>
          <t>JUEVES</t>
        </is>
      </c>
      <c r="E331" s="1" t="n"/>
      <c r="F331" s="1" t="n"/>
    </row>
    <row r="332" ht="15" customHeight="1" s="58">
      <c r="A332" s="56" t="n">
        <v>46353</v>
      </c>
      <c r="B332" s="57" t="inlineStr">
        <is>
          <t>VIERNES</t>
        </is>
      </c>
      <c r="E332" s="1" t="n"/>
      <c r="F332" s="1" t="n"/>
    </row>
    <row r="333" ht="15" customHeight="1" s="58">
      <c r="A333" s="56" t="n">
        <v>46354</v>
      </c>
      <c r="B333" s="57" t="inlineStr">
        <is>
          <t>SÁBADO</t>
        </is>
      </c>
      <c r="E333" s="1" t="n"/>
      <c r="F333" s="1" t="n"/>
    </row>
    <row r="334" ht="15" customHeight="1" s="58">
      <c r="A334" s="56" t="n">
        <v>46355</v>
      </c>
      <c r="B334" s="57" t="inlineStr">
        <is>
          <t>DOMINGO</t>
        </is>
      </c>
      <c r="E334" s="1" t="n"/>
      <c r="F334" s="1" t="n"/>
    </row>
    <row r="335" ht="15" customHeight="1" s="58">
      <c r="A335" s="56" t="n">
        <v>46356</v>
      </c>
      <c r="B335" s="57" t="inlineStr">
        <is>
          <t>LUNES</t>
        </is>
      </c>
      <c r="E335" s="1" t="n"/>
      <c r="F335" s="1" t="n"/>
    </row>
    <row r="336" ht="15" customHeight="1" s="58">
      <c r="A336" s="56" t="n">
        <v>46357</v>
      </c>
      <c r="B336" s="57" t="inlineStr">
        <is>
          <t>MARTES</t>
        </is>
      </c>
      <c r="E336" s="1" t="n"/>
      <c r="F336" s="1" t="n"/>
    </row>
    <row r="337" ht="15" customHeight="1" s="58">
      <c r="A337" s="56" t="n">
        <v>46358</v>
      </c>
      <c r="B337" s="57" t="inlineStr">
        <is>
          <t>MIÉRCOLES</t>
        </is>
      </c>
      <c r="E337" s="1" t="n"/>
      <c r="F337" s="1" t="n"/>
    </row>
    <row r="338" ht="15" customHeight="1" s="58">
      <c r="A338" s="56" t="n">
        <v>46359</v>
      </c>
      <c r="B338" s="57" t="inlineStr">
        <is>
          <t>JUEVES</t>
        </is>
      </c>
      <c r="E338" s="1" t="n"/>
      <c r="F338" s="1" t="n"/>
    </row>
    <row r="339" ht="15" customHeight="1" s="58">
      <c r="A339" s="56" t="n">
        <v>46360</v>
      </c>
      <c r="B339" s="57" t="inlineStr">
        <is>
          <t>VIERNES</t>
        </is>
      </c>
      <c r="E339" s="1" t="n"/>
      <c r="F339" s="1" t="n"/>
    </row>
    <row r="340" ht="15" customHeight="1" s="58">
      <c r="A340" s="56" t="n">
        <v>46361</v>
      </c>
      <c r="B340" s="57" t="inlineStr">
        <is>
          <t>SÁBADO</t>
        </is>
      </c>
      <c r="E340" s="1" t="n"/>
      <c r="F340" s="1" t="n"/>
    </row>
    <row r="341" ht="15" customHeight="1" s="58">
      <c r="A341" s="56" t="n">
        <v>46362</v>
      </c>
      <c r="B341" s="57" t="inlineStr">
        <is>
          <t>DOMINGO</t>
        </is>
      </c>
      <c r="E341" s="1" t="n"/>
      <c r="F341" s="1" t="n"/>
    </row>
    <row r="342" ht="15" customHeight="1" s="58">
      <c r="A342" s="56" t="n">
        <v>46363</v>
      </c>
      <c r="B342" s="57" t="inlineStr">
        <is>
          <t>LUNES</t>
        </is>
      </c>
      <c r="E342" s="1" t="n"/>
      <c r="F342" s="1" t="n"/>
    </row>
    <row r="343" ht="15" customHeight="1" s="58">
      <c r="A343" s="56" t="n">
        <v>46364</v>
      </c>
      <c r="B343" s="57" t="inlineStr">
        <is>
          <t>MARTES</t>
        </is>
      </c>
      <c r="E343" s="1" t="n"/>
      <c r="F343" s="1" t="n"/>
    </row>
    <row r="344" ht="15" customHeight="1" s="58">
      <c r="A344" s="56" t="n">
        <v>46365</v>
      </c>
      <c r="B344" s="57" t="inlineStr">
        <is>
          <t>MIÉRCOLES</t>
        </is>
      </c>
      <c r="E344" s="1" t="n"/>
      <c r="F344" s="1" t="n"/>
    </row>
    <row r="345" ht="15" customHeight="1" s="58">
      <c r="A345" s="56" t="n">
        <v>46366</v>
      </c>
      <c r="B345" s="57" t="inlineStr">
        <is>
          <t>JUEVES</t>
        </is>
      </c>
      <c r="E345" s="1" t="n"/>
      <c r="F345" s="1" t="n"/>
    </row>
    <row r="346" ht="15" customHeight="1" s="58">
      <c r="A346" s="56" t="n">
        <v>46367</v>
      </c>
      <c r="B346" s="57" t="inlineStr">
        <is>
          <t>VIERNES</t>
        </is>
      </c>
      <c r="E346" s="1" t="n"/>
      <c r="F346" s="1" t="n"/>
    </row>
    <row r="347" ht="15" customHeight="1" s="58">
      <c r="A347" s="56" t="n">
        <v>46368</v>
      </c>
      <c r="B347" s="57" t="inlineStr">
        <is>
          <t>SÁBADO</t>
        </is>
      </c>
      <c r="E347" s="1" t="n"/>
      <c r="F347" s="1" t="n"/>
    </row>
    <row r="348" ht="15" customHeight="1" s="58">
      <c r="A348" s="56" t="n">
        <v>46369</v>
      </c>
      <c r="B348" s="57" t="inlineStr">
        <is>
          <t>DOMINGO</t>
        </is>
      </c>
      <c r="E348" s="1" t="n"/>
      <c r="F348" s="1" t="n"/>
    </row>
    <row r="349" ht="15" customHeight="1" s="58">
      <c r="A349" s="56" t="n">
        <v>46370</v>
      </c>
      <c r="B349" s="57" t="inlineStr">
        <is>
          <t>LUNES</t>
        </is>
      </c>
      <c r="E349" s="1" t="n"/>
      <c r="F349" s="1" t="n"/>
    </row>
    <row r="350" ht="15" customHeight="1" s="58">
      <c r="A350" s="56" t="n">
        <v>46371</v>
      </c>
      <c r="B350" s="57" t="inlineStr">
        <is>
          <t>MARTES</t>
        </is>
      </c>
      <c r="E350" s="1" t="n"/>
      <c r="F350" s="1" t="n"/>
    </row>
    <row r="351" ht="15" customHeight="1" s="58">
      <c r="A351" s="56" t="n">
        <v>46372</v>
      </c>
      <c r="B351" s="57" t="inlineStr">
        <is>
          <t>MIÉRCOLES</t>
        </is>
      </c>
      <c r="E351" s="1" t="n"/>
      <c r="F351" s="1" t="n"/>
    </row>
    <row r="352" ht="15" customHeight="1" s="58">
      <c r="A352" s="56" t="n">
        <v>46373</v>
      </c>
      <c r="B352" s="57" t="inlineStr">
        <is>
          <t>JUEVES</t>
        </is>
      </c>
      <c r="E352" s="1" t="n"/>
      <c r="F352" s="1" t="n"/>
    </row>
    <row r="353" ht="15" customHeight="1" s="58">
      <c r="A353" s="56" t="n">
        <v>46374</v>
      </c>
      <c r="B353" s="57" t="inlineStr">
        <is>
          <t>VIERNES</t>
        </is>
      </c>
      <c r="E353" s="1" t="n"/>
      <c r="F353" s="1" t="n"/>
    </row>
    <row r="354" ht="15" customHeight="1" s="58">
      <c r="A354" s="56" t="n">
        <v>46375</v>
      </c>
      <c r="B354" s="57" t="inlineStr">
        <is>
          <t>SÁBADO</t>
        </is>
      </c>
      <c r="E354" s="1" t="n"/>
      <c r="F354" s="1" t="n"/>
    </row>
    <row r="355" ht="15" customHeight="1" s="58">
      <c r="A355" s="56" t="n">
        <v>46376</v>
      </c>
      <c r="B355" s="57" t="inlineStr">
        <is>
          <t>DOMINGO</t>
        </is>
      </c>
      <c r="E355" s="1" t="n"/>
      <c r="F355" s="1" t="n"/>
    </row>
    <row r="356" ht="15" customHeight="1" s="58">
      <c r="A356" s="56" t="n">
        <v>46377</v>
      </c>
      <c r="B356" s="57" t="inlineStr">
        <is>
          <t>LUNES</t>
        </is>
      </c>
      <c r="E356" s="1" t="n"/>
      <c r="F356" s="1" t="n"/>
    </row>
    <row r="357" ht="15" customHeight="1" s="58">
      <c r="A357" s="56" t="n">
        <v>46378</v>
      </c>
      <c r="B357" s="57" t="inlineStr">
        <is>
          <t>MARTES</t>
        </is>
      </c>
      <c r="E357" s="1" t="n"/>
      <c r="F357" s="1" t="n"/>
    </row>
    <row r="358" ht="15" customHeight="1" s="58">
      <c r="A358" s="56" t="n">
        <v>46379</v>
      </c>
      <c r="B358" s="57" t="inlineStr">
        <is>
          <t>MIÉRCOLES</t>
        </is>
      </c>
      <c r="E358" s="1" t="n"/>
      <c r="F358" s="1" t="n"/>
    </row>
    <row r="359" ht="15" customHeight="1" s="58">
      <c r="A359" s="56" t="n">
        <v>46380</v>
      </c>
      <c r="B359" s="57" t="inlineStr">
        <is>
          <t>JUEVES</t>
        </is>
      </c>
      <c r="E359" s="1" t="n"/>
      <c r="F359" s="1" t="n"/>
    </row>
    <row r="360" ht="15" customHeight="1" s="58">
      <c r="A360" s="56" t="n">
        <v>46381</v>
      </c>
      <c r="B360" s="57" t="inlineStr">
        <is>
          <t>VIERNES</t>
        </is>
      </c>
      <c r="E360" s="1" t="n"/>
      <c r="F360" s="1" t="n"/>
    </row>
    <row r="361" ht="15" customHeight="1" s="58">
      <c r="A361" s="56" t="n">
        <v>46382</v>
      </c>
      <c r="B361" s="57" t="inlineStr">
        <is>
          <t>SÁBADO</t>
        </is>
      </c>
      <c r="E361" s="1" t="n"/>
      <c r="F361" s="1" t="n"/>
    </row>
    <row r="362" ht="15" customHeight="1" s="58">
      <c r="A362" s="56" t="n">
        <v>46383</v>
      </c>
      <c r="B362" s="57" t="inlineStr">
        <is>
          <t>DOMINGO</t>
        </is>
      </c>
      <c r="E362" s="1" t="n"/>
      <c r="F362" s="1" t="n"/>
    </row>
    <row r="363" ht="15" customHeight="1" s="58">
      <c r="A363" s="56" t="n">
        <v>46384</v>
      </c>
      <c r="B363" s="57" t="inlineStr">
        <is>
          <t>LUNES</t>
        </is>
      </c>
      <c r="E363" s="1" t="n"/>
      <c r="F363" s="1" t="n"/>
    </row>
    <row r="364" ht="15" customHeight="1" s="58">
      <c r="A364" s="56" t="n">
        <v>46385</v>
      </c>
      <c r="B364" s="57" t="inlineStr">
        <is>
          <t>MARTES</t>
        </is>
      </c>
      <c r="E364" s="1" t="n"/>
      <c r="F364" s="1" t="n"/>
    </row>
    <row r="365" ht="15" customHeight="1" s="58">
      <c r="A365" s="56" t="n">
        <v>46386</v>
      </c>
      <c r="B365" s="57" t="inlineStr">
        <is>
          <t>MIÉRCOLES</t>
        </is>
      </c>
      <c r="E365" s="1" t="n"/>
      <c r="F365" s="1" t="n"/>
    </row>
    <row r="366" ht="15" customHeight="1" s="58">
      <c r="A366" s="56" t="n">
        <v>46387</v>
      </c>
      <c r="B366" s="57" t="inlineStr">
        <is>
          <t>JUEVES</t>
        </is>
      </c>
      <c r="E366" s="1" t="n"/>
      <c r="F366" s="1" t="n"/>
    </row>
    <row r="367" ht="15.75" customHeight="1" s="58">
      <c r="A367" s="1" t="n"/>
      <c r="B367" s="1" t="n"/>
      <c r="E367" s="1" t="n"/>
      <c r="F367" s="1" t="n"/>
    </row>
    <row r="368" ht="15.75" customHeight="1" s="58">
      <c r="A368" s="1" t="n"/>
      <c r="B368" s="1" t="n"/>
      <c r="E368" s="1" t="n"/>
      <c r="F368" s="1" t="n"/>
    </row>
    <row r="369" ht="15.75" customHeight="1" s="58">
      <c r="A369" s="1" t="n"/>
      <c r="B369" s="1" t="n"/>
      <c r="E369" s="1" t="n"/>
      <c r="F369" s="1" t="n"/>
    </row>
    <row r="370" ht="15.75" customHeight="1" s="58">
      <c r="A370" s="1" t="n"/>
      <c r="B370" s="1" t="n"/>
      <c r="E370" s="1" t="n"/>
      <c r="F370" s="1" t="n"/>
    </row>
    <row r="371" ht="15.75" customHeight="1" s="58">
      <c r="A371" s="1" t="n"/>
      <c r="B371" s="1" t="n"/>
      <c r="E371" s="1" t="n"/>
      <c r="F371" s="1" t="n"/>
    </row>
    <row r="372" ht="15.75" customHeight="1" s="58">
      <c r="A372" s="1" t="n"/>
      <c r="B372" s="1" t="n"/>
      <c r="E372" s="1" t="n"/>
      <c r="F372" s="1" t="n"/>
    </row>
    <row r="373" ht="15.75" customHeight="1" s="58">
      <c r="A373" s="1" t="n"/>
      <c r="B373" s="1" t="n"/>
      <c r="E373" s="1" t="n"/>
      <c r="F373" s="1" t="n"/>
    </row>
    <row r="374" ht="15.75" customHeight="1" s="58">
      <c r="A374" s="1" t="n"/>
      <c r="B374" s="1" t="n"/>
      <c r="E374" s="1" t="n"/>
      <c r="F374" s="1" t="n"/>
    </row>
    <row r="375" ht="15.75" customHeight="1" s="58">
      <c r="A375" s="1" t="n"/>
      <c r="B375" s="1" t="n"/>
      <c r="E375" s="1" t="n"/>
      <c r="F375" s="1" t="n"/>
    </row>
    <row r="376" ht="15.75" customHeight="1" s="58">
      <c r="A376" s="1" t="n"/>
      <c r="B376" s="1" t="n"/>
      <c r="E376" s="1" t="n"/>
      <c r="F376" s="1" t="n"/>
    </row>
    <row r="377" ht="15.75" customHeight="1" s="58">
      <c r="A377" s="1" t="n"/>
      <c r="B377" s="1" t="n"/>
      <c r="E377" s="1" t="n"/>
      <c r="F377" s="1" t="n"/>
    </row>
    <row r="378" ht="15.75" customHeight="1" s="58">
      <c r="A378" s="1" t="n"/>
      <c r="B378" s="1" t="n"/>
      <c r="E378" s="1" t="n"/>
      <c r="F378" s="1" t="n"/>
    </row>
    <row r="379" ht="15.75" customHeight="1" s="58">
      <c r="A379" s="1" t="n"/>
      <c r="B379" s="1" t="n"/>
      <c r="E379" s="1" t="n"/>
      <c r="F379" s="1" t="n"/>
    </row>
    <row r="380" ht="15.75" customHeight="1" s="58">
      <c r="A380" s="1" t="n"/>
      <c r="B380" s="1" t="n"/>
      <c r="E380" s="1" t="n"/>
      <c r="F380" s="1" t="n"/>
    </row>
    <row r="381" ht="15.75" customHeight="1" s="58">
      <c r="A381" s="1" t="n"/>
      <c r="B381" s="1" t="n"/>
      <c r="E381" s="1" t="n"/>
      <c r="F381" s="1" t="n"/>
    </row>
    <row r="382" ht="15.75" customHeight="1" s="58">
      <c r="A382" s="1" t="n"/>
      <c r="B382" s="1" t="n"/>
      <c r="E382" s="1" t="n"/>
      <c r="F382" s="1" t="n"/>
    </row>
    <row r="383" ht="15.75" customHeight="1" s="58">
      <c r="A383" s="1" t="n"/>
      <c r="B383" s="1" t="n"/>
      <c r="E383" s="1" t="n"/>
      <c r="F383" s="1" t="n"/>
    </row>
    <row r="384" ht="15.75" customHeight="1" s="58">
      <c r="A384" s="1" t="n"/>
      <c r="B384" s="1" t="n"/>
      <c r="E384" s="1" t="n"/>
      <c r="F384" s="1" t="n"/>
    </row>
    <row r="385" ht="15.75" customHeight="1" s="58">
      <c r="A385" s="1" t="n"/>
      <c r="B385" s="1" t="n"/>
      <c r="E385" s="1" t="n"/>
      <c r="F385" s="1" t="n"/>
    </row>
    <row r="386" ht="15.75" customHeight="1" s="58">
      <c r="A386" s="1" t="n"/>
      <c r="B386" s="1" t="n"/>
      <c r="E386" s="1" t="n"/>
      <c r="F386" s="1" t="n"/>
    </row>
    <row r="387" ht="15.75" customHeight="1" s="58">
      <c r="A387" s="1" t="n"/>
      <c r="B387" s="1" t="n"/>
      <c r="E387" s="1" t="n"/>
      <c r="F387" s="1" t="n"/>
    </row>
    <row r="388" ht="15.75" customHeight="1" s="58">
      <c r="A388" s="1" t="n"/>
      <c r="B388" s="1" t="n"/>
      <c r="E388" s="1" t="n"/>
      <c r="F388" s="1" t="n"/>
    </row>
    <row r="389" ht="15.75" customHeight="1" s="58">
      <c r="A389" s="1" t="n"/>
      <c r="B389" s="1" t="n"/>
      <c r="E389" s="1" t="n"/>
      <c r="F389" s="1" t="n"/>
    </row>
    <row r="390" ht="15.75" customHeight="1" s="58">
      <c r="A390" s="1" t="n"/>
      <c r="B390" s="1" t="n"/>
      <c r="E390" s="1" t="n"/>
      <c r="F390" s="1" t="n"/>
    </row>
    <row r="391" ht="15.75" customHeight="1" s="58">
      <c r="A391" s="1" t="n"/>
      <c r="B391" s="1" t="n"/>
      <c r="E391" s="1" t="n"/>
      <c r="F391" s="1" t="n"/>
    </row>
    <row r="392" ht="15.75" customHeight="1" s="58">
      <c r="A392" s="1" t="n"/>
      <c r="B392" s="1" t="n"/>
      <c r="E392" s="1" t="n"/>
      <c r="F392" s="1" t="n"/>
    </row>
    <row r="393" ht="15.75" customHeight="1" s="58">
      <c r="A393" s="1" t="n"/>
      <c r="B393" s="1" t="n"/>
      <c r="E393" s="1" t="n"/>
      <c r="F393" s="1" t="n"/>
    </row>
    <row r="394" ht="15.75" customHeight="1" s="58">
      <c r="A394" s="1" t="n"/>
      <c r="B394" s="1" t="n"/>
      <c r="E394" s="1" t="n"/>
      <c r="F394" s="1" t="n"/>
    </row>
    <row r="395" ht="15.75" customHeight="1" s="58">
      <c r="A395" s="1" t="n"/>
      <c r="B395" s="1" t="n"/>
      <c r="E395" s="1" t="n"/>
      <c r="F395" s="1" t="n"/>
    </row>
    <row r="396" ht="15.75" customHeight="1" s="58">
      <c r="A396" s="1" t="n"/>
      <c r="B396" s="1" t="n"/>
      <c r="E396" s="1" t="n"/>
      <c r="F396" s="1" t="n"/>
    </row>
    <row r="397" ht="15.75" customHeight="1" s="58">
      <c r="A397" s="1" t="n"/>
      <c r="B397" s="1" t="n"/>
      <c r="E397" s="1" t="n"/>
      <c r="F397" s="1" t="n"/>
    </row>
    <row r="398" ht="15.75" customHeight="1" s="58">
      <c r="A398" s="1" t="n"/>
      <c r="B398" s="1" t="n"/>
      <c r="E398" s="1" t="n"/>
      <c r="F398" s="1" t="n"/>
    </row>
    <row r="399" ht="15.75" customHeight="1" s="58">
      <c r="A399" s="1" t="n"/>
      <c r="B399" s="1" t="n"/>
      <c r="E399" s="1" t="n"/>
      <c r="F399" s="1" t="n"/>
    </row>
    <row r="400" ht="15.75" customHeight="1" s="58">
      <c r="A400" s="1" t="n"/>
      <c r="B400" s="1" t="n"/>
      <c r="E400" s="1" t="n"/>
      <c r="F400" s="1" t="n"/>
    </row>
    <row r="401" ht="15.75" customHeight="1" s="58">
      <c r="A401" s="1" t="n"/>
      <c r="B401" s="1" t="n"/>
      <c r="E401" s="1" t="n"/>
      <c r="F401" s="1" t="n"/>
    </row>
    <row r="402" ht="15.75" customHeight="1" s="58">
      <c r="A402" s="1" t="n"/>
      <c r="B402" s="1" t="n"/>
      <c r="E402" s="1" t="n"/>
      <c r="F402" s="1" t="n"/>
    </row>
    <row r="403" ht="15.75" customHeight="1" s="58">
      <c r="A403" s="1" t="n"/>
      <c r="B403" s="1" t="n"/>
      <c r="E403" s="1" t="n"/>
      <c r="F403" s="1" t="n"/>
    </row>
    <row r="404" ht="15.75" customHeight="1" s="58">
      <c r="A404" s="1" t="n"/>
      <c r="B404" s="1" t="n"/>
      <c r="E404" s="1" t="n"/>
      <c r="F404" s="1" t="n"/>
    </row>
    <row r="405" ht="15.75" customHeight="1" s="58">
      <c r="A405" s="1" t="n"/>
      <c r="B405" s="1" t="n"/>
      <c r="E405" s="1" t="n"/>
      <c r="F405" s="1" t="n"/>
    </row>
    <row r="406" ht="15.75" customHeight="1" s="58">
      <c r="A406" s="1" t="n"/>
      <c r="B406" s="1" t="n"/>
      <c r="E406" s="1" t="n"/>
      <c r="F406" s="1" t="n"/>
    </row>
    <row r="407" ht="15.75" customHeight="1" s="58">
      <c r="A407" s="1" t="n"/>
      <c r="B407" s="1" t="n"/>
      <c r="E407" s="1" t="n"/>
      <c r="F407" s="1" t="n"/>
    </row>
    <row r="408" ht="15.75" customHeight="1" s="58">
      <c r="A408" s="1" t="n"/>
      <c r="B408" s="1" t="n"/>
      <c r="E408" s="1" t="n"/>
      <c r="F408" s="1" t="n"/>
    </row>
    <row r="409" ht="15.75" customHeight="1" s="58">
      <c r="A409" s="1" t="n"/>
      <c r="B409" s="1" t="n"/>
      <c r="E409" s="1" t="n"/>
      <c r="F409" s="1" t="n"/>
    </row>
    <row r="410" ht="15.75" customHeight="1" s="58">
      <c r="A410" s="1" t="n"/>
      <c r="B410" s="1" t="n"/>
      <c r="E410" s="1" t="n"/>
      <c r="F410" s="1" t="n"/>
    </row>
    <row r="411" ht="15.75" customHeight="1" s="58">
      <c r="A411" s="1" t="n"/>
      <c r="B411" s="1" t="n"/>
      <c r="E411" s="1" t="n"/>
      <c r="F411" s="1" t="n"/>
    </row>
    <row r="412" ht="15.75" customHeight="1" s="58">
      <c r="A412" s="1" t="n"/>
      <c r="B412" s="1" t="n"/>
      <c r="E412" s="1" t="n"/>
      <c r="F412" s="1" t="n"/>
    </row>
    <row r="413" ht="15.75" customHeight="1" s="58">
      <c r="A413" s="1" t="n"/>
      <c r="B413" s="1" t="n"/>
      <c r="E413" s="1" t="n"/>
      <c r="F413" s="1" t="n"/>
    </row>
    <row r="414" ht="15.75" customHeight="1" s="58">
      <c r="A414" s="1" t="n"/>
      <c r="B414" s="1" t="n"/>
      <c r="E414" s="1" t="n"/>
      <c r="F414" s="1" t="n"/>
    </row>
    <row r="415" ht="15.75" customHeight="1" s="58">
      <c r="A415" s="1" t="n"/>
      <c r="B415" s="1" t="n"/>
      <c r="E415" s="1" t="n"/>
      <c r="F415" s="1" t="n"/>
    </row>
    <row r="416" ht="15.75" customHeight="1" s="58">
      <c r="A416" s="1" t="n"/>
      <c r="B416" s="1" t="n"/>
      <c r="E416" s="1" t="n"/>
      <c r="F416" s="1" t="n"/>
    </row>
    <row r="417" ht="15.75" customHeight="1" s="58">
      <c r="A417" s="1" t="n"/>
      <c r="B417" s="1" t="n"/>
      <c r="E417" s="1" t="n"/>
      <c r="F417" s="1" t="n"/>
    </row>
    <row r="418" ht="15.75" customHeight="1" s="58">
      <c r="A418" s="1" t="n"/>
      <c r="B418" s="1" t="n"/>
      <c r="E418" s="1" t="n"/>
      <c r="F418" s="1" t="n"/>
    </row>
    <row r="419" ht="15.75" customHeight="1" s="58">
      <c r="A419" s="1" t="n"/>
      <c r="B419" s="1" t="n"/>
      <c r="E419" s="1" t="n"/>
      <c r="F419" s="1" t="n"/>
    </row>
    <row r="420" ht="15.75" customHeight="1" s="58">
      <c r="A420" s="1" t="n"/>
      <c r="B420" s="1" t="n"/>
      <c r="E420" s="1" t="n"/>
      <c r="F420" s="1" t="n"/>
    </row>
    <row r="421" ht="15.75" customHeight="1" s="58">
      <c r="A421" s="1" t="n"/>
      <c r="B421" s="1" t="n"/>
      <c r="E421" s="1" t="n"/>
      <c r="F421" s="1" t="n"/>
    </row>
    <row r="422" ht="15.75" customHeight="1" s="58">
      <c r="A422" s="1" t="n"/>
      <c r="B422" s="1" t="n"/>
      <c r="E422" s="1" t="n"/>
      <c r="F422" s="1" t="n"/>
    </row>
    <row r="423" ht="15.75" customHeight="1" s="58">
      <c r="A423" s="1" t="n"/>
      <c r="B423" s="1" t="n"/>
      <c r="E423" s="1" t="n"/>
      <c r="F423" s="1" t="n"/>
    </row>
    <row r="424" ht="15.75" customHeight="1" s="58">
      <c r="A424" s="1" t="n"/>
      <c r="B424" s="1" t="n"/>
      <c r="E424" s="1" t="n"/>
      <c r="F424" s="1" t="n"/>
    </row>
    <row r="425" ht="15.75" customHeight="1" s="58">
      <c r="A425" s="1" t="n"/>
      <c r="B425" s="1" t="n"/>
      <c r="E425" s="1" t="n"/>
      <c r="F425" s="1" t="n"/>
    </row>
    <row r="426" ht="15.75" customHeight="1" s="58">
      <c r="A426" s="1" t="n"/>
      <c r="B426" s="1" t="n"/>
      <c r="E426" s="1" t="n"/>
      <c r="F426" s="1" t="n"/>
    </row>
    <row r="427" ht="15.75" customHeight="1" s="58">
      <c r="A427" s="1" t="n"/>
      <c r="B427" s="1" t="n"/>
      <c r="E427" s="1" t="n"/>
      <c r="F427" s="1" t="n"/>
    </row>
    <row r="428" ht="15.75" customHeight="1" s="58">
      <c r="A428" s="1" t="n"/>
      <c r="B428" s="1" t="n"/>
      <c r="E428" s="1" t="n"/>
      <c r="F428" s="1" t="n"/>
    </row>
    <row r="429" ht="15.75" customHeight="1" s="58">
      <c r="A429" s="1" t="n"/>
      <c r="B429" s="1" t="n"/>
      <c r="E429" s="1" t="n"/>
      <c r="F429" s="1" t="n"/>
    </row>
    <row r="430" ht="15.75" customHeight="1" s="58">
      <c r="A430" s="1" t="n"/>
      <c r="B430" s="1" t="n"/>
      <c r="E430" s="1" t="n"/>
      <c r="F430" s="1" t="n"/>
    </row>
    <row r="431" ht="15.75" customHeight="1" s="58">
      <c r="A431" s="1" t="n"/>
      <c r="B431" s="1" t="n"/>
      <c r="E431" s="1" t="n"/>
      <c r="F431" s="1" t="n"/>
    </row>
    <row r="432" ht="15.75" customHeight="1" s="58">
      <c r="A432" s="1" t="n"/>
      <c r="B432" s="1" t="n"/>
      <c r="E432" s="1" t="n"/>
      <c r="F432" s="1" t="n"/>
    </row>
    <row r="433" ht="15.75" customHeight="1" s="58">
      <c r="A433" s="1" t="n"/>
      <c r="B433" s="1" t="n"/>
      <c r="E433" s="1" t="n"/>
      <c r="F433" s="1" t="n"/>
    </row>
    <row r="434" ht="15.75" customHeight="1" s="58">
      <c r="A434" s="1" t="n"/>
      <c r="B434" s="1" t="n"/>
      <c r="E434" s="1" t="n"/>
      <c r="F434" s="1" t="n"/>
    </row>
    <row r="435" ht="15.75" customHeight="1" s="58">
      <c r="A435" s="1" t="n"/>
      <c r="B435" s="1" t="n"/>
      <c r="E435" s="1" t="n"/>
      <c r="F435" s="1" t="n"/>
    </row>
    <row r="436" ht="15.75" customHeight="1" s="58">
      <c r="A436" s="1" t="n"/>
      <c r="B436" s="1" t="n"/>
      <c r="E436" s="1" t="n"/>
      <c r="F436" s="1" t="n"/>
    </row>
    <row r="437" ht="15.75" customHeight="1" s="58">
      <c r="A437" s="1" t="n"/>
      <c r="B437" s="1" t="n"/>
      <c r="E437" s="1" t="n"/>
      <c r="F437" s="1" t="n"/>
    </row>
    <row r="438" ht="15.75" customHeight="1" s="58">
      <c r="A438" s="1" t="n"/>
      <c r="B438" s="1" t="n"/>
      <c r="E438" s="1" t="n"/>
      <c r="F438" s="1" t="n"/>
    </row>
    <row r="439" ht="15.75" customHeight="1" s="58">
      <c r="A439" s="1" t="n"/>
      <c r="B439" s="1" t="n"/>
      <c r="E439" s="1" t="n"/>
      <c r="F439" s="1" t="n"/>
    </row>
    <row r="440" ht="15.75" customHeight="1" s="58">
      <c r="A440" s="1" t="n"/>
      <c r="B440" s="1" t="n"/>
      <c r="E440" s="1" t="n"/>
      <c r="F440" s="1" t="n"/>
    </row>
    <row r="441" ht="15.75" customHeight="1" s="58">
      <c r="A441" s="1" t="n"/>
      <c r="B441" s="1" t="n"/>
      <c r="E441" s="1" t="n"/>
      <c r="F441" s="1" t="n"/>
    </row>
    <row r="442" ht="15.75" customHeight="1" s="58">
      <c r="A442" s="1" t="n"/>
      <c r="B442" s="1" t="n"/>
      <c r="E442" s="1" t="n"/>
      <c r="F442" s="1" t="n"/>
    </row>
    <row r="443" ht="15.75" customHeight="1" s="58">
      <c r="A443" s="1" t="n"/>
      <c r="B443" s="1" t="n"/>
      <c r="E443" s="1" t="n"/>
      <c r="F443" s="1" t="n"/>
    </row>
    <row r="444" ht="15.75" customHeight="1" s="58">
      <c r="A444" s="1" t="n"/>
      <c r="B444" s="1" t="n"/>
      <c r="E444" s="1" t="n"/>
      <c r="F444" s="1" t="n"/>
    </row>
    <row r="445" ht="15.75" customHeight="1" s="58">
      <c r="A445" s="1" t="n"/>
      <c r="B445" s="1" t="n"/>
      <c r="E445" s="1" t="n"/>
      <c r="F445" s="1" t="n"/>
    </row>
    <row r="446" ht="15.75" customHeight="1" s="58">
      <c r="A446" s="1" t="n"/>
      <c r="B446" s="1" t="n"/>
      <c r="E446" s="1" t="n"/>
      <c r="F446" s="1" t="n"/>
    </row>
    <row r="447" ht="15.75" customHeight="1" s="58">
      <c r="A447" s="1" t="n"/>
      <c r="B447" s="1" t="n"/>
      <c r="E447" s="1" t="n"/>
      <c r="F447" s="1" t="n"/>
    </row>
    <row r="448" ht="15.75" customHeight="1" s="58">
      <c r="A448" s="1" t="n"/>
      <c r="B448" s="1" t="n"/>
      <c r="E448" s="1" t="n"/>
      <c r="F448" s="1" t="n"/>
    </row>
    <row r="449" ht="15.75" customHeight="1" s="58">
      <c r="A449" s="1" t="n"/>
      <c r="B449" s="1" t="n"/>
      <c r="E449" s="1" t="n"/>
      <c r="F449" s="1" t="n"/>
    </row>
    <row r="450" ht="15.75" customHeight="1" s="58">
      <c r="A450" s="1" t="n"/>
      <c r="B450" s="1" t="n"/>
      <c r="E450" s="1" t="n"/>
      <c r="F450" s="1" t="n"/>
    </row>
    <row r="451" ht="15.75" customHeight="1" s="58">
      <c r="A451" s="1" t="n"/>
      <c r="B451" s="1" t="n"/>
      <c r="E451" s="1" t="n"/>
      <c r="F451" s="1" t="n"/>
    </row>
    <row r="452" ht="15.75" customHeight="1" s="58">
      <c r="A452" s="1" t="n"/>
      <c r="B452" s="1" t="n"/>
      <c r="E452" s="1" t="n"/>
      <c r="F452" s="1" t="n"/>
    </row>
    <row r="453" ht="15.75" customHeight="1" s="58">
      <c r="A453" s="1" t="n"/>
      <c r="B453" s="1" t="n"/>
      <c r="E453" s="1" t="n"/>
      <c r="F453" s="1" t="n"/>
    </row>
    <row r="454" ht="15.75" customHeight="1" s="58">
      <c r="A454" s="1" t="n"/>
      <c r="B454" s="1" t="n"/>
      <c r="E454" s="1" t="n"/>
      <c r="F454" s="1" t="n"/>
    </row>
    <row r="455" ht="15.75" customHeight="1" s="58">
      <c r="A455" s="1" t="n"/>
      <c r="B455" s="1" t="n"/>
      <c r="E455" s="1" t="n"/>
      <c r="F455" s="1" t="n"/>
    </row>
    <row r="456" ht="15.75" customHeight="1" s="58">
      <c r="A456" s="1" t="n"/>
      <c r="B456" s="1" t="n"/>
      <c r="E456" s="1" t="n"/>
      <c r="F456" s="1" t="n"/>
    </row>
    <row r="457" ht="15.75" customHeight="1" s="58">
      <c r="A457" s="1" t="n"/>
      <c r="B457" s="1" t="n"/>
      <c r="E457" s="1" t="n"/>
      <c r="F457" s="1" t="n"/>
    </row>
    <row r="458" ht="15.75" customHeight="1" s="58">
      <c r="A458" s="1" t="n"/>
      <c r="B458" s="1" t="n"/>
      <c r="E458" s="1" t="n"/>
      <c r="F458" s="1" t="n"/>
    </row>
    <row r="459" ht="15.75" customHeight="1" s="58">
      <c r="A459" s="1" t="n"/>
      <c r="B459" s="1" t="n"/>
      <c r="E459" s="1" t="n"/>
      <c r="F459" s="1" t="n"/>
    </row>
    <row r="460" ht="15.75" customHeight="1" s="58">
      <c r="A460" s="1" t="n"/>
      <c r="B460" s="1" t="n"/>
      <c r="E460" s="1" t="n"/>
      <c r="F460" s="1" t="n"/>
    </row>
    <row r="461" ht="15.75" customHeight="1" s="58">
      <c r="A461" s="1" t="n"/>
      <c r="B461" s="1" t="n"/>
      <c r="E461" s="1" t="n"/>
      <c r="F461" s="1" t="n"/>
    </row>
    <row r="462" ht="15.75" customHeight="1" s="58">
      <c r="A462" s="1" t="n"/>
      <c r="B462" s="1" t="n"/>
      <c r="E462" s="1" t="n"/>
      <c r="F462" s="1" t="n"/>
    </row>
    <row r="463" ht="15.75" customHeight="1" s="58">
      <c r="A463" s="1" t="n"/>
      <c r="B463" s="1" t="n"/>
      <c r="E463" s="1" t="n"/>
      <c r="F463" s="1" t="n"/>
    </row>
    <row r="464" ht="15.75" customHeight="1" s="58">
      <c r="A464" s="1" t="n"/>
      <c r="B464" s="1" t="n"/>
      <c r="E464" s="1" t="n"/>
      <c r="F464" s="1" t="n"/>
    </row>
    <row r="465" ht="15.75" customHeight="1" s="58">
      <c r="A465" s="1" t="n"/>
      <c r="B465" s="1" t="n"/>
      <c r="E465" s="1" t="n"/>
      <c r="F465" s="1" t="n"/>
    </row>
    <row r="466" ht="15.75" customHeight="1" s="58">
      <c r="A466" s="1" t="n"/>
      <c r="B466" s="1" t="n"/>
      <c r="E466" s="1" t="n"/>
      <c r="F466" s="1" t="n"/>
    </row>
    <row r="467" ht="15.75" customHeight="1" s="58">
      <c r="A467" s="1" t="n"/>
      <c r="B467" s="1" t="n"/>
      <c r="E467" s="1" t="n"/>
      <c r="F467" s="1" t="n"/>
    </row>
    <row r="468" ht="15.75" customHeight="1" s="58">
      <c r="A468" s="1" t="n"/>
      <c r="B468" s="1" t="n"/>
      <c r="E468" s="1" t="n"/>
      <c r="F468" s="1" t="n"/>
    </row>
    <row r="469" ht="15.75" customHeight="1" s="58">
      <c r="A469" s="1" t="n"/>
      <c r="B469" s="1" t="n"/>
      <c r="E469" s="1" t="n"/>
      <c r="F469" s="1" t="n"/>
    </row>
    <row r="470" ht="15.75" customHeight="1" s="58">
      <c r="A470" s="1" t="n"/>
      <c r="B470" s="1" t="n"/>
      <c r="E470" s="1" t="n"/>
      <c r="F470" s="1" t="n"/>
    </row>
    <row r="471" ht="15.75" customHeight="1" s="58">
      <c r="A471" s="1" t="n"/>
      <c r="B471" s="1" t="n"/>
      <c r="E471" s="1" t="n"/>
      <c r="F471" s="1" t="n"/>
    </row>
    <row r="472" ht="15.75" customHeight="1" s="58">
      <c r="A472" s="1" t="n"/>
      <c r="B472" s="1" t="n"/>
      <c r="E472" s="1" t="n"/>
      <c r="F472" s="1" t="n"/>
    </row>
    <row r="473" ht="15.75" customHeight="1" s="58">
      <c r="A473" s="1" t="n"/>
      <c r="B473" s="1" t="n"/>
      <c r="E473" s="1" t="n"/>
      <c r="F473" s="1" t="n"/>
    </row>
    <row r="474" ht="15.75" customHeight="1" s="58">
      <c r="A474" s="1" t="n"/>
      <c r="B474" s="1" t="n"/>
      <c r="E474" s="1" t="n"/>
      <c r="F474" s="1" t="n"/>
    </row>
    <row r="475" ht="15.75" customHeight="1" s="58">
      <c r="A475" s="1" t="n"/>
      <c r="B475" s="1" t="n"/>
      <c r="E475" s="1" t="n"/>
      <c r="F475" s="1" t="n"/>
    </row>
    <row r="476" ht="15.75" customHeight="1" s="58">
      <c r="A476" s="1" t="n"/>
      <c r="B476" s="1" t="n"/>
      <c r="E476" s="1" t="n"/>
      <c r="F476" s="1" t="n"/>
    </row>
    <row r="477" ht="15.75" customHeight="1" s="58">
      <c r="A477" s="1" t="n"/>
      <c r="B477" s="1" t="n"/>
      <c r="E477" s="1" t="n"/>
      <c r="F477" s="1" t="n"/>
    </row>
    <row r="478" ht="15.75" customHeight="1" s="58">
      <c r="A478" s="1" t="n"/>
      <c r="B478" s="1" t="n"/>
      <c r="E478" s="1" t="n"/>
      <c r="F478" s="1" t="n"/>
    </row>
    <row r="479" ht="15.75" customHeight="1" s="58">
      <c r="A479" s="1" t="n"/>
      <c r="B479" s="1" t="n"/>
      <c r="E479" s="1" t="n"/>
      <c r="F479" s="1" t="n"/>
    </row>
    <row r="480" ht="15.75" customHeight="1" s="58">
      <c r="A480" s="1" t="n"/>
      <c r="B480" s="1" t="n"/>
      <c r="E480" s="1" t="n"/>
      <c r="F480" s="1" t="n"/>
    </row>
    <row r="481" ht="15.75" customHeight="1" s="58">
      <c r="A481" s="1" t="n"/>
      <c r="B481" s="1" t="n"/>
      <c r="E481" s="1" t="n"/>
      <c r="F481" s="1" t="n"/>
    </row>
    <row r="482" ht="15.75" customHeight="1" s="58">
      <c r="A482" s="1" t="n"/>
      <c r="B482" s="1" t="n"/>
      <c r="E482" s="1" t="n"/>
      <c r="F482" s="1" t="n"/>
    </row>
    <row r="483" ht="15.75" customHeight="1" s="58">
      <c r="A483" s="1" t="n"/>
      <c r="B483" s="1" t="n"/>
      <c r="E483" s="1" t="n"/>
      <c r="F483" s="1" t="n"/>
    </row>
    <row r="484" ht="15.75" customHeight="1" s="58">
      <c r="A484" s="1" t="n"/>
      <c r="B484" s="1" t="n"/>
      <c r="E484" s="1" t="n"/>
      <c r="F484" s="1" t="n"/>
    </row>
    <row r="485" ht="15.75" customHeight="1" s="58">
      <c r="A485" s="1" t="n"/>
      <c r="B485" s="1" t="n"/>
      <c r="E485" s="1" t="n"/>
      <c r="F485" s="1" t="n"/>
    </row>
    <row r="486" ht="15.75" customHeight="1" s="58">
      <c r="A486" s="1" t="n"/>
      <c r="B486" s="1" t="n"/>
      <c r="E486" s="1" t="n"/>
      <c r="F486" s="1" t="n"/>
    </row>
    <row r="487" ht="15.75" customHeight="1" s="58">
      <c r="A487" s="1" t="n"/>
      <c r="B487" s="1" t="n"/>
      <c r="E487" s="1" t="n"/>
      <c r="F487" s="1" t="n"/>
    </row>
    <row r="488" ht="15.75" customHeight="1" s="58">
      <c r="A488" s="1" t="n"/>
      <c r="B488" s="1" t="n"/>
      <c r="E488" s="1" t="n"/>
      <c r="F488" s="1" t="n"/>
    </row>
    <row r="489" ht="15.75" customHeight="1" s="58">
      <c r="A489" s="1" t="n"/>
      <c r="B489" s="1" t="n"/>
      <c r="E489" s="1" t="n"/>
      <c r="F489" s="1" t="n"/>
    </row>
    <row r="490" ht="15.75" customHeight="1" s="58">
      <c r="A490" s="1" t="n"/>
      <c r="B490" s="1" t="n"/>
      <c r="E490" s="1" t="n"/>
      <c r="F490" s="1" t="n"/>
    </row>
    <row r="491" ht="15.75" customHeight="1" s="58">
      <c r="A491" s="1" t="n"/>
      <c r="B491" s="1" t="n"/>
      <c r="E491" s="1" t="n"/>
      <c r="F491" s="1" t="n"/>
    </row>
    <row r="492" ht="15.75" customHeight="1" s="58">
      <c r="A492" s="1" t="n"/>
      <c r="B492" s="1" t="n"/>
      <c r="E492" s="1" t="n"/>
      <c r="F492" s="1" t="n"/>
    </row>
    <row r="493" ht="15.75" customHeight="1" s="58">
      <c r="A493" s="1" t="n"/>
      <c r="B493" s="1" t="n"/>
      <c r="E493" s="1" t="n"/>
      <c r="F493" s="1" t="n"/>
    </row>
    <row r="494" ht="15.75" customHeight="1" s="58">
      <c r="A494" s="1" t="n"/>
      <c r="B494" s="1" t="n"/>
      <c r="E494" s="1" t="n"/>
      <c r="F494" s="1" t="n"/>
    </row>
    <row r="495" ht="15.75" customHeight="1" s="58">
      <c r="A495" s="1" t="n"/>
      <c r="B495" s="1" t="n"/>
      <c r="E495" s="1" t="n"/>
      <c r="F495" s="1" t="n"/>
    </row>
    <row r="496" ht="15.75" customHeight="1" s="58">
      <c r="A496" s="1" t="n"/>
      <c r="B496" s="1" t="n"/>
      <c r="E496" s="1" t="n"/>
      <c r="F496" s="1" t="n"/>
    </row>
    <row r="497" ht="15.75" customHeight="1" s="58">
      <c r="A497" s="1" t="n"/>
      <c r="B497" s="1" t="n"/>
      <c r="E497" s="1" t="n"/>
      <c r="F497" s="1" t="n"/>
    </row>
    <row r="498" ht="15.75" customHeight="1" s="58">
      <c r="A498" s="1" t="n"/>
      <c r="B498" s="1" t="n"/>
      <c r="E498" s="1" t="n"/>
      <c r="F498" s="1" t="n"/>
    </row>
    <row r="499" ht="15.75" customHeight="1" s="58">
      <c r="A499" s="1" t="n"/>
      <c r="B499" s="1" t="n"/>
      <c r="E499" s="1" t="n"/>
      <c r="F499" s="1" t="n"/>
    </row>
    <row r="500" ht="15.75" customHeight="1" s="58">
      <c r="A500" s="1" t="n"/>
      <c r="B500" s="1" t="n"/>
      <c r="E500" s="1" t="n"/>
      <c r="F500" s="1" t="n"/>
    </row>
    <row r="501" ht="15.75" customHeight="1" s="58">
      <c r="A501" s="1" t="n"/>
      <c r="B501" s="1" t="n"/>
      <c r="E501" s="1" t="n"/>
      <c r="F501" s="1" t="n"/>
    </row>
    <row r="502" ht="15.75" customHeight="1" s="58">
      <c r="A502" s="1" t="n"/>
      <c r="B502" s="1" t="n"/>
      <c r="E502" s="1" t="n"/>
      <c r="F502" s="1" t="n"/>
    </row>
    <row r="503" ht="15.75" customHeight="1" s="58">
      <c r="A503" s="1" t="n"/>
      <c r="B503" s="1" t="n"/>
      <c r="E503" s="1" t="n"/>
      <c r="F503" s="1" t="n"/>
    </row>
    <row r="504" ht="15.75" customHeight="1" s="58">
      <c r="A504" s="1" t="n"/>
      <c r="B504" s="1" t="n"/>
      <c r="E504" s="1" t="n"/>
      <c r="F504" s="1" t="n"/>
    </row>
    <row r="505" ht="15.75" customHeight="1" s="58">
      <c r="A505" s="1" t="n"/>
      <c r="B505" s="1" t="n"/>
      <c r="E505" s="1" t="n"/>
      <c r="F505" s="1" t="n"/>
    </row>
    <row r="506" ht="15.75" customHeight="1" s="58">
      <c r="A506" s="1" t="n"/>
      <c r="B506" s="1" t="n"/>
      <c r="E506" s="1" t="n"/>
      <c r="F506" s="1" t="n"/>
    </row>
    <row r="507" ht="15.75" customHeight="1" s="58">
      <c r="A507" s="1" t="n"/>
      <c r="B507" s="1" t="n"/>
      <c r="E507" s="1" t="n"/>
      <c r="F507" s="1" t="n"/>
    </row>
    <row r="508" ht="15.75" customHeight="1" s="58">
      <c r="A508" s="1" t="n"/>
      <c r="B508" s="1" t="n"/>
      <c r="E508" s="1" t="n"/>
      <c r="F508" s="1" t="n"/>
    </row>
    <row r="509" ht="15.75" customHeight="1" s="58">
      <c r="A509" s="1" t="n"/>
      <c r="B509" s="1" t="n"/>
      <c r="E509" s="1" t="n"/>
      <c r="F509" s="1" t="n"/>
    </row>
    <row r="510" ht="15.75" customHeight="1" s="58">
      <c r="A510" s="1" t="n"/>
      <c r="B510" s="1" t="n"/>
      <c r="E510" s="1" t="n"/>
      <c r="F510" s="1" t="n"/>
    </row>
    <row r="511" ht="15.75" customHeight="1" s="58">
      <c r="A511" s="1" t="n"/>
      <c r="B511" s="1" t="n"/>
      <c r="E511" s="1" t="n"/>
      <c r="F511" s="1" t="n"/>
    </row>
    <row r="512" ht="15.75" customHeight="1" s="58">
      <c r="A512" s="1" t="n"/>
      <c r="B512" s="1" t="n"/>
      <c r="E512" s="1" t="n"/>
      <c r="F512" s="1" t="n"/>
    </row>
    <row r="513" ht="15.75" customHeight="1" s="58">
      <c r="A513" s="1" t="n"/>
      <c r="B513" s="1" t="n"/>
      <c r="E513" s="1" t="n"/>
      <c r="F513" s="1" t="n"/>
    </row>
    <row r="514" ht="15.75" customHeight="1" s="58">
      <c r="A514" s="1" t="n"/>
      <c r="B514" s="1" t="n"/>
      <c r="E514" s="1" t="n"/>
      <c r="F514" s="1" t="n"/>
    </row>
    <row r="515" ht="15.75" customHeight="1" s="58">
      <c r="A515" s="1" t="n"/>
      <c r="B515" s="1" t="n"/>
      <c r="E515" s="1" t="n"/>
      <c r="F515" s="1" t="n"/>
    </row>
    <row r="516" ht="15.75" customHeight="1" s="58">
      <c r="A516" s="1" t="n"/>
      <c r="B516" s="1" t="n"/>
      <c r="E516" s="1" t="n"/>
      <c r="F516" s="1" t="n"/>
    </row>
    <row r="517" ht="15.75" customHeight="1" s="58">
      <c r="A517" s="1" t="n"/>
      <c r="B517" s="1" t="n"/>
      <c r="E517" s="1" t="n"/>
      <c r="F517" s="1" t="n"/>
    </row>
    <row r="518" ht="15.75" customHeight="1" s="58">
      <c r="A518" s="1" t="n"/>
      <c r="B518" s="1" t="n"/>
      <c r="E518" s="1" t="n"/>
      <c r="F518" s="1" t="n"/>
    </row>
    <row r="519" ht="15.75" customHeight="1" s="58">
      <c r="A519" s="1" t="n"/>
      <c r="B519" s="1" t="n"/>
      <c r="E519" s="1" t="n"/>
      <c r="F519" s="1" t="n"/>
    </row>
    <row r="520" ht="15.75" customHeight="1" s="58">
      <c r="A520" s="1" t="n"/>
      <c r="B520" s="1" t="n"/>
      <c r="E520" s="1" t="n"/>
      <c r="F520" s="1" t="n"/>
    </row>
    <row r="521" ht="15.75" customHeight="1" s="58">
      <c r="A521" s="1" t="n"/>
      <c r="B521" s="1" t="n"/>
      <c r="E521" s="1" t="n"/>
      <c r="F521" s="1" t="n"/>
    </row>
    <row r="522" ht="15.75" customHeight="1" s="58">
      <c r="A522" s="1" t="n"/>
      <c r="B522" s="1" t="n"/>
      <c r="E522" s="1" t="n"/>
      <c r="F522" s="1" t="n"/>
    </row>
    <row r="523" ht="15.75" customHeight="1" s="58">
      <c r="A523" s="1" t="n"/>
      <c r="B523" s="1" t="n"/>
      <c r="E523" s="1" t="n"/>
      <c r="F523" s="1" t="n"/>
    </row>
    <row r="524" ht="15.75" customHeight="1" s="58">
      <c r="A524" s="1" t="n"/>
      <c r="B524" s="1" t="n"/>
      <c r="E524" s="1" t="n"/>
      <c r="F524" s="1" t="n"/>
    </row>
    <row r="525" ht="15.75" customHeight="1" s="58">
      <c r="A525" s="1" t="n"/>
      <c r="B525" s="1" t="n"/>
      <c r="E525" s="1" t="n"/>
      <c r="F525" s="1" t="n"/>
    </row>
    <row r="526" ht="15.75" customHeight="1" s="58">
      <c r="A526" s="1" t="n"/>
      <c r="B526" s="1" t="n"/>
      <c r="E526" s="1" t="n"/>
      <c r="F526" s="1" t="n"/>
    </row>
    <row r="527" ht="15.75" customHeight="1" s="58">
      <c r="A527" s="1" t="n"/>
      <c r="B527" s="1" t="n"/>
      <c r="E527" s="1" t="n"/>
      <c r="F527" s="1" t="n"/>
    </row>
    <row r="528" ht="15.75" customHeight="1" s="58">
      <c r="A528" s="1" t="n"/>
      <c r="B528" s="1" t="n"/>
      <c r="E528" s="1" t="n"/>
      <c r="F528" s="1" t="n"/>
    </row>
    <row r="529" ht="15.75" customHeight="1" s="58">
      <c r="A529" s="1" t="n"/>
      <c r="B529" s="1" t="n"/>
      <c r="E529" s="1" t="n"/>
      <c r="F529" s="1" t="n"/>
    </row>
    <row r="530" ht="15.75" customHeight="1" s="58">
      <c r="A530" s="1" t="n"/>
      <c r="B530" s="1" t="n"/>
      <c r="E530" s="1" t="n"/>
      <c r="F530" s="1" t="n"/>
    </row>
    <row r="531" ht="15.75" customHeight="1" s="58">
      <c r="A531" s="1" t="n"/>
      <c r="B531" s="1" t="n"/>
      <c r="E531" s="1" t="n"/>
      <c r="F531" s="1" t="n"/>
    </row>
    <row r="532" ht="15.75" customHeight="1" s="58">
      <c r="A532" s="1" t="n"/>
      <c r="B532" s="1" t="n"/>
      <c r="E532" s="1" t="n"/>
      <c r="F532" s="1" t="n"/>
    </row>
    <row r="533" ht="15.75" customHeight="1" s="58">
      <c r="A533" s="1" t="n"/>
      <c r="B533" s="1" t="n"/>
      <c r="E533" s="1" t="n"/>
      <c r="F533" s="1" t="n"/>
    </row>
    <row r="534" ht="15.75" customHeight="1" s="58">
      <c r="A534" s="1" t="n"/>
      <c r="B534" s="1" t="n"/>
      <c r="E534" s="1" t="n"/>
      <c r="F534" s="1" t="n"/>
    </row>
    <row r="535" ht="15.75" customHeight="1" s="58">
      <c r="A535" s="1" t="n"/>
      <c r="B535" s="1" t="n"/>
      <c r="E535" s="1" t="n"/>
      <c r="F535" s="1" t="n"/>
    </row>
    <row r="536" ht="15.75" customHeight="1" s="58">
      <c r="A536" s="1" t="n"/>
      <c r="B536" s="1" t="n"/>
      <c r="E536" s="1" t="n"/>
      <c r="F536" s="1" t="n"/>
    </row>
    <row r="537" ht="15.75" customHeight="1" s="58">
      <c r="A537" s="1" t="n"/>
      <c r="B537" s="1" t="n"/>
      <c r="E537" s="1" t="n"/>
      <c r="F537" s="1" t="n"/>
    </row>
    <row r="538" ht="15.75" customHeight="1" s="58">
      <c r="A538" s="1" t="n"/>
      <c r="B538" s="1" t="n"/>
      <c r="E538" s="1" t="n"/>
      <c r="F538" s="1" t="n"/>
    </row>
    <row r="539" ht="15.75" customHeight="1" s="58">
      <c r="A539" s="1" t="n"/>
      <c r="B539" s="1" t="n"/>
      <c r="E539" s="1" t="n"/>
      <c r="F539" s="1" t="n"/>
    </row>
    <row r="540" ht="15.75" customHeight="1" s="58">
      <c r="A540" s="1" t="n"/>
      <c r="B540" s="1" t="n"/>
      <c r="E540" s="1" t="n"/>
      <c r="F540" s="1" t="n"/>
    </row>
    <row r="541" ht="15.75" customHeight="1" s="58">
      <c r="A541" s="1" t="n"/>
      <c r="B541" s="1" t="n"/>
      <c r="E541" s="1" t="n"/>
      <c r="F541" s="1" t="n"/>
    </row>
    <row r="542" ht="15.75" customHeight="1" s="58">
      <c r="A542" s="1" t="n"/>
      <c r="B542" s="1" t="n"/>
      <c r="E542" s="1" t="n"/>
      <c r="F542" s="1" t="n"/>
    </row>
    <row r="543" ht="15.75" customHeight="1" s="58">
      <c r="A543" s="1" t="n"/>
      <c r="B543" s="1" t="n"/>
      <c r="E543" s="1" t="n"/>
      <c r="F543" s="1" t="n"/>
    </row>
    <row r="544" ht="15.75" customHeight="1" s="58">
      <c r="A544" s="1" t="n"/>
      <c r="B544" s="1" t="n"/>
      <c r="E544" s="1" t="n"/>
      <c r="F544" s="1" t="n"/>
    </row>
    <row r="545" ht="15.75" customHeight="1" s="58">
      <c r="A545" s="1" t="n"/>
      <c r="B545" s="1" t="n"/>
      <c r="E545" s="1" t="n"/>
      <c r="F545" s="1" t="n"/>
    </row>
    <row r="546" ht="15.75" customHeight="1" s="58">
      <c r="A546" s="1" t="n"/>
      <c r="B546" s="1" t="n"/>
      <c r="E546" s="1" t="n"/>
      <c r="F546" s="1" t="n"/>
    </row>
    <row r="547" ht="15.75" customHeight="1" s="58">
      <c r="A547" s="1" t="n"/>
      <c r="B547" s="1" t="n"/>
      <c r="E547" s="1" t="n"/>
      <c r="F547" s="1" t="n"/>
    </row>
    <row r="548" ht="15.75" customHeight="1" s="58">
      <c r="A548" s="1" t="n"/>
      <c r="B548" s="1" t="n"/>
      <c r="E548" s="1" t="n"/>
      <c r="F548" s="1" t="n"/>
    </row>
    <row r="549" ht="15.75" customHeight="1" s="58">
      <c r="A549" s="1" t="n"/>
      <c r="B549" s="1" t="n"/>
      <c r="E549" s="1" t="n"/>
      <c r="F549" s="1" t="n"/>
    </row>
    <row r="550" ht="15.75" customHeight="1" s="58">
      <c r="A550" s="1" t="n"/>
      <c r="B550" s="1" t="n"/>
      <c r="E550" s="1" t="n"/>
      <c r="F550" s="1" t="n"/>
    </row>
    <row r="551" ht="15.75" customHeight="1" s="58">
      <c r="A551" s="1" t="n"/>
      <c r="B551" s="1" t="n"/>
      <c r="E551" s="1" t="n"/>
      <c r="F551" s="1" t="n"/>
    </row>
    <row r="552" ht="15.75" customHeight="1" s="58">
      <c r="A552" s="1" t="n"/>
      <c r="B552" s="1" t="n"/>
      <c r="E552" s="1" t="n"/>
      <c r="F552" s="1" t="n"/>
    </row>
    <row r="553" ht="15.75" customHeight="1" s="58">
      <c r="A553" s="1" t="n"/>
      <c r="B553" s="1" t="n"/>
      <c r="E553" s="1" t="n"/>
      <c r="F553" s="1" t="n"/>
    </row>
    <row r="554" ht="15.75" customHeight="1" s="58">
      <c r="A554" s="1" t="n"/>
      <c r="B554" s="1" t="n"/>
      <c r="E554" s="1" t="n"/>
      <c r="F554" s="1" t="n"/>
    </row>
    <row r="555" ht="15.75" customHeight="1" s="58">
      <c r="A555" s="1" t="n"/>
      <c r="B555" s="1" t="n"/>
      <c r="E555" s="1" t="n"/>
      <c r="F555" s="1" t="n"/>
    </row>
    <row r="556" ht="15.75" customHeight="1" s="58">
      <c r="A556" s="1" t="n"/>
      <c r="B556" s="1" t="n"/>
      <c r="E556" s="1" t="n"/>
      <c r="F556" s="1" t="n"/>
    </row>
    <row r="557" ht="15.75" customHeight="1" s="58">
      <c r="A557" s="1" t="n"/>
      <c r="B557" s="1" t="n"/>
      <c r="E557" s="1" t="n"/>
      <c r="F557" s="1" t="n"/>
    </row>
    <row r="558" ht="15.75" customHeight="1" s="58">
      <c r="A558" s="1" t="n"/>
      <c r="B558" s="1" t="n"/>
      <c r="E558" s="1" t="n"/>
      <c r="F558" s="1" t="n"/>
    </row>
    <row r="559" ht="15.75" customHeight="1" s="58">
      <c r="A559" s="1" t="n"/>
      <c r="B559" s="1" t="n"/>
      <c r="E559" s="1" t="n"/>
      <c r="F559" s="1" t="n"/>
    </row>
    <row r="560" ht="15.75" customHeight="1" s="58">
      <c r="A560" s="1" t="n"/>
      <c r="B560" s="1" t="n"/>
      <c r="E560" s="1" t="n"/>
      <c r="F560" s="1" t="n"/>
    </row>
    <row r="561" ht="15.75" customHeight="1" s="58">
      <c r="A561" s="1" t="n"/>
      <c r="B561" s="1" t="n"/>
      <c r="E561" s="1" t="n"/>
      <c r="F561" s="1" t="n"/>
    </row>
    <row r="562" ht="15.75" customHeight="1" s="58">
      <c r="A562" s="1" t="n"/>
      <c r="B562" s="1" t="n"/>
      <c r="E562" s="1" t="n"/>
      <c r="F562" s="1" t="n"/>
    </row>
    <row r="563" ht="15.75" customHeight="1" s="58">
      <c r="A563" s="1" t="n"/>
      <c r="B563" s="1" t="n"/>
      <c r="E563" s="1" t="n"/>
      <c r="F563" s="1" t="n"/>
    </row>
    <row r="564" ht="15.75" customHeight="1" s="58">
      <c r="A564" s="1" t="n"/>
      <c r="B564" s="1" t="n"/>
      <c r="E564" s="1" t="n"/>
      <c r="F564" s="1" t="n"/>
    </row>
    <row r="565" ht="15.75" customHeight="1" s="58">
      <c r="A565" s="1" t="n"/>
      <c r="B565" s="1" t="n"/>
      <c r="E565" s="1" t="n"/>
      <c r="F565" s="1" t="n"/>
    </row>
    <row r="566" ht="15.75" customHeight="1" s="58">
      <c r="A566" s="1" t="n"/>
      <c r="B566" s="1" t="n"/>
      <c r="E566" s="1" t="n"/>
      <c r="F566" s="1" t="n"/>
    </row>
    <row r="567" ht="15.75" customHeight="1" s="58">
      <c r="A567" s="1" t="n"/>
      <c r="B567" s="1" t="n"/>
      <c r="E567" s="1" t="n"/>
      <c r="F567" s="1" t="n"/>
    </row>
    <row r="568" ht="15.75" customHeight="1" s="58">
      <c r="A568" s="1" t="n"/>
      <c r="B568" s="1" t="n"/>
      <c r="E568" s="1" t="n"/>
      <c r="F568" s="1" t="n"/>
    </row>
    <row r="569" ht="15.75" customHeight="1" s="58">
      <c r="A569" s="1" t="n"/>
      <c r="B569" s="1" t="n"/>
      <c r="E569" s="1" t="n"/>
      <c r="F569" s="1" t="n"/>
    </row>
    <row r="570" ht="15.75" customHeight="1" s="58">
      <c r="A570" s="1" t="n"/>
      <c r="B570" s="1" t="n"/>
      <c r="E570" s="1" t="n"/>
      <c r="F570" s="1" t="n"/>
    </row>
    <row r="571" ht="15.75" customHeight="1" s="58">
      <c r="A571" s="1" t="n"/>
      <c r="B571" s="1" t="n"/>
      <c r="E571" s="1" t="n"/>
      <c r="F571" s="1" t="n"/>
    </row>
    <row r="572" ht="15.75" customHeight="1" s="58">
      <c r="A572" s="1" t="n"/>
      <c r="B572" s="1" t="n"/>
      <c r="E572" s="1" t="n"/>
      <c r="F572" s="1" t="n"/>
    </row>
    <row r="573" ht="15.75" customHeight="1" s="58">
      <c r="A573" s="1" t="n"/>
      <c r="B573" s="1" t="n"/>
      <c r="E573" s="1" t="n"/>
      <c r="F573" s="1" t="n"/>
    </row>
    <row r="574" ht="15.75" customHeight="1" s="58">
      <c r="A574" s="1" t="n"/>
      <c r="B574" s="1" t="n"/>
      <c r="E574" s="1" t="n"/>
      <c r="F574" s="1" t="n"/>
    </row>
    <row r="575" ht="15.75" customHeight="1" s="58">
      <c r="A575" s="1" t="n"/>
      <c r="B575" s="1" t="n"/>
      <c r="E575" s="1" t="n"/>
      <c r="F575" s="1" t="n"/>
    </row>
    <row r="576" ht="15.75" customHeight="1" s="58">
      <c r="A576" s="1" t="n"/>
      <c r="B576" s="1" t="n"/>
      <c r="E576" s="1" t="n"/>
      <c r="F576" s="1" t="n"/>
    </row>
    <row r="577" ht="15.75" customHeight="1" s="58">
      <c r="A577" s="1" t="n"/>
      <c r="B577" s="1" t="n"/>
      <c r="E577" s="1" t="n"/>
      <c r="F577" s="1" t="n"/>
    </row>
    <row r="578" ht="15.75" customHeight="1" s="58">
      <c r="A578" s="1" t="n"/>
      <c r="B578" s="1" t="n"/>
      <c r="E578" s="1" t="n"/>
      <c r="F578" s="1" t="n"/>
    </row>
    <row r="579" ht="15.75" customHeight="1" s="58">
      <c r="A579" s="1" t="n"/>
      <c r="B579" s="1" t="n"/>
      <c r="E579" s="1" t="n"/>
      <c r="F579" s="1" t="n"/>
    </row>
    <row r="580" ht="15.75" customHeight="1" s="58">
      <c r="A580" s="1" t="n"/>
      <c r="B580" s="1" t="n"/>
      <c r="E580" s="1" t="n"/>
      <c r="F580" s="1" t="n"/>
    </row>
    <row r="581" ht="15.75" customHeight="1" s="58">
      <c r="A581" s="1" t="n"/>
      <c r="B581" s="1" t="n"/>
      <c r="E581" s="1" t="n"/>
      <c r="F581" s="1" t="n"/>
    </row>
    <row r="582" ht="15.75" customHeight="1" s="58">
      <c r="A582" s="1" t="n"/>
      <c r="B582" s="1" t="n"/>
      <c r="E582" s="1" t="n"/>
      <c r="F582" s="1" t="n"/>
    </row>
    <row r="583" ht="15.75" customHeight="1" s="58">
      <c r="A583" s="1" t="n"/>
      <c r="B583" s="1" t="n"/>
      <c r="E583" s="1" t="n"/>
      <c r="F583" s="1" t="n"/>
    </row>
    <row r="584" ht="15.75" customHeight="1" s="58">
      <c r="A584" s="1" t="n"/>
      <c r="B584" s="1" t="n"/>
      <c r="E584" s="1" t="n"/>
      <c r="F584" s="1" t="n"/>
    </row>
    <row r="585" ht="15.75" customHeight="1" s="58">
      <c r="A585" s="1" t="n"/>
      <c r="B585" s="1" t="n"/>
      <c r="E585" s="1" t="n"/>
      <c r="F585" s="1" t="n"/>
    </row>
    <row r="586" ht="15.75" customHeight="1" s="58">
      <c r="A586" s="1" t="n"/>
      <c r="B586" s="1" t="n"/>
      <c r="E586" s="1" t="n"/>
      <c r="F586" s="1" t="n"/>
    </row>
    <row r="587" ht="15.75" customHeight="1" s="58">
      <c r="A587" s="1" t="n"/>
      <c r="B587" s="1" t="n"/>
      <c r="E587" s="1" t="n"/>
      <c r="F587" s="1" t="n"/>
    </row>
    <row r="588" ht="15.75" customHeight="1" s="58">
      <c r="A588" s="1" t="n"/>
      <c r="B588" s="1" t="n"/>
      <c r="E588" s="1" t="n"/>
      <c r="F588" s="1" t="n"/>
    </row>
    <row r="589" ht="15.75" customHeight="1" s="58">
      <c r="A589" s="1" t="n"/>
      <c r="B589" s="1" t="n"/>
      <c r="E589" s="1" t="n"/>
      <c r="F589" s="1" t="n"/>
    </row>
    <row r="590" ht="15.75" customHeight="1" s="58">
      <c r="A590" s="1" t="n"/>
      <c r="B590" s="1" t="n"/>
      <c r="E590" s="1" t="n"/>
      <c r="F590" s="1" t="n"/>
    </row>
    <row r="591" ht="15.75" customHeight="1" s="58">
      <c r="A591" s="1" t="n"/>
      <c r="B591" s="1" t="n"/>
      <c r="E591" s="1" t="n"/>
      <c r="F591" s="1" t="n"/>
    </row>
    <row r="592" ht="15.75" customHeight="1" s="58">
      <c r="A592" s="1" t="n"/>
      <c r="B592" s="1" t="n"/>
      <c r="E592" s="1" t="n"/>
      <c r="F592" s="1" t="n"/>
    </row>
    <row r="593" ht="15.75" customHeight="1" s="58">
      <c r="A593" s="1" t="n"/>
      <c r="B593" s="1" t="n"/>
      <c r="E593" s="1" t="n"/>
      <c r="F593" s="1" t="n"/>
    </row>
    <row r="594" ht="15.75" customHeight="1" s="58">
      <c r="A594" s="1" t="n"/>
      <c r="B594" s="1" t="n"/>
      <c r="E594" s="1" t="n"/>
      <c r="F594" s="1" t="n"/>
    </row>
    <row r="595" ht="15.75" customHeight="1" s="58">
      <c r="A595" s="1" t="n"/>
      <c r="B595" s="1" t="n"/>
      <c r="E595" s="1" t="n"/>
      <c r="F595" s="1" t="n"/>
    </row>
    <row r="596" ht="15.75" customHeight="1" s="58">
      <c r="A596" s="1" t="n"/>
      <c r="B596" s="1" t="n"/>
      <c r="E596" s="1" t="n"/>
      <c r="F596" s="1" t="n"/>
    </row>
    <row r="597" ht="15.75" customHeight="1" s="58">
      <c r="A597" s="1" t="n"/>
      <c r="B597" s="1" t="n"/>
      <c r="E597" s="1" t="n"/>
      <c r="F597" s="1" t="n"/>
    </row>
    <row r="598" ht="15.75" customHeight="1" s="58">
      <c r="A598" s="1" t="n"/>
      <c r="B598" s="1" t="n"/>
      <c r="E598" s="1" t="n"/>
      <c r="F598" s="1" t="n"/>
    </row>
    <row r="599" ht="15.75" customHeight="1" s="58">
      <c r="A599" s="1" t="n"/>
      <c r="B599" s="1" t="n"/>
      <c r="E599" s="1" t="n"/>
      <c r="F599" s="1" t="n"/>
    </row>
    <row r="600" ht="15.75" customHeight="1" s="58">
      <c r="A600" s="1" t="n"/>
      <c r="B600" s="1" t="n"/>
      <c r="E600" s="1" t="n"/>
      <c r="F600" s="1" t="n"/>
    </row>
    <row r="601" ht="15.75" customHeight="1" s="58">
      <c r="A601" s="1" t="n"/>
      <c r="B601" s="1" t="n"/>
      <c r="E601" s="1" t="n"/>
      <c r="F601" s="1" t="n"/>
    </row>
    <row r="602" ht="15.75" customHeight="1" s="58">
      <c r="A602" s="1" t="n"/>
      <c r="B602" s="1" t="n"/>
      <c r="E602" s="1" t="n"/>
      <c r="F602" s="1" t="n"/>
    </row>
    <row r="603" ht="15.75" customHeight="1" s="58">
      <c r="A603" s="1" t="n"/>
      <c r="B603" s="1" t="n"/>
      <c r="E603" s="1" t="n"/>
      <c r="F603" s="1" t="n"/>
    </row>
    <row r="604" ht="15.75" customHeight="1" s="58">
      <c r="A604" s="1" t="n"/>
      <c r="B604" s="1" t="n"/>
      <c r="E604" s="1" t="n"/>
      <c r="F604" s="1" t="n"/>
    </row>
    <row r="605" ht="15.75" customHeight="1" s="58">
      <c r="A605" s="1" t="n"/>
      <c r="B605" s="1" t="n"/>
      <c r="E605" s="1" t="n"/>
      <c r="F605" s="1" t="n"/>
    </row>
    <row r="606" ht="15.75" customHeight="1" s="58">
      <c r="A606" s="1" t="n"/>
      <c r="B606" s="1" t="n"/>
      <c r="E606" s="1" t="n"/>
      <c r="F606" s="1" t="n"/>
    </row>
    <row r="607" ht="15.75" customHeight="1" s="58">
      <c r="A607" s="1" t="n"/>
      <c r="B607" s="1" t="n"/>
      <c r="E607" s="1" t="n"/>
      <c r="F607" s="1" t="n"/>
    </row>
    <row r="608" ht="15.75" customHeight="1" s="58">
      <c r="A608" s="1" t="n"/>
      <c r="B608" s="1" t="n"/>
      <c r="E608" s="1" t="n"/>
      <c r="F608" s="1" t="n"/>
    </row>
    <row r="609" ht="15.75" customHeight="1" s="58">
      <c r="A609" s="1" t="n"/>
      <c r="B609" s="1" t="n"/>
      <c r="E609" s="1" t="n"/>
      <c r="F609" s="1" t="n"/>
    </row>
    <row r="610" ht="15.75" customHeight="1" s="58">
      <c r="A610" s="1" t="n"/>
      <c r="B610" s="1" t="n"/>
      <c r="E610" s="1" t="n"/>
      <c r="F610" s="1" t="n"/>
    </row>
    <row r="611" ht="15.75" customHeight="1" s="58">
      <c r="A611" s="1" t="n"/>
      <c r="B611" s="1" t="n"/>
      <c r="E611" s="1" t="n"/>
      <c r="F611" s="1" t="n"/>
    </row>
    <row r="612" ht="15.75" customHeight="1" s="58">
      <c r="A612" s="1" t="n"/>
      <c r="B612" s="1" t="n"/>
      <c r="E612" s="1" t="n"/>
      <c r="F612" s="1" t="n"/>
    </row>
    <row r="613" ht="15.75" customHeight="1" s="58">
      <c r="A613" s="1" t="n"/>
      <c r="B613" s="1" t="n"/>
      <c r="E613" s="1" t="n"/>
      <c r="F613" s="1" t="n"/>
    </row>
    <row r="614" ht="15.75" customHeight="1" s="58">
      <c r="A614" s="1" t="n"/>
      <c r="B614" s="1" t="n"/>
      <c r="E614" s="1" t="n"/>
      <c r="F614" s="1" t="n"/>
    </row>
    <row r="615" ht="15.75" customHeight="1" s="58">
      <c r="A615" s="1" t="n"/>
      <c r="B615" s="1" t="n"/>
      <c r="E615" s="1" t="n"/>
      <c r="F615" s="1" t="n"/>
    </row>
    <row r="616" ht="15.75" customHeight="1" s="58">
      <c r="A616" s="1" t="n"/>
      <c r="B616" s="1" t="n"/>
      <c r="E616" s="1" t="n"/>
      <c r="F616" s="1" t="n"/>
    </row>
    <row r="617" ht="15.75" customHeight="1" s="58">
      <c r="A617" s="1" t="n"/>
      <c r="B617" s="1" t="n"/>
      <c r="E617" s="1" t="n"/>
      <c r="F617" s="1" t="n"/>
    </row>
    <row r="618" ht="15.75" customHeight="1" s="58">
      <c r="A618" s="1" t="n"/>
      <c r="B618" s="1" t="n"/>
      <c r="E618" s="1" t="n"/>
      <c r="F618" s="1" t="n"/>
    </row>
    <row r="619" ht="15.75" customHeight="1" s="58">
      <c r="A619" s="1" t="n"/>
      <c r="B619" s="1" t="n"/>
      <c r="E619" s="1" t="n"/>
      <c r="F619" s="1" t="n"/>
    </row>
    <row r="620" ht="15.75" customHeight="1" s="58">
      <c r="A620" s="1" t="n"/>
      <c r="B620" s="1" t="n"/>
      <c r="E620" s="1" t="n"/>
      <c r="F620" s="1" t="n"/>
    </row>
    <row r="621" ht="15.75" customHeight="1" s="58">
      <c r="A621" s="1" t="n"/>
      <c r="B621" s="1" t="n"/>
      <c r="E621" s="1" t="n"/>
      <c r="F621" s="1" t="n"/>
    </row>
    <row r="622" ht="15.75" customHeight="1" s="58">
      <c r="A622" s="1" t="n"/>
      <c r="B622" s="1" t="n"/>
      <c r="E622" s="1" t="n"/>
      <c r="F622" s="1" t="n"/>
    </row>
    <row r="623" ht="15.75" customHeight="1" s="58">
      <c r="A623" s="1" t="n"/>
      <c r="B623" s="1" t="n"/>
      <c r="E623" s="1" t="n"/>
      <c r="F623" s="1" t="n"/>
    </row>
    <row r="624" ht="15.75" customHeight="1" s="58">
      <c r="A624" s="1" t="n"/>
      <c r="B624" s="1" t="n"/>
      <c r="E624" s="1" t="n"/>
      <c r="F624" s="1" t="n"/>
    </row>
    <row r="625" ht="15.75" customHeight="1" s="58">
      <c r="A625" s="1" t="n"/>
      <c r="B625" s="1" t="n"/>
      <c r="E625" s="1" t="n"/>
      <c r="F625" s="1" t="n"/>
    </row>
    <row r="626" ht="15.75" customHeight="1" s="58">
      <c r="A626" s="1" t="n"/>
      <c r="B626" s="1" t="n"/>
      <c r="E626" s="1" t="n"/>
      <c r="F626" s="1" t="n"/>
    </row>
    <row r="627" ht="15.75" customHeight="1" s="58">
      <c r="A627" s="1" t="n"/>
      <c r="B627" s="1" t="n"/>
      <c r="E627" s="1" t="n"/>
      <c r="F627" s="1" t="n"/>
    </row>
    <row r="628" ht="15.75" customHeight="1" s="58">
      <c r="A628" s="1" t="n"/>
      <c r="B628" s="1" t="n"/>
      <c r="E628" s="1" t="n"/>
      <c r="F628" s="1" t="n"/>
    </row>
    <row r="629" ht="15.75" customHeight="1" s="58">
      <c r="A629" s="1" t="n"/>
      <c r="B629" s="1" t="n"/>
      <c r="E629" s="1" t="n"/>
      <c r="F629" s="1" t="n"/>
    </row>
    <row r="630" ht="15.75" customHeight="1" s="58">
      <c r="A630" s="1" t="n"/>
      <c r="B630" s="1" t="n"/>
      <c r="E630" s="1" t="n"/>
      <c r="F630" s="1" t="n"/>
    </row>
    <row r="631" ht="15.75" customHeight="1" s="58">
      <c r="A631" s="1" t="n"/>
      <c r="B631" s="1" t="n"/>
      <c r="E631" s="1" t="n"/>
      <c r="F631" s="1" t="n"/>
    </row>
    <row r="632" ht="15.75" customHeight="1" s="58">
      <c r="A632" s="1" t="n"/>
      <c r="B632" s="1" t="n"/>
      <c r="E632" s="1" t="n"/>
      <c r="F632" s="1" t="n"/>
    </row>
    <row r="633" ht="15.75" customHeight="1" s="58">
      <c r="A633" s="1" t="n"/>
      <c r="B633" s="1" t="n"/>
      <c r="E633" s="1" t="n"/>
      <c r="F633" s="1" t="n"/>
    </row>
    <row r="634" ht="15.75" customHeight="1" s="58">
      <c r="A634" s="1" t="n"/>
      <c r="B634" s="1" t="n"/>
      <c r="E634" s="1" t="n"/>
      <c r="F634" s="1" t="n"/>
    </row>
    <row r="635" ht="15.75" customHeight="1" s="58">
      <c r="A635" s="1" t="n"/>
      <c r="B635" s="1" t="n"/>
      <c r="E635" s="1" t="n"/>
      <c r="F635" s="1" t="n"/>
    </row>
    <row r="636" ht="15.75" customHeight="1" s="58">
      <c r="A636" s="1" t="n"/>
      <c r="B636" s="1" t="n"/>
      <c r="E636" s="1" t="n"/>
      <c r="F636" s="1" t="n"/>
    </row>
    <row r="637" ht="15.75" customHeight="1" s="58">
      <c r="A637" s="1" t="n"/>
      <c r="B637" s="1" t="n"/>
      <c r="E637" s="1" t="n"/>
      <c r="F637" s="1" t="n"/>
    </row>
    <row r="638" ht="15.75" customHeight="1" s="58">
      <c r="A638" s="1" t="n"/>
      <c r="B638" s="1" t="n"/>
      <c r="E638" s="1" t="n"/>
      <c r="F638" s="1" t="n"/>
    </row>
    <row r="639" ht="15.75" customHeight="1" s="58">
      <c r="A639" s="1" t="n"/>
      <c r="B639" s="1" t="n"/>
      <c r="E639" s="1" t="n"/>
      <c r="F639" s="1" t="n"/>
    </row>
    <row r="640" ht="15.75" customHeight="1" s="58">
      <c r="A640" s="1" t="n"/>
      <c r="B640" s="1" t="n"/>
      <c r="E640" s="1" t="n"/>
      <c r="F640" s="1" t="n"/>
    </row>
    <row r="641" ht="15.75" customHeight="1" s="58">
      <c r="A641" s="1" t="n"/>
      <c r="B641" s="1" t="n"/>
      <c r="E641" s="1" t="n"/>
      <c r="F641" s="1" t="n"/>
    </row>
    <row r="642" ht="15.75" customHeight="1" s="58">
      <c r="A642" s="1" t="n"/>
      <c r="B642" s="1" t="n"/>
      <c r="E642" s="1" t="n"/>
      <c r="F642" s="1" t="n"/>
    </row>
    <row r="643" ht="15.75" customHeight="1" s="58">
      <c r="A643" s="1" t="n"/>
      <c r="B643" s="1" t="n"/>
      <c r="E643" s="1" t="n"/>
      <c r="F643" s="1" t="n"/>
    </row>
    <row r="644" ht="15.75" customHeight="1" s="58">
      <c r="A644" s="1" t="n"/>
      <c r="B644" s="1" t="n"/>
      <c r="E644" s="1" t="n"/>
      <c r="F644" s="1" t="n"/>
    </row>
    <row r="645" ht="15.75" customHeight="1" s="58">
      <c r="A645" s="1" t="n"/>
      <c r="B645" s="1" t="n"/>
      <c r="E645" s="1" t="n"/>
      <c r="F645" s="1" t="n"/>
    </row>
    <row r="646" ht="15.75" customHeight="1" s="58">
      <c r="A646" s="1" t="n"/>
      <c r="B646" s="1" t="n"/>
      <c r="E646" s="1" t="n"/>
      <c r="F646" s="1" t="n"/>
    </row>
    <row r="647" ht="15.75" customHeight="1" s="58">
      <c r="A647" s="1" t="n"/>
      <c r="B647" s="1" t="n"/>
      <c r="E647" s="1" t="n"/>
      <c r="F647" s="1" t="n"/>
    </row>
    <row r="648" ht="15.75" customHeight="1" s="58">
      <c r="A648" s="1" t="n"/>
      <c r="B648" s="1" t="n"/>
      <c r="E648" s="1" t="n"/>
      <c r="F648" s="1" t="n"/>
    </row>
    <row r="649" ht="15.75" customHeight="1" s="58">
      <c r="A649" s="1" t="n"/>
      <c r="B649" s="1" t="n"/>
      <c r="E649" s="1" t="n"/>
      <c r="F649" s="1" t="n"/>
    </row>
    <row r="650" ht="15.75" customHeight="1" s="58">
      <c r="A650" s="1" t="n"/>
      <c r="B650" s="1" t="n"/>
      <c r="E650" s="1" t="n"/>
      <c r="F650" s="1" t="n"/>
    </row>
    <row r="651" ht="15.75" customHeight="1" s="58">
      <c r="A651" s="1" t="n"/>
      <c r="B651" s="1" t="n"/>
      <c r="E651" s="1" t="n"/>
      <c r="F651" s="1" t="n"/>
    </row>
    <row r="652" ht="15.75" customHeight="1" s="58">
      <c r="A652" s="1" t="n"/>
      <c r="B652" s="1" t="n"/>
      <c r="E652" s="1" t="n"/>
      <c r="F652" s="1" t="n"/>
    </row>
    <row r="653" ht="15.75" customHeight="1" s="58">
      <c r="A653" s="1" t="n"/>
      <c r="B653" s="1" t="n"/>
      <c r="E653" s="1" t="n"/>
      <c r="F653" s="1" t="n"/>
    </row>
    <row r="654" ht="15.75" customHeight="1" s="58">
      <c r="A654" s="1" t="n"/>
      <c r="B654" s="1" t="n"/>
      <c r="E654" s="1" t="n"/>
      <c r="F654" s="1" t="n"/>
    </row>
    <row r="655" ht="15.75" customHeight="1" s="58">
      <c r="A655" s="1" t="n"/>
      <c r="B655" s="1" t="n"/>
      <c r="E655" s="1" t="n"/>
      <c r="F655" s="1" t="n"/>
    </row>
    <row r="656" ht="15.75" customHeight="1" s="58">
      <c r="A656" s="1" t="n"/>
      <c r="B656" s="1" t="n"/>
      <c r="E656" s="1" t="n"/>
      <c r="F656" s="1" t="n"/>
    </row>
    <row r="657" ht="15.75" customHeight="1" s="58">
      <c r="A657" s="1" t="n"/>
      <c r="B657" s="1" t="n"/>
      <c r="E657" s="1" t="n"/>
      <c r="F657" s="1" t="n"/>
    </row>
    <row r="658" ht="15.75" customHeight="1" s="58">
      <c r="A658" s="1" t="n"/>
      <c r="B658" s="1" t="n"/>
      <c r="E658" s="1" t="n"/>
      <c r="F658" s="1" t="n"/>
    </row>
    <row r="659" ht="15.75" customHeight="1" s="58">
      <c r="A659" s="1" t="n"/>
      <c r="B659" s="1" t="n"/>
      <c r="E659" s="1" t="n"/>
      <c r="F659" s="1" t="n"/>
    </row>
    <row r="660" ht="15.75" customHeight="1" s="58">
      <c r="A660" s="1" t="n"/>
      <c r="B660" s="1" t="n"/>
      <c r="E660" s="1" t="n"/>
      <c r="F660" s="1" t="n"/>
    </row>
    <row r="661" ht="15.75" customHeight="1" s="58">
      <c r="A661" s="1" t="n"/>
      <c r="B661" s="1" t="n"/>
      <c r="E661" s="1" t="n"/>
      <c r="F661" s="1" t="n"/>
    </row>
    <row r="662" ht="15.75" customHeight="1" s="58">
      <c r="A662" s="1" t="n"/>
      <c r="B662" s="1" t="n"/>
      <c r="E662" s="1" t="n"/>
      <c r="F662" s="1" t="n"/>
    </row>
    <row r="663" ht="15.75" customHeight="1" s="58">
      <c r="A663" s="1" t="n"/>
      <c r="B663" s="1" t="n"/>
      <c r="E663" s="1" t="n"/>
      <c r="F663" s="1" t="n"/>
    </row>
    <row r="664" ht="15.75" customHeight="1" s="58">
      <c r="A664" s="1" t="n"/>
      <c r="B664" s="1" t="n"/>
      <c r="E664" s="1" t="n"/>
      <c r="F664" s="1" t="n"/>
    </row>
    <row r="665" ht="15.75" customHeight="1" s="58">
      <c r="A665" s="1" t="n"/>
      <c r="B665" s="1" t="n"/>
      <c r="E665" s="1" t="n"/>
      <c r="F665" s="1" t="n"/>
    </row>
    <row r="666" ht="15.75" customHeight="1" s="58">
      <c r="A666" s="1" t="n"/>
      <c r="B666" s="1" t="n"/>
      <c r="E666" s="1" t="n"/>
      <c r="F666" s="1" t="n"/>
    </row>
    <row r="667" ht="15.75" customHeight="1" s="58">
      <c r="A667" s="1" t="n"/>
      <c r="B667" s="1" t="n"/>
      <c r="E667" s="1" t="n"/>
      <c r="F667" s="1" t="n"/>
    </row>
    <row r="668" ht="15.75" customHeight="1" s="58">
      <c r="A668" s="1" t="n"/>
      <c r="B668" s="1" t="n"/>
      <c r="E668" s="1" t="n"/>
      <c r="F668" s="1" t="n"/>
    </row>
    <row r="669" ht="15.75" customHeight="1" s="58">
      <c r="A669" s="1" t="n"/>
      <c r="B669" s="1" t="n"/>
      <c r="E669" s="1" t="n"/>
      <c r="F669" s="1" t="n"/>
    </row>
    <row r="670" ht="15.75" customHeight="1" s="58">
      <c r="A670" s="1" t="n"/>
      <c r="B670" s="1" t="n"/>
      <c r="E670" s="1" t="n"/>
      <c r="F670" s="1" t="n"/>
    </row>
    <row r="671" ht="15.75" customHeight="1" s="58">
      <c r="A671" s="1" t="n"/>
      <c r="B671" s="1" t="n"/>
      <c r="E671" s="1" t="n"/>
      <c r="F671" s="1" t="n"/>
    </row>
    <row r="672" ht="15.75" customHeight="1" s="58">
      <c r="A672" s="1" t="n"/>
      <c r="B672" s="1" t="n"/>
      <c r="E672" s="1" t="n"/>
      <c r="F672" s="1" t="n"/>
    </row>
    <row r="673" ht="15.75" customHeight="1" s="58">
      <c r="A673" s="1" t="n"/>
      <c r="B673" s="1" t="n"/>
      <c r="E673" s="1" t="n"/>
      <c r="F673" s="1" t="n"/>
    </row>
    <row r="674" ht="15.75" customHeight="1" s="58">
      <c r="A674" s="1" t="n"/>
      <c r="B674" s="1" t="n"/>
      <c r="E674" s="1" t="n"/>
      <c r="F674" s="1" t="n"/>
    </row>
    <row r="675" ht="15.75" customHeight="1" s="58">
      <c r="A675" s="1" t="n"/>
      <c r="B675" s="1" t="n"/>
      <c r="E675" s="1" t="n"/>
      <c r="F675" s="1" t="n"/>
    </row>
    <row r="676" ht="15.75" customHeight="1" s="58">
      <c r="A676" s="1" t="n"/>
      <c r="B676" s="1" t="n"/>
      <c r="E676" s="1" t="n"/>
      <c r="F676" s="1" t="n"/>
    </row>
    <row r="677" ht="15.75" customHeight="1" s="58">
      <c r="A677" s="1" t="n"/>
      <c r="B677" s="1" t="n"/>
      <c r="E677" s="1" t="n"/>
      <c r="F677" s="1" t="n"/>
    </row>
    <row r="678" ht="15.75" customHeight="1" s="58">
      <c r="A678" s="1" t="n"/>
      <c r="B678" s="1" t="n"/>
      <c r="E678" s="1" t="n"/>
      <c r="F678" s="1" t="n"/>
    </row>
    <row r="679" ht="15.75" customHeight="1" s="58">
      <c r="A679" s="1" t="n"/>
      <c r="B679" s="1" t="n"/>
      <c r="E679" s="1" t="n"/>
      <c r="F679" s="1" t="n"/>
    </row>
    <row r="680" ht="15.75" customHeight="1" s="58">
      <c r="A680" s="1" t="n"/>
      <c r="B680" s="1" t="n"/>
      <c r="E680" s="1" t="n"/>
      <c r="F680" s="1" t="n"/>
    </row>
    <row r="681" ht="15.75" customHeight="1" s="58">
      <c r="A681" s="1" t="n"/>
      <c r="B681" s="1" t="n"/>
      <c r="E681" s="1" t="n"/>
      <c r="F681" s="1" t="n"/>
    </row>
    <row r="682" ht="15.75" customHeight="1" s="58">
      <c r="A682" s="1" t="n"/>
      <c r="B682" s="1" t="n"/>
      <c r="E682" s="1" t="n"/>
      <c r="F682" s="1" t="n"/>
    </row>
    <row r="683" ht="15.75" customHeight="1" s="58">
      <c r="A683" s="1" t="n"/>
      <c r="B683" s="1" t="n"/>
      <c r="E683" s="1" t="n"/>
      <c r="F683" s="1" t="n"/>
    </row>
    <row r="684" ht="15.75" customHeight="1" s="58">
      <c r="A684" s="1" t="n"/>
      <c r="B684" s="1" t="n"/>
      <c r="E684" s="1" t="n"/>
      <c r="F684" s="1" t="n"/>
    </row>
    <row r="685" ht="15.75" customHeight="1" s="58">
      <c r="A685" s="1" t="n"/>
      <c r="B685" s="1" t="n"/>
      <c r="E685" s="1" t="n"/>
      <c r="F685" s="1" t="n"/>
    </row>
    <row r="686" ht="15.75" customHeight="1" s="58">
      <c r="A686" s="1" t="n"/>
      <c r="B686" s="1" t="n"/>
      <c r="E686" s="1" t="n"/>
      <c r="F686" s="1" t="n"/>
    </row>
    <row r="687" ht="15.75" customHeight="1" s="58">
      <c r="A687" s="1" t="n"/>
      <c r="B687" s="1" t="n"/>
      <c r="E687" s="1" t="n"/>
      <c r="F687" s="1" t="n"/>
    </row>
    <row r="688" ht="15.75" customHeight="1" s="58">
      <c r="A688" s="1" t="n"/>
      <c r="B688" s="1" t="n"/>
      <c r="E688" s="1" t="n"/>
      <c r="F688" s="1" t="n"/>
    </row>
    <row r="689" ht="15.75" customHeight="1" s="58">
      <c r="A689" s="1" t="n"/>
      <c r="B689" s="1" t="n"/>
      <c r="E689" s="1" t="n"/>
      <c r="F689" s="1" t="n"/>
    </row>
    <row r="690" ht="15.75" customHeight="1" s="58">
      <c r="A690" s="1" t="n"/>
      <c r="B690" s="1" t="n"/>
      <c r="E690" s="1" t="n"/>
      <c r="F690" s="1" t="n"/>
    </row>
    <row r="691" ht="15.75" customHeight="1" s="58">
      <c r="A691" s="1" t="n"/>
      <c r="B691" s="1" t="n"/>
      <c r="E691" s="1" t="n"/>
      <c r="F691" s="1" t="n"/>
    </row>
    <row r="692" ht="15.75" customHeight="1" s="58">
      <c r="A692" s="1" t="n"/>
      <c r="B692" s="1" t="n"/>
      <c r="E692" s="1" t="n"/>
      <c r="F692" s="1" t="n"/>
    </row>
    <row r="693" ht="15.75" customHeight="1" s="58">
      <c r="A693" s="1" t="n"/>
      <c r="B693" s="1" t="n"/>
      <c r="E693" s="1" t="n"/>
      <c r="F693" s="1" t="n"/>
    </row>
    <row r="694" ht="15.75" customHeight="1" s="58">
      <c r="A694" s="1" t="n"/>
      <c r="B694" s="1" t="n"/>
      <c r="E694" s="1" t="n"/>
      <c r="F694" s="1" t="n"/>
    </row>
    <row r="695" ht="15.75" customHeight="1" s="58">
      <c r="A695" s="1" t="n"/>
      <c r="B695" s="1" t="n"/>
      <c r="E695" s="1" t="n"/>
      <c r="F695" s="1" t="n"/>
    </row>
    <row r="696" ht="15.75" customHeight="1" s="58">
      <c r="A696" s="1" t="n"/>
      <c r="B696" s="1" t="n"/>
      <c r="E696" s="1" t="n"/>
      <c r="F696" s="1" t="n"/>
    </row>
    <row r="697" ht="15.75" customHeight="1" s="58">
      <c r="A697" s="1" t="n"/>
      <c r="B697" s="1" t="n"/>
      <c r="E697" s="1" t="n"/>
      <c r="F697" s="1" t="n"/>
    </row>
    <row r="698" ht="15.75" customHeight="1" s="58">
      <c r="A698" s="1" t="n"/>
      <c r="B698" s="1" t="n"/>
      <c r="E698" s="1" t="n"/>
      <c r="F698" s="1" t="n"/>
    </row>
    <row r="699" ht="15.75" customHeight="1" s="58">
      <c r="A699" s="1" t="n"/>
      <c r="B699" s="1" t="n"/>
      <c r="E699" s="1" t="n"/>
      <c r="F699" s="1" t="n"/>
    </row>
    <row r="700" ht="15.75" customHeight="1" s="58">
      <c r="A700" s="1" t="n"/>
      <c r="B700" s="1" t="n"/>
      <c r="E700" s="1" t="n"/>
      <c r="F700" s="1" t="n"/>
    </row>
    <row r="701" ht="15.75" customHeight="1" s="58">
      <c r="A701" s="1" t="n"/>
      <c r="B701" s="1" t="n"/>
      <c r="E701" s="1" t="n"/>
      <c r="F701" s="1" t="n"/>
    </row>
    <row r="702" ht="15.75" customHeight="1" s="58">
      <c r="A702" s="1" t="n"/>
      <c r="B702" s="1" t="n"/>
      <c r="E702" s="1" t="n"/>
      <c r="F702" s="1" t="n"/>
    </row>
    <row r="703" ht="15.75" customHeight="1" s="58">
      <c r="A703" s="1" t="n"/>
      <c r="B703" s="1" t="n"/>
      <c r="E703" s="1" t="n"/>
      <c r="F703" s="1" t="n"/>
    </row>
    <row r="704" ht="15.75" customHeight="1" s="58">
      <c r="A704" s="1" t="n"/>
      <c r="B704" s="1" t="n"/>
      <c r="E704" s="1" t="n"/>
      <c r="F704" s="1" t="n"/>
    </row>
    <row r="705" ht="15.75" customHeight="1" s="58">
      <c r="A705" s="1" t="n"/>
      <c r="B705" s="1" t="n"/>
      <c r="E705" s="1" t="n"/>
      <c r="F705" s="1" t="n"/>
    </row>
    <row r="706" ht="15.75" customHeight="1" s="58">
      <c r="A706" s="1" t="n"/>
      <c r="B706" s="1" t="n"/>
      <c r="E706" s="1" t="n"/>
      <c r="F706" s="1" t="n"/>
    </row>
    <row r="707" ht="15.75" customHeight="1" s="58">
      <c r="A707" s="1" t="n"/>
      <c r="B707" s="1" t="n"/>
      <c r="E707" s="1" t="n"/>
      <c r="F707" s="1" t="n"/>
    </row>
    <row r="708" ht="15.75" customHeight="1" s="58">
      <c r="A708" s="1" t="n"/>
      <c r="B708" s="1" t="n"/>
      <c r="E708" s="1" t="n"/>
      <c r="F708" s="1" t="n"/>
    </row>
    <row r="709" ht="15.75" customHeight="1" s="58">
      <c r="A709" s="1" t="n"/>
      <c r="B709" s="1" t="n"/>
      <c r="E709" s="1" t="n"/>
      <c r="F709" s="1" t="n"/>
    </row>
    <row r="710" ht="15.75" customHeight="1" s="58">
      <c r="A710" s="1" t="n"/>
      <c r="B710" s="1" t="n"/>
      <c r="E710" s="1" t="n"/>
      <c r="F710" s="1" t="n"/>
    </row>
    <row r="711" ht="15.75" customHeight="1" s="58">
      <c r="A711" s="1" t="n"/>
      <c r="B711" s="1" t="n"/>
      <c r="E711" s="1" t="n"/>
      <c r="F711" s="1" t="n"/>
    </row>
    <row r="712" ht="15.75" customHeight="1" s="58">
      <c r="A712" s="1" t="n"/>
      <c r="B712" s="1" t="n"/>
      <c r="E712" s="1" t="n"/>
      <c r="F712" s="1" t="n"/>
    </row>
    <row r="713" ht="15.75" customHeight="1" s="58">
      <c r="A713" s="1" t="n"/>
      <c r="B713" s="1" t="n"/>
      <c r="E713" s="1" t="n"/>
      <c r="F713" s="1" t="n"/>
    </row>
    <row r="714" ht="15.75" customHeight="1" s="58">
      <c r="A714" s="1" t="n"/>
      <c r="B714" s="1" t="n"/>
      <c r="E714" s="1" t="n"/>
      <c r="F714" s="1" t="n"/>
    </row>
    <row r="715" ht="15.75" customHeight="1" s="58">
      <c r="A715" s="1" t="n"/>
      <c r="B715" s="1" t="n"/>
      <c r="E715" s="1" t="n"/>
      <c r="F715" s="1" t="n"/>
    </row>
    <row r="716" ht="15.75" customHeight="1" s="58">
      <c r="A716" s="1" t="n"/>
      <c r="B716" s="1" t="n"/>
      <c r="E716" s="1" t="n"/>
      <c r="F716" s="1" t="n"/>
    </row>
    <row r="717" ht="15.75" customHeight="1" s="58">
      <c r="A717" s="1" t="n"/>
      <c r="B717" s="1" t="n"/>
      <c r="E717" s="1" t="n"/>
      <c r="F717" s="1" t="n"/>
    </row>
    <row r="718" ht="15.75" customHeight="1" s="58">
      <c r="A718" s="1" t="n"/>
      <c r="B718" s="1" t="n"/>
      <c r="E718" s="1" t="n"/>
      <c r="F718" s="1" t="n"/>
    </row>
    <row r="719" ht="15.75" customHeight="1" s="58">
      <c r="A719" s="1" t="n"/>
      <c r="B719" s="1" t="n"/>
      <c r="E719" s="1" t="n"/>
      <c r="F719" s="1" t="n"/>
    </row>
    <row r="720" ht="15.75" customHeight="1" s="58">
      <c r="A720" s="1" t="n"/>
      <c r="B720" s="1" t="n"/>
      <c r="E720" s="1" t="n"/>
      <c r="F720" s="1" t="n"/>
    </row>
    <row r="721" ht="15.75" customHeight="1" s="58">
      <c r="A721" s="1" t="n"/>
      <c r="B721" s="1" t="n"/>
      <c r="E721" s="1" t="n"/>
      <c r="F721" s="1" t="n"/>
    </row>
    <row r="722" ht="15.75" customHeight="1" s="58">
      <c r="A722" s="1" t="n"/>
      <c r="B722" s="1" t="n"/>
      <c r="E722" s="1" t="n"/>
      <c r="F722" s="1" t="n"/>
    </row>
    <row r="723" ht="15.75" customHeight="1" s="58">
      <c r="A723" s="1" t="n"/>
      <c r="B723" s="1" t="n"/>
      <c r="E723" s="1" t="n"/>
      <c r="F723" s="1" t="n"/>
    </row>
    <row r="724" ht="15.75" customHeight="1" s="58">
      <c r="A724" s="1" t="n"/>
      <c r="B724" s="1" t="n"/>
      <c r="E724" s="1" t="n"/>
      <c r="F724" s="1" t="n"/>
    </row>
    <row r="725" ht="15.75" customHeight="1" s="58">
      <c r="A725" s="1" t="n"/>
      <c r="B725" s="1" t="n"/>
      <c r="E725" s="1" t="n"/>
      <c r="F725" s="1" t="n"/>
    </row>
    <row r="726" ht="15.75" customHeight="1" s="58">
      <c r="A726" s="1" t="n"/>
      <c r="B726" s="1" t="n"/>
      <c r="E726" s="1" t="n"/>
      <c r="F726" s="1" t="n"/>
    </row>
    <row r="727" ht="15.75" customHeight="1" s="58">
      <c r="A727" s="1" t="n"/>
      <c r="B727" s="1" t="n"/>
      <c r="E727" s="1" t="n"/>
      <c r="F727" s="1" t="n"/>
    </row>
    <row r="728" ht="15.75" customHeight="1" s="58">
      <c r="A728" s="1" t="n"/>
      <c r="B728" s="1" t="n"/>
      <c r="E728" s="1" t="n"/>
      <c r="F728" s="1" t="n"/>
    </row>
    <row r="729" ht="15.75" customHeight="1" s="58">
      <c r="A729" s="1" t="n"/>
      <c r="B729" s="1" t="n"/>
      <c r="E729" s="1" t="n"/>
      <c r="F729" s="1" t="n"/>
    </row>
    <row r="730" ht="15.75" customHeight="1" s="58">
      <c r="A730" s="1" t="n"/>
      <c r="B730" s="1" t="n"/>
      <c r="E730" s="1" t="n"/>
      <c r="F730" s="1" t="n"/>
    </row>
    <row r="731" ht="15.75" customHeight="1" s="58">
      <c r="A731" s="1" t="n"/>
      <c r="B731" s="1" t="n"/>
      <c r="E731" s="1" t="n"/>
      <c r="F731" s="1" t="n"/>
    </row>
    <row r="732" ht="15.75" customHeight="1" s="58">
      <c r="A732" s="1" t="n"/>
      <c r="B732" s="1" t="n"/>
      <c r="E732" s="1" t="n"/>
      <c r="F732" s="1" t="n"/>
    </row>
    <row r="733" ht="15.75" customHeight="1" s="58">
      <c r="A733" s="1" t="n"/>
      <c r="B733" s="1" t="n"/>
      <c r="E733" s="1" t="n"/>
      <c r="F733" s="1" t="n"/>
    </row>
    <row r="734" ht="15.75" customHeight="1" s="58">
      <c r="A734" s="1" t="n"/>
      <c r="B734" s="1" t="n"/>
      <c r="E734" s="1" t="n"/>
      <c r="F734" s="1" t="n"/>
    </row>
    <row r="735" ht="15.75" customHeight="1" s="58">
      <c r="A735" s="1" t="n"/>
      <c r="B735" s="1" t="n"/>
      <c r="E735" s="1" t="n"/>
      <c r="F735" s="1" t="n"/>
    </row>
    <row r="736" ht="15.75" customHeight="1" s="58">
      <c r="A736" s="1" t="n"/>
      <c r="B736" s="1" t="n"/>
      <c r="E736" s="1" t="n"/>
      <c r="F736" s="1" t="n"/>
    </row>
    <row r="737" ht="15.75" customHeight="1" s="58">
      <c r="A737" s="1" t="n"/>
      <c r="B737" s="1" t="n"/>
      <c r="E737" s="1" t="n"/>
      <c r="F737" s="1" t="n"/>
    </row>
    <row r="738" ht="15.75" customHeight="1" s="58">
      <c r="A738" s="1" t="n"/>
      <c r="B738" s="1" t="n"/>
      <c r="E738" s="1" t="n"/>
      <c r="F738" s="1" t="n"/>
    </row>
    <row r="739" ht="15.75" customHeight="1" s="58">
      <c r="A739" s="1" t="n"/>
      <c r="B739" s="1" t="n"/>
      <c r="E739" s="1" t="n"/>
      <c r="F739" s="1" t="n"/>
    </row>
    <row r="740" ht="15.75" customHeight="1" s="58">
      <c r="A740" s="1" t="n"/>
      <c r="B740" s="1" t="n"/>
      <c r="E740" s="1" t="n"/>
      <c r="F740" s="1" t="n"/>
    </row>
    <row r="741" ht="15.75" customHeight="1" s="58">
      <c r="A741" s="1" t="n"/>
      <c r="B741" s="1" t="n"/>
      <c r="E741" s="1" t="n"/>
      <c r="F741" s="1" t="n"/>
    </row>
    <row r="742" ht="15.75" customHeight="1" s="58">
      <c r="A742" s="1" t="n"/>
      <c r="B742" s="1" t="n"/>
      <c r="E742" s="1" t="n"/>
      <c r="F742" s="1" t="n"/>
    </row>
    <row r="743" ht="15.75" customHeight="1" s="58">
      <c r="A743" s="1" t="n"/>
      <c r="B743" s="1" t="n"/>
      <c r="E743" s="1" t="n"/>
      <c r="F743" s="1" t="n"/>
    </row>
    <row r="744" ht="15.75" customHeight="1" s="58">
      <c r="A744" s="1" t="n"/>
      <c r="B744" s="1" t="n"/>
      <c r="E744" s="1" t="n"/>
      <c r="F744" s="1" t="n"/>
    </row>
    <row r="745" ht="15.75" customHeight="1" s="58">
      <c r="A745" s="1" t="n"/>
      <c r="B745" s="1" t="n"/>
      <c r="E745" s="1" t="n"/>
      <c r="F745" s="1" t="n"/>
    </row>
    <row r="746" ht="15.75" customHeight="1" s="58">
      <c r="A746" s="1" t="n"/>
      <c r="B746" s="1" t="n"/>
      <c r="E746" s="1" t="n"/>
      <c r="F746" s="1" t="n"/>
    </row>
    <row r="747" ht="15.75" customHeight="1" s="58">
      <c r="A747" s="1" t="n"/>
      <c r="B747" s="1" t="n"/>
      <c r="E747" s="1" t="n"/>
      <c r="F747" s="1" t="n"/>
    </row>
    <row r="748" ht="15.75" customHeight="1" s="58">
      <c r="A748" s="1" t="n"/>
      <c r="B748" s="1" t="n"/>
      <c r="E748" s="1" t="n"/>
      <c r="F748" s="1" t="n"/>
    </row>
    <row r="749" ht="15.75" customHeight="1" s="58">
      <c r="A749" s="1" t="n"/>
      <c r="B749" s="1" t="n"/>
      <c r="E749" s="1" t="n"/>
      <c r="F749" s="1" t="n"/>
    </row>
    <row r="750" ht="15.75" customHeight="1" s="58">
      <c r="A750" s="1" t="n"/>
      <c r="B750" s="1" t="n"/>
      <c r="E750" s="1" t="n"/>
      <c r="F750" s="1" t="n"/>
    </row>
    <row r="751" ht="15.75" customHeight="1" s="58">
      <c r="A751" s="1" t="n"/>
      <c r="B751" s="1" t="n"/>
      <c r="E751" s="1" t="n"/>
      <c r="F751" s="1" t="n"/>
    </row>
    <row r="752" ht="15.75" customHeight="1" s="58">
      <c r="A752" s="1" t="n"/>
      <c r="B752" s="1" t="n"/>
      <c r="E752" s="1" t="n"/>
      <c r="F752" s="1" t="n"/>
    </row>
    <row r="753" ht="15.75" customHeight="1" s="58">
      <c r="A753" s="1" t="n"/>
      <c r="B753" s="1" t="n"/>
      <c r="E753" s="1" t="n"/>
      <c r="F753" s="1" t="n"/>
    </row>
    <row r="754" ht="15.75" customHeight="1" s="58">
      <c r="A754" s="1" t="n"/>
      <c r="B754" s="1" t="n"/>
      <c r="E754" s="1" t="n"/>
      <c r="F754" s="1" t="n"/>
    </row>
    <row r="755" ht="15.75" customHeight="1" s="58">
      <c r="A755" s="1" t="n"/>
      <c r="B755" s="1" t="n"/>
      <c r="E755" s="1" t="n"/>
      <c r="F755" s="1" t="n"/>
    </row>
    <row r="756" ht="15.75" customHeight="1" s="58">
      <c r="A756" s="1" t="n"/>
      <c r="B756" s="1" t="n"/>
      <c r="E756" s="1" t="n"/>
      <c r="F756" s="1" t="n"/>
    </row>
    <row r="757" ht="15.75" customHeight="1" s="58">
      <c r="A757" s="1" t="n"/>
      <c r="B757" s="1" t="n"/>
      <c r="E757" s="1" t="n"/>
      <c r="F757" s="1" t="n"/>
    </row>
    <row r="758" ht="15.75" customHeight="1" s="58">
      <c r="A758" s="1" t="n"/>
      <c r="B758" s="1" t="n"/>
      <c r="E758" s="1" t="n"/>
      <c r="F758" s="1" t="n"/>
    </row>
    <row r="759" ht="15.75" customHeight="1" s="58">
      <c r="A759" s="1" t="n"/>
      <c r="B759" s="1" t="n"/>
      <c r="E759" s="1" t="n"/>
      <c r="F759" s="1" t="n"/>
    </row>
    <row r="760" ht="15.75" customHeight="1" s="58">
      <c r="A760" s="1" t="n"/>
      <c r="B760" s="1" t="n"/>
      <c r="E760" s="1" t="n"/>
      <c r="F760" s="1" t="n"/>
    </row>
    <row r="761" ht="15.75" customHeight="1" s="58">
      <c r="A761" s="1" t="n"/>
      <c r="B761" s="1" t="n"/>
      <c r="E761" s="1" t="n"/>
      <c r="F761" s="1" t="n"/>
    </row>
    <row r="762" ht="15.75" customHeight="1" s="58">
      <c r="A762" s="1" t="n"/>
      <c r="B762" s="1" t="n"/>
      <c r="E762" s="1" t="n"/>
      <c r="F762" s="1" t="n"/>
    </row>
    <row r="763" ht="15.75" customHeight="1" s="58">
      <c r="A763" s="1" t="n"/>
      <c r="B763" s="1" t="n"/>
      <c r="E763" s="1" t="n"/>
      <c r="F763" s="1" t="n"/>
    </row>
    <row r="764" ht="15.75" customHeight="1" s="58">
      <c r="A764" s="1" t="n"/>
      <c r="B764" s="1" t="n"/>
      <c r="E764" s="1" t="n"/>
      <c r="F764" s="1" t="n"/>
    </row>
    <row r="765" ht="15.75" customHeight="1" s="58">
      <c r="A765" s="1" t="n"/>
      <c r="B765" s="1" t="n"/>
      <c r="E765" s="1" t="n"/>
      <c r="F765" s="1" t="n"/>
    </row>
    <row r="766" ht="15.75" customHeight="1" s="58">
      <c r="A766" s="1" t="n"/>
      <c r="B766" s="1" t="n"/>
      <c r="E766" s="1" t="n"/>
      <c r="F766" s="1" t="n"/>
    </row>
    <row r="767" ht="15.75" customHeight="1" s="58">
      <c r="A767" s="1" t="n"/>
      <c r="B767" s="1" t="n"/>
      <c r="E767" s="1" t="n"/>
      <c r="F767" s="1" t="n"/>
    </row>
    <row r="768" ht="15.75" customHeight="1" s="58">
      <c r="A768" s="1" t="n"/>
      <c r="B768" s="1" t="n"/>
      <c r="E768" s="1" t="n"/>
      <c r="F768" s="1" t="n"/>
    </row>
    <row r="769" ht="15.75" customHeight="1" s="58">
      <c r="A769" s="1" t="n"/>
      <c r="B769" s="1" t="n"/>
      <c r="E769" s="1" t="n"/>
      <c r="F769" s="1" t="n"/>
    </row>
    <row r="770" ht="15.75" customHeight="1" s="58">
      <c r="A770" s="1" t="n"/>
      <c r="B770" s="1" t="n"/>
      <c r="E770" s="1" t="n"/>
      <c r="F770" s="1" t="n"/>
    </row>
    <row r="771" ht="15.75" customHeight="1" s="58">
      <c r="A771" s="1" t="n"/>
      <c r="B771" s="1" t="n"/>
      <c r="E771" s="1" t="n"/>
      <c r="F771" s="1" t="n"/>
    </row>
    <row r="772" ht="15.75" customHeight="1" s="58">
      <c r="A772" s="1" t="n"/>
      <c r="B772" s="1" t="n"/>
      <c r="E772" s="1" t="n"/>
      <c r="F772" s="1" t="n"/>
    </row>
    <row r="773" ht="15.75" customHeight="1" s="58">
      <c r="A773" s="1" t="n"/>
      <c r="B773" s="1" t="n"/>
      <c r="E773" s="1" t="n"/>
      <c r="F773" s="1" t="n"/>
    </row>
    <row r="774" ht="15.75" customHeight="1" s="58">
      <c r="A774" s="1" t="n"/>
      <c r="B774" s="1" t="n"/>
      <c r="E774" s="1" t="n"/>
      <c r="F774" s="1" t="n"/>
    </row>
    <row r="775" ht="15.75" customHeight="1" s="58">
      <c r="A775" s="1" t="n"/>
      <c r="B775" s="1" t="n"/>
      <c r="E775" s="1" t="n"/>
      <c r="F775" s="1" t="n"/>
    </row>
    <row r="776" ht="15.75" customHeight="1" s="58">
      <c r="A776" s="1" t="n"/>
      <c r="B776" s="1" t="n"/>
      <c r="E776" s="1" t="n"/>
      <c r="F776" s="1" t="n"/>
    </row>
    <row r="777" ht="15.75" customHeight="1" s="58">
      <c r="A777" s="1" t="n"/>
      <c r="B777" s="1" t="n"/>
      <c r="E777" s="1" t="n"/>
      <c r="F777" s="1" t="n"/>
    </row>
    <row r="778" ht="15.75" customHeight="1" s="58">
      <c r="A778" s="1" t="n"/>
      <c r="B778" s="1" t="n"/>
      <c r="E778" s="1" t="n"/>
      <c r="F778" s="1" t="n"/>
    </row>
    <row r="779" ht="15.75" customHeight="1" s="58">
      <c r="A779" s="1" t="n"/>
      <c r="B779" s="1" t="n"/>
      <c r="E779" s="1" t="n"/>
      <c r="F779" s="1" t="n"/>
    </row>
    <row r="780" ht="15.75" customHeight="1" s="58">
      <c r="A780" s="1" t="n"/>
      <c r="B780" s="1" t="n"/>
      <c r="E780" s="1" t="n"/>
      <c r="F780" s="1" t="n"/>
    </row>
    <row r="781" ht="15.75" customHeight="1" s="58">
      <c r="A781" s="1" t="n"/>
      <c r="B781" s="1" t="n"/>
      <c r="E781" s="1" t="n"/>
      <c r="F781" s="1" t="n"/>
    </row>
    <row r="782" ht="15.75" customHeight="1" s="58">
      <c r="A782" s="1" t="n"/>
      <c r="B782" s="1" t="n"/>
      <c r="E782" s="1" t="n"/>
      <c r="F782" s="1" t="n"/>
    </row>
    <row r="783" ht="15.75" customHeight="1" s="58">
      <c r="A783" s="1" t="n"/>
      <c r="B783" s="1" t="n"/>
      <c r="E783" s="1" t="n"/>
      <c r="F783" s="1" t="n"/>
    </row>
    <row r="784" ht="15.75" customHeight="1" s="58">
      <c r="A784" s="1" t="n"/>
      <c r="B784" s="1" t="n"/>
      <c r="E784" s="1" t="n"/>
      <c r="F784" s="1" t="n"/>
    </row>
    <row r="785" ht="15.75" customHeight="1" s="58">
      <c r="A785" s="1" t="n"/>
      <c r="B785" s="1" t="n"/>
      <c r="E785" s="1" t="n"/>
      <c r="F785" s="1" t="n"/>
    </row>
    <row r="786" ht="15.75" customHeight="1" s="58">
      <c r="A786" s="1" t="n"/>
      <c r="B786" s="1" t="n"/>
      <c r="E786" s="1" t="n"/>
      <c r="F786" s="1" t="n"/>
    </row>
    <row r="787" ht="15.75" customHeight="1" s="58">
      <c r="A787" s="1" t="n"/>
      <c r="B787" s="1" t="n"/>
      <c r="E787" s="1" t="n"/>
      <c r="F787" s="1" t="n"/>
    </row>
    <row r="788" ht="15.75" customHeight="1" s="58">
      <c r="A788" s="1" t="n"/>
      <c r="B788" s="1" t="n"/>
      <c r="E788" s="1" t="n"/>
      <c r="F788" s="1" t="n"/>
    </row>
    <row r="789" ht="15.75" customHeight="1" s="58">
      <c r="A789" s="1" t="n"/>
      <c r="B789" s="1" t="n"/>
      <c r="E789" s="1" t="n"/>
      <c r="F789" s="1" t="n"/>
    </row>
    <row r="790" ht="15.75" customHeight="1" s="58">
      <c r="A790" s="1" t="n"/>
      <c r="B790" s="1" t="n"/>
      <c r="E790" s="1" t="n"/>
      <c r="F790" s="1" t="n"/>
    </row>
    <row r="791" ht="15.75" customHeight="1" s="58">
      <c r="A791" s="1" t="n"/>
      <c r="B791" s="1" t="n"/>
      <c r="E791" s="1" t="n"/>
      <c r="F791" s="1" t="n"/>
    </row>
    <row r="792" ht="15.75" customHeight="1" s="58">
      <c r="A792" s="1" t="n"/>
      <c r="B792" s="1" t="n"/>
      <c r="E792" s="1" t="n"/>
      <c r="F792" s="1" t="n"/>
    </row>
    <row r="793" ht="15.75" customHeight="1" s="58">
      <c r="A793" s="1" t="n"/>
      <c r="B793" s="1" t="n"/>
      <c r="E793" s="1" t="n"/>
      <c r="F793" s="1" t="n"/>
    </row>
    <row r="794" ht="15.75" customHeight="1" s="58">
      <c r="A794" s="1" t="n"/>
      <c r="B794" s="1" t="n"/>
      <c r="E794" s="1" t="n"/>
      <c r="F794" s="1" t="n"/>
    </row>
    <row r="795" ht="15.75" customHeight="1" s="58">
      <c r="A795" s="1" t="n"/>
      <c r="B795" s="1" t="n"/>
      <c r="E795" s="1" t="n"/>
      <c r="F795" s="1" t="n"/>
    </row>
    <row r="796" ht="15.75" customHeight="1" s="58">
      <c r="A796" s="1" t="n"/>
      <c r="B796" s="1" t="n"/>
      <c r="E796" s="1" t="n"/>
      <c r="F796" s="1" t="n"/>
    </row>
    <row r="797" ht="15.75" customHeight="1" s="58">
      <c r="A797" s="1" t="n"/>
      <c r="B797" s="1" t="n"/>
      <c r="E797" s="1" t="n"/>
      <c r="F797" s="1" t="n"/>
    </row>
    <row r="798" ht="15.75" customHeight="1" s="58">
      <c r="A798" s="1" t="n"/>
      <c r="B798" s="1" t="n"/>
      <c r="E798" s="1" t="n"/>
      <c r="F798" s="1" t="n"/>
    </row>
    <row r="799" ht="15.75" customHeight="1" s="58">
      <c r="A799" s="1" t="n"/>
      <c r="B799" s="1" t="n"/>
      <c r="E799" s="1" t="n"/>
      <c r="F799" s="1" t="n"/>
    </row>
    <row r="800" ht="15.75" customHeight="1" s="58">
      <c r="A800" s="1" t="n"/>
      <c r="B800" s="1" t="n"/>
      <c r="E800" s="1" t="n"/>
      <c r="F800" s="1" t="n"/>
    </row>
    <row r="801" ht="15.75" customHeight="1" s="58">
      <c r="A801" s="1" t="n"/>
      <c r="B801" s="1" t="n"/>
      <c r="E801" s="1" t="n"/>
      <c r="F801" s="1" t="n"/>
    </row>
    <row r="802" ht="15.75" customHeight="1" s="58">
      <c r="A802" s="1" t="n"/>
      <c r="B802" s="1" t="n"/>
      <c r="E802" s="1" t="n"/>
      <c r="F802" s="1" t="n"/>
    </row>
    <row r="803" ht="15.75" customHeight="1" s="58">
      <c r="A803" s="1" t="n"/>
      <c r="B803" s="1" t="n"/>
      <c r="E803" s="1" t="n"/>
      <c r="F803" s="1" t="n"/>
    </row>
    <row r="804" ht="15.75" customHeight="1" s="58">
      <c r="A804" s="1" t="n"/>
      <c r="B804" s="1" t="n"/>
      <c r="E804" s="1" t="n"/>
      <c r="F804" s="1" t="n"/>
    </row>
    <row r="805" ht="15.75" customHeight="1" s="58">
      <c r="A805" s="1" t="n"/>
      <c r="B805" s="1" t="n"/>
      <c r="E805" s="1" t="n"/>
      <c r="F805" s="1" t="n"/>
    </row>
    <row r="806" ht="15.75" customHeight="1" s="58">
      <c r="A806" s="1" t="n"/>
      <c r="B806" s="1" t="n"/>
      <c r="E806" s="1" t="n"/>
      <c r="F806" s="1" t="n"/>
    </row>
    <row r="807" ht="15.75" customHeight="1" s="58">
      <c r="A807" s="1" t="n"/>
      <c r="B807" s="1" t="n"/>
      <c r="E807" s="1" t="n"/>
      <c r="F807" s="1" t="n"/>
    </row>
    <row r="808" ht="15.75" customHeight="1" s="58">
      <c r="A808" s="1" t="n"/>
      <c r="B808" s="1" t="n"/>
      <c r="E808" s="1" t="n"/>
      <c r="F808" s="1" t="n"/>
    </row>
    <row r="809" ht="15.75" customHeight="1" s="58">
      <c r="A809" s="1" t="n"/>
      <c r="B809" s="1" t="n"/>
      <c r="E809" s="1" t="n"/>
      <c r="F809" s="1" t="n"/>
    </row>
    <row r="810" ht="15.75" customHeight="1" s="58">
      <c r="A810" s="1" t="n"/>
      <c r="B810" s="1" t="n"/>
      <c r="E810" s="1" t="n"/>
      <c r="F810" s="1" t="n"/>
    </row>
    <row r="811" ht="15.75" customHeight="1" s="58">
      <c r="A811" s="1" t="n"/>
      <c r="B811" s="1" t="n"/>
      <c r="E811" s="1" t="n"/>
      <c r="F811" s="1" t="n"/>
    </row>
    <row r="812" ht="15.75" customHeight="1" s="58">
      <c r="A812" s="1" t="n"/>
      <c r="B812" s="1" t="n"/>
      <c r="E812" s="1" t="n"/>
      <c r="F812" s="1" t="n"/>
    </row>
    <row r="813" ht="15.75" customHeight="1" s="58">
      <c r="A813" s="1" t="n"/>
      <c r="B813" s="1" t="n"/>
      <c r="E813" s="1" t="n"/>
      <c r="F813" s="1" t="n"/>
    </row>
    <row r="814" ht="15.75" customHeight="1" s="58">
      <c r="A814" s="1" t="n"/>
      <c r="B814" s="1" t="n"/>
      <c r="E814" s="1" t="n"/>
      <c r="F814" s="1" t="n"/>
    </row>
    <row r="815" ht="15.75" customHeight="1" s="58">
      <c r="A815" s="1" t="n"/>
      <c r="B815" s="1" t="n"/>
      <c r="E815" s="1" t="n"/>
      <c r="F815" s="1" t="n"/>
    </row>
    <row r="816" ht="15.75" customHeight="1" s="58">
      <c r="A816" s="1" t="n"/>
      <c r="B816" s="1" t="n"/>
      <c r="E816" s="1" t="n"/>
      <c r="F816" s="1" t="n"/>
    </row>
    <row r="817" ht="15.75" customHeight="1" s="58">
      <c r="A817" s="1" t="n"/>
      <c r="B817" s="1" t="n"/>
      <c r="E817" s="1" t="n"/>
      <c r="F817" s="1" t="n"/>
    </row>
    <row r="818" ht="15.75" customHeight="1" s="58">
      <c r="A818" s="1" t="n"/>
      <c r="B818" s="1" t="n"/>
      <c r="E818" s="1" t="n"/>
      <c r="F818" s="1" t="n"/>
    </row>
    <row r="819" ht="15.75" customHeight="1" s="58">
      <c r="A819" s="1" t="n"/>
      <c r="B819" s="1" t="n"/>
      <c r="E819" s="1" t="n"/>
      <c r="F819" s="1" t="n"/>
    </row>
    <row r="820" ht="15.75" customHeight="1" s="58">
      <c r="A820" s="1" t="n"/>
      <c r="B820" s="1" t="n"/>
      <c r="E820" s="1" t="n"/>
      <c r="F820" s="1" t="n"/>
    </row>
    <row r="821" ht="15.75" customHeight="1" s="58">
      <c r="A821" s="1" t="n"/>
      <c r="B821" s="1" t="n"/>
      <c r="E821" s="1" t="n"/>
      <c r="F821" s="1" t="n"/>
    </row>
    <row r="822" ht="15.75" customHeight="1" s="58">
      <c r="A822" s="1" t="n"/>
      <c r="B822" s="1" t="n"/>
      <c r="E822" s="1" t="n"/>
      <c r="F822" s="1" t="n"/>
    </row>
    <row r="823" ht="15.75" customHeight="1" s="58">
      <c r="A823" s="1" t="n"/>
      <c r="B823" s="1" t="n"/>
      <c r="E823" s="1" t="n"/>
      <c r="F823" s="1" t="n"/>
    </row>
    <row r="824" ht="15.75" customHeight="1" s="58">
      <c r="A824" s="1" t="n"/>
      <c r="B824" s="1" t="n"/>
      <c r="E824" s="1" t="n"/>
      <c r="F824" s="1" t="n"/>
    </row>
    <row r="825" ht="15.75" customHeight="1" s="58">
      <c r="A825" s="1" t="n"/>
      <c r="B825" s="1" t="n"/>
      <c r="E825" s="1" t="n"/>
      <c r="F825" s="1" t="n"/>
    </row>
    <row r="826" ht="15.75" customHeight="1" s="58">
      <c r="A826" s="1" t="n"/>
      <c r="B826" s="1" t="n"/>
      <c r="E826" s="1" t="n"/>
      <c r="F826" s="1" t="n"/>
    </row>
    <row r="827" ht="15.75" customHeight="1" s="58">
      <c r="A827" s="1" t="n"/>
      <c r="B827" s="1" t="n"/>
      <c r="E827" s="1" t="n"/>
      <c r="F827" s="1" t="n"/>
    </row>
    <row r="828" ht="15.75" customHeight="1" s="58">
      <c r="A828" s="1" t="n"/>
      <c r="B828" s="1" t="n"/>
      <c r="E828" s="1" t="n"/>
      <c r="F828" s="1" t="n"/>
    </row>
    <row r="829" ht="15.75" customHeight="1" s="58">
      <c r="A829" s="1" t="n"/>
      <c r="B829" s="1" t="n"/>
      <c r="E829" s="1" t="n"/>
      <c r="F829" s="1" t="n"/>
    </row>
    <row r="830" ht="15.75" customHeight="1" s="58">
      <c r="A830" s="1" t="n"/>
      <c r="B830" s="1" t="n"/>
      <c r="E830" s="1" t="n"/>
      <c r="F830" s="1" t="n"/>
    </row>
    <row r="831" ht="15.75" customHeight="1" s="58">
      <c r="A831" s="1" t="n"/>
      <c r="B831" s="1" t="n"/>
      <c r="E831" s="1" t="n"/>
      <c r="F831" s="1" t="n"/>
    </row>
    <row r="832" ht="15.75" customHeight="1" s="58">
      <c r="A832" s="1" t="n"/>
      <c r="B832" s="1" t="n"/>
      <c r="E832" s="1" t="n"/>
      <c r="F832" s="1" t="n"/>
    </row>
    <row r="833" ht="15.75" customHeight="1" s="58">
      <c r="A833" s="1" t="n"/>
      <c r="B833" s="1" t="n"/>
      <c r="E833" s="1" t="n"/>
      <c r="F833" s="1" t="n"/>
    </row>
    <row r="834" ht="15.75" customHeight="1" s="58">
      <c r="A834" s="1" t="n"/>
      <c r="B834" s="1" t="n"/>
      <c r="E834" s="1" t="n"/>
      <c r="F834" s="1" t="n"/>
    </row>
    <row r="835" ht="15.75" customHeight="1" s="58">
      <c r="A835" s="1" t="n"/>
      <c r="B835" s="1" t="n"/>
      <c r="E835" s="1" t="n"/>
      <c r="F835" s="1" t="n"/>
    </row>
    <row r="836" ht="15.75" customHeight="1" s="58">
      <c r="A836" s="1" t="n"/>
      <c r="B836" s="1" t="n"/>
      <c r="E836" s="1" t="n"/>
      <c r="F836" s="1" t="n"/>
    </row>
    <row r="837" ht="15.75" customHeight="1" s="58">
      <c r="A837" s="1" t="n"/>
      <c r="B837" s="1" t="n"/>
      <c r="E837" s="1" t="n"/>
      <c r="F837" s="1" t="n"/>
    </row>
    <row r="838" ht="15.75" customHeight="1" s="58">
      <c r="A838" s="1" t="n"/>
      <c r="B838" s="1" t="n"/>
      <c r="E838" s="1" t="n"/>
      <c r="F838" s="1" t="n"/>
    </row>
    <row r="839" ht="15.75" customHeight="1" s="58">
      <c r="A839" s="1" t="n"/>
      <c r="B839" s="1" t="n"/>
      <c r="E839" s="1" t="n"/>
      <c r="F839" s="1" t="n"/>
    </row>
    <row r="840" ht="15.75" customHeight="1" s="58">
      <c r="A840" s="1" t="n"/>
      <c r="B840" s="1" t="n"/>
      <c r="E840" s="1" t="n"/>
      <c r="F840" s="1" t="n"/>
    </row>
    <row r="841" ht="15.75" customHeight="1" s="58">
      <c r="A841" s="1" t="n"/>
      <c r="B841" s="1" t="n"/>
      <c r="E841" s="1" t="n"/>
      <c r="F841" s="1" t="n"/>
    </row>
    <row r="842" ht="15.75" customHeight="1" s="58">
      <c r="A842" s="1" t="n"/>
      <c r="B842" s="1" t="n"/>
      <c r="E842" s="1" t="n"/>
      <c r="F842" s="1" t="n"/>
    </row>
    <row r="843" ht="15.75" customHeight="1" s="58">
      <c r="A843" s="1" t="n"/>
      <c r="B843" s="1" t="n"/>
      <c r="E843" s="1" t="n"/>
      <c r="F843" s="1" t="n"/>
    </row>
    <row r="844" ht="15.75" customHeight="1" s="58">
      <c r="A844" s="1" t="n"/>
      <c r="B844" s="1" t="n"/>
      <c r="E844" s="1" t="n"/>
      <c r="F844" s="1" t="n"/>
    </row>
    <row r="845" ht="15.75" customHeight="1" s="58">
      <c r="A845" s="1" t="n"/>
      <c r="B845" s="1" t="n"/>
      <c r="E845" s="1" t="n"/>
      <c r="F845" s="1" t="n"/>
    </row>
    <row r="846" ht="15.75" customHeight="1" s="58">
      <c r="A846" s="1" t="n"/>
      <c r="B846" s="1" t="n"/>
      <c r="E846" s="1" t="n"/>
      <c r="F846" s="1" t="n"/>
    </row>
    <row r="847" ht="15.75" customHeight="1" s="58">
      <c r="A847" s="1" t="n"/>
      <c r="B847" s="1" t="n"/>
      <c r="E847" s="1" t="n"/>
      <c r="F847" s="1" t="n"/>
    </row>
    <row r="848" ht="15.75" customHeight="1" s="58">
      <c r="A848" s="1" t="n"/>
      <c r="B848" s="1" t="n"/>
      <c r="E848" s="1" t="n"/>
      <c r="F848" s="1" t="n"/>
    </row>
    <row r="849" ht="15.75" customHeight="1" s="58">
      <c r="A849" s="1" t="n"/>
      <c r="B849" s="1" t="n"/>
      <c r="E849" s="1" t="n"/>
      <c r="F849" s="1" t="n"/>
    </row>
    <row r="850" ht="15.75" customHeight="1" s="58">
      <c r="A850" s="1" t="n"/>
      <c r="B850" s="1" t="n"/>
      <c r="E850" s="1" t="n"/>
      <c r="F850" s="1" t="n"/>
    </row>
    <row r="851" ht="15.75" customHeight="1" s="58">
      <c r="A851" s="1" t="n"/>
      <c r="B851" s="1" t="n"/>
      <c r="E851" s="1" t="n"/>
      <c r="F851" s="1" t="n"/>
    </row>
    <row r="852" ht="15.75" customHeight="1" s="58">
      <c r="A852" s="1" t="n"/>
      <c r="B852" s="1" t="n"/>
      <c r="E852" s="1" t="n"/>
      <c r="F852" s="1" t="n"/>
    </row>
    <row r="853" ht="15.75" customHeight="1" s="58">
      <c r="A853" s="1" t="n"/>
      <c r="B853" s="1" t="n"/>
      <c r="E853" s="1" t="n"/>
      <c r="F853" s="1" t="n"/>
    </row>
    <row r="854" ht="15.75" customHeight="1" s="58">
      <c r="A854" s="1" t="n"/>
      <c r="B854" s="1" t="n"/>
      <c r="E854" s="1" t="n"/>
      <c r="F854" s="1" t="n"/>
    </row>
    <row r="855" ht="15.75" customHeight="1" s="58">
      <c r="A855" s="1" t="n"/>
      <c r="B855" s="1" t="n"/>
      <c r="E855" s="1" t="n"/>
      <c r="F855" s="1" t="n"/>
    </row>
    <row r="856" ht="15.75" customHeight="1" s="58">
      <c r="A856" s="1" t="n"/>
      <c r="B856" s="1" t="n"/>
      <c r="E856" s="1" t="n"/>
      <c r="F856" s="1" t="n"/>
    </row>
    <row r="857" ht="15.75" customHeight="1" s="58">
      <c r="A857" s="1" t="n"/>
      <c r="B857" s="1" t="n"/>
      <c r="E857" s="1" t="n"/>
      <c r="F857" s="1" t="n"/>
    </row>
    <row r="858" ht="15.75" customHeight="1" s="58">
      <c r="A858" s="1" t="n"/>
      <c r="B858" s="1" t="n"/>
      <c r="E858" s="1" t="n"/>
      <c r="F858" s="1" t="n"/>
    </row>
    <row r="859" ht="15.75" customHeight="1" s="58">
      <c r="A859" s="1" t="n"/>
      <c r="B859" s="1" t="n"/>
      <c r="E859" s="1" t="n"/>
      <c r="F859" s="1" t="n"/>
    </row>
    <row r="860" ht="15.75" customHeight="1" s="58">
      <c r="A860" s="1" t="n"/>
      <c r="B860" s="1" t="n"/>
      <c r="E860" s="1" t="n"/>
      <c r="F860" s="1" t="n"/>
    </row>
    <row r="861" ht="15.75" customHeight="1" s="58">
      <c r="A861" s="1" t="n"/>
      <c r="B861" s="1" t="n"/>
      <c r="E861" s="1" t="n"/>
      <c r="F861" s="1" t="n"/>
    </row>
    <row r="862" ht="15.75" customHeight="1" s="58">
      <c r="A862" s="1" t="n"/>
      <c r="B862" s="1" t="n"/>
      <c r="E862" s="1" t="n"/>
      <c r="F862" s="1" t="n"/>
    </row>
    <row r="863" ht="15.75" customHeight="1" s="58">
      <c r="A863" s="1" t="n"/>
      <c r="B863" s="1" t="n"/>
      <c r="E863" s="1" t="n"/>
      <c r="F863" s="1" t="n"/>
    </row>
    <row r="864" ht="15.75" customHeight="1" s="58">
      <c r="A864" s="1" t="n"/>
      <c r="B864" s="1" t="n"/>
      <c r="E864" s="1" t="n"/>
      <c r="F864" s="1" t="n"/>
    </row>
    <row r="865" ht="15.75" customHeight="1" s="58">
      <c r="A865" s="1" t="n"/>
      <c r="B865" s="1" t="n"/>
      <c r="E865" s="1" t="n"/>
      <c r="F865" s="1" t="n"/>
    </row>
    <row r="866" ht="15.75" customHeight="1" s="58">
      <c r="A866" s="1" t="n"/>
      <c r="B866" s="1" t="n"/>
      <c r="E866" s="1" t="n"/>
      <c r="F866" s="1" t="n"/>
    </row>
    <row r="867" ht="15.75" customHeight="1" s="58">
      <c r="A867" s="1" t="n"/>
      <c r="B867" s="1" t="n"/>
      <c r="E867" s="1" t="n"/>
      <c r="F867" s="1" t="n"/>
    </row>
    <row r="868" ht="15.75" customHeight="1" s="58">
      <c r="A868" s="1" t="n"/>
      <c r="B868" s="1" t="n"/>
      <c r="E868" s="1" t="n"/>
      <c r="F868" s="1" t="n"/>
    </row>
    <row r="869" ht="15.75" customHeight="1" s="58">
      <c r="A869" s="1" t="n"/>
      <c r="B869" s="1" t="n"/>
      <c r="E869" s="1" t="n"/>
      <c r="F869" s="1" t="n"/>
    </row>
    <row r="870" ht="15.75" customHeight="1" s="58">
      <c r="A870" s="1" t="n"/>
      <c r="B870" s="1" t="n"/>
      <c r="E870" s="1" t="n"/>
      <c r="F870" s="1" t="n"/>
    </row>
    <row r="871" ht="15.75" customHeight="1" s="58">
      <c r="A871" s="1" t="n"/>
      <c r="B871" s="1" t="n"/>
      <c r="E871" s="1" t="n"/>
      <c r="F871" s="1" t="n"/>
    </row>
    <row r="872" ht="15.75" customHeight="1" s="58">
      <c r="A872" s="1" t="n"/>
      <c r="B872" s="1" t="n"/>
      <c r="E872" s="1" t="n"/>
      <c r="F872" s="1" t="n"/>
    </row>
    <row r="873" ht="15.75" customHeight="1" s="58">
      <c r="A873" s="1" t="n"/>
      <c r="B873" s="1" t="n"/>
      <c r="E873" s="1" t="n"/>
      <c r="F873" s="1" t="n"/>
    </row>
    <row r="874" ht="15.75" customHeight="1" s="58">
      <c r="A874" s="1" t="n"/>
      <c r="B874" s="1" t="n"/>
      <c r="E874" s="1" t="n"/>
      <c r="F874" s="1" t="n"/>
    </row>
    <row r="875" ht="15.75" customHeight="1" s="58">
      <c r="A875" s="1" t="n"/>
      <c r="B875" s="1" t="n"/>
      <c r="E875" s="1" t="n"/>
      <c r="F875" s="1" t="n"/>
    </row>
    <row r="876" ht="15.75" customHeight="1" s="58">
      <c r="A876" s="1" t="n"/>
      <c r="B876" s="1" t="n"/>
      <c r="E876" s="1" t="n"/>
      <c r="F876" s="1" t="n"/>
    </row>
    <row r="877" ht="15.75" customHeight="1" s="58">
      <c r="A877" s="1" t="n"/>
      <c r="B877" s="1" t="n"/>
      <c r="E877" s="1" t="n"/>
      <c r="F877" s="1" t="n"/>
    </row>
    <row r="878" ht="15.75" customHeight="1" s="58">
      <c r="A878" s="1" t="n"/>
      <c r="B878" s="1" t="n"/>
      <c r="E878" s="1" t="n"/>
      <c r="F878" s="1" t="n"/>
    </row>
    <row r="879" ht="15.75" customHeight="1" s="58">
      <c r="A879" s="1" t="n"/>
      <c r="B879" s="1" t="n"/>
      <c r="E879" s="1" t="n"/>
      <c r="F879" s="1" t="n"/>
    </row>
    <row r="880" ht="15.75" customHeight="1" s="58">
      <c r="A880" s="1" t="n"/>
      <c r="B880" s="1" t="n"/>
      <c r="E880" s="1" t="n"/>
      <c r="F880" s="1" t="n"/>
    </row>
    <row r="881" ht="15.75" customHeight="1" s="58">
      <c r="A881" s="1" t="n"/>
      <c r="B881" s="1" t="n"/>
      <c r="E881" s="1" t="n"/>
      <c r="F881" s="1" t="n"/>
    </row>
    <row r="882" ht="15.75" customHeight="1" s="58">
      <c r="A882" s="1" t="n"/>
      <c r="B882" s="1" t="n"/>
      <c r="E882" s="1" t="n"/>
      <c r="F882" s="1" t="n"/>
    </row>
    <row r="883" ht="15.75" customHeight="1" s="58">
      <c r="A883" s="1" t="n"/>
      <c r="B883" s="1" t="n"/>
      <c r="E883" s="1" t="n"/>
      <c r="F883" s="1" t="n"/>
    </row>
    <row r="884" ht="15.75" customHeight="1" s="58">
      <c r="A884" s="1" t="n"/>
      <c r="B884" s="1" t="n"/>
      <c r="E884" s="1" t="n"/>
      <c r="F884" s="1" t="n"/>
    </row>
    <row r="885" ht="15.75" customHeight="1" s="58">
      <c r="A885" s="1" t="n"/>
      <c r="B885" s="1" t="n"/>
      <c r="E885" s="1" t="n"/>
      <c r="F885" s="1" t="n"/>
    </row>
    <row r="886" ht="15.75" customHeight="1" s="58">
      <c r="A886" s="1" t="n"/>
      <c r="B886" s="1" t="n"/>
      <c r="E886" s="1" t="n"/>
      <c r="F886" s="1" t="n"/>
    </row>
    <row r="887" ht="15.75" customHeight="1" s="58">
      <c r="A887" s="1" t="n"/>
      <c r="B887" s="1" t="n"/>
      <c r="E887" s="1" t="n"/>
      <c r="F887" s="1" t="n"/>
    </row>
    <row r="888" ht="15.75" customHeight="1" s="58">
      <c r="A888" s="1" t="n"/>
      <c r="B888" s="1" t="n"/>
      <c r="E888" s="1" t="n"/>
      <c r="F888" s="1" t="n"/>
    </row>
    <row r="889" ht="15.75" customHeight="1" s="58">
      <c r="A889" s="1" t="n"/>
      <c r="B889" s="1" t="n"/>
      <c r="E889" s="1" t="n"/>
      <c r="F889" s="1" t="n"/>
    </row>
    <row r="890" ht="15.75" customHeight="1" s="58">
      <c r="A890" s="1" t="n"/>
      <c r="B890" s="1" t="n"/>
      <c r="E890" s="1" t="n"/>
      <c r="F890" s="1" t="n"/>
    </row>
    <row r="891" ht="15.75" customHeight="1" s="58">
      <c r="A891" s="1" t="n"/>
      <c r="B891" s="1" t="n"/>
      <c r="E891" s="1" t="n"/>
      <c r="F891" s="1" t="n"/>
    </row>
    <row r="892" ht="15.75" customHeight="1" s="58">
      <c r="A892" s="1" t="n"/>
      <c r="B892" s="1" t="n"/>
      <c r="E892" s="1" t="n"/>
      <c r="F892" s="1" t="n"/>
    </row>
    <row r="893" ht="15.75" customHeight="1" s="58">
      <c r="A893" s="1" t="n"/>
      <c r="B893" s="1" t="n"/>
      <c r="E893" s="1" t="n"/>
      <c r="F893" s="1" t="n"/>
    </row>
    <row r="894" ht="15.75" customHeight="1" s="58">
      <c r="A894" s="1" t="n"/>
      <c r="B894" s="1" t="n"/>
      <c r="E894" s="1" t="n"/>
      <c r="F894" s="1" t="n"/>
    </row>
    <row r="895" ht="15.75" customHeight="1" s="58">
      <c r="A895" s="1" t="n"/>
      <c r="B895" s="1" t="n"/>
      <c r="E895" s="1" t="n"/>
      <c r="F895" s="1" t="n"/>
    </row>
    <row r="896" ht="15.75" customHeight="1" s="58">
      <c r="A896" s="1" t="n"/>
      <c r="B896" s="1" t="n"/>
      <c r="E896" s="1" t="n"/>
      <c r="F896" s="1" t="n"/>
    </row>
    <row r="897" ht="15.75" customHeight="1" s="58">
      <c r="A897" s="1" t="n"/>
      <c r="B897" s="1" t="n"/>
      <c r="E897" s="1" t="n"/>
      <c r="F897" s="1" t="n"/>
    </row>
    <row r="898" ht="15.75" customHeight="1" s="58">
      <c r="A898" s="1" t="n"/>
      <c r="B898" s="1" t="n"/>
      <c r="E898" s="1" t="n"/>
      <c r="F898" s="1" t="n"/>
    </row>
    <row r="899" ht="15.75" customHeight="1" s="58">
      <c r="A899" s="1" t="n"/>
      <c r="B899" s="1" t="n"/>
      <c r="E899" s="1" t="n"/>
      <c r="F899" s="1" t="n"/>
    </row>
    <row r="900" ht="15.75" customHeight="1" s="58">
      <c r="A900" s="1" t="n"/>
      <c r="B900" s="1" t="n"/>
      <c r="E900" s="1" t="n"/>
      <c r="F900" s="1" t="n"/>
    </row>
    <row r="901" ht="15.75" customHeight="1" s="58">
      <c r="A901" s="1" t="n"/>
      <c r="B901" s="1" t="n"/>
      <c r="E901" s="1" t="n"/>
      <c r="F901" s="1" t="n"/>
    </row>
    <row r="902" ht="15.75" customHeight="1" s="58">
      <c r="A902" s="1" t="n"/>
      <c r="B902" s="1" t="n"/>
      <c r="E902" s="1" t="n"/>
      <c r="F902" s="1" t="n"/>
    </row>
    <row r="903" ht="15.75" customHeight="1" s="58">
      <c r="A903" s="1" t="n"/>
      <c r="B903" s="1" t="n"/>
      <c r="E903" s="1" t="n"/>
      <c r="F903" s="1" t="n"/>
    </row>
    <row r="904" ht="15.75" customHeight="1" s="58">
      <c r="A904" s="1" t="n"/>
      <c r="B904" s="1" t="n"/>
      <c r="E904" s="1" t="n"/>
      <c r="F904" s="1" t="n"/>
    </row>
    <row r="905" ht="15.75" customHeight="1" s="58">
      <c r="A905" s="1" t="n"/>
      <c r="B905" s="1" t="n"/>
      <c r="E905" s="1" t="n"/>
      <c r="F905" s="1" t="n"/>
    </row>
    <row r="906" ht="15.75" customHeight="1" s="58">
      <c r="A906" s="1" t="n"/>
      <c r="B906" s="1" t="n"/>
      <c r="E906" s="1" t="n"/>
      <c r="F906" s="1" t="n"/>
    </row>
    <row r="907" ht="15.75" customHeight="1" s="58">
      <c r="A907" s="1" t="n"/>
      <c r="B907" s="1" t="n"/>
      <c r="E907" s="1" t="n"/>
      <c r="F907" s="1" t="n"/>
    </row>
    <row r="908" ht="15.75" customHeight="1" s="58">
      <c r="A908" s="1" t="n"/>
      <c r="B908" s="1" t="n"/>
      <c r="E908" s="1" t="n"/>
      <c r="F908" s="1" t="n"/>
    </row>
    <row r="909" ht="15.75" customHeight="1" s="58">
      <c r="A909" s="1" t="n"/>
      <c r="B909" s="1" t="n"/>
      <c r="E909" s="1" t="n"/>
      <c r="F909" s="1" t="n"/>
    </row>
    <row r="910" ht="15.75" customHeight="1" s="58">
      <c r="A910" s="1" t="n"/>
      <c r="B910" s="1" t="n"/>
      <c r="E910" s="1" t="n"/>
      <c r="F910" s="1" t="n"/>
    </row>
    <row r="911" ht="15.75" customHeight="1" s="58">
      <c r="A911" s="1" t="n"/>
      <c r="B911" s="1" t="n"/>
      <c r="E911" s="1" t="n"/>
      <c r="F911" s="1" t="n"/>
    </row>
    <row r="912" ht="15.75" customHeight="1" s="58">
      <c r="A912" s="1" t="n"/>
      <c r="B912" s="1" t="n"/>
      <c r="E912" s="1" t="n"/>
      <c r="F912" s="1" t="n"/>
    </row>
    <row r="913" ht="15.75" customHeight="1" s="58">
      <c r="A913" s="1" t="n"/>
      <c r="B913" s="1" t="n"/>
      <c r="E913" s="1" t="n"/>
      <c r="F913" s="1" t="n"/>
    </row>
    <row r="914" ht="15.75" customHeight="1" s="58">
      <c r="A914" s="1" t="n"/>
      <c r="B914" s="1" t="n"/>
      <c r="E914" s="1" t="n"/>
      <c r="F914" s="1" t="n"/>
    </row>
    <row r="915" ht="15.75" customHeight="1" s="58">
      <c r="A915" s="1" t="n"/>
      <c r="B915" s="1" t="n"/>
      <c r="E915" s="1" t="n"/>
      <c r="F915" s="1" t="n"/>
    </row>
    <row r="916" ht="15.75" customHeight="1" s="58">
      <c r="A916" s="1" t="n"/>
      <c r="B916" s="1" t="n"/>
      <c r="E916" s="1" t="n"/>
      <c r="F916" s="1" t="n"/>
    </row>
    <row r="917" ht="15.75" customHeight="1" s="58">
      <c r="A917" s="1" t="n"/>
      <c r="B917" s="1" t="n"/>
      <c r="E917" s="1" t="n"/>
      <c r="F917" s="1" t="n"/>
    </row>
    <row r="918" ht="15.75" customHeight="1" s="58">
      <c r="A918" s="1" t="n"/>
      <c r="B918" s="1" t="n"/>
      <c r="E918" s="1" t="n"/>
      <c r="F918" s="1" t="n"/>
    </row>
    <row r="919" ht="15.75" customHeight="1" s="58">
      <c r="A919" s="1" t="n"/>
      <c r="B919" s="1" t="n"/>
      <c r="E919" s="1" t="n"/>
      <c r="F919" s="1" t="n"/>
    </row>
    <row r="920" ht="15.75" customHeight="1" s="58">
      <c r="A920" s="1" t="n"/>
      <c r="B920" s="1" t="n"/>
      <c r="E920" s="1" t="n"/>
      <c r="F920" s="1" t="n"/>
    </row>
    <row r="921" ht="15.75" customHeight="1" s="58">
      <c r="A921" s="1" t="n"/>
      <c r="B921" s="1" t="n"/>
      <c r="E921" s="1" t="n"/>
      <c r="F921" s="1" t="n"/>
    </row>
    <row r="922" ht="15.75" customHeight="1" s="58">
      <c r="A922" s="1" t="n"/>
      <c r="B922" s="1" t="n"/>
      <c r="E922" s="1" t="n"/>
      <c r="F922" s="1" t="n"/>
    </row>
    <row r="923" ht="15.75" customHeight="1" s="58">
      <c r="A923" s="1" t="n"/>
      <c r="B923" s="1" t="n"/>
      <c r="E923" s="1" t="n"/>
      <c r="F923" s="1" t="n"/>
    </row>
    <row r="924" ht="15.75" customHeight="1" s="58">
      <c r="A924" s="1" t="n"/>
      <c r="B924" s="1" t="n"/>
      <c r="E924" s="1" t="n"/>
      <c r="F924" s="1" t="n"/>
    </row>
    <row r="925" ht="15.75" customHeight="1" s="58">
      <c r="A925" s="1" t="n"/>
      <c r="B925" s="1" t="n"/>
      <c r="E925" s="1" t="n"/>
      <c r="F925" s="1" t="n"/>
    </row>
    <row r="926" ht="15.75" customHeight="1" s="58">
      <c r="A926" s="1" t="n"/>
      <c r="B926" s="1" t="n"/>
      <c r="E926" s="1" t="n"/>
      <c r="F926" s="1" t="n"/>
    </row>
    <row r="927" ht="15.75" customHeight="1" s="58">
      <c r="A927" s="1" t="n"/>
      <c r="B927" s="1" t="n"/>
      <c r="E927" s="1" t="n"/>
      <c r="F927" s="1" t="n"/>
    </row>
    <row r="928" ht="15.75" customHeight="1" s="58">
      <c r="A928" s="1" t="n"/>
      <c r="B928" s="1" t="n"/>
      <c r="E928" s="1" t="n"/>
      <c r="F928" s="1" t="n"/>
    </row>
    <row r="929" ht="15.75" customHeight="1" s="58">
      <c r="A929" s="1" t="n"/>
      <c r="B929" s="1" t="n"/>
      <c r="E929" s="1" t="n"/>
      <c r="F929" s="1" t="n"/>
    </row>
    <row r="930" ht="15.75" customHeight="1" s="58">
      <c r="A930" s="1" t="n"/>
      <c r="B930" s="1" t="n"/>
      <c r="E930" s="1" t="n"/>
      <c r="F930" s="1" t="n"/>
    </row>
    <row r="931" ht="15.75" customHeight="1" s="58">
      <c r="A931" s="1" t="n"/>
      <c r="B931" s="1" t="n"/>
      <c r="E931" s="1" t="n"/>
      <c r="F931" s="1" t="n"/>
    </row>
    <row r="932" ht="15.75" customHeight="1" s="58">
      <c r="A932" s="1" t="n"/>
      <c r="B932" s="1" t="n"/>
      <c r="E932" s="1" t="n"/>
      <c r="F932" s="1" t="n"/>
    </row>
    <row r="933" ht="15.75" customHeight="1" s="58">
      <c r="A933" s="1" t="n"/>
      <c r="B933" s="1" t="n"/>
      <c r="E933" s="1" t="n"/>
      <c r="F933" s="1" t="n"/>
    </row>
    <row r="934" ht="15.75" customHeight="1" s="58">
      <c r="A934" s="1" t="n"/>
      <c r="B934" s="1" t="n"/>
      <c r="E934" s="1" t="n"/>
      <c r="F934" s="1" t="n"/>
    </row>
    <row r="935" ht="15.75" customHeight="1" s="58">
      <c r="A935" s="1" t="n"/>
      <c r="B935" s="1" t="n"/>
      <c r="E935" s="1" t="n"/>
      <c r="F935" s="1" t="n"/>
    </row>
    <row r="936" ht="15.75" customHeight="1" s="58">
      <c r="A936" s="1" t="n"/>
      <c r="B936" s="1" t="n"/>
      <c r="E936" s="1" t="n"/>
      <c r="F936" s="1" t="n"/>
    </row>
    <row r="937" ht="15.75" customHeight="1" s="58">
      <c r="A937" s="1" t="n"/>
      <c r="B937" s="1" t="n"/>
      <c r="E937" s="1" t="n"/>
      <c r="F937" s="1" t="n"/>
    </row>
    <row r="938" ht="15.75" customHeight="1" s="58">
      <c r="A938" s="1" t="n"/>
      <c r="B938" s="1" t="n"/>
      <c r="E938" s="1" t="n"/>
      <c r="F938" s="1" t="n"/>
    </row>
    <row r="939" ht="15.75" customHeight="1" s="58">
      <c r="A939" s="1" t="n"/>
      <c r="B939" s="1" t="n"/>
      <c r="E939" s="1" t="n"/>
      <c r="F939" s="1" t="n"/>
    </row>
    <row r="940" ht="15.75" customHeight="1" s="58">
      <c r="A940" s="1" t="n"/>
      <c r="B940" s="1" t="n"/>
      <c r="E940" s="1" t="n"/>
      <c r="F940" s="1" t="n"/>
    </row>
    <row r="941" ht="15.75" customHeight="1" s="58">
      <c r="A941" s="1" t="n"/>
      <c r="B941" s="1" t="n"/>
      <c r="E941" s="1" t="n"/>
      <c r="F941" s="1" t="n"/>
    </row>
    <row r="942" ht="15.75" customHeight="1" s="58">
      <c r="A942" s="1" t="n"/>
      <c r="B942" s="1" t="n"/>
      <c r="E942" s="1" t="n"/>
      <c r="F942" s="1" t="n"/>
    </row>
    <row r="943" ht="15.75" customHeight="1" s="58">
      <c r="A943" s="1" t="n"/>
      <c r="B943" s="1" t="n"/>
      <c r="E943" s="1" t="n"/>
      <c r="F943" s="1" t="n"/>
    </row>
    <row r="944" ht="15.75" customHeight="1" s="58">
      <c r="A944" s="1" t="n"/>
      <c r="B944" s="1" t="n"/>
      <c r="E944" s="1" t="n"/>
      <c r="F944" s="1" t="n"/>
    </row>
    <row r="945" ht="15.75" customHeight="1" s="58">
      <c r="A945" s="1" t="n"/>
      <c r="B945" s="1" t="n"/>
      <c r="E945" s="1" t="n"/>
      <c r="F945" s="1" t="n"/>
    </row>
    <row r="946" ht="15.75" customHeight="1" s="58">
      <c r="A946" s="1" t="n"/>
      <c r="B946" s="1" t="n"/>
      <c r="E946" s="1" t="n"/>
      <c r="F946" s="1" t="n"/>
    </row>
    <row r="947" ht="15.75" customHeight="1" s="58">
      <c r="A947" s="1" t="n"/>
      <c r="B947" s="1" t="n"/>
      <c r="E947" s="1" t="n"/>
      <c r="F947" s="1" t="n"/>
    </row>
    <row r="948" ht="15.75" customHeight="1" s="58">
      <c r="A948" s="1" t="n"/>
      <c r="B948" s="1" t="n"/>
      <c r="E948" s="1" t="n"/>
      <c r="F948" s="1" t="n"/>
    </row>
    <row r="949" ht="15.75" customHeight="1" s="58">
      <c r="A949" s="1" t="n"/>
      <c r="B949" s="1" t="n"/>
      <c r="E949" s="1" t="n"/>
      <c r="F949" s="1" t="n"/>
    </row>
    <row r="950" ht="15.75" customHeight="1" s="58">
      <c r="A950" s="1" t="n"/>
      <c r="B950" s="1" t="n"/>
      <c r="E950" s="1" t="n"/>
      <c r="F950" s="1" t="n"/>
    </row>
    <row r="951" ht="15.75" customHeight="1" s="58">
      <c r="A951" s="1" t="n"/>
      <c r="B951" s="1" t="n"/>
      <c r="E951" s="1" t="n"/>
      <c r="F951" s="1" t="n"/>
    </row>
    <row r="952" ht="15.75" customHeight="1" s="58">
      <c r="A952" s="1" t="n"/>
      <c r="B952" s="1" t="n"/>
      <c r="E952" s="1" t="n"/>
      <c r="F952" s="1" t="n"/>
    </row>
    <row r="953" ht="15.75" customHeight="1" s="58">
      <c r="A953" s="1" t="n"/>
      <c r="B953" s="1" t="n"/>
      <c r="E953" s="1" t="n"/>
      <c r="F953" s="1" t="n"/>
    </row>
    <row r="954" ht="15.75" customHeight="1" s="58">
      <c r="A954" s="1" t="n"/>
      <c r="B954" s="1" t="n"/>
      <c r="E954" s="1" t="n"/>
      <c r="F954" s="1" t="n"/>
    </row>
    <row r="955" ht="15.75" customHeight="1" s="58">
      <c r="A955" s="1" t="n"/>
      <c r="B955" s="1" t="n"/>
      <c r="E955" s="1" t="n"/>
      <c r="F955" s="1" t="n"/>
    </row>
    <row r="956" ht="15.75" customHeight="1" s="58">
      <c r="A956" s="1" t="n"/>
      <c r="B956" s="1" t="n"/>
      <c r="E956" s="1" t="n"/>
      <c r="F956" s="1" t="n"/>
    </row>
    <row r="957" ht="15.75" customHeight="1" s="58">
      <c r="A957" s="1" t="n"/>
      <c r="B957" s="1" t="n"/>
      <c r="E957" s="1" t="n"/>
      <c r="F957" s="1" t="n"/>
    </row>
    <row r="958" ht="15.75" customHeight="1" s="58">
      <c r="A958" s="1" t="n"/>
      <c r="B958" s="1" t="n"/>
      <c r="E958" s="1" t="n"/>
      <c r="F958" s="1" t="n"/>
    </row>
    <row r="959" ht="15.75" customHeight="1" s="58">
      <c r="A959" s="1" t="n"/>
      <c r="B959" s="1" t="n"/>
      <c r="E959" s="1" t="n"/>
      <c r="F959" s="1" t="n"/>
    </row>
    <row r="960" ht="15.75" customHeight="1" s="58">
      <c r="A960" s="1" t="n"/>
      <c r="B960" s="1" t="n"/>
      <c r="E960" s="1" t="n"/>
      <c r="F960" s="1" t="n"/>
    </row>
    <row r="961" ht="15.75" customHeight="1" s="58">
      <c r="A961" s="1" t="n"/>
      <c r="B961" s="1" t="n"/>
      <c r="E961" s="1" t="n"/>
      <c r="F961" s="1" t="n"/>
    </row>
    <row r="962" ht="15.75" customHeight="1" s="58">
      <c r="A962" s="1" t="n"/>
      <c r="B962" s="1" t="n"/>
      <c r="E962" s="1" t="n"/>
      <c r="F962" s="1" t="n"/>
    </row>
    <row r="963" ht="15.75" customHeight="1" s="58">
      <c r="A963" s="1" t="n"/>
      <c r="B963" s="1" t="n"/>
      <c r="E963" s="1" t="n"/>
      <c r="F963" s="1" t="n"/>
    </row>
    <row r="964" ht="15.75" customHeight="1" s="58">
      <c r="A964" s="1" t="n"/>
      <c r="B964" s="1" t="n"/>
      <c r="E964" s="1" t="n"/>
      <c r="F964" s="1" t="n"/>
    </row>
    <row r="965" ht="15.75" customHeight="1" s="58">
      <c r="A965" s="1" t="n"/>
      <c r="B965" s="1" t="n"/>
      <c r="E965" s="1" t="n"/>
      <c r="F965" s="1" t="n"/>
    </row>
    <row r="966" ht="15.75" customHeight="1" s="58">
      <c r="A966" s="1" t="n"/>
      <c r="B966" s="1" t="n"/>
      <c r="E966" s="1" t="n"/>
      <c r="F966" s="1" t="n"/>
    </row>
    <row r="967" ht="15.75" customHeight="1" s="58">
      <c r="A967" s="1" t="n"/>
      <c r="B967" s="1" t="n"/>
      <c r="E967" s="1" t="n"/>
      <c r="F967" s="1" t="n"/>
    </row>
    <row r="968" ht="15.75" customHeight="1" s="58">
      <c r="A968" s="1" t="n"/>
      <c r="B968" s="1" t="n"/>
      <c r="E968" s="1" t="n"/>
      <c r="F968" s="1" t="n"/>
    </row>
    <row r="969" ht="15.75" customHeight="1" s="58">
      <c r="A969" s="1" t="n"/>
      <c r="B969" s="1" t="n"/>
      <c r="E969" s="1" t="n"/>
      <c r="F969" s="1" t="n"/>
    </row>
    <row r="970" ht="15.75" customHeight="1" s="58">
      <c r="A970" s="1" t="n"/>
      <c r="B970" s="1" t="n"/>
      <c r="E970" s="1" t="n"/>
      <c r="F970" s="1" t="n"/>
    </row>
    <row r="971" ht="15.75" customHeight="1" s="58">
      <c r="A971" s="1" t="n"/>
      <c r="B971" s="1" t="n"/>
      <c r="E971" s="1" t="n"/>
      <c r="F971" s="1" t="n"/>
    </row>
    <row r="972" ht="15.75" customHeight="1" s="58">
      <c r="A972" s="1" t="n"/>
      <c r="B972" s="1" t="n"/>
      <c r="E972" s="1" t="n"/>
      <c r="F972" s="1" t="n"/>
    </row>
    <row r="973" ht="15.75" customHeight="1" s="58">
      <c r="A973" s="1" t="n"/>
      <c r="B973" s="1" t="n"/>
      <c r="E973" s="1" t="n"/>
      <c r="F973" s="1" t="n"/>
    </row>
    <row r="974" ht="15.75" customHeight="1" s="58">
      <c r="A974" s="1" t="n"/>
      <c r="B974" s="1" t="n"/>
      <c r="E974" s="1" t="n"/>
      <c r="F974" s="1" t="n"/>
    </row>
    <row r="975" ht="15.75" customHeight="1" s="58">
      <c r="A975" s="1" t="n"/>
      <c r="B975" s="1" t="n"/>
      <c r="E975" s="1" t="n"/>
      <c r="F975" s="1" t="n"/>
    </row>
    <row r="976" ht="15.75" customHeight="1" s="58">
      <c r="A976" s="1" t="n"/>
      <c r="B976" s="1" t="n"/>
      <c r="E976" s="1" t="n"/>
      <c r="F976" s="1" t="n"/>
    </row>
    <row r="977" ht="15.75" customHeight="1" s="58">
      <c r="A977" s="1" t="n"/>
      <c r="B977" s="1" t="n"/>
      <c r="E977" s="1" t="n"/>
      <c r="F977" s="1" t="n"/>
    </row>
    <row r="978" ht="15.75" customHeight="1" s="58">
      <c r="A978" s="1" t="n"/>
      <c r="B978" s="1" t="n"/>
      <c r="E978" s="1" t="n"/>
      <c r="F978" s="1" t="n"/>
    </row>
    <row r="979" ht="15.75" customHeight="1" s="58">
      <c r="A979" s="1" t="n"/>
      <c r="B979" s="1" t="n"/>
      <c r="E979" s="1" t="n"/>
      <c r="F979" s="1" t="n"/>
    </row>
    <row r="980" ht="15.75" customHeight="1" s="58">
      <c r="A980" s="1" t="n"/>
      <c r="B980" s="1" t="n"/>
      <c r="E980" s="1" t="n"/>
      <c r="F980" s="1" t="n"/>
    </row>
    <row r="981" ht="15.75" customHeight="1" s="58">
      <c r="A981" s="1" t="n"/>
      <c r="B981" s="1" t="n"/>
      <c r="E981" s="1" t="n"/>
      <c r="F981" s="1" t="n"/>
    </row>
    <row r="982" ht="15.75" customHeight="1" s="58">
      <c r="A982" s="1" t="n"/>
      <c r="B982" s="1" t="n"/>
      <c r="E982" s="1" t="n"/>
      <c r="F982" s="1" t="n"/>
    </row>
    <row r="983" ht="15.75" customHeight="1" s="58">
      <c r="A983" s="1" t="n"/>
      <c r="B983" s="1" t="n"/>
      <c r="E983" s="1" t="n"/>
      <c r="F983" s="1" t="n"/>
    </row>
    <row r="984" ht="15.75" customHeight="1" s="58">
      <c r="A984" s="1" t="n"/>
      <c r="B984" s="1" t="n"/>
      <c r="E984" s="1" t="n"/>
      <c r="F984" s="1" t="n"/>
    </row>
    <row r="985" ht="15.75" customHeight="1" s="58">
      <c r="A985" s="1" t="n"/>
      <c r="B985" s="1" t="n"/>
      <c r="E985" s="1" t="n"/>
      <c r="F985" s="1" t="n"/>
    </row>
    <row r="986" ht="15.75" customHeight="1" s="58">
      <c r="A986" s="1" t="n"/>
      <c r="B986" s="1" t="n"/>
      <c r="E986" s="1" t="n"/>
      <c r="F986" s="1" t="n"/>
    </row>
    <row r="987" ht="15.75" customHeight="1" s="58">
      <c r="A987" s="1" t="n"/>
      <c r="B987" s="1" t="n"/>
      <c r="E987" s="1" t="n"/>
      <c r="F987" s="1" t="n"/>
    </row>
    <row r="988" ht="15.75" customHeight="1" s="58">
      <c r="A988" s="1" t="n"/>
      <c r="B988" s="1" t="n"/>
      <c r="E988" s="1" t="n"/>
      <c r="F988" s="1" t="n"/>
    </row>
    <row r="989" ht="15.75" customHeight="1" s="58">
      <c r="A989" s="1" t="n"/>
      <c r="B989" s="1" t="n"/>
      <c r="E989" s="1" t="n"/>
      <c r="F989" s="1" t="n"/>
    </row>
    <row r="990" ht="15.75" customHeight="1" s="58">
      <c r="A990" s="1" t="n"/>
      <c r="B990" s="1" t="n"/>
      <c r="E990" s="1" t="n"/>
      <c r="F990" s="1" t="n"/>
    </row>
    <row r="991" ht="15.75" customHeight="1" s="58">
      <c r="A991" s="1" t="n"/>
      <c r="B991" s="1" t="n"/>
      <c r="E991" s="1" t="n"/>
      <c r="F991" s="1" t="n"/>
    </row>
    <row r="992" ht="15.75" customHeight="1" s="58">
      <c r="A992" s="1" t="n"/>
      <c r="B992" s="1" t="n"/>
      <c r="E992" s="1" t="n"/>
      <c r="F992" s="1" t="n"/>
    </row>
    <row r="993" ht="15.75" customHeight="1" s="58">
      <c r="A993" s="1" t="n"/>
      <c r="B993" s="1" t="n"/>
      <c r="E993" s="1" t="n"/>
      <c r="F993" s="1" t="n"/>
    </row>
    <row r="994" ht="15.75" customHeight="1" s="58">
      <c r="A994" s="1" t="n"/>
      <c r="B994" s="1" t="n"/>
      <c r="E994" s="1" t="n"/>
      <c r="F994" s="1" t="n"/>
    </row>
    <row r="995" ht="15.75" customHeight="1" s="58">
      <c r="A995" s="1" t="n"/>
      <c r="B995" s="1" t="n"/>
      <c r="E995" s="1" t="n"/>
      <c r="F995" s="1" t="n"/>
    </row>
    <row r="996" ht="15.75" customHeight="1" s="58">
      <c r="A996" s="1" t="n"/>
      <c r="B996" s="1" t="n"/>
      <c r="E996" s="1" t="n"/>
      <c r="F996" s="1" t="n"/>
    </row>
    <row r="997" ht="15.75" customHeight="1" s="58">
      <c r="A997" s="1" t="n"/>
      <c r="B997" s="1" t="n"/>
      <c r="E997" s="1" t="n"/>
      <c r="F997" s="1" t="n"/>
    </row>
    <row r="998" ht="15.75" customHeight="1" s="58">
      <c r="A998" s="1" t="n"/>
      <c r="B998" s="1" t="n"/>
      <c r="E998" s="1" t="n"/>
      <c r="F998" s="1" t="n"/>
    </row>
    <row r="999" ht="15.75" customHeight="1" s="58">
      <c r="A999" s="1" t="n"/>
      <c r="B999" s="1" t="n"/>
      <c r="E999" s="1" t="n"/>
      <c r="F999" s="1" t="n"/>
    </row>
    <row r="1000" ht="15.75" customHeight="1" s="58">
      <c r="A1000" s="1" t="inlineStr">
        <is>
          <t>Demo publico: datos ficticios anonimizados para portafolio.</t>
        </is>
      </c>
      <c r="B1000" s="1" t="n"/>
      <c r="E1000" s="1" t="n"/>
      <c r="F1000" s="1" t="n"/>
    </row>
  </sheetData>
  <pageMargins left="0.75" right="0.75" top="1" bottom="1" header="0" footer="0"/>
  <pageSetup orientation="landscape" fitToHeight="0"/>
</worksheet>
</file>

<file path=xl/worksheets/sheet7.xml><?xml version="1.0" encoding="utf-8"?>
<worksheet xmlns="http://schemas.openxmlformats.org/spreadsheetml/2006/main">
  <sheetPr>
    <tabColor rgb="FFD9EAF7"/>
    <outlinePr summaryBelow="1" summaryRight="1"/>
    <pageSetUpPr fitToPage="1"/>
  </sheetPr>
  <dimension ref="A1:F20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ColWidth="14.43" defaultRowHeight="15" customHeight="1"/>
  <cols>
    <col width="14" customWidth="1" style="58" min="1" max="1"/>
    <col width="30" customWidth="1" style="58" min="2" max="2"/>
    <col width="12" customWidth="1" style="58" min="3" max="6"/>
  </cols>
  <sheetData>
    <row r="1" ht="15" customHeight="1" s="58">
      <c r="A1" s="41" t="inlineStr">
        <is>
          <t>FECHA</t>
        </is>
      </c>
      <c r="B1" s="41" t="inlineStr">
        <is>
          <t>No. EMP (vacio = aplica a todos)</t>
        </is>
      </c>
      <c r="C1" s="42" t="inlineStr">
        <is>
          <t>VERDE</t>
        </is>
      </c>
      <c r="D1" s="43" t="inlineStr">
        <is>
          <t>AMARILLO</t>
        </is>
      </c>
      <c r="E1" s="44" t="inlineStr">
        <is>
          <t>ROJO</t>
        </is>
      </c>
      <c r="F1" s="45" t="inlineStr">
        <is>
          <t>ROJO FUERTE</t>
        </is>
      </c>
    </row>
    <row r="2" ht="15" customHeight="1" s="58">
      <c r="A2" s="30" t="n"/>
      <c r="B2" s="46" t="n"/>
      <c r="C2" s="53" t="n"/>
      <c r="D2" s="53" t="n"/>
      <c r="E2" s="53" t="n"/>
      <c r="F2" s="53" t="n"/>
    </row>
    <row r="3" ht="15" customHeight="1" s="58">
      <c r="A3" s="30" t="n"/>
      <c r="B3" s="46" t="n"/>
      <c r="C3" s="53" t="n"/>
      <c r="D3" s="53" t="n"/>
      <c r="E3" s="53" t="n"/>
      <c r="F3" s="53" t="n"/>
    </row>
    <row r="4" ht="15" customHeight="1" s="58">
      <c r="A4" s="30" t="n"/>
      <c r="B4" s="46" t="n"/>
      <c r="C4" s="53" t="n"/>
      <c r="D4" s="53" t="n"/>
      <c r="E4" s="53" t="n"/>
      <c r="F4" s="53" t="n"/>
    </row>
    <row r="5" ht="15" customHeight="1" s="58">
      <c r="A5" s="30" t="n"/>
      <c r="B5" s="46" t="n"/>
      <c r="C5" s="53" t="n"/>
      <c r="D5" s="53" t="n"/>
      <c r="E5" s="53" t="n"/>
      <c r="F5" s="53" t="n"/>
    </row>
    <row r="6" ht="15" customHeight="1" s="58">
      <c r="A6" s="30" t="n"/>
      <c r="B6" s="46" t="n"/>
      <c r="C6" s="53" t="n"/>
      <c r="D6" s="53" t="n"/>
      <c r="E6" s="53" t="n"/>
      <c r="F6" s="53" t="n"/>
    </row>
    <row r="7" ht="15" customHeight="1" s="58">
      <c r="A7" s="30" t="n"/>
      <c r="B7" s="46" t="n"/>
      <c r="C7" s="53" t="n"/>
      <c r="D7" s="53" t="n"/>
      <c r="E7" s="53" t="n"/>
      <c r="F7" s="53" t="n"/>
    </row>
    <row r="8" ht="15" customHeight="1" s="58">
      <c r="A8" s="30" t="n"/>
      <c r="B8" s="46" t="n"/>
      <c r="C8" s="53" t="n"/>
      <c r="D8" s="53" t="n"/>
      <c r="E8" s="53" t="n"/>
      <c r="F8" s="53" t="n"/>
    </row>
    <row r="9" ht="15" customHeight="1" s="58">
      <c r="A9" s="30" t="n"/>
      <c r="B9" s="46" t="n"/>
      <c r="C9" s="53" t="n"/>
      <c r="D9" s="53" t="n"/>
      <c r="E9" s="53" t="n"/>
      <c r="F9" s="53" t="n"/>
    </row>
    <row r="10" ht="15" customHeight="1" s="58">
      <c r="A10" s="30" t="n"/>
      <c r="B10" s="46" t="n"/>
      <c r="C10" s="53" t="n"/>
      <c r="D10" s="53" t="n"/>
      <c r="E10" s="53" t="n"/>
      <c r="F10" s="53" t="n"/>
    </row>
    <row r="11" ht="15" customHeight="1" s="58">
      <c r="A11" s="30" t="n"/>
      <c r="B11" s="46" t="n"/>
      <c r="C11" s="53" t="n"/>
      <c r="D11" s="53" t="n"/>
      <c r="E11" s="53" t="n"/>
      <c r="F11" s="53" t="n"/>
    </row>
    <row r="12" ht="15" customHeight="1" s="58">
      <c r="A12" s="30" t="n"/>
      <c r="B12" s="46" t="n"/>
      <c r="C12" s="53" t="n"/>
      <c r="D12" s="53" t="n"/>
      <c r="E12" s="53" t="n"/>
      <c r="F12" s="53" t="n"/>
    </row>
    <row r="13" ht="15" customHeight="1" s="58">
      <c r="A13" s="30" t="n"/>
      <c r="B13" s="46" t="n"/>
      <c r="C13" s="53" t="n"/>
      <c r="D13" s="53" t="n"/>
      <c r="E13" s="53" t="n"/>
      <c r="F13" s="53" t="n"/>
    </row>
    <row r="14" ht="15" customHeight="1" s="58">
      <c r="A14" s="30" t="n"/>
      <c r="B14" s="46" t="n"/>
      <c r="C14" s="53" t="n"/>
      <c r="D14" s="53" t="n"/>
      <c r="E14" s="53" t="n"/>
      <c r="F14" s="53" t="n"/>
    </row>
    <row r="15" ht="15" customHeight="1" s="58">
      <c r="A15" s="30" t="n"/>
      <c r="B15" s="46" t="n"/>
      <c r="C15" s="53" t="n"/>
      <c r="D15" s="53" t="n"/>
      <c r="E15" s="53" t="n"/>
      <c r="F15" s="53" t="n"/>
    </row>
    <row r="16" ht="15" customHeight="1" s="58">
      <c r="A16" s="30" t="n"/>
      <c r="B16" s="46" t="n"/>
      <c r="C16" s="53" t="n"/>
      <c r="D16" s="53" t="n"/>
      <c r="E16" s="53" t="n"/>
      <c r="F16" s="53" t="n"/>
    </row>
    <row r="17" ht="15" customHeight="1" s="58">
      <c r="A17" s="30" t="n"/>
      <c r="B17" s="46" t="n"/>
      <c r="C17" s="53" t="n"/>
      <c r="D17" s="53" t="n"/>
      <c r="E17" s="53" t="n"/>
      <c r="F17" s="53" t="n"/>
    </row>
    <row r="18" ht="15" customHeight="1" s="58">
      <c r="A18" s="30" t="n"/>
      <c r="B18" s="46" t="n"/>
      <c r="C18" s="53" t="n"/>
      <c r="D18" s="53" t="n"/>
      <c r="E18" s="53" t="n"/>
      <c r="F18" s="53" t="n"/>
    </row>
    <row r="19" ht="15" customHeight="1" s="58">
      <c r="A19" s="30" t="n"/>
      <c r="B19" s="46" t="n"/>
      <c r="C19" s="53" t="n"/>
      <c r="D19" s="53" t="n"/>
      <c r="E19" s="53" t="n"/>
      <c r="F19" s="53" t="n"/>
    </row>
    <row r="20" ht="15" customHeight="1" s="58">
      <c r="A20" s="30" t="n"/>
      <c r="B20" s="46" t="n"/>
      <c r="C20" s="53" t="n"/>
      <c r="D20" s="53" t="n"/>
      <c r="E20" s="53" t="n"/>
      <c r="F20" s="53" t="n"/>
    </row>
    <row r="21" ht="15" customHeight="1" s="58">
      <c r="A21" s="30" t="n"/>
      <c r="B21" s="46" t="n"/>
      <c r="C21" s="53" t="n"/>
      <c r="D21" s="53" t="n"/>
      <c r="E21" s="53" t="n"/>
      <c r="F21" s="53" t="n"/>
    </row>
    <row r="22" ht="15" customHeight="1" s="58">
      <c r="A22" s="30" t="n"/>
      <c r="B22" s="46" t="n"/>
      <c r="C22" s="53" t="n"/>
      <c r="D22" s="53" t="n"/>
      <c r="E22" s="53" t="n"/>
      <c r="F22" s="53" t="n"/>
    </row>
    <row r="23" ht="15" customHeight="1" s="58">
      <c r="A23" s="30" t="n"/>
      <c r="B23" s="46" t="n"/>
      <c r="C23" s="53" t="n"/>
      <c r="D23" s="53" t="n"/>
      <c r="E23" s="53" t="n"/>
      <c r="F23" s="53" t="n"/>
    </row>
    <row r="24" ht="15" customHeight="1" s="58">
      <c r="A24" s="30" t="n"/>
      <c r="B24" s="46" t="n"/>
      <c r="C24" s="53" t="n"/>
      <c r="D24" s="53" t="n"/>
      <c r="E24" s="53" t="n"/>
      <c r="F24" s="53" t="n"/>
    </row>
    <row r="25" ht="15" customHeight="1" s="58">
      <c r="A25" s="30" t="n"/>
      <c r="B25" s="46" t="n"/>
      <c r="C25" s="53" t="n"/>
      <c r="D25" s="53" t="n"/>
      <c r="E25" s="53" t="n"/>
      <c r="F25" s="53" t="n"/>
    </row>
    <row r="26" ht="15" customHeight="1" s="58">
      <c r="A26" s="30" t="n"/>
      <c r="B26" s="46" t="n"/>
      <c r="C26" s="53" t="n"/>
      <c r="D26" s="53" t="n"/>
      <c r="E26" s="53" t="n"/>
      <c r="F26" s="53" t="n"/>
    </row>
    <row r="27" ht="15" customHeight="1" s="58">
      <c r="A27" s="30" t="n"/>
      <c r="B27" s="46" t="n"/>
      <c r="C27" s="53" t="n"/>
      <c r="D27" s="53" t="n"/>
      <c r="E27" s="53" t="n"/>
      <c r="F27" s="53" t="n"/>
    </row>
    <row r="28" ht="15" customHeight="1" s="58">
      <c r="A28" s="30" t="n"/>
      <c r="B28" s="46" t="n"/>
      <c r="C28" s="53" t="n"/>
      <c r="D28" s="53" t="n"/>
      <c r="E28" s="53" t="n"/>
      <c r="F28" s="53" t="n"/>
    </row>
    <row r="29" ht="15" customHeight="1" s="58">
      <c r="A29" s="30" t="n"/>
      <c r="B29" s="46" t="n"/>
      <c r="C29" s="53" t="n"/>
      <c r="D29" s="53" t="n"/>
      <c r="E29" s="53" t="n"/>
      <c r="F29" s="53" t="n"/>
    </row>
    <row r="30" ht="15" customHeight="1" s="58">
      <c r="A30" s="30" t="n"/>
      <c r="B30" s="46" t="n"/>
      <c r="C30" s="53" t="n"/>
      <c r="D30" s="53" t="n"/>
      <c r="E30" s="53" t="n"/>
      <c r="F30" s="53" t="n"/>
    </row>
    <row r="31" ht="15" customHeight="1" s="58">
      <c r="A31" s="30" t="n"/>
      <c r="B31" s="46" t="n"/>
      <c r="C31" s="53" t="n"/>
      <c r="D31" s="53" t="n"/>
      <c r="E31" s="53" t="n"/>
      <c r="F31" s="53" t="n"/>
    </row>
    <row r="32" ht="15" customHeight="1" s="58">
      <c r="A32" s="30" t="n"/>
      <c r="B32" s="46" t="n"/>
      <c r="C32" s="53" t="n"/>
      <c r="D32" s="53" t="n"/>
      <c r="E32" s="53" t="n"/>
      <c r="F32" s="53" t="n"/>
    </row>
    <row r="33" ht="15" customHeight="1" s="58">
      <c r="A33" s="30" t="n"/>
      <c r="B33" s="46" t="n"/>
      <c r="C33" s="53" t="n"/>
      <c r="D33" s="53" t="n"/>
      <c r="E33" s="53" t="n"/>
      <c r="F33" s="53" t="n"/>
    </row>
    <row r="34" ht="15" customHeight="1" s="58">
      <c r="A34" s="30" t="n"/>
      <c r="B34" s="46" t="n"/>
      <c r="C34" s="53" t="n"/>
      <c r="D34" s="53" t="n"/>
      <c r="E34" s="53" t="n"/>
      <c r="F34" s="53" t="n"/>
    </row>
    <row r="35" ht="15" customHeight="1" s="58">
      <c r="A35" s="30" t="n"/>
      <c r="B35" s="46" t="n"/>
      <c r="C35" s="53" t="n"/>
      <c r="D35" s="53" t="n"/>
      <c r="E35" s="53" t="n"/>
      <c r="F35" s="53" t="n"/>
    </row>
    <row r="36" ht="15" customHeight="1" s="58">
      <c r="A36" s="30" t="n"/>
      <c r="B36" s="46" t="n"/>
      <c r="C36" s="53" t="n"/>
      <c r="D36" s="53" t="n"/>
      <c r="E36" s="53" t="n"/>
      <c r="F36" s="53" t="n"/>
    </row>
    <row r="37" ht="15" customHeight="1" s="58">
      <c r="A37" s="30" t="n"/>
      <c r="B37" s="46" t="n"/>
      <c r="C37" s="53" t="n"/>
      <c r="D37" s="53" t="n"/>
      <c r="E37" s="53" t="n"/>
      <c r="F37" s="53" t="n"/>
    </row>
    <row r="38" ht="15" customHeight="1" s="58">
      <c r="A38" s="30" t="n"/>
      <c r="B38" s="46" t="n"/>
      <c r="C38" s="53" t="n"/>
      <c r="D38" s="53" t="n"/>
      <c r="E38" s="53" t="n"/>
      <c r="F38" s="53" t="n"/>
    </row>
    <row r="39" ht="15" customHeight="1" s="58">
      <c r="A39" s="30" t="n"/>
      <c r="B39" s="46" t="n"/>
      <c r="C39" s="53" t="n"/>
      <c r="D39" s="53" t="n"/>
      <c r="E39" s="53" t="n"/>
      <c r="F39" s="53" t="n"/>
    </row>
    <row r="40" ht="15" customHeight="1" s="58">
      <c r="A40" s="30" t="n"/>
      <c r="B40" s="46" t="n"/>
      <c r="C40" s="53" t="n"/>
      <c r="D40" s="53" t="n"/>
      <c r="E40" s="53" t="n"/>
      <c r="F40" s="53" t="n"/>
    </row>
    <row r="41" ht="15" customHeight="1" s="58">
      <c r="A41" s="30" t="n"/>
      <c r="B41" s="46" t="n"/>
      <c r="C41" s="53" t="n"/>
      <c r="D41" s="53" t="n"/>
      <c r="E41" s="53" t="n"/>
      <c r="F41" s="53" t="n"/>
    </row>
    <row r="42" ht="15" customHeight="1" s="58">
      <c r="A42" s="30" t="n"/>
      <c r="B42" s="46" t="n"/>
      <c r="C42" s="53" t="n"/>
      <c r="D42" s="53" t="n"/>
      <c r="E42" s="53" t="n"/>
      <c r="F42" s="53" t="n"/>
    </row>
    <row r="43" ht="15" customHeight="1" s="58">
      <c r="A43" s="30" t="n"/>
      <c r="B43" s="46" t="n"/>
      <c r="C43" s="53" t="n"/>
      <c r="D43" s="53" t="n"/>
      <c r="E43" s="53" t="n"/>
      <c r="F43" s="53" t="n"/>
    </row>
    <row r="44" ht="15" customHeight="1" s="58">
      <c r="A44" s="30" t="n"/>
      <c r="B44" s="46" t="n"/>
      <c r="C44" s="53" t="n"/>
      <c r="D44" s="53" t="n"/>
      <c r="E44" s="53" t="n"/>
      <c r="F44" s="53" t="n"/>
    </row>
    <row r="45" ht="15" customHeight="1" s="58">
      <c r="A45" s="30" t="n"/>
      <c r="B45" s="46" t="n"/>
      <c r="C45" s="53" t="n"/>
      <c r="D45" s="53" t="n"/>
      <c r="E45" s="53" t="n"/>
      <c r="F45" s="53" t="n"/>
    </row>
    <row r="46" ht="15" customHeight="1" s="58">
      <c r="A46" s="30" t="n"/>
      <c r="B46" s="46" t="n"/>
      <c r="C46" s="53" t="n"/>
      <c r="D46" s="53" t="n"/>
      <c r="E46" s="53" t="n"/>
      <c r="F46" s="53" t="n"/>
    </row>
    <row r="47" ht="15" customHeight="1" s="58">
      <c r="A47" s="30" t="n"/>
      <c r="B47" s="46" t="n"/>
      <c r="C47" s="53" t="n"/>
      <c r="D47" s="53" t="n"/>
      <c r="E47" s="53" t="n"/>
      <c r="F47" s="53" t="n"/>
    </row>
    <row r="48" ht="15" customHeight="1" s="58">
      <c r="A48" s="30" t="n"/>
      <c r="B48" s="46" t="n"/>
      <c r="C48" s="53" t="n"/>
      <c r="D48" s="53" t="n"/>
      <c r="E48" s="53" t="n"/>
      <c r="F48" s="53" t="n"/>
    </row>
    <row r="49" ht="15" customHeight="1" s="58">
      <c r="A49" s="30" t="n"/>
      <c r="B49" s="46" t="n"/>
      <c r="C49" s="53" t="n"/>
      <c r="D49" s="53" t="n"/>
      <c r="E49" s="53" t="n"/>
      <c r="F49" s="53" t="n"/>
    </row>
    <row r="50" ht="15" customHeight="1" s="58">
      <c r="A50" s="30" t="n"/>
      <c r="B50" s="46" t="n"/>
      <c r="C50" s="53" t="n"/>
      <c r="D50" s="53" t="n"/>
      <c r="E50" s="53" t="n"/>
      <c r="F50" s="53" t="n"/>
    </row>
    <row r="51" ht="15" customHeight="1" s="58">
      <c r="A51" s="30" t="n"/>
      <c r="B51" s="46" t="n"/>
      <c r="C51" s="53" t="n"/>
      <c r="D51" s="53" t="n"/>
      <c r="E51" s="53" t="n"/>
      <c r="F51" s="53" t="n"/>
    </row>
    <row r="52" ht="15" customHeight="1" s="58">
      <c r="A52" s="30" t="n"/>
      <c r="B52" s="46" t="n"/>
      <c r="C52" s="53" t="n"/>
      <c r="D52" s="53" t="n"/>
      <c r="E52" s="53" t="n"/>
      <c r="F52" s="53" t="n"/>
    </row>
    <row r="53" ht="15" customHeight="1" s="58">
      <c r="A53" s="30" t="n"/>
      <c r="B53" s="46" t="n"/>
      <c r="C53" s="53" t="n"/>
      <c r="D53" s="53" t="n"/>
      <c r="E53" s="53" t="n"/>
      <c r="F53" s="53" t="n"/>
    </row>
    <row r="54" ht="15" customHeight="1" s="58">
      <c r="A54" s="30" t="n"/>
      <c r="B54" s="46" t="n"/>
      <c r="C54" s="53" t="n"/>
      <c r="D54" s="53" t="n"/>
      <c r="E54" s="53" t="n"/>
      <c r="F54" s="53" t="n"/>
    </row>
    <row r="55" ht="15" customHeight="1" s="58">
      <c r="A55" s="30" t="n"/>
      <c r="B55" s="46" t="n"/>
      <c r="C55" s="53" t="n"/>
      <c r="D55" s="53" t="n"/>
      <c r="E55" s="53" t="n"/>
      <c r="F55" s="53" t="n"/>
    </row>
    <row r="56" ht="15" customHeight="1" s="58">
      <c r="A56" s="30" t="n"/>
      <c r="B56" s="46" t="n"/>
      <c r="C56" s="53" t="n"/>
      <c r="D56" s="53" t="n"/>
      <c r="E56" s="53" t="n"/>
      <c r="F56" s="53" t="n"/>
    </row>
    <row r="57" ht="15" customHeight="1" s="58">
      <c r="A57" s="30" t="n"/>
      <c r="B57" s="46" t="n"/>
      <c r="C57" s="53" t="n"/>
      <c r="D57" s="53" t="n"/>
      <c r="E57" s="53" t="n"/>
      <c r="F57" s="53" t="n"/>
    </row>
    <row r="58" ht="15" customHeight="1" s="58">
      <c r="A58" s="30" t="n"/>
      <c r="B58" s="46" t="n"/>
      <c r="C58" s="53" t="n"/>
      <c r="D58" s="53" t="n"/>
      <c r="E58" s="53" t="n"/>
      <c r="F58" s="53" t="n"/>
    </row>
    <row r="59" ht="15" customHeight="1" s="58">
      <c r="A59" s="30" t="n"/>
      <c r="B59" s="46" t="n"/>
      <c r="C59" s="53" t="n"/>
      <c r="D59" s="53" t="n"/>
      <c r="E59" s="53" t="n"/>
      <c r="F59" s="53" t="n"/>
    </row>
    <row r="60" ht="15" customHeight="1" s="58">
      <c r="A60" s="30" t="n"/>
      <c r="B60" s="46" t="n"/>
      <c r="C60" s="53" t="n"/>
      <c r="D60" s="53" t="n"/>
      <c r="E60" s="53" t="n"/>
      <c r="F60" s="53" t="n"/>
    </row>
    <row r="61" ht="15" customHeight="1" s="58">
      <c r="A61" s="30" t="n"/>
      <c r="B61" s="46" t="n"/>
      <c r="C61" s="53" t="n"/>
      <c r="D61" s="53" t="n"/>
      <c r="E61" s="53" t="n"/>
      <c r="F61" s="53" t="n"/>
    </row>
    <row r="62" ht="15" customHeight="1" s="58">
      <c r="A62" s="30" t="n"/>
      <c r="B62" s="46" t="n"/>
      <c r="C62" s="53" t="n"/>
      <c r="D62" s="53" t="n"/>
      <c r="E62" s="53" t="n"/>
      <c r="F62" s="53" t="n"/>
    </row>
    <row r="63" ht="15" customHeight="1" s="58">
      <c r="A63" s="30" t="n"/>
      <c r="B63" s="46" t="n"/>
      <c r="C63" s="53" t="n"/>
      <c r="D63" s="53" t="n"/>
      <c r="E63" s="53" t="n"/>
      <c r="F63" s="53" t="n"/>
    </row>
    <row r="64" ht="15" customHeight="1" s="58">
      <c r="A64" s="30" t="n"/>
      <c r="B64" s="46" t="n"/>
      <c r="C64" s="53" t="n"/>
      <c r="D64" s="53" t="n"/>
      <c r="E64" s="53" t="n"/>
      <c r="F64" s="53" t="n"/>
    </row>
    <row r="65" ht="15" customHeight="1" s="58">
      <c r="A65" s="30" t="n"/>
      <c r="B65" s="46" t="n"/>
      <c r="C65" s="53" t="n"/>
      <c r="D65" s="53" t="n"/>
      <c r="E65" s="53" t="n"/>
      <c r="F65" s="53" t="n"/>
    </row>
    <row r="66" ht="15" customHeight="1" s="58">
      <c r="A66" s="30" t="n"/>
      <c r="B66" s="46" t="n"/>
      <c r="C66" s="53" t="n"/>
      <c r="D66" s="53" t="n"/>
      <c r="E66" s="53" t="n"/>
      <c r="F66" s="53" t="n"/>
    </row>
    <row r="67" ht="15" customHeight="1" s="58">
      <c r="A67" s="30" t="n"/>
      <c r="B67" s="46" t="n"/>
      <c r="C67" s="53" t="n"/>
      <c r="D67" s="53" t="n"/>
      <c r="E67" s="53" t="n"/>
      <c r="F67" s="53" t="n"/>
    </row>
    <row r="68" ht="15" customHeight="1" s="58">
      <c r="A68" s="30" t="n"/>
      <c r="B68" s="46" t="n"/>
      <c r="C68" s="53" t="n"/>
      <c r="D68" s="53" t="n"/>
      <c r="E68" s="53" t="n"/>
      <c r="F68" s="53" t="n"/>
    </row>
    <row r="69" ht="15" customHeight="1" s="58">
      <c r="A69" s="30" t="n"/>
      <c r="B69" s="46" t="n"/>
      <c r="C69" s="53" t="n"/>
      <c r="D69" s="53" t="n"/>
      <c r="E69" s="53" t="n"/>
      <c r="F69" s="53" t="n"/>
    </row>
    <row r="70" ht="15" customHeight="1" s="58">
      <c r="A70" s="30" t="n"/>
      <c r="B70" s="46" t="n"/>
      <c r="C70" s="53" t="n"/>
      <c r="D70" s="53" t="n"/>
      <c r="E70" s="53" t="n"/>
      <c r="F70" s="53" t="n"/>
    </row>
    <row r="71" ht="15" customHeight="1" s="58">
      <c r="A71" s="30" t="n"/>
      <c r="B71" s="46" t="n"/>
      <c r="C71" s="53" t="n"/>
      <c r="D71" s="53" t="n"/>
      <c r="E71" s="53" t="n"/>
      <c r="F71" s="53" t="n"/>
    </row>
    <row r="72" ht="15" customHeight="1" s="58">
      <c r="A72" s="30" t="n"/>
      <c r="B72" s="46" t="n"/>
      <c r="C72" s="53" t="n"/>
      <c r="D72" s="53" t="n"/>
      <c r="E72" s="53" t="n"/>
      <c r="F72" s="53" t="n"/>
    </row>
    <row r="73" ht="15" customHeight="1" s="58">
      <c r="A73" s="30" t="n"/>
      <c r="B73" s="46" t="n"/>
      <c r="C73" s="53" t="n"/>
      <c r="D73" s="53" t="n"/>
      <c r="E73" s="53" t="n"/>
      <c r="F73" s="53" t="n"/>
    </row>
    <row r="74" ht="15" customHeight="1" s="58">
      <c r="A74" s="30" t="n"/>
      <c r="B74" s="46" t="n"/>
      <c r="C74" s="53" t="n"/>
      <c r="D74" s="53" t="n"/>
      <c r="E74" s="53" t="n"/>
      <c r="F74" s="53" t="n"/>
    </row>
    <row r="75" ht="15" customHeight="1" s="58">
      <c r="A75" s="30" t="n"/>
      <c r="B75" s="46" t="n"/>
      <c r="C75" s="53" t="n"/>
      <c r="D75" s="53" t="n"/>
      <c r="E75" s="53" t="n"/>
      <c r="F75" s="53" t="n"/>
    </row>
    <row r="76" ht="15" customHeight="1" s="58">
      <c r="A76" s="30" t="n"/>
      <c r="B76" s="46" t="n"/>
      <c r="C76" s="53" t="n"/>
      <c r="D76" s="53" t="n"/>
      <c r="E76" s="53" t="n"/>
      <c r="F76" s="53" t="n"/>
    </row>
    <row r="77" ht="15" customHeight="1" s="58">
      <c r="A77" s="30" t="n"/>
      <c r="B77" s="46" t="n"/>
      <c r="C77" s="53" t="n"/>
      <c r="D77" s="53" t="n"/>
      <c r="E77" s="53" t="n"/>
      <c r="F77" s="53" t="n"/>
    </row>
    <row r="78" ht="15" customHeight="1" s="58">
      <c r="A78" s="30" t="n"/>
      <c r="B78" s="46" t="n"/>
      <c r="C78" s="53" t="n"/>
      <c r="D78" s="53" t="n"/>
      <c r="E78" s="53" t="n"/>
      <c r="F78" s="53" t="n"/>
    </row>
    <row r="79" ht="15" customHeight="1" s="58">
      <c r="A79" s="30" t="n"/>
      <c r="B79" s="46" t="n"/>
      <c r="C79" s="53" t="n"/>
      <c r="D79" s="53" t="n"/>
      <c r="E79" s="53" t="n"/>
      <c r="F79" s="53" t="n"/>
    </row>
    <row r="80" ht="15" customHeight="1" s="58">
      <c r="A80" s="30" t="n"/>
      <c r="B80" s="46" t="n"/>
      <c r="C80" s="53" t="n"/>
      <c r="D80" s="53" t="n"/>
      <c r="E80" s="53" t="n"/>
      <c r="F80" s="53" t="n"/>
    </row>
    <row r="81" ht="15" customHeight="1" s="58">
      <c r="A81" s="30" t="n"/>
      <c r="B81" s="46" t="n"/>
      <c r="C81" s="53" t="n"/>
      <c r="D81" s="53" t="n"/>
      <c r="E81" s="53" t="n"/>
      <c r="F81" s="53" t="n"/>
    </row>
    <row r="82" ht="15" customHeight="1" s="58">
      <c r="A82" s="30" t="n"/>
      <c r="B82" s="46" t="n"/>
      <c r="C82" s="53" t="n"/>
      <c r="D82" s="53" t="n"/>
      <c r="E82" s="53" t="n"/>
      <c r="F82" s="53" t="n"/>
    </row>
    <row r="83" ht="15" customHeight="1" s="58">
      <c r="A83" s="30" t="n"/>
      <c r="B83" s="46" t="n"/>
      <c r="C83" s="53" t="n"/>
      <c r="D83" s="53" t="n"/>
      <c r="E83" s="53" t="n"/>
      <c r="F83" s="53" t="n"/>
    </row>
    <row r="84" ht="15" customHeight="1" s="58">
      <c r="A84" s="30" t="n"/>
      <c r="B84" s="46" t="n"/>
      <c r="C84" s="53" t="n"/>
      <c r="D84" s="53" t="n"/>
      <c r="E84" s="53" t="n"/>
      <c r="F84" s="53" t="n"/>
    </row>
    <row r="85" ht="15" customHeight="1" s="58">
      <c r="A85" s="30" t="n"/>
      <c r="B85" s="46" t="n"/>
      <c r="C85" s="53" t="n"/>
      <c r="D85" s="53" t="n"/>
      <c r="E85" s="53" t="n"/>
      <c r="F85" s="53" t="n"/>
    </row>
    <row r="86" ht="15" customHeight="1" s="58">
      <c r="A86" s="30" t="n"/>
      <c r="B86" s="46" t="n"/>
      <c r="C86" s="53" t="n"/>
      <c r="D86" s="53" t="n"/>
      <c r="E86" s="53" t="n"/>
      <c r="F86" s="53" t="n"/>
    </row>
    <row r="87" ht="15" customHeight="1" s="58">
      <c r="A87" s="30" t="n"/>
      <c r="B87" s="46" t="n"/>
      <c r="C87" s="53" t="n"/>
      <c r="D87" s="53" t="n"/>
      <c r="E87" s="53" t="n"/>
      <c r="F87" s="53" t="n"/>
    </row>
    <row r="88" ht="15" customHeight="1" s="58">
      <c r="A88" s="30" t="n"/>
      <c r="B88" s="46" t="n"/>
      <c r="C88" s="53" t="n"/>
      <c r="D88" s="53" t="n"/>
      <c r="E88" s="53" t="n"/>
      <c r="F88" s="53" t="n"/>
    </row>
    <row r="89" ht="15" customHeight="1" s="58">
      <c r="A89" s="30" t="n"/>
      <c r="B89" s="46" t="n"/>
      <c r="C89" s="53" t="n"/>
      <c r="D89" s="53" t="n"/>
      <c r="E89" s="53" t="n"/>
      <c r="F89" s="53" t="n"/>
    </row>
    <row r="90" ht="15" customHeight="1" s="58">
      <c r="A90" s="30" t="n"/>
      <c r="B90" s="46" t="n"/>
      <c r="C90" s="53" t="n"/>
      <c r="D90" s="53" t="n"/>
      <c r="E90" s="53" t="n"/>
      <c r="F90" s="53" t="n"/>
    </row>
    <row r="91" ht="15" customHeight="1" s="58">
      <c r="A91" s="30" t="n"/>
      <c r="B91" s="46" t="n"/>
      <c r="C91" s="53" t="n"/>
      <c r="D91" s="53" t="n"/>
      <c r="E91" s="53" t="n"/>
      <c r="F91" s="53" t="n"/>
    </row>
    <row r="92" ht="15" customHeight="1" s="58">
      <c r="A92" s="30" t="n"/>
      <c r="B92" s="46" t="n"/>
      <c r="C92" s="53" t="n"/>
      <c r="D92" s="53" t="n"/>
      <c r="E92" s="53" t="n"/>
      <c r="F92" s="53" t="n"/>
    </row>
    <row r="93" ht="15" customHeight="1" s="58">
      <c r="A93" s="30" t="n"/>
      <c r="B93" s="46" t="n"/>
      <c r="C93" s="53" t="n"/>
      <c r="D93" s="53" t="n"/>
      <c r="E93" s="53" t="n"/>
      <c r="F93" s="53" t="n"/>
    </row>
    <row r="94" ht="15" customHeight="1" s="58">
      <c r="A94" s="30" t="n"/>
      <c r="B94" s="46" t="n"/>
      <c r="C94" s="53" t="n"/>
      <c r="D94" s="53" t="n"/>
      <c r="E94" s="53" t="n"/>
      <c r="F94" s="53" t="n"/>
    </row>
    <row r="95" ht="15" customHeight="1" s="58">
      <c r="A95" s="30" t="n"/>
      <c r="B95" s="46" t="n"/>
      <c r="C95" s="53" t="n"/>
      <c r="D95" s="53" t="n"/>
      <c r="E95" s="53" t="n"/>
      <c r="F95" s="53" t="n"/>
    </row>
    <row r="96" ht="15" customHeight="1" s="58">
      <c r="A96" s="30" t="n"/>
      <c r="B96" s="46" t="n"/>
      <c r="C96" s="53" t="n"/>
      <c r="D96" s="53" t="n"/>
      <c r="E96" s="53" t="n"/>
      <c r="F96" s="53" t="n"/>
    </row>
    <row r="97" ht="15" customHeight="1" s="58">
      <c r="A97" s="30" t="n"/>
      <c r="B97" s="46" t="n"/>
      <c r="C97" s="53" t="n"/>
      <c r="D97" s="53" t="n"/>
      <c r="E97" s="53" t="n"/>
      <c r="F97" s="53" t="n"/>
    </row>
    <row r="98" ht="15" customHeight="1" s="58">
      <c r="A98" s="30" t="n"/>
      <c r="B98" s="46" t="n"/>
      <c r="C98" s="53" t="n"/>
      <c r="D98" s="53" t="n"/>
      <c r="E98" s="53" t="n"/>
      <c r="F98" s="53" t="n"/>
    </row>
    <row r="99" ht="15" customHeight="1" s="58">
      <c r="A99" s="30" t="n"/>
      <c r="B99" s="46" t="n"/>
      <c r="C99" s="53" t="n"/>
      <c r="D99" s="53" t="n"/>
      <c r="E99" s="53" t="n"/>
      <c r="F99" s="53" t="n"/>
    </row>
    <row r="100" ht="15" customHeight="1" s="58">
      <c r="A100" s="30" t="n"/>
      <c r="B100" s="46" t="n"/>
      <c r="C100" s="53" t="n"/>
      <c r="D100" s="53" t="n"/>
      <c r="E100" s="53" t="n"/>
      <c r="F100" s="53" t="n"/>
    </row>
    <row r="101" ht="15" customHeight="1" s="58">
      <c r="A101" s="30" t="n"/>
      <c r="B101" s="46" t="n"/>
      <c r="C101" s="53" t="n"/>
      <c r="D101" s="53" t="n"/>
      <c r="E101" s="53" t="n"/>
      <c r="F101" s="53" t="n"/>
    </row>
    <row r="102" ht="15" customHeight="1" s="58">
      <c r="A102" s="30" t="n"/>
      <c r="B102" s="46" t="n"/>
      <c r="C102" s="53" t="n"/>
      <c r="D102" s="53" t="n"/>
      <c r="E102" s="53" t="n"/>
      <c r="F102" s="53" t="n"/>
    </row>
    <row r="103" ht="15" customHeight="1" s="58">
      <c r="A103" s="30" t="n"/>
      <c r="B103" s="46" t="n"/>
      <c r="C103" s="53" t="n"/>
      <c r="D103" s="53" t="n"/>
      <c r="E103" s="53" t="n"/>
      <c r="F103" s="53" t="n"/>
    </row>
    <row r="104" ht="15" customHeight="1" s="58">
      <c r="A104" s="30" t="n"/>
      <c r="B104" s="46" t="n"/>
      <c r="C104" s="53" t="n"/>
      <c r="D104" s="53" t="n"/>
      <c r="E104" s="53" t="n"/>
      <c r="F104" s="53" t="n"/>
    </row>
    <row r="105" ht="15" customHeight="1" s="58">
      <c r="A105" s="30" t="n"/>
      <c r="B105" s="46" t="n"/>
      <c r="C105" s="53" t="n"/>
      <c r="D105" s="53" t="n"/>
      <c r="E105" s="53" t="n"/>
      <c r="F105" s="53" t="n"/>
    </row>
    <row r="106" ht="15" customHeight="1" s="58">
      <c r="A106" s="30" t="n"/>
      <c r="B106" s="46" t="n"/>
      <c r="C106" s="53" t="n"/>
      <c r="D106" s="53" t="n"/>
      <c r="E106" s="53" t="n"/>
      <c r="F106" s="53" t="n"/>
    </row>
    <row r="107" ht="15" customHeight="1" s="58">
      <c r="A107" s="30" t="n"/>
      <c r="B107" s="46" t="n"/>
      <c r="C107" s="53" t="n"/>
      <c r="D107" s="53" t="n"/>
      <c r="E107" s="53" t="n"/>
      <c r="F107" s="53" t="n"/>
    </row>
    <row r="108" ht="15" customHeight="1" s="58">
      <c r="A108" s="30" t="n"/>
      <c r="B108" s="46" t="n"/>
      <c r="C108" s="53" t="n"/>
      <c r="D108" s="53" t="n"/>
      <c r="E108" s="53" t="n"/>
      <c r="F108" s="53" t="n"/>
    </row>
    <row r="109" ht="15" customHeight="1" s="58">
      <c r="A109" s="30" t="n"/>
      <c r="B109" s="46" t="n"/>
      <c r="C109" s="53" t="n"/>
      <c r="D109" s="53" t="n"/>
      <c r="E109" s="53" t="n"/>
      <c r="F109" s="53" t="n"/>
    </row>
    <row r="110" ht="15" customHeight="1" s="58">
      <c r="A110" s="30" t="n"/>
      <c r="B110" s="46" t="n"/>
      <c r="C110" s="53" t="n"/>
      <c r="D110" s="53" t="n"/>
      <c r="E110" s="53" t="n"/>
      <c r="F110" s="53" t="n"/>
    </row>
    <row r="111" ht="15" customHeight="1" s="58">
      <c r="A111" s="30" t="n"/>
      <c r="B111" s="46" t="n"/>
      <c r="C111" s="53" t="n"/>
      <c r="D111" s="53" t="n"/>
      <c r="E111" s="53" t="n"/>
      <c r="F111" s="53" t="n"/>
    </row>
    <row r="112" ht="15" customHeight="1" s="58">
      <c r="A112" s="30" t="n"/>
      <c r="B112" s="46" t="n"/>
      <c r="C112" s="53" t="n"/>
      <c r="D112" s="53" t="n"/>
      <c r="E112" s="53" t="n"/>
      <c r="F112" s="53" t="n"/>
    </row>
    <row r="113" ht="15" customHeight="1" s="58">
      <c r="A113" s="30" t="n"/>
      <c r="B113" s="46" t="n"/>
      <c r="C113" s="53" t="n"/>
      <c r="D113" s="53" t="n"/>
      <c r="E113" s="53" t="n"/>
      <c r="F113" s="53" t="n"/>
    </row>
    <row r="114" ht="15" customHeight="1" s="58">
      <c r="A114" s="30" t="n"/>
      <c r="B114" s="46" t="n"/>
      <c r="C114" s="53" t="n"/>
      <c r="D114" s="53" t="n"/>
      <c r="E114" s="53" t="n"/>
      <c r="F114" s="53" t="n"/>
    </row>
    <row r="115" ht="15" customHeight="1" s="58">
      <c r="A115" s="30" t="n"/>
      <c r="B115" s="46" t="n"/>
      <c r="C115" s="53" t="n"/>
      <c r="D115" s="53" t="n"/>
      <c r="E115" s="53" t="n"/>
      <c r="F115" s="53" t="n"/>
    </row>
    <row r="116" ht="15" customHeight="1" s="58">
      <c r="A116" s="30" t="n"/>
      <c r="B116" s="46" t="n"/>
      <c r="C116" s="53" t="n"/>
      <c r="D116" s="53" t="n"/>
      <c r="E116" s="53" t="n"/>
      <c r="F116" s="53" t="n"/>
    </row>
    <row r="117" ht="15" customHeight="1" s="58">
      <c r="A117" s="30" t="n"/>
      <c r="B117" s="46" t="n"/>
      <c r="C117" s="53" t="n"/>
      <c r="D117" s="53" t="n"/>
      <c r="E117" s="53" t="n"/>
      <c r="F117" s="53" t="n"/>
    </row>
    <row r="118" ht="15" customHeight="1" s="58">
      <c r="A118" s="30" t="n"/>
      <c r="B118" s="46" t="n"/>
      <c r="C118" s="53" t="n"/>
      <c r="D118" s="53" t="n"/>
      <c r="E118" s="53" t="n"/>
      <c r="F118" s="53" t="n"/>
    </row>
    <row r="119" ht="15" customHeight="1" s="58">
      <c r="A119" s="30" t="n"/>
      <c r="B119" s="46" t="n"/>
      <c r="C119" s="53" t="n"/>
      <c r="D119" s="53" t="n"/>
      <c r="E119" s="53" t="n"/>
      <c r="F119" s="53" t="n"/>
    </row>
    <row r="120" ht="15" customHeight="1" s="58">
      <c r="A120" s="30" t="n"/>
      <c r="B120" s="46" t="n"/>
      <c r="C120" s="53" t="n"/>
      <c r="D120" s="53" t="n"/>
      <c r="E120" s="53" t="n"/>
      <c r="F120" s="53" t="n"/>
    </row>
    <row r="121" ht="15" customHeight="1" s="58">
      <c r="A121" s="30" t="n"/>
      <c r="B121" s="46" t="n"/>
      <c r="C121" s="53" t="n"/>
      <c r="D121" s="53" t="n"/>
      <c r="E121" s="53" t="n"/>
      <c r="F121" s="53" t="n"/>
    </row>
    <row r="122" ht="15" customHeight="1" s="58">
      <c r="A122" s="30" t="n"/>
      <c r="B122" s="46" t="n"/>
      <c r="C122" s="53" t="n"/>
      <c r="D122" s="53" t="n"/>
      <c r="E122" s="53" t="n"/>
      <c r="F122" s="53" t="n"/>
    </row>
    <row r="123" ht="15" customHeight="1" s="58">
      <c r="A123" s="30" t="n"/>
      <c r="B123" s="46" t="n"/>
      <c r="C123" s="53" t="n"/>
      <c r="D123" s="53" t="n"/>
      <c r="E123" s="53" t="n"/>
      <c r="F123" s="53" t="n"/>
    </row>
    <row r="124" ht="15" customHeight="1" s="58">
      <c r="A124" s="30" t="n"/>
      <c r="B124" s="46" t="n"/>
      <c r="C124" s="53" t="n"/>
      <c r="D124" s="53" t="n"/>
      <c r="E124" s="53" t="n"/>
      <c r="F124" s="53" t="n"/>
    </row>
    <row r="125" ht="15" customHeight="1" s="58">
      <c r="A125" s="30" t="n"/>
      <c r="B125" s="46" t="n"/>
      <c r="C125" s="53" t="n"/>
      <c r="D125" s="53" t="n"/>
      <c r="E125" s="53" t="n"/>
      <c r="F125" s="53" t="n"/>
    </row>
    <row r="126" ht="15" customHeight="1" s="58">
      <c r="A126" s="30" t="n"/>
      <c r="B126" s="46" t="n"/>
      <c r="C126" s="53" t="n"/>
      <c r="D126" s="53" t="n"/>
      <c r="E126" s="53" t="n"/>
      <c r="F126" s="53" t="n"/>
    </row>
    <row r="127" ht="15" customHeight="1" s="58">
      <c r="A127" s="30" t="n"/>
      <c r="B127" s="46" t="n"/>
      <c r="C127" s="53" t="n"/>
      <c r="D127" s="53" t="n"/>
      <c r="E127" s="53" t="n"/>
      <c r="F127" s="53" t="n"/>
    </row>
    <row r="128" ht="15" customHeight="1" s="58">
      <c r="A128" s="30" t="n"/>
      <c r="B128" s="46" t="n"/>
      <c r="C128" s="53" t="n"/>
      <c r="D128" s="53" t="n"/>
      <c r="E128" s="53" t="n"/>
      <c r="F128" s="53" t="n"/>
    </row>
    <row r="129" ht="15" customHeight="1" s="58">
      <c r="A129" s="30" t="n"/>
      <c r="B129" s="46" t="n"/>
      <c r="C129" s="53" t="n"/>
      <c r="D129" s="53" t="n"/>
      <c r="E129" s="53" t="n"/>
      <c r="F129" s="53" t="n"/>
    </row>
    <row r="130" ht="15" customHeight="1" s="58">
      <c r="A130" s="30" t="n"/>
      <c r="B130" s="46" t="n"/>
      <c r="C130" s="53" t="n"/>
      <c r="D130" s="53" t="n"/>
      <c r="E130" s="53" t="n"/>
      <c r="F130" s="53" t="n"/>
    </row>
    <row r="131" ht="15" customHeight="1" s="58">
      <c r="A131" s="30" t="n"/>
      <c r="B131" s="46" t="n"/>
      <c r="C131" s="53" t="n"/>
      <c r="D131" s="53" t="n"/>
      <c r="E131" s="53" t="n"/>
      <c r="F131" s="53" t="n"/>
    </row>
    <row r="132" ht="15" customHeight="1" s="58">
      <c r="A132" s="30" t="n"/>
      <c r="B132" s="46" t="n"/>
      <c r="C132" s="53" t="n"/>
      <c r="D132" s="53" t="n"/>
      <c r="E132" s="53" t="n"/>
      <c r="F132" s="53" t="n"/>
    </row>
    <row r="133" ht="15" customHeight="1" s="58">
      <c r="A133" s="30" t="n"/>
      <c r="B133" s="46" t="n"/>
      <c r="C133" s="53" t="n"/>
      <c r="D133" s="53" t="n"/>
      <c r="E133" s="53" t="n"/>
      <c r="F133" s="53" t="n"/>
    </row>
    <row r="134" ht="15" customHeight="1" s="58">
      <c r="A134" s="30" t="n"/>
      <c r="B134" s="46" t="n"/>
      <c r="C134" s="53" t="n"/>
      <c r="D134" s="53" t="n"/>
      <c r="E134" s="53" t="n"/>
      <c r="F134" s="53" t="n"/>
    </row>
    <row r="135" ht="15" customHeight="1" s="58">
      <c r="A135" s="30" t="n"/>
      <c r="B135" s="46" t="n"/>
      <c r="C135" s="53" t="n"/>
      <c r="D135" s="53" t="n"/>
      <c r="E135" s="53" t="n"/>
      <c r="F135" s="53" t="n"/>
    </row>
    <row r="136" ht="15" customHeight="1" s="58">
      <c r="A136" s="30" t="n"/>
      <c r="B136" s="46" t="n"/>
      <c r="C136" s="53" t="n"/>
      <c r="D136" s="53" t="n"/>
      <c r="E136" s="53" t="n"/>
      <c r="F136" s="53" t="n"/>
    </row>
    <row r="137" ht="15" customHeight="1" s="58">
      <c r="A137" s="30" t="n"/>
      <c r="B137" s="46" t="n"/>
      <c r="C137" s="53" t="n"/>
      <c r="D137" s="53" t="n"/>
      <c r="E137" s="53" t="n"/>
      <c r="F137" s="53" t="n"/>
    </row>
    <row r="138" ht="15" customHeight="1" s="58">
      <c r="A138" s="30" t="n"/>
      <c r="B138" s="46" t="n"/>
      <c r="C138" s="53" t="n"/>
      <c r="D138" s="53" t="n"/>
      <c r="E138" s="53" t="n"/>
      <c r="F138" s="53" t="n"/>
    </row>
    <row r="139" ht="15" customHeight="1" s="58">
      <c r="A139" s="30" t="n"/>
      <c r="B139" s="46" t="n"/>
      <c r="C139" s="53" t="n"/>
      <c r="D139" s="53" t="n"/>
      <c r="E139" s="53" t="n"/>
      <c r="F139" s="53" t="n"/>
    </row>
    <row r="140" ht="15" customHeight="1" s="58">
      <c r="A140" s="30" t="n"/>
      <c r="B140" s="46" t="n"/>
      <c r="C140" s="53" t="n"/>
      <c r="D140" s="53" t="n"/>
      <c r="E140" s="53" t="n"/>
      <c r="F140" s="53" t="n"/>
    </row>
    <row r="141" ht="15" customHeight="1" s="58">
      <c r="A141" s="30" t="n"/>
      <c r="B141" s="46" t="n"/>
      <c r="C141" s="53" t="n"/>
      <c r="D141" s="53" t="n"/>
      <c r="E141" s="53" t="n"/>
      <c r="F141" s="53" t="n"/>
    </row>
    <row r="142" ht="15" customHeight="1" s="58">
      <c r="A142" s="30" t="n"/>
      <c r="B142" s="46" t="n"/>
      <c r="C142" s="53" t="n"/>
      <c r="D142" s="53" t="n"/>
      <c r="E142" s="53" t="n"/>
      <c r="F142" s="53" t="n"/>
    </row>
    <row r="143" ht="15" customHeight="1" s="58">
      <c r="A143" s="30" t="n"/>
      <c r="B143" s="46" t="n"/>
      <c r="C143" s="53" t="n"/>
      <c r="D143" s="53" t="n"/>
      <c r="E143" s="53" t="n"/>
      <c r="F143" s="53" t="n"/>
    </row>
    <row r="144" ht="15" customHeight="1" s="58">
      <c r="A144" s="30" t="n"/>
      <c r="B144" s="46" t="n"/>
      <c r="C144" s="53" t="n"/>
      <c r="D144" s="53" t="n"/>
      <c r="E144" s="53" t="n"/>
      <c r="F144" s="53" t="n"/>
    </row>
    <row r="145" ht="15" customHeight="1" s="58">
      <c r="A145" s="30" t="n"/>
      <c r="B145" s="46" t="n"/>
      <c r="C145" s="53" t="n"/>
      <c r="D145" s="53" t="n"/>
      <c r="E145" s="53" t="n"/>
      <c r="F145" s="53" t="n"/>
    </row>
    <row r="146" ht="15" customHeight="1" s="58">
      <c r="A146" s="30" t="n"/>
      <c r="B146" s="46" t="n"/>
      <c r="C146" s="53" t="n"/>
      <c r="D146" s="53" t="n"/>
      <c r="E146" s="53" t="n"/>
      <c r="F146" s="53" t="n"/>
    </row>
    <row r="147" ht="15" customHeight="1" s="58">
      <c r="A147" s="30" t="n"/>
      <c r="B147" s="46" t="n"/>
      <c r="C147" s="53" t="n"/>
      <c r="D147" s="53" t="n"/>
      <c r="E147" s="53" t="n"/>
      <c r="F147" s="53" t="n"/>
    </row>
    <row r="148" ht="15" customHeight="1" s="58">
      <c r="A148" s="30" t="n"/>
      <c r="B148" s="46" t="n"/>
      <c r="C148" s="53" t="n"/>
      <c r="D148" s="53" t="n"/>
      <c r="E148" s="53" t="n"/>
      <c r="F148" s="53" t="n"/>
    </row>
    <row r="149" ht="15" customHeight="1" s="58">
      <c r="A149" s="30" t="n"/>
      <c r="B149" s="46" t="n"/>
      <c r="C149" s="53" t="n"/>
      <c r="D149" s="53" t="n"/>
      <c r="E149" s="53" t="n"/>
      <c r="F149" s="53" t="n"/>
    </row>
    <row r="150" ht="15" customHeight="1" s="58">
      <c r="A150" s="30" t="n"/>
      <c r="B150" s="46" t="n"/>
      <c r="C150" s="53" t="n"/>
      <c r="D150" s="53" t="n"/>
      <c r="E150" s="53" t="n"/>
      <c r="F150" s="53" t="n"/>
    </row>
    <row r="151" ht="15" customHeight="1" s="58">
      <c r="A151" s="30" t="n"/>
      <c r="B151" s="46" t="n"/>
      <c r="C151" s="53" t="n"/>
      <c r="D151" s="53" t="n"/>
      <c r="E151" s="53" t="n"/>
      <c r="F151" s="53" t="n"/>
    </row>
    <row r="152" ht="15" customHeight="1" s="58">
      <c r="A152" s="30" t="n"/>
      <c r="B152" s="46" t="n"/>
      <c r="C152" s="53" t="n"/>
      <c r="D152" s="53" t="n"/>
      <c r="E152" s="53" t="n"/>
      <c r="F152" s="53" t="n"/>
    </row>
    <row r="153" ht="15" customHeight="1" s="58">
      <c r="A153" s="30" t="n"/>
      <c r="B153" s="46" t="n"/>
      <c r="C153" s="53" t="n"/>
      <c r="D153" s="53" t="n"/>
      <c r="E153" s="53" t="n"/>
      <c r="F153" s="53" t="n"/>
    </row>
    <row r="154" ht="15" customHeight="1" s="58">
      <c r="A154" s="30" t="n"/>
      <c r="B154" s="46" t="n"/>
      <c r="C154" s="53" t="n"/>
      <c r="D154" s="53" t="n"/>
      <c r="E154" s="53" t="n"/>
      <c r="F154" s="53" t="n"/>
    </row>
    <row r="155" ht="15" customHeight="1" s="58">
      <c r="A155" s="30" t="n"/>
      <c r="B155" s="46" t="n"/>
      <c r="C155" s="53" t="n"/>
      <c r="D155" s="53" t="n"/>
      <c r="E155" s="53" t="n"/>
      <c r="F155" s="53" t="n"/>
    </row>
    <row r="156" ht="15" customHeight="1" s="58">
      <c r="A156" s="30" t="n"/>
      <c r="B156" s="46" t="n"/>
      <c r="C156" s="53" t="n"/>
      <c r="D156" s="53" t="n"/>
      <c r="E156" s="53" t="n"/>
      <c r="F156" s="53" t="n"/>
    </row>
    <row r="157" ht="15" customHeight="1" s="58">
      <c r="A157" s="30" t="n"/>
      <c r="B157" s="46" t="n"/>
      <c r="C157" s="53" t="n"/>
      <c r="D157" s="53" t="n"/>
      <c r="E157" s="53" t="n"/>
      <c r="F157" s="53" t="n"/>
    </row>
    <row r="158" ht="15" customHeight="1" s="58">
      <c r="A158" s="30" t="n"/>
      <c r="B158" s="46" t="n"/>
      <c r="C158" s="53" t="n"/>
      <c r="D158" s="53" t="n"/>
      <c r="E158" s="53" t="n"/>
      <c r="F158" s="53" t="n"/>
    </row>
    <row r="159" ht="15" customHeight="1" s="58">
      <c r="A159" s="30" t="n"/>
      <c r="B159" s="46" t="n"/>
      <c r="C159" s="53" t="n"/>
      <c r="D159" s="53" t="n"/>
      <c r="E159" s="53" t="n"/>
      <c r="F159" s="53" t="n"/>
    </row>
    <row r="160" ht="15" customHeight="1" s="58">
      <c r="A160" s="30" t="n"/>
      <c r="B160" s="46" t="n"/>
      <c r="C160" s="53" t="n"/>
      <c r="D160" s="53" t="n"/>
      <c r="E160" s="53" t="n"/>
      <c r="F160" s="53" t="n"/>
    </row>
    <row r="161" ht="15" customHeight="1" s="58">
      <c r="A161" s="30" t="n"/>
      <c r="B161" s="46" t="n"/>
      <c r="C161" s="53" t="n"/>
      <c r="D161" s="53" t="n"/>
      <c r="E161" s="53" t="n"/>
      <c r="F161" s="53" t="n"/>
    </row>
    <row r="162" ht="15" customHeight="1" s="58">
      <c r="A162" s="30" t="n"/>
      <c r="B162" s="46" t="n"/>
      <c r="C162" s="53" t="n"/>
      <c r="D162" s="53" t="n"/>
      <c r="E162" s="53" t="n"/>
      <c r="F162" s="53" t="n"/>
    </row>
    <row r="163" ht="15" customHeight="1" s="58">
      <c r="A163" s="30" t="n"/>
      <c r="B163" s="46" t="n"/>
      <c r="C163" s="53" t="n"/>
      <c r="D163" s="53" t="n"/>
      <c r="E163" s="53" t="n"/>
      <c r="F163" s="53" t="n"/>
    </row>
    <row r="164" ht="15" customHeight="1" s="58">
      <c r="A164" s="30" t="n"/>
      <c r="B164" s="46" t="n"/>
      <c r="C164" s="53" t="n"/>
      <c r="D164" s="53" t="n"/>
      <c r="E164" s="53" t="n"/>
      <c r="F164" s="53" t="n"/>
    </row>
    <row r="165" ht="15" customHeight="1" s="58">
      <c r="A165" s="30" t="n"/>
      <c r="B165" s="46" t="n"/>
      <c r="C165" s="53" t="n"/>
      <c r="D165" s="53" t="n"/>
      <c r="E165" s="53" t="n"/>
      <c r="F165" s="53" t="n"/>
    </row>
    <row r="166" ht="15" customHeight="1" s="58">
      <c r="A166" s="30" t="n"/>
      <c r="B166" s="46" t="n"/>
      <c r="C166" s="53" t="n"/>
      <c r="D166" s="53" t="n"/>
      <c r="E166" s="53" t="n"/>
      <c r="F166" s="53" t="n"/>
    </row>
    <row r="167" ht="15" customHeight="1" s="58">
      <c r="A167" s="30" t="n"/>
      <c r="B167" s="46" t="n"/>
      <c r="C167" s="53" t="n"/>
      <c r="D167" s="53" t="n"/>
      <c r="E167" s="53" t="n"/>
      <c r="F167" s="53" t="n"/>
    </row>
    <row r="168" ht="15" customHeight="1" s="58">
      <c r="A168" s="30" t="n"/>
      <c r="B168" s="46" t="n"/>
      <c r="C168" s="53" t="n"/>
      <c r="D168" s="53" t="n"/>
      <c r="E168" s="53" t="n"/>
      <c r="F168" s="53" t="n"/>
    </row>
    <row r="169" ht="15" customHeight="1" s="58">
      <c r="A169" s="30" t="n"/>
      <c r="B169" s="46" t="n"/>
      <c r="C169" s="53" t="n"/>
      <c r="D169" s="53" t="n"/>
      <c r="E169" s="53" t="n"/>
      <c r="F169" s="53" t="n"/>
    </row>
    <row r="170" ht="15" customHeight="1" s="58">
      <c r="A170" s="30" t="n"/>
      <c r="B170" s="46" t="n"/>
      <c r="C170" s="53" t="n"/>
      <c r="D170" s="53" t="n"/>
      <c r="E170" s="53" t="n"/>
      <c r="F170" s="53" t="n"/>
    </row>
    <row r="171" ht="15" customHeight="1" s="58">
      <c r="A171" s="30" t="n"/>
      <c r="B171" s="46" t="n"/>
      <c r="C171" s="53" t="n"/>
      <c r="D171" s="53" t="n"/>
      <c r="E171" s="53" t="n"/>
      <c r="F171" s="53" t="n"/>
    </row>
    <row r="172" ht="15" customHeight="1" s="58">
      <c r="A172" s="30" t="n"/>
      <c r="B172" s="46" t="n"/>
      <c r="C172" s="53" t="n"/>
      <c r="D172" s="53" t="n"/>
      <c r="E172" s="53" t="n"/>
      <c r="F172" s="53" t="n"/>
    </row>
    <row r="173" ht="15" customHeight="1" s="58">
      <c r="A173" s="30" t="n"/>
      <c r="B173" s="46" t="n"/>
      <c r="C173" s="53" t="n"/>
      <c r="D173" s="53" t="n"/>
      <c r="E173" s="53" t="n"/>
      <c r="F173" s="53" t="n"/>
    </row>
    <row r="174" ht="15" customHeight="1" s="58">
      <c r="A174" s="30" t="n"/>
      <c r="B174" s="46" t="n"/>
      <c r="C174" s="53" t="n"/>
      <c r="D174" s="53" t="n"/>
      <c r="E174" s="53" t="n"/>
      <c r="F174" s="53" t="n"/>
    </row>
    <row r="175" ht="15" customHeight="1" s="58">
      <c r="A175" s="30" t="n"/>
      <c r="B175" s="46" t="n"/>
      <c r="C175" s="53" t="n"/>
      <c r="D175" s="53" t="n"/>
      <c r="E175" s="53" t="n"/>
      <c r="F175" s="53" t="n"/>
    </row>
    <row r="176" ht="15" customHeight="1" s="58">
      <c r="A176" s="30" t="n"/>
      <c r="B176" s="46" t="n"/>
      <c r="C176" s="53" t="n"/>
      <c r="D176" s="53" t="n"/>
      <c r="E176" s="53" t="n"/>
      <c r="F176" s="53" t="n"/>
    </row>
    <row r="177" ht="15" customHeight="1" s="58">
      <c r="A177" s="30" t="n"/>
      <c r="B177" s="46" t="n"/>
      <c r="C177" s="53" t="n"/>
      <c r="D177" s="53" t="n"/>
      <c r="E177" s="53" t="n"/>
      <c r="F177" s="53" t="n"/>
    </row>
    <row r="178" ht="15" customHeight="1" s="58">
      <c r="A178" s="30" t="n"/>
      <c r="B178" s="46" t="n"/>
      <c r="C178" s="53" t="n"/>
      <c r="D178" s="53" t="n"/>
      <c r="E178" s="53" t="n"/>
      <c r="F178" s="53" t="n"/>
    </row>
    <row r="179" ht="15" customHeight="1" s="58">
      <c r="A179" s="30" t="n"/>
      <c r="B179" s="46" t="n"/>
      <c r="C179" s="53" t="n"/>
      <c r="D179" s="53" t="n"/>
      <c r="E179" s="53" t="n"/>
      <c r="F179" s="53" t="n"/>
    </row>
    <row r="180" ht="15" customHeight="1" s="58">
      <c r="A180" s="30" t="n"/>
      <c r="B180" s="46" t="n"/>
      <c r="C180" s="53" t="n"/>
      <c r="D180" s="53" t="n"/>
      <c r="E180" s="53" t="n"/>
      <c r="F180" s="53" t="n"/>
    </row>
    <row r="181" ht="15" customHeight="1" s="58">
      <c r="A181" s="30" t="n"/>
      <c r="B181" s="46" t="n"/>
      <c r="C181" s="53" t="n"/>
      <c r="D181" s="53" t="n"/>
      <c r="E181" s="53" t="n"/>
      <c r="F181" s="53" t="n"/>
    </row>
    <row r="182" ht="15" customHeight="1" s="58">
      <c r="A182" s="30" t="n"/>
      <c r="B182" s="46" t="n"/>
      <c r="C182" s="53" t="n"/>
      <c r="D182" s="53" t="n"/>
      <c r="E182" s="53" t="n"/>
      <c r="F182" s="53" t="n"/>
    </row>
    <row r="183" ht="15" customHeight="1" s="58">
      <c r="A183" s="30" t="n"/>
      <c r="B183" s="46" t="n"/>
      <c r="C183" s="53" t="n"/>
      <c r="D183" s="53" t="n"/>
      <c r="E183" s="53" t="n"/>
      <c r="F183" s="53" t="n"/>
    </row>
    <row r="184" ht="15" customHeight="1" s="58">
      <c r="A184" s="30" t="n"/>
      <c r="B184" s="46" t="n"/>
      <c r="C184" s="53" t="n"/>
      <c r="D184" s="53" t="n"/>
      <c r="E184" s="53" t="n"/>
      <c r="F184" s="53" t="n"/>
    </row>
    <row r="185" ht="15" customHeight="1" s="58">
      <c r="A185" s="30" t="n"/>
      <c r="B185" s="46" t="n"/>
      <c r="C185" s="53" t="n"/>
      <c r="D185" s="53" t="n"/>
      <c r="E185" s="53" t="n"/>
      <c r="F185" s="53" t="n"/>
    </row>
    <row r="186" ht="15" customHeight="1" s="58">
      <c r="A186" s="30" t="n"/>
      <c r="B186" s="46" t="n"/>
      <c r="C186" s="53" t="n"/>
      <c r="D186" s="53" t="n"/>
      <c r="E186" s="53" t="n"/>
      <c r="F186" s="53" t="n"/>
    </row>
    <row r="187" ht="15" customHeight="1" s="58">
      <c r="A187" s="30" t="n"/>
      <c r="B187" s="46" t="n"/>
      <c r="C187" s="53" t="n"/>
      <c r="D187" s="53" t="n"/>
      <c r="E187" s="53" t="n"/>
      <c r="F187" s="53" t="n"/>
    </row>
    <row r="188" ht="15" customHeight="1" s="58">
      <c r="A188" s="30" t="n"/>
      <c r="B188" s="46" t="n"/>
      <c r="C188" s="53" t="n"/>
      <c r="D188" s="53" t="n"/>
      <c r="E188" s="53" t="n"/>
      <c r="F188" s="53" t="n"/>
    </row>
    <row r="189" ht="15" customHeight="1" s="58">
      <c r="A189" s="30" t="n"/>
      <c r="B189" s="46" t="n"/>
      <c r="C189" s="53" t="n"/>
      <c r="D189" s="53" t="n"/>
      <c r="E189" s="53" t="n"/>
      <c r="F189" s="53" t="n"/>
    </row>
    <row r="190" ht="15" customHeight="1" s="58">
      <c r="A190" s="30" t="n"/>
      <c r="B190" s="46" t="n"/>
      <c r="C190" s="53" t="n"/>
      <c r="D190" s="53" t="n"/>
      <c r="E190" s="53" t="n"/>
      <c r="F190" s="53" t="n"/>
    </row>
    <row r="191" ht="15" customHeight="1" s="58">
      <c r="A191" s="30" t="n"/>
      <c r="B191" s="46" t="n"/>
      <c r="C191" s="53" t="n"/>
      <c r="D191" s="53" t="n"/>
      <c r="E191" s="53" t="n"/>
      <c r="F191" s="53" t="n"/>
    </row>
    <row r="192" ht="15" customHeight="1" s="58">
      <c r="A192" s="30" t="n"/>
      <c r="B192" s="46" t="n"/>
      <c r="C192" s="53" t="n"/>
      <c r="D192" s="53" t="n"/>
      <c r="E192" s="53" t="n"/>
      <c r="F192" s="53" t="n"/>
    </row>
    <row r="193" ht="15" customHeight="1" s="58">
      <c r="A193" s="30" t="n"/>
      <c r="B193" s="46" t="n"/>
      <c r="C193" s="53" t="n"/>
      <c r="D193" s="53" t="n"/>
      <c r="E193" s="53" t="n"/>
      <c r="F193" s="53" t="n"/>
    </row>
    <row r="194" ht="15" customHeight="1" s="58">
      <c r="A194" s="30" t="n"/>
      <c r="B194" s="46" t="n"/>
      <c r="C194" s="53" t="n"/>
      <c r="D194" s="53" t="n"/>
      <c r="E194" s="53" t="n"/>
      <c r="F194" s="53" t="n"/>
    </row>
    <row r="195" ht="15" customHeight="1" s="58">
      <c r="A195" s="30" t="n"/>
      <c r="B195" s="46" t="n"/>
      <c r="C195" s="53" t="n"/>
      <c r="D195" s="53" t="n"/>
      <c r="E195" s="53" t="n"/>
      <c r="F195" s="53" t="n"/>
    </row>
    <row r="196" ht="15" customHeight="1" s="58">
      <c r="A196" s="30" t="n"/>
      <c r="B196" s="46" t="n"/>
      <c r="C196" s="53" t="n"/>
      <c r="D196" s="53" t="n"/>
      <c r="E196" s="53" t="n"/>
      <c r="F196" s="53" t="n"/>
    </row>
    <row r="197" ht="15" customHeight="1" s="58">
      <c r="A197" s="30" t="n"/>
      <c r="B197" s="46" t="n"/>
      <c r="C197" s="53" t="n"/>
      <c r="D197" s="53" t="n"/>
      <c r="E197" s="53" t="n"/>
      <c r="F197" s="53" t="n"/>
    </row>
    <row r="198" ht="15" customHeight="1" s="58">
      <c r="A198" s="30" t="n"/>
      <c r="B198" s="46" t="n"/>
      <c r="C198" s="53" t="n"/>
      <c r="D198" s="53" t="n"/>
      <c r="E198" s="53" t="n"/>
      <c r="F198" s="53" t="n"/>
    </row>
    <row r="199" ht="15" customHeight="1" s="58">
      <c r="A199" s="30" t="n"/>
      <c r="B199" s="46" t="n"/>
      <c r="C199" s="53" t="n"/>
      <c r="D199" s="53" t="n"/>
      <c r="E199" s="53" t="n"/>
      <c r="F199" s="53" t="n"/>
    </row>
    <row r="200" ht="15" customHeight="1" s="58">
      <c r="A200" s="30" t="n"/>
      <c r="B200" s="46" t="n"/>
      <c r="C200" s="53" t="n"/>
      <c r="D200" s="53" t="n"/>
      <c r="E200" s="53" t="n"/>
      <c r="F200" s="53" t="n"/>
    </row>
    <row r="201" ht="15" customHeight="1" s="58">
      <c r="A201" s="30" t="n"/>
      <c r="B201" s="46" t="n"/>
      <c r="C201" s="53" t="n"/>
      <c r="D201" s="53" t="n"/>
      <c r="E201" s="53" t="n"/>
      <c r="F201" s="53" t="n"/>
    </row>
  </sheetData>
  <dataValidations count="1">
    <dataValidation sqref="C2:F201" showDropDown="0" showInputMessage="1" showErrorMessage="0" allowBlank="1" promptTitle="Excepcion de horario" prompt="Fecha con horario especial. Deja &quot;No. EMP&quot; vacio si aplica a todo el equipo ese dia, o pon el numero de empleado si solo aplica a una persona. VERDE es solo informativo (hora base)." type="custom">
      <formula1>AND(GTE(C2,MIN((TIME(0,0,0)),(TIME(23,59,59)))),LTE(C2,MAX((TIME(0,0,0)),(TIME(23,59,59)))))</formula1>
    </dataValidation>
  </dataValidations>
</worksheet>
</file>

<file path=xl/worksheets/sheet8.xml><?xml version="1.0" encoding="utf-8"?>
<worksheet xmlns="http://schemas.openxmlformats.org/spreadsheetml/2006/main">
  <sheetPr>
    <tabColor rgb="FFD9EAF7"/>
    <outlinePr summaryBelow="1" summaryRight="1"/>
    <pageSetUpPr fitToPage="1"/>
  </sheetPr>
  <dimension ref="A1:L201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ColWidth="14.43" defaultRowHeight="15" customHeight="1"/>
  <cols>
    <col width="11" customWidth="1" style="58" min="1" max="1"/>
    <col width="28" customWidth="1" style="58" min="2" max="2"/>
    <col width="14" customWidth="1" style="58" min="3" max="4"/>
    <col width="12" customWidth="1" style="58" min="5" max="12"/>
  </cols>
  <sheetData>
    <row r="1" ht="15" customHeight="1" s="58">
      <c r="A1" s="41" t="inlineStr">
        <is>
          <t>No. EMP</t>
        </is>
      </c>
      <c r="B1" s="41" t="inlineStr">
        <is>
          <t>NOMBRE</t>
        </is>
      </c>
      <c r="C1" s="41" t="inlineStr">
        <is>
          <t>VIGENTE DESDE</t>
        </is>
      </c>
      <c r="D1" s="41" t="inlineStr">
        <is>
          <t>VIGENTE HASTA</t>
        </is>
      </c>
      <c r="E1" s="42" t="inlineStr">
        <is>
          <t>VERDE L-V</t>
        </is>
      </c>
      <c r="F1" s="43" t="inlineStr">
        <is>
          <t>AMARILLO L-V</t>
        </is>
      </c>
      <c r="G1" s="44" t="inlineStr">
        <is>
          <t>ROJO L-V</t>
        </is>
      </c>
      <c r="H1" s="45" t="inlineStr">
        <is>
          <t>ROJO FUERTE L-V</t>
        </is>
      </c>
      <c r="I1" s="42" t="inlineStr">
        <is>
          <t>VERDE S-D</t>
        </is>
      </c>
      <c r="J1" s="43" t="inlineStr">
        <is>
          <t>AMARILLO S-D</t>
        </is>
      </c>
      <c r="K1" s="44" t="inlineStr">
        <is>
          <t>ROJO S-D</t>
        </is>
      </c>
      <c r="L1" s="45" t="inlineStr">
        <is>
          <t>ROJO FUERTE S-D</t>
        </is>
      </c>
    </row>
    <row r="2" ht="15" customHeight="1" s="58">
      <c r="A2" s="46" t="n"/>
      <c r="B2" s="17">
        <f>IF($A2="","",IFERROR(INDEX(PERSONAL!$B$2:$B$80,MATCH($A2,PERSONAL!$A$2:$A$80,0)),"NO EXISTE"))</f>
        <v/>
      </c>
      <c r="C2" s="30" t="n"/>
      <c r="D2" s="30" t="n"/>
      <c r="E2" s="53" t="n"/>
      <c r="F2" s="53" t="n"/>
      <c r="G2" s="53" t="n"/>
      <c r="H2" s="53" t="n"/>
      <c r="I2" s="53" t="n"/>
      <c r="J2" s="53" t="n"/>
      <c r="K2" s="53" t="n"/>
      <c r="L2" s="53" t="n"/>
    </row>
    <row r="3" ht="15" customHeight="1" s="58">
      <c r="A3" s="46" t="n"/>
      <c r="B3" s="17">
        <f>IF($A3="","",IFERROR(INDEX(PERSONAL!$B$2:$B$80,MATCH($A3,PERSONAL!$A$2:$A$80,0)),"NO EXISTE"))</f>
        <v/>
      </c>
      <c r="C3" s="30" t="n"/>
      <c r="D3" s="30" t="n"/>
      <c r="E3" s="53" t="n"/>
      <c r="F3" s="53" t="n"/>
      <c r="G3" s="53" t="n"/>
      <c r="H3" s="53" t="n"/>
      <c r="I3" s="53" t="n"/>
      <c r="J3" s="53" t="n"/>
      <c r="K3" s="53" t="n"/>
      <c r="L3" s="53" t="n"/>
    </row>
    <row r="4" ht="15" customHeight="1" s="58">
      <c r="A4" s="46" t="n"/>
      <c r="B4" s="17">
        <f>IF($A4="","",IFERROR(INDEX(PERSONAL!$B$2:$B$80,MATCH($A4,PERSONAL!$A$2:$A$80,0)),"NO EXISTE"))</f>
        <v/>
      </c>
      <c r="C4" s="30" t="n"/>
      <c r="D4" s="30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 ht="15" customHeight="1" s="58">
      <c r="A5" s="46" t="n"/>
      <c r="B5" s="17">
        <f>IF($A5="","",IFERROR(INDEX(PERSONAL!$B$2:$B$80,MATCH($A5,PERSONAL!$A$2:$A$80,0)),"NO EXISTE"))</f>
        <v/>
      </c>
      <c r="C5" s="30" t="n"/>
      <c r="D5" s="30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15" customHeight="1" s="58">
      <c r="A6" s="46" t="n"/>
      <c r="B6" s="17">
        <f>IF($A6="","",IFERROR(INDEX(PERSONAL!$B$2:$B$80,MATCH($A6,PERSONAL!$A$2:$A$80,0)),"NO EXISTE"))</f>
        <v/>
      </c>
      <c r="C6" s="30" t="n"/>
      <c r="D6" s="30" t="n"/>
      <c r="E6" s="53" t="n"/>
      <c r="F6" s="53" t="n"/>
      <c r="G6" s="53" t="n"/>
      <c r="H6" s="53" t="n"/>
      <c r="I6" s="53" t="n"/>
      <c r="J6" s="53" t="n"/>
      <c r="K6" s="53" t="n"/>
      <c r="L6" s="53" t="n"/>
    </row>
    <row r="7" ht="15" customHeight="1" s="58">
      <c r="A7" s="46" t="n"/>
      <c r="B7" s="17">
        <f>IF($A7="","",IFERROR(INDEX(PERSONAL!$B$2:$B$80,MATCH($A7,PERSONAL!$A$2:$A$80,0)),"NO EXISTE"))</f>
        <v/>
      </c>
      <c r="C7" s="30" t="n"/>
      <c r="D7" s="30" t="n"/>
      <c r="E7" s="53" t="n"/>
      <c r="F7" s="53" t="n"/>
      <c r="G7" s="53" t="n"/>
      <c r="H7" s="53" t="n"/>
      <c r="I7" s="53" t="n"/>
      <c r="J7" s="53" t="n"/>
      <c r="K7" s="53" t="n"/>
      <c r="L7" s="53" t="n"/>
    </row>
    <row r="8" ht="15" customHeight="1" s="58">
      <c r="A8" s="46" t="n"/>
      <c r="B8" s="17">
        <f>IF($A8="","",IFERROR(INDEX(PERSONAL!$B$2:$B$80,MATCH($A8,PERSONAL!$A$2:$A$80,0)),"NO EXISTE"))</f>
        <v/>
      </c>
      <c r="C8" s="30" t="n"/>
      <c r="D8" s="30" t="n"/>
      <c r="E8" s="53" t="n"/>
      <c r="F8" s="53" t="n"/>
      <c r="G8" s="53" t="n"/>
      <c r="H8" s="53" t="n"/>
      <c r="I8" s="53" t="n"/>
      <c r="J8" s="53" t="n"/>
      <c r="K8" s="53" t="n"/>
      <c r="L8" s="53" t="n"/>
    </row>
    <row r="9" ht="15" customHeight="1" s="58">
      <c r="A9" s="46" t="n"/>
      <c r="B9" s="17">
        <f>IF($A9="","",IFERROR(INDEX(PERSONAL!$B$2:$B$80,MATCH($A9,PERSONAL!$A$2:$A$80,0)),"NO EXISTE"))</f>
        <v/>
      </c>
      <c r="C9" s="30" t="n"/>
      <c r="D9" s="30" t="n"/>
      <c r="E9" s="53" t="n"/>
      <c r="F9" s="53" t="n"/>
      <c r="G9" s="53" t="n"/>
      <c r="H9" s="53" t="n"/>
      <c r="I9" s="53" t="n"/>
      <c r="J9" s="53" t="n"/>
      <c r="K9" s="53" t="n"/>
      <c r="L9" s="53" t="n"/>
    </row>
    <row r="10" ht="15" customHeight="1" s="58">
      <c r="A10" s="46" t="n"/>
      <c r="B10" s="17">
        <f>IF($A10="","",IFERROR(INDEX(PERSONAL!$B$2:$B$80,MATCH($A10,PERSONAL!$A$2:$A$80,0)),"NO EXISTE"))</f>
        <v/>
      </c>
      <c r="C10" s="30" t="n"/>
      <c r="D10" s="30" t="n"/>
      <c r="E10" s="53" t="n"/>
      <c r="F10" s="53" t="n"/>
      <c r="G10" s="53" t="n"/>
      <c r="H10" s="53" t="n"/>
      <c r="I10" s="53" t="n"/>
      <c r="J10" s="53" t="n"/>
      <c r="K10" s="53" t="n"/>
      <c r="L10" s="53" t="n"/>
    </row>
    <row r="11" ht="15" customHeight="1" s="58">
      <c r="A11" s="46" t="n"/>
      <c r="B11" s="17">
        <f>IF($A11="","",IFERROR(INDEX(PERSONAL!$B$2:$B$80,MATCH($A11,PERSONAL!$A$2:$A$80,0)),"NO EXISTE"))</f>
        <v/>
      </c>
      <c r="C11" s="30" t="n"/>
      <c r="D11" s="30" t="n"/>
      <c r="E11" s="53" t="n"/>
      <c r="F11" s="53" t="n"/>
      <c r="G11" s="53" t="n"/>
      <c r="H11" s="53" t="n"/>
      <c r="I11" s="53" t="n"/>
      <c r="J11" s="53" t="n"/>
      <c r="K11" s="53" t="n"/>
      <c r="L11" s="53" t="n"/>
    </row>
    <row r="12" ht="15" customHeight="1" s="58">
      <c r="A12" s="46" t="n"/>
      <c r="B12" s="17">
        <f>IF($A12="","",IFERROR(INDEX(PERSONAL!$B$2:$B$80,MATCH($A12,PERSONAL!$A$2:$A$80,0)),"NO EXISTE"))</f>
        <v/>
      </c>
      <c r="C12" s="30" t="n"/>
      <c r="D12" s="30" t="n"/>
      <c r="E12" s="53" t="n"/>
      <c r="F12" s="53" t="n"/>
      <c r="G12" s="53" t="n"/>
      <c r="H12" s="53" t="n"/>
      <c r="I12" s="53" t="n"/>
      <c r="J12" s="53" t="n"/>
      <c r="K12" s="53" t="n"/>
      <c r="L12" s="53" t="n"/>
    </row>
    <row r="13" ht="15" customHeight="1" s="58">
      <c r="A13" s="46" t="n"/>
      <c r="B13" s="17">
        <f>IF($A13="","",IFERROR(INDEX(PERSONAL!$B$2:$B$80,MATCH($A13,PERSONAL!$A$2:$A$80,0)),"NO EXISTE"))</f>
        <v/>
      </c>
      <c r="C13" s="30" t="n"/>
      <c r="D13" s="30" t="n"/>
      <c r="E13" s="53" t="n"/>
      <c r="F13" s="53" t="n"/>
      <c r="G13" s="53" t="n"/>
      <c r="H13" s="53" t="n"/>
      <c r="I13" s="53" t="n"/>
      <c r="J13" s="53" t="n"/>
      <c r="K13" s="53" t="n"/>
      <c r="L13" s="53" t="n"/>
    </row>
    <row r="14" ht="15" customHeight="1" s="58">
      <c r="A14" s="46" t="n"/>
      <c r="B14" s="17">
        <f>IF($A14="","",IFERROR(INDEX(PERSONAL!$B$2:$B$80,MATCH($A14,PERSONAL!$A$2:$A$80,0)),"NO EXISTE"))</f>
        <v/>
      </c>
      <c r="C14" s="30" t="n"/>
      <c r="D14" s="30" t="n"/>
      <c r="E14" s="53" t="n"/>
      <c r="F14" s="53" t="n"/>
      <c r="G14" s="53" t="n"/>
      <c r="H14" s="53" t="n"/>
      <c r="I14" s="53" t="n"/>
      <c r="J14" s="53" t="n"/>
      <c r="K14" s="53" t="n"/>
      <c r="L14" s="53" t="n"/>
    </row>
    <row r="15" ht="15" customHeight="1" s="58">
      <c r="A15" s="46" t="n"/>
      <c r="B15" s="17">
        <f>IF($A15="","",IFERROR(INDEX(PERSONAL!$B$2:$B$80,MATCH($A15,PERSONAL!$A$2:$A$80,0)),"NO EXISTE"))</f>
        <v/>
      </c>
      <c r="C15" s="30" t="n"/>
      <c r="D15" s="30" t="n"/>
      <c r="E15" s="53" t="n"/>
      <c r="F15" s="53" t="n"/>
      <c r="G15" s="53" t="n"/>
      <c r="H15" s="53" t="n"/>
      <c r="I15" s="53" t="n"/>
      <c r="J15" s="53" t="n"/>
      <c r="K15" s="53" t="n"/>
      <c r="L15" s="53" t="n"/>
    </row>
    <row r="16" ht="15" customHeight="1" s="58">
      <c r="A16" s="46" t="n"/>
      <c r="B16" s="17">
        <f>IF($A16="","",IFERROR(INDEX(PERSONAL!$B$2:$B$80,MATCH($A16,PERSONAL!$A$2:$A$80,0)),"NO EXISTE"))</f>
        <v/>
      </c>
      <c r="C16" s="30" t="n"/>
      <c r="D16" s="30" t="n"/>
      <c r="E16" s="53" t="n"/>
      <c r="F16" s="53" t="n"/>
      <c r="G16" s="53" t="n"/>
      <c r="H16" s="53" t="n"/>
      <c r="I16" s="53" t="n"/>
      <c r="J16" s="53" t="n"/>
      <c r="K16" s="53" t="n"/>
      <c r="L16" s="53" t="n"/>
    </row>
    <row r="17" ht="15" customHeight="1" s="58">
      <c r="A17" s="46" t="n"/>
      <c r="B17" s="17">
        <f>IF($A17="","",IFERROR(INDEX(PERSONAL!$B$2:$B$80,MATCH($A17,PERSONAL!$A$2:$A$80,0)),"NO EXISTE"))</f>
        <v/>
      </c>
      <c r="C17" s="30" t="n"/>
      <c r="D17" s="30" t="n"/>
      <c r="E17" s="53" t="n"/>
      <c r="F17" s="53" t="n"/>
      <c r="G17" s="53" t="n"/>
      <c r="H17" s="53" t="n"/>
      <c r="I17" s="53" t="n"/>
      <c r="J17" s="53" t="n"/>
      <c r="K17" s="53" t="n"/>
      <c r="L17" s="53" t="n"/>
    </row>
    <row r="18" ht="15" customHeight="1" s="58">
      <c r="A18" s="46" t="n"/>
      <c r="B18" s="17">
        <f>IF($A18="","",IFERROR(INDEX(PERSONAL!$B$2:$B$80,MATCH($A18,PERSONAL!$A$2:$A$80,0)),"NO EXISTE"))</f>
        <v/>
      </c>
      <c r="C18" s="30" t="n"/>
      <c r="D18" s="30" t="n"/>
      <c r="E18" s="53" t="n"/>
      <c r="F18" s="53" t="n"/>
      <c r="G18" s="53" t="n"/>
      <c r="H18" s="53" t="n"/>
      <c r="I18" s="53" t="n"/>
      <c r="J18" s="53" t="n"/>
      <c r="K18" s="53" t="n"/>
      <c r="L18" s="53" t="n"/>
    </row>
    <row r="19" ht="15" customHeight="1" s="58">
      <c r="A19" s="46" t="n"/>
      <c r="B19" s="17">
        <f>IF($A19="","",IFERROR(INDEX(PERSONAL!$B$2:$B$80,MATCH($A19,PERSONAL!$A$2:$A$80,0)),"NO EXISTE"))</f>
        <v/>
      </c>
      <c r="C19" s="30" t="n"/>
      <c r="D19" s="30" t="n"/>
      <c r="E19" s="53" t="n"/>
      <c r="F19" s="53" t="n"/>
      <c r="G19" s="53" t="n"/>
      <c r="H19" s="53" t="n"/>
      <c r="I19" s="53" t="n"/>
      <c r="J19" s="53" t="n"/>
      <c r="K19" s="53" t="n"/>
      <c r="L19" s="53" t="n"/>
    </row>
    <row r="20" ht="15" customHeight="1" s="58">
      <c r="A20" s="46" t="n"/>
      <c r="B20" s="17">
        <f>IF($A20="","",IFERROR(INDEX(PERSONAL!$B$2:$B$80,MATCH($A20,PERSONAL!$A$2:$A$80,0)),"NO EXISTE"))</f>
        <v/>
      </c>
      <c r="C20" s="30" t="n"/>
      <c r="D20" s="30" t="n"/>
      <c r="E20" s="53" t="n"/>
      <c r="F20" s="53" t="n"/>
      <c r="G20" s="53" t="n"/>
      <c r="H20" s="53" t="n"/>
      <c r="I20" s="53" t="n"/>
      <c r="J20" s="53" t="n"/>
      <c r="K20" s="53" t="n"/>
      <c r="L20" s="53" t="n"/>
    </row>
    <row r="21" ht="15" customHeight="1" s="58">
      <c r="A21" s="46" t="n"/>
      <c r="B21" s="17">
        <f>IF($A21="","",IFERROR(INDEX(PERSONAL!$B$2:$B$80,MATCH($A21,PERSONAL!$A$2:$A$80,0)),"NO EXISTE"))</f>
        <v/>
      </c>
      <c r="C21" s="30" t="n"/>
      <c r="D21" s="30" t="n"/>
      <c r="E21" s="53" t="n"/>
      <c r="F21" s="53" t="n"/>
      <c r="G21" s="53" t="n"/>
      <c r="H21" s="53" t="n"/>
      <c r="I21" s="53" t="n"/>
      <c r="J21" s="53" t="n"/>
      <c r="K21" s="53" t="n"/>
      <c r="L21" s="53" t="n"/>
    </row>
    <row r="22" ht="15" customHeight="1" s="58">
      <c r="A22" s="46" t="n"/>
      <c r="B22" s="17">
        <f>IF($A22="","",IFERROR(INDEX(PERSONAL!$B$2:$B$80,MATCH($A22,PERSONAL!$A$2:$A$80,0)),"NO EXISTE"))</f>
        <v/>
      </c>
      <c r="C22" s="30" t="n"/>
      <c r="D22" s="30" t="n"/>
      <c r="E22" s="53" t="n"/>
      <c r="F22" s="53" t="n"/>
      <c r="G22" s="53" t="n"/>
      <c r="H22" s="53" t="n"/>
      <c r="I22" s="53" t="n"/>
      <c r="J22" s="53" t="n"/>
      <c r="K22" s="53" t="n"/>
      <c r="L22" s="53" t="n"/>
    </row>
    <row r="23" ht="15" customHeight="1" s="58">
      <c r="A23" s="46" t="n"/>
      <c r="B23" s="17">
        <f>IF($A23="","",IFERROR(INDEX(PERSONAL!$B$2:$B$80,MATCH($A23,PERSONAL!$A$2:$A$80,0)),"NO EXISTE"))</f>
        <v/>
      </c>
      <c r="C23" s="30" t="n"/>
      <c r="D23" s="30" t="n"/>
      <c r="E23" s="53" t="n"/>
      <c r="F23" s="53" t="n"/>
      <c r="G23" s="53" t="n"/>
      <c r="H23" s="53" t="n"/>
      <c r="I23" s="53" t="n"/>
      <c r="J23" s="53" t="n"/>
      <c r="K23" s="53" t="n"/>
      <c r="L23" s="53" t="n"/>
    </row>
    <row r="24" ht="15" customHeight="1" s="58">
      <c r="A24" s="46" t="n"/>
      <c r="B24" s="17">
        <f>IF($A24="","",IFERROR(INDEX(PERSONAL!$B$2:$B$80,MATCH($A24,PERSONAL!$A$2:$A$80,0)),"NO EXISTE"))</f>
        <v/>
      </c>
      <c r="C24" s="30" t="n"/>
      <c r="D24" s="30" t="n"/>
      <c r="E24" s="53" t="n"/>
      <c r="F24" s="53" t="n"/>
      <c r="G24" s="53" t="n"/>
      <c r="H24" s="53" t="n"/>
      <c r="I24" s="53" t="n"/>
      <c r="J24" s="53" t="n"/>
      <c r="K24" s="53" t="n"/>
      <c r="L24" s="53" t="n"/>
    </row>
    <row r="25" ht="15" customHeight="1" s="58">
      <c r="A25" s="46" t="n"/>
      <c r="B25" s="17">
        <f>IF($A25="","",IFERROR(INDEX(PERSONAL!$B$2:$B$80,MATCH($A25,PERSONAL!$A$2:$A$80,0)),"NO EXISTE"))</f>
        <v/>
      </c>
      <c r="C25" s="30" t="n"/>
      <c r="D25" s="30" t="n"/>
      <c r="E25" s="53" t="n"/>
      <c r="F25" s="53" t="n"/>
      <c r="G25" s="53" t="n"/>
      <c r="H25" s="53" t="n"/>
      <c r="I25" s="53" t="n"/>
      <c r="J25" s="53" t="n"/>
      <c r="K25" s="53" t="n"/>
      <c r="L25" s="53" t="n"/>
    </row>
    <row r="26" ht="15" customHeight="1" s="58">
      <c r="A26" s="46" t="n"/>
      <c r="B26" s="17">
        <f>IF($A26="","",IFERROR(INDEX(PERSONAL!$B$2:$B$80,MATCH($A26,PERSONAL!$A$2:$A$80,0)),"NO EXISTE"))</f>
        <v/>
      </c>
      <c r="C26" s="30" t="n"/>
      <c r="D26" s="30" t="n"/>
      <c r="E26" s="53" t="n"/>
      <c r="F26" s="53" t="n"/>
      <c r="G26" s="53" t="n"/>
      <c r="H26" s="53" t="n"/>
      <c r="I26" s="53" t="n"/>
      <c r="J26" s="53" t="n"/>
      <c r="K26" s="53" t="n"/>
      <c r="L26" s="53" t="n"/>
    </row>
    <row r="27" ht="15" customHeight="1" s="58">
      <c r="A27" s="46" t="n"/>
      <c r="B27" s="17">
        <f>IF($A27="","",IFERROR(INDEX(PERSONAL!$B$2:$B$80,MATCH($A27,PERSONAL!$A$2:$A$80,0)),"NO EXISTE"))</f>
        <v/>
      </c>
      <c r="C27" s="30" t="n"/>
      <c r="D27" s="30" t="n"/>
      <c r="E27" s="53" t="n"/>
      <c r="F27" s="53" t="n"/>
      <c r="G27" s="53" t="n"/>
      <c r="H27" s="53" t="n"/>
      <c r="I27" s="53" t="n"/>
      <c r="J27" s="53" t="n"/>
      <c r="K27" s="53" t="n"/>
      <c r="L27" s="53" t="n"/>
    </row>
    <row r="28" ht="15" customHeight="1" s="58">
      <c r="A28" s="46" t="n"/>
      <c r="B28" s="17">
        <f>IF($A28="","",IFERROR(INDEX(PERSONAL!$B$2:$B$80,MATCH($A28,PERSONAL!$A$2:$A$80,0)),"NO EXISTE"))</f>
        <v/>
      </c>
      <c r="C28" s="30" t="n"/>
      <c r="D28" s="30" t="n"/>
      <c r="E28" s="53" t="n"/>
      <c r="F28" s="53" t="n"/>
      <c r="G28" s="53" t="n"/>
      <c r="H28" s="53" t="n"/>
      <c r="I28" s="53" t="n"/>
      <c r="J28" s="53" t="n"/>
      <c r="K28" s="53" t="n"/>
      <c r="L28" s="53" t="n"/>
    </row>
    <row r="29" ht="15" customHeight="1" s="58">
      <c r="A29" s="46" t="n"/>
      <c r="B29" s="17">
        <f>IF($A29="","",IFERROR(INDEX(PERSONAL!$B$2:$B$80,MATCH($A29,PERSONAL!$A$2:$A$80,0)),"NO EXISTE"))</f>
        <v/>
      </c>
      <c r="C29" s="30" t="n"/>
      <c r="D29" s="30" t="n"/>
      <c r="E29" s="53" t="n"/>
      <c r="F29" s="53" t="n"/>
      <c r="G29" s="53" t="n"/>
      <c r="H29" s="53" t="n"/>
      <c r="I29" s="53" t="n"/>
      <c r="J29" s="53" t="n"/>
      <c r="K29" s="53" t="n"/>
      <c r="L29" s="53" t="n"/>
    </row>
    <row r="30" ht="15" customHeight="1" s="58">
      <c r="A30" s="46" t="n"/>
      <c r="B30" s="17">
        <f>IF($A30="","",IFERROR(INDEX(PERSONAL!$B$2:$B$80,MATCH($A30,PERSONAL!$A$2:$A$80,0)),"NO EXISTE"))</f>
        <v/>
      </c>
      <c r="C30" s="30" t="n"/>
      <c r="D30" s="30" t="n"/>
      <c r="E30" s="53" t="n"/>
      <c r="F30" s="53" t="n"/>
      <c r="G30" s="53" t="n"/>
      <c r="H30" s="53" t="n"/>
      <c r="I30" s="53" t="n"/>
      <c r="J30" s="53" t="n"/>
      <c r="K30" s="53" t="n"/>
      <c r="L30" s="53" t="n"/>
    </row>
    <row r="31" ht="15" customHeight="1" s="58">
      <c r="A31" s="46" t="n"/>
      <c r="B31" s="17">
        <f>IF($A31="","",IFERROR(INDEX(PERSONAL!$B$2:$B$80,MATCH($A31,PERSONAL!$A$2:$A$80,0)),"NO EXISTE"))</f>
        <v/>
      </c>
      <c r="C31" s="30" t="n"/>
      <c r="D31" s="30" t="n"/>
      <c r="E31" s="53" t="n"/>
      <c r="F31" s="53" t="n"/>
      <c r="G31" s="53" t="n"/>
      <c r="H31" s="53" t="n"/>
      <c r="I31" s="53" t="n"/>
      <c r="J31" s="53" t="n"/>
      <c r="K31" s="53" t="n"/>
      <c r="L31" s="53" t="n"/>
    </row>
    <row r="32" ht="15" customHeight="1" s="58">
      <c r="A32" s="46" t="n"/>
      <c r="B32" s="17">
        <f>IF($A32="","",IFERROR(INDEX(PERSONAL!$B$2:$B$80,MATCH($A32,PERSONAL!$A$2:$A$80,0)),"NO EXISTE"))</f>
        <v/>
      </c>
      <c r="C32" s="30" t="n"/>
      <c r="D32" s="30" t="n"/>
      <c r="E32" s="53" t="n"/>
      <c r="F32" s="53" t="n"/>
      <c r="G32" s="53" t="n"/>
      <c r="H32" s="53" t="n"/>
      <c r="I32" s="53" t="n"/>
      <c r="J32" s="53" t="n"/>
      <c r="K32" s="53" t="n"/>
      <c r="L32" s="53" t="n"/>
    </row>
    <row r="33" ht="15" customHeight="1" s="58">
      <c r="A33" s="46" t="n"/>
      <c r="B33" s="17">
        <f>IF($A33="","",IFERROR(INDEX(PERSONAL!$B$2:$B$80,MATCH($A33,PERSONAL!$A$2:$A$80,0)),"NO EXISTE"))</f>
        <v/>
      </c>
      <c r="C33" s="30" t="n"/>
      <c r="D33" s="30" t="n"/>
      <c r="E33" s="53" t="n"/>
      <c r="F33" s="53" t="n"/>
      <c r="G33" s="53" t="n"/>
      <c r="H33" s="53" t="n"/>
      <c r="I33" s="53" t="n"/>
      <c r="J33" s="53" t="n"/>
      <c r="K33" s="53" t="n"/>
      <c r="L33" s="53" t="n"/>
    </row>
    <row r="34" ht="15" customHeight="1" s="58">
      <c r="A34" s="46" t="n"/>
      <c r="B34" s="17">
        <f>IF($A34="","",IFERROR(INDEX(PERSONAL!$B$2:$B$80,MATCH($A34,PERSONAL!$A$2:$A$80,0)),"NO EXISTE"))</f>
        <v/>
      </c>
      <c r="C34" s="30" t="n"/>
      <c r="D34" s="30" t="n"/>
      <c r="E34" s="53" t="n"/>
      <c r="F34" s="53" t="n"/>
      <c r="G34" s="53" t="n"/>
      <c r="H34" s="53" t="n"/>
      <c r="I34" s="53" t="n"/>
      <c r="J34" s="53" t="n"/>
      <c r="K34" s="53" t="n"/>
      <c r="L34" s="53" t="n"/>
    </row>
    <row r="35" ht="15" customHeight="1" s="58">
      <c r="A35" s="46" t="n"/>
      <c r="B35" s="17">
        <f>IF($A35="","",IFERROR(INDEX(PERSONAL!$B$2:$B$80,MATCH($A35,PERSONAL!$A$2:$A$80,0)),"NO EXISTE"))</f>
        <v/>
      </c>
      <c r="C35" s="30" t="n"/>
      <c r="D35" s="30" t="n"/>
      <c r="E35" s="53" t="n"/>
      <c r="F35" s="53" t="n"/>
      <c r="G35" s="53" t="n"/>
      <c r="H35" s="53" t="n"/>
      <c r="I35" s="53" t="n"/>
      <c r="J35" s="53" t="n"/>
      <c r="K35" s="53" t="n"/>
      <c r="L35" s="53" t="n"/>
    </row>
    <row r="36" ht="15" customHeight="1" s="58">
      <c r="A36" s="46" t="n"/>
      <c r="B36" s="17">
        <f>IF($A36="","",IFERROR(INDEX(PERSONAL!$B$2:$B$80,MATCH($A36,PERSONAL!$A$2:$A$80,0)),"NO EXISTE"))</f>
        <v/>
      </c>
      <c r="C36" s="30" t="n"/>
      <c r="D36" s="30" t="n"/>
      <c r="E36" s="53" t="n"/>
      <c r="F36" s="53" t="n"/>
      <c r="G36" s="53" t="n"/>
      <c r="H36" s="53" t="n"/>
      <c r="I36" s="53" t="n"/>
      <c r="J36" s="53" t="n"/>
      <c r="K36" s="53" t="n"/>
      <c r="L36" s="53" t="n"/>
    </row>
    <row r="37" ht="15" customHeight="1" s="58">
      <c r="A37" s="46" t="n"/>
      <c r="B37" s="17">
        <f>IF($A37="","",IFERROR(INDEX(PERSONAL!$B$2:$B$80,MATCH($A37,PERSONAL!$A$2:$A$80,0)),"NO EXISTE"))</f>
        <v/>
      </c>
      <c r="C37" s="30" t="n"/>
      <c r="D37" s="30" t="n"/>
      <c r="E37" s="53" t="n"/>
      <c r="F37" s="53" t="n"/>
      <c r="G37" s="53" t="n"/>
      <c r="H37" s="53" t="n"/>
      <c r="I37" s="53" t="n"/>
      <c r="J37" s="53" t="n"/>
      <c r="K37" s="53" t="n"/>
      <c r="L37" s="53" t="n"/>
    </row>
    <row r="38" ht="15" customHeight="1" s="58">
      <c r="A38" s="46" t="n"/>
      <c r="B38" s="17">
        <f>IF($A38="","",IFERROR(INDEX(PERSONAL!$B$2:$B$80,MATCH($A38,PERSONAL!$A$2:$A$80,0)),"NO EXISTE"))</f>
        <v/>
      </c>
      <c r="C38" s="30" t="n"/>
      <c r="D38" s="30" t="n"/>
      <c r="E38" s="53" t="n"/>
      <c r="F38" s="53" t="n"/>
      <c r="G38" s="53" t="n"/>
      <c r="H38" s="53" t="n"/>
      <c r="I38" s="53" t="n"/>
      <c r="J38" s="53" t="n"/>
      <c r="K38" s="53" t="n"/>
      <c r="L38" s="53" t="n"/>
    </row>
    <row r="39" ht="15" customHeight="1" s="58">
      <c r="A39" s="46" t="n"/>
      <c r="B39" s="17">
        <f>IF($A39="","",IFERROR(INDEX(PERSONAL!$B$2:$B$80,MATCH($A39,PERSONAL!$A$2:$A$80,0)),"NO EXISTE"))</f>
        <v/>
      </c>
      <c r="C39" s="30" t="n"/>
      <c r="D39" s="30" t="n"/>
      <c r="E39" s="53" t="n"/>
      <c r="F39" s="53" t="n"/>
      <c r="G39" s="53" t="n"/>
      <c r="H39" s="53" t="n"/>
      <c r="I39" s="53" t="n"/>
      <c r="J39" s="53" t="n"/>
      <c r="K39" s="53" t="n"/>
      <c r="L39" s="53" t="n"/>
    </row>
    <row r="40" ht="15" customHeight="1" s="58">
      <c r="A40" s="46" t="n"/>
      <c r="B40" s="17">
        <f>IF($A40="","",IFERROR(INDEX(PERSONAL!$B$2:$B$80,MATCH($A40,PERSONAL!$A$2:$A$80,0)),"NO EXISTE"))</f>
        <v/>
      </c>
      <c r="C40" s="30" t="n"/>
      <c r="D40" s="30" t="n"/>
      <c r="E40" s="53" t="n"/>
      <c r="F40" s="53" t="n"/>
      <c r="G40" s="53" t="n"/>
      <c r="H40" s="53" t="n"/>
      <c r="I40" s="53" t="n"/>
      <c r="J40" s="53" t="n"/>
      <c r="K40" s="53" t="n"/>
      <c r="L40" s="53" t="n"/>
    </row>
    <row r="41" ht="15" customHeight="1" s="58">
      <c r="A41" s="46" t="n"/>
      <c r="B41" s="17">
        <f>IF($A41="","",IFERROR(INDEX(PERSONAL!$B$2:$B$80,MATCH($A41,PERSONAL!$A$2:$A$80,0)),"NO EXISTE"))</f>
        <v/>
      </c>
      <c r="C41" s="30" t="n"/>
      <c r="D41" s="30" t="n"/>
      <c r="E41" s="53" t="n"/>
      <c r="F41" s="53" t="n"/>
      <c r="G41" s="53" t="n"/>
      <c r="H41" s="53" t="n"/>
      <c r="I41" s="53" t="n"/>
      <c r="J41" s="53" t="n"/>
      <c r="K41" s="53" t="n"/>
      <c r="L41" s="53" t="n"/>
    </row>
    <row r="42" ht="15" customHeight="1" s="58">
      <c r="A42" s="46" t="n"/>
      <c r="B42" s="17">
        <f>IF($A42="","",IFERROR(INDEX(PERSONAL!$B$2:$B$80,MATCH($A42,PERSONAL!$A$2:$A$80,0)),"NO EXISTE"))</f>
        <v/>
      </c>
      <c r="C42" s="30" t="n"/>
      <c r="D42" s="30" t="n"/>
      <c r="E42" s="53" t="n"/>
      <c r="F42" s="53" t="n"/>
      <c r="G42" s="53" t="n"/>
      <c r="H42" s="53" t="n"/>
      <c r="I42" s="53" t="n"/>
      <c r="J42" s="53" t="n"/>
      <c r="K42" s="53" t="n"/>
      <c r="L42" s="53" t="n"/>
    </row>
    <row r="43" ht="15" customHeight="1" s="58">
      <c r="A43" s="46" t="n"/>
      <c r="B43" s="17">
        <f>IF($A43="","",IFERROR(INDEX(PERSONAL!$B$2:$B$80,MATCH($A43,PERSONAL!$A$2:$A$80,0)),"NO EXISTE"))</f>
        <v/>
      </c>
      <c r="C43" s="30" t="n"/>
      <c r="D43" s="30" t="n"/>
      <c r="E43" s="53" t="n"/>
      <c r="F43" s="53" t="n"/>
      <c r="G43" s="53" t="n"/>
      <c r="H43" s="53" t="n"/>
      <c r="I43" s="53" t="n"/>
      <c r="J43" s="53" t="n"/>
      <c r="K43" s="53" t="n"/>
      <c r="L43" s="53" t="n"/>
    </row>
    <row r="44" ht="15" customHeight="1" s="58">
      <c r="A44" s="46" t="n"/>
      <c r="B44" s="17">
        <f>IF($A44="","",IFERROR(INDEX(PERSONAL!$B$2:$B$80,MATCH($A44,PERSONAL!$A$2:$A$80,0)),"NO EXISTE"))</f>
        <v/>
      </c>
      <c r="C44" s="30" t="n"/>
      <c r="D44" s="30" t="n"/>
      <c r="E44" s="53" t="n"/>
      <c r="F44" s="53" t="n"/>
      <c r="G44" s="53" t="n"/>
      <c r="H44" s="53" t="n"/>
      <c r="I44" s="53" t="n"/>
      <c r="J44" s="53" t="n"/>
      <c r="K44" s="53" t="n"/>
      <c r="L44" s="53" t="n"/>
    </row>
    <row r="45" ht="15" customHeight="1" s="58">
      <c r="A45" s="46" t="n"/>
      <c r="B45" s="17">
        <f>IF($A45="","",IFERROR(INDEX(PERSONAL!$B$2:$B$80,MATCH($A45,PERSONAL!$A$2:$A$80,0)),"NO EXISTE"))</f>
        <v/>
      </c>
      <c r="C45" s="30" t="n"/>
      <c r="D45" s="30" t="n"/>
      <c r="E45" s="53" t="n"/>
      <c r="F45" s="53" t="n"/>
      <c r="G45" s="53" t="n"/>
      <c r="H45" s="53" t="n"/>
      <c r="I45" s="53" t="n"/>
      <c r="J45" s="53" t="n"/>
      <c r="K45" s="53" t="n"/>
      <c r="L45" s="53" t="n"/>
    </row>
    <row r="46" ht="15" customHeight="1" s="58">
      <c r="A46" s="46" t="n"/>
      <c r="B46" s="17">
        <f>IF($A46="","",IFERROR(INDEX(PERSONAL!$B$2:$B$80,MATCH($A46,PERSONAL!$A$2:$A$80,0)),"NO EXISTE"))</f>
        <v/>
      </c>
      <c r="C46" s="30" t="n"/>
      <c r="D46" s="30" t="n"/>
      <c r="E46" s="53" t="n"/>
      <c r="F46" s="53" t="n"/>
      <c r="G46" s="53" t="n"/>
      <c r="H46" s="53" t="n"/>
      <c r="I46" s="53" t="n"/>
      <c r="J46" s="53" t="n"/>
      <c r="K46" s="53" t="n"/>
      <c r="L46" s="53" t="n"/>
    </row>
    <row r="47" ht="15" customHeight="1" s="58">
      <c r="A47" s="46" t="n"/>
      <c r="B47" s="17">
        <f>IF($A47="","",IFERROR(INDEX(PERSONAL!$B$2:$B$80,MATCH($A47,PERSONAL!$A$2:$A$80,0)),"NO EXISTE"))</f>
        <v/>
      </c>
      <c r="C47" s="30" t="n"/>
      <c r="D47" s="30" t="n"/>
      <c r="E47" s="53" t="n"/>
      <c r="F47" s="53" t="n"/>
      <c r="G47" s="53" t="n"/>
      <c r="H47" s="53" t="n"/>
      <c r="I47" s="53" t="n"/>
      <c r="J47" s="53" t="n"/>
      <c r="K47" s="53" t="n"/>
      <c r="L47" s="53" t="n"/>
    </row>
    <row r="48" ht="15" customHeight="1" s="58">
      <c r="A48" s="46" t="n"/>
      <c r="B48" s="17">
        <f>IF($A48="","",IFERROR(INDEX(PERSONAL!$B$2:$B$80,MATCH($A48,PERSONAL!$A$2:$A$80,0)),"NO EXISTE"))</f>
        <v/>
      </c>
      <c r="C48" s="30" t="n"/>
      <c r="D48" s="30" t="n"/>
      <c r="E48" s="53" t="n"/>
      <c r="F48" s="53" t="n"/>
      <c r="G48" s="53" t="n"/>
      <c r="H48" s="53" t="n"/>
      <c r="I48" s="53" t="n"/>
      <c r="J48" s="53" t="n"/>
      <c r="K48" s="53" t="n"/>
      <c r="L48" s="53" t="n"/>
    </row>
    <row r="49" ht="15" customHeight="1" s="58">
      <c r="A49" s="46" t="n"/>
      <c r="B49" s="17">
        <f>IF($A49="","",IFERROR(INDEX(PERSONAL!$B$2:$B$80,MATCH($A49,PERSONAL!$A$2:$A$80,0)),"NO EXISTE"))</f>
        <v/>
      </c>
      <c r="C49" s="30" t="n"/>
      <c r="D49" s="30" t="n"/>
      <c r="E49" s="53" t="n"/>
      <c r="F49" s="53" t="n"/>
      <c r="G49" s="53" t="n"/>
      <c r="H49" s="53" t="n"/>
      <c r="I49" s="53" t="n"/>
      <c r="J49" s="53" t="n"/>
      <c r="K49" s="53" t="n"/>
      <c r="L49" s="53" t="n"/>
    </row>
    <row r="50" ht="15" customHeight="1" s="58">
      <c r="A50" s="46" t="n"/>
      <c r="B50" s="17">
        <f>IF($A50="","",IFERROR(INDEX(PERSONAL!$B$2:$B$80,MATCH($A50,PERSONAL!$A$2:$A$80,0)),"NO EXISTE"))</f>
        <v/>
      </c>
      <c r="C50" s="30" t="n"/>
      <c r="D50" s="30" t="n"/>
      <c r="E50" s="53" t="n"/>
      <c r="F50" s="53" t="n"/>
      <c r="G50" s="53" t="n"/>
      <c r="H50" s="53" t="n"/>
      <c r="I50" s="53" t="n"/>
      <c r="J50" s="53" t="n"/>
      <c r="K50" s="53" t="n"/>
      <c r="L50" s="53" t="n"/>
    </row>
    <row r="51" ht="15" customHeight="1" s="58">
      <c r="A51" s="46" t="n"/>
      <c r="B51" s="17">
        <f>IF($A51="","",IFERROR(INDEX(PERSONAL!$B$2:$B$80,MATCH($A51,PERSONAL!$A$2:$A$80,0)),"NO EXISTE"))</f>
        <v/>
      </c>
      <c r="C51" s="30" t="n"/>
      <c r="D51" s="30" t="n"/>
      <c r="E51" s="53" t="n"/>
      <c r="F51" s="53" t="n"/>
      <c r="G51" s="53" t="n"/>
      <c r="H51" s="53" t="n"/>
      <c r="I51" s="53" t="n"/>
      <c r="J51" s="53" t="n"/>
      <c r="K51" s="53" t="n"/>
      <c r="L51" s="53" t="n"/>
    </row>
    <row r="52" ht="15" customHeight="1" s="58">
      <c r="A52" s="46" t="n"/>
      <c r="B52" s="17">
        <f>IF($A52="","",IFERROR(INDEX(PERSONAL!$B$2:$B$80,MATCH($A52,PERSONAL!$A$2:$A$80,0)),"NO EXISTE"))</f>
        <v/>
      </c>
      <c r="C52" s="30" t="n"/>
      <c r="D52" s="30" t="n"/>
      <c r="E52" s="53" t="n"/>
      <c r="F52" s="53" t="n"/>
      <c r="G52" s="53" t="n"/>
      <c r="H52" s="53" t="n"/>
      <c r="I52" s="53" t="n"/>
      <c r="J52" s="53" t="n"/>
      <c r="K52" s="53" t="n"/>
      <c r="L52" s="53" t="n"/>
    </row>
    <row r="53" ht="15" customHeight="1" s="58">
      <c r="A53" s="46" t="n"/>
      <c r="B53" s="17">
        <f>IF($A53="","",IFERROR(INDEX(PERSONAL!$B$2:$B$80,MATCH($A53,PERSONAL!$A$2:$A$80,0)),"NO EXISTE"))</f>
        <v/>
      </c>
      <c r="C53" s="30" t="n"/>
      <c r="D53" s="30" t="n"/>
      <c r="E53" s="53" t="n"/>
      <c r="F53" s="53" t="n"/>
      <c r="G53" s="53" t="n"/>
      <c r="H53" s="53" t="n"/>
      <c r="I53" s="53" t="n"/>
      <c r="J53" s="53" t="n"/>
      <c r="K53" s="53" t="n"/>
      <c r="L53" s="53" t="n"/>
    </row>
    <row r="54" ht="15" customHeight="1" s="58">
      <c r="A54" s="46" t="n"/>
      <c r="B54" s="17">
        <f>IF($A54="","",IFERROR(INDEX(PERSONAL!$B$2:$B$80,MATCH($A54,PERSONAL!$A$2:$A$80,0)),"NO EXISTE"))</f>
        <v/>
      </c>
      <c r="C54" s="30" t="n"/>
      <c r="D54" s="30" t="n"/>
      <c r="E54" s="53" t="n"/>
      <c r="F54" s="53" t="n"/>
      <c r="G54" s="53" t="n"/>
      <c r="H54" s="53" t="n"/>
      <c r="I54" s="53" t="n"/>
      <c r="J54" s="53" t="n"/>
      <c r="K54" s="53" t="n"/>
      <c r="L54" s="53" t="n"/>
    </row>
    <row r="55" ht="15" customHeight="1" s="58">
      <c r="A55" s="46" t="n"/>
      <c r="B55" s="17">
        <f>IF($A55="","",IFERROR(INDEX(PERSONAL!$B$2:$B$80,MATCH($A55,PERSONAL!$A$2:$A$80,0)),"NO EXISTE"))</f>
        <v/>
      </c>
      <c r="C55" s="30" t="n"/>
      <c r="D55" s="30" t="n"/>
      <c r="E55" s="53" t="n"/>
      <c r="F55" s="53" t="n"/>
      <c r="G55" s="53" t="n"/>
      <c r="H55" s="53" t="n"/>
      <c r="I55" s="53" t="n"/>
      <c r="J55" s="53" t="n"/>
      <c r="K55" s="53" t="n"/>
      <c r="L55" s="53" t="n"/>
    </row>
    <row r="56" ht="15" customHeight="1" s="58">
      <c r="A56" s="46" t="n"/>
      <c r="B56" s="17">
        <f>IF($A56="","",IFERROR(INDEX(PERSONAL!$B$2:$B$80,MATCH($A56,PERSONAL!$A$2:$A$80,0)),"NO EXISTE"))</f>
        <v/>
      </c>
      <c r="C56" s="30" t="n"/>
      <c r="D56" s="30" t="n"/>
      <c r="E56" s="53" t="n"/>
      <c r="F56" s="53" t="n"/>
      <c r="G56" s="53" t="n"/>
      <c r="H56" s="53" t="n"/>
      <c r="I56" s="53" t="n"/>
      <c r="J56" s="53" t="n"/>
      <c r="K56" s="53" t="n"/>
      <c r="L56" s="53" t="n"/>
    </row>
    <row r="57" ht="15" customHeight="1" s="58">
      <c r="A57" s="46" t="n"/>
      <c r="B57" s="17">
        <f>IF($A57="","",IFERROR(INDEX(PERSONAL!$B$2:$B$80,MATCH($A57,PERSONAL!$A$2:$A$80,0)),"NO EXISTE"))</f>
        <v/>
      </c>
      <c r="C57" s="30" t="n"/>
      <c r="D57" s="30" t="n"/>
      <c r="E57" s="53" t="n"/>
      <c r="F57" s="53" t="n"/>
      <c r="G57" s="53" t="n"/>
      <c r="H57" s="53" t="n"/>
      <c r="I57" s="53" t="n"/>
      <c r="J57" s="53" t="n"/>
      <c r="K57" s="53" t="n"/>
      <c r="L57" s="53" t="n"/>
    </row>
    <row r="58" ht="15" customHeight="1" s="58">
      <c r="A58" s="46" t="n"/>
      <c r="B58" s="17">
        <f>IF($A58="","",IFERROR(INDEX(PERSONAL!$B$2:$B$80,MATCH($A58,PERSONAL!$A$2:$A$80,0)),"NO EXISTE"))</f>
        <v/>
      </c>
      <c r="C58" s="30" t="n"/>
      <c r="D58" s="30" t="n"/>
      <c r="E58" s="53" t="n"/>
      <c r="F58" s="53" t="n"/>
      <c r="G58" s="53" t="n"/>
      <c r="H58" s="53" t="n"/>
      <c r="I58" s="53" t="n"/>
      <c r="J58" s="53" t="n"/>
      <c r="K58" s="53" t="n"/>
      <c r="L58" s="53" t="n"/>
    </row>
    <row r="59" ht="15" customHeight="1" s="58">
      <c r="A59" s="46" t="n"/>
      <c r="B59" s="17">
        <f>IF($A59="","",IFERROR(INDEX(PERSONAL!$B$2:$B$80,MATCH($A59,PERSONAL!$A$2:$A$80,0)),"NO EXISTE"))</f>
        <v/>
      </c>
      <c r="C59" s="30" t="n"/>
      <c r="D59" s="30" t="n"/>
      <c r="E59" s="53" t="n"/>
      <c r="F59" s="53" t="n"/>
      <c r="G59" s="53" t="n"/>
      <c r="H59" s="53" t="n"/>
      <c r="I59" s="53" t="n"/>
      <c r="J59" s="53" t="n"/>
      <c r="K59" s="53" t="n"/>
      <c r="L59" s="53" t="n"/>
    </row>
    <row r="60" ht="15" customHeight="1" s="58">
      <c r="A60" s="46" t="n"/>
      <c r="B60" s="17">
        <f>IF($A60="","",IFERROR(INDEX(PERSONAL!$B$2:$B$80,MATCH($A60,PERSONAL!$A$2:$A$80,0)),"NO EXISTE"))</f>
        <v/>
      </c>
      <c r="C60" s="30" t="n"/>
      <c r="D60" s="30" t="n"/>
      <c r="E60" s="53" t="n"/>
      <c r="F60" s="53" t="n"/>
      <c r="G60" s="53" t="n"/>
      <c r="H60" s="53" t="n"/>
      <c r="I60" s="53" t="n"/>
      <c r="J60" s="53" t="n"/>
      <c r="K60" s="53" t="n"/>
      <c r="L60" s="53" t="n"/>
    </row>
    <row r="61" ht="15" customHeight="1" s="58">
      <c r="A61" s="46" t="n"/>
      <c r="B61" s="17">
        <f>IF($A61="","",IFERROR(INDEX(PERSONAL!$B$2:$B$80,MATCH($A61,PERSONAL!$A$2:$A$80,0)),"NO EXISTE"))</f>
        <v/>
      </c>
      <c r="C61" s="30" t="n"/>
      <c r="D61" s="30" t="n"/>
      <c r="E61" s="53" t="n"/>
      <c r="F61" s="53" t="n"/>
      <c r="G61" s="53" t="n"/>
      <c r="H61" s="53" t="n"/>
      <c r="I61" s="53" t="n"/>
      <c r="J61" s="53" t="n"/>
      <c r="K61" s="53" t="n"/>
      <c r="L61" s="53" t="n"/>
    </row>
    <row r="62" ht="15" customHeight="1" s="58">
      <c r="A62" s="46" t="n"/>
      <c r="B62" s="17">
        <f>IF($A62="","",IFERROR(INDEX(PERSONAL!$B$2:$B$80,MATCH($A62,PERSONAL!$A$2:$A$80,0)),"NO EXISTE"))</f>
        <v/>
      </c>
      <c r="C62" s="30" t="n"/>
      <c r="D62" s="30" t="n"/>
      <c r="E62" s="53" t="n"/>
      <c r="F62" s="53" t="n"/>
      <c r="G62" s="53" t="n"/>
      <c r="H62" s="53" t="n"/>
      <c r="I62" s="53" t="n"/>
      <c r="J62" s="53" t="n"/>
      <c r="K62" s="53" t="n"/>
      <c r="L62" s="53" t="n"/>
    </row>
    <row r="63" ht="15" customHeight="1" s="58">
      <c r="A63" s="46" t="n"/>
      <c r="B63" s="17">
        <f>IF($A63="","",IFERROR(INDEX(PERSONAL!$B$2:$B$80,MATCH($A63,PERSONAL!$A$2:$A$80,0)),"NO EXISTE"))</f>
        <v/>
      </c>
      <c r="C63" s="30" t="n"/>
      <c r="D63" s="30" t="n"/>
      <c r="E63" s="53" t="n"/>
      <c r="F63" s="53" t="n"/>
      <c r="G63" s="53" t="n"/>
      <c r="H63" s="53" t="n"/>
      <c r="I63" s="53" t="n"/>
      <c r="J63" s="53" t="n"/>
      <c r="K63" s="53" t="n"/>
      <c r="L63" s="53" t="n"/>
    </row>
    <row r="64" ht="15" customHeight="1" s="58">
      <c r="A64" s="46" t="n"/>
      <c r="B64" s="17">
        <f>IF($A64="","",IFERROR(INDEX(PERSONAL!$B$2:$B$80,MATCH($A64,PERSONAL!$A$2:$A$80,0)),"NO EXISTE"))</f>
        <v/>
      </c>
      <c r="C64" s="30" t="n"/>
      <c r="D64" s="30" t="n"/>
      <c r="E64" s="53" t="n"/>
      <c r="F64" s="53" t="n"/>
      <c r="G64" s="53" t="n"/>
      <c r="H64" s="53" t="n"/>
      <c r="I64" s="53" t="n"/>
      <c r="J64" s="53" t="n"/>
      <c r="K64" s="53" t="n"/>
      <c r="L64" s="53" t="n"/>
    </row>
    <row r="65" ht="15" customHeight="1" s="58">
      <c r="A65" s="46" t="n"/>
      <c r="B65" s="17">
        <f>IF($A65="","",IFERROR(INDEX(PERSONAL!$B$2:$B$80,MATCH($A65,PERSONAL!$A$2:$A$80,0)),"NO EXISTE"))</f>
        <v/>
      </c>
      <c r="C65" s="30" t="n"/>
      <c r="D65" s="30" t="n"/>
      <c r="E65" s="53" t="n"/>
      <c r="F65" s="53" t="n"/>
      <c r="G65" s="53" t="n"/>
      <c r="H65" s="53" t="n"/>
      <c r="I65" s="53" t="n"/>
      <c r="J65" s="53" t="n"/>
      <c r="K65" s="53" t="n"/>
      <c r="L65" s="53" t="n"/>
    </row>
    <row r="66" ht="15" customHeight="1" s="58">
      <c r="A66" s="46" t="n"/>
      <c r="B66" s="17">
        <f>IF($A66="","",IFERROR(INDEX(PERSONAL!$B$2:$B$80,MATCH($A66,PERSONAL!$A$2:$A$80,0)),"NO EXISTE"))</f>
        <v/>
      </c>
      <c r="C66" s="30" t="n"/>
      <c r="D66" s="30" t="n"/>
      <c r="E66" s="53" t="n"/>
      <c r="F66" s="53" t="n"/>
      <c r="G66" s="53" t="n"/>
      <c r="H66" s="53" t="n"/>
      <c r="I66" s="53" t="n"/>
      <c r="J66" s="53" t="n"/>
      <c r="K66" s="53" t="n"/>
      <c r="L66" s="53" t="n"/>
    </row>
    <row r="67" ht="15" customHeight="1" s="58">
      <c r="A67" s="46" t="n"/>
      <c r="B67" s="17">
        <f>IF($A67="","",IFERROR(INDEX(PERSONAL!$B$2:$B$80,MATCH($A67,PERSONAL!$A$2:$A$80,0)),"NO EXISTE"))</f>
        <v/>
      </c>
      <c r="C67" s="30" t="n"/>
      <c r="D67" s="30" t="n"/>
      <c r="E67" s="53" t="n"/>
      <c r="F67" s="53" t="n"/>
      <c r="G67" s="53" t="n"/>
      <c r="H67" s="53" t="n"/>
      <c r="I67" s="53" t="n"/>
      <c r="J67" s="53" t="n"/>
      <c r="K67" s="53" t="n"/>
      <c r="L67" s="53" t="n"/>
    </row>
    <row r="68" ht="15" customHeight="1" s="58">
      <c r="A68" s="46" t="n"/>
      <c r="B68" s="17">
        <f>IF($A68="","",IFERROR(INDEX(PERSONAL!$B$2:$B$80,MATCH($A68,PERSONAL!$A$2:$A$80,0)),"NO EXISTE"))</f>
        <v/>
      </c>
      <c r="C68" s="30" t="n"/>
      <c r="D68" s="30" t="n"/>
      <c r="E68" s="53" t="n"/>
      <c r="F68" s="53" t="n"/>
      <c r="G68" s="53" t="n"/>
      <c r="H68" s="53" t="n"/>
      <c r="I68" s="53" t="n"/>
      <c r="J68" s="53" t="n"/>
      <c r="K68" s="53" t="n"/>
      <c r="L68" s="53" t="n"/>
    </row>
    <row r="69" ht="15" customHeight="1" s="58">
      <c r="A69" s="46" t="n"/>
      <c r="B69" s="17">
        <f>IF($A69="","",IFERROR(INDEX(PERSONAL!$B$2:$B$80,MATCH($A69,PERSONAL!$A$2:$A$80,0)),"NO EXISTE"))</f>
        <v/>
      </c>
      <c r="C69" s="30" t="n"/>
      <c r="D69" s="30" t="n"/>
      <c r="E69" s="53" t="n"/>
      <c r="F69" s="53" t="n"/>
      <c r="G69" s="53" t="n"/>
      <c r="H69" s="53" t="n"/>
      <c r="I69" s="53" t="n"/>
      <c r="J69" s="53" t="n"/>
      <c r="K69" s="53" t="n"/>
      <c r="L69" s="53" t="n"/>
    </row>
    <row r="70" ht="15" customHeight="1" s="58">
      <c r="A70" s="46" t="n"/>
      <c r="B70" s="17">
        <f>IF($A70="","",IFERROR(INDEX(PERSONAL!$B$2:$B$80,MATCH($A70,PERSONAL!$A$2:$A$80,0)),"NO EXISTE"))</f>
        <v/>
      </c>
      <c r="C70" s="30" t="n"/>
      <c r="D70" s="30" t="n"/>
      <c r="E70" s="53" t="n"/>
      <c r="F70" s="53" t="n"/>
      <c r="G70" s="53" t="n"/>
      <c r="H70" s="53" t="n"/>
      <c r="I70" s="53" t="n"/>
      <c r="J70" s="53" t="n"/>
      <c r="K70" s="53" t="n"/>
      <c r="L70" s="53" t="n"/>
    </row>
    <row r="71" ht="15" customHeight="1" s="58">
      <c r="A71" s="46" t="n"/>
      <c r="B71" s="17">
        <f>IF($A71="","",IFERROR(INDEX(PERSONAL!$B$2:$B$80,MATCH($A71,PERSONAL!$A$2:$A$80,0)),"NO EXISTE"))</f>
        <v/>
      </c>
      <c r="C71" s="30" t="n"/>
      <c r="D71" s="30" t="n"/>
      <c r="E71" s="53" t="n"/>
      <c r="F71" s="53" t="n"/>
      <c r="G71" s="53" t="n"/>
      <c r="H71" s="53" t="n"/>
      <c r="I71" s="53" t="n"/>
      <c r="J71" s="53" t="n"/>
      <c r="K71" s="53" t="n"/>
      <c r="L71" s="53" t="n"/>
    </row>
    <row r="72" ht="15" customHeight="1" s="58">
      <c r="A72" s="46" t="n"/>
      <c r="B72" s="17">
        <f>IF($A72="","",IFERROR(INDEX(PERSONAL!$B$2:$B$80,MATCH($A72,PERSONAL!$A$2:$A$80,0)),"NO EXISTE"))</f>
        <v/>
      </c>
      <c r="C72" s="30" t="n"/>
      <c r="D72" s="30" t="n"/>
      <c r="E72" s="53" t="n"/>
      <c r="F72" s="53" t="n"/>
      <c r="G72" s="53" t="n"/>
      <c r="H72" s="53" t="n"/>
      <c r="I72" s="53" t="n"/>
      <c r="J72" s="53" t="n"/>
      <c r="K72" s="53" t="n"/>
      <c r="L72" s="53" t="n"/>
    </row>
    <row r="73" ht="15" customHeight="1" s="58">
      <c r="A73" s="46" t="n"/>
      <c r="B73" s="17">
        <f>IF($A73="","",IFERROR(INDEX(PERSONAL!$B$2:$B$80,MATCH($A73,PERSONAL!$A$2:$A$80,0)),"NO EXISTE"))</f>
        <v/>
      </c>
      <c r="C73" s="30" t="n"/>
      <c r="D73" s="30" t="n"/>
      <c r="E73" s="53" t="n"/>
      <c r="F73" s="53" t="n"/>
      <c r="G73" s="53" t="n"/>
      <c r="H73" s="53" t="n"/>
      <c r="I73" s="53" t="n"/>
      <c r="J73" s="53" t="n"/>
      <c r="K73" s="53" t="n"/>
      <c r="L73" s="53" t="n"/>
    </row>
    <row r="74" ht="15" customHeight="1" s="58">
      <c r="A74" s="46" t="n"/>
      <c r="B74" s="17">
        <f>IF($A74="","",IFERROR(INDEX(PERSONAL!$B$2:$B$80,MATCH($A74,PERSONAL!$A$2:$A$80,0)),"NO EXISTE"))</f>
        <v/>
      </c>
      <c r="C74" s="30" t="n"/>
      <c r="D74" s="30" t="n"/>
      <c r="E74" s="53" t="n"/>
      <c r="F74" s="53" t="n"/>
      <c r="G74" s="53" t="n"/>
      <c r="H74" s="53" t="n"/>
      <c r="I74" s="53" t="n"/>
      <c r="J74" s="53" t="n"/>
      <c r="K74" s="53" t="n"/>
      <c r="L74" s="53" t="n"/>
    </row>
    <row r="75" ht="15" customHeight="1" s="58">
      <c r="A75" s="46" t="n"/>
      <c r="B75" s="17">
        <f>IF($A75="","",IFERROR(INDEX(PERSONAL!$B$2:$B$80,MATCH($A75,PERSONAL!$A$2:$A$80,0)),"NO EXISTE"))</f>
        <v/>
      </c>
      <c r="C75" s="30" t="n"/>
      <c r="D75" s="30" t="n"/>
      <c r="E75" s="53" t="n"/>
      <c r="F75" s="53" t="n"/>
      <c r="G75" s="53" t="n"/>
      <c r="H75" s="53" t="n"/>
      <c r="I75" s="53" t="n"/>
      <c r="J75" s="53" t="n"/>
      <c r="K75" s="53" t="n"/>
      <c r="L75" s="53" t="n"/>
    </row>
    <row r="76" ht="15" customHeight="1" s="58">
      <c r="A76" s="46" t="n"/>
      <c r="B76" s="17">
        <f>IF($A76="","",IFERROR(INDEX(PERSONAL!$B$2:$B$80,MATCH($A76,PERSONAL!$A$2:$A$80,0)),"NO EXISTE"))</f>
        <v/>
      </c>
      <c r="C76" s="30" t="n"/>
      <c r="D76" s="30" t="n"/>
      <c r="E76" s="53" t="n"/>
      <c r="F76" s="53" t="n"/>
      <c r="G76" s="53" t="n"/>
      <c r="H76" s="53" t="n"/>
      <c r="I76" s="53" t="n"/>
      <c r="J76" s="53" t="n"/>
      <c r="K76" s="53" t="n"/>
      <c r="L76" s="53" t="n"/>
    </row>
    <row r="77" ht="15" customHeight="1" s="58">
      <c r="A77" s="46" t="n"/>
      <c r="B77" s="17">
        <f>IF($A77="","",IFERROR(INDEX(PERSONAL!$B$2:$B$80,MATCH($A77,PERSONAL!$A$2:$A$80,0)),"NO EXISTE"))</f>
        <v/>
      </c>
      <c r="C77" s="30" t="n"/>
      <c r="D77" s="30" t="n"/>
      <c r="E77" s="53" t="n"/>
      <c r="F77" s="53" t="n"/>
      <c r="G77" s="53" t="n"/>
      <c r="H77" s="53" t="n"/>
      <c r="I77" s="53" t="n"/>
      <c r="J77" s="53" t="n"/>
      <c r="K77" s="53" t="n"/>
      <c r="L77" s="53" t="n"/>
    </row>
    <row r="78" ht="15" customHeight="1" s="58">
      <c r="A78" s="46" t="n"/>
      <c r="B78" s="17">
        <f>IF($A78="","",IFERROR(INDEX(PERSONAL!$B$2:$B$80,MATCH($A78,PERSONAL!$A$2:$A$80,0)),"NO EXISTE"))</f>
        <v/>
      </c>
      <c r="C78" s="30" t="n"/>
      <c r="D78" s="30" t="n"/>
      <c r="E78" s="53" t="n"/>
      <c r="F78" s="53" t="n"/>
      <c r="G78" s="53" t="n"/>
      <c r="H78" s="53" t="n"/>
      <c r="I78" s="53" t="n"/>
      <c r="J78" s="53" t="n"/>
      <c r="K78" s="53" t="n"/>
      <c r="L78" s="53" t="n"/>
    </row>
    <row r="79" ht="15" customHeight="1" s="58">
      <c r="A79" s="46" t="n"/>
      <c r="B79" s="17">
        <f>IF($A79="","",IFERROR(INDEX(PERSONAL!$B$2:$B$80,MATCH($A79,PERSONAL!$A$2:$A$80,0)),"NO EXISTE"))</f>
        <v/>
      </c>
      <c r="C79" s="30" t="n"/>
      <c r="D79" s="30" t="n"/>
      <c r="E79" s="53" t="n"/>
      <c r="F79" s="53" t="n"/>
      <c r="G79" s="53" t="n"/>
      <c r="H79" s="53" t="n"/>
      <c r="I79" s="53" t="n"/>
      <c r="J79" s="53" t="n"/>
      <c r="K79" s="53" t="n"/>
      <c r="L79" s="53" t="n"/>
    </row>
    <row r="80" ht="15" customHeight="1" s="58">
      <c r="A80" s="46" t="n"/>
      <c r="B80" s="17">
        <f>IF($A80="","",IFERROR(INDEX(PERSONAL!$B$2:$B$80,MATCH($A80,PERSONAL!$A$2:$A$80,0)),"NO EXISTE"))</f>
        <v/>
      </c>
      <c r="C80" s="30" t="n"/>
      <c r="D80" s="30" t="n"/>
      <c r="E80" s="53" t="n"/>
      <c r="F80" s="53" t="n"/>
      <c r="G80" s="53" t="n"/>
      <c r="H80" s="53" t="n"/>
      <c r="I80" s="53" t="n"/>
      <c r="J80" s="53" t="n"/>
      <c r="K80" s="53" t="n"/>
      <c r="L80" s="53" t="n"/>
    </row>
    <row r="81" ht="15" customHeight="1" s="58">
      <c r="A81" s="46" t="n"/>
      <c r="B81" s="17">
        <f>IF($A81="","",IFERROR(INDEX(PERSONAL!$B$2:$B$80,MATCH($A81,PERSONAL!$A$2:$A$80,0)),"NO EXISTE"))</f>
        <v/>
      </c>
      <c r="C81" s="30" t="n"/>
      <c r="D81" s="30" t="n"/>
      <c r="E81" s="53" t="n"/>
      <c r="F81" s="53" t="n"/>
      <c r="G81" s="53" t="n"/>
      <c r="H81" s="53" t="n"/>
      <c r="I81" s="53" t="n"/>
      <c r="J81" s="53" t="n"/>
      <c r="K81" s="53" t="n"/>
      <c r="L81" s="53" t="n"/>
    </row>
    <row r="82" ht="15" customHeight="1" s="58">
      <c r="A82" s="46" t="n"/>
      <c r="B82" s="17">
        <f>IF($A82="","",IFERROR(INDEX(PERSONAL!$B$2:$B$80,MATCH($A82,PERSONAL!$A$2:$A$80,0)),"NO EXISTE"))</f>
        <v/>
      </c>
      <c r="C82" s="30" t="n"/>
      <c r="D82" s="30" t="n"/>
      <c r="E82" s="53" t="n"/>
      <c r="F82" s="53" t="n"/>
      <c r="G82" s="53" t="n"/>
      <c r="H82" s="53" t="n"/>
      <c r="I82" s="53" t="n"/>
      <c r="J82" s="53" t="n"/>
      <c r="K82" s="53" t="n"/>
      <c r="L82" s="53" t="n"/>
    </row>
    <row r="83" ht="15" customHeight="1" s="58">
      <c r="A83" s="46" t="n"/>
      <c r="B83" s="17">
        <f>IF($A83="","",IFERROR(INDEX(PERSONAL!$B$2:$B$80,MATCH($A83,PERSONAL!$A$2:$A$80,0)),"NO EXISTE"))</f>
        <v/>
      </c>
      <c r="C83" s="30" t="n"/>
      <c r="D83" s="30" t="n"/>
      <c r="E83" s="53" t="n"/>
      <c r="F83" s="53" t="n"/>
      <c r="G83" s="53" t="n"/>
      <c r="H83" s="53" t="n"/>
      <c r="I83" s="53" t="n"/>
      <c r="J83" s="53" t="n"/>
      <c r="K83" s="53" t="n"/>
      <c r="L83" s="53" t="n"/>
    </row>
    <row r="84" ht="15" customHeight="1" s="58">
      <c r="A84" s="46" t="n"/>
      <c r="B84" s="17">
        <f>IF($A84="","",IFERROR(INDEX(PERSONAL!$B$2:$B$80,MATCH($A84,PERSONAL!$A$2:$A$80,0)),"NO EXISTE"))</f>
        <v/>
      </c>
      <c r="C84" s="30" t="n"/>
      <c r="D84" s="30" t="n"/>
      <c r="E84" s="53" t="n"/>
      <c r="F84" s="53" t="n"/>
      <c r="G84" s="53" t="n"/>
      <c r="H84" s="53" t="n"/>
      <c r="I84" s="53" t="n"/>
      <c r="J84" s="53" t="n"/>
      <c r="K84" s="53" t="n"/>
      <c r="L84" s="53" t="n"/>
    </row>
    <row r="85" ht="15" customHeight="1" s="58">
      <c r="A85" s="46" t="n"/>
      <c r="B85" s="17">
        <f>IF($A85="","",IFERROR(INDEX(PERSONAL!$B$2:$B$80,MATCH($A85,PERSONAL!$A$2:$A$80,0)),"NO EXISTE"))</f>
        <v/>
      </c>
      <c r="C85" s="30" t="n"/>
      <c r="D85" s="30" t="n"/>
      <c r="E85" s="53" t="n"/>
      <c r="F85" s="53" t="n"/>
      <c r="G85" s="53" t="n"/>
      <c r="H85" s="53" t="n"/>
      <c r="I85" s="53" t="n"/>
      <c r="J85" s="53" t="n"/>
      <c r="K85" s="53" t="n"/>
      <c r="L85" s="53" t="n"/>
    </row>
    <row r="86" ht="15" customHeight="1" s="58">
      <c r="A86" s="46" t="n"/>
      <c r="B86" s="17">
        <f>IF($A86="","",IFERROR(INDEX(PERSONAL!$B$2:$B$80,MATCH($A86,PERSONAL!$A$2:$A$80,0)),"NO EXISTE"))</f>
        <v/>
      </c>
      <c r="C86" s="30" t="n"/>
      <c r="D86" s="30" t="n"/>
      <c r="E86" s="53" t="n"/>
      <c r="F86" s="53" t="n"/>
      <c r="G86" s="53" t="n"/>
      <c r="H86" s="53" t="n"/>
      <c r="I86" s="53" t="n"/>
      <c r="J86" s="53" t="n"/>
      <c r="K86" s="53" t="n"/>
      <c r="L86" s="53" t="n"/>
    </row>
    <row r="87" ht="15" customHeight="1" s="58">
      <c r="A87" s="46" t="n"/>
      <c r="B87" s="17">
        <f>IF($A87="","",IFERROR(INDEX(PERSONAL!$B$2:$B$80,MATCH($A87,PERSONAL!$A$2:$A$80,0)),"NO EXISTE"))</f>
        <v/>
      </c>
      <c r="C87" s="30" t="n"/>
      <c r="D87" s="30" t="n"/>
      <c r="E87" s="53" t="n"/>
      <c r="F87" s="53" t="n"/>
      <c r="G87" s="53" t="n"/>
      <c r="H87" s="53" t="n"/>
      <c r="I87" s="53" t="n"/>
      <c r="J87" s="53" t="n"/>
      <c r="K87" s="53" t="n"/>
      <c r="L87" s="53" t="n"/>
    </row>
    <row r="88" ht="15" customHeight="1" s="58">
      <c r="A88" s="46" t="n"/>
      <c r="B88" s="17">
        <f>IF($A88="","",IFERROR(INDEX(PERSONAL!$B$2:$B$80,MATCH($A88,PERSONAL!$A$2:$A$80,0)),"NO EXISTE"))</f>
        <v/>
      </c>
      <c r="C88" s="30" t="n"/>
      <c r="D88" s="30" t="n"/>
      <c r="E88" s="53" t="n"/>
      <c r="F88" s="53" t="n"/>
      <c r="G88" s="53" t="n"/>
      <c r="H88" s="53" t="n"/>
      <c r="I88" s="53" t="n"/>
      <c r="J88" s="53" t="n"/>
      <c r="K88" s="53" t="n"/>
      <c r="L88" s="53" t="n"/>
    </row>
    <row r="89" ht="15" customHeight="1" s="58">
      <c r="A89" s="46" t="n"/>
      <c r="B89" s="17">
        <f>IF($A89="","",IFERROR(INDEX(PERSONAL!$B$2:$B$80,MATCH($A89,PERSONAL!$A$2:$A$80,0)),"NO EXISTE"))</f>
        <v/>
      </c>
      <c r="C89" s="30" t="n"/>
      <c r="D89" s="30" t="n"/>
      <c r="E89" s="53" t="n"/>
      <c r="F89" s="53" t="n"/>
      <c r="G89" s="53" t="n"/>
      <c r="H89" s="53" t="n"/>
      <c r="I89" s="53" t="n"/>
      <c r="J89" s="53" t="n"/>
      <c r="K89" s="53" t="n"/>
      <c r="L89" s="53" t="n"/>
    </row>
    <row r="90" ht="15" customHeight="1" s="58">
      <c r="A90" s="46" t="n"/>
      <c r="B90" s="17">
        <f>IF($A90="","",IFERROR(INDEX(PERSONAL!$B$2:$B$80,MATCH($A90,PERSONAL!$A$2:$A$80,0)),"NO EXISTE"))</f>
        <v/>
      </c>
      <c r="C90" s="30" t="n"/>
      <c r="D90" s="30" t="n"/>
      <c r="E90" s="53" t="n"/>
      <c r="F90" s="53" t="n"/>
      <c r="G90" s="53" t="n"/>
      <c r="H90" s="53" t="n"/>
      <c r="I90" s="53" t="n"/>
      <c r="J90" s="53" t="n"/>
      <c r="K90" s="53" t="n"/>
      <c r="L90" s="53" t="n"/>
    </row>
    <row r="91" ht="15" customHeight="1" s="58">
      <c r="A91" s="46" t="n"/>
      <c r="B91" s="17">
        <f>IF($A91="","",IFERROR(INDEX(PERSONAL!$B$2:$B$80,MATCH($A91,PERSONAL!$A$2:$A$80,0)),"NO EXISTE"))</f>
        <v/>
      </c>
      <c r="C91" s="30" t="n"/>
      <c r="D91" s="30" t="n"/>
      <c r="E91" s="53" t="n"/>
      <c r="F91" s="53" t="n"/>
      <c r="G91" s="53" t="n"/>
      <c r="H91" s="53" t="n"/>
      <c r="I91" s="53" t="n"/>
      <c r="J91" s="53" t="n"/>
      <c r="K91" s="53" t="n"/>
      <c r="L91" s="53" t="n"/>
    </row>
    <row r="92" ht="15" customHeight="1" s="58">
      <c r="A92" s="46" t="n"/>
      <c r="B92" s="17">
        <f>IF($A92="","",IFERROR(INDEX(PERSONAL!$B$2:$B$80,MATCH($A92,PERSONAL!$A$2:$A$80,0)),"NO EXISTE"))</f>
        <v/>
      </c>
      <c r="C92" s="30" t="n"/>
      <c r="D92" s="30" t="n"/>
      <c r="E92" s="53" t="n"/>
      <c r="F92" s="53" t="n"/>
      <c r="G92" s="53" t="n"/>
      <c r="H92" s="53" t="n"/>
      <c r="I92" s="53" t="n"/>
      <c r="J92" s="53" t="n"/>
      <c r="K92" s="53" t="n"/>
      <c r="L92" s="53" t="n"/>
    </row>
    <row r="93" ht="15" customHeight="1" s="58">
      <c r="A93" s="46" t="n"/>
      <c r="B93" s="17">
        <f>IF($A93="","",IFERROR(INDEX(PERSONAL!$B$2:$B$80,MATCH($A93,PERSONAL!$A$2:$A$80,0)),"NO EXISTE"))</f>
        <v/>
      </c>
      <c r="C93" s="30" t="n"/>
      <c r="D93" s="30" t="n"/>
      <c r="E93" s="53" t="n"/>
      <c r="F93" s="53" t="n"/>
      <c r="G93" s="53" t="n"/>
      <c r="H93" s="53" t="n"/>
      <c r="I93" s="53" t="n"/>
      <c r="J93" s="53" t="n"/>
      <c r="K93" s="53" t="n"/>
      <c r="L93" s="53" t="n"/>
    </row>
    <row r="94" ht="15" customHeight="1" s="58">
      <c r="A94" s="46" t="n"/>
      <c r="B94" s="17">
        <f>IF($A94="","",IFERROR(INDEX(PERSONAL!$B$2:$B$80,MATCH($A94,PERSONAL!$A$2:$A$80,0)),"NO EXISTE"))</f>
        <v/>
      </c>
      <c r="C94" s="30" t="n"/>
      <c r="D94" s="30" t="n"/>
      <c r="E94" s="53" t="n"/>
      <c r="F94" s="53" t="n"/>
      <c r="G94" s="53" t="n"/>
      <c r="H94" s="53" t="n"/>
      <c r="I94" s="53" t="n"/>
      <c r="J94" s="53" t="n"/>
      <c r="K94" s="53" t="n"/>
      <c r="L94" s="53" t="n"/>
    </row>
    <row r="95" ht="15" customHeight="1" s="58">
      <c r="A95" s="46" t="n"/>
      <c r="B95" s="17">
        <f>IF($A95="","",IFERROR(INDEX(PERSONAL!$B$2:$B$80,MATCH($A95,PERSONAL!$A$2:$A$80,0)),"NO EXISTE"))</f>
        <v/>
      </c>
      <c r="C95" s="30" t="n"/>
      <c r="D95" s="30" t="n"/>
      <c r="E95" s="53" t="n"/>
      <c r="F95" s="53" t="n"/>
      <c r="G95" s="53" t="n"/>
      <c r="H95" s="53" t="n"/>
      <c r="I95" s="53" t="n"/>
      <c r="J95" s="53" t="n"/>
      <c r="K95" s="53" t="n"/>
      <c r="L95" s="53" t="n"/>
    </row>
    <row r="96" ht="15" customHeight="1" s="58">
      <c r="A96" s="46" t="n"/>
      <c r="B96" s="17">
        <f>IF($A96="","",IFERROR(INDEX(PERSONAL!$B$2:$B$80,MATCH($A96,PERSONAL!$A$2:$A$80,0)),"NO EXISTE"))</f>
        <v/>
      </c>
      <c r="C96" s="30" t="n"/>
      <c r="D96" s="30" t="n"/>
      <c r="E96" s="53" t="n"/>
      <c r="F96" s="53" t="n"/>
      <c r="G96" s="53" t="n"/>
      <c r="H96" s="53" t="n"/>
      <c r="I96" s="53" t="n"/>
      <c r="J96" s="53" t="n"/>
      <c r="K96" s="53" t="n"/>
      <c r="L96" s="53" t="n"/>
    </row>
    <row r="97" ht="15" customHeight="1" s="58">
      <c r="A97" s="46" t="n"/>
      <c r="B97" s="17">
        <f>IF($A97="","",IFERROR(INDEX(PERSONAL!$B$2:$B$80,MATCH($A97,PERSONAL!$A$2:$A$80,0)),"NO EXISTE"))</f>
        <v/>
      </c>
      <c r="C97" s="30" t="n"/>
      <c r="D97" s="30" t="n"/>
      <c r="E97" s="53" t="n"/>
      <c r="F97" s="53" t="n"/>
      <c r="G97" s="53" t="n"/>
      <c r="H97" s="53" t="n"/>
      <c r="I97" s="53" t="n"/>
      <c r="J97" s="53" t="n"/>
      <c r="K97" s="53" t="n"/>
      <c r="L97" s="53" t="n"/>
    </row>
    <row r="98" ht="15" customHeight="1" s="58">
      <c r="A98" s="46" t="n"/>
      <c r="B98" s="17">
        <f>IF($A98="","",IFERROR(INDEX(PERSONAL!$B$2:$B$80,MATCH($A98,PERSONAL!$A$2:$A$80,0)),"NO EXISTE"))</f>
        <v/>
      </c>
      <c r="C98" s="30" t="n"/>
      <c r="D98" s="30" t="n"/>
      <c r="E98" s="53" t="n"/>
      <c r="F98" s="53" t="n"/>
      <c r="G98" s="53" t="n"/>
      <c r="H98" s="53" t="n"/>
      <c r="I98" s="53" t="n"/>
      <c r="J98" s="53" t="n"/>
      <c r="K98" s="53" t="n"/>
      <c r="L98" s="53" t="n"/>
    </row>
    <row r="99" ht="15" customHeight="1" s="58">
      <c r="A99" s="46" t="n"/>
      <c r="B99" s="17">
        <f>IF($A99="","",IFERROR(INDEX(PERSONAL!$B$2:$B$80,MATCH($A99,PERSONAL!$A$2:$A$80,0)),"NO EXISTE"))</f>
        <v/>
      </c>
      <c r="C99" s="30" t="n"/>
      <c r="D99" s="30" t="n"/>
      <c r="E99" s="53" t="n"/>
      <c r="F99" s="53" t="n"/>
      <c r="G99" s="53" t="n"/>
      <c r="H99" s="53" t="n"/>
      <c r="I99" s="53" t="n"/>
      <c r="J99" s="53" t="n"/>
      <c r="K99" s="53" t="n"/>
      <c r="L99" s="53" t="n"/>
    </row>
    <row r="100" ht="15" customHeight="1" s="58">
      <c r="A100" s="46" t="n"/>
      <c r="B100" s="17">
        <f>IF($A100="","",IFERROR(INDEX(PERSONAL!$B$2:$B$80,MATCH($A100,PERSONAL!$A$2:$A$80,0)),"NO EXISTE"))</f>
        <v/>
      </c>
      <c r="C100" s="30" t="n"/>
      <c r="D100" s="30" t="n"/>
      <c r="E100" s="53" t="n"/>
      <c r="F100" s="53" t="n"/>
      <c r="G100" s="53" t="n"/>
      <c r="H100" s="53" t="n"/>
      <c r="I100" s="53" t="n"/>
      <c r="J100" s="53" t="n"/>
      <c r="K100" s="53" t="n"/>
      <c r="L100" s="53" t="n"/>
    </row>
    <row r="101" ht="15" customHeight="1" s="58">
      <c r="A101" s="46" t="n"/>
      <c r="B101" s="17">
        <f>IF($A101="","",IFERROR(INDEX(PERSONAL!$B$2:$B$80,MATCH($A101,PERSONAL!$A$2:$A$80,0)),"NO EXISTE"))</f>
        <v/>
      </c>
      <c r="C101" s="30" t="n"/>
      <c r="D101" s="30" t="n"/>
      <c r="E101" s="53" t="n"/>
      <c r="F101" s="53" t="n"/>
      <c r="G101" s="53" t="n"/>
      <c r="H101" s="53" t="n"/>
      <c r="I101" s="53" t="n"/>
      <c r="J101" s="53" t="n"/>
      <c r="K101" s="53" t="n"/>
      <c r="L101" s="53" t="n"/>
    </row>
    <row r="102" ht="15" customHeight="1" s="58">
      <c r="A102" s="46" t="n"/>
      <c r="B102" s="17">
        <f>IF($A102="","",IFERROR(INDEX(PERSONAL!$B$2:$B$80,MATCH($A102,PERSONAL!$A$2:$A$80,0)),"NO EXISTE"))</f>
        <v/>
      </c>
      <c r="C102" s="30" t="n"/>
      <c r="D102" s="30" t="n"/>
      <c r="E102" s="53" t="n"/>
      <c r="F102" s="53" t="n"/>
      <c r="G102" s="53" t="n"/>
      <c r="H102" s="53" t="n"/>
      <c r="I102" s="53" t="n"/>
      <c r="J102" s="53" t="n"/>
      <c r="K102" s="53" t="n"/>
      <c r="L102" s="53" t="n"/>
    </row>
    <row r="103" ht="15" customHeight="1" s="58">
      <c r="A103" s="46" t="n"/>
      <c r="B103" s="17">
        <f>IF($A103="","",IFERROR(INDEX(PERSONAL!$B$2:$B$80,MATCH($A103,PERSONAL!$A$2:$A$80,0)),"NO EXISTE"))</f>
        <v/>
      </c>
      <c r="C103" s="30" t="n"/>
      <c r="D103" s="30" t="n"/>
      <c r="E103" s="53" t="n"/>
      <c r="F103" s="53" t="n"/>
      <c r="G103" s="53" t="n"/>
      <c r="H103" s="53" t="n"/>
      <c r="I103" s="53" t="n"/>
      <c r="J103" s="53" t="n"/>
      <c r="K103" s="53" t="n"/>
      <c r="L103" s="53" t="n"/>
    </row>
    <row r="104" ht="15" customHeight="1" s="58">
      <c r="A104" s="46" t="n"/>
      <c r="B104" s="17">
        <f>IF($A104="","",IFERROR(INDEX(PERSONAL!$B$2:$B$80,MATCH($A104,PERSONAL!$A$2:$A$80,0)),"NO EXISTE"))</f>
        <v/>
      </c>
      <c r="C104" s="30" t="n"/>
      <c r="D104" s="30" t="n"/>
      <c r="E104" s="53" t="n"/>
      <c r="F104" s="53" t="n"/>
      <c r="G104" s="53" t="n"/>
      <c r="H104" s="53" t="n"/>
      <c r="I104" s="53" t="n"/>
      <c r="J104" s="53" t="n"/>
      <c r="K104" s="53" t="n"/>
      <c r="L104" s="53" t="n"/>
    </row>
    <row r="105" ht="15" customHeight="1" s="58">
      <c r="A105" s="46" t="n"/>
      <c r="B105" s="17">
        <f>IF($A105="","",IFERROR(INDEX(PERSONAL!$B$2:$B$80,MATCH($A105,PERSONAL!$A$2:$A$80,0)),"NO EXISTE"))</f>
        <v/>
      </c>
      <c r="C105" s="30" t="n"/>
      <c r="D105" s="30" t="n"/>
      <c r="E105" s="53" t="n"/>
      <c r="F105" s="53" t="n"/>
      <c r="G105" s="53" t="n"/>
      <c r="H105" s="53" t="n"/>
      <c r="I105" s="53" t="n"/>
      <c r="J105" s="53" t="n"/>
      <c r="K105" s="53" t="n"/>
      <c r="L105" s="53" t="n"/>
    </row>
    <row r="106" ht="15" customHeight="1" s="58">
      <c r="A106" s="46" t="n"/>
      <c r="B106" s="17">
        <f>IF($A106="","",IFERROR(INDEX(PERSONAL!$B$2:$B$80,MATCH($A106,PERSONAL!$A$2:$A$80,0)),"NO EXISTE"))</f>
        <v/>
      </c>
      <c r="C106" s="30" t="n"/>
      <c r="D106" s="30" t="n"/>
      <c r="E106" s="53" t="n"/>
      <c r="F106" s="53" t="n"/>
      <c r="G106" s="53" t="n"/>
      <c r="H106" s="53" t="n"/>
      <c r="I106" s="53" t="n"/>
      <c r="J106" s="53" t="n"/>
      <c r="K106" s="53" t="n"/>
      <c r="L106" s="53" t="n"/>
    </row>
    <row r="107" ht="15" customHeight="1" s="58">
      <c r="A107" s="46" t="n"/>
      <c r="B107" s="17">
        <f>IF($A107="","",IFERROR(INDEX(PERSONAL!$B$2:$B$80,MATCH($A107,PERSONAL!$A$2:$A$80,0)),"NO EXISTE"))</f>
        <v/>
      </c>
      <c r="C107" s="30" t="n"/>
      <c r="D107" s="30" t="n"/>
      <c r="E107" s="53" t="n"/>
      <c r="F107" s="53" t="n"/>
      <c r="G107" s="53" t="n"/>
      <c r="H107" s="53" t="n"/>
      <c r="I107" s="53" t="n"/>
      <c r="J107" s="53" t="n"/>
      <c r="K107" s="53" t="n"/>
      <c r="L107" s="53" t="n"/>
    </row>
    <row r="108" ht="15" customHeight="1" s="58">
      <c r="A108" s="46" t="n"/>
      <c r="B108" s="17">
        <f>IF($A108="","",IFERROR(INDEX(PERSONAL!$B$2:$B$80,MATCH($A108,PERSONAL!$A$2:$A$80,0)),"NO EXISTE"))</f>
        <v/>
      </c>
      <c r="C108" s="30" t="n"/>
      <c r="D108" s="30" t="n"/>
      <c r="E108" s="53" t="n"/>
      <c r="F108" s="53" t="n"/>
      <c r="G108" s="53" t="n"/>
      <c r="H108" s="53" t="n"/>
      <c r="I108" s="53" t="n"/>
      <c r="J108" s="53" t="n"/>
      <c r="K108" s="53" t="n"/>
      <c r="L108" s="53" t="n"/>
    </row>
    <row r="109" ht="15" customHeight="1" s="58">
      <c r="A109" s="46" t="n"/>
      <c r="B109" s="17">
        <f>IF($A109="","",IFERROR(INDEX(PERSONAL!$B$2:$B$80,MATCH($A109,PERSONAL!$A$2:$A$80,0)),"NO EXISTE"))</f>
        <v/>
      </c>
      <c r="C109" s="30" t="n"/>
      <c r="D109" s="30" t="n"/>
      <c r="E109" s="53" t="n"/>
      <c r="F109" s="53" t="n"/>
      <c r="G109" s="53" t="n"/>
      <c r="H109" s="53" t="n"/>
      <c r="I109" s="53" t="n"/>
      <c r="J109" s="53" t="n"/>
      <c r="K109" s="53" t="n"/>
      <c r="L109" s="53" t="n"/>
    </row>
    <row r="110" ht="15" customHeight="1" s="58">
      <c r="A110" s="46" t="n"/>
      <c r="B110" s="17">
        <f>IF($A110="","",IFERROR(INDEX(PERSONAL!$B$2:$B$80,MATCH($A110,PERSONAL!$A$2:$A$80,0)),"NO EXISTE"))</f>
        <v/>
      </c>
      <c r="C110" s="30" t="n"/>
      <c r="D110" s="30" t="n"/>
      <c r="E110" s="53" t="n"/>
      <c r="F110" s="53" t="n"/>
      <c r="G110" s="53" t="n"/>
      <c r="H110" s="53" t="n"/>
      <c r="I110" s="53" t="n"/>
      <c r="J110" s="53" t="n"/>
      <c r="K110" s="53" t="n"/>
      <c r="L110" s="53" t="n"/>
    </row>
    <row r="111" ht="15" customHeight="1" s="58">
      <c r="A111" s="46" t="n"/>
      <c r="B111" s="17">
        <f>IF($A111="","",IFERROR(INDEX(PERSONAL!$B$2:$B$80,MATCH($A111,PERSONAL!$A$2:$A$80,0)),"NO EXISTE"))</f>
        <v/>
      </c>
      <c r="C111" s="30" t="n"/>
      <c r="D111" s="30" t="n"/>
      <c r="E111" s="53" t="n"/>
      <c r="F111" s="53" t="n"/>
      <c r="G111" s="53" t="n"/>
      <c r="H111" s="53" t="n"/>
      <c r="I111" s="53" t="n"/>
      <c r="J111" s="53" t="n"/>
      <c r="K111" s="53" t="n"/>
      <c r="L111" s="53" t="n"/>
    </row>
    <row r="112" ht="15" customHeight="1" s="58">
      <c r="A112" s="46" t="n"/>
      <c r="B112" s="17">
        <f>IF($A112="","",IFERROR(INDEX(PERSONAL!$B$2:$B$80,MATCH($A112,PERSONAL!$A$2:$A$80,0)),"NO EXISTE"))</f>
        <v/>
      </c>
      <c r="C112" s="30" t="n"/>
      <c r="D112" s="30" t="n"/>
      <c r="E112" s="53" t="n"/>
      <c r="F112" s="53" t="n"/>
      <c r="G112" s="53" t="n"/>
      <c r="H112" s="53" t="n"/>
      <c r="I112" s="53" t="n"/>
      <c r="J112" s="53" t="n"/>
      <c r="K112" s="53" t="n"/>
      <c r="L112" s="53" t="n"/>
    </row>
    <row r="113" ht="15" customHeight="1" s="58">
      <c r="A113" s="46" t="n"/>
      <c r="B113" s="17">
        <f>IF($A113="","",IFERROR(INDEX(PERSONAL!$B$2:$B$80,MATCH($A113,PERSONAL!$A$2:$A$80,0)),"NO EXISTE"))</f>
        <v/>
      </c>
      <c r="C113" s="30" t="n"/>
      <c r="D113" s="30" t="n"/>
      <c r="E113" s="53" t="n"/>
      <c r="F113" s="53" t="n"/>
      <c r="G113" s="53" t="n"/>
      <c r="H113" s="53" t="n"/>
      <c r="I113" s="53" t="n"/>
      <c r="J113" s="53" t="n"/>
      <c r="K113" s="53" t="n"/>
      <c r="L113" s="53" t="n"/>
    </row>
    <row r="114" ht="15" customHeight="1" s="58">
      <c r="A114" s="46" t="n"/>
      <c r="B114" s="17">
        <f>IF($A114="","",IFERROR(INDEX(PERSONAL!$B$2:$B$80,MATCH($A114,PERSONAL!$A$2:$A$80,0)),"NO EXISTE"))</f>
        <v/>
      </c>
      <c r="C114" s="30" t="n"/>
      <c r="D114" s="30" t="n"/>
      <c r="E114" s="53" t="n"/>
      <c r="F114" s="53" t="n"/>
      <c r="G114" s="53" t="n"/>
      <c r="H114" s="53" t="n"/>
      <c r="I114" s="53" t="n"/>
      <c r="J114" s="53" t="n"/>
      <c r="K114" s="53" t="n"/>
      <c r="L114" s="53" t="n"/>
    </row>
    <row r="115" ht="15" customHeight="1" s="58">
      <c r="A115" s="46" t="n"/>
      <c r="B115" s="17">
        <f>IF($A115="","",IFERROR(INDEX(PERSONAL!$B$2:$B$80,MATCH($A115,PERSONAL!$A$2:$A$80,0)),"NO EXISTE"))</f>
        <v/>
      </c>
      <c r="C115" s="30" t="n"/>
      <c r="D115" s="30" t="n"/>
      <c r="E115" s="53" t="n"/>
      <c r="F115" s="53" t="n"/>
      <c r="G115" s="53" t="n"/>
      <c r="H115" s="53" t="n"/>
      <c r="I115" s="53" t="n"/>
      <c r="J115" s="53" t="n"/>
      <c r="K115" s="53" t="n"/>
      <c r="L115" s="53" t="n"/>
    </row>
    <row r="116" ht="15" customHeight="1" s="58">
      <c r="A116" s="46" t="n"/>
      <c r="B116" s="17">
        <f>IF($A116="","",IFERROR(INDEX(PERSONAL!$B$2:$B$80,MATCH($A116,PERSONAL!$A$2:$A$80,0)),"NO EXISTE"))</f>
        <v/>
      </c>
      <c r="C116" s="30" t="n"/>
      <c r="D116" s="30" t="n"/>
      <c r="E116" s="53" t="n"/>
      <c r="F116" s="53" t="n"/>
      <c r="G116" s="53" t="n"/>
      <c r="H116" s="53" t="n"/>
      <c r="I116" s="53" t="n"/>
      <c r="J116" s="53" t="n"/>
      <c r="K116" s="53" t="n"/>
      <c r="L116" s="53" t="n"/>
    </row>
    <row r="117" ht="15" customHeight="1" s="58">
      <c r="A117" s="46" t="n"/>
      <c r="B117" s="17">
        <f>IF($A117="","",IFERROR(INDEX(PERSONAL!$B$2:$B$80,MATCH($A117,PERSONAL!$A$2:$A$80,0)),"NO EXISTE"))</f>
        <v/>
      </c>
      <c r="C117" s="30" t="n"/>
      <c r="D117" s="30" t="n"/>
      <c r="E117" s="53" t="n"/>
      <c r="F117" s="53" t="n"/>
      <c r="G117" s="53" t="n"/>
      <c r="H117" s="53" t="n"/>
      <c r="I117" s="53" t="n"/>
      <c r="J117" s="53" t="n"/>
      <c r="K117" s="53" t="n"/>
      <c r="L117" s="53" t="n"/>
    </row>
    <row r="118" ht="15" customHeight="1" s="58">
      <c r="A118" s="46" t="n"/>
      <c r="B118" s="17">
        <f>IF($A118="","",IFERROR(INDEX(PERSONAL!$B$2:$B$80,MATCH($A118,PERSONAL!$A$2:$A$80,0)),"NO EXISTE"))</f>
        <v/>
      </c>
      <c r="C118" s="30" t="n"/>
      <c r="D118" s="30" t="n"/>
      <c r="E118" s="53" t="n"/>
      <c r="F118" s="53" t="n"/>
      <c r="G118" s="53" t="n"/>
      <c r="H118" s="53" t="n"/>
      <c r="I118" s="53" t="n"/>
      <c r="J118" s="53" t="n"/>
      <c r="K118" s="53" t="n"/>
      <c r="L118" s="53" t="n"/>
    </row>
    <row r="119" ht="15" customHeight="1" s="58">
      <c r="A119" s="46" t="n"/>
      <c r="B119" s="17">
        <f>IF($A119="","",IFERROR(INDEX(PERSONAL!$B$2:$B$80,MATCH($A119,PERSONAL!$A$2:$A$80,0)),"NO EXISTE"))</f>
        <v/>
      </c>
      <c r="C119" s="30" t="n"/>
      <c r="D119" s="30" t="n"/>
      <c r="E119" s="53" t="n"/>
      <c r="F119" s="53" t="n"/>
      <c r="G119" s="53" t="n"/>
      <c r="H119" s="53" t="n"/>
      <c r="I119" s="53" t="n"/>
      <c r="J119" s="53" t="n"/>
      <c r="K119" s="53" t="n"/>
      <c r="L119" s="53" t="n"/>
    </row>
    <row r="120" ht="15" customHeight="1" s="58">
      <c r="A120" s="46" t="n"/>
      <c r="B120" s="17">
        <f>IF($A120="","",IFERROR(INDEX(PERSONAL!$B$2:$B$80,MATCH($A120,PERSONAL!$A$2:$A$80,0)),"NO EXISTE"))</f>
        <v/>
      </c>
      <c r="C120" s="30" t="n"/>
      <c r="D120" s="30" t="n"/>
      <c r="E120" s="53" t="n"/>
      <c r="F120" s="53" t="n"/>
      <c r="G120" s="53" t="n"/>
      <c r="H120" s="53" t="n"/>
      <c r="I120" s="53" t="n"/>
      <c r="J120" s="53" t="n"/>
      <c r="K120" s="53" t="n"/>
      <c r="L120" s="53" t="n"/>
    </row>
    <row r="121" ht="15" customHeight="1" s="58">
      <c r="A121" s="46" t="n"/>
      <c r="B121" s="17">
        <f>IF($A121="","",IFERROR(INDEX(PERSONAL!$B$2:$B$80,MATCH($A121,PERSONAL!$A$2:$A$80,0)),"NO EXISTE"))</f>
        <v/>
      </c>
      <c r="C121" s="30" t="n"/>
      <c r="D121" s="30" t="n"/>
      <c r="E121" s="53" t="n"/>
      <c r="F121" s="53" t="n"/>
      <c r="G121" s="53" t="n"/>
      <c r="H121" s="53" t="n"/>
      <c r="I121" s="53" t="n"/>
      <c r="J121" s="53" t="n"/>
      <c r="K121" s="53" t="n"/>
      <c r="L121" s="53" t="n"/>
    </row>
    <row r="122" ht="15" customHeight="1" s="58">
      <c r="A122" s="46" t="n"/>
      <c r="B122" s="17">
        <f>IF($A122="","",IFERROR(INDEX(PERSONAL!$B$2:$B$80,MATCH($A122,PERSONAL!$A$2:$A$80,0)),"NO EXISTE"))</f>
        <v/>
      </c>
      <c r="C122" s="30" t="n"/>
      <c r="D122" s="30" t="n"/>
      <c r="E122" s="53" t="n"/>
      <c r="F122" s="53" t="n"/>
      <c r="G122" s="53" t="n"/>
      <c r="H122" s="53" t="n"/>
      <c r="I122" s="53" t="n"/>
      <c r="J122" s="53" t="n"/>
      <c r="K122" s="53" t="n"/>
      <c r="L122" s="53" t="n"/>
    </row>
    <row r="123" ht="15" customHeight="1" s="58">
      <c r="A123" s="46" t="n"/>
      <c r="B123" s="17">
        <f>IF($A123="","",IFERROR(INDEX(PERSONAL!$B$2:$B$80,MATCH($A123,PERSONAL!$A$2:$A$80,0)),"NO EXISTE"))</f>
        <v/>
      </c>
      <c r="C123" s="30" t="n"/>
      <c r="D123" s="30" t="n"/>
      <c r="E123" s="53" t="n"/>
      <c r="F123" s="53" t="n"/>
      <c r="G123" s="53" t="n"/>
      <c r="H123" s="53" t="n"/>
      <c r="I123" s="53" t="n"/>
      <c r="J123" s="53" t="n"/>
      <c r="K123" s="53" t="n"/>
      <c r="L123" s="53" t="n"/>
    </row>
    <row r="124" ht="15" customHeight="1" s="58">
      <c r="A124" s="46" t="n"/>
      <c r="B124" s="17">
        <f>IF($A124="","",IFERROR(INDEX(PERSONAL!$B$2:$B$80,MATCH($A124,PERSONAL!$A$2:$A$80,0)),"NO EXISTE"))</f>
        <v/>
      </c>
      <c r="C124" s="30" t="n"/>
      <c r="D124" s="30" t="n"/>
      <c r="E124" s="53" t="n"/>
      <c r="F124" s="53" t="n"/>
      <c r="G124" s="53" t="n"/>
      <c r="H124" s="53" t="n"/>
      <c r="I124" s="53" t="n"/>
      <c r="J124" s="53" t="n"/>
      <c r="K124" s="53" t="n"/>
      <c r="L124" s="53" t="n"/>
    </row>
    <row r="125" ht="15" customHeight="1" s="58">
      <c r="A125" s="46" t="n"/>
      <c r="B125" s="17">
        <f>IF($A125="","",IFERROR(INDEX(PERSONAL!$B$2:$B$80,MATCH($A125,PERSONAL!$A$2:$A$80,0)),"NO EXISTE"))</f>
        <v/>
      </c>
      <c r="C125" s="30" t="n"/>
      <c r="D125" s="30" t="n"/>
      <c r="E125" s="53" t="n"/>
      <c r="F125" s="53" t="n"/>
      <c r="G125" s="53" t="n"/>
      <c r="H125" s="53" t="n"/>
      <c r="I125" s="53" t="n"/>
      <c r="J125" s="53" t="n"/>
      <c r="K125" s="53" t="n"/>
      <c r="L125" s="53" t="n"/>
    </row>
    <row r="126" ht="15" customHeight="1" s="58">
      <c r="A126" s="46" t="n"/>
      <c r="B126" s="17">
        <f>IF($A126="","",IFERROR(INDEX(PERSONAL!$B$2:$B$80,MATCH($A126,PERSONAL!$A$2:$A$80,0)),"NO EXISTE"))</f>
        <v/>
      </c>
      <c r="C126" s="30" t="n"/>
      <c r="D126" s="30" t="n"/>
      <c r="E126" s="53" t="n"/>
      <c r="F126" s="53" t="n"/>
      <c r="G126" s="53" t="n"/>
      <c r="H126" s="53" t="n"/>
      <c r="I126" s="53" t="n"/>
      <c r="J126" s="53" t="n"/>
      <c r="K126" s="53" t="n"/>
      <c r="L126" s="53" t="n"/>
    </row>
    <row r="127" ht="15" customHeight="1" s="58">
      <c r="A127" s="46" t="n"/>
      <c r="B127" s="17">
        <f>IF($A127="","",IFERROR(INDEX(PERSONAL!$B$2:$B$80,MATCH($A127,PERSONAL!$A$2:$A$80,0)),"NO EXISTE"))</f>
        <v/>
      </c>
      <c r="C127" s="30" t="n"/>
      <c r="D127" s="30" t="n"/>
      <c r="E127" s="53" t="n"/>
      <c r="F127" s="53" t="n"/>
      <c r="G127" s="53" t="n"/>
      <c r="H127" s="53" t="n"/>
      <c r="I127" s="53" t="n"/>
      <c r="J127" s="53" t="n"/>
      <c r="K127" s="53" t="n"/>
      <c r="L127" s="53" t="n"/>
    </row>
    <row r="128" ht="15" customHeight="1" s="58">
      <c r="A128" s="46" t="n"/>
      <c r="B128" s="17">
        <f>IF($A128="","",IFERROR(INDEX(PERSONAL!$B$2:$B$80,MATCH($A128,PERSONAL!$A$2:$A$80,0)),"NO EXISTE"))</f>
        <v/>
      </c>
      <c r="C128" s="30" t="n"/>
      <c r="D128" s="30" t="n"/>
      <c r="E128" s="53" t="n"/>
      <c r="F128" s="53" t="n"/>
      <c r="G128" s="53" t="n"/>
      <c r="H128" s="53" t="n"/>
      <c r="I128" s="53" t="n"/>
      <c r="J128" s="53" t="n"/>
      <c r="K128" s="53" t="n"/>
      <c r="L128" s="53" t="n"/>
    </row>
    <row r="129" ht="15" customHeight="1" s="58">
      <c r="A129" s="46" t="n"/>
      <c r="B129" s="17">
        <f>IF($A129="","",IFERROR(INDEX(PERSONAL!$B$2:$B$80,MATCH($A129,PERSONAL!$A$2:$A$80,0)),"NO EXISTE"))</f>
        <v/>
      </c>
      <c r="C129" s="30" t="n"/>
      <c r="D129" s="30" t="n"/>
      <c r="E129" s="53" t="n"/>
      <c r="F129" s="53" t="n"/>
      <c r="G129" s="53" t="n"/>
      <c r="H129" s="53" t="n"/>
      <c r="I129" s="53" t="n"/>
      <c r="J129" s="53" t="n"/>
      <c r="K129" s="53" t="n"/>
      <c r="L129" s="53" t="n"/>
    </row>
    <row r="130" ht="15" customHeight="1" s="58">
      <c r="A130" s="46" t="n"/>
      <c r="B130" s="17">
        <f>IF($A130="","",IFERROR(INDEX(PERSONAL!$B$2:$B$80,MATCH($A130,PERSONAL!$A$2:$A$80,0)),"NO EXISTE"))</f>
        <v/>
      </c>
      <c r="C130" s="30" t="n"/>
      <c r="D130" s="30" t="n"/>
      <c r="E130" s="53" t="n"/>
      <c r="F130" s="53" t="n"/>
      <c r="G130" s="53" t="n"/>
      <c r="H130" s="53" t="n"/>
      <c r="I130" s="53" t="n"/>
      <c r="J130" s="53" t="n"/>
      <c r="K130" s="53" t="n"/>
      <c r="L130" s="53" t="n"/>
    </row>
    <row r="131" ht="15" customHeight="1" s="58">
      <c r="A131" s="46" t="n"/>
      <c r="B131" s="17">
        <f>IF($A131="","",IFERROR(INDEX(PERSONAL!$B$2:$B$80,MATCH($A131,PERSONAL!$A$2:$A$80,0)),"NO EXISTE"))</f>
        <v/>
      </c>
      <c r="C131" s="30" t="n"/>
      <c r="D131" s="30" t="n"/>
      <c r="E131" s="53" t="n"/>
      <c r="F131" s="53" t="n"/>
      <c r="G131" s="53" t="n"/>
      <c r="H131" s="53" t="n"/>
      <c r="I131" s="53" t="n"/>
      <c r="J131" s="53" t="n"/>
      <c r="K131" s="53" t="n"/>
      <c r="L131" s="53" t="n"/>
    </row>
    <row r="132" ht="15" customHeight="1" s="58">
      <c r="A132" s="46" t="n"/>
      <c r="B132" s="17">
        <f>IF($A132="","",IFERROR(INDEX(PERSONAL!$B$2:$B$80,MATCH($A132,PERSONAL!$A$2:$A$80,0)),"NO EXISTE"))</f>
        <v/>
      </c>
      <c r="C132" s="30" t="n"/>
      <c r="D132" s="30" t="n"/>
      <c r="E132" s="53" t="n"/>
      <c r="F132" s="53" t="n"/>
      <c r="G132" s="53" t="n"/>
      <c r="H132" s="53" t="n"/>
      <c r="I132" s="53" t="n"/>
      <c r="J132" s="53" t="n"/>
      <c r="K132" s="53" t="n"/>
      <c r="L132" s="53" t="n"/>
    </row>
    <row r="133" ht="15" customHeight="1" s="58">
      <c r="A133" s="46" t="n"/>
      <c r="B133" s="17">
        <f>IF($A133="","",IFERROR(INDEX(PERSONAL!$B$2:$B$80,MATCH($A133,PERSONAL!$A$2:$A$80,0)),"NO EXISTE"))</f>
        <v/>
      </c>
      <c r="C133" s="30" t="n"/>
      <c r="D133" s="30" t="n"/>
      <c r="E133" s="53" t="n"/>
      <c r="F133" s="53" t="n"/>
      <c r="G133" s="53" t="n"/>
      <c r="H133" s="53" t="n"/>
      <c r="I133" s="53" t="n"/>
      <c r="J133" s="53" t="n"/>
      <c r="K133" s="53" t="n"/>
      <c r="L133" s="53" t="n"/>
    </row>
    <row r="134" ht="15" customHeight="1" s="58">
      <c r="A134" s="46" t="n"/>
      <c r="B134" s="17">
        <f>IF($A134="","",IFERROR(INDEX(PERSONAL!$B$2:$B$80,MATCH($A134,PERSONAL!$A$2:$A$80,0)),"NO EXISTE"))</f>
        <v/>
      </c>
      <c r="C134" s="30" t="n"/>
      <c r="D134" s="30" t="n"/>
      <c r="E134" s="53" t="n"/>
      <c r="F134" s="53" t="n"/>
      <c r="G134" s="53" t="n"/>
      <c r="H134" s="53" t="n"/>
      <c r="I134" s="53" t="n"/>
      <c r="J134" s="53" t="n"/>
      <c r="K134" s="53" t="n"/>
      <c r="L134" s="53" t="n"/>
    </row>
    <row r="135" ht="15" customHeight="1" s="58">
      <c r="A135" s="46" t="n"/>
      <c r="B135" s="17">
        <f>IF($A135="","",IFERROR(INDEX(PERSONAL!$B$2:$B$80,MATCH($A135,PERSONAL!$A$2:$A$80,0)),"NO EXISTE"))</f>
        <v/>
      </c>
      <c r="C135" s="30" t="n"/>
      <c r="D135" s="30" t="n"/>
      <c r="E135" s="53" t="n"/>
      <c r="F135" s="53" t="n"/>
      <c r="G135" s="53" t="n"/>
      <c r="H135" s="53" t="n"/>
      <c r="I135" s="53" t="n"/>
      <c r="J135" s="53" t="n"/>
      <c r="K135" s="53" t="n"/>
      <c r="L135" s="53" t="n"/>
    </row>
    <row r="136" ht="15" customHeight="1" s="58">
      <c r="A136" s="46" t="n"/>
      <c r="B136" s="17">
        <f>IF($A136="","",IFERROR(INDEX(PERSONAL!$B$2:$B$80,MATCH($A136,PERSONAL!$A$2:$A$80,0)),"NO EXISTE"))</f>
        <v/>
      </c>
      <c r="C136" s="30" t="n"/>
      <c r="D136" s="30" t="n"/>
      <c r="E136" s="53" t="n"/>
      <c r="F136" s="53" t="n"/>
      <c r="G136" s="53" t="n"/>
      <c r="H136" s="53" t="n"/>
      <c r="I136" s="53" t="n"/>
      <c r="J136" s="53" t="n"/>
      <c r="K136" s="53" t="n"/>
      <c r="L136" s="53" t="n"/>
    </row>
    <row r="137" ht="15" customHeight="1" s="58">
      <c r="A137" s="46" t="n"/>
      <c r="B137" s="17">
        <f>IF($A137="","",IFERROR(INDEX(PERSONAL!$B$2:$B$80,MATCH($A137,PERSONAL!$A$2:$A$80,0)),"NO EXISTE"))</f>
        <v/>
      </c>
      <c r="C137" s="30" t="n"/>
      <c r="D137" s="30" t="n"/>
      <c r="E137" s="53" t="n"/>
      <c r="F137" s="53" t="n"/>
      <c r="G137" s="53" t="n"/>
      <c r="H137" s="53" t="n"/>
      <c r="I137" s="53" t="n"/>
      <c r="J137" s="53" t="n"/>
      <c r="K137" s="53" t="n"/>
      <c r="L137" s="53" t="n"/>
    </row>
    <row r="138" ht="15" customHeight="1" s="58">
      <c r="A138" s="46" t="n"/>
      <c r="B138" s="17">
        <f>IF($A138="","",IFERROR(INDEX(PERSONAL!$B$2:$B$80,MATCH($A138,PERSONAL!$A$2:$A$80,0)),"NO EXISTE"))</f>
        <v/>
      </c>
      <c r="C138" s="30" t="n"/>
      <c r="D138" s="30" t="n"/>
      <c r="E138" s="53" t="n"/>
      <c r="F138" s="53" t="n"/>
      <c r="G138" s="53" t="n"/>
      <c r="H138" s="53" t="n"/>
      <c r="I138" s="53" t="n"/>
      <c r="J138" s="53" t="n"/>
      <c r="K138" s="53" t="n"/>
      <c r="L138" s="53" t="n"/>
    </row>
    <row r="139" ht="15" customHeight="1" s="58">
      <c r="A139" s="46" t="n"/>
      <c r="B139" s="17">
        <f>IF($A139="","",IFERROR(INDEX(PERSONAL!$B$2:$B$80,MATCH($A139,PERSONAL!$A$2:$A$80,0)),"NO EXISTE"))</f>
        <v/>
      </c>
      <c r="C139" s="30" t="n"/>
      <c r="D139" s="30" t="n"/>
      <c r="E139" s="53" t="n"/>
      <c r="F139" s="53" t="n"/>
      <c r="G139" s="53" t="n"/>
      <c r="H139" s="53" t="n"/>
      <c r="I139" s="53" t="n"/>
      <c r="J139" s="53" t="n"/>
      <c r="K139" s="53" t="n"/>
      <c r="L139" s="53" t="n"/>
    </row>
    <row r="140" ht="15" customHeight="1" s="58">
      <c r="A140" s="46" t="n"/>
      <c r="B140" s="17">
        <f>IF($A140="","",IFERROR(INDEX(PERSONAL!$B$2:$B$80,MATCH($A140,PERSONAL!$A$2:$A$80,0)),"NO EXISTE"))</f>
        <v/>
      </c>
      <c r="C140" s="30" t="n"/>
      <c r="D140" s="30" t="n"/>
      <c r="E140" s="53" t="n"/>
      <c r="F140" s="53" t="n"/>
      <c r="G140" s="53" t="n"/>
      <c r="H140" s="53" t="n"/>
      <c r="I140" s="53" t="n"/>
      <c r="J140" s="53" t="n"/>
      <c r="K140" s="53" t="n"/>
      <c r="L140" s="53" t="n"/>
    </row>
    <row r="141" ht="15" customHeight="1" s="58">
      <c r="A141" s="46" t="n"/>
      <c r="B141" s="17">
        <f>IF($A141="","",IFERROR(INDEX(PERSONAL!$B$2:$B$80,MATCH($A141,PERSONAL!$A$2:$A$80,0)),"NO EXISTE"))</f>
        <v/>
      </c>
      <c r="C141" s="30" t="n"/>
      <c r="D141" s="30" t="n"/>
      <c r="E141" s="53" t="n"/>
      <c r="F141" s="53" t="n"/>
      <c r="G141" s="53" t="n"/>
      <c r="H141" s="53" t="n"/>
      <c r="I141" s="53" t="n"/>
      <c r="J141" s="53" t="n"/>
      <c r="K141" s="53" t="n"/>
      <c r="L141" s="53" t="n"/>
    </row>
    <row r="142" ht="15" customHeight="1" s="58">
      <c r="A142" s="46" t="n"/>
      <c r="B142" s="17">
        <f>IF($A142="","",IFERROR(INDEX(PERSONAL!$B$2:$B$80,MATCH($A142,PERSONAL!$A$2:$A$80,0)),"NO EXISTE"))</f>
        <v/>
      </c>
      <c r="C142" s="30" t="n"/>
      <c r="D142" s="30" t="n"/>
      <c r="E142" s="53" t="n"/>
      <c r="F142" s="53" t="n"/>
      <c r="G142" s="53" t="n"/>
      <c r="H142" s="53" t="n"/>
      <c r="I142" s="53" t="n"/>
      <c r="J142" s="53" t="n"/>
      <c r="K142" s="53" t="n"/>
      <c r="L142" s="53" t="n"/>
    </row>
    <row r="143" ht="15" customHeight="1" s="58">
      <c r="A143" s="46" t="n"/>
      <c r="B143" s="17">
        <f>IF($A143="","",IFERROR(INDEX(PERSONAL!$B$2:$B$80,MATCH($A143,PERSONAL!$A$2:$A$80,0)),"NO EXISTE"))</f>
        <v/>
      </c>
      <c r="C143" s="30" t="n"/>
      <c r="D143" s="30" t="n"/>
      <c r="E143" s="53" t="n"/>
      <c r="F143" s="53" t="n"/>
      <c r="G143" s="53" t="n"/>
      <c r="H143" s="53" t="n"/>
      <c r="I143" s="53" t="n"/>
      <c r="J143" s="53" t="n"/>
      <c r="K143" s="53" t="n"/>
      <c r="L143" s="53" t="n"/>
    </row>
    <row r="144" ht="15" customHeight="1" s="58">
      <c r="A144" s="46" t="n"/>
      <c r="B144" s="17">
        <f>IF($A144="","",IFERROR(INDEX(PERSONAL!$B$2:$B$80,MATCH($A144,PERSONAL!$A$2:$A$80,0)),"NO EXISTE"))</f>
        <v/>
      </c>
      <c r="C144" s="30" t="n"/>
      <c r="D144" s="30" t="n"/>
      <c r="E144" s="53" t="n"/>
      <c r="F144" s="53" t="n"/>
      <c r="G144" s="53" t="n"/>
      <c r="H144" s="53" t="n"/>
      <c r="I144" s="53" t="n"/>
      <c r="J144" s="53" t="n"/>
      <c r="K144" s="53" t="n"/>
      <c r="L144" s="53" t="n"/>
    </row>
    <row r="145" ht="15" customHeight="1" s="58">
      <c r="A145" s="46" t="n"/>
      <c r="B145" s="17">
        <f>IF($A145="","",IFERROR(INDEX(PERSONAL!$B$2:$B$80,MATCH($A145,PERSONAL!$A$2:$A$80,0)),"NO EXISTE"))</f>
        <v/>
      </c>
      <c r="C145" s="30" t="n"/>
      <c r="D145" s="30" t="n"/>
      <c r="E145" s="53" t="n"/>
      <c r="F145" s="53" t="n"/>
      <c r="G145" s="53" t="n"/>
      <c r="H145" s="53" t="n"/>
      <c r="I145" s="53" t="n"/>
      <c r="J145" s="53" t="n"/>
      <c r="K145" s="53" t="n"/>
      <c r="L145" s="53" t="n"/>
    </row>
    <row r="146" ht="15" customHeight="1" s="58">
      <c r="A146" s="46" t="n"/>
      <c r="B146" s="17">
        <f>IF($A146="","",IFERROR(INDEX(PERSONAL!$B$2:$B$80,MATCH($A146,PERSONAL!$A$2:$A$80,0)),"NO EXISTE"))</f>
        <v/>
      </c>
      <c r="C146" s="30" t="n"/>
      <c r="D146" s="30" t="n"/>
      <c r="E146" s="53" t="n"/>
      <c r="F146" s="53" t="n"/>
      <c r="G146" s="53" t="n"/>
      <c r="H146" s="53" t="n"/>
      <c r="I146" s="53" t="n"/>
      <c r="J146" s="53" t="n"/>
      <c r="K146" s="53" t="n"/>
      <c r="L146" s="53" t="n"/>
    </row>
    <row r="147" ht="15" customHeight="1" s="58">
      <c r="A147" s="46" t="n"/>
      <c r="B147" s="17">
        <f>IF($A147="","",IFERROR(INDEX(PERSONAL!$B$2:$B$80,MATCH($A147,PERSONAL!$A$2:$A$80,0)),"NO EXISTE"))</f>
        <v/>
      </c>
      <c r="C147" s="30" t="n"/>
      <c r="D147" s="30" t="n"/>
      <c r="E147" s="53" t="n"/>
      <c r="F147" s="53" t="n"/>
      <c r="G147" s="53" t="n"/>
      <c r="H147" s="53" t="n"/>
      <c r="I147" s="53" t="n"/>
      <c r="J147" s="53" t="n"/>
      <c r="K147" s="53" t="n"/>
      <c r="L147" s="53" t="n"/>
    </row>
    <row r="148" ht="15" customHeight="1" s="58">
      <c r="A148" s="46" t="n"/>
      <c r="B148" s="17">
        <f>IF($A148="","",IFERROR(INDEX(PERSONAL!$B$2:$B$80,MATCH($A148,PERSONAL!$A$2:$A$80,0)),"NO EXISTE"))</f>
        <v/>
      </c>
      <c r="C148" s="30" t="n"/>
      <c r="D148" s="30" t="n"/>
      <c r="E148" s="53" t="n"/>
      <c r="F148" s="53" t="n"/>
      <c r="G148" s="53" t="n"/>
      <c r="H148" s="53" t="n"/>
      <c r="I148" s="53" t="n"/>
      <c r="J148" s="53" t="n"/>
      <c r="K148" s="53" t="n"/>
      <c r="L148" s="53" t="n"/>
    </row>
    <row r="149" ht="15" customHeight="1" s="58">
      <c r="A149" s="46" t="n"/>
      <c r="B149" s="17">
        <f>IF($A149="","",IFERROR(INDEX(PERSONAL!$B$2:$B$80,MATCH($A149,PERSONAL!$A$2:$A$80,0)),"NO EXISTE"))</f>
        <v/>
      </c>
      <c r="C149" s="30" t="n"/>
      <c r="D149" s="30" t="n"/>
      <c r="E149" s="53" t="n"/>
      <c r="F149" s="53" t="n"/>
      <c r="G149" s="53" t="n"/>
      <c r="H149" s="53" t="n"/>
      <c r="I149" s="53" t="n"/>
      <c r="J149" s="53" t="n"/>
      <c r="K149" s="53" t="n"/>
      <c r="L149" s="53" t="n"/>
    </row>
    <row r="150" ht="15" customHeight="1" s="58">
      <c r="A150" s="46" t="n"/>
      <c r="B150" s="17">
        <f>IF($A150="","",IFERROR(INDEX(PERSONAL!$B$2:$B$80,MATCH($A150,PERSONAL!$A$2:$A$80,0)),"NO EXISTE"))</f>
        <v/>
      </c>
      <c r="C150" s="30" t="n"/>
      <c r="D150" s="30" t="n"/>
      <c r="E150" s="53" t="n"/>
      <c r="F150" s="53" t="n"/>
      <c r="G150" s="53" t="n"/>
      <c r="H150" s="53" t="n"/>
      <c r="I150" s="53" t="n"/>
      <c r="J150" s="53" t="n"/>
      <c r="K150" s="53" t="n"/>
      <c r="L150" s="53" t="n"/>
    </row>
    <row r="151" ht="15" customHeight="1" s="58">
      <c r="A151" s="46" t="n"/>
      <c r="B151" s="17">
        <f>IF($A151="","",IFERROR(INDEX(PERSONAL!$B$2:$B$80,MATCH($A151,PERSONAL!$A$2:$A$80,0)),"NO EXISTE"))</f>
        <v/>
      </c>
      <c r="C151" s="30" t="n"/>
      <c r="D151" s="30" t="n"/>
      <c r="E151" s="53" t="n"/>
      <c r="F151" s="53" t="n"/>
      <c r="G151" s="53" t="n"/>
      <c r="H151" s="53" t="n"/>
      <c r="I151" s="53" t="n"/>
      <c r="J151" s="53" t="n"/>
      <c r="K151" s="53" t="n"/>
      <c r="L151" s="53" t="n"/>
    </row>
    <row r="152" ht="15" customHeight="1" s="58">
      <c r="A152" s="46" t="n"/>
      <c r="B152" s="17">
        <f>IF($A152="","",IFERROR(INDEX(PERSONAL!$B$2:$B$80,MATCH($A152,PERSONAL!$A$2:$A$80,0)),"NO EXISTE"))</f>
        <v/>
      </c>
      <c r="C152" s="30" t="n"/>
      <c r="D152" s="30" t="n"/>
      <c r="E152" s="53" t="n"/>
      <c r="F152" s="53" t="n"/>
      <c r="G152" s="53" t="n"/>
      <c r="H152" s="53" t="n"/>
      <c r="I152" s="53" t="n"/>
      <c r="J152" s="53" t="n"/>
      <c r="K152" s="53" t="n"/>
      <c r="L152" s="53" t="n"/>
    </row>
    <row r="153" ht="15" customHeight="1" s="58">
      <c r="A153" s="46" t="n"/>
      <c r="B153" s="17">
        <f>IF($A153="","",IFERROR(INDEX(PERSONAL!$B$2:$B$80,MATCH($A153,PERSONAL!$A$2:$A$80,0)),"NO EXISTE"))</f>
        <v/>
      </c>
      <c r="C153" s="30" t="n"/>
      <c r="D153" s="30" t="n"/>
      <c r="E153" s="53" t="n"/>
      <c r="F153" s="53" t="n"/>
      <c r="G153" s="53" t="n"/>
      <c r="H153" s="53" t="n"/>
      <c r="I153" s="53" t="n"/>
      <c r="J153" s="53" t="n"/>
      <c r="K153" s="53" t="n"/>
      <c r="L153" s="53" t="n"/>
    </row>
    <row r="154" ht="15" customHeight="1" s="58">
      <c r="A154" s="46" t="n"/>
      <c r="B154" s="17">
        <f>IF($A154="","",IFERROR(INDEX(PERSONAL!$B$2:$B$80,MATCH($A154,PERSONAL!$A$2:$A$80,0)),"NO EXISTE"))</f>
        <v/>
      </c>
      <c r="C154" s="30" t="n"/>
      <c r="D154" s="30" t="n"/>
      <c r="E154" s="53" t="n"/>
      <c r="F154" s="53" t="n"/>
      <c r="G154" s="53" t="n"/>
      <c r="H154" s="53" t="n"/>
      <c r="I154" s="53" t="n"/>
      <c r="J154" s="53" t="n"/>
      <c r="K154" s="53" t="n"/>
      <c r="L154" s="53" t="n"/>
    </row>
    <row r="155" ht="15" customHeight="1" s="58">
      <c r="A155" s="46" t="n"/>
      <c r="B155" s="17">
        <f>IF($A155="","",IFERROR(INDEX(PERSONAL!$B$2:$B$80,MATCH($A155,PERSONAL!$A$2:$A$80,0)),"NO EXISTE"))</f>
        <v/>
      </c>
      <c r="C155" s="30" t="n"/>
      <c r="D155" s="30" t="n"/>
      <c r="E155" s="53" t="n"/>
      <c r="F155" s="53" t="n"/>
      <c r="G155" s="53" t="n"/>
      <c r="H155" s="53" t="n"/>
      <c r="I155" s="53" t="n"/>
      <c r="J155" s="53" t="n"/>
      <c r="K155" s="53" t="n"/>
      <c r="L155" s="53" t="n"/>
    </row>
    <row r="156" ht="15" customHeight="1" s="58">
      <c r="A156" s="46" t="n"/>
      <c r="B156" s="17">
        <f>IF($A156="","",IFERROR(INDEX(PERSONAL!$B$2:$B$80,MATCH($A156,PERSONAL!$A$2:$A$80,0)),"NO EXISTE"))</f>
        <v/>
      </c>
      <c r="C156" s="30" t="n"/>
      <c r="D156" s="30" t="n"/>
      <c r="E156" s="53" t="n"/>
      <c r="F156" s="53" t="n"/>
      <c r="G156" s="53" t="n"/>
      <c r="H156" s="53" t="n"/>
      <c r="I156" s="53" t="n"/>
      <c r="J156" s="53" t="n"/>
      <c r="K156" s="53" t="n"/>
      <c r="L156" s="53" t="n"/>
    </row>
    <row r="157" ht="15" customHeight="1" s="58">
      <c r="A157" s="46" t="n"/>
      <c r="B157" s="17">
        <f>IF($A157="","",IFERROR(INDEX(PERSONAL!$B$2:$B$80,MATCH($A157,PERSONAL!$A$2:$A$80,0)),"NO EXISTE"))</f>
        <v/>
      </c>
      <c r="C157" s="30" t="n"/>
      <c r="D157" s="30" t="n"/>
      <c r="E157" s="53" t="n"/>
      <c r="F157" s="53" t="n"/>
      <c r="G157" s="53" t="n"/>
      <c r="H157" s="53" t="n"/>
      <c r="I157" s="53" t="n"/>
      <c r="J157" s="53" t="n"/>
      <c r="K157" s="53" t="n"/>
      <c r="L157" s="53" t="n"/>
    </row>
    <row r="158" ht="15" customHeight="1" s="58">
      <c r="A158" s="46" t="n"/>
      <c r="B158" s="17">
        <f>IF($A158="","",IFERROR(INDEX(PERSONAL!$B$2:$B$80,MATCH($A158,PERSONAL!$A$2:$A$80,0)),"NO EXISTE"))</f>
        <v/>
      </c>
      <c r="C158" s="30" t="n"/>
      <c r="D158" s="30" t="n"/>
      <c r="E158" s="53" t="n"/>
      <c r="F158" s="53" t="n"/>
      <c r="G158" s="53" t="n"/>
      <c r="H158" s="53" t="n"/>
      <c r="I158" s="53" t="n"/>
      <c r="J158" s="53" t="n"/>
      <c r="K158" s="53" t="n"/>
      <c r="L158" s="53" t="n"/>
    </row>
    <row r="159" ht="15" customHeight="1" s="58">
      <c r="A159" s="46" t="n"/>
      <c r="B159" s="17">
        <f>IF($A159="","",IFERROR(INDEX(PERSONAL!$B$2:$B$80,MATCH($A159,PERSONAL!$A$2:$A$80,0)),"NO EXISTE"))</f>
        <v/>
      </c>
      <c r="C159" s="30" t="n"/>
      <c r="D159" s="30" t="n"/>
      <c r="E159" s="53" t="n"/>
      <c r="F159" s="53" t="n"/>
      <c r="G159" s="53" t="n"/>
      <c r="H159" s="53" t="n"/>
      <c r="I159" s="53" t="n"/>
      <c r="J159" s="53" t="n"/>
      <c r="K159" s="53" t="n"/>
      <c r="L159" s="53" t="n"/>
    </row>
    <row r="160" ht="15" customHeight="1" s="58">
      <c r="A160" s="46" t="n"/>
      <c r="B160" s="17">
        <f>IF($A160="","",IFERROR(INDEX(PERSONAL!$B$2:$B$80,MATCH($A160,PERSONAL!$A$2:$A$80,0)),"NO EXISTE"))</f>
        <v/>
      </c>
      <c r="C160" s="30" t="n"/>
      <c r="D160" s="30" t="n"/>
      <c r="E160" s="53" t="n"/>
      <c r="F160" s="53" t="n"/>
      <c r="G160" s="53" t="n"/>
      <c r="H160" s="53" t="n"/>
      <c r="I160" s="53" t="n"/>
      <c r="J160" s="53" t="n"/>
      <c r="K160" s="53" t="n"/>
      <c r="L160" s="53" t="n"/>
    </row>
    <row r="161" ht="15" customHeight="1" s="58">
      <c r="A161" s="46" t="n"/>
      <c r="B161" s="17">
        <f>IF($A161="","",IFERROR(INDEX(PERSONAL!$B$2:$B$80,MATCH($A161,PERSONAL!$A$2:$A$80,0)),"NO EXISTE"))</f>
        <v/>
      </c>
      <c r="C161" s="30" t="n"/>
      <c r="D161" s="30" t="n"/>
      <c r="E161" s="53" t="n"/>
      <c r="F161" s="53" t="n"/>
      <c r="G161" s="53" t="n"/>
      <c r="H161" s="53" t="n"/>
      <c r="I161" s="53" t="n"/>
      <c r="J161" s="53" t="n"/>
      <c r="K161" s="53" t="n"/>
      <c r="L161" s="53" t="n"/>
    </row>
    <row r="162" ht="15" customHeight="1" s="58">
      <c r="A162" s="46" t="n"/>
      <c r="B162" s="17">
        <f>IF($A162="","",IFERROR(INDEX(PERSONAL!$B$2:$B$80,MATCH($A162,PERSONAL!$A$2:$A$80,0)),"NO EXISTE"))</f>
        <v/>
      </c>
      <c r="C162" s="30" t="n"/>
      <c r="D162" s="30" t="n"/>
      <c r="E162" s="53" t="n"/>
      <c r="F162" s="53" t="n"/>
      <c r="G162" s="53" t="n"/>
      <c r="H162" s="53" t="n"/>
      <c r="I162" s="53" t="n"/>
      <c r="J162" s="53" t="n"/>
      <c r="K162" s="53" t="n"/>
      <c r="L162" s="53" t="n"/>
    </row>
    <row r="163" ht="15" customHeight="1" s="58">
      <c r="A163" s="46" t="n"/>
      <c r="B163" s="17">
        <f>IF($A163="","",IFERROR(INDEX(PERSONAL!$B$2:$B$80,MATCH($A163,PERSONAL!$A$2:$A$80,0)),"NO EXISTE"))</f>
        <v/>
      </c>
      <c r="C163" s="30" t="n"/>
      <c r="D163" s="30" t="n"/>
      <c r="E163" s="53" t="n"/>
      <c r="F163" s="53" t="n"/>
      <c r="G163" s="53" t="n"/>
      <c r="H163" s="53" t="n"/>
      <c r="I163" s="53" t="n"/>
      <c r="J163" s="53" t="n"/>
      <c r="K163" s="53" t="n"/>
      <c r="L163" s="53" t="n"/>
    </row>
    <row r="164" ht="15" customHeight="1" s="58">
      <c r="A164" s="46" t="n"/>
      <c r="B164" s="17">
        <f>IF($A164="","",IFERROR(INDEX(PERSONAL!$B$2:$B$80,MATCH($A164,PERSONAL!$A$2:$A$80,0)),"NO EXISTE"))</f>
        <v/>
      </c>
      <c r="C164" s="30" t="n"/>
      <c r="D164" s="30" t="n"/>
      <c r="E164" s="53" t="n"/>
      <c r="F164" s="53" t="n"/>
      <c r="G164" s="53" t="n"/>
      <c r="H164" s="53" t="n"/>
      <c r="I164" s="53" t="n"/>
      <c r="J164" s="53" t="n"/>
      <c r="K164" s="53" t="n"/>
      <c r="L164" s="53" t="n"/>
    </row>
    <row r="165" ht="15" customHeight="1" s="58">
      <c r="A165" s="46" t="n"/>
      <c r="B165" s="17">
        <f>IF($A165="","",IFERROR(INDEX(PERSONAL!$B$2:$B$80,MATCH($A165,PERSONAL!$A$2:$A$80,0)),"NO EXISTE"))</f>
        <v/>
      </c>
      <c r="C165" s="30" t="n"/>
      <c r="D165" s="30" t="n"/>
      <c r="E165" s="53" t="n"/>
      <c r="F165" s="53" t="n"/>
      <c r="G165" s="53" t="n"/>
      <c r="H165" s="53" t="n"/>
      <c r="I165" s="53" t="n"/>
      <c r="J165" s="53" t="n"/>
      <c r="K165" s="53" t="n"/>
      <c r="L165" s="53" t="n"/>
    </row>
    <row r="166" ht="15" customHeight="1" s="58">
      <c r="A166" s="46" t="n"/>
      <c r="B166" s="17">
        <f>IF($A166="","",IFERROR(INDEX(PERSONAL!$B$2:$B$80,MATCH($A166,PERSONAL!$A$2:$A$80,0)),"NO EXISTE"))</f>
        <v/>
      </c>
      <c r="C166" s="30" t="n"/>
      <c r="D166" s="30" t="n"/>
      <c r="E166" s="53" t="n"/>
      <c r="F166" s="53" t="n"/>
      <c r="G166" s="53" t="n"/>
      <c r="H166" s="53" t="n"/>
      <c r="I166" s="53" t="n"/>
      <c r="J166" s="53" t="n"/>
      <c r="K166" s="53" t="n"/>
      <c r="L166" s="53" t="n"/>
    </row>
    <row r="167" ht="15" customHeight="1" s="58">
      <c r="A167" s="46" t="n"/>
      <c r="B167" s="17">
        <f>IF($A167="","",IFERROR(INDEX(PERSONAL!$B$2:$B$80,MATCH($A167,PERSONAL!$A$2:$A$80,0)),"NO EXISTE"))</f>
        <v/>
      </c>
      <c r="C167" s="30" t="n"/>
      <c r="D167" s="30" t="n"/>
      <c r="E167" s="53" t="n"/>
      <c r="F167" s="53" t="n"/>
      <c r="G167" s="53" t="n"/>
      <c r="H167" s="53" t="n"/>
      <c r="I167" s="53" t="n"/>
      <c r="J167" s="53" t="n"/>
      <c r="K167" s="53" t="n"/>
      <c r="L167" s="53" t="n"/>
    </row>
    <row r="168" ht="15" customHeight="1" s="58">
      <c r="A168" s="46" t="n"/>
      <c r="B168" s="17">
        <f>IF($A168="","",IFERROR(INDEX(PERSONAL!$B$2:$B$80,MATCH($A168,PERSONAL!$A$2:$A$80,0)),"NO EXISTE"))</f>
        <v/>
      </c>
      <c r="C168" s="30" t="n"/>
      <c r="D168" s="30" t="n"/>
      <c r="E168" s="53" t="n"/>
      <c r="F168" s="53" t="n"/>
      <c r="G168" s="53" t="n"/>
      <c r="H168" s="53" t="n"/>
      <c r="I168" s="53" t="n"/>
      <c r="J168" s="53" t="n"/>
      <c r="K168" s="53" t="n"/>
      <c r="L168" s="53" t="n"/>
    </row>
    <row r="169" ht="15" customHeight="1" s="58">
      <c r="A169" s="46" t="n"/>
      <c r="B169" s="17">
        <f>IF($A169="","",IFERROR(INDEX(PERSONAL!$B$2:$B$80,MATCH($A169,PERSONAL!$A$2:$A$80,0)),"NO EXISTE"))</f>
        <v/>
      </c>
      <c r="C169" s="30" t="n"/>
      <c r="D169" s="30" t="n"/>
      <c r="E169" s="53" t="n"/>
      <c r="F169" s="53" t="n"/>
      <c r="G169" s="53" t="n"/>
      <c r="H169" s="53" t="n"/>
      <c r="I169" s="53" t="n"/>
      <c r="J169" s="53" t="n"/>
      <c r="K169" s="53" t="n"/>
      <c r="L169" s="53" t="n"/>
    </row>
    <row r="170" ht="15" customHeight="1" s="58">
      <c r="A170" s="46" t="n"/>
      <c r="B170" s="17">
        <f>IF($A170="","",IFERROR(INDEX(PERSONAL!$B$2:$B$80,MATCH($A170,PERSONAL!$A$2:$A$80,0)),"NO EXISTE"))</f>
        <v/>
      </c>
      <c r="C170" s="30" t="n"/>
      <c r="D170" s="30" t="n"/>
      <c r="E170" s="53" t="n"/>
      <c r="F170" s="53" t="n"/>
      <c r="G170" s="53" t="n"/>
      <c r="H170" s="53" t="n"/>
      <c r="I170" s="53" t="n"/>
      <c r="J170" s="53" t="n"/>
      <c r="K170" s="53" t="n"/>
      <c r="L170" s="53" t="n"/>
    </row>
    <row r="171" ht="15" customHeight="1" s="58">
      <c r="A171" s="46" t="n"/>
      <c r="B171" s="17">
        <f>IF($A171="","",IFERROR(INDEX(PERSONAL!$B$2:$B$80,MATCH($A171,PERSONAL!$A$2:$A$80,0)),"NO EXISTE"))</f>
        <v/>
      </c>
      <c r="C171" s="30" t="n"/>
      <c r="D171" s="30" t="n"/>
      <c r="E171" s="53" t="n"/>
      <c r="F171" s="53" t="n"/>
      <c r="G171" s="53" t="n"/>
      <c r="H171" s="53" t="n"/>
      <c r="I171" s="53" t="n"/>
      <c r="J171" s="53" t="n"/>
      <c r="K171" s="53" t="n"/>
      <c r="L171" s="53" t="n"/>
    </row>
    <row r="172" ht="15" customHeight="1" s="58">
      <c r="A172" s="46" t="n"/>
      <c r="B172" s="17">
        <f>IF($A172="","",IFERROR(INDEX(PERSONAL!$B$2:$B$80,MATCH($A172,PERSONAL!$A$2:$A$80,0)),"NO EXISTE"))</f>
        <v/>
      </c>
      <c r="C172" s="30" t="n"/>
      <c r="D172" s="30" t="n"/>
      <c r="E172" s="53" t="n"/>
      <c r="F172" s="53" t="n"/>
      <c r="G172" s="53" t="n"/>
      <c r="H172" s="53" t="n"/>
      <c r="I172" s="53" t="n"/>
      <c r="J172" s="53" t="n"/>
      <c r="K172" s="53" t="n"/>
      <c r="L172" s="53" t="n"/>
    </row>
    <row r="173" ht="15" customHeight="1" s="58">
      <c r="A173" s="46" t="n"/>
      <c r="B173" s="17">
        <f>IF($A173="","",IFERROR(INDEX(PERSONAL!$B$2:$B$80,MATCH($A173,PERSONAL!$A$2:$A$80,0)),"NO EXISTE"))</f>
        <v/>
      </c>
      <c r="C173" s="30" t="n"/>
      <c r="D173" s="30" t="n"/>
      <c r="E173" s="53" t="n"/>
      <c r="F173" s="53" t="n"/>
      <c r="G173" s="53" t="n"/>
      <c r="H173" s="53" t="n"/>
      <c r="I173" s="53" t="n"/>
      <c r="J173" s="53" t="n"/>
      <c r="K173" s="53" t="n"/>
      <c r="L173" s="53" t="n"/>
    </row>
    <row r="174" ht="15" customHeight="1" s="58">
      <c r="A174" s="46" t="n"/>
      <c r="B174" s="17">
        <f>IF($A174="","",IFERROR(INDEX(PERSONAL!$B$2:$B$80,MATCH($A174,PERSONAL!$A$2:$A$80,0)),"NO EXISTE"))</f>
        <v/>
      </c>
      <c r="C174" s="30" t="n"/>
      <c r="D174" s="30" t="n"/>
      <c r="E174" s="53" t="n"/>
      <c r="F174" s="53" t="n"/>
      <c r="G174" s="53" t="n"/>
      <c r="H174" s="53" t="n"/>
      <c r="I174" s="53" t="n"/>
      <c r="J174" s="53" t="n"/>
      <c r="K174" s="53" t="n"/>
      <c r="L174" s="53" t="n"/>
    </row>
    <row r="175" ht="15" customHeight="1" s="58">
      <c r="A175" s="46" t="n"/>
      <c r="B175" s="17">
        <f>IF($A175="","",IFERROR(INDEX(PERSONAL!$B$2:$B$80,MATCH($A175,PERSONAL!$A$2:$A$80,0)),"NO EXISTE"))</f>
        <v/>
      </c>
      <c r="C175" s="30" t="n"/>
      <c r="D175" s="30" t="n"/>
      <c r="E175" s="53" t="n"/>
      <c r="F175" s="53" t="n"/>
      <c r="G175" s="53" t="n"/>
      <c r="H175" s="53" t="n"/>
      <c r="I175" s="53" t="n"/>
      <c r="J175" s="53" t="n"/>
      <c r="K175" s="53" t="n"/>
      <c r="L175" s="53" t="n"/>
    </row>
    <row r="176" ht="15" customHeight="1" s="58">
      <c r="A176" s="46" t="n"/>
      <c r="B176" s="17">
        <f>IF($A176="","",IFERROR(INDEX(PERSONAL!$B$2:$B$80,MATCH($A176,PERSONAL!$A$2:$A$80,0)),"NO EXISTE"))</f>
        <v/>
      </c>
      <c r="C176" s="30" t="n"/>
      <c r="D176" s="30" t="n"/>
      <c r="E176" s="53" t="n"/>
      <c r="F176" s="53" t="n"/>
      <c r="G176" s="53" t="n"/>
      <c r="H176" s="53" t="n"/>
      <c r="I176" s="53" t="n"/>
      <c r="J176" s="53" t="n"/>
      <c r="K176" s="53" t="n"/>
      <c r="L176" s="53" t="n"/>
    </row>
    <row r="177" ht="15" customHeight="1" s="58">
      <c r="A177" s="46" t="n"/>
      <c r="B177" s="17">
        <f>IF($A177="","",IFERROR(INDEX(PERSONAL!$B$2:$B$80,MATCH($A177,PERSONAL!$A$2:$A$80,0)),"NO EXISTE"))</f>
        <v/>
      </c>
      <c r="C177" s="30" t="n"/>
      <c r="D177" s="30" t="n"/>
      <c r="E177" s="53" t="n"/>
      <c r="F177" s="53" t="n"/>
      <c r="G177" s="53" t="n"/>
      <c r="H177" s="53" t="n"/>
      <c r="I177" s="53" t="n"/>
      <c r="J177" s="53" t="n"/>
      <c r="K177" s="53" t="n"/>
      <c r="L177" s="53" t="n"/>
    </row>
    <row r="178" ht="15" customHeight="1" s="58">
      <c r="A178" s="46" t="n"/>
      <c r="B178" s="17">
        <f>IF($A178="","",IFERROR(INDEX(PERSONAL!$B$2:$B$80,MATCH($A178,PERSONAL!$A$2:$A$80,0)),"NO EXISTE"))</f>
        <v/>
      </c>
      <c r="C178" s="30" t="n"/>
      <c r="D178" s="30" t="n"/>
      <c r="E178" s="53" t="n"/>
      <c r="F178" s="53" t="n"/>
      <c r="G178" s="53" t="n"/>
      <c r="H178" s="53" t="n"/>
      <c r="I178" s="53" t="n"/>
      <c r="J178" s="53" t="n"/>
      <c r="K178" s="53" t="n"/>
      <c r="L178" s="53" t="n"/>
    </row>
    <row r="179" ht="15" customHeight="1" s="58">
      <c r="A179" s="46" t="n"/>
      <c r="B179" s="17">
        <f>IF($A179="","",IFERROR(INDEX(PERSONAL!$B$2:$B$80,MATCH($A179,PERSONAL!$A$2:$A$80,0)),"NO EXISTE"))</f>
        <v/>
      </c>
      <c r="C179" s="30" t="n"/>
      <c r="D179" s="30" t="n"/>
      <c r="E179" s="53" t="n"/>
      <c r="F179" s="53" t="n"/>
      <c r="G179" s="53" t="n"/>
      <c r="H179" s="53" t="n"/>
      <c r="I179" s="53" t="n"/>
      <c r="J179" s="53" t="n"/>
      <c r="K179" s="53" t="n"/>
      <c r="L179" s="53" t="n"/>
    </row>
    <row r="180" ht="15" customHeight="1" s="58">
      <c r="A180" s="46" t="n"/>
      <c r="B180" s="17">
        <f>IF($A180="","",IFERROR(INDEX(PERSONAL!$B$2:$B$80,MATCH($A180,PERSONAL!$A$2:$A$80,0)),"NO EXISTE"))</f>
        <v/>
      </c>
      <c r="C180" s="30" t="n"/>
      <c r="D180" s="30" t="n"/>
      <c r="E180" s="53" t="n"/>
      <c r="F180" s="53" t="n"/>
      <c r="G180" s="53" t="n"/>
      <c r="H180" s="53" t="n"/>
      <c r="I180" s="53" t="n"/>
      <c r="J180" s="53" t="n"/>
      <c r="K180" s="53" t="n"/>
      <c r="L180" s="53" t="n"/>
    </row>
    <row r="181" ht="15" customHeight="1" s="58">
      <c r="A181" s="46" t="n"/>
      <c r="B181" s="17">
        <f>IF($A181="","",IFERROR(INDEX(PERSONAL!$B$2:$B$80,MATCH($A181,PERSONAL!$A$2:$A$80,0)),"NO EXISTE"))</f>
        <v/>
      </c>
      <c r="C181" s="30" t="n"/>
      <c r="D181" s="30" t="n"/>
      <c r="E181" s="53" t="n"/>
      <c r="F181" s="53" t="n"/>
      <c r="G181" s="53" t="n"/>
      <c r="H181" s="53" t="n"/>
      <c r="I181" s="53" t="n"/>
      <c r="J181" s="53" t="n"/>
      <c r="K181" s="53" t="n"/>
      <c r="L181" s="53" t="n"/>
    </row>
    <row r="182" ht="15" customHeight="1" s="58">
      <c r="A182" s="46" t="n"/>
      <c r="B182" s="17">
        <f>IF($A182="","",IFERROR(INDEX(PERSONAL!$B$2:$B$80,MATCH($A182,PERSONAL!$A$2:$A$80,0)),"NO EXISTE"))</f>
        <v/>
      </c>
      <c r="C182" s="30" t="n"/>
      <c r="D182" s="30" t="n"/>
      <c r="E182" s="53" t="n"/>
      <c r="F182" s="53" t="n"/>
      <c r="G182" s="53" t="n"/>
      <c r="H182" s="53" t="n"/>
      <c r="I182" s="53" t="n"/>
      <c r="J182" s="53" t="n"/>
      <c r="K182" s="53" t="n"/>
      <c r="L182" s="53" t="n"/>
    </row>
    <row r="183" ht="15" customHeight="1" s="58">
      <c r="A183" s="46" t="n"/>
      <c r="B183" s="17">
        <f>IF($A183="","",IFERROR(INDEX(PERSONAL!$B$2:$B$80,MATCH($A183,PERSONAL!$A$2:$A$80,0)),"NO EXISTE"))</f>
        <v/>
      </c>
      <c r="C183" s="30" t="n"/>
      <c r="D183" s="30" t="n"/>
      <c r="E183" s="53" t="n"/>
      <c r="F183" s="53" t="n"/>
      <c r="G183" s="53" t="n"/>
      <c r="H183" s="53" t="n"/>
      <c r="I183" s="53" t="n"/>
      <c r="J183" s="53" t="n"/>
      <c r="K183" s="53" t="n"/>
      <c r="L183" s="53" t="n"/>
    </row>
    <row r="184" ht="15" customHeight="1" s="58">
      <c r="A184" s="46" t="n"/>
      <c r="B184" s="17">
        <f>IF($A184="","",IFERROR(INDEX(PERSONAL!$B$2:$B$80,MATCH($A184,PERSONAL!$A$2:$A$80,0)),"NO EXISTE"))</f>
        <v/>
      </c>
      <c r="C184" s="30" t="n"/>
      <c r="D184" s="30" t="n"/>
      <c r="E184" s="53" t="n"/>
      <c r="F184" s="53" t="n"/>
      <c r="G184" s="53" t="n"/>
      <c r="H184" s="53" t="n"/>
      <c r="I184" s="53" t="n"/>
      <c r="J184" s="53" t="n"/>
      <c r="K184" s="53" t="n"/>
      <c r="L184" s="53" t="n"/>
    </row>
    <row r="185" ht="15" customHeight="1" s="58">
      <c r="A185" s="46" t="n"/>
      <c r="B185" s="17">
        <f>IF($A185="","",IFERROR(INDEX(PERSONAL!$B$2:$B$80,MATCH($A185,PERSONAL!$A$2:$A$80,0)),"NO EXISTE"))</f>
        <v/>
      </c>
      <c r="C185" s="30" t="n"/>
      <c r="D185" s="30" t="n"/>
      <c r="E185" s="53" t="n"/>
      <c r="F185" s="53" t="n"/>
      <c r="G185" s="53" t="n"/>
      <c r="H185" s="53" t="n"/>
      <c r="I185" s="53" t="n"/>
      <c r="J185" s="53" t="n"/>
      <c r="K185" s="53" t="n"/>
      <c r="L185" s="53" t="n"/>
    </row>
    <row r="186" ht="15" customHeight="1" s="58">
      <c r="A186" s="46" t="n"/>
      <c r="B186" s="17">
        <f>IF($A186="","",IFERROR(INDEX(PERSONAL!$B$2:$B$80,MATCH($A186,PERSONAL!$A$2:$A$80,0)),"NO EXISTE"))</f>
        <v/>
      </c>
      <c r="C186" s="30" t="n"/>
      <c r="D186" s="30" t="n"/>
      <c r="E186" s="53" t="n"/>
      <c r="F186" s="53" t="n"/>
      <c r="G186" s="53" t="n"/>
      <c r="H186" s="53" t="n"/>
      <c r="I186" s="53" t="n"/>
      <c r="J186" s="53" t="n"/>
      <c r="K186" s="53" t="n"/>
      <c r="L186" s="53" t="n"/>
    </row>
    <row r="187" ht="15" customHeight="1" s="58">
      <c r="A187" s="46" t="n"/>
      <c r="B187" s="17">
        <f>IF($A187="","",IFERROR(INDEX(PERSONAL!$B$2:$B$80,MATCH($A187,PERSONAL!$A$2:$A$80,0)),"NO EXISTE"))</f>
        <v/>
      </c>
      <c r="C187" s="30" t="n"/>
      <c r="D187" s="30" t="n"/>
      <c r="E187" s="53" t="n"/>
      <c r="F187" s="53" t="n"/>
      <c r="G187" s="53" t="n"/>
      <c r="H187" s="53" t="n"/>
      <c r="I187" s="53" t="n"/>
      <c r="J187" s="53" t="n"/>
      <c r="K187" s="53" t="n"/>
      <c r="L187" s="53" t="n"/>
    </row>
    <row r="188" ht="15" customHeight="1" s="58">
      <c r="A188" s="46" t="n"/>
      <c r="B188" s="17">
        <f>IF($A188="","",IFERROR(INDEX(PERSONAL!$B$2:$B$80,MATCH($A188,PERSONAL!$A$2:$A$80,0)),"NO EXISTE"))</f>
        <v/>
      </c>
      <c r="C188" s="30" t="n"/>
      <c r="D188" s="30" t="n"/>
      <c r="E188" s="53" t="n"/>
      <c r="F188" s="53" t="n"/>
      <c r="G188" s="53" t="n"/>
      <c r="H188" s="53" t="n"/>
      <c r="I188" s="53" t="n"/>
      <c r="J188" s="53" t="n"/>
      <c r="K188" s="53" t="n"/>
      <c r="L188" s="53" t="n"/>
    </row>
    <row r="189" ht="15" customHeight="1" s="58">
      <c r="A189" s="46" t="n"/>
      <c r="B189" s="17">
        <f>IF($A189="","",IFERROR(INDEX(PERSONAL!$B$2:$B$80,MATCH($A189,PERSONAL!$A$2:$A$80,0)),"NO EXISTE"))</f>
        <v/>
      </c>
      <c r="C189" s="30" t="n"/>
      <c r="D189" s="30" t="n"/>
      <c r="E189" s="53" t="n"/>
      <c r="F189" s="53" t="n"/>
      <c r="G189" s="53" t="n"/>
      <c r="H189" s="53" t="n"/>
      <c r="I189" s="53" t="n"/>
      <c r="J189" s="53" t="n"/>
      <c r="K189" s="53" t="n"/>
      <c r="L189" s="53" t="n"/>
    </row>
    <row r="190" ht="15" customHeight="1" s="58">
      <c r="A190" s="46" t="n"/>
      <c r="B190" s="17">
        <f>IF($A190="","",IFERROR(INDEX(PERSONAL!$B$2:$B$80,MATCH($A190,PERSONAL!$A$2:$A$80,0)),"NO EXISTE"))</f>
        <v/>
      </c>
      <c r="C190" s="30" t="n"/>
      <c r="D190" s="30" t="n"/>
      <c r="E190" s="53" t="n"/>
      <c r="F190" s="53" t="n"/>
      <c r="G190" s="53" t="n"/>
      <c r="H190" s="53" t="n"/>
      <c r="I190" s="53" t="n"/>
      <c r="J190" s="53" t="n"/>
      <c r="K190" s="53" t="n"/>
      <c r="L190" s="53" t="n"/>
    </row>
    <row r="191" ht="15" customHeight="1" s="58">
      <c r="A191" s="46" t="n"/>
      <c r="B191" s="17">
        <f>IF($A191="","",IFERROR(INDEX(PERSONAL!$B$2:$B$80,MATCH($A191,PERSONAL!$A$2:$A$80,0)),"NO EXISTE"))</f>
        <v/>
      </c>
      <c r="C191" s="30" t="n"/>
      <c r="D191" s="30" t="n"/>
      <c r="E191" s="53" t="n"/>
      <c r="F191" s="53" t="n"/>
      <c r="G191" s="53" t="n"/>
      <c r="H191" s="53" t="n"/>
      <c r="I191" s="53" t="n"/>
      <c r="J191" s="53" t="n"/>
      <c r="K191" s="53" t="n"/>
      <c r="L191" s="53" t="n"/>
    </row>
    <row r="192" ht="15" customHeight="1" s="58">
      <c r="A192" s="46" t="n"/>
      <c r="B192" s="17">
        <f>IF($A192="","",IFERROR(INDEX(PERSONAL!$B$2:$B$80,MATCH($A192,PERSONAL!$A$2:$A$80,0)),"NO EXISTE"))</f>
        <v/>
      </c>
      <c r="C192" s="30" t="n"/>
      <c r="D192" s="30" t="n"/>
      <c r="E192" s="53" t="n"/>
      <c r="F192" s="53" t="n"/>
      <c r="G192" s="53" t="n"/>
      <c r="H192" s="53" t="n"/>
      <c r="I192" s="53" t="n"/>
      <c r="J192" s="53" t="n"/>
      <c r="K192" s="53" t="n"/>
      <c r="L192" s="53" t="n"/>
    </row>
    <row r="193" ht="15" customHeight="1" s="58">
      <c r="A193" s="46" t="n"/>
      <c r="B193" s="17">
        <f>IF($A193="","",IFERROR(INDEX(PERSONAL!$B$2:$B$80,MATCH($A193,PERSONAL!$A$2:$A$80,0)),"NO EXISTE"))</f>
        <v/>
      </c>
      <c r="C193" s="30" t="n"/>
      <c r="D193" s="30" t="n"/>
      <c r="E193" s="53" t="n"/>
      <c r="F193" s="53" t="n"/>
      <c r="G193" s="53" t="n"/>
      <c r="H193" s="53" t="n"/>
      <c r="I193" s="53" t="n"/>
      <c r="J193" s="53" t="n"/>
      <c r="K193" s="53" t="n"/>
      <c r="L193" s="53" t="n"/>
    </row>
    <row r="194" ht="15" customHeight="1" s="58">
      <c r="A194" s="46" t="n"/>
      <c r="B194" s="17">
        <f>IF($A194="","",IFERROR(INDEX(PERSONAL!$B$2:$B$80,MATCH($A194,PERSONAL!$A$2:$A$80,0)),"NO EXISTE"))</f>
        <v/>
      </c>
      <c r="C194" s="30" t="n"/>
      <c r="D194" s="30" t="n"/>
      <c r="E194" s="53" t="n"/>
      <c r="F194" s="53" t="n"/>
      <c r="G194" s="53" t="n"/>
      <c r="H194" s="53" t="n"/>
      <c r="I194" s="53" t="n"/>
      <c r="J194" s="53" t="n"/>
      <c r="K194" s="53" t="n"/>
      <c r="L194" s="53" t="n"/>
    </row>
    <row r="195" ht="15" customHeight="1" s="58">
      <c r="A195" s="46" t="n"/>
      <c r="B195" s="17">
        <f>IF($A195="","",IFERROR(INDEX(PERSONAL!$B$2:$B$80,MATCH($A195,PERSONAL!$A$2:$A$80,0)),"NO EXISTE"))</f>
        <v/>
      </c>
      <c r="C195" s="30" t="n"/>
      <c r="D195" s="30" t="n"/>
      <c r="E195" s="53" t="n"/>
      <c r="F195" s="53" t="n"/>
      <c r="G195" s="53" t="n"/>
      <c r="H195" s="53" t="n"/>
      <c r="I195" s="53" t="n"/>
      <c r="J195" s="53" t="n"/>
      <c r="K195" s="53" t="n"/>
      <c r="L195" s="53" t="n"/>
    </row>
    <row r="196" ht="15" customHeight="1" s="58">
      <c r="A196" s="46" t="n"/>
      <c r="B196" s="17">
        <f>IF($A196="","",IFERROR(INDEX(PERSONAL!$B$2:$B$80,MATCH($A196,PERSONAL!$A$2:$A$80,0)),"NO EXISTE"))</f>
        <v/>
      </c>
      <c r="C196" s="30" t="n"/>
      <c r="D196" s="30" t="n"/>
      <c r="E196" s="53" t="n"/>
      <c r="F196" s="53" t="n"/>
      <c r="G196" s="53" t="n"/>
      <c r="H196" s="53" t="n"/>
      <c r="I196" s="53" t="n"/>
      <c r="J196" s="53" t="n"/>
      <c r="K196" s="53" t="n"/>
      <c r="L196" s="53" t="n"/>
    </row>
    <row r="197" ht="15" customHeight="1" s="58">
      <c r="A197" s="46" t="n"/>
      <c r="B197" s="17">
        <f>IF($A197="","",IFERROR(INDEX(PERSONAL!$B$2:$B$80,MATCH($A197,PERSONAL!$A$2:$A$80,0)),"NO EXISTE"))</f>
        <v/>
      </c>
      <c r="C197" s="30" t="n"/>
      <c r="D197" s="30" t="n"/>
      <c r="E197" s="53" t="n"/>
      <c r="F197" s="53" t="n"/>
      <c r="G197" s="53" t="n"/>
      <c r="H197" s="53" t="n"/>
      <c r="I197" s="53" t="n"/>
      <c r="J197" s="53" t="n"/>
      <c r="K197" s="53" t="n"/>
      <c r="L197" s="53" t="n"/>
    </row>
    <row r="198" ht="15" customHeight="1" s="58">
      <c r="A198" s="46" t="n"/>
      <c r="B198" s="17">
        <f>IF($A198="","",IFERROR(INDEX(PERSONAL!$B$2:$B$80,MATCH($A198,PERSONAL!$A$2:$A$80,0)),"NO EXISTE"))</f>
        <v/>
      </c>
      <c r="C198" s="30" t="n"/>
      <c r="D198" s="30" t="n"/>
      <c r="E198" s="53" t="n"/>
      <c r="F198" s="53" t="n"/>
      <c r="G198" s="53" t="n"/>
      <c r="H198" s="53" t="n"/>
      <c r="I198" s="53" t="n"/>
      <c r="J198" s="53" t="n"/>
      <c r="K198" s="53" t="n"/>
      <c r="L198" s="53" t="n"/>
    </row>
    <row r="199" ht="15" customHeight="1" s="58">
      <c r="A199" s="46" t="n"/>
      <c r="B199" s="17">
        <f>IF($A199="","",IFERROR(INDEX(PERSONAL!$B$2:$B$80,MATCH($A199,PERSONAL!$A$2:$A$80,0)),"NO EXISTE"))</f>
        <v/>
      </c>
      <c r="C199" s="30" t="n"/>
      <c r="D199" s="30" t="n"/>
      <c r="E199" s="53" t="n"/>
      <c r="F199" s="53" t="n"/>
      <c r="G199" s="53" t="n"/>
      <c r="H199" s="53" t="n"/>
      <c r="I199" s="53" t="n"/>
      <c r="J199" s="53" t="n"/>
      <c r="K199" s="53" t="n"/>
      <c r="L199" s="53" t="n"/>
    </row>
    <row r="200" ht="15" customHeight="1" s="58">
      <c r="A200" s="46" t="n"/>
      <c r="B200" s="17">
        <f>IF($A200="","",IFERROR(INDEX(PERSONAL!$B$2:$B$80,MATCH($A200,PERSONAL!$A$2:$A$80,0)),"NO EXISTE"))</f>
        <v/>
      </c>
      <c r="C200" s="30" t="n"/>
      <c r="D200" s="30" t="n"/>
      <c r="E200" s="53" t="n"/>
      <c r="F200" s="53" t="n"/>
      <c r="G200" s="53" t="n"/>
      <c r="H200" s="53" t="n"/>
      <c r="I200" s="53" t="n"/>
      <c r="J200" s="53" t="n"/>
      <c r="K200" s="53" t="n"/>
      <c r="L200" s="53" t="n"/>
    </row>
    <row r="201" ht="15" customHeight="1" s="58">
      <c r="A201" s="46" t="n"/>
      <c r="B201" s="17">
        <f>IF($A201="","",IFERROR(INDEX(PERSONAL!$B$2:$B$80,MATCH($A201,PERSONAL!$A$2:$A$80,0)),"NO EXISTE"))</f>
        <v/>
      </c>
      <c r="C201" s="30" t="n"/>
      <c r="D201" s="30" t="n"/>
      <c r="E201" s="53" t="n"/>
      <c r="F201" s="53" t="n"/>
      <c r="G201" s="53" t="n"/>
      <c r="H201" s="53" t="n"/>
      <c r="I201" s="53" t="n"/>
      <c r="J201" s="53" t="n"/>
      <c r="K201" s="53" t="n"/>
      <c r="L201" s="53" t="n"/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Sistema de Asistencia Semaforo 2026 - Demo anonimizado</dc:title>
  <dc:subject>Version publica con datos ficticios para portafolio profesional</dc:subject>
  <dcterms:created xsi:type="dcterms:W3CDTF">2026-06-03T22:40:25Z</dcterms:created>
  <dcterms:modified xsi:type="dcterms:W3CDTF">2026-06-30T21:59:04Z</dcterms:modified>
</cp:coreProperties>
</file>